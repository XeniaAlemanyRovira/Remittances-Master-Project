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709ECDDB-8682-4AAD-B8A8-86B002C3EBB8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Índice" sheetId="1" r:id="rId1"/>
    <sheet name="Nayarit_EdoUsa" sheetId="2" r:id="rId2"/>
    <sheet name="Nayarit_Cons" sheetId="15" r:id="rId3"/>
    <sheet name="NayaritXCons" sheetId="16" r:id="rId4"/>
    <sheet name="Nayarit_EdoMun" sheetId="5" r:id="rId5"/>
    <sheet name="Nayarit_USAMuni" sheetId="6" r:id="rId6"/>
    <sheet name="Nayarit_MUNICIPIO" sheetId="7" r:id="rId7"/>
    <sheet name="Nayarit_educ_gral" sheetId="8" r:id="rId8"/>
    <sheet name="Nayarit_NivelE_Cons" sheetId="9" r:id="rId9"/>
    <sheet name="Nayarit_EducCons" sheetId="10" r:id="rId10"/>
    <sheet name="Nayarit_GenGral" sheetId="11" r:id="rId11"/>
    <sheet name="Nayarit_GENERO" sheetId="12" r:id="rId12"/>
    <sheet name="Nayarit_GENERO_EUA" sheetId="17" r:id="rId13"/>
    <sheet name="Nayarit_Gen_Edad" sheetId="13" r:id="rId14"/>
    <sheet name="Nayarit_ocup_gral" sheetId="14" r:id="rId15"/>
  </sheets>
  <definedNames>
    <definedName name="_xlnm._FilterDatabase" localSheetId="2" hidden="1">Nayarit_Cons!$B$11:$D$11</definedName>
    <definedName name="_xlnm._FilterDatabase" localSheetId="4" hidden="1">Nayarit_EdoMun!$B$11:$D$11</definedName>
    <definedName name="_xlnm._FilterDatabase" localSheetId="1" hidden="1">Nayarit_EdoUsa!$B$11:$D$11</definedName>
    <definedName name="_xlnm._FilterDatabase" localSheetId="7" hidden="1">Nayarit_educ_gral!$B$11:$D$11</definedName>
    <definedName name="_xlnm._FilterDatabase" localSheetId="9" hidden="1">Nayarit_EducCons!$B$9:$E$673</definedName>
    <definedName name="_xlnm._FilterDatabase" localSheetId="11" hidden="1">Nayarit_GENERO!$B$12:$E$164</definedName>
    <definedName name="_xlnm._FilterDatabase" localSheetId="12" hidden="1">Nayarit_GENERO_EUA!$B$12:$E$151</definedName>
    <definedName name="_xlnm._FilterDatabase" localSheetId="10" hidden="1">Nayarit_GenGral!$B$11:$D$11</definedName>
    <definedName name="_xlnm._FilterDatabase" localSheetId="6" hidden="1">Nayarit_MUNICIPIO!$B$9:$E$558</definedName>
    <definedName name="_xlnm._FilterDatabase" localSheetId="8" hidden="1">Nayarit_NivelE_Cons!$B$9:$E$500</definedName>
    <definedName name="_xlnm._FilterDatabase" localSheetId="14" hidden="1">Nayarit_ocup_gral!$B$11:$D$11</definedName>
    <definedName name="_xlnm._FilterDatabase" localSheetId="5" hidden="1">Nayarit_USAMuni!$B$9:$E$741</definedName>
    <definedName name="_xlnm._FilterDatabase" localSheetId="3" hidden="1">NayaritXCons!$B$11:$D$11</definedName>
    <definedName name="_xlnm.Print_Area" localSheetId="2">Nayarit_Cons!$A$1:$F$68</definedName>
    <definedName name="_xlnm.Print_Area" localSheetId="4">Nayarit_EdoMun!$A$1:$F$39</definedName>
    <definedName name="_xlnm.Print_Area" localSheetId="7">Nayarit_educ_gral!$A$1:$E$42</definedName>
    <definedName name="_xlnm.Print_Area" localSheetId="9">Nayarit_EducCons!$A$1:$E$679</definedName>
    <definedName name="_xlnm.Print_Area" localSheetId="13">Nayarit_Gen_Edad!$A$1:$G$39</definedName>
    <definedName name="_xlnm.Print_Area" localSheetId="11">Nayarit_GENERO!$A$1:$F$171</definedName>
    <definedName name="_xlnm.Print_Area" localSheetId="12">Nayarit_GENERO_EUA!$A$1:$F$157</definedName>
    <definedName name="_xlnm.Print_Area" localSheetId="6">Nayarit_MUNICIPIO!$A$1:$E$564</definedName>
    <definedName name="_xlnm.Print_Area" localSheetId="8">Nayarit_NivelE_Cons!$A$1:$E$506</definedName>
    <definedName name="_xlnm.Print_Area" localSheetId="14">Nayarit_ocup_gral!$A$1:$D$65</definedName>
    <definedName name="_xlnm.Print_Area" localSheetId="5">Nayarit_USAMuni!$A$1:$E$748</definedName>
    <definedName name="_xlnm.Print_Area" localSheetId="3">NayaritXCons!$A$1:$F$29</definedName>
    <definedName name="_xlnm.Print_Titles" localSheetId="2">Nayarit_Cons!$1:$11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3">Nayarit_Gen_Edad!$1:$12</definedName>
    <definedName name="_xlnm.Print_Titles" localSheetId="11">Nayarit_GENERO!$1:$12</definedName>
    <definedName name="_xlnm.Print_Titles" localSheetId="12">Nayarit_GENERO_EUA!$1:$12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4">Nayarit_ocup_gral!$1:$11</definedName>
    <definedName name="_xlnm.Print_Titles" localSheetId="5">Nayarit_USAMuni!$1:$9</definedName>
    <definedName name="_xlnm.Print_Titles" localSheetId="3">NayaritXCons!$1:$11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6" l="1"/>
  <c r="C22" i="16"/>
  <c r="D13" i="16" s="1"/>
  <c r="D22" i="16" l="1"/>
  <c r="D21" i="16"/>
  <c r="D20" i="16"/>
  <c r="D19" i="16"/>
  <c r="D18" i="16"/>
  <c r="D17" i="16"/>
  <c r="D16" i="16"/>
  <c r="D15" i="16"/>
  <c r="D14" i="16"/>
</calcChain>
</file>

<file path=xl/sharedStrings.xml><?xml version="1.0" encoding="utf-8"?>
<sst xmlns="http://schemas.openxmlformats.org/spreadsheetml/2006/main" count="3373" uniqueCount="272">
  <si>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</si>
  <si>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</si>
  <si>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</si>
  <si>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</si>
  <si>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</si>
  <si>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</si>
  <si>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</si>
  <si>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</si>
  <si>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</si>
  <si>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</si>
  <si>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</si>
  <si>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</si>
  <si>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</si>
  <si>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</si>
  <si>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</si>
  <si>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</si>
  <si>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</si>
  <si>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</si>
  <si>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</si>
  <si>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</si>
  <si>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</si>
  <si>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</si>
  <si>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</si>
  <si>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</si>
  <si>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</si>
  <si>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</si>
  <si>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</si>
  <si>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</si>
  <si>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</si>
  <si>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</si>
  <si>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</si>
  <si>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</si>
  <si>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</si>
  <si>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</si>
  <si>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</si>
  <si>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NAYARIT EN LOS CONSULADOS DE MÉXICO EN EE.UU.</t>
  </si>
  <si>
    <t xml:space="preserve">MATRÍCULAS CONSULARES EXPEDIDAS A ORIGINARIOS DE NAYARIT POR GÉNERO EN EE.UU </t>
  </si>
  <si>
    <t>MATRÍCULAS CONSULARES EXPEDIDAS EN EE.UU. A ORIGINARIOS DE NAYARIT POR NIVEL DE EDUCACIÓN</t>
  </si>
  <si>
    <t>MATRÍCULAS CONSULARES EXPEDIDAS A ORIGINARIOS DE NAYARIT POR GÉNERO Y CONSULADO</t>
  </si>
  <si>
    <t>MATRÍCULAS CONSULARES EXPEDIDAS A ORIGINARIOS DE NAYARIT POR GÉNERO Y POR ESTADO DE LA UNIÓN AMERICANA</t>
  </si>
  <si>
    <t>MATRÍCULAS CONSULARES DE ALTA SEGURIDAD EXPEDIDAS POR MUNICIPIO A ORIGINARIOS DEL ESTADO DE NAYARIT EN LOS CONSULADOS DE MÉXICO EN EE.UU.</t>
  </si>
  <si>
    <t>MATRÍCULAS CONSULARES DE ALTA SEGURIDAD EXPEDIDAS A ORIGINARIOS DE NAYARIT POR ESTADO DE LA UNIÓN AMERICANA</t>
  </si>
  <si>
    <t>LOS 10 CONSULADOS  DE MÉXICO EN EE.UU., CON MAYOR NÚMERO DE EXPEDICIÓN DE  MATRÍCULAS CONSULARES DE ALTA SEGURIDAD A ORIGINARIOS DE NAYARIT</t>
  </si>
  <si>
    <t>TOTAL TOP 10</t>
  </si>
  <si>
    <t>TOTAL GENERAL</t>
  </si>
  <si>
    <t>Elaborado por: Análisis de Información, Instituto de Mexicanas y Mexicanos en el Exterior</t>
  </si>
  <si>
    <t>LOS ANGELES</t>
  </si>
  <si>
    <t>FRESNO</t>
  </si>
  <si>
    <t>SAN BERNARDINO</t>
  </si>
  <si>
    <t>LAS VEGAS</t>
  </si>
  <si>
    <t>SACRAMENTO</t>
  </si>
  <si>
    <t>SANTA ANA</t>
  </si>
  <si>
    <t>SAN JOSE</t>
  </si>
  <si>
    <t>SAN DIEGO</t>
  </si>
  <si>
    <t>CHICAGO</t>
  </si>
  <si>
    <t>PHOENIX</t>
  </si>
  <si>
    <t>DENVER</t>
  </si>
  <si>
    <t>RALEIGH</t>
  </si>
  <si>
    <t>SAINT PAUL</t>
  </si>
  <si>
    <t>BOISE</t>
  </si>
  <si>
    <t>SAN FRANCISCO</t>
  </si>
  <si>
    <t>DALLAS</t>
  </si>
  <si>
    <t>ATLANTA</t>
  </si>
  <si>
    <t>PORTLAND</t>
  </si>
  <si>
    <t>SALT LAKE CITY</t>
  </si>
  <si>
    <t>HOUSTON</t>
  </si>
  <si>
    <t>ORLANDO</t>
  </si>
  <si>
    <t>OXNARD</t>
  </si>
  <si>
    <t>INDIANAPOLIS</t>
  </si>
  <si>
    <t>KANSAS CITY</t>
  </si>
  <si>
    <t>LITTLE ROCK</t>
  </si>
  <si>
    <t>SEATTLE</t>
  </si>
  <si>
    <t>OKLAHOMA CITY</t>
  </si>
  <si>
    <t>OMAHA</t>
  </si>
  <si>
    <t>DETROIT</t>
  </si>
  <si>
    <t>FILADELFIA</t>
  </si>
  <si>
    <t>AUSTIN</t>
  </si>
  <si>
    <t>MILWAUKEE</t>
  </si>
  <si>
    <t>WASHINGTON</t>
  </si>
  <si>
    <t>TUCSON</t>
  </si>
  <si>
    <t>ALBUQUERQUE</t>
  </si>
  <si>
    <t>MCALLEN</t>
  </si>
  <si>
    <t>MIAMI</t>
  </si>
  <si>
    <t>NUEVA ORLEANS</t>
  </si>
  <si>
    <t>NUEVA YORK</t>
  </si>
  <si>
    <t>SAN ANTONIO</t>
  </si>
  <si>
    <t>EL PASO</t>
  </si>
  <si>
    <t>YUMA</t>
  </si>
  <si>
    <t>CALEXICO</t>
  </si>
  <si>
    <t>BROWNSVILLE</t>
  </si>
  <si>
    <t>LAREDO</t>
  </si>
  <si>
    <t>BOSTON</t>
  </si>
  <si>
    <t>NEW BRUNSWICK</t>
  </si>
  <si>
    <t>NOGALES</t>
  </si>
  <si>
    <t>DOUGLAS</t>
  </si>
  <si>
    <t>PRESIDIO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</si>
  <si>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</si>
  <si>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</si>
  <si>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</si>
  <si>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</si>
  <si>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</si>
  <si>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</si>
  <si>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</si>
  <si>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</si>
  <si>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</si>
  <si>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</si>
  <si>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</si>
  <si>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</si>
  <si>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</si>
  <si>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</si>
  <si>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</si>
  <si>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</si>
  <si>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</si>
  <si>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</si>
  <si>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</si>
  <si>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</si>
  <si>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</si>
  <si>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</si>
  <si>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</si>
  <si>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</si>
  <si>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</si>
  <si>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</si>
  <si>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</si>
  <si>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</si>
  <si>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</si>
  <si>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</si>
  <si>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</si>
  <si>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</si>
  <si>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</si>
  <si>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</si>
  <si>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</si>
  <si>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</si>
  <si>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</si>
  <si>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</si>
  <si>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</si>
  <si>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</si>
  <si>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</si>
  <si>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</si>
  <si>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</si>
  <si>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</si>
  <si>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</si>
  <si>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</si>
  <si>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ACAPONETA</t>
  </si>
  <si>
    <t>AMATLÁN DE CAÑAS</t>
  </si>
  <si>
    <t>JALA</t>
  </si>
  <si>
    <t>LA YESCA</t>
  </si>
  <si>
    <t>SANTA MARÍA DEL ORO</t>
  </si>
  <si>
    <t>SANTIAGO IXCUINTLA</t>
  </si>
  <si>
    <t>TECUALA</t>
  </si>
  <si>
    <t>TEPIC</t>
  </si>
  <si>
    <t>TUXPAN</t>
  </si>
  <si>
    <t>AHUACATLÁN</t>
  </si>
  <si>
    <t>BAHÍA DE BANDERAS</t>
  </si>
  <si>
    <t>COMPOSTELA</t>
  </si>
  <si>
    <t>DEL NAYAR</t>
  </si>
  <si>
    <t>HUAJICORI</t>
  </si>
  <si>
    <t>IXTLÁN DEL RÍO</t>
  </si>
  <si>
    <t>ROSAMORADA</t>
  </si>
  <si>
    <t>RUÍZ</t>
  </si>
  <si>
    <t>SAN BLAS</t>
  </si>
  <si>
    <t>XALISCO</t>
  </si>
  <si>
    <t>SAN PEDRO LAGUNILLAS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</si>
  <si>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</si>
  <si>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</si>
  <si>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</si>
  <si>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</si>
  <si>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</si>
  <si>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</si>
  <si>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</si>
  <si>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</si>
  <si>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</si>
  <si>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</si>
  <si>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</si>
  <si>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</si>
  <si>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</si>
  <si>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</si>
  <si>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</si>
  <si>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</si>
  <si>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</si>
  <si>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</si>
  <si>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</si>
  <si>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</si>
  <si>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</si>
  <si>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</si>
  <si>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</si>
  <si>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</si>
  <si>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</si>
  <si>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</si>
  <si>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</si>
  <si>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</si>
  <si>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ENTRE 11 Y 17 AÑOS</t>
  </si>
  <si>
    <t>EMPLEADO(A)</t>
  </si>
  <si>
    <t>HOGAR</t>
  </si>
  <si>
    <t>CONSTRUCCIÓN, TRAB. DE LA IND. DE LA</t>
  </si>
  <si>
    <t>OBRERO(A)</t>
  </si>
  <si>
    <t>AGROPECUARIA, TRAB. DE LA INDUSTRIA</t>
  </si>
  <si>
    <t>ESTUDIANTE</t>
  </si>
  <si>
    <t>ALIMENTOS Y BEBIDAS, ESP. EN PREPARACIÓN DE</t>
  </si>
  <si>
    <t>JARDINERO(A)</t>
  </si>
  <si>
    <t>PINTOR(A)</t>
  </si>
  <si>
    <t>LIMPIEZA, EMPLEADO DE</t>
  </si>
  <si>
    <t>CARPINTERO/TAPICERO</t>
  </si>
  <si>
    <t>JUBILADO(A)/PENSIONADO(A)</t>
  </si>
  <si>
    <t>SIN ESPECIFICAR</t>
  </si>
  <si>
    <t>MECÁNICO(A)</t>
  </si>
  <si>
    <t>DESEMPLEADO</t>
  </si>
  <si>
    <t>VENDEDOR(A)</t>
  </si>
  <si>
    <t>OPERARIO(A)</t>
  </si>
  <si>
    <t>CAJERO(A)/COBRADOR(A)</t>
  </si>
  <si>
    <t>CHOFER</t>
  </si>
  <si>
    <t>MESERO(A)</t>
  </si>
  <si>
    <t>EMPRESARIO(A)</t>
  </si>
  <si>
    <t>PROFESIONISTA</t>
  </si>
  <si>
    <t>SOLDADOR</t>
  </si>
  <si>
    <t>DISCAPACITADO</t>
  </si>
  <si>
    <t>ENFERMERO(A)/TRAB. DE APOYO EN SALUD</t>
  </si>
  <si>
    <t>CARNICERO(A)</t>
  </si>
  <si>
    <t>TÉCNICO(A) EN MANTENIMIENTO</t>
  </si>
  <si>
    <t>AEROCOMERCIAL, TRAB. DE LA INDUSTRIA</t>
  </si>
  <si>
    <t>BELLEZA, PROFESIONAL DE SERVICIOS DE</t>
  </si>
  <si>
    <t>ADMINISTRADOR(A)/CONTADOR(A)</t>
  </si>
  <si>
    <t>ARTISTA INTERPRETATIVO(A)</t>
  </si>
  <si>
    <t>TRABAJADOR(A) DOMÉSTICO(A)</t>
  </si>
  <si>
    <t>AUXILIARES ADMINISTRATIVOS Y DE OFICINA</t>
  </si>
  <si>
    <t>GERENTE/DIRECTOR(A)</t>
  </si>
  <si>
    <t>PROFESIONAL TÉCNICO</t>
  </si>
  <si>
    <t>PROFESOR(A)</t>
  </si>
  <si>
    <t>SUPERVISOR(A)</t>
  </si>
  <si>
    <t>COMERCIANTE</t>
  </si>
  <si>
    <t>OTRO</t>
  </si>
  <si>
    <t>MATRÍCULAS CONSULARES EXPEDIDAS A ORIGINARIOS DE NAYARIT POR GÉNERO Y EDAD                          EN EE.UU.</t>
  </si>
  <si>
    <t>MATRÍCULAS CONSULARES EXPEDIDAS EN EE.UU. ORIGINARIOS DE NAYARIT 
POR PERFIL OCUPACIONAL</t>
  </si>
  <si>
    <t>Tamaño de la muestra: 808,027</t>
  </si>
  <si>
    <t>NO BINARIO</t>
  </si>
  <si>
    <t>RHODE ISLAND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</si>
  <si>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</si>
  <si>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</si>
  <si>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</si>
  <si>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</si>
  <si>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</si>
  <si>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</si>
  <si>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</si>
  <si>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</si>
  <si>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</si>
  <si>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</si>
  <si>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</si>
  <si>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</si>
  <si>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</si>
  <si>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</si>
  <si>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MENORES DE EDAD</t>
  </si>
  <si>
    <t>POSGRADO [DOCTORADO]</t>
  </si>
  <si>
    <t xml:space="preserve">FEMENINO  </t>
  </si>
  <si>
    <t xml:space="preserve">MASCULINO  </t>
  </si>
  <si>
    <t xml:space="preserve">NO BINARIO  </t>
  </si>
  <si>
    <t xml:space="preserve">FEMENINO </t>
  </si>
  <si>
    <t>INGENIERO(A)</t>
  </si>
  <si>
    <t>CONSULTOR</t>
  </si>
  <si>
    <t>EXTRACCIÓN, TRAB. DE LA INDUSTRIA DE LA</t>
  </si>
  <si>
    <t>FOTÓGRAFO(A)</t>
  </si>
  <si>
    <t>HOJALATERO</t>
  </si>
  <si>
    <t>MISIONERO(A)</t>
  </si>
  <si>
    <t>MODISTA/SASTRE</t>
  </si>
  <si>
    <t>ODONTÓLOGO(A)</t>
  </si>
  <si>
    <t>EL PASO TOTAL</t>
  </si>
  <si>
    <t>NUEVA ORLEANS TOTAL</t>
  </si>
  <si>
    <t>TOTAL</t>
  </si>
  <si>
    <t>Junio de 2025</t>
  </si>
  <si>
    <t xml:space="preserve">TOTAL </t>
  </si>
  <si>
    <t xml:space="preserve"> TOTAL</t>
  </si>
  <si>
    <t xml:space="preserve"> TOTAL </t>
  </si>
  <si>
    <t>Juniode 2025</t>
  </si>
  <si>
    <t xml:space="preserve">  Matrículas consulares expedidas a originarios de Nayarit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</si>
</sst>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9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b/>
      <sz val="11"/>
      <name val="Arial Narrow"/>
      <family val="2"/>
    </font>
    <font>
      <sz val="8"/>
      <color theme="1"/>
      <name val="Soberana Sans"/>
      <family val="3"/>
    </font>
    <font>
      <b/>
      <sz val="12"/>
      <color theme="0"/>
      <name val="Montserrat"/>
    </font>
    <font>
      <u/>
      <sz val="12"/>
      <color theme="10"/>
      <name val="Montserrat"/>
    </font>
    <font>
      <sz val="12"/>
      <color theme="1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8"/>
      <color rgb="FF00000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b/>
      <sz val="9"/>
      <color rgb="FF000000"/>
      <name val="Noto Sans"/>
      <family val="2"/>
    </font>
    <font>
      <b/>
      <sz val="8"/>
      <color theme="0"/>
      <name val="Noto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3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5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2" fillId="0" borderId="4" xfId="0" applyFont="1" applyBorder="1"/>
    <xf numFmtId="0" fontId="13" fillId="0" borderId="0" xfId="0" applyFont="1"/>
    <xf numFmtId="0" fontId="15" fillId="0" borderId="0" xfId="0" applyFont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5" fillId="3" borderId="0" xfId="0" applyFont="1" applyFill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8" fillId="3" borderId="0" xfId="0" applyFont="1" applyFill="1" applyAlignment="1">
      <alignment vertical="top"/>
    </xf>
    <xf numFmtId="3" fontId="15" fillId="3" borderId="0" xfId="0" applyNumberFormat="1" applyFont="1" applyFill="1"/>
    <xf numFmtId="49" fontId="16" fillId="4" borderId="9" xfId="0" applyNumberFormat="1" applyFont="1" applyFill="1" applyBorder="1" applyAlignment="1">
      <alignment vertical="center" wrapText="1"/>
    </xf>
    <xf numFmtId="3" fontId="16" fillId="4" borderId="9" xfId="0" applyNumberFormat="1" applyFont="1" applyFill="1" applyBorder="1" applyAlignment="1">
      <alignment horizontal="right" vertical="center" wrapText="1"/>
    </xf>
    <xf numFmtId="0" fontId="13" fillId="3" borderId="0" xfId="0" applyFont="1" applyFill="1" applyAlignment="1">
      <alignment vertical="center"/>
    </xf>
    <xf numFmtId="0" fontId="13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6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3" borderId="0" xfId="0" applyFont="1" applyFill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3" borderId="0" xfId="0" applyFont="1" applyFill="1"/>
    <xf numFmtId="0" fontId="23" fillId="3" borderId="12" xfId="0" applyFont="1" applyFill="1" applyBorder="1" applyAlignment="1">
      <alignment horizontal="center" vertical="distributed"/>
    </xf>
    <xf numFmtId="0" fontId="24" fillId="5" borderId="9" xfId="3" applyFont="1" applyFill="1" applyBorder="1" applyAlignment="1">
      <alignment horizontal="center" vertical="center" wrapText="1"/>
    </xf>
    <xf numFmtId="3" fontId="13" fillId="3" borderId="0" xfId="0" applyNumberFormat="1" applyFont="1" applyFill="1"/>
    <xf numFmtId="164" fontId="17" fillId="6" borderId="0" xfId="0" applyNumberFormat="1" applyFont="1" applyFill="1" applyAlignment="1">
      <alignment horizontal="right" vertical="top" wrapText="1"/>
    </xf>
    <xf numFmtId="164" fontId="13" fillId="0" borderId="0" xfId="0" applyNumberFormat="1" applyFont="1" applyAlignment="1">
      <alignment horizontal="right" vertical="top" wrapText="1"/>
    </xf>
    <xf numFmtId="164" fontId="17" fillId="0" borderId="0" xfId="0" applyNumberFormat="1" applyFont="1" applyAlignment="1">
      <alignment horizontal="right" vertical="top" wrapText="1"/>
    </xf>
    <xf numFmtId="0" fontId="25" fillId="0" borderId="9" xfId="0" applyFont="1" applyBorder="1" applyAlignment="1">
      <alignment vertical="center" wrapText="1"/>
    </xf>
    <xf numFmtId="165" fontId="25" fillId="6" borderId="9" xfId="0" applyNumberFormat="1" applyFont="1" applyFill="1" applyBorder="1" applyAlignment="1">
      <alignment horizontal="right" vertical="top" wrapText="1"/>
    </xf>
    <xf numFmtId="164" fontId="25" fillId="6" borderId="9" xfId="0" applyNumberFormat="1" applyFont="1" applyFill="1" applyBorder="1" applyAlignment="1">
      <alignment horizontal="right" vertical="top" wrapText="1"/>
    </xf>
    <xf numFmtId="0" fontId="16" fillId="4" borderId="9" xfId="0" applyFont="1" applyFill="1" applyBorder="1" applyAlignment="1">
      <alignment vertical="center" wrapText="1"/>
    </xf>
    <xf numFmtId="165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49" fontId="26" fillId="0" borderId="9" xfId="0" applyNumberFormat="1" applyFont="1" applyBorder="1" applyAlignment="1">
      <alignment vertical="top" wrapText="1"/>
    </xf>
    <xf numFmtId="165" fontId="16" fillId="4" borderId="9" xfId="0" applyNumberFormat="1" applyFont="1" applyFill="1" applyBorder="1" applyAlignment="1">
      <alignment horizontal="left" vertical="top" wrapText="1"/>
    </xf>
    <xf numFmtId="0" fontId="26" fillId="3" borderId="9" xfId="0" applyFont="1" applyFill="1" applyBorder="1"/>
    <xf numFmtId="49" fontId="16" fillId="8" borderId="9" xfId="0" applyNumberFormat="1" applyFont="1" applyFill="1" applyBorder="1" applyAlignment="1">
      <alignment vertical="center" wrapText="1"/>
    </xf>
    <xf numFmtId="3" fontId="16" fillId="8" borderId="9" xfId="0" applyNumberFormat="1" applyFont="1" applyFill="1" applyBorder="1" applyAlignment="1">
      <alignment horizontal="right" vertical="center" wrapText="1"/>
    </xf>
    <xf numFmtId="0" fontId="25" fillId="6" borderId="9" xfId="0" applyFont="1" applyFill="1" applyBorder="1" applyAlignment="1">
      <alignment horizontal="right" vertical="center" wrapText="1"/>
    </xf>
    <xf numFmtId="10" fontId="25" fillId="6" borderId="9" xfId="0" applyNumberFormat="1" applyFont="1" applyFill="1" applyBorder="1" applyAlignment="1">
      <alignment horizontal="right" vertical="center" wrapText="1"/>
    </xf>
    <xf numFmtId="10" fontId="25" fillId="7" borderId="9" xfId="0" applyNumberFormat="1" applyFont="1" applyFill="1" applyBorder="1" applyAlignment="1">
      <alignment horizontal="right" vertical="center" wrapText="1"/>
    </xf>
    <xf numFmtId="0" fontId="16" fillId="8" borderId="9" xfId="0" applyFont="1" applyFill="1" applyBorder="1" applyAlignment="1">
      <alignment horizontal="right" vertical="center" wrapText="1"/>
    </xf>
    <xf numFmtId="10" fontId="16" fillId="8" borderId="9" xfId="0" applyNumberFormat="1" applyFont="1" applyFill="1" applyBorder="1" applyAlignment="1">
      <alignment horizontal="right" vertical="center" wrapText="1"/>
    </xf>
    <xf numFmtId="0" fontId="16" fillId="8" borderId="9" xfId="0" applyFont="1" applyFill="1" applyBorder="1" applyAlignment="1">
      <alignment vertical="center" wrapText="1"/>
    </xf>
    <xf numFmtId="0" fontId="16" fillId="4" borderId="9" xfId="0" applyFont="1" applyFill="1" applyBorder="1" applyAlignment="1">
      <alignment horizontal="right" vertical="center" wrapText="1"/>
    </xf>
    <xf numFmtId="10" fontId="16" fillId="4" borderId="9" xfId="0" applyNumberFormat="1" applyFont="1" applyFill="1" applyBorder="1" applyAlignment="1">
      <alignment horizontal="right" vertical="center" wrapText="1"/>
    </xf>
    <xf numFmtId="3" fontId="25" fillId="6" borderId="9" xfId="0" applyNumberFormat="1" applyFont="1" applyFill="1" applyBorder="1" applyAlignment="1">
      <alignment horizontal="right" vertical="center" wrapText="1"/>
    </xf>
    <xf numFmtId="164" fontId="16" fillId="8" borderId="9" xfId="0" applyNumberFormat="1" applyFont="1" applyFill="1" applyBorder="1" applyAlignment="1">
      <alignment horizontal="right" vertical="top" wrapText="1"/>
    </xf>
    <xf numFmtId="165" fontId="16" fillId="7" borderId="9" xfId="0" applyNumberFormat="1" applyFont="1" applyFill="1" applyBorder="1" applyAlignment="1">
      <alignment horizontal="right" vertical="top" wrapText="1"/>
    </xf>
    <xf numFmtId="164" fontId="16" fillId="7" borderId="9" xfId="0" applyNumberFormat="1" applyFont="1" applyFill="1" applyBorder="1" applyAlignment="1">
      <alignment horizontal="right" vertical="top" wrapText="1"/>
    </xf>
    <xf numFmtId="49" fontId="16" fillId="4" borderId="9" xfId="0" applyNumberFormat="1" applyFont="1" applyFill="1" applyBorder="1" applyAlignment="1">
      <alignment vertical="top" wrapText="1"/>
    </xf>
    <xf numFmtId="0" fontId="19" fillId="2" borderId="9" xfId="3" applyFont="1" applyFill="1" applyBorder="1" applyAlignment="1">
      <alignment horizontal="center" vertical="center" wrapText="1"/>
    </xf>
    <xf numFmtId="0" fontId="16" fillId="2" borderId="9" xfId="3" applyFont="1" applyFill="1" applyBorder="1" applyAlignment="1">
      <alignment horizontal="center" vertical="center" wrapText="1"/>
    </xf>
    <xf numFmtId="1" fontId="19" fillId="2" borderId="9" xfId="3" applyNumberFormat="1" applyFont="1" applyFill="1" applyBorder="1" applyAlignment="1">
      <alignment horizontal="center" vertical="center" wrapText="1"/>
    </xf>
    <xf numFmtId="0" fontId="17" fillId="0" borderId="9" xfId="0" applyFont="1" applyBorder="1" applyAlignment="1">
      <alignment vertical="center" wrapText="1"/>
    </xf>
    <xf numFmtId="0" fontId="17" fillId="6" borderId="9" xfId="0" applyFont="1" applyFill="1" applyBorder="1" applyAlignment="1">
      <alignment horizontal="right" vertical="center" wrapText="1"/>
    </xf>
    <xf numFmtId="10" fontId="17" fillId="6" borderId="9" xfId="0" applyNumberFormat="1" applyFont="1" applyFill="1" applyBorder="1" applyAlignment="1">
      <alignment horizontal="right" vertical="center" wrapText="1"/>
    </xf>
    <xf numFmtId="0" fontId="28" fillId="8" borderId="9" xfId="0" applyFont="1" applyFill="1" applyBorder="1" applyAlignment="1">
      <alignment vertical="center" wrapText="1"/>
    </xf>
    <xf numFmtId="0" fontId="28" fillId="8" borderId="9" xfId="0" applyFont="1" applyFill="1" applyBorder="1" applyAlignment="1">
      <alignment horizontal="right" vertical="center" wrapText="1"/>
    </xf>
    <xf numFmtId="10" fontId="28" fillId="8" borderId="9" xfId="0" applyNumberFormat="1" applyFont="1" applyFill="1" applyBorder="1" applyAlignment="1">
      <alignment horizontal="right" vertical="center" wrapText="1"/>
    </xf>
    <xf numFmtId="3" fontId="17" fillId="6" borderId="9" xfId="0" applyNumberFormat="1" applyFont="1" applyFill="1" applyBorder="1" applyAlignment="1">
      <alignment horizontal="right" vertical="center" wrapText="1"/>
    </xf>
    <xf numFmtId="0" fontId="28" fillId="4" borderId="9" xfId="0" applyFont="1" applyFill="1" applyBorder="1" applyAlignment="1">
      <alignment vertical="center" wrapText="1"/>
    </xf>
    <xf numFmtId="0" fontId="28" fillId="4" borderId="9" xfId="0" applyFont="1" applyFill="1" applyBorder="1" applyAlignment="1">
      <alignment horizontal="right" vertical="center" wrapText="1"/>
    </xf>
    <xf numFmtId="10" fontId="28" fillId="4" borderId="9" xfId="0" applyNumberFormat="1" applyFont="1" applyFill="1" applyBorder="1" applyAlignment="1">
      <alignment horizontal="right" vertical="center" wrapText="1"/>
    </xf>
    <xf numFmtId="0" fontId="24" fillId="5" borderId="10" xfId="3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vertical="center" wrapText="1"/>
    </xf>
    <xf numFmtId="165" fontId="16" fillId="8" borderId="9" xfId="0" applyNumberFormat="1" applyFont="1" applyFill="1" applyBorder="1" applyAlignment="1">
      <alignment horizontal="right" vertical="top" wrapText="1"/>
    </xf>
    <xf numFmtId="49" fontId="16" fillId="8" borderId="9" xfId="0" applyNumberFormat="1" applyFont="1" applyFill="1" applyBorder="1" applyAlignment="1">
      <alignment vertical="top" wrapText="1"/>
    </xf>
    <xf numFmtId="0" fontId="11" fillId="0" borderId="4" xfId="1" applyFont="1" applyBorder="1" applyAlignment="1">
      <alignment horizontal="left"/>
    </xf>
    <xf numFmtId="0" fontId="11" fillId="0" borderId="0" xfId="1" applyFont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1" fillId="0" borderId="5" xfId="1" applyFont="1" applyBorder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4" borderId="16" xfId="0" applyFont="1" applyFill="1" applyBorder="1" applyAlignment="1">
      <alignment vertical="center" wrapText="1"/>
    </xf>
    <xf numFmtId="0" fontId="16" fillId="4" borderId="17" xfId="0" applyFont="1" applyFill="1" applyBorder="1" applyAlignment="1">
      <alignment vertical="center" wrapText="1"/>
    </xf>
    <xf numFmtId="0" fontId="15" fillId="3" borderId="0" xfId="0" applyFont="1" applyFill="1" applyAlignment="1">
      <alignment horizontal="center" wrapText="1"/>
    </xf>
    <xf numFmtId="0" fontId="17" fillId="0" borderId="10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5" xfId="0" applyFont="1" applyFill="1" applyBorder="1" applyAlignment="1">
      <alignment horizontal="center" vertical="center" wrapText="1"/>
    </xf>
    <xf numFmtId="0" fontId="16" fillId="4" borderId="9" xfId="0" applyFont="1" applyFill="1" applyBorder="1" applyAlignment="1">
      <alignment horizontal="left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3" borderId="9" xfId="0" applyFont="1" applyFill="1" applyBorder="1" applyAlignment="1">
      <alignment horizontal="center" vertical="center" wrapText="1"/>
    </xf>
    <xf numFmtId="49" fontId="16" fillId="4" borderId="9" xfId="0" applyNumberFormat="1" applyFont="1" applyFill="1" applyBorder="1" applyAlignment="1">
      <alignment horizontal="left" vertical="top" wrapText="1"/>
    </xf>
    <xf numFmtId="49" fontId="26" fillId="0" borderId="9" xfId="0" applyNumberFormat="1" applyFont="1" applyBorder="1" applyAlignment="1">
      <alignment horizontal="left" vertical="top" wrapText="1"/>
    </xf>
    <xf numFmtId="49" fontId="26" fillId="0" borderId="10" xfId="0" applyNumberFormat="1" applyFont="1" applyBorder="1" applyAlignment="1">
      <alignment horizontal="center" vertical="center" wrapText="1"/>
    </xf>
    <xf numFmtId="49" fontId="26" fillId="0" borderId="14" xfId="0" applyNumberFormat="1" applyFont="1" applyBorder="1" applyAlignment="1">
      <alignment horizontal="center" vertical="center" wrapText="1"/>
    </xf>
    <xf numFmtId="49" fontId="26" fillId="0" borderId="15" xfId="0" applyNumberFormat="1" applyFont="1" applyBorder="1" applyAlignment="1">
      <alignment horizontal="center" vertical="center" wrapText="1"/>
    </xf>
    <xf numFmtId="3" fontId="27" fillId="7" borderId="9" xfId="0" applyNumberFormat="1" applyFont="1" applyFill="1" applyBorder="1" applyAlignment="1">
      <alignment horizontal="right" vertical="center" wrapText="1"/>
    </xf>
    <xf numFmtId="0" fontId="16" fillId="4" borderId="16" xfId="0" applyFont="1" applyFill="1" applyBorder="1" applyAlignment="1">
      <alignment horizontal="center" vertical="center" wrapText="1"/>
    </xf>
    <xf numFmtId="0" fontId="16" fillId="4" borderId="17" xfId="0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413466</xdr:colOff>
      <xdr:row>1</xdr:row>
      <xdr:rowOff>180667</xdr:rowOff>
    </xdr:from>
    <xdr:to>
      <xdr:col>3</xdr:col>
      <xdr:colOff>925563</xdr:colOff>
      <xdr:row>2</xdr:row>
      <xdr:rowOff>180667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9616" y="7140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173110</xdr:colOff>
      <xdr:row>1</xdr:row>
      <xdr:rowOff>124240</xdr:rowOff>
    </xdr:from>
    <xdr:to>
      <xdr:col>1</xdr:col>
      <xdr:colOff>1173235</xdr:colOff>
      <xdr:row>2</xdr:row>
      <xdr:rowOff>155617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1837DA5-D817-45E0-8C0F-0A7725ABD7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110" y="31474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405022</xdr:colOff>
      <xdr:row>1</xdr:row>
      <xdr:rowOff>66261</xdr:rowOff>
    </xdr:from>
    <xdr:to>
      <xdr:col>5</xdr:col>
      <xdr:colOff>224046</xdr:colOff>
      <xdr:row>3</xdr:row>
      <xdr:rowOff>153696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3FE9BDD-1920-42A2-80FC-AA29ACBE48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500" y="25676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4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200186</xdr:colOff>
      <xdr:row>2</xdr:row>
      <xdr:rowOff>18371</xdr:rowOff>
    </xdr:from>
    <xdr:to>
      <xdr:col>1</xdr:col>
      <xdr:colOff>1200311</xdr:colOff>
      <xdr:row>3</xdr:row>
      <xdr:rowOff>49748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133AD8A-EFB7-4170-9055-91CA867D40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186" y="399371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240005</xdr:colOff>
      <xdr:row>1</xdr:row>
      <xdr:rowOff>113621</xdr:rowOff>
    </xdr:from>
    <xdr:to>
      <xdr:col>5</xdr:col>
      <xdr:colOff>59029</xdr:colOff>
      <xdr:row>3</xdr:row>
      <xdr:rowOff>201056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752EFD3-DF78-4CF4-838A-93D8E1B37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72793" y="304121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193261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206240</xdr:colOff>
      <xdr:row>1</xdr:row>
      <xdr:rowOff>176697</xdr:rowOff>
    </xdr:from>
    <xdr:to>
      <xdr:col>1</xdr:col>
      <xdr:colOff>1206365</xdr:colOff>
      <xdr:row>3</xdr:row>
      <xdr:rowOff>17574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20F7EEC-94E1-43A7-9D0F-48C1754DF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40" y="36719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214522</xdr:colOff>
      <xdr:row>1</xdr:row>
      <xdr:rowOff>52456</xdr:rowOff>
    </xdr:from>
    <xdr:to>
      <xdr:col>5</xdr:col>
      <xdr:colOff>33546</xdr:colOff>
      <xdr:row>3</xdr:row>
      <xdr:rowOff>139891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CF46A96-0E09-4618-95DB-5C0538DB7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4000" y="24295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226391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187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7</xdr:row>
      <xdr:rowOff>180975</xdr:rowOff>
    </xdr:from>
    <xdr:to>
      <xdr:col>5</xdr:col>
      <xdr:colOff>131097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6725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164826</xdr:colOff>
      <xdr:row>1</xdr:row>
      <xdr:rowOff>127000</xdr:rowOff>
    </xdr:from>
    <xdr:to>
      <xdr:col>1</xdr:col>
      <xdr:colOff>1164951</xdr:colOff>
      <xdr:row>2</xdr:row>
      <xdr:rowOff>158377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35027DF-A822-4509-A253-3252EDA423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826" y="3175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239368</xdr:colOff>
      <xdr:row>1</xdr:row>
      <xdr:rowOff>27609</xdr:rowOff>
    </xdr:from>
    <xdr:to>
      <xdr:col>5</xdr:col>
      <xdr:colOff>58392</xdr:colOff>
      <xdr:row>3</xdr:row>
      <xdr:rowOff>115044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D731384-C89F-477E-9C92-E1577DB2AA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2868" y="2181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NAYARIT POR ESTADO EN EE.UU.</a:t>
          </a:r>
        </a:p>
      </xdr:txBody>
    </xdr:sp>
    <xdr:clientData/>
  </xdr:twoCellAnchor>
  <xdr:twoCellAnchor>
    <xdr:from>
      <xdr:col>4</xdr:col>
      <xdr:colOff>487325</xdr:colOff>
      <xdr:row>7</xdr:row>
      <xdr:rowOff>132907</xdr:rowOff>
    </xdr:from>
    <xdr:to>
      <xdr:col>4</xdr:col>
      <xdr:colOff>999422</xdr:colOff>
      <xdr:row>7</xdr:row>
      <xdr:rowOff>321192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7994" y="1871773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137734</xdr:colOff>
      <xdr:row>1</xdr:row>
      <xdr:rowOff>132578</xdr:rowOff>
    </xdr:from>
    <xdr:to>
      <xdr:col>2</xdr:col>
      <xdr:colOff>235055</xdr:colOff>
      <xdr:row>2</xdr:row>
      <xdr:rowOff>163955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51BEF7C-E384-4A4A-BA7E-34D7385F48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3995" y="28166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442241</xdr:colOff>
      <xdr:row>1</xdr:row>
      <xdr:rowOff>127218</xdr:rowOff>
    </xdr:from>
    <xdr:to>
      <xdr:col>4</xdr:col>
      <xdr:colOff>882461</xdr:colOff>
      <xdr:row>3</xdr:row>
      <xdr:rowOff>214653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E2ABA49-FC22-41E3-A3BE-61E525092F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5545" y="27630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NAYARIT EN LOS CONSULADOS DE MÉXICO EN EE.UU.</a:t>
          </a:r>
        </a:p>
      </xdr:txBody>
    </xdr:sp>
    <xdr:clientData/>
  </xdr:twoCellAnchor>
  <xdr:twoCellAnchor>
    <xdr:from>
      <xdr:col>4</xdr:col>
      <xdr:colOff>486171</xdr:colOff>
      <xdr:row>7</xdr:row>
      <xdr:rowOff>99219</xdr:rowOff>
    </xdr:from>
    <xdr:to>
      <xdr:col>4</xdr:col>
      <xdr:colOff>998268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29609" y="1835547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210670</xdr:colOff>
      <xdr:row>1</xdr:row>
      <xdr:rowOff>172334</xdr:rowOff>
    </xdr:from>
    <xdr:to>
      <xdr:col>2</xdr:col>
      <xdr:colOff>307991</xdr:colOff>
      <xdr:row>3</xdr:row>
      <xdr:rowOff>13211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F8423C6-40F6-4828-B3B1-127ACEE2EB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345" y="3247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513789</xdr:colOff>
      <xdr:row>1</xdr:row>
      <xdr:rowOff>100055</xdr:rowOff>
    </xdr:from>
    <xdr:to>
      <xdr:col>4</xdr:col>
      <xdr:colOff>954009</xdr:colOff>
      <xdr:row>3</xdr:row>
      <xdr:rowOff>183008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AF3F1B9-7DC3-445E-A988-7CE8F087FF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1664" y="252455"/>
          <a:ext cx="440220" cy="4639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574261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138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1184965</xdr:colOff>
      <xdr:row>8</xdr:row>
      <xdr:rowOff>49696</xdr:rowOff>
    </xdr:from>
    <xdr:to>
      <xdr:col>4</xdr:col>
      <xdr:colOff>487112</xdr:colOff>
      <xdr:row>8</xdr:row>
      <xdr:rowOff>240196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569226" y="1783522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90283</xdr:colOff>
      <xdr:row>1</xdr:row>
      <xdr:rowOff>11044</xdr:rowOff>
    </xdr:from>
    <xdr:to>
      <xdr:col>1</xdr:col>
      <xdr:colOff>1090408</xdr:colOff>
      <xdr:row>2</xdr:row>
      <xdr:rowOff>42421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248129A-0F55-4411-A127-C726025BEB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83" y="20154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1125607</xdr:colOff>
      <xdr:row>0</xdr:row>
      <xdr:rowOff>184978</xdr:rowOff>
    </xdr:from>
    <xdr:to>
      <xdr:col>4</xdr:col>
      <xdr:colOff>381414</xdr:colOff>
      <xdr:row>3</xdr:row>
      <xdr:rowOff>81913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B61039F-3326-452F-B863-B677BBB0BF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4890" y="1849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NAYARIT POR NIVEL DE EDUCACIÓN Y ESTADO EN EE.UU.</a:t>
          </a:r>
        </a:p>
      </xdr:txBody>
    </xdr:sp>
    <xdr:clientData/>
  </xdr:twoCellAnchor>
  <xdr:twoCellAnchor>
    <xdr:from>
      <xdr:col>4</xdr:col>
      <xdr:colOff>518948</xdr:colOff>
      <xdr:row>7</xdr:row>
      <xdr:rowOff>151086</xdr:rowOff>
    </xdr:from>
    <xdr:to>
      <xdr:col>4</xdr:col>
      <xdr:colOff>1031045</xdr:colOff>
      <xdr:row>7</xdr:row>
      <xdr:rowOff>341586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56638" y="18918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54908</xdr:colOff>
      <xdr:row>1</xdr:row>
      <xdr:rowOff>58034</xdr:rowOff>
    </xdr:from>
    <xdr:to>
      <xdr:col>2</xdr:col>
      <xdr:colOff>152229</xdr:colOff>
      <xdr:row>2</xdr:row>
      <xdr:rowOff>89411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E969C3C-9628-45BD-8AFE-1CA801126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143" y="21491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469526</xdr:colOff>
      <xdr:row>1</xdr:row>
      <xdr:rowOff>13210</xdr:rowOff>
    </xdr:from>
    <xdr:to>
      <xdr:col>4</xdr:col>
      <xdr:colOff>909746</xdr:colOff>
      <xdr:row>3</xdr:row>
      <xdr:rowOff>100645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31D82A8-783D-442F-A506-62D1F6204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8761" y="17009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NAYARIT POR CONSULADO Y NIVEL DE EDUCACIÓN EN EE.UU. </a:t>
          </a:r>
        </a:p>
      </xdr:txBody>
    </xdr:sp>
    <xdr:clientData/>
  </xdr:twoCellAnchor>
  <xdr:twoCellAnchor>
    <xdr:from>
      <xdr:col>4</xdr:col>
      <xdr:colOff>554005</xdr:colOff>
      <xdr:row>7</xdr:row>
      <xdr:rowOff>106914</xdr:rowOff>
    </xdr:from>
    <xdr:to>
      <xdr:col>4</xdr:col>
      <xdr:colOff>1066102</xdr:colOff>
      <xdr:row>7</xdr:row>
      <xdr:rowOff>301302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99872" y="1856404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54908</xdr:colOff>
      <xdr:row>1</xdr:row>
      <xdr:rowOff>58034</xdr:rowOff>
    </xdr:from>
    <xdr:to>
      <xdr:col>2</xdr:col>
      <xdr:colOff>152229</xdr:colOff>
      <xdr:row>2</xdr:row>
      <xdr:rowOff>89411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B81AC3E-F351-41C4-AA42-8EACCBA06D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143" y="21491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379878</xdr:colOff>
      <xdr:row>1</xdr:row>
      <xdr:rowOff>46828</xdr:rowOff>
    </xdr:from>
    <xdr:to>
      <xdr:col>4</xdr:col>
      <xdr:colOff>820098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123C755-D60D-4002-89CB-94A2146BC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68202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38100</xdr:rowOff>
    </xdr:from>
    <xdr:to>
      <xdr:col>5</xdr:col>
      <xdr:colOff>45372</xdr:colOff>
      <xdr:row>8</xdr:row>
      <xdr:rowOff>228600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81525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90283</xdr:colOff>
      <xdr:row>1</xdr:row>
      <xdr:rowOff>16566</xdr:rowOff>
    </xdr:from>
    <xdr:to>
      <xdr:col>1</xdr:col>
      <xdr:colOff>1090408</xdr:colOff>
      <xdr:row>2</xdr:row>
      <xdr:rowOff>47943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21C3065-1ACC-427B-9A32-917CAA3E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83" y="20706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380173</xdr:colOff>
      <xdr:row>1</xdr:row>
      <xdr:rowOff>49696</xdr:rowOff>
    </xdr:from>
    <xdr:to>
      <xdr:col>5</xdr:col>
      <xdr:colOff>199197</xdr:colOff>
      <xdr:row>3</xdr:row>
      <xdr:rowOff>137131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CF22744-70D6-4C5E-9E61-BEDAD691B5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1" y="2401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125829</xdr:rowOff>
    </xdr:from>
    <xdr:to>
      <xdr:col>1</xdr:col>
      <xdr:colOff>1659421</xdr:colOff>
      <xdr:row>2</xdr:row>
      <xdr:rowOff>14331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1B27B43-72F3-4809-ADB8-4E6CA9692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58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495300</xdr:colOff>
      <xdr:row>0</xdr:row>
      <xdr:rowOff>116304</xdr:rowOff>
    </xdr:from>
    <xdr:to>
      <xdr:col>4</xdr:col>
      <xdr:colOff>935520</xdr:colOff>
      <xdr:row>3</xdr:row>
      <xdr:rowOff>60864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49E287-EB8E-45AC-B268-AC18F16AE5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163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135354</xdr:rowOff>
    </xdr:from>
    <xdr:to>
      <xdr:col>1</xdr:col>
      <xdr:colOff>1649896</xdr:colOff>
      <xdr:row>2</xdr:row>
      <xdr:rowOff>23856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892D63-C2B2-46CF-89CA-09A5AABA8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" y="1353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514350</xdr:colOff>
      <xdr:row>0</xdr:row>
      <xdr:rowOff>97254</xdr:rowOff>
    </xdr:from>
    <xdr:to>
      <xdr:col>4</xdr:col>
      <xdr:colOff>954570</xdr:colOff>
      <xdr:row>3</xdr:row>
      <xdr:rowOff>41814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D5A9FA2-FBB7-41DD-9BE7-74195F85B5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972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1118037</xdr:colOff>
      <xdr:row>8</xdr:row>
      <xdr:rowOff>156780</xdr:rowOff>
    </xdr:from>
    <xdr:to>
      <xdr:col>6</xdr:col>
      <xdr:colOff>237295</xdr:colOff>
      <xdr:row>9</xdr:row>
      <xdr:rowOff>156780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34587" y="1680780"/>
          <a:ext cx="528958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125829</xdr:rowOff>
    </xdr:from>
    <xdr:to>
      <xdr:col>2</xdr:col>
      <xdr:colOff>611671</xdr:colOff>
      <xdr:row>2</xdr:row>
      <xdr:rowOff>14331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05CE3CF-3C68-497C-A6F7-F97151C859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58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828675</xdr:colOff>
      <xdr:row>0</xdr:row>
      <xdr:rowOff>97254</xdr:rowOff>
    </xdr:from>
    <xdr:to>
      <xdr:col>5</xdr:col>
      <xdr:colOff>1268895</xdr:colOff>
      <xdr:row>3</xdr:row>
      <xdr:rowOff>41814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02FE3EB-49E7-4FC4-895A-0EB5E74D5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0" y="972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1181652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41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NAYARIT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638312</xdr:colOff>
      <xdr:row>8</xdr:row>
      <xdr:rowOff>143566</xdr:rowOff>
    </xdr:from>
    <xdr:to>
      <xdr:col>3</xdr:col>
      <xdr:colOff>1177328</xdr:colOff>
      <xdr:row>8</xdr:row>
      <xdr:rowOff>334066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55747" y="1877392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38100</xdr:rowOff>
    </xdr:from>
    <xdr:to>
      <xdr:col>1</xdr:col>
      <xdr:colOff>1106971</xdr:colOff>
      <xdr:row>2</xdr:row>
      <xdr:rowOff>69477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6659607-E658-4F55-A995-E8292C91F2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2286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571501</xdr:colOff>
      <xdr:row>1</xdr:row>
      <xdr:rowOff>78961</xdr:rowOff>
    </xdr:from>
    <xdr:to>
      <xdr:col>3</xdr:col>
      <xdr:colOff>1011721</xdr:colOff>
      <xdr:row>3</xdr:row>
      <xdr:rowOff>166396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620C52C-0A2D-4CBA-85BB-3B77166B7A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8326" y="26946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A2" sqref="A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00" t="s">
        <v>271</v>
      </c>
      <c r="B1" s="101"/>
      <c r="C1" s="101"/>
      <c r="D1" s="102"/>
    </row>
    <row r="2" spans="1:4">
      <c r="A2" s="2"/>
      <c r="B2" s="3"/>
      <c r="C2" s="3"/>
      <c r="D2" s="4"/>
    </row>
    <row r="3" spans="1:4">
      <c r="A3" s="103" t="s">
        <v>0</v>
      </c>
      <c r="B3" s="104"/>
      <c r="C3" s="104"/>
      <c r="D3" s="105"/>
    </row>
    <row r="4" spans="1:4">
      <c r="A4" s="103"/>
      <c r="B4" s="104"/>
      <c r="C4" s="104"/>
      <c r="D4" s="105"/>
    </row>
    <row r="5" spans="1:4">
      <c r="A5" s="5"/>
      <c r="B5" s="6"/>
      <c r="C5" s="6"/>
      <c r="D5" s="7"/>
    </row>
    <row r="6" spans="1:4" ht="18.75">
      <c r="A6" s="98" t="s">
        <v>1</v>
      </c>
      <c r="B6" s="99"/>
      <c r="C6" s="99"/>
      <c r="D6" s="106"/>
    </row>
    <row r="7" spans="1:4">
      <c r="A7" s="8"/>
      <c r="D7" s="9"/>
    </row>
    <row r="8" spans="1:4" ht="18.75">
      <c r="A8" s="98" t="s">
        <v>2</v>
      </c>
      <c r="B8" s="99"/>
      <c r="C8" s="99"/>
      <c r="D8" s="106"/>
    </row>
    <row r="9" spans="1:4" ht="18.75">
      <c r="A9" s="8"/>
      <c r="B9" s="98" t="s">
        <v>3</v>
      </c>
      <c r="C9" s="99"/>
      <c r="D9" s="99"/>
    </row>
    <row r="10" spans="1:4">
      <c r="A10" s="8"/>
      <c r="D10" s="9"/>
    </row>
    <row r="11" spans="1:4" ht="18.75">
      <c r="A11" s="28" t="s">
        <v>4</v>
      </c>
      <c r="D11" s="9"/>
    </row>
    <row r="12" spans="1:4" ht="18.75">
      <c r="A12" s="8"/>
      <c r="B12" s="98" t="s">
        <v>5</v>
      </c>
      <c r="C12" s="99"/>
      <c r="D12" s="99"/>
    </row>
    <row r="13" spans="1:4" ht="18.75">
      <c r="A13" s="8"/>
      <c r="B13" s="98" t="s">
        <v>6</v>
      </c>
      <c r="C13" s="99"/>
      <c r="D13" s="99"/>
    </row>
    <row r="14" spans="1:4" ht="18.75">
      <c r="A14" s="8"/>
      <c r="B14" s="98" t="s">
        <v>7</v>
      </c>
      <c r="C14" s="99"/>
      <c r="D14" s="99"/>
    </row>
    <row r="15" spans="1:4">
      <c r="A15" s="8"/>
      <c r="D15" s="9"/>
    </row>
    <row r="16" spans="1:4" ht="18.75">
      <c r="A16" s="28" t="s">
        <v>8</v>
      </c>
      <c r="D16" s="9"/>
    </row>
    <row r="17" spans="1:4" ht="18.75">
      <c r="A17" s="8"/>
      <c r="B17" s="98" t="s">
        <v>9</v>
      </c>
      <c r="C17" s="99"/>
      <c r="D17" s="99"/>
    </row>
    <row r="18" spans="1:4" ht="18.75">
      <c r="A18" s="8"/>
      <c r="B18" s="98" t="s">
        <v>10</v>
      </c>
      <c r="C18" s="99"/>
      <c r="D18" s="99"/>
    </row>
    <row r="19" spans="1:4" ht="18.75">
      <c r="A19" s="8"/>
      <c r="B19" s="98" t="s">
        <v>11</v>
      </c>
      <c r="C19" s="99"/>
      <c r="D19" s="99"/>
    </row>
    <row r="20" spans="1:4">
      <c r="A20" s="8"/>
      <c r="D20" s="9"/>
    </row>
    <row r="21" spans="1:4" ht="18.75">
      <c r="A21" s="28" t="s">
        <v>12</v>
      </c>
      <c r="D21" s="9"/>
    </row>
    <row r="22" spans="1:4" ht="18.75">
      <c r="A22" s="8"/>
      <c r="B22" s="98" t="s">
        <v>13</v>
      </c>
      <c r="C22" s="99"/>
      <c r="D22" s="99"/>
    </row>
    <row r="23" spans="1:4" ht="18.75">
      <c r="A23" s="8"/>
      <c r="B23" s="98" t="s">
        <v>14</v>
      </c>
      <c r="C23" s="99"/>
      <c r="D23" s="99"/>
    </row>
    <row r="24" spans="1:4" ht="18.75">
      <c r="A24" s="8"/>
      <c r="B24" s="98" t="s">
        <v>34</v>
      </c>
      <c r="C24" s="99"/>
      <c r="D24" s="99"/>
    </row>
    <row r="25" spans="1:4">
      <c r="A25" s="8"/>
      <c r="D25" s="9"/>
    </row>
    <row r="26" spans="1:4" ht="18.75">
      <c r="A26" s="98" t="s">
        <v>15</v>
      </c>
      <c r="B26" s="99"/>
      <c r="C26" s="99"/>
      <c r="D26" s="106"/>
    </row>
    <row r="27" spans="1:4">
      <c r="A27" s="8"/>
      <c r="D27" s="9"/>
    </row>
    <row r="28" spans="1:4" ht="18.75">
      <c r="A28" s="98" t="s">
        <v>16</v>
      </c>
      <c r="B28" s="99"/>
      <c r="C28" s="99"/>
      <c r="D28" s="106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Nayarit_USAMuni!A1" display="3.2 Por Estado de USA" xr:uid="{00000000-0004-0000-0000-00000D000000}"/>
    <hyperlink ref="A8:D8" location="Nayarit_Cons!A1" display="2. Por Circunscripción Consular" xr:uid="{00000000-0004-0000-0000-00000E000000}"/>
    <hyperlink ref="B9:D9" location="NayaritXCons!A1" display="2.1 Top ten por circunscripción consular" xr:uid="{00000000-0004-0000-0000-00000F000000}"/>
    <hyperlink ref="A6:D6" location="Nayarit_EdoUsa!A1" display="1. Por Estados de USA" xr:uid="{00000000-0004-0000-0000-000010000000}"/>
    <hyperlink ref="B12:D12" location="Nayarit_EdoMun!A1" display="3.1 Municipio general" xr:uid="{00000000-0004-0000-0000-000011000000}"/>
    <hyperlink ref="B14:D14" location="Nayarit_MUNICIPIO!A1" display="3.3 Por Circunscripción Consular" xr:uid="{00000000-0004-0000-0000-000012000000}"/>
    <hyperlink ref="B17:D17" location="Nayarit_educ_gral!A1" display="4.1 Educación general" xr:uid="{00000000-0004-0000-0000-000013000000}"/>
    <hyperlink ref="B18:D18" location="Nayarit_NivelE_Cons!A1" display="4.2 Por Estado de USA" xr:uid="{00000000-0004-0000-0000-000014000000}"/>
    <hyperlink ref="B19:D19" location="Nayarit_EducCons!A1" display="4.3 Por Circunscripción Consular" xr:uid="{00000000-0004-0000-0000-000015000000}"/>
    <hyperlink ref="B22:D22" location="Nayarit_GenGral!A1" display="5.1 Género General" xr:uid="{00000000-0004-0000-0000-000016000000}"/>
    <hyperlink ref="B23:D23" location="Nayarit_GENERO!A1" display="5.2 Por Circunscripción Consular" xr:uid="{00000000-0004-0000-0000-000017000000}"/>
    <hyperlink ref="A26:D26" location="Nayarit_Gen_Edad!A1" display="6. Por estructura de Edad" xr:uid="{00000000-0004-0000-0000-000018000000}"/>
    <hyperlink ref="A28:D28" location="Nayarit_ocup_gral!A1" display="7. Por Ocupación" xr:uid="{00000000-0004-0000-0000-000019000000}"/>
    <hyperlink ref="B24" location="Nayarit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4"/>
  <sheetViews>
    <sheetView showGridLines="0" view="pageBreakPreview" zoomScale="115" zoomScaleNormal="100" zoomScaleSheetLayoutView="115" workbookViewId="0">
      <selection activeCell="B58" sqref="B58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107" t="s">
        <v>41</v>
      </c>
      <c r="C7" s="107"/>
      <c r="D7" s="107"/>
      <c r="E7" s="29"/>
      <c r="F7" s="29"/>
    </row>
    <row r="8" spans="1:6" s="15" customFormat="1" ht="15" customHeight="1">
      <c r="A8" s="29"/>
      <c r="B8" s="107"/>
      <c r="C8" s="107"/>
      <c r="D8" s="107"/>
      <c r="E8" s="29"/>
      <c r="F8" s="29"/>
    </row>
    <row r="9" spans="1:6" s="15" customFormat="1" ht="33" customHeight="1">
      <c r="A9" s="29"/>
      <c r="B9" s="107"/>
      <c r="C9" s="107"/>
      <c r="D9" s="107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0" customHeight="1">
      <c r="A11" s="29"/>
      <c r="B11" s="31" t="s">
        <v>21</v>
      </c>
      <c r="C11" s="32" t="s">
        <v>20</v>
      </c>
      <c r="D11" s="33" t="s">
        <v>19</v>
      </c>
      <c r="E11" s="29"/>
      <c r="F11" s="29"/>
    </row>
    <row r="12" spans="1:6" ht="16.5">
      <c r="A12" s="34"/>
      <c r="B12" s="57" t="s">
        <v>100</v>
      </c>
      <c r="C12" s="58">
        <v>5119</v>
      </c>
      <c r="D12" s="59">
        <v>0.61093209213510002</v>
      </c>
      <c r="E12" s="34"/>
      <c r="F12" s="34"/>
    </row>
    <row r="13" spans="1:6" ht="16.5">
      <c r="A13" s="34"/>
      <c r="B13" s="57" t="s">
        <v>122</v>
      </c>
      <c r="C13" s="58">
        <v>519</v>
      </c>
      <c r="D13" s="59">
        <v>6.1940565699963999E-2</v>
      </c>
      <c r="E13" s="34"/>
      <c r="F13" s="34"/>
    </row>
    <row r="14" spans="1:6" ht="16.5">
      <c r="A14" s="34"/>
      <c r="B14" s="57" t="s">
        <v>135</v>
      </c>
      <c r="C14" s="58">
        <v>317</v>
      </c>
      <c r="D14" s="59">
        <v>3.7832676930421E-2</v>
      </c>
      <c r="E14" s="34"/>
      <c r="F14" s="34"/>
    </row>
    <row r="15" spans="1:6" ht="16.5">
      <c r="A15" s="34"/>
      <c r="B15" s="57" t="s">
        <v>101</v>
      </c>
      <c r="C15" s="58">
        <v>260</v>
      </c>
      <c r="D15" s="59">
        <v>3.1029955841986E-2</v>
      </c>
      <c r="E15" s="34"/>
      <c r="F15" s="34"/>
    </row>
    <row r="16" spans="1:6" ht="16.5">
      <c r="A16" s="34"/>
      <c r="B16" s="57" t="s">
        <v>98</v>
      </c>
      <c r="C16" s="58">
        <v>245</v>
      </c>
      <c r="D16" s="59">
        <v>2.9239766081871E-2</v>
      </c>
      <c r="E16" s="34"/>
      <c r="F16" s="34"/>
    </row>
    <row r="17" spans="1:6" ht="16.5">
      <c r="A17" s="34"/>
      <c r="B17" s="57" t="s">
        <v>108</v>
      </c>
      <c r="C17" s="58">
        <v>212</v>
      </c>
      <c r="D17" s="59">
        <v>2.5301348609618999E-2</v>
      </c>
      <c r="E17" s="34"/>
      <c r="F17" s="34"/>
    </row>
    <row r="18" spans="1:6" ht="16.5">
      <c r="A18" s="34"/>
      <c r="B18" s="57" t="s">
        <v>126</v>
      </c>
      <c r="C18" s="58">
        <v>159</v>
      </c>
      <c r="D18" s="59">
        <v>1.8976011457214E-2</v>
      </c>
      <c r="E18" s="34"/>
      <c r="F18" s="34"/>
    </row>
    <row r="19" spans="1:6" ht="16.5">
      <c r="A19" s="34"/>
      <c r="B19" s="57" t="s">
        <v>136</v>
      </c>
      <c r="C19" s="58">
        <v>153</v>
      </c>
      <c r="D19" s="59">
        <v>1.8259935553169002E-2</v>
      </c>
      <c r="E19" s="34"/>
      <c r="F19" s="34"/>
    </row>
    <row r="20" spans="1:6" ht="16.5">
      <c r="A20" s="34"/>
      <c r="B20" s="57" t="s">
        <v>117</v>
      </c>
      <c r="C20" s="58">
        <v>121</v>
      </c>
      <c r="D20" s="59">
        <v>1.4440864064924E-2</v>
      </c>
      <c r="E20" s="34"/>
      <c r="F20" s="34"/>
    </row>
    <row r="21" spans="1:6" ht="16.5">
      <c r="A21" s="34"/>
      <c r="B21" s="57" t="s">
        <v>107</v>
      </c>
      <c r="C21" s="58">
        <v>114</v>
      </c>
      <c r="D21" s="59">
        <v>1.3605442176870999E-2</v>
      </c>
      <c r="E21" s="34"/>
      <c r="F21" s="34"/>
    </row>
    <row r="22" spans="1:6" ht="16.5">
      <c r="A22" s="34"/>
      <c r="B22" s="57" t="s">
        <v>130</v>
      </c>
      <c r="C22" s="58">
        <v>106</v>
      </c>
      <c r="D22" s="59">
        <v>1.2650674304810001E-2</v>
      </c>
      <c r="E22" s="34"/>
      <c r="F22" s="34"/>
    </row>
    <row r="23" spans="1:6" ht="16.5">
      <c r="A23" s="34"/>
      <c r="B23" s="57" t="s">
        <v>78</v>
      </c>
      <c r="C23" s="58">
        <v>97</v>
      </c>
      <c r="D23" s="59">
        <v>1.1576560448741001E-2</v>
      </c>
      <c r="E23" s="34"/>
      <c r="F23" s="34"/>
    </row>
    <row r="24" spans="1:6" ht="16.5">
      <c r="A24" s="34"/>
      <c r="B24" s="57" t="s">
        <v>105</v>
      </c>
      <c r="C24" s="58">
        <v>89</v>
      </c>
      <c r="D24" s="59">
        <v>1.062179257668E-2</v>
      </c>
      <c r="E24" s="34"/>
      <c r="F24" s="34"/>
    </row>
    <row r="25" spans="1:6" ht="16.5">
      <c r="A25" s="34"/>
      <c r="B25" s="57" t="s">
        <v>104</v>
      </c>
      <c r="C25" s="58">
        <v>81</v>
      </c>
      <c r="D25" s="59">
        <v>9.6670247046190001E-3</v>
      </c>
      <c r="E25" s="34"/>
      <c r="F25" s="34"/>
    </row>
    <row r="26" spans="1:6" ht="16.5">
      <c r="A26" s="34"/>
      <c r="B26" s="57" t="s">
        <v>129</v>
      </c>
      <c r="C26" s="58">
        <v>70</v>
      </c>
      <c r="D26" s="59">
        <v>8.3542188805349991E-3</v>
      </c>
      <c r="E26" s="34"/>
      <c r="F26" s="34"/>
    </row>
    <row r="27" spans="1:6" ht="16.5">
      <c r="A27" s="34"/>
      <c r="B27" s="57" t="s">
        <v>109</v>
      </c>
      <c r="C27" s="58">
        <v>64</v>
      </c>
      <c r="D27" s="59">
        <v>7.6381429764889996E-3</v>
      </c>
      <c r="E27" s="34"/>
      <c r="F27" s="34"/>
    </row>
    <row r="28" spans="1:6" ht="16.5">
      <c r="A28" s="34"/>
      <c r="B28" s="57" t="s">
        <v>134</v>
      </c>
      <c r="C28" s="58">
        <v>57</v>
      </c>
      <c r="D28" s="59">
        <v>6.8027210884350001E-3</v>
      </c>
      <c r="E28" s="34"/>
      <c r="F28" s="34"/>
    </row>
    <row r="29" spans="1:6" ht="16.5">
      <c r="A29" s="34"/>
      <c r="B29" s="57" t="s">
        <v>112</v>
      </c>
      <c r="C29" s="58">
        <v>55</v>
      </c>
      <c r="D29" s="59">
        <v>6.5640291204200002E-3</v>
      </c>
      <c r="E29" s="34"/>
      <c r="F29" s="34"/>
    </row>
    <row r="30" spans="1:6" ht="16.5">
      <c r="A30" s="34"/>
      <c r="B30" s="57" t="s">
        <v>132</v>
      </c>
      <c r="C30" s="58">
        <v>49</v>
      </c>
      <c r="D30" s="59">
        <v>5.8479532163739998E-3</v>
      </c>
      <c r="E30" s="34"/>
      <c r="F30" s="34"/>
    </row>
    <row r="31" spans="1:6" ht="16.5">
      <c r="A31" s="34"/>
      <c r="B31" s="57" t="s">
        <v>137</v>
      </c>
      <c r="C31" s="58">
        <v>49</v>
      </c>
      <c r="D31" s="59">
        <v>5.8479532163739998E-3</v>
      </c>
      <c r="E31" s="34"/>
      <c r="F31" s="34"/>
    </row>
    <row r="32" spans="1:6" ht="16.5">
      <c r="A32" s="34"/>
      <c r="B32" s="57" t="s">
        <v>99</v>
      </c>
      <c r="C32" s="58">
        <v>41</v>
      </c>
      <c r="D32" s="59">
        <v>4.8931853443130004E-3</v>
      </c>
      <c r="E32" s="34"/>
      <c r="F32" s="34"/>
    </row>
    <row r="33" spans="1:6" ht="16.5">
      <c r="A33" s="34"/>
      <c r="B33" s="57" t="s">
        <v>121</v>
      </c>
      <c r="C33" s="58">
        <v>41</v>
      </c>
      <c r="D33" s="59">
        <v>4.8931853443130004E-3</v>
      </c>
      <c r="E33" s="34"/>
      <c r="F33" s="34"/>
    </row>
    <row r="34" spans="1:6" ht="16.5">
      <c r="A34" s="34"/>
      <c r="B34" s="57" t="s">
        <v>138</v>
      </c>
      <c r="C34" s="58">
        <v>41</v>
      </c>
      <c r="D34" s="59">
        <v>4.8931853443130004E-3</v>
      </c>
      <c r="E34" s="34"/>
      <c r="F34" s="34"/>
    </row>
    <row r="35" spans="1:6" ht="16.5">
      <c r="A35" s="34"/>
      <c r="B35" s="57" t="s">
        <v>111</v>
      </c>
      <c r="C35" s="58">
        <v>39</v>
      </c>
      <c r="D35" s="59">
        <v>4.6544933762979997E-3</v>
      </c>
      <c r="E35" s="34"/>
      <c r="F35" s="34"/>
    </row>
    <row r="36" spans="1:6" ht="16.5">
      <c r="A36" s="34"/>
      <c r="B36" s="57" t="s">
        <v>116</v>
      </c>
      <c r="C36" s="58">
        <v>39</v>
      </c>
      <c r="D36" s="59">
        <v>4.6544933762979997E-3</v>
      </c>
      <c r="E36" s="34"/>
      <c r="F36" s="34"/>
    </row>
    <row r="37" spans="1:6" ht="16.5">
      <c r="A37" s="34"/>
      <c r="B37" s="57" t="s">
        <v>128</v>
      </c>
      <c r="C37" s="58">
        <v>39</v>
      </c>
      <c r="D37" s="59">
        <v>4.6544933762979997E-3</v>
      </c>
      <c r="E37" s="34"/>
      <c r="F37" s="34"/>
    </row>
    <row r="38" spans="1:6" ht="16.5">
      <c r="A38" s="34"/>
      <c r="B38" s="57" t="s">
        <v>110</v>
      </c>
      <c r="C38" s="58">
        <v>31</v>
      </c>
      <c r="D38" s="59">
        <v>3.6997255042369999E-3</v>
      </c>
      <c r="E38" s="34"/>
      <c r="F38" s="34"/>
    </row>
    <row r="39" spans="1:6" ht="16.5">
      <c r="A39" s="34"/>
      <c r="B39" s="57" t="s">
        <v>131</v>
      </c>
      <c r="C39" s="58">
        <v>20</v>
      </c>
      <c r="D39" s="59">
        <v>2.3869196801529998E-3</v>
      </c>
      <c r="E39" s="34"/>
      <c r="F39" s="34"/>
    </row>
    <row r="40" spans="1:6" ht="16.5">
      <c r="A40" s="34"/>
      <c r="B40" s="57" t="s">
        <v>123</v>
      </c>
      <c r="C40" s="58">
        <v>19</v>
      </c>
      <c r="D40" s="59">
        <v>2.2675736961449999E-3</v>
      </c>
      <c r="E40" s="34"/>
      <c r="F40" s="34"/>
    </row>
    <row r="41" spans="1:6" ht="16.5">
      <c r="A41" s="34"/>
      <c r="B41" s="57" t="s">
        <v>119</v>
      </c>
      <c r="C41" s="58">
        <v>18</v>
      </c>
      <c r="D41" s="59">
        <v>2.1482277121369999E-3</v>
      </c>
      <c r="E41" s="34"/>
      <c r="F41" s="34"/>
    </row>
    <row r="42" spans="1:6" ht="16.5">
      <c r="A42" s="34"/>
      <c r="B42" s="57" t="s">
        <v>96</v>
      </c>
      <c r="C42" s="58">
        <v>17</v>
      </c>
      <c r="D42" s="59">
        <v>2.02888172813E-3</v>
      </c>
      <c r="E42" s="34"/>
      <c r="F42" s="34"/>
    </row>
    <row r="43" spans="1:6" ht="16.5">
      <c r="A43" s="34"/>
      <c r="B43" s="57" t="s">
        <v>113</v>
      </c>
      <c r="C43" s="58">
        <v>17</v>
      </c>
      <c r="D43" s="59">
        <v>2.02888172813E-3</v>
      </c>
      <c r="E43" s="34"/>
      <c r="F43" s="34"/>
    </row>
    <row r="44" spans="1:6" ht="16.5">
      <c r="A44" s="34"/>
      <c r="B44" s="57" t="s">
        <v>124</v>
      </c>
      <c r="C44" s="58">
        <v>17</v>
      </c>
      <c r="D44" s="59">
        <v>2.02888172813E-3</v>
      </c>
      <c r="E44" s="34"/>
      <c r="F44" s="34"/>
    </row>
    <row r="45" spans="1:6" ht="16.5">
      <c r="A45" s="34"/>
      <c r="B45" s="57" t="s">
        <v>125</v>
      </c>
      <c r="C45" s="58">
        <v>12</v>
      </c>
      <c r="D45" s="59">
        <v>1.432151808092E-3</v>
      </c>
      <c r="E45" s="34"/>
      <c r="F45" s="34"/>
    </row>
    <row r="46" spans="1:6" ht="16.5">
      <c r="A46" s="34"/>
      <c r="B46" s="57" t="s">
        <v>139</v>
      </c>
      <c r="C46" s="58">
        <v>10</v>
      </c>
      <c r="D46" s="59">
        <v>1.1934598400760001E-3</v>
      </c>
      <c r="E46" s="34"/>
      <c r="F46" s="34"/>
    </row>
    <row r="47" spans="1:6" ht="16.5">
      <c r="A47" s="34"/>
      <c r="B47" s="57" t="s">
        <v>103</v>
      </c>
      <c r="C47" s="58">
        <v>9</v>
      </c>
      <c r="D47" s="59">
        <v>1.074113856069E-3</v>
      </c>
      <c r="E47" s="34"/>
      <c r="F47" s="34"/>
    </row>
    <row r="48" spans="1:6" ht="16.5">
      <c r="A48" s="34"/>
      <c r="B48" s="57" t="s">
        <v>118</v>
      </c>
      <c r="C48" s="58">
        <v>8</v>
      </c>
      <c r="D48" s="59">
        <v>9.5476787206100005E-4</v>
      </c>
      <c r="E48" s="34"/>
      <c r="F48" s="34"/>
    </row>
    <row r="49" spans="1:6" ht="16.5">
      <c r="A49" s="34"/>
      <c r="B49" s="57" t="s">
        <v>106</v>
      </c>
      <c r="C49" s="58">
        <v>5</v>
      </c>
      <c r="D49" s="59">
        <v>5.9672992003800005E-4</v>
      </c>
      <c r="E49" s="34"/>
      <c r="F49" s="34"/>
    </row>
    <row r="50" spans="1:6" ht="16.5">
      <c r="A50" s="34"/>
      <c r="B50" s="57" t="s">
        <v>133</v>
      </c>
      <c r="C50" s="58">
        <v>4</v>
      </c>
      <c r="D50" s="59">
        <v>4.77383936031E-4</v>
      </c>
      <c r="E50" s="34"/>
      <c r="F50" s="34"/>
    </row>
    <row r="51" spans="1:6" ht="16.5">
      <c r="A51" s="34"/>
      <c r="B51" s="57" t="s">
        <v>102</v>
      </c>
      <c r="C51" s="58">
        <v>3</v>
      </c>
      <c r="D51" s="59">
        <v>3.58037952023E-4</v>
      </c>
      <c r="E51" s="34"/>
      <c r="F51" s="34"/>
    </row>
    <row r="52" spans="1:6" ht="16.5">
      <c r="A52" s="34"/>
      <c r="B52" s="57" t="s">
        <v>114</v>
      </c>
      <c r="C52" s="58">
        <v>3</v>
      </c>
      <c r="D52" s="59">
        <v>3.58037952023E-4</v>
      </c>
      <c r="E52" s="34"/>
      <c r="F52" s="34"/>
    </row>
    <row r="53" spans="1:6" ht="16.5">
      <c r="A53" s="34"/>
      <c r="B53" s="57" t="s">
        <v>97</v>
      </c>
      <c r="C53" s="58">
        <v>2</v>
      </c>
      <c r="D53" s="59">
        <v>2.3869196801499999E-4</v>
      </c>
      <c r="E53" s="34"/>
      <c r="F53" s="34"/>
    </row>
    <row r="54" spans="1:6" ht="16.5">
      <c r="A54" s="34"/>
      <c r="B54" s="57" t="s">
        <v>115</v>
      </c>
      <c r="C54" s="58">
        <v>2</v>
      </c>
      <c r="D54" s="59">
        <v>2.3869196801499999E-4</v>
      </c>
      <c r="E54" s="34"/>
      <c r="F54" s="34"/>
    </row>
    <row r="55" spans="1:6" ht="16.5">
      <c r="A55" s="34"/>
      <c r="B55" s="57" t="s">
        <v>120</v>
      </c>
      <c r="C55" s="58">
        <v>2</v>
      </c>
      <c r="D55" s="59">
        <v>2.3869196801499999E-4</v>
      </c>
      <c r="E55" s="34"/>
      <c r="F55" s="34"/>
    </row>
    <row r="56" spans="1:6" ht="15" customHeight="1">
      <c r="A56" s="34"/>
      <c r="B56" s="57" t="s">
        <v>127</v>
      </c>
      <c r="C56" s="58">
        <v>2</v>
      </c>
      <c r="D56" s="59">
        <v>2.3869196801499999E-4</v>
      </c>
      <c r="E56" s="34"/>
      <c r="F56" s="34"/>
    </row>
    <row r="57" spans="1:6" ht="15" customHeight="1">
      <c r="A57" s="34"/>
      <c r="B57" s="57" t="s">
        <v>234</v>
      </c>
      <c r="C57" s="58">
        <v>2</v>
      </c>
      <c r="D57" s="59">
        <v>2.3869196801499999E-4</v>
      </c>
      <c r="E57" s="34"/>
      <c r="F57" s="34"/>
    </row>
    <row r="58" spans="1:6" ht="16.5">
      <c r="A58" s="34"/>
      <c r="B58" s="60" t="s">
        <v>265</v>
      </c>
      <c r="C58" s="61">
        <v>8379</v>
      </c>
      <c r="D58" s="62">
        <v>1</v>
      </c>
      <c r="E58" s="34"/>
      <c r="F58" s="34"/>
    </row>
    <row r="59" spans="1:6" ht="16.5">
      <c r="A59" s="34"/>
      <c r="C59" s="35"/>
      <c r="D59" s="34"/>
      <c r="E59" s="34"/>
      <c r="F59" s="34"/>
    </row>
    <row r="60" spans="1:6" ht="16.5">
      <c r="A60" s="34"/>
      <c r="B60" s="35" t="s">
        <v>232</v>
      </c>
      <c r="C60" s="36"/>
      <c r="D60" s="34"/>
      <c r="E60" s="34"/>
      <c r="F60" s="34"/>
    </row>
    <row r="61" spans="1:6" ht="16.5">
      <c r="A61" s="34"/>
      <c r="B61" s="36" t="s">
        <v>18</v>
      </c>
      <c r="C61" s="37"/>
      <c r="D61" s="34"/>
      <c r="E61" s="34"/>
      <c r="F61" s="34"/>
    </row>
    <row r="62" spans="1:6" ht="16.5">
      <c r="A62" s="34"/>
      <c r="B62" s="37" t="s">
        <v>45</v>
      </c>
      <c r="C62" s="35"/>
      <c r="D62" s="34"/>
      <c r="E62" s="34"/>
      <c r="F62" s="34"/>
    </row>
    <row r="63" spans="1:6" ht="16.5">
      <c r="A63" s="34"/>
      <c r="B63" s="35" t="s">
        <v>17</v>
      </c>
      <c r="C63" s="35"/>
      <c r="D63" s="34"/>
      <c r="E63" s="34"/>
      <c r="F63" s="34"/>
    </row>
    <row r="64" spans="1:6">
      <c r="B64" s="35" t="s">
        <v>266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zoomScale="130" zoomScaleNormal="100" zoomScaleSheetLayoutView="130" workbookViewId="0">
      <selection activeCell="D14" sqref="D1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107" t="s">
        <v>35</v>
      </c>
      <c r="C7" s="107"/>
      <c r="D7" s="107"/>
      <c r="E7" s="29"/>
      <c r="F7" s="29"/>
    </row>
    <row r="8" spans="1:6" s="15" customFormat="1" ht="15" customHeight="1">
      <c r="A8" s="29"/>
      <c r="B8" s="107"/>
      <c r="C8" s="107"/>
      <c r="D8" s="107"/>
      <c r="E8" s="29"/>
      <c r="F8" s="29"/>
    </row>
    <row r="9" spans="1:6" s="15" customFormat="1" ht="33" customHeight="1">
      <c r="A9" s="29"/>
      <c r="B9" s="107"/>
      <c r="C9" s="107"/>
      <c r="D9" s="107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22</v>
      </c>
      <c r="C11" s="32" t="s">
        <v>20</v>
      </c>
      <c r="D11" s="33" t="s">
        <v>19</v>
      </c>
      <c r="E11" s="29"/>
      <c r="F11" s="29"/>
    </row>
    <row r="12" spans="1:6" ht="16.5">
      <c r="A12" s="34"/>
      <c r="B12" s="63" t="s">
        <v>46</v>
      </c>
      <c r="C12" s="58">
        <v>1866</v>
      </c>
      <c r="D12" s="59">
        <v>0.22269960615825299</v>
      </c>
      <c r="E12" s="34"/>
      <c r="F12" s="34"/>
    </row>
    <row r="13" spans="1:6" ht="16.5">
      <c r="A13" s="34"/>
      <c r="B13" s="63" t="s">
        <v>48</v>
      </c>
      <c r="C13" s="58">
        <v>759</v>
      </c>
      <c r="D13" s="59">
        <v>9.0583601861796995E-2</v>
      </c>
      <c r="E13" s="34"/>
      <c r="F13" s="34"/>
    </row>
    <row r="14" spans="1:6" ht="16.5">
      <c r="A14" s="34"/>
      <c r="B14" s="63" t="s">
        <v>47</v>
      </c>
      <c r="C14" s="58">
        <v>650</v>
      </c>
      <c r="D14" s="59">
        <v>7.7574889604965003E-2</v>
      </c>
      <c r="E14" s="34"/>
      <c r="F14" s="34"/>
    </row>
    <row r="15" spans="1:6" ht="16.5">
      <c r="A15" s="34"/>
      <c r="B15" s="63" t="s">
        <v>49</v>
      </c>
      <c r="C15" s="58">
        <v>454</v>
      </c>
      <c r="D15" s="59">
        <v>5.4183076739467997E-2</v>
      </c>
      <c r="E15" s="34"/>
      <c r="F15" s="34"/>
    </row>
    <row r="16" spans="1:6" ht="16.5">
      <c r="A16" s="34"/>
      <c r="B16" s="63" t="s">
        <v>52</v>
      </c>
      <c r="C16" s="58">
        <v>440</v>
      </c>
      <c r="D16" s="59">
        <v>5.2512232963361001E-2</v>
      </c>
      <c r="E16" s="34"/>
      <c r="F16" s="34"/>
    </row>
    <row r="17" spans="1:6" ht="16.5">
      <c r="A17" s="34"/>
      <c r="B17" s="63" t="s">
        <v>51</v>
      </c>
      <c r="C17" s="58">
        <v>404</v>
      </c>
      <c r="D17" s="59">
        <v>4.8215777539085999E-2</v>
      </c>
      <c r="E17" s="34"/>
      <c r="F17" s="34"/>
    </row>
    <row r="18" spans="1:6" ht="16.5">
      <c r="A18" s="34"/>
      <c r="B18" s="63" t="s">
        <v>50</v>
      </c>
      <c r="C18" s="58">
        <v>397</v>
      </c>
      <c r="D18" s="59">
        <v>4.7380355651031998E-2</v>
      </c>
      <c r="E18" s="34"/>
      <c r="F18" s="34"/>
    </row>
    <row r="19" spans="1:6" ht="16.5">
      <c r="A19" s="34"/>
      <c r="B19" s="63" t="s">
        <v>53</v>
      </c>
      <c r="C19" s="58">
        <v>372</v>
      </c>
      <c r="D19" s="59">
        <v>4.4396706050840999E-2</v>
      </c>
      <c r="E19" s="34"/>
      <c r="F19" s="34"/>
    </row>
    <row r="20" spans="1:6" ht="16.5">
      <c r="A20" s="34"/>
      <c r="B20" s="63" t="s">
        <v>54</v>
      </c>
      <c r="C20" s="58">
        <v>293</v>
      </c>
      <c r="D20" s="59">
        <v>3.4968373314238001E-2</v>
      </c>
      <c r="E20" s="34"/>
      <c r="F20" s="34"/>
    </row>
    <row r="21" spans="1:6" ht="16.5">
      <c r="A21" s="34"/>
      <c r="B21" s="63" t="s">
        <v>56</v>
      </c>
      <c r="C21" s="58">
        <v>257</v>
      </c>
      <c r="D21" s="59">
        <v>3.0671917889962999E-2</v>
      </c>
      <c r="E21" s="34"/>
      <c r="F21" s="34"/>
    </row>
    <row r="22" spans="1:6" ht="16.5">
      <c r="A22" s="34"/>
      <c r="B22" s="63" t="s">
        <v>57</v>
      </c>
      <c r="C22" s="58">
        <v>240</v>
      </c>
      <c r="D22" s="59">
        <v>2.8643036161832999E-2</v>
      </c>
      <c r="E22" s="34"/>
      <c r="F22" s="34"/>
    </row>
    <row r="23" spans="1:6" ht="16.5">
      <c r="A23" s="34"/>
      <c r="B23" s="63" t="s">
        <v>55</v>
      </c>
      <c r="C23" s="58">
        <v>207</v>
      </c>
      <c r="D23" s="59">
        <v>2.4704618689581001E-2</v>
      </c>
      <c r="E23" s="34"/>
      <c r="F23" s="34"/>
    </row>
    <row r="24" spans="1:6" ht="16.5">
      <c r="A24" s="34"/>
      <c r="B24" s="63" t="s">
        <v>60</v>
      </c>
      <c r="C24" s="58">
        <v>168</v>
      </c>
      <c r="D24" s="59">
        <v>2.0050125313282999E-2</v>
      </c>
      <c r="E24" s="34"/>
      <c r="F24" s="34"/>
    </row>
    <row r="25" spans="1:6" ht="16.5">
      <c r="A25" s="34"/>
      <c r="B25" s="63" t="s">
        <v>59</v>
      </c>
      <c r="C25" s="58">
        <v>159</v>
      </c>
      <c r="D25" s="59">
        <v>1.8976011457214E-2</v>
      </c>
      <c r="E25" s="34"/>
      <c r="F25" s="34"/>
    </row>
    <row r="26" spans="1:6" ht="16.5">
      <c r="A26" s="34"/>
      <c r="B26" s="63" t="s">
        <v>64</v>
      </c>
      <c r="C26" s="58">
        <v>144</v>
      </c>
      <c r="D26" s="59">
        <v>1.71858216971E-2</v>
      </c>
      <c r="E26" s="34"/>
      <c r="F26" s="34"/>
    </row>
    <row r="27" spans="1:6" ht="16.5">
      <c r="A27" s="34"/>
      <c r="B27" s="63" t="s">
        <v>58</v>
      </c>
      <c r="C27" s="58">
        <v>128</v>
      </c>
      <c r="D27" s="59">
        <v>1.5276285952977999E-2</v>
      </c>
      <c r="E27" s="34"/>
      <c r="F27" s="34"/>
    </row>
    <row r="28" spans="1:6" ht="16.5">
      <c r="A28" s="34"/>
      <c r="B28" s="63" t="s">
        <v>63</v>
      </c>
      <c r="C28" s="58">
        <v>123</v>
      </c>
      <c r="D28" s="59">
        <v>1.4679556032939E-2</v>
      </c>
      <c r="E28" s="34"/>
      <c r="F28" s="34"/>
    </row>
    <row r="29" spans="1:6" ht="16.5">
      <c r="A29" s="34"/>
      <c r="B29" s="63" t="s">
        <v>62</v>
      </c>
      <c r="C29" s="58">
        <v>114</v>
      </c>
      <c r="D29" s="59">
        <v>1.3605442176870999E-2</v>
      </c>
      <c r="E29" s="34"/>
      <c r="F29" s="34"/>
    </row>
    <row r="30" spans="1:6" ht="16.5">
      <c r="A30" s="34"/>
      <c r="B30" s="63" t="s">
        <v>65</v>
      </c>
      <c r="C30" s="58">
        <v>110</v>
      </c>
      <c r="D30" s="59">
        <v>1.312805824084E-2</v>
      </c>
      <c r="E30" s="34"/>
      <c r="F30" s="34"/>
    </row>
    <row r="31" spans="1:6" ht="16.5">
      <c r="A31" s="34"/>
      <c r="B31" s="63" t="s">
        <v>67</v>
      </c>
      <c r="C31" s="58">
        <v>108</v>
      </c>
      <c r="D31" s="59">
        <v>1.2889366272825E-2</v>
      </c>
      <c r="E31" s="34"/>
      <c r="F31" s="34"/>
    </row>
    <row r="32" spans="1:6" ht="16.5">
      <c r="A32" s="34"/>
      <c r="B32" s="63" t="s">
        <v>61</v>
      </c>
      <c r="C32" s="58">
        <v>87</v>
      </c>
      <c r="D32" s="59">
        <v>1.0383100608665E-2</v>
      </c>
      <c r="E32" s="34"/>
      <c r="F32" s="34"/>
    </row>
    <row r="33" spans="1:6" ht="16.5">
      <c r="A33" s="34"/>
      <c r="B33" s="63" t="s">
        <v>72</v>
      </c>
      <c r="C33" s="58">
        <v>80</v>
      </c>
      <c r="D33" s="59">
        <v>9.5476787206110001E-3</v>
      </c>
      <c r="E33" s="34"/>
      <c r="F33" s="34"/>
    </row>
    <row r="34" spans="1:6" ht="16.5">
      <c r="A34" s="34"/>
      <c r="B34" s="63" t="s">
        <v>74</v>
      </c>
      <c r="C34" s="58">
        <v>70</v>
      </c>
      <c r="D34" s="59">
        <v>8.3542188805349991E-3</v>
      </c>
      <c r="E34" s="34"/>
      <c r="F34" s="34"/>
    </row>
    <row r="35" spans="1:6" ht="16.5">
      <c r="A35" s="34"/>
      <c r="B35" s="63" t="s">
        <v>73</v>
      </c>
      <c r="C35" s="58">
        <v>64</v>
      </c>
      <c r="D35" s="59">
        <v>7.6381429764889996E-3</v>
      </c>
      <c r="E35" s="34"/>
      <c r="F35" s="34"/>
    </row>
    <row r="36" spans="1:6" ht="16.5">
      <c r="A36" s="34"/>
      <c r="B36" s="63" t="s">
        <v>70</v>
      </c>
      <c r="C36" s="58">
        <v>62</v>
      </c>
      <c r="D36" s="59">
        <v>7.3994510084739997E-3</v>
      </c>
      <c r="E36" s="34"/>
      <c r="F36" s="34"/>
    </row>
    <row r="37" spans="1:6" ht="16.5">
      <c r="A37" s="34"/>
      <c r="B37" s="63" t="s">
        <v>68</v>
      </c>
      <c r="C37" s="58">
        <v>56</v>
      </c>
      <c r="D37" s="59">
        <v>6.6833751044280002E-3</v>
      </c>
      <c r="E37" s="34"/>
      <c r="F37" s="34"/>
    </row>
    <row r="38" spans="1:6" ht="16.5">
      <c r="A38" s="34"/>
      <c r="B38" s="63" t="s">
        <v>66</v>
      </c>
      <c r="C38" s="58">
        <v>56</v>
      </c>
      <c r="D38" s="59">
        <v>6.6833751044280002E-3</v>
      </c>
      <c r="E38" s="34"/>
      <c r="F38" s="34"/>
    </row>
    <row r="39" spans="1:6" ht="16.5">
      <c r="A39" s="34"/>
      <c r="B39" s="63" t="s">
        <v>69</v>
      </c>
      <c r="C39" s="58">
        <v>53</v>
      </c>
      <c r="D39" s="59">
        <v>6.3253371524050004E-3</v>
      </c>
      <c r="E39" s="34"/>
      <c r="F39" s="34"/>
    </row>
    <row r="40" spans="1:6" ht="16.5">
      <c r="A40" s="34"/>
      <c r="B40" s="63" t="s">
        <v>71</v>
      </c>
      <c r="C40" s="58">
        <v>48</v>
      </c>
      <c r="D40" s="59">
        <v>5.7286072323669999E-3</v>
      </c>
      <c r="E40" s="34"/>
      <c r="F40" s="34"/>
    </row>
    <row r="41" spans="1:6" ht="16.5">
      <c r="A41" s="34"/>
      <c r="B41" s="63" t="s">
        <v>78</v>
      </c>
      <c r="C41" s="58">
        <v>45</v>
      </c>
      <c r="D41" s="59">
        <v>5.3705692803440001E-3</v>
      </c>
      <c r="E41" s="34"/>
      <c r="F41" s="34"/>
    </row>
    <row r="42" spans="1:6" ht="16.5">
      <c r="A42" s="34"/>
      <c r="B42" s="63" t="s">
        <v>80</v>
      </c>
      <c r="C42" s="58">
        <v>41</v>
      </c>
      <c r="D42" s="59">
        <v>4.8931853443130004E-3</v>
      </c>
      <c r="E42" s="34"/>
      <c r="F42" s="34"/>
    </row>
    <row r="43" spans="1:6" ht="16.5">
      <c r="A43" s="34"/>
      <c r="B43" s="63" t="s">
        <v>76</v>
      </c>
      <c r="C43" s="58">
        <v>40</v>
      </c>
      <c r="D43" s="59">
        <v>4.7738393603059997E-3</v>
      </c>
      <c r="E43" s="34"/>
      <c r="F43" s="34"/>
    </row>
    <row r="44" spans="1:6" ht="16.5">
      <c r="A44" s="34"/>
      <c r="B44" s="63" t="s">
        <v>75</v>
      </c>
      <c r="C44" s="58">
        <v>38</v>
      </c>
      <c r="D44" s="59">
        <v>4.5351473922899998E-3</v>
      </c>
      <c r="E44" s="34"/>
      <c r="F44" s="34"/>
    </row>
    <row r="45" spans="1:6" ht="16.5">
      <c r="A45" s="34"/>
      <c r="B45" s="63" t="s">
        <v>79</v>
      </c>
      <c r="C45" s="58">
        <v>36</v>
      </c>
      <c r="D45" s="59">
        <v>4.2964554242749999E-3</v>
      </c>
      <c r="E45" s="34"/>
      <c r="F45" s="34"/>
    </row>
    <row r="46" spans="1:6" ht="16.5">
      <c r="A46" s="34"/>
      <c r="B46" s="63" t="s">
        <v>85</v>
      </c>
      <c r="C46" s="58">
        <v>30</v>
      </c>
      <c r="D46" s="59">
        <v>3.5803795202289999E-3</v>
      </c>
      <c r="E46" s="34"/>
      <c r="F46" s="34"/>
    </row>
    <row r="47" spans="1:6" ht="16.5">
      <c r="A47" s="34"/>
      <c r="B47" s="63" t="s">
        <v>77</v>
      </c>
      <c r="C47" s="58">
        <v>29</v>
      </c>
      <c r="D47" s="59">
        <v>3.461033536222E-3</v>
      </c>
      <c r="E47" s="34"/>
      <c r="F47" s="34"/>
    </row>
    <row r="48" spans="1:6" ht="16.5">
      <c r="A48" s="34"/>
      <c r="B48" s="63" t="s">
        <v>82</v>
      </c>
      <c r="C48" s="58">
        <v>27</v>
      </c>
      <c r="D48" s="59">
        <v>3.2223415682060001E-3</v>
      </c>
      <c r="E48" s="34"/>
      <c r="F48" s="34"/>
    </row>
    <row r="49" spans="1:6" ht="16.5">
      <c r="A49" s="34"/>
      <c r="B49" s="63" t="s">
        <v>83</v>
      </c>
      <c r="C49" s="58">
        <v>27</v>
      </c>
      <c r="D49" s="59">
        <v>3.2223415682060001E-3</v>
      </c>
      <c r="E49" s="34"/>
      <c r="F49" s="34"/>
    </row>
    <row r="50" spans="1:6" ht="16.5">
      <c r="A50" s="34"/>
      <c r="B50" s="63" t="s">
        <v>81</v>
      </c>
      <c r="C50" s="58">
        <v>23</v>
      </c>
      <c r="D50" s="59">
        <v>2.744957632176E-3</v>
      </c>
      <c r="E50" s="34"/>
      <c r="F50" s="34"/>
    </row>
    <row r="51" spans="1:6" ht="16.5">
      <c r="A51" s="34"/>
      <c r="B51" s="63" t="s">
        <v>88</v>
      </c>
      <c r="C51" s="58">
        <v>14</v>
      </c>
      <c r="D51" s="59">
        <v>1.670843776107E-3</v>
      </c>
      <c r="E51" s="34"/>
      <c r="F51" s="34"/>
    </row>
    <row r="52" spans="1:6" ht="16.5">
      <c r="A52" s="34"/>
      <c r="B52" s="63" t="s">
        <v>92</v>
      </c>
      <c r="C52" s="58">
        <v>11</v>
      </c>
      <c r="D52" s="59">
        <v>1.312805824084E-3</v>
      </c>
      <c r="E52" s="34"/>
      <c r="F52" s="34"/>
    </row>
    <row r="53" spans="1:6" ht="16.5">
      <c r="A53" s="34"/>
      <c r="B53" s="63" t="s">
        <v>87</v>
      </c>
      <c r="C53" s="58">
        <v>10</v>
      </c>
      <c r="D53" s="59">
        <v>1.1934598400760001E-3</v>
      </c>
      <c r="E53" s="34"/>
      <c r="F53" s="34"/>
    </row>
    <row r="54" spans="1:6" ht="16.5">
      <c r="A54" s="34"/>
      <c r="B54" s="63" t="s">
        <v>91</v>
      </c>
      <c r="C54" s="58">
        <v>9</v>
      </c>
      <c r="D54" s="59">
        <v>1.074113856069E-3</v>
      </c>
      <c r="E54" s="34"/>
      <c r="F54" s="34"/>
    </row>
    <row r="55" spans="1:6" ht="16.5">
      <c r="A55" s="34"/>
      <c r="B55" s="63" t="s">
        <v>84</v>
      </c>
      <c r="C55" s="58">
        <v>9</v>
      </c>
      <c r="D55" s="59">
        <v>1.074113856069E-3</v>
      </c>
      <c r="E55" s="34"/>
      <c r="F55" s="34"/>
    </row>
    <row r="56" spans="1:6" ht="16.5">
      <c r="A56" s="34"/>
      <c r="B56" s="63" t="s">
        <v>86</v>
      </c>
      <c r="C56" s="58">
        <v>6</v>
      </c>
      <c r="D56" s="59">
        <v>7.16075904046E-4</v>
      </c>
      <c r="E56" s="34"/>
      <c r="F56" s="34"/>
    </row>
    <row r="57" spans="1:6" ht="16.5">
      <c r="A57" s="34"/>
      <c r="B57" s="63" t="s">
        <v>90</v>
      </c>
      <c r="C57" s="58">
        <v>5</v>
      </c>
      <c r="D57" s="59">
        <v>5.9672992003800005E-4</v>
      </c>
      <c r="E57" s="34"/>
      <c r="F57" s="34"/>
    </row>
    <row r="58" spans="1:6" ht="16.5">
      <c r="A58" s="34"/>
      <c r="B58" s="63" t="s">
        <v>95</v>
      </c>
      <c r="C58" s="58">
        <v>5</v>
      </c>
      <c r="D58" s="59">
        <v>5.9672992003800005E-4</v>
      </c>
      <c r="E58" s="34"/>
      <c r="F58" s="34"/>
    </row>
    <row r="59" spans="1:6" ht="16.5">
      <c r="A59" s="34"/>
      <c r="B59" s="63" t="s">
        <v>89</v>
      </c>
      <c r="C59" s="58">
        <v>2</v>
      </c>
      <c r="D59" s="59">
        <v>2.3869196801499999E-4</v>
      </c>
      <c r="E59" s="34"/>
      <c r="F59" s="34"/>
    </row>
    <row r="60" spans="1:6" ht="16.5">
      <c r="A60" s="34"/>
      <c r="B60" s="63" t="s">
        <v>94</v>
      </c>
      <c r="C60" s="58">
        <v>2</v>
      </c>
      <c r="D60" s="59">
        <v>2.3869196801499999E-4</v>
      </c>
      <c r="E60" s="34"/>
      <c r="F60" s="34"/>
    </row>
    <row r="61" spans="1:6" ht="16.5">
      <c r="A61" s="34"/>
      <c r="B61" s="63" t="s">
        <v>93</v>
      </c>
      <c r="C61" s="58">
        <v>1</v>
      </c>
      <c r="D61" s="59">
        <v>1.19345984008E-4</v>
      </c>
      <c r="E61" s="34"/>
      <c r="F61" s="34"/>
    </row>
    <row r="62" spans="1:6" ht="16.5">
      <c r="A62" s="34"/>
      <c r="B62" s="64" t="s">
        <v>267</v>
      </c>
      <c r="C62" s="61">
        <v>8379</v>
      </c>
      <c r="D62" s="62">
        <v>1</v>
      </c>
      <c r="E62" s="34"/>
      <c r="F62" s="34"/>
    </row>
    <row r="63" spans="1:6" ht="16.5">
      <c r="A63" s="34"/>
      <c r="B63" s="37"/>
      <c r="C63" s="38"/>
      <c r="D63" s="34"/>
      <c r="E63" s="34"/>
      <c r="F63" s="34"/>
    </row>
    <row r="64" spans="1:6" ht="16.5">
      <c r="B64" s="35" t="s">
        <v>232</v>
      </c>
      <c r="C64" s="38"/>
      <c r="D64" s="34"/>
      <c r="E64" s="34"/>
      <c r="F64" s="34"/>
    </row>
    <row r="65" spans="2:6" ht="16.5">
      <c r="B65" s="36" t="s">
        <v>18</v>
      </c>
      <c r="C65" s="38"/>
      <c r="D65" s="34"/>
      <c r="E65" s="34"/>
      <c r="F65" s="34"/>
    </row>
    <row r="66" spans="2:6" ht="16.5">
      <c r="B66" s="37" t="s">
        <v>45</v>
      </c>
      <c r="C66" s="38"/>
      <c r="D66" s="34"/>
      <c r="E66" s="34"/>
      <c r="F66" s="34"/>
    </row>
    <row r="67" spans="2:6" ht="16.5">
      <c r="B67" s="35" t="s">
        <v>17</v>
      </c>
      <c r="C67" s="34"/>
      <c r="D67" s="34"/>
      <c r="E67" s="34"/>
      <c r="F67" s="34"/>
    </row>
    <row r="68" spans="2:6" ht="16.5">
      <c r="B68" s="35" t="s">
        <v>266</v>
      </c>
      <c r="C68" s="38"/>
      <c r="D68" s="34"/>
      <c r="E68" s="34"/>
      <c r="F68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30"/>
  <sheetViews>
    <sheetView showGridLines="0" view="pageBreakPreview" zoomScale="115" zoomScaleNormal="100" zoomScaleSheetLayoutView="115" workbookViewId="0">
      <selection activeCell="I18" sqref="I18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107" t="s">
        <v>42</v>
      </c>
      <c r="C7" s="107"/>
      <c r="D7" s="107"/>
      <c r="E7" s="29"/>
      <c r="F7" s="29"/>
    </row>
    <row r="8" spans="1:6" s="15" customFormat="1" ht="15" customHeight="1">
      <c r="A8" s="29"/>
      <c r="B8" s="107"/>
      <c r="C8" s="107"/>
      <c r="D8" s="107"/>
      <c r="E8" s="29"/>
      <c r="F8" s="29"/>
    </row>
    <row r="9" spans="1:6" s="15" customFormat="1" ht="33" customHeight="1">
      <c r="A9" s="29"/>
      <c r="B9" s="107"/>
      <c r="C9" s="107"/>
      <c r="D9" s="107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22</v>
      </c>
      <c r="C11" s="32" t="s">
        <v>20</v>
      </c>
      <c r="D11" s="33" t="s">
        <v>19</v>
      </c>
      <c r="E11" s="29"/>
      <c r="F11" s="29"/>
    </row>
    <row r="12" spans="1:6" ht="16.5">
      <c r="A12" s="34"/>
      <c r="B12" s="63" t="s">
        <v>46</v>
      </c>
      <c r="C12" s="58">
        <v>1866</v>
      </c>
      <c r="D12" s="59">
        <f>C12/$C$22</f>
        <v>0.31670061099796332</v>
      </c>
      <c r="E12" s="34"/>
      <c r="F12" s="34"/>
    </row>
    <row r="13" spans="1:6" ht="16.5">
      <c r="A13" s="34"/>
      <c r="B13" s="63" t="s">
        <v>48</v>
      </c>
      <c r="C13" s="58">
        <v>759</v>
      </c>
      <c r="D13" s="59">
        <f t="shared" ref="D13:D22" si="0">C13/$C$22</f>
        <v>0.12881873727087575</v>
      </c>
      <c r="E13" s="34"/>
      <c r="F13" s="34"/>
    </row>
    <row r="14" spans="1:6" ht="16.5">
      <c r="A14" s="34"/>
      <c r="B14" s="63" t="s">
        <v>47</v>
      </c>
      <c r="C14" s="58">
        <v>650</v>
      </c>
      <c r="D14" s="59">
        <f t="shared" si="0"/>
        <v>0.11031907671418872</v>
      </c>
      <c r="E14" s="34"/>
      <c r="F14" s="34"/>
    </row>
    <row r="15" spans="1:6" ht="16.5">
      <c r="A15" s="34"/>
      <c r="B15" s="63" t="s">
        <v>49</v>
      </c>
      <c r="C15" s="58">
        <v>454</v>
      </c>
      <c r="D15" s="59">
        <f t="shared" si="0"/>
        <v>7.7053632043448742E-2</v>
      </c>
      <c r="E15" s="34"/>
      <c r="F15" s="34"/>
    </row>
    <row r="16" spans="1:6" ht="16.5">
      <c r="A16" s="34"/>
      <c r="B16" s="63" t="s">
        <v>52</v>
      </c>
      <c r="C16" s="58">
        <v>440</v>
      </c>
      <c r="D16" s="59">
        <f t="shared" si="0"/>
        <v>7.4677528852681599E-2</v>
      </c>
      <c r="E16" s="34"/>
      <c r="F16" s="34"/>
    </row>
    <row r="17" spans="1:6" ht="16.5">
      <c r="A17" s="34"/>
      <c r="B17" s="63" t="s">
        <v>51</v>
      </c>
      <c r="C17" s="58">
        <v>404</v>
      </c>
      <c r="D17" s="59">
        <f t="shared" si="0"/>
        <v>6.8567549219280377E-2</v>
      </c>
      <c r="E17" s="34"/>
      <c r="F17" s="34"/>
    </row>
    <row r="18" spans="1:6" ht="16.5">
      <c r="A18" s="34"/>
      <c r="B18" s="63" t="s">
        <v>50</v>
      </c>
      <c r="C18" s="58">
        <v>397</v>
      </c>
      <c r="D18" s="59">
        <f t="shared" si="0"/>
        <v>6.7379497623896806E-2</v>
      </c>
      <c r="E18" s="34"/>
      <c r="F18" s="34"/>
    </row>
    <row r="19" spans="1:6" ht="16.5">
      <c r="A19" s="34"/>
      <c r="B19" s="63" t="s">
        <v>53</v>
      </c>
      <c r="C19" s="58">
        <v>372</v>
      </c>
      <c r="D19" s="59">
        <f t="shared" si="0"/>
        <v>6.313645621181263E-2</v>
      </c>
      <c r="E19" s="34"/>
      <c r="F19" s="34"/>
    </row>
    <row r="20" spans="1:6" ht="16.5">
      <c r="A20" s="34"/>
      <c r="B20" s="63" t="s">
        <v>54</v>
      </c>
      <c r="C20" s="58">
        <v>293</v>
      </c>
      <c r="D20" s="59">
        <f t="shared" si="0"/>
        <v>4.9728445349626615E-2</v>
      </c>
      <c r="E20" s="34"/>
      <c r="F20" s="34"/>
    </row>
    <row r="21" spans="1:6" ht="16.5">
      <c r="A21" s="34"/>
      <c r="B21" s="63" t="s">
        <v>56</v>
      </c>
      <c r="C21" s="58">
        <v>257</v>
      </c>
      <c r="D21" s="59">
        <f t="shared" si="0"/>
        <v>4.3618465716225394E-2</v>
      </c>
      <c r="E21" s="34"/>
      <c r="F21" s="34"/>
    </row>
    <row r="22" spans="1:6" ht="16.5">
      <c r="A22" s="34"/>
      <c r="B22" s="66" t="s">
        <v>43</v>
      </c>
      <c r="C22" s="67">
        <f>SUM(C12:C21)</f>
        <v>5892</v>
      </c>
      <c r="D22" s="77">
        <f t="shared" si="0"/>
        <v>1</v>
      </c>
      <c r="E22" s="34"/>
      <c r="F22" s="34"/>
    </row>
    <row r="23" spans="1:6" ht="16.5">
      <c r="A23" s="34"/>
      <c r="B23" s="39" t="s">
        <v>44</v>
      </c>
      <c r="C23" s="40">
        <v>8379</v>
      </c>
      <c r="D23" s="65"/>
      <c r="E23" s="34"/>
      <c r="F23" s="34"/>
    </row>
    <row r="24" spans="1:6" ht="16.5">
      <c r="A24" s="34"/>
      <c r="B24" s="35"/>
      <c r="C24" s="38"/>
      <c r="D24" s="34"/>
      <c r="E24" s="34"/>
      <c r="F24" s="34"/>
    </row>
    <row r="25" spans="1:6" ht="16.5">
      <c r="A25" s="34"/>
      <c r="B25" s="35" t="s">
        <v>232</v>
      </c>
      <c r="C25" s="35"/>
      <c r="D25" s="34"/>
      <c r="E25" s="34"/>
      <c r="F25" s="34"/>
    </row>
    <row r="26" spans="1:6" ht="16.5">
      <c r="A26" s="34"/>
      <c r="B26" s="36" t="s">
        <v>18</v>
      </c>
      <c r="C26" s="36"/>
      <c r="D26" s="34"/>
      <c r="E26" s="34"/>
      <c r="F26" s="34"/>
    </row>
    <row r="27" spans="1:6" ht="16.5">
      <c r="A27" s="34"/>
      <c r="B27" s="37" t="s">
        <v>45</v>
      </c>
      <c r="C27" s="37"/>
      <c r="D27" s="34"/>
      <c r="E27" s="34"/>
      <c r="F27" s="34"/>
    </row>
    <row r="28" spans="1:6" ht="16.5">
      <c r="A28" s="34"/>
      <c r="B28" s="35" t="s">
        <v>17</v>
      </c>
      <c r="C28" s="35"/>
      <c r="D28" s="34"/>
      <c r="E28" s="34"/>
      <c r="F28" s="34"/>
    </row>
    <row r="29" spans="1:6" ht="16.5">
      <c r="A29" s="34"/>
      <c r="B29" s="35" t="s">
        <v>266</v>
      </c>
      <c r="C29" s="35"/>
      <c r="D29" s="34"/>
      <c r="E29" s="34"/>
      <c r="F29" s="34"/>
    </row>
    <row r="30" spans="1:6">
      <c r="C3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40"/>
  <sheetViews>
    <sheetView showGridLines="0" view="pageBreakPreview" topLeftCell="A19" zoomScale="115" zoomScaleNormal="100" zoomScaleSheetLayoutView="115" workbookViewId="0">
      <selection activeCell="B36" sqref="B36"/>
    </sheetView>
  </sheetViews>
  <sheetFormatPr baseColWidth="10" defaultColWidth="11.42578125" defaultRowHeight="15"/>
  <cols>
    <col min="1" max="1" width="9.28515625" style="13" customWidth="1"/>
    <col min="2" max="2" width="32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107" t="s">
        <v>40</v>
      </c>
      <c r="C7" s="107"/>
      <c r="D7" s="107"/>
      <c r="E7" s="29"/>
      <c r="F7" s="29"/>
    </row>
    <row r="8" spans="1:6" s="15" customFormat="1" ht="15" customHeight="1">
      <c r="A8" s="29"/>
      <c r="B8" s="107"/>
      <c r="C8" s="107"/>
      <c r="D8" s="107"/>
      <c r="E8" s="29"/>
      <c r="F8" s="29"/>
    </row>
    <row r="9" spans="1:6" s="15" customFormat="1" ht="33" customHeight="1">
      <c r="A9" s="29"/>
      <c r="B9" s="107"/>
      <c r="C9" s="107"/>
      <c r="D9" s="107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23</v>
      </c>
      <c r="C11" s="32" t="s">
        <v>20</v>
      </c>
      <c r="D11" s="33" t="s">
        <v>19</v>
      </c>
      <c r="E11" s="29"/>
      <c r="F11" s="29"/>
    </row>
    <row r="12" spans="1:6" ht="15" customHeight="1">
      <c r="A12" s="34"/>
      <c r="B12" s="57" t="s">
        <v>149</v>
      </c>
      <c r="C12" s="58">
        <v>1860</v>
      </c>
      <c r="D12" s="59">
        <v>0.221983530254207</v>
      </c>
      <c r="E12" s="34"/>
      <c r="F12" s="34"/>
    </row>
    <row r="13" spans="1:6" ht="15" customHeight="1">
      <c r="A13" s="34"/>
      <c r="B13" s="57" t="s">
        <v>147</v>
      </c>
      <c r="C13" s="58">
        <v>1096</v>
      </c>
      <c r="D13" s="59">
        <v>0.13080319847237101</v>
      </c>
      <c r="E13" s="34"/>
      <c r="F13" s="34"/>
    </row>
    <row r="14" spans="1:6" ht="15" customHeight="1">
      <c r="A14" s="34"/>
      <c r="B14" s="57" t="s">
        <v>153</v>
      </c>
      <c r="C14" s="58">
        <v>938</v>
      </c>
      <c r="D14" s="59">
        <v>0.111946532999165</v>
      </c>
      <c r="E14" s="34"/>
      <c r="F14" s="34"/>
    </row>
    <row r="15" spans="1:6" ht="15" customHeight="1">
      <c r="A15" s="34"/>
      <c r="B15" s="57" t="s">
        <v>148</v>
      </c>
      <c r="C15" s="58">
        <v>503</v>
      </c>
      <c r="D15" s="59">
        <v>6.0031029955842002E-2</v>
      </c>
      <c r="E15" s="34"/>
      <c r="F15" s="34"/>
    </row>
    <row r="16" spans="1:6" ht="15" customHeight="1">
      <c r="A16" s="34"/>
      <c r="B16" s="57" t="s">
        <v>159</v>
      </c>
      <c r="C16" s="58">
        <v>479</v>
      </c>
      <c r="D16" s="59">
        <v>5.7166726339659003E-2</v>
      </c>
      <c r="E16" s="34"/>
      <c r="F16" s="34"/>
    </row>
    <row r="17" spans="1:6" ht="15" customHeight="1">
      <c r="A17" s="34"/>
      <c r="B17" s="57" t="s">
        <v>150</v>
      </c>
      <c r="C17" s="58">
        <v>410</v>
      </c>
      <c r="D17" s="59">
        <v>4.8931853443132001E-2</v>
      </c>
      <c r="E17" s="34"/>
      <c r="F17" s="34"/>
    </row>
    <row r="18" spans="1:6" ht="15" customHeight="1">
      <c r="A18" s="34"/>
      <c r="B18" s="57" t="s">
        <v>142</v>
      </c>
      <c r="C18" s="58">
        <v>398</v>
      </c>
      <c r="D18" s="59">
        <v>4.7499701635039998E-2</v>
      </c>
      <c r="E18" s="34"/>
      <c r="F18" s="34"/>
    </row>
    <row r="19" spans="1:6" ht="15" customHeight="1">
      <c r="A19" s="34"/>
      <c r="B19" s="57" t="s">
        <v>157</v>
      </c>
      <c r="C19" s="58">
        <v>387</v>
      </c>
      <c r="D19" s="59">
        <v>4.6186895810956002E-2</v>
      </c>
      <c r="E19" s="34"/>
      <c r="F19" s="34"/>
    </row>
    <row r="20" spans="1:6" ht="15" customHeight="1">
      <c r="A20" s="34"/>
      <c r="B20" s="57" t="s">
        <v>156</v>
      </c>
      <c r="C20" s="58">
        <v>330</v>
      </c>
      <c r="D20" s="59">
        <v>3.9384174722521002E-2</v>
      </c>
      <c r="E20" s="34"/>
      <c r="F20" s="34"/>
    </row>
    <row r="21" spans="1:6" ht="15" customHeight="1">
      <c r="A21" s="34"/>
      <c r="B21" s="57" t="s">
        <v>146</v>
      </c>
      <c r="C21" s="58">
        <v>238</v>
      </c>
      <c r="D21" s="59">
        <v>2.8404344193818001E-2</v>
      </c>
      <c r="E21" s="34"/>
      <c r="F21" s="34"/>
    </row>
    <row r="22" spans="1:6" ht="15" customHeight="1">
      <c r="A22" s="34"/>
      <c r="B22" s="57" t="s">
        <v>154</v>
      </c>
      <c r="C22" s="58">
        <v>222</v>
      </c>
      <c r="D22" s="59">
        <v>2.6494808449696001E-2</v>
      </c>
      <c r="E22" s="34"/>
      <c r="F22" s="34"/>
    </row>
    <row r="23" spans="1:6" ht="15" customHeight="1">
      <c r="A23" s="34"/>
      <c r="B23" s="57" t="s">
        <v>158</v>
      </c>
      <c r="C23" s="58">
        <v>217</v>
      </c>
      <c r="D23" s="59">
        <v>2.5898078529657E-2</v>
      </c>
      <c r="E23" s="34"/>
      <c r="F23" s="34"/>
    </row>
    <row r="24" spans="1:6" ht="15" customHeight="1">
      <c r="A24" s="34"/>
      <c r="B24" s="57" t="s">
        <v>143</v>
      </c>
      <c r="C24" s="58">
        <v>216</v>
      </c>
      <c r="D24" s="59">
        <v>2.577873254565E-2</v>
      </c>
      <c r="E24" s="34"/>
      <c r="F24" s="34"/>
    </row>
    <row r="25" spans="1:6" ht="15" customHeight="1">
      <c r="A25" s="34"/>
      <c r="B25" s="57" t="s">
        <v>151</v>
      </c>
      <c r="C25" s="58">
        <v>211</v>
      </c>
      <c r="D25" s="59">
        <v>2.5182002625612002E-2</v>
      </c>
      <c r="E25" s="34"/>
      <c r="F25" s="34"/>
    </row>
    <row r="26" spans="1:6" ht="15" customHeight="1">
      <c r="A26" s="34"/>
      <c r="B26" s="57" t="s">
        <v>145</v>
      </c>
      <c r="C26" s="58">
        <v>206</v>
      </c>
      <c r="D26" s="59">
        <v>2.4585272705573001E-2</v>
      </c>
      <c r="E26" s="34"/>
      <c r="F26" s="34"/>
    </row>
    <row r="27" spans="1:6" ht="15" customHeight="1">
      <c r="A27" s="34"/>
      <c r="B27" s="57" t="s">
        <v>144</v>
      </c>
      <c r="C27" s="58">
        <v>199</v>
      </c>
      <c r="D27" s="59">
        <v>2.3749850817519999E-2</v>
      </c>
      <c r="E27" s="34"/>
      <c r="F27" s="34"/>
    </row>
    <row r="28" spans="1:6" ht="15" customHeight="1">
      <c r="A28" s="34"/>
      <c r="B28" s="57" t="s">
        <v>161</v>
      </c>
      <c r="C28" s="58">
        <v>123</v>
      </c>
      <c r="D28" s="59">
        <v>1.4679556032939E-2</v>
      </c>
      <c r="E28" s="34"/>
      <c r="F28" s="34"/>
    </row>
    <row r="29" spans="1:6" ht="15" customHeight="1">
      <c r="A29" s="34"/>
      <c r="B29" s="57" t="s">
        <v>160</v>
      </c>
      <c r="C29" s="58">
        <v>116</v>
      </c>
      <c r="D29" s="59">
        <v>1.3844134144886E-2</v>
      </c>
      <c r="E29" s="34"/>
      <c r="F29" s="34"/>
    </row>
    <row r="30" spans="1:6" ht="15" customHeight="1">
      <c r="A30" s="34"/>
      <c r="B30" s="57" t="s">
        <v>155</v>
      </c>
      <c r="C30" s="58">
        <v>96</v>
      </c>
      <c r="D30" s="59">
        <v>1.1457214464733001E-2</v>
      </c>
      <c r="E30" s="34"/>
      <c r="F30" s="34"/>
    </row>
    <row r="31" spans="1:6" ht="15" customHeight="1">
      <c r="A31" s="34"/>
      <c r="B31" s="57" t="s">
        <v>152</v>
      </c>
      <c r="C31" s="58">
        <v>88</v>
      </c>
      <c r="D31" s="59">
        <v>1.0502446592672E-2</v>
      </c>
      <c r="E31" s="34"/>
      <c r="F31" s="34"/>
    </row>
    <row r="32" spans="1:6" ht="16.5">
      <c r="A32" s="34"/>
      <c r="B32" s="57" t="s">
        <v>235</v>
      </c>
      <c r="C32" s="58">
        <v>46</v>
      </c>
      <c r="D32" s="59">
        <v>5.489915264351E-3</v>
      </c>
      <c r="E32" s="34"/>
      <c r="F32" s="34"/>
    </row>
    <row r="33" spans="1:6" ht="15" customHeight="1">
      <c r="A33" s="34"/>
      <c r="B33" s="60" t="s">
        <v>268</v>
      </c>
      <c r="C33" s="61">
        <v>8379</v>
      </c>
      <c r="D33" s="62">
        <v>1</v>
      </c>
      <c r="E33" s="34"/>
      <c r="F33" s="34"/>
    </row>
    <row r="34" spans="1:6" ht="16.5">
      <c r="A34" s="34"/>
      <c r="B34" s="35"/>
      <c r="C34" s="38"/>
      <c r="D34" s="34"/>
      <c r="E34" s="34"/>
      <c r="F34" s="34"/>
    </row>
    <row r="35" spans="1:6" ht="16.5">
      <c r="A35" s="34"/>
      <c r="B35" s="35" t="s">
        <v>232</v>
      </c>
      <c r="C35" s="38"/>
      <c r="D35" s="34"/>
      <c r="E35" s="34"/>
      <c r="F35" s="34"/>
    </row>
    <row r="36" spans="1:6" ht="16.5">
      <c r="A36" s="34"/>
      <c r="B36" s="36" t="s">
        <v>18</v>
      </c>
      <c r="C36" s="38"/>
      <c r="D36" s="34"/>
      <c r="E36" s="34"/>
      <c r="F36" s="34"/>
    </row>
    <row r="37" spans="1:6" ht="16.5">
      <c r="A37" s="34"/>
      <c r="B37" s="37" t="s">
        <v>45</v>
      </c>
      <c r="C37" s="38"/>
      <c r="D37" s="34"/>
      <c r="E37" s="34"/>
      <c r="F37" s="34"/>
    </row>
    <row r="38" spans="1:6" ht="16.5">
      <c r="A38" s="34"/>
      <c r="B38" s="35" t="s">
        <v>17</v>
      </c>
      <c r="C38" s="38"/>
      <c r="D38" s="34"/>
      <c r="E38" s="34"/>
      <c r="F38" s="34"/>
    </row>
    <row r="39" spans="1:6" ht="16.5">
      <c r="A39" s="34"/>
      <c r="B39" s="35" t="s">
        <v>266</v>
      </c>
      <c r="C39" s="34"/>
      <c r="D39" s="34"/>
      <c r="E39" s="34"/>
      <c r="F39" s="34"/>
    </row>
    <row r="40" spans="1:6">
      <c r="C4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748"/>
  <sheetViews>
    <sheetView showGridLines="0" view="pageBreakPreview" zoomScale="115" zoomScaleNormal="100" zoomScaleSheetLayoutView="115" workbookViewId="0">
      <selection activeCell="D9" sqref="D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5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B6" s="41"/>
      <c r="C6" s="42"/>
      <c r="D6" s="42"/>
      <c r="E6" s="42"/>
    </row>
    <row r="7" spans="1:5" s="20" customFormat="1" ht="26.25" customHeight="1">
      <c r="A7" s="21"/>
      <c r="B7" s="116"/>
      <c r="C7" s="116"/>
      <c r="D7" s="116"/>
      <c r="E7" s="116"/>
    </row>
    <row r="8" spans="1:5" s="20" customFormat="1" ht="33" customHeight="1">
      <c r="A8" s="21"/>
      <c r="B8" s="116"/>
      <c r="C8" s="116"/>
      <c r="D8" s="116"/>
      <c r="E8" s="116"/>
    </row>
    <row r="9" spans="1:5" s="15" customFormat="1" ht="40.5" customHeight="1">
      <c r="B9" s="43" t="s">
        <v>25</v>
      </c>
      <c r="C9" s="44" t="s">
        <v>24</v>
      </c>
      <c r="D9" s="45" t="s">
        <v>20</v>
      </c>
      <c r="E9" s="43" t="s">
        <v>19</v>
      </c>
    </row>
    <row r="10" spans="1:5" ht="15" customHeight="1">
      <c r="B10" s="108" t="s">
        <v>80</v>
      </c>
      <c r="C10" s="57" t="s">
        <v>142</v>
      </c>
      <c r="D10" s="76">
        <v>2</v>
      </c>
      <c r="E10" s="69">
        <v>0</v>
      </c>
    </row>
    <row r="11" spans="1:5" ht="15" customHeight="1">
      <c r="B11" s="109"/>
      <c r="C11" s="57" t="s">
        <v>153</v>
      </c>
      <c r="D11" s="76">
        <v>4</v>
      </c>
      <c r="E11" s="69">
        <v>0</v>
      </c>
    </row>
    <row r="12" spans="1:5" ht="15" customHeight="1">
      <c r="B12" s="109"/>
      <c r="C12" s="57" t="s">
        <v>154</v>
      </c>
      <c r="D12" s="76">
        <v>2</v>
      </c>
      <c r="E12" s="69">
        <v>0</v>
      </c>
    </row>
    <row r="13" spans="1:5" ht="15" customHeight="1">
      <c r="B13" s="109"/>
      <c r="C13" s="57" t="s">
        <v>155</v>
      </c>
      <c r="D13" s="76">
        <v>1</v>
      </c>
      <c r="E13" s="69">
        <v>0</v>
      </c>
    </row>
    <row r="14" spans="1:5" ht="15" customHeight="1">
      <c r="B14" s="109"/>
      <c r="C14" s="57" t="s">
        <v>156</v>
      </c>
      <c r="D14" s="76">
        <v>1</v>
      </c>
      <c r="E14" s="69">
        <v>0</v>
      </c>
    </row>
    <row r="15" spans="1:5" ht="15" customHeight="1">
      <c r="B15" s="109"/>
      <c r="C15" s="57" t="s">
        <v>158</v>
      </c>
      <c r="D15" s="76">
        <v>3</v>
      </c>
      <c r="E15" s="69">
        <v>0</v>
      </c>
    </row>
    <row r="16" spans="1:5" ht="15" customHeight="1">
      <c r="B16" s="109"/>
      <c r="C16" s="57" t="s">
        <v>159</v>
      </c>
      <c r="D16" s="76">
        <v>1</v>
      </c>
      <c r="E16" s="69">
        <v>0</v>
      </c>
    </row>
    <row r="17" spans="2:5" ht="15" customHeight="1">
      <c r="B17" s="109"/>
      <c r="C17" s="57" t="s">
        <v>161</v>
      </c>
      <c r="D17" s="76">
        <v>1</v>
      </c>
      <c r="E17" s="69">
        <v>0</v>
      </c>
    </row>
    <row r="18" spans="2:5" ht="15" customHeight="1">
      <c r="B18" s="109"/>
      <c r="C18" s="57" t="s">
        <v>146</v>
      </c>
      <c r="D18" s="76">
        <v>2</v>
      </c>
      <c r="E18" s="69">
        <v>0</v>
      </c>
    </row>
    <row r="19" spans="2:5" ht="15" customHeight="1">
      <c r="B19" s="109"/>
      <c r="C19" s="57" t="s">
        <v>147</v>
      </c>
      <c r="D19" s="76">
        <v>2</v>
      </c>
      <c r="E19" s="69">
        <v>0</v>
      </c>
    </row>
    <row r="20" spans="2:5" ht="15" customHeight="1">
      <c r="B20" s="109"/>
      <c r="C20" s="57" t="s">
        <v>148</v>
      </c>
      <c r="D20" s="76">
        <v>3</v>
      </c>
      <c r="E20" s="69">
        <v>0</v>
      </c>
    </row>
    <row r="21" spans="2:5" ht="15" customHeight="1">
      <c r="B21" s="109"/>
      <c r="C21" s="57" t="s">
        <v>149</v>
      </c>
      <c r="D21" s="76">
        <v>19</v>
      </c>
      <c r="E21" s="69">
        <v>2E-3</v>
      </c>
    </row>
    <row r="22" spans="2:5" ht="15" customHeight="1">
      <c r="B22" s="110"/>
      <c r="C22" s="73" t="s">
        <v>265</v>
      </c>
      <c r="D22" s="67">
        <v>41</v>
      </c>
      <c r="E22" s="72">
        <v>5.0000000000000001E-3</v>
      </c>
    </row>
    <row r="23" spans="2:5" ht="15" customHeight="1">
      <c r="B23" s="108" t="s">
        <v>62</v>
      </c>
      <c r="C23" s="57" t="s">
        <v>142</v>
      </c>
      <c r="D23" s="76">
        <v>6</v>
      </c>
      <c r="E23" s="69">
        <v>1E-3</v>
      </c>
    </row>
    <row r="24" spans="2:5" ht="15" customHeight="1">
      <c r="B24" s="109"/>
      <c r="C24" s="57" t="s">
        <v>151</v>
      </c>
      <c r="D24" s="76">
        <v>1</v>
      </c>
      <c r="E24" s="69">
        <v>0</v>
      </c>
    </row>
    <row r="25" spans="2:5" ht="15" customHeight="1">
      <c r="B25" s="109"/>
      <c r="C25" s="57" t="s">
        <v>152</v>
      </c>
      <c r="D25" s="76">
        <v>3</v>
      </c>
      <c r="E25" s="69">
        <v>0</v>
      </c>
    </row>
    <row r="26" spans="2:5" ht="15" customHeight="1">
      <c r="B26" s="109"/>
      <c r="C26" s="57" t="s">
        <v>153</v>
      </c>
      <c r="D26" s="76">
        <v>7</v>
      </c>
      <c r="E26" s="69">
        <v>1E-3</v>
      </c>
    </row>
    <row r="27" spans="2:5" ht="15" customHeight="1">
      <c r="B27" s="109"/>
      <c r="C27" s="57" t="s">
        <v>154</v>
      </c>
      <c r="D27" s="76">
        <v>2</v>
      </c>
      <c r="E27" s="69">
        <v>0</v>
      </c>
    </row>
    <row r="28" spans="2:5" ht="15" customHeight="1">
      <c r="B28" s="109"/>
      <c r="C28" s="57" t="s">
        <v>235</v>
      </c>
      <c r="D28" s="76">
        <v>1</v>
      </c>
      <c r="E28" s="69">
        <v>0</v>
      </c>
    </row>
    <row r="29" spans="2:5" ht="15" customHeight="1">
      <c r="B29" s="109"/>
      <c r="C29" s="57" t="s">
        <v>155</v>
      </c>
      <c r="D29" s="76">
        <v>1</v>
      </c>
      <c r="E29" s="69">
        <v>0</v>
      </c>
    </row>
    <row r="30" spans="2:5" ht="15" customHeight="1">
      <c r="B30" s="109"/>
      <c r="C30" s="57" t="s">
        <v>156</v>
      </c>
      <c r="D30" s="76">
        <v>4</v>
      </c>
      <c r="E30" s="69">
        <v>0</v>
      </c>
    </row>
    <row r="31" spans="2:5" ht="15" customHeight="1">
      <c r="B31" s="109"/>
      <c r="C31" s="57" t="s">
        <v>144</v>
      </c>
      <c r="D31" s="76">
        <v>18</v>
      </c>
      <c r="E31" s="69">
        <v>2E-3</v>
      </c>
    </row>
    <row r="32" spans="2:5" ht="15" customHeight="1">
      <c r="B32" s="109"/>
      <c r="C32" s="57" t="s">
        <v>145</v>
      </c>
      <c r="D32" s="76">
        <v>5</v>
      </c>
      <c r="E32" s="69">
        <v>1E-3</v>
      </c>
    </row>
    <row r="33" spans="2:5" ht="15" customHeight="1">
      <c r="B33" s="109"/>
      <c r="C33" s="57" t="s">
        <v>157</v>
      </c>
      <c r="D33" s="76">
        <v>10</v>
      </c>
      <c r="E33" s="69">
        <v>1E-3</v>
      </c>
    </row>
    <row r="34" spans="2:5" ht="15" customHeight="1">
      <c r="B34" s="109"/>
      <c r="C34" s="57" t="s">
        <v>158</v>
      </c>
      <c r="D34" s="76">
        <v>3</v>
      </c>
      <c r="E34" s="69">
        <v>0</v>
      </c>
    </row>
    <row r="35" spans="2:5" ht="15" customHeight="1">
      <c r="B35" s="109"/>
      <c r="C35" s="57" t="s">
        <v>159</v>
      </c>
      <c r="D35" s="76">
        <v>11</v>
      </c>
      <c r="E35" s="69">
        <v>1E-3</v>
      </c>
    </row>
    <row r="36" spans="2:5" ht="15" customHeight="1">
      <c r="B36" s="109"/>
      <c r="C36" s="57" t="s">
        <v>161</v>
      </c>
      <c r="D36" s="76">
        <v>1</v>
      </c>
      <c r="E36" s="69">
        <v>0</v>
      </c>
    </row>
    <row r="37" spans="2:5" ht="15" customHeight="1">
      <c r="B37" s="109"/>
      <c r="C37" s="57" t="s">
        <v>146</v>
      </c>
      <c r="D37" s="76">
        <v>5</v>
      </c>
      <c r="E37" s="69">
        <v>1E-3</v>
      </c>
    </row>
    <row r="38" spans="2:5" ht="15" customHeight="1">
      <c r="B38" s="109"/>
      <c r="C38" s="57" t="s">
        <v>147</v>
      </c>
      <c r="D38" s="76">
        <v>10</v>
      </c>
      <c r="E38" s="69">
        <v>1E-3</v>
      </c>
    </row>
    <row r="39" spans="2:5" ht="15" customHeight="1">
      <c r="B39" s="109"/>
      <c r="C39" s="57" t="s">
        <v>148</v>
      </c>
      <c r="D39" s="76">
        <v>4</v>
      </c>
      <c r="E39" s="69">
        <v>0</v>
      </c>
    </row>
    <row r="40" spans="2:5" ht="15" customHeight="1">
      <c r="B40" s="109"/>
      <c r="C40" s="57" t="s">
        <v>149</v>
      </c>
      <c r="D40" s="76">
        <v>20</v>
      </c>
      <c r="E40" s="69">
        <v>2E-3</v>
      </c>
    </row>
    <row r="41" spans="2:5" ht="15" customHeight="1">
      <c r="B41" s="109"/>
      <c r="C41" s="57" t="s">
        <v>150</v>
      </c>
      <c r="D41" s="76">
        <v>1</v>
      </c>
      <c r="E41" s="69">
        <v>0</v>
      </c>
    </row>
    <row r="42" spans="2:5" ht="15" customHeight="1">
      <c r="B42" s="109"/>
      <c r="C42" s="57" t="s">
        <v>160</v>
      </c>
      <c r="D42" s="76">
        <v>1</v>
      </c>
      <c r="E42" s="69">
        <v>0</v>
      </c>
    </row>
    <row r="43" spans="2:5" ht="15" customHeight="1">
      <c r="B43" s="110"/>
      <c r="C43" s="73" t="s">
        <v>265</v>
      </c>
      <c r="D43" s="67">
        <v>114</v>
      </c>
      <c r="E43" s="72">
        <v>1.4E-2</v>
      </c>
    </row>
    <row r="44" spans="2:5" ht="15" customHeight="1">
      <c r="B44" s="108" t="s">
        <v>76</v>
      </c>
      <c r="C44" s="57" t="s">
        <v>151</v>
      </c>
      <c r="D44" s="76">
        <v>1</v>
      </c>
      <c r="E44" s="69">
        <v>0</v>
      </c>
    </row>
    <row r="45" spans="2:5" ht="15" customHeight="1">
      <c r="B45" s="109"/>
      <c r="C45" s="57" t="s">
        <v>143</v>
      </c>
      <c r="D45" s="76">
        <v>1</v>
      </c>
      <c r="E45" s="69">
        <v>0</v>
      </c>
    </row>
    <row r="46" spans="2:5" ht="15" customHeight="1">
      <c r="B46" s="109"/>
      <c r="C46" s="57" t="s">
        <v>152</v>
      </c>
      <c r="D46" s="76">
        <v>1</v>
      </c>
      <c r="E46" s="69">
        <v>0</v>
      </c>
    </row>
    <row r="47" spans="2:5" ht="15" customHeight="1">
      <c r="B47" s="109"/>
      <c r="C47" s="57" t="s">
        <v>153</v>
      </c>
      <c r="D47" s="76">
        <v>3</v>
      </c>
      <c r="E47" s="69">
        <v>0</v>
      </c>
    </row>
    <row r="48" spans="2:5" ht="15" customHeight="1">
      <c r="B48" s="109"/>
      <c r="C48" s="57" t="s">
        <v>154</v>
      </c>
      <c r="D48" s="76">
        <v>8</v>
      </c>
      <c r="E48" s="69">
        <v>1E-3</v>
      </c>
    </row>
    <row r="49" spans="2:5" ht="15" customHeight="1">
      <c r="B49" s="109"/>
      <c r="C49" s="57" t="s">
        <v>155</v>
      </c>
      <c r="D49" s="76">
        <v>1</v>
      </c>
      <c r="E49" s="69">
        <v>0</v>
      </c>
    </row>
    <row r="50" spans="2:5" ht="15" customHeight="1">
      <c r="B50" s="109"/>
      <c r="C50" s="57" t="s">
        <v>144</v>
      </c>
      <c r="D50" s="76">
        <v>2</v>
      </c>
      <c r="E50" s="69">
        <v>0</v>
      </c>
    </row>
    <row r="51" spans="2:5" ht="15" customHeight="1">
      <c r="B51" s="109"/>
      <c r="C51" s="57" t="s">
        <v>157</v>
      </c>
      <c r="D51" s="76">
        <v>3</v>
      </c>
      <c r="E51" s="69">
        <v>0</v>
      </c>
    </row>
    <row r="52" spans="2:5" ht="15" customHeight="1">
      <c r="B52" s="109"/>
      <c r="C52" s="57" t="s">
        <v>161</v>
      </c>
      <c r="D52" s="76">
        <v>1</v>
      </c>
      <c r="E52" s="69">
        <v>0</v>
      </c>
    </row>
    <row r="53" spans="2:5" ht="15" customHeight="1">
      <c r="B53" s="109"/>
      <c r="C53" s="57" t="s">
        <v>146</v>
      </c>
      <c r="D53" s="76">
        <v>2</v>
      </c>
      <c r="E53" s="69">
        <v>0</v>
      </c>
    </row>
    <row r="54" spans="2:5" ht="15" customHeight="1">
      <c r="B54" s="109"/>
      <c r="C54" s="57" t="s">
        <v>147</v>
      </c>
      <c r="D54" s="76">
        <v>7</v>
      </c>
      <c r="E54" s="69">
        <v>1E-3</v>
      </c>
    </row>
    <row r="55" spans="2:5" ht="15" customHeight="1">
      <c r="B55" s="109"/>
      <c r="C55" s="57" t="s">
        <v>149</v>
      </c>
      <c r="D55" s="76">
        <v>9</v>
      </c>
      <c r="E55" s="69">
        <v>1E-3</v>
      </c>
    </row>
    <row r="56" spans="2:5" ht="15" customHeight="1">
      <c r="B56" s="109"/>
      <c r="C56" s="57" t="s">
        <v>150</v>
      </c>
      <c r="D56" s="76">
        <v>1</v>
      </c>
      <c r="E56" s="69">
        <v>0</v>
      </c>
    </row>
    <row r="57" spans="2:5" ht="15" customHeight="1">
      <c r="B57" s="110"/>
      <c r="C57" s="73" t="s">
        <v>265</v>
      </c>
      <c r="D57" s="67">
        <v>40</v>
      </c>
      <c r="E57" s="72">
        <v>5.0000000000000001E-3</v>
      </c>
    </row>
    <row r="58" spans="2:5" ht="15" customHeight="1">
      <c r="B58" s="108" t="s">
        <v>59</v>
      </c>
      <c r="C58" s="57" t="s">
        <v>142</v>
      </c>
      <c r="D58" s="76">
        <v>4</v>
      </c>
      <c r="E58" s="69">
        <v>0</v>
      </c>
    </row>
    <row r="59" spans="2:5" ht="15" customHeight="1">
      <c r="B59" s="109"/>
      <c r="C59" s="57" t="s">
        <v>151</v>
      </c>
      <c r="D59" s="76">
        <v>7</v>
      </c>
      <c r="E59" s="69">
        <v>1E-3</v>
      </c>
    </row>
    <row r="60" spans="2:5" ht="15" customHeight="1">
      <c r="B60" s="109"/>
      <c r="C60" s="57" t="s">
        <v>143</v>
      </c>
      <c r="D60" s="76">
        <v>11</v>
      </c>
      <c r="E60" s="69">
        <v>1E-3</v>
      </c>
    </row>
    <row r="61" spans="2:5" ht="15" customHeight="1">
      <c r="B61" s="109"/>
      <c r="C61" s="57" t="s">
        <v>152</v>
      </c>
      <c r="D61" s="76">
        <v>2</v>
      </c>
      <c r="E61" s="69">
        <v>0</v>
      </c>
    </row>
    <row r="62" spans="2:5" ht="15" customHeight="1">
      <c r="B62" s="109"/>
      <c r="C62" s="57" t="s">
        <v>153</v>
      </c>
      <c r="D62" s="76">
        <v>21</v>
      </c>
      <c r="E62" s="69">
        <v>3.0000000000000001E-3</v>
      </c>
    </row>
    <row r="63" spans="2:5" ht="15" customHeight="1">
      <c r="B63" s="109"/>
      <c r="C63" s="57" t="s">
        <v>154</v>
      </c>
      <c r="D63" s="76">
        <v>11</v>
      </c>
      <c r="E63" s="69">
        <v>1E-3</v>
      </c>
    </row>
    <row r="64" spans="2:5" ht="15" customHeight="1">
      <c r="B64" s="109"/>
      <c r="C64" s="57" t="s">
        <v>155</v>
      </c>
      <c r="D64" s="76">
        <v>4</v>
      </c>
      <c r="E64" s="69">
        <v>0</v>
      </c>
    </row>
    <row r="65" spans="2:5" ht="15" customHeight="1">
      <c r="B65" s="109"/>
      <c r="C65" s="57" t="s">
        <v>156</v>
      </c>
      <c r="D65" s="76">
        <v>4</v>
      </c>
      <c r="E65" s="69">
        <v>0</v>
      </c>
    </row>
    <row r="66" spans="2:5" ht="15" customHeight="1">
      <c r="B66" s="109"/>
      <c r="C66" s="57" t="s">
        <v>144</v>
      </c>
      <c r="D66" s="76">
        <v>1</v>
      </c>
      <c r="E66" s="69">
        <v>0</v>
      </c>
    </row>
    <row r="67" spans="2:5" ht="15" customHeight="1">
      <c r="B67" s="109"/>
      <c r="C67" s="57" t="s">
        <v>145</v>
      </c>
      <c r="D67" s="76">
        <v>1</v>
      </c>
      <c r="E67" s="69">
        <v>0</v>
      </c>
    </row>
    <row r="68" spans="2:5" ht="15" customHeight="1">
      <c r="B68" s="109"/>
      <c r="C68" s="57" t="s">
        <v>157</v>
      </c>
      <c r="D68" s="76">
        <v>7</v>
      </c>
      <c r="E68" s="69">
        <v>1E-3</v>
      </c>
    </row>
    <row r="69" spans="2:5" ht="15" customHeight="1">
      <c r="B69" s="109"/>
      <c r="C69" s="57" t="s">
        <v>158</v>
      </c>
      <c r="D69" s="76">
        <v>1</v>
      </c>
      <c r="E69" s="69">
        <v>0</v>
      </c>
    </row>
    <row r="70" spans="2:5" ht="15" customHeight="1">
      <c r="B70" s="109"/>
      <c r="C70" s="57" t="s">
        <v>159</v>
      </c>
      <c r="D70" s="76">
        <v>4</v>
      </c>
      <c r="E70" s="69">
        <v>0</v>
      </c>
    </row>
    <row r="71" spans="2:5" ht="15" customHeight="1">
      <c r="B71" s="109"/>
      <c r="C71" s="57" t="s">
        <v>161</v>
      </c>
      <c r="D71" s="76">
        <v>1</v>
      </c>
      <c r="E71" s="69">
        <v>0</v>
      </c>
    </row>
    <row r="72" spans="2:5" ht="15" customHeight="1">
      <c r="B72" s="109"/>
      <c r="C72" s="57" t="s">
        <v>146</v>
      </c>
      <c r="D72" s="76">
        <v>4</v>
      </c>
      <c r="E72" s="69">
        <v>0</v>
      </c>
    </row>
    <row r="73" spans="2:5" ht="15" customHeight="1">
      <c r="B73" s="109"/>
      <c r="C73" s="57" t="s">
        <v>147</v>
      </c>
      <c r="D73" s="76">
        <v>28</v>
      </c>
      <c r="E73" s="69">
        <v>3.0000000000000001E-3</v>
      </c>
    </row>
    <row r="74" spans="2:5" ht="15" customHeight="1">
      <c r="B74" s="109"/>
      <c r="C74" s="57" t="s">
        <v>149</v>
      </c>
      <c r="D74" s="76">
        <v>39</v>
      </c>
      <c r="E74" s="69">
        <v>5.0000000000000001E-3</v>
      </c>
    </row>
    <row r="75" spans="2:5" ht="15" customHeight="1">
      <c r="B75" s="109"/>
      <c r="C75" s="57" t="s">
        <v>150</v>
      </c>
      <c r="D75" s="76">
        <v>6</v>
      </c>
      <c r="E75" s="69">
        <v>1E-3</v>
      </c>
    </row>
    <row r="76" spans="2:5" ht="15" customHeight="1">
      <c r="B76" s="109"/>
      <c r="C76" s="57" t="s">
        <v>160</v>
      </c>
      <c r="D76" s="76">
        <v>3</v>
      </c>
      <c r="E76" s="69">
        <v>0</v>
      </c>
    </row>
    <row r="77" spans="2:5" ht="15" customHeight="1">
      <c r="B77" s="110"/>
      <c r="C77" s="73" t="s">
        <v>265</v>
      </c>
      <c r="D77" s="67">
        <v>159</v>
      </c>
      <c r="E77" s="72">
        <v>1.9E-2</v>
      </c>
    </row>
    <row r="78" spans="2:5" ht="15" customHeight="1">
      <c r="B78" s="108" t="s">
        <v>91</v>
      </c>
      <c r="C78" s="57" t="s">
        <v>235</v>
      </c>
      <c r="D78" s="76">
        <v>1</v>
      </c>
      <c r="E78" s="69">
        <v>0</v>
      </c>
    </row>
    <row r="79" spans="2:5" ht="15" customHeight="1">
      <c r="B79" s="109"/>
      <c r="C79" s="57" t="s">
        <v>161</v>
      </c>
      <c r="D79" s="76">
        <v>1</v>
      </c>
      <c r="E79" s="69">
        <v>0</v>
      </c>
    </row>
    <row r="80" spans="2:5" ht="15" customHeight="1">
      <c r="B80" s="109"/>
      <c r="C80" s="57" t="s">
        <v>147</v>
      </c>
      <c r="D80" s="76">
        <v>2</v>
      </c>
      <c r="E80" s="69">
        <v>0</v>
      </c>
    </row>
    <row r="81" spans="2:5" ht="15" customHeight="1">
      <c r="B81" s="109"/>
      <c r="C81" s="57" t="s">
        <v>148</v>
      </c>
      <c r="D81" s="76">
        <v>1</v>
      </c>
      <c r="E81" s="69">
        <v>0</v>
      </c>
    </row>
    <row r="82" spans="2:5" ht="15" customHeight="1">
      <c r="B82" s="109"/>
      <c r="C82" s="57" t="s">
        <v>149</v>
      </c>
      <c r="D82" s="76">
        <v>4</v>
      </c>
      <c r="E82" s="69">
        <v>0</v>
      </c>
    </row>
    <row r="83" spans="2:5" ht="15" customHeight="1">
      <c r="B83" s="110"/>
      <c r="C83" s="73" t="s">
        <v>265</v>
      </c>
      <c r="D83" s="67">
        <v>9</v>
      </c>
      <c r="E83" s="72">
        <v>1E-3</v>
      </c>
    </row>
    <row r="84" spans="2:5" ht="15" customHeight="1">
      <c r="B84" s="108" t="s">
        <v>89</v>
      </c>
      <c r="C84" s="57" t="s">
        <v>161</v>
      </c>
      <c r="D84" s="76">
        <v>1</v>
      </c>
      <c r="E84" s="69">
        <v>0</v>
      </c>
    </row>
    <row r="85" spans="2:5" ht="15" customHeight="1">
      <c r="B85" s="109"/>
      <c r="C85" s="57" t="s">
        <v>148</v>
      </c>
      <c r="D85" s="76">
        <v>1</v>
      </c>
      <c r="E85" s="69">
        <v>0</v>
      </c>
    </row>
    <row r="86" spans="2:5" ht="15" customHeight="1">
      <c r="B86" s="110"/>
      <c r="C86" s="73" t="s">
        <v>265</v>
      </c>
      <c r="D86" s="67">
        <v>2</v>
      </c>
      <c r="E86" s="72">
        <v>0</v>
      </c>
    </row>
    <row r="87" spans="2:5" ht="15" customHeight="1">
      <c r="B87" s="108" t="s">
        <v>88</v>
      </c>
      <c r="C87" s="57" t="s">
        <v>151</v>
      </c>
      <c r="D87" s="76">
        <v>1</v>
      </c>
      <c r="E87" s="69">
        <v>0</v>
      </c>
    </row>
    <row r="88" spans="2:5" ht="15" customHeight="1">
      <c r="B88" s="109"/>
      <c r="C88" s="57" t="s">
        <v>143</v>
      </c>
      <c r="D88" s="76">
        <v>1</v>
      </c>
      <c r="E88" s="69">
        <v>0</v>
      </c>
    </row>
    <row r="89" spans="2:5" ht="15" customHeight="1">
      <c r="B89" s="109"/>
      <c r="C89" s="57" t="s">
        <v>153</v>
      </c>
      <c r="D89" s="76">
        <v>1</v>
      </c>
      <c r="E89" s="69">
        <v>0</v>
      </c>
    </row>
    <row r="90" spans="2:5" ht="15" customHeight="1">
      <c r="B90" s="109"/>
      <c r="C90" s="57" t="s">
        <v>156</v>
      </c>
      <c r="D90" s="76">
        <v>1</v>
      </c>
      <c r="E90" s="69">
        <v>0</v>
      </c>
    </row>
    <row r="91" spans="2:5" ht="15" customHeight="1">
      <c r="B91" s="109"/>
      <c r="C91" s="57" t="s">
        <v>159</v>
      </c>
      <c r="D91" s="76">
        <v>3</v>
      </c>
      <c r="E91" s="69">
        <v>0</v>
      </c>
    </row>
    <row r="92" spans="2:5" ht="15" customHeight="1">
      <c r="B92" s="109"/>
      <c r="C92" s="57" t="s">
        <v>147</v>
      </c>
      <c r="D92" s="76">
        <v>1</v>
      </c>
      <c r="E92" s="69">
        <v>0</v>
      </c>
    </row>
    <row r="93" spans="2:5" ht="15" customHeight="1">
      <c r="B93" s="109"/>
      <c r="C93" s="57" t="s">
        <v>148</v>
      </c>
      <c r="D93" s="76">
        <v>3</v>
      </c>
      <c r="E93" s="69">
        <v>0</v>
      </c>
    </row>
    <row r="94" spans="2:5" ht="15" customHeight="1">
      <c r="B94" s="109"/>
      <c r="C94" s="57" t="s">
        <v>149</v>
      </c>
      <c r="D94" s="76">
        <v>2</v>
      </c>
      <c r="E94" s="69">
        <v>0</v>
      </c>
    </row>
    <row r="95" spans="2:5" ht="15" customHeight="1">
      <c r="B95" s="109"/>
      <c r="C95" s="57" t="s">
        <v>160</v>
      </c>
      <c r="D95" s="76">
        <v>1</v>
      </c>
      <c r="E95" s="69">
        <v>0</v>
      </c>
    </row>
    <row r="96" spans="2:5" ht="15" customHeight="1">
      <c r="B96" s="110"/>
      <c r="C96" s="73" t="s">
        <v>265</v>
      </c>
      <c r="D96" s="67">
        <v>14</v>
      </c>
      <c r="E96" s="72">
        <v>2E-3</v>
      </c>
    </row>
    <row r="97" spans="2:5" ht="15" customHeight="1">
      <c r="B97" s="108" t="s">
        <v>54</v>
      </c>
      <c r="C97" s="57" t="s">
        <v>142</v>
      </c>
      <c r="D97" s="76">
        <v>3</v>
      </c>
      <c r="E97" s="69">
        <v>0</v>
      </c>
    </row>
    <row r="98" spans="2:5" ht="15" customHeight="1">
      <c r="B98" s="109"/>
      <c r="C98" s="57" t="s">
        <v>151</v>
      </c>
      <c r="D98" s="76">
        <v>3</v>
      </c>
      <c r="E98" s="69">
        <v>0</v>
      </c>
    </row>
    <row r="99" spans="2:5" ht="15" customHeight="1">
      <c r="B99" s="109"/>
      <c r="C99" s="57" t="s">
        <v>143</v>
      </c>
      <c r="D99" s="76">
        <v>3</v>
      </c>
      <c r="E99" s="69">
        <v>0</v>
      </c>
    </row>
    <row r="100" spans="2:5" ht="15" customHeight="1">
      <c r="B100" s="109"/>
      <c r="C100" s="57" t="s">
        <v>153</v>
      </c>
      <c r="D100" s="76">
        <v>26</v>
      </c>
      <c r="E100" s="69">
        <v>3.0000000000000001E-3</v>
      </c>
    </row>
    <row r="101" spans="2:5" ht="15" customHeight="1">
      <c r="B101" s="109"/>
      <c r="C101" s="57" t="s">
        <v>154</v>
      </c>
      <c r="D101" s="76">
        <v>2</v>
      </c>
      <c r="E101" s="69">
        <v>0</v>
      </c>
    </row>
    <row r="102" spans="2:5" ht="15" customHeight="1">
      <c r="B102" s="109"/>
      <c r="C102" s="57" t="s">
        <v>155</v>
      </c>
      <c r="D102" s="76">
        <v>4</v>
      </c>
      <c r="E102" s="69">
        <v>0</v>
      </c>
    </row>
    <row r="103" spans="2:5" ht="15" customHeight="1">
      <c r="B103" s="109"/>
      <c r="C103" s="57" t="s">
        <v>156</v>
      </c>
      <c r="D103" s="76">
        <v>19</v>
      </c>
      <c r="E103" s="69">
        <v>2E-3</v>
      </c>
    </row>
    <row r="104" spans="2:5" ht="15" customHeight="1">
      <c r="B104" s="109"/>
      <c r="C104" s="57" t="s">
        <v>144</v>
      </c>
      <c r="D104" s="76">
        <v>2</v>
      </c>
      <c r="E104" s="69">
        <v>0</v>
      </c>
    </row>
    <row r="105" spans="2:5" ht="15" customHeight="1">
      <c r="B105" s="109"/>
      <c r="C105" s="57" t="s">
        <v>145</v>
      </c>
      <c r="D105" s="76">
        <v>21</v>
      </c>
      <c r="E105" s="69">
        <v>3.0000000000000001E-3</v>
      </c>
    </row>
    <row r="106" spans="2:5" ht="15" customHeight="1">
      <c r="B106" s="109"/>
      <c r="C106" s="57" t="s">
        <v>157</v>
      </c>
      <c r="D106" s="76">
        <v>20</v>
      </c>
      <c r="E106" s="69">
        <v>2E-3</v>
      </c>
    </row>
    <row r="107" spans="2:5" ht="15" customHeight="1">
      <c r="B107" s="109"/>
      <c r="C107" s="57" t="s">
        <v>158</v>
      </c>
      <c r="D107" s="76">
        <v>22</v>
      </c>
      <c r="E107" s="69">
        <v>3.0000000000000001E-3</v>
      </c>
    </row>
    <row r="108" spans="2:5" ht="15" customHeight="1">
      <c r="B108" s="109"/>
      <c r="C108" s="57" t="s">
        <v>159</v>
      </c>
      <c r="D108" s="76">
        <v>12</v>
      </c>
      <c r="E108" s="69">
        <v>1E-3</v>
      </c>
    </row>
    <row r="109" spans="2:5" ht="15" customHeight="1">
      <c r="B109" s="109"/>
      <c r="C109" s="57" t="s">
        <v>161</v>
      </c>
      <c r="D109" s="76">
        <v>2</v>
      </c>
      <c r="E109" s="69">
        <v>0</v>
      </c>
    </row>
    <row r="110" spans="2:5" ht="15" customHeight="1">
      <c r="B110" s="109"/>
      <c r="C110" s="57" t="s">
        <v>146</v>
      </c>
      <c r="D110" s="76">
        <v>9</v>
      </c>
      <c r="E110" s="69">
        <v>1E-3</v>
      </c>
    </row>
    <row r="111" spans="2:5" ht="15" customHeight="1">
      <c r="B111" s="109"/>
      <c r="C111" s="57" t="s">
        <v>147</v>
      </c>
      <c r="D111" s="76">
        <v>35</v>
      </c>
      <c r="E111" s="69">
        <v>4.0000000000000001E-3</v>
      </c>
    </row>
    <row r="112" spans="2:5" ht="15" customHeight="1">
      <c r="B112" s="109"/>
      <c r="C112" s="57" t="s">
        <v>148</v>
      </c>
      <c r="D112" s="76">
        <v>6</v>
      </c>
      <c r="E112" s="69">
        <v>1E-3</v>
      </c>
    </row>
    <row r="113" spans="2:5" ht="15" customHeight="1">
      <c r="B113" s="109"/>
      <c r="C113" s="57" t="s">
        <v>149</v>
      </c>
      <c r="D113" s="76">
        <v>84</v>
      </c>
      <c r="E113" s="69">
        <v>0.01</v>
      </c>
    </row>
    <row r="114" spans="2:5" ht="15" customHeight="1">
      <c r="B114" s="109"/>
      <c r="C114" s="57" t="s">
        <v>150</v>
      </c>
      <c r="D114" s="76">
        <v>17</v>
      </c>
      <c r="E114" s="69">
        <v>2E-3</v>
      </c>
    </row>
    <row r="115" spans="2:5" ht="15" customHeight="1">
      <c r="B115" s="109"/>
      <c r="C115" s="57" t="s">
        <v>160</v>
      </c>
      <c r="D115" s="76">
        <v>3</v>
      </c>
      <c r="E115" s="69">
        <v>0</v>
      </c>
    </row>
    <row r="116" spans="2:5" ht="15" customHeight="1">
      <c r="B116" s="110"/>
      <c r="C116" s="73" t="s">
        <v>265</v>
      </c>
      <c r="D116" s="67">
        <v>293</v>
      </c>
      <c r="E116" s="72">
        <v>3.5000000000000003E-2</v>
      </c>
    </row>
    <row r="117" spans="2:5" ht="15" customHeight="1">
      <c r="B117" s="108" t="s">
        <v>61</v>
      </c>
      <c r="C117" s="57" t="s">
        <v>142</v>
      </c>
      <c r="D117" s="76">
        <v>5</v>
      </c>
      <c r="E117" s="69">
        <v>1E-3</v>
      </c>
    </row>
    <row r="118" spans="2:5" ht="15" customHeight="1">
      <c r="B118" s="109"/>
      <c r="C118" s="57" t="s">
        <v>151</v>
      </c>
      <c r="D118" s="76">
        <v>1</v>
      </c>
      <c r="E118" s="69">
        <v>0</v>
      </c>
    </row>
    <row r="119" spans="2:5" ht="15" customHeight="1">
      <c r="B119" s="109"/>
      <c r="C119" s="57" t="s">
        <v>143</v>
      </c>
      <c r="D119" s="76">
        <v>1</v>
      </c>
      <c r="E119" s="69">
        <v>0</v>
      </c>
    </row>
    <row r="120" spans="2:5" ht="15" customHeight="1">
      <c r="B120" s="109"/>
      <c r="C120" s="57" t="s">
        <v>152</v>
      </c>
      <c r="D120" s="76">
        <v>1</v>
      </c>
      <c r="E120" s="69">
        <v>0</v>
      </c>
    </row>
    <row r="121" spans="2:5" ht="15" customHeight="1">
      <c r="B121" s="109"/>
      <c r="C121" s="57" t="s">
        <v>153</v>
      </c>
      <c r="D121" s="76">
        <v>14</v>
      </c>
      <c r="E121" s="69">
        <v>2E-3</v>
      </c>
    </row>
    <row r="122" spans="2:5" ht="15" customHeight="1">
      <c r="B122" s="109"/>
      <c r="C122" s="57" t="s">
        <v>154</v>
      </c>
      <c r="D122" s="76">
        <v>3</v>
      </c>
      <c r="E122" s="69">
        <v>0</v>
      </c>
    </row>
    <row r="123" spans="2:5" ht="15" customHeight="1">
      <c r="B123" s="109"/>
      <c r="C123" s="57" t="s">
        <v>156</v>
      </c>
      <c r="D123" s="76">
        <v>2</v>
      </c>
      <c r="E123" s="69">
        <v>0</v>
      </c>
    </row>
    <row r="124" spans="2:5" ht="15" customHeight="1">
      <c r="B124" s="109"/>
      <c r="C124" s="57" t="s">
        <v>144</v>
      </c>
      <c r="D124" s="76">
        <v>1</v>
      </c>
      <c r="E124" s="69">
        <v>0</v>
      </c>
    </row>
    <row r="125" spans="2:5" ht="15" customHeight="1">
      <c r="B125" s="109"/>
      <c r="C125" s="57" t="s">
        <v>145</v>
      </c>
      <c r="D125" s="76">
        <v>2</v>
      </c>
      <c r="E125" s="69">
        <v>0</v>
      </c>
    </row>
    <row r="126" spans="2:5" ht="15" customHeight="1">
      <c r="B126" s="109"/>
      <c r="C126" s="57" t="s">
        <v>157</v>
      </c>
      <c r="D126" s="76">
        <v>1</v>
      </c>
      <c r="E126" s="69">
        <v>0</v>
      </c>
    </row>
    <row r="127" spans="2:5" ht="15" customHeight="1">
      <c r="B127" s="109"/>
      <c r="C127" s="57" t="s">
        <v>158</v>
      </c>
      <c r="D127" s="76">
        <v>4</v>
      </c>
      <c r="E127" s="69">
        <v>0</v>
      </c>
    </row>
    <row r="128" spans="2:5" ht="15" customHeight="1">
      <c r="B128" s="109"/>
      <c r="C128" s="57" t="s">
        <v>159</v>
      </c>
      <c r="D128" s="76">
        <v>5</v>
      </c>
      <c r="E128" s="69">
        <v>1E-3</v>
      </c>
    </row>
    <row r="129" spans="2:5" ht="15" customHeight="1">
      <c r="B129" s="109"/>
      <c r="C129" s="57" t="s">
        <v>146</v>
      </c>
      <c r="D129" s="76">
        <v>1</v>
      </c>
      <c r="E129" s="69">
        <v>0</v>
      </c>
    </row>
    <row r="130" spans="2:5" ht="15" customHeight="1">
      <c r="B130" s="109"/>
      <c r="C130" s="57" t="s">
        <v>147</v>
      </c>
      <c r="D130" s="76">
        <v>12</v>
      </c>
      <c r="E130" s="69">
        <v>1E-3</v>
      </c>
    </row>
    <row r="131" spans="2:5" ht="15" customHeight="1">
      <c r="B131" s="109"/>
      <c r="C131" s="57" t="s">
        <v>148</v>
      </c>
      <c r="D131" s="76">
        <v>2</v>
      </c>
      <c r="E131" s="69">
        <v>0</v>
      </c>
    </row>
    <row r="132" spans="2:5" ht="15" customHeight="1">
      <c r="B132" s="109"/>
      <c r="C132" s="57" t="s">
        <v>149</v>
      </c>
      <c r="D132" s="76">
        <v>25</v>
      </c>
      <c r="E132" s="69">
        <v>3.0000000000000001E-3</v>
      </c>
    </row>
    <row r="133" spans="2:5" ht="15" customHeight="1">
      <c r="B133" s="109"/>
      <c r="C133" s="57" t="s">
        <v>150</v>
      </c>
      <c r="D133" s="76">
        <v>5</v>
      </c>
      <c r="E133" s="69">
        <v>1E-3</v>
      </c>
    </row>
    <row r="134" spans="2:5" ht="15" customHeight="1">
      <c r="B134" s="109"/>
      <c r="C134" s="57" t="s">
        <v>160</v>
      </c>
      <c r="D134" s="76">
        <v>2</v>
      </c>
      <c r="E134" s="69">
        <v>0</v>
      </c>
    </row>
    <row r="135" spans="2:5" ht="15" customHeight="1">
      <c r="B135" s="110"/>
      <c r="C135" s="73" t="s">
        <v>265</v>
      </c>
      <c r="D135" s="67">
        <v>87</v>
      </c>
      <c r="E135" s="72">
        <v>0.01</v>
      </c>
    </row>
    <row r="136" spans="2:5" ht="15" customHeight="1">
      <c r="B136" s="108" t="s">
        <v>56</v>
      </c>
      <c r="C136" s="57" t="s">
        <v>142</v>
      </c>
      <c r="D136" s="76">
        <v>1</v>
      </c>
      <c r="E136" s="69">
        <v>0</v>
      </c>
    </row>
    <row r="137" spans="2:5" ht="15" customHeight="1">
      <c r="B137" s="109"/>
      <c r="C137" s="57" t="s">
        <v>151</v>
      </c>
      <c r="D137" s="76">
        <v>3</v>
      </c>
      <c r="E137" s="69">
        <v>0</v>
      </c>
    </row>
    <row r="138" spans="2:5" ht="15" customHeight="1">
      <c r="B138" s="109"/>
      <c r="C138" s="57" t="s">
        <v>143</v>
      </c>
      <c r="D138" s="76">
        <v>2</v>
      </c>
      <c r="E138" s="69">
        <v>0</v>
      </c>
    </row>
    <row r="139" spans="2:5" ht="15" customHeight="1">
      <c r="B139" s="109"/>
      <c r="C139" s="57" t="s">
        <v>152</v>
      </c>
      <c r="D139" s="76">
        <v>10</v>
      </c>
      <c r="E139" s="69">
        <v>1E-3</v>
      </c>
    </row>
    <row r="140" spans="2:5" ht="15" customHeight="1">
      <c r="B140" s="109"/>
      <c r="C140" s="57" t="s">
        <v>153</v>
      </c>
      <c r="D140" s="76">
        <v>19</v>
      </c>
      <c r="E140" s="69">
        <v>2E-3</v>
      </c>
    </row>
    <row r="141" spans="2:5" ht="15" customHeight="1">
      <c r="B141" s="109"/>
      <c r="C141" s="57" t="s">
        <v>154</v>
      </c>
      <c r="D141" s="76">
        <v>88</v>
      </c>
      <c r="E141" s="69">
        <v>1.0999999999999999E-2</v>
      </c>
    </row>
    <row r="142" spans="2:5" ht="15" customHeight="1">
      <c r="B142" s="109"/>
      <c r="C142" s="57" t="s">
        <v>235</v>
      </c>
      <c r="D142" s="76">
        <v>7</v>
      </c>
      <c r="E142" s="69">
        <v>1E-3</v>
      </c>
    </row>
    <row r="143" spans="2:5" ht="15" customHeight="1">
      <c r="B143" s="109"/>
      <c r="C143" s="57" t="s">
        <v>156</v>
      </c>
      <c r="D143" s="76">
        <v>3</v>
      </c>
      <c r="E143" s="69">
        <v>0</v>
      </c>
    </row>
    <row r="144" spans="2:5" ht="15" customHeight="1">
      <c r="B144" s="109"/>
      <c r="C144" s="57" t="s">
        <v>144</v>
      </c>
      <c r="D144" s="76">
        <v>1</v>
      </c>
      <c r="E144" s="69">
        <v>0</v>
      </c>
    </row>
    <row r="145" spans="2:5" ht="15" customHeight="1">
      <c r="B145" s="109"/>
      <c r="C145" s="57" t="s">
        <v>145</v>
      </c>
      <c r="D145" s="76">
        <v>6</v>
      </c>
      <c r="E145" s="69">
        <v>1E-3</v>
      </c>
    </row>
    <row r="146" spans="2:5" ht="15" customHeight="1">
      <c r="B146" s="109"/>
      <c r="C146" s="57" t="s">
        <v>157</v>
      </c>
      <c r="D146" s="76">
        <v>3</v>
      </c>
      <c r="E146" s="69">
        <v>0</v>
      </c>
    </row>
    <row r="147" spans="2:5" ht="15" customHeight="1">
      <c r="B147" s="109"/>
      <c r="C147" s="57" t="s">
        <v>158</v>
      </c>
      <c r="D147" s="76">
        <v>4</v>
      </c>
      <c r="E147" s="69">
        <v>0</v>
      </c>
    </row>
    <row r="148" spans="2:5" ht="15" customHeight="1">
      <c r="B148" s="109"/>
      <c r="C148" s="57" t="s">
        <v>159</v>
      </c>
      <c r="D148" s="76">
        <v>13</v>
      </c>
      <c r="E148" s="69">
        <v>2E-3</v>
      </c>
    </row>
    <row r="149" spans="2:5" ht="15" customHeight="1">
      <c r="B149" s="109"/>
      <c r="C149" s="57" t="s">
        <v>146</v>
      </c>
      <c r="D149" s="76">
        <v>1</v>
      </c>
      <c r="E149" s="69">
        <v>0</v>
      </c>
    </row>
    <row r="150" spans="2:5" ht="15" customHeight="1">
      <c r="B150" s="109"/>
      <c r="C150" s="57" t="s">
        <v>147</v>
      </c>
      <c r="D150" s="76">
        <v>31</v>
      </c>
      <c r="E150" s="69">
        <v>4.0000000000000001E-3</v>
      </c>
    </row>
    <row r="151" spans="2:5" ht="15" customHeight="1">
      <c r="B151" s="109"/>
      <c r="C151" s="57" t="s">
        <v>148</v>
      </c>
      <c r="D151" s="76">
        <v>6</v>
      </c>
      <c r="E151" s="69">
        <v>1E-3</v>
      </c>
    </row>
    <row r="152" spans="2:5" ht="15" customHeight="1">
      <c r="B152" s="109"/>
      <c r="C152" s="57" t="s">
        <v>149</v>
      </c>
      <c r="D152" s="76">
        <v>55</v>
      </c>
      <c r="E152" s="69">
        <v>7.0000000000000001E-3</v>
      </c>
    </row>
    <row r="153" spans="2:5" ht="15" customHeight="1">
      <c r="B153" s="109"/>
      <c r="C153" s="57" t="s">
        <v>150</v>
      </c>
      <c r="D153" s="76">
        <v>2</v>
      </c>
      <c r="E153" s="69">
        <v>0</v>
      </c>
    </row>
    <row r="154" spans="2:5" ht="15" customHeight="1">
      <c r="B154" s="109"/>
      <c r="C154" s="57" t="s">
        <v>160</v>
      </c>
      <c r="D154" s="76">
        <v>2</v>
      </c>
      <c r="E154" s="69">
        <v>0</v>
      </c>
    </row>
    <row r="155" spans="2:5" ht="15" customHeight="1">
      <c r="B155" s="110"/>
      <c r="C155" s="73" t="s">
        <v>265</v>
      </c>
      <c r="D155" s="67">
        <v>257</v>
      </c>
      <c r="E155" s="72">
        <v>3.1E-2</v>
      </c>
    </row>
    <row r="156" spans="2:5" ht="15" customHeight="1">
      <c r="B156" s="108" t="s">
        <v>74</v>
      </c>
      <c r="C156" s="57" t="s">
        <v>142</v>
      </c>
      <c r="D156" s="76">
        <v>1</v>
      </c>
      <c r="E156" s="69">
        <v>0</v>
      </c>
    </row>
    <row r="157" spans="2:5" ht="15" customHeight="1">
      <c r="B157" s="109"/>
      <c r="C157" s="57" t="s">
        <v>151</v>
      </c>
      <c r="D157" s="76">
        <v>1</v>
      </c>
      <c r="E157" s="69">
        <v>0</v>
      </c>
    </row>
    <row r="158" spans="2:5" ht="15" customHeight="1">
      <c r="B158" s="109"/>
      <c r="C158" s="57" t="s">
        <v>143</v>
      </c>
      <c r="D158" s="76">
        <v>1</v>
      </c>
      <c r="E158" s="69">
        <v>0</v>
      </c>
    </row>
    <row r="159" spans="2:5" ht="15" customHeight="1">
      <c r="B159" s="109"/>
      <c r="C159" s="57" t="s">
        <v>152</v>
      </c>
      <c r="D159" s="76">
        <v>1</v>
      </c>
      <c r="E159" s="69">
        <v>0</v>
      </c>
    </row>
    <row r="160" spans="2:5" ht="15" customHeight="1">
      <c r="B160" s="109"/>
      <c r="C160" s="57" t="s">
        <v>153</v>
      </c>
      <c r="D160" s="76">
        <v>8</v>
      </c>
      <c r="E160" s="69">
        <v>1E-3</v>
      </c>
    </row>
    <row r="161" spans="2:5" ht="15" customHeight="1">
      <c r="B161" s="109"/>
      <c r="C161" s="57" t="s">
        <v>154</v>
      </c>
      <c r="D161" s="76">
        <v>3</v>
      </c>
      <c r="E161" s="69">
        <v>0</v>
      </c>
    </row>
    <row r="162" spans="2:5" ht="15" customHeight="1">
      <c r="B162" s="109"/>
      <c r="C162" s="57" t="s">
        <v>155</v>
      </c>
      <c r="D162" s="76">
        <v>2</v>
      </c>
      <c r="E162" s="69">
        <v>0</v>
      </c>
    </row>
    <row r="163" spans="2:5" ht="15" customHeight="1">
      <c r="B163" s="109"/>
      <c r="C163" s="57" t="s">
        <v>156</v>
      </c>
      <c r="D163" s="76">
        <v>1</v>
      </c>
      <c r="E163" s="69">
        <v>0</v>
      </c>
    </row>
    <row r="164" spans="2:5" ht="15" customHeight="1">
      <c r="B164" s="109"/>
      <c r="C164" s="57" t="s">
        <v>145</v>
      </c>
      <c r="D164" s="76">
        <v>1</v>
      </c>
      <c r="E164" s="69">
        <v>0</v>
      </c>
    </row>
    <row r="165" spans="2:5" ht="15" customHeight="1">
      <c r="B165" s="109"/>
      <c r="C165" s="57" t="s">
        <v>157</v>
      </c>
      <c r="D165" s="76">
        <v>2</v>
      </c>
      <c r="E165" s="69">
        <v>0</v>
      </c>
    </row>
    <row r="166" spans="2:5" ht="15" customHeight="1">
      <c r="B166" s="109"/>
      <c r="C166" s="57" t="s">
        <v>159</v>
      </c>
      <c r="D166" s="76">
        <v>6</v>
      </c>
      <c r="E166" s="69">
        <v>1E-3</v>
      </c>
    </row>
    <row r="167" spans="2:5" ht="15" customHeight="1">
      <c r="B167" s="109"/>
      <c r="C167" s="57" t="s">
        <v>146</v>
      </c>
      <c r="D167" s="76">
        <v>5</v>
      </c>
      <c r="E167" s="69">
        <v>1E-3</v>
      </c>
    </row>
    <row r="168" spans="2:5" ht="15" customHeight="1">
      <c r="B168" s="109"/>
      <c r="C168" s="57" t="s">
        <v>147</v>
      </c>
      <c r="D168" s="76">
        <v>14</v>
      </c>
      <c r="E168" s="69">
        <v>2E-3</v>
      </c>
    </row>
    <row r="169" spans="2:5" ht="15" customHeight="1">
      <c r="B169" s="109"/>
      <c r="C169" s="57" t="s">
        <v>148</v>
      </c>
      <c r="D169" s="76">
        <v>3</v>
      </c>
      <c r="E169" s="69">
        <v>0</v>
      </c>
    </row>
    <row r="170" spans="2:5" ht="15" customHeight="1">
      <c r="B170" s="109"/>
      <c r="C170" s="57" t="s">
        <v>149</v>
      </c>
      <c r="D170" s="76">
        <v>15</v>
      </c>
      <c r="E170" s="69">
        <v>2E-3</v>
      </c>
    </row>
    <row r="171" spans="2:5" ht="15" customHeight="1">
      <c r="B171" s="109"/>
      <c r="C171" s="57" t="s">
        <v>150</v>
      </c>
      <c r="D171" s="76">
        <v>4</v>
      </c>
      <c r="E171" s="69">
        <v>0</v>
      </c>
    </row>
    <row r="172" spans="2:5" ht="15" customHeight="1">
      <c r="B172" s="109"/>
      <c r="C172" s="57" t="s">
        <v>160</v>
      </c>
      <c r="D172" s="76">
        <v>2</v>
      </c>
      <c r="E172" s="69">
        <v>0</v>
      </c>
    </row>
    <row r="173" spans="2:5" ht="15" customHeight="1">
      <c r="B173" s="110"/>
      <c r="C173" s="73" t="s">
        <v>265</v>
      </c>
      <c r="D173" s="67">
        <v>70</v>
      </c>
      <c r="E173" s="72">
        <v>8.0000000000000002E-3</v>
      </c>
    </row>
    <row r="174" spans="2:5" ht="15" customHeight="1">
      <c r="B174" s="108" t="s">
        <v>94</v>
      </c>
      <c r="C174" s="57" t="s">
        <v>159</v>
      </c>
      <c r="D174" s="76">
        <v>1</v>
      </c>
      <c r="E174" s="69">
        <v>0</v>
      </c>
    </row>
    <row r="175" spans="2:5" ht="15" customHeight="1">
      <c r="B175" s="109"/>
      <c r="C175" s="57" t="s">
        <v>150</v>
      </c>
      <c r="D175" s="76">
        <v>1</v>
      </c>
      <c r="E175" s="69">
        <v>0</v>
      </c>
    </row>
    <row r="176" spans="2:5" ht="15" customHeight="1">
      <c r="B176" s="110"/>
      <c r="C176" s="73" t="s">
        <v>265</v>
      </c>
      <c r="D176" s="67">
        <v>2</v>
      </c>
      <c r="E176" s="72">
        <v>0</v>
      </c>
    </row>
    <row r="177" spans="2:5" ht="15" customHeight="1">
      <c r="B177" s="108" t="s">
        <v>86</v>
      </c>
      <c r="C177" s="57" t="s">
        <v>142</v>
      </c>
      <c r="D177" s="76">
        <v>1</v>
      </c>
      <c r="E177" s="69">
        <v>0</v>
      </c>
    </row>
    <row r="178" spans="2:5" ht="15" customHeight="1">
      <c r="B178" s="109"/>
      <c r="C178" s="57" t="s">
        <v>153</v>
      </c>
      <c r="D178" s="76">
        <v>2</v>
      </c>
      <c r="E178" s="69">
        <v>0</v>
      </c>
    </row>
    <row r="179" spans="2:5" ht="15" customHeight="1">
      <c r="B179" s="109"/>
      <c r="C179" s="57" t="s">
        <v>159</v>
      </c>
      <c r="D179" s="76">
        <v>1</v>
      </c>
      <c r="E179" s="69">
        <v>0</v>
      </c>
    </row>
    <row r="180" spans="2:5" ht="15" customHeight="1">
      <c r="B180" s="109"/>
      <c r="C180" s="57" t="s">
        <v>149</v>
      </c>
      <c r="D180" s="76">
        <v>1</v>
      </c>
      <c r="E180" s="69">
        <v>0</v>
      </c>
    </row>
    <row r="181" spans="2:5" ht="15" customHeight="1">
      <c r="B181" s="109"/>
      <c r="C181" s="57" t="s">
        <v>150</v>
      </c>
      <c r="D181" s="76">
        <v>1</v>
      </c>
      <c r="E181" s="69">
        <v>0</v>
      </c>
    </row>
    <row r="182" spans="2:5" ht="15" customHeight="1">
      <c r="B182" s="110"/>
      <c r="C182" s="73" t="s">
        <v>265</v>
      </c>
      <c r="D182" s="67">
        <v>6</v>
      </c>
      <c r="E182" s="72">
        <v>1E-3</v>
      </c>
    </row>
    <row r="183" spans="2:5" ht="15" customHeight="1">
      <c r="B183" s="108" t="s">
        <v>75</v>
      </c>
      <c r="C183" s="57" t="s">
        <v>142</v>
      </c>
      <c r="D183" s="76">
        <v>1</v>
      </c>
      <c r="E183" s="69">
        <v>0</v>
      </c>
    </row>
    <row r="184" spans="2:5" ht="15" customHeight="1">
      <c r="B184" s="109"/>
      <c r="C184" s="57" t="s">
        <v>152</v>
      </c>
      <c r="D184" s="76">
        <v>1</v>
      </c>
      <c r="E184" s="69">
        <v>0</v>
      </c>
    </row>
    <row r="185" spans="2:5" ht="15" customHeight="1">
      <c r="B185" s="109"/>
      <c r="C185" s="57" t="s">
        <v>153</v>
      </c>
      <c r="D185" s="76">
        <v>2</v>
      </c>
      <c r="E185" s="69">
        <v>0</v>
      </c>
    </row>
    <row r="186" spans="2:5" ht="15" customHeight="1">
      <c r="B186" s="109"/>
      <c r="C186" s="57" t="s">
        <v>154</v>
      </c>
      <c r="D186" s="76">
        <v>1</v>
      </c>
      <c r="E186" s="69">
        <v>0</v>
      </c>
    </row>
    <row r="187" spans="2:5" ht="15" customHeight="1">
      <c r="B187" s="109"/>
      <c r="C187" s="57" t="s">
        <v>144</v>
      </c>
      <c r="D187" s="76">
        <v>2</v>
      </c>
      <c r="E187" s="69">
        <v>0</v>
      </c>
    </row>
    <row r="188" spans="2:5" ht="15" customHeight="1">
      <c r="B188" s="109"/>
      <c r="C188" s="57" t="s">
        <v>145</v>
      </c>
      <c r="D188" s="76">
        <v>3</v>
      </c>
      <c r="E188" s="69">
        <v>0</v>
      </c>
    </row>
    <row r="189" spans="2:5" ht="15" customHeight="1">
      <c r="B189" s="109"/>
      <c r="C189" s="57" t="s">
        <v>157</v>
      </c>
      <c r="D189" s="76">
        <v>5</v>
      </c>
      <c r="E189" s="69">
        <v>1E-3</v>
      </c>
    </row>
    <row r="190" spans="2:5" ht="15" customHeight="1">
      <c r="B190" s="109"/>
      <c r="C190" s="57" t="s">
        <v>158</v>
      </c>
      <c r="D190" s="76">
        <v>2</v>
      </c>
      <c r="E190" s="69">
        <v>0</v>
      </c>
    </row>
    <row r="191" spans="2:5" ht="15" customHeight="1">
      <c r="B191" s="109"/>
      <c r="C191" s="57" t="s">
        <v>159</v>
      </c>
      <c r="D191" s="76">
        <v>4</v>
      </c>
      <c r="E191" s="69">
        <v>0</v>
      </c>
    </row>
    <row r="192" spans="2:5" ht="15" customHeight="1">
      <c r="B192" s="109"/>
      <c r="C192" s="57" t="s">
        <v>146</v>
      </c>
      <c r="D192" s="76">
        <v>1</v>
      </c>
      <c r="E192" s="69">
        <v>0</v>
      </c>
    </row>
    <row r="193" spans="2:5" ht="15" customHeight="1">
      <c r="B193" s="109"/>
      <c r="C193" s="57" t="s">
        <v>147</v>
      </c>
      <c r="D193" s="76">
        <v>3</v>
      </c>
      <c r="E193" s="69">
        <v>0</v>
      </c>
    </row>
    <row r="194" spans="2:5" ht="15" customHeight="1">
      <c r="B194" s="109"/>
      <c r="C194" s="57" t="s">
        <v>148</v>
      </c>
      <c r="D194" s="76">
        <v>1</v>
      </c>
      <c r="E194" s="69">
        <v>0</v>
      </c>
    </row>
    <row r="195" spans="2:5" ht="15" customHeight="1">
      <c r="B195" s="109"/>
      <c r="C195" s="57" t="s">
        <v>149</v>
      </c>
      <c r="D195" s="76">
        <v>10</v>
      </c>
      <c r="E195" s="69">
        <v>1E-3</v>
      </c>
    </row>
    <row r="196" spans="2:5" ht="15" customHeight="1">
      <c r="B196" s="109"/>
      <c r="C196" s="57" t="s">
        <v>150</v>
      </c>
      <c r="D196" s="76">
        <v>1</v>
      </c>
      <c r="E196" s="69">
        <v>0</v>
      </c>
    </row>
    <row r="197" spans="2:5" ht="15" customHeight="1">
      <c r="B197" s="109"/>
      <c r="C197" s="57" t="s">
        <v>160</v>
      </c>
      <c r="D197" s="76">
        <v>1</v>
      </c>
      <c r="E197" s="69">
        <v>0</v>
      </c>
    </row>
    <row r="198" spans="2:5" ht="15" customHeight="1">
      <c r="B198" s="110"/>
      <c r="C198" s="73" t="s">
        <v>265</v>
      </c>
      <c r="D198" s="67">
        <v>38</v>
      </c>
      <c r="E198" s="72">
        <v>5.0000000000000001E-3</v>
      </c>
    </row>
    <row r="199" spans="2:5" ht="15" customHeight="1">
      <c r="B199" s="108" t="s">
        <v>47</v>
      </c>
      <c r="C199" s="57" t="s">
        <v>142</v>
      </c>
      <c r="D199" s="76">
        <v>38</v>
      </c>
      <c r="E199" s="69">
        <v>5.0000000000000001E-3</v>
      </c>
    </row>
    <row r="200" spans="2:5" ht="15" customHeight="1">
      <c r="B200" s="109"/>
      <c r="C200" s="57" t="s">
        <v>151</v>
      </c>
      <c r="D200" s="76">
        <v>18</v>
      </c>
      <c r="E200" s="69">
        <v>2E-3</v>
      </c>
    </row>
    <row r="201" spans="2:5" ht="15" customHeight="1">
      <c r="B201" s="109"/>
      <c r="C201" s="57" t="s">
        <v>143</v>
      </c>
      <c r="D201" s="76">
        <v>34</v>
      </c>
      <c r="E201" s="69">
        <v>4.0000000000000001E-3</v>
      </c>
    </row>
    <row r="202" spans="2:5" ht="15" customHeight="1">
      <c r="B202" s="109"/>
      <c r="C202" s="57" t="s">
        <v>152</v>
      </c>
      <c r="D202" s="76">
        <v>5</v>
      </c>
      <c r="E202" s="69">
        <v>1E-3</v>
      </c>
    </row>
    <row r="203" spans="2:5" ht="15" customHeight="1">
      <c r="B203" s="109"/>
      <c r="C203" s="57" t="s">
        <v>153</v>
      </c>
      <c r="D203" s="76">
        <v>92</v>
      </c>
      <c r="E203" s="69">
        <v>1.0999999999999999E-2</v>
      </c>
    </row>
    <row r="204" spans="2:5" ht="15" customHeight="1">
      <c r="B204" s="109"/>
      <c r="C204" s="57" t="s">
        <v>154</v>
      </c>
      <c r="D204" s="76">
        <v>6</v>
      </c>
      <c r="E204" s="69">
        <v>1E-3</v>
      </c>
    </row>
    <row r="205" spans="2:5" ht="15" customHeight="1">
      <c r="B205" s="109"/>
      <c r="C205" s="57" t="s">
        <v>235</v>
      </c>
      <c r="D205" s="76">
        <v>1</v>
      </c>
      <c r="E205" s="69">
        <v>0</v>
      </c>
    </row>
    <row r="206" spans="2:5" ht="15" customHeight="1">
      <c r="B206" s="109"/>
      <c r="C206" s="57" t="s">
        <v>155</v>
      </c>
      <c r="D206" s="76">
        <v>11</v>
      </c>
      <c r="E206" s="69">
        <v>1E-3</v>
      </c>
    </row>
    <row r="207" spans="2:5" ht="15" customHeight="1">
      <c r="B207" s="109"/>
      <c r="C207" s="57" t="s">
        <v>156</v>
      </c>
      <c r="D207" s="76">
        <v>21</v>
      </c>
      <c r="E207" s="69">
        <v>3.0000000000000001E-3</v>
      </c>
    </row>
    <row r="208" spans="2:5" ht="15" customHeight="1">
      <c r="B208" s="109"/>
      <c r="C208" s="57" t="s">
        <v>144</v>
      </c>
      <c r="D208" s="76">
        <v>12</v>
      </c>
      <c r="E208" s="69">
        <v>1E-3</v>
      </c>
    </row>
    <row r="209" spans="2:5" ht="15" customHeight="1">
      <c r="B209" s="109"/>
      <c r="C209" s="57" t="s">
        <v>145</v>
      </c>
      <c r="D209" s="76">
        <v>13</v>
      </c>
      <c r="E209" s="69">
        <v>2E-3</v>
      </c>
    </row>
    <row r="210" spans="2:5" ht="15" customHeight="1">
      <c r="B210" s="109"/>
      <c r="C210" s="57" t="s">
        <v>157</v>
      </c>
      <c r="D210" s="76">
        <v>20</v>
      </c>
      <c r="E210" s="69">
        <v>2E-3</v>
      </c>
    </row>
    <row r="211" spans="2:5" ht="15" customHeight="1">
      <c r="B211" s="109"/>
      <c r="C211" s="57" t="s">
        <v>158</v>
      </c>
      <c r="D211" s="76">
        <v>14</v>
      </c>
      <c r="E211" s="69">
        <v>2E-3</v>
      </c>
    </row>
    <row r="212" spans="2:5" ht="15" customHeight="1">
      <c r="B212" s="109"/>
      <c r="C212" s="57" t="s">
        <v>159</v>
      </c>
      <c r="D212" s="76">
        <v>39</v>
      </c>
      <c r="E212" s="69">
        <v>5.0000000000000001E-3</v>
      </c>
    </row>
    <row r="213" spans="2:5" ht="15" customHeight="1">
      <c r="B213" s="109"/>
      <c r="C213" s="57" t="s">
        <v>161</v>
      </c>
      <c r="D213" s="76">
        <v>8</v>
      </c>
      <c r="E213" s="69">
        <v>1E-3</v>
      </c>
    </row>
    <row r="214" spans="2:5" ht="15" customHeight="1">
      <c r="B214" s="109"/>
      <c r="C214" s="57" t="s">
        <v>146</v>
      </c>
      <c r="D214" s="76">
        <v>9</v>
      </c>
      <c r="E214" s="69">
        <v>1E-3</v>
      </c>
    </row>
    <row r="215" spans="2:5" ht="15" customHeight="1">
      <c r="B215" s="109"/>
      <c r="C215" s="57" t="s">
        <v>147</v>
      </c>
      <c r="D215" s="76">
        <v>94</v>
      </c>
      <c r="E215" s="69">
        <v>1.0999999999999999E-2</v>
      </c>
    </row>
    <row r="216" spans="2:5" ht="15" customHeight="1">
      <c r="B216" s="109"/>
      <c r="C216" s="57" t="s">
        <v>148</v>
      </c>
      <c r="D216" s="76">
        <v>27</v>
      </c>
      <c r="E216" s="69">
        <v>3.0000000000000001E-3</v>
      </c>
    </row>
    <row r="217" spans="2:5" ht="15" customHeight="1">
      <c r="B217" s="109"/>
      <c r="C217" s="57" t="s">
        <v>149</v>
      </c>
      <c r="D217" s="76">
        <v>136</v>
      </c>
      <c r="E217" s="69">
        <v>1.6E-2</v>
      </c>
    </row>
    <row r="218" spans="2:5" ht="15" customHeight="1">
      <c r="B218" s="109"/>
      <c r="C218" s="57" t="s">
        <v>150</v>
      </c>
      <c r="D218" s="76">
        <v>41</v>
      </c>
      <c r="E218" s="69">
        <v>5.0000000000000001E-3</v>
      </c>
    </row>
    <row r="219" spans="2:5" ht="15" customHeight="1">
      <c r="B219" s="109"/>
      <c r="C219" s="57" t="s">
        <v>160</v>
      </c>
      <c r="D219" s="76">
        <v>11</v>
      </c>
      <c r="E219" s="69">
        <v>1E-3</v>
      </c>
    </row>
    <row r="220" spans="2:5" ht="15" customHeight="1">
      <c r="B220" s="110"/>
      <c r="C220" s="73" t="s">
        <v>265</v>
      </c>
      <c r="D220" s="67">
        <v>650</v>
      </c>
      <c r="E220" s="72">
        <v>7.8E-2</v>
      </c>
    </row>
    <row r="221" spans="2:5" ht="15" customHeight="1">
      <c r="B221" s="108" t="s">
        <v>65</v>
      </c>
      <c r="C221" s="57" t="s">
        <v>142</v>
      </c>
      <c r="D221" s="76">
        <v>3</v>
      </c>
      <c r="E221" s="69">
        <v>0</v>
      </c>
    </row>
    <row r="222" spans="2:5" ht="15" customHeight="1">
      <c r="B222" s="109"/>
      <c r="C222" s="57" t="s">
        <v>151</v>
      </c>
      <c r="D222" s="76">
        <v>3</v>
      </c>
      <c r="E222" s="69">
        <v>0</v>
      </c>
    </row>
    <row r="223" spans="2:5" ht="15" customHeight="1">
      <c r="B223" s="109"/>
      <c r="C223" s="57" t="s">
        <v>143</v>
      </c>
      <c r="D223" s="76">
        <v>2</v>
      </c>
      <c r="E223" s="69">
        <v>0</v>
      </c>
    </row>
    <row r="224" spans="2:5" ht="15" customHeight="1">
      <c r="B224" s="109"/>
      <c r="C224" s="57" t="s">
        <v>152</v>
      </c>
      <c r="D224" s="76">
        <v>1</v>
      </c>
      <c r="E224" s="69">
        <v>0</v>
      </c>
    </row>
    <row r="225" spans="2:5" ht="15" customHeight="1">
      <c r="B225" s="109"/>
      <c r="C225" s="57" t="s">
        <v>153</v>
      </c>
      <c r="D225" s="76">
        <v>12</v>
      </c>
      <c r="E225" s="69">
        <v>1E-3</v>
      </c>
    </row>
    <row r="226" spans="2:5" ht="15" customHeight="1">
      <c r="B226" s="109"/>
      <c r="C226" s="57" t="s">
        <v>154</v>
      </c>
      <c r="D226" s="76">
        <v>2</v>
      </c>
      <c r="E226" s="69">
        <v>0</v>
      </c>
    </row>
    <row r="227" spans="2:5" ht="15" customHeight="1">
      <c r="B227" s="109"/>
      <c r="C227" s="57" t="s">
        <v>156</v>
      </c>
      <c r="D227" s="76">
        <v>3</v>
      </c>
      <c r="E227" s="69">
        <v>0</v>
      </c>
    </row>
    <row r="228" spans="2:5" ht="15" customHeight="1">
      <c r="B228" s="109"/>
      <c r="C228" s="57" t="s">
        <v>144</v>
      </c>
      <c r="D228" s="76">
        <v>3</v>
      </c>
      <c r="E228" s="69">
        <v>0</v>
      </c>
    </row>
    <row r="229" spans="2:5" ht="15" customHeight="1">
      <c r="B229" s="109"/>
      <c r="C229" s="57" t="s">
        <v>145</v>
      </c>
      <c r="D229" s="76">
        <v>2</v>
      </c>
      <c r="E229" s="69">
        <v>0</v>
      </c>
    </row>
    <row r="230" spans="2:5" ht="15" customHeight="1">
      <c r="B230" s="109"/>
      <c r="C230" s="57" t="s">
        <v>157</v>
      </c>
      <c r="D230" s="76">
        <v>6</v>
      </c>
      <c r="E230" s="69">
        <v>1E-3</v>
      </c>
    </row>
    <row r="231" spans="2:5" ht="15" customHeight="1">
      <c r="B231" s="109"/>
      <c r="C231" s="57" t="s">
        <v>158</v>
      </c>
      <c r="D231" s="76">
        <v>3</v>
      </c>
      <c r="E231" s="69">
        <v>0</v>
      </c>
    </row>
    <row r="232" spans="2:5" ht="15" customHeight="1">
      <c r="B232" s="109"/>
      <c r="C232" s="57" t="s">
        <v>159</v>
      </c>
      <c r="D232" s="76">
        <v>2</v>
      </c>
      <c r="E232" s="69">
        <v>0</v>
      </c>
    </row>
    <row r="233" spans="2:5" ht="15" customHeight="1">
      <c r="B233" s="109"/>
      <c r="C233" s="57" t="s">
        <v>161</v>
      </c>
      <c r="D233" s="76">
        <v>2</v>
      </c>
      <c r="E233" s="69">
        <v>0</v>
      </c>
    </row>
    <row r="234" spans="2:5" ht="15" customHeight="1">
      <c r="B234" s="109"/>
      <c r="C234" s="57" t="s">
        <v>146</v>
      </c>
      <c r="D234" s="76">
        <v>2</v>
      </c>
      <c r="E234" s="69">
        <v>0</v>
      </c>
    </row>
    <row r="235" spans="2:5" ht="15" customHeight="1">
      <c r="B235" s="109"/>
      <c r="C235" s="57" t="s">
        <v>147</v>
      </c>
      <c r="D235" s="76">
        <v>21</v>
      </c>
      <c r="E235" s="69">
        <v>3.0000000000000001E-3</v>
      </c>
    </row>
    <row r="236" spans="2:5" ht="15" customHeight="1">
      <c r="B236" s="109"/>
      <c r="C236" s="57" t="s">
        <v>148</v>
      </c>
      <c r="D236" s="76">
        <v>2</v>
      </c>
      <c r="E236" s="69">
        <v>0</v>
      </c>
    </row>
    <row r="237" spans="2:5" ht="15" customHeight="1">
      <c r="B237" s="109"/>
      <c r="C237" s="57" t="s">
        <v>149</v>
      </c>
      <c r="D237" s="76">
        <v>34</v>
      </c>
      <c r="E237" s="69">
        <v>4.0000000000000001E-3</v>
      </c>
    </row>
    <row r="238" spans="2:5" ht="15" customHeight="1">
      <c r="B238" s="109"/>
      <c r="C238" s="57" t="s">
        <v>150</v>
      </c>
      <c r="D238" s="76">
        <v>2</v>
      </c>
      <c r="E238" s="69">
        <v>0</v>
      </c>
    </row>
    <row r="239" spans="2:5" ht="15" customHeight="1">
      <c r="B239" s="109"/>
      <c r="C239" s="57" t="s">
        <v>160</v>
      </c>
      <c r="D239" s="76">
        <v>5</v>
      </c>
      <c r="E239" s="69">
        <v>1E-3</v>
      </c>
    </row>
    <row r="240" spans="2:5" ht="15" customHeight="1">
      <c r="B240" s="110"/>
      <c r="C240" s="73" t="s">
        <v>265</v>
      </c>
      <c r="D240" s="67">
        <v>110</v>
      </c>
      <c r="E240" s="72">
        <v>1.2999999999999999E-2</v>
      </c>
    </row>
    <row r="241" spans="2:5" ht="15" customHeight="1">
      <c r="B241" s="108" t="s">
        <v>68</v>
      </c>
      <c r="C241" s="57" t="s">
        <v>153</v>
      </c>
      <c r="D241" s="76">
        <v>5</v>
      </c>
      <c r="E241" s="69">
        <v>1E-3</v>
      </c>
    </row>
    <row r="242" spans="2:5" ht="15" customHeight="1">
      <c r="B242" s="109"/>
      <c r="C242" s="57" t="s">
        <v>144</v>
      </c>
      <c r="D242" s="76">
        <v>2</v>
      </c>
      <c r="E242" s="69">
        <v>0</v>
      </c>
    </row>
    <row r="243" spans="2:5" ht="15" customHeight="1">
      <c r="B243" s="109"/>
      <c r="C243" s="57" t="s">
        <v>145</v>
      </c>
      <c r="D243" s="76">
        <v>1</v>
      </c>
      <c r="E243" s="69">
        <v>0</v>
      </c>
    </row>
    <row r="244" spans="2:5" ht="15" customHeight="1">
      <c r="B244" s="109"/>
      <c r="C244" s="57" t="s">
        <v>157</v>
      </c>
      <c r="D244" s="76">
        <v>1</v>
      </c>
      <c r="E244" s="69">
        <v>0</v>
      </c>
    </row>
    <row r="245" spans="2:5" ht="15" customHeight="1">
      <c r="B245" s="109"/>
      <c r="C245" s="57" t="s">
        <v>158</v>
      </c>
      <c r="D245" s="76">
        <v>1</v>
      </c>
      <c r="E245" s="69">
        <v>0</v>
      </c>
    </row>
    <row r="246" spans="2:5" ht="15" customHeight="1">
      <c r="B246" s="109"/>
      <c r="C246" s="57" t="s">
        <v>159</v>
      </c>
      <c r="D246" s="76">
        <v>3</v>
      </c>
      <c r="E246" s="69">
        <v>0</v>
      </c>
    </row>
    <row r="247" spans="2:5" ht="15" customHeight="1">
      <c r="B247" s="109"/>
      <c r="C247" s="57" t="s">
        <v>146</v>
      </c>
      <c r="D247" s="76">
        <v>1</v>
      </c>
      <c r="E247" s="69">
        <v>0</v>
      </c>
    </row>
    <row r="248" spans="2:5" ht="15" customHeight="1">
      <c r="B248" s="109"/>
      <c r="C248" s="57" t="s">
        <v>147</v>
      </c>
      <c r="D248" s="76">
        <v>16</v>
      </c>
      <c r="E248" s="69">
        <v>2E-3</v>
      </c>
    </row>
    <row r="249" spans="2:5" ht="15" customHeight="1">
      <c r="B249" s="109"/>
      <c r="C249" s="57" t="s">
        <v>148</v>
      </c>
      <c r="D249" s="76">
        <v>2</v>
      </c>
      <c r="E249" s="69">
        <v>0</v>
      </c>
    </row>
    <row r="250" spans="2:5" ht="15" customHeight="1">
      <c r="B250" s="109"/>
      <c r="C250" s="57" t="s">
        <v>149</v>
      </c>
      <c r="D250" s="76">
        <v>16</v>
      </c>
      <c r="E250" s="69">
        <v>2E-3</v>
      </c>
    </row>
    <row r="251" spans="2:5" ht="15" customHeight="1">
      <c r="B251" s="109"/>
      <c r="C251" s="57" t="s">
        <v>150</v>
      </c>
      <c r="D251" s="76">
        <v>7</v>
      </c>
      <c r="E251" s="69">
        <v>1E-3</v>
      </c>
    </row>
    <row r="252" spans="2:5" ht="15" customHeight="1">
      <c r="B252" s="109"/>
      <c r="C252" s="57" t="s">
        <v>160</v>
      </c>
      <c r="D252" s="76">
        <v>1</v>
      </c>
      <c r="E252" s="69">
        <v>0</v>
      </c>
    </row>
    <row r="253" spans="2:5" ht="15" customHeight="1">
      <c r="B253" s="110"/>
      <c r="C253" s="73" t="s">
        <v>265</v>
      </c>
      <c r="D253" s="67">
        <v>56</v>
      </c>
      <c r="E253" s="72">
        <v>7.0000000000000001E-3</v>
      </c>
    </row>
    <row r="254" spans="2:5" ht="15" customHeight="1">
      <c r="B254" s="108" t="s">
        <v>69</v>
      </c>
      <c r="C254" s="57" t="s">
        <v>142</v>
      </c>
      <c r="D254" s="76">
        <v>3</v>
      </c>
      <c r="E254" s="69">
        <v>0</v>
      </c>
    </row>
    <row r="255" spans="2:5" ht="15" customHeight="1">
      <c r="B255" s="109"/>
      <c r="C255" s="57" t="s">
        <v>151</v>
      </c>
      <c r="D255" s="76">
        <v>1</v>
      </c>
      <c r="E255" s="69">
        <v>0</v>
      </c>
    </row>
    <row r="256" spans="2:5" ht="15" customHeight="1">
      <c r="B256" s="109"/>
      <c r="C256" s="57" t="s">
        <v>153</v>
      </c>
      <c r="D256" s="76">
        <v>1</v>
      </c>
      <c r="E256" s="69">
        <v>0</v>
      </c>
    </row>
    <row r="257" spans="2:5" ht="15" customHeight="1">
      <c r="B257" s="109"/>
      <c r="C257" s="57" t="s">
        <v>154</v>
      </c>
      <c r="D257" s="76">
        <v>4</v>
      </c>
      <c r="E257" s="69">
        <v>0</v>
      </c>
    </row>
    <row r="258" spans="2:5" ht="15" customHeight="1">
      <c r="B258" s="109"/>
      <c r="C258" s="57" t="s">
        <v>235</v>
      </c>
      <c r="D258" s="76">
        <v>1</v>
      </c>
      <c r="E258" s="69">
        <v>0</v>
      </c>
    </row>
    <row r="259" spans="2:5" ht="15" customHeight="1">
      <c r="B259" s="109"/>
      <c r="C259" s="57" t="s">
        <v>155</v>
      </c>
      <c r="D259" s="76">
        <v>1</v>
      </c>
      <c r="E259" s="69">
        <v>0</v>
      </c>
    </row>
    <row r="260" spans="2:5" ht="15" customHeight="1">
      <c r="B260" s="109"/>
      <c r="C260" s="57" t="s">
        <v>156</v>
      </c>
      <c r="D260" s="76">
        <v>2</v>
      </c>
      <c r="E260" s="69">
        <v>0</v>
      </c>
    </row>
    <row r="261" spans="2:5" ht="15" customHeight="1">
      <c r="B261" s="109"/>
      <c r="C261" s="57" t="s">
        <v>145</v>
      </c>
      <c r="D261" s="76">
        <v>1</v>
      </c>
      <c r="E261" s="69">
        <v>0</v>
      </c>
    </row>
    <row r="262" spans="2:5" ht="15" customHeight="1">
      <c r="B262" s="109"/>
      <c r="C262" s="57" t="s">
        <v>157</v>
      </c>
      <c r="D262" s="76">
        <v>3</v>
      </c>
      <c r="E262" s="69">
        <v>0</v>
      </c>
    </row>
    <row r="263" spans="2:5" ht="15" customHeight="1">
      <c r="B263" s="109"/>
      <c r="C263" s="57" t="s">
        <v>159</v>
      </c>
      <c r="D263" s="76">
        <v>1</v>
      </c>
      <c r="E263" s="69">
        <v>0</v>
      </c>
    </row>
    <row r="264" spans="2:5" ht="15" customHeight="1">
      <c r="B264" s="109"/>
      <c r="C264" s="57" t="s">
        <v>146</v>
      </c>
      <c r="D264" s="76">
        <v>1</v>
      </c>
      <c r="E264" s="69">
        <v>0</v>
      </c>
    </row>
    <row r="265" spans="2:5" ht="15" customHeight="1">
      <c r="B265" s="109"/>
      <c r="C265" s="57" t="s">
        <v>147</v>
      </c>
      <c r="D265" s="76">
        <v>12</v>
      </c>
      <c r="E265" s="69">
        <v>1E-3</v>
      </c>
    </row>
    <row r="266" spans="2:5" ht="15" customHeight="1">
      <c r="B266" s="109"/>
      <c r="C266" s="57" t="s">
        <v>148</v>
      </c>
      <c r="D266" s="76">
        <v>7</v>
      </c>
      <c r="E266" s="69">
        <v>1E-3</v>
      </c>
    </row>
    <row r="267" spans="2:5" ht="15" customHeight="1">
      <c r="B267" s="109"/>
      <c r="C267" s="57" t="s">
        <v>149</v>
      </c>
      <c r="D267" s="76">
        <v>9</v>
      </c>
      <c r="E267" s="69">
        <v>1E-3</v>
      </c>
    </row>
    <row r="268" spans="2:5" ht="15" customHeight="1">
      <c r="B268" s="109"/>
      <c r="C268" s="57" t="s">
        <v>150</v>
      </c>
      <c r="D268" s="76">
        <v>5</v>
      </c>
      <c r="E268" s="69">
        <v>1E-3</v>
      </c>
    </row>
    <row r="269" spans="2:5" ht="15" customHeight="1">
      <c r="B269" s="109"/>
      <c r="C269" s="57" t="s">
        <v>160</v>
      </c>
      <c r="D269" s="76">
        <v>1</v>
      </c>
      <c r="E269" s="69">
        <v>0</v>
      </c>
    </row>
    <row r="270" spans="2:5" ht="15" customHeight="1">
      <c r="B270" s="110"/>
      <c r="C270" s="73" t="s">
        <v>265</v>
      </c>
      <c r="D270" s="67">
        <v>53</v>
      </c>
      <c r="E270" s="72">
        <v>6.0000000000000001E-3</v>
      </c>
    </row>
    <row r="271" spans="2:5" ht="15" customHeight="1">
      <c r="B271" s="108" t="s">
        <v>90</v>
      </c>
      <c r="C271" s="57" t="s">
        <v>153</v>
      </c>
      <c r="D271" s="76">
        <v>2</v>
      </c>
      <c r="E271" s="69">
        <v>0</v>
      </c>
    </row>
    <row r="272" spans="2:5" ht="15" customHeight="1">
      <c r="B272" s="109"/>
      <c r="C272" s="57" t="s">
        <v>144</v>
      </c>
      <c r="D272" s="76">
        <v>1</v>
      </c>
      <c r="E272" s="69">
        <v>0</v>
      </c>
    </row>
    <row r="273" spans="2:5" ht="15" customHeight="1">
      <c r="B273" s="109"/>
      <c r="C273" s="57" t="s">
        <v>149</v>
      </c>
      <c r="D273" s="76">
        <v>2</v>
      </c>
      <c r="E273" s="69">
        <v>0</v>
      </c>
    </row>
    <row r="274" spans="2:5" ht="15" customHeight="1">
      <c r="B274" s="110"/>
      <c r="C274" s="73" t="s">
        <v>265</v>
      </c>
      <c r="D274" s="67">
        <v>5</v>
      </c>
      <c r="E274" s="72">
        <v>1E-3</v>
      </c>
    </row>
    <row r="275" spans="2:5" ht="15" customHeight="1">
      <c r="B275" s="108" t="s">
        <v>49</v>
      </c>
      <c r="C275" s="57" t="s">
        <v>142</v>
      </c>
      <c r="D275" s="76">
        <v>13</v>
      </c>
      <c r="E275" s="69">
        <v>2E-3</v>
      </c>
    </row>
    <row r="276" spans="2:5" ht="15" customHeight="1">
      <c r="B276" s="109"/>
      <c r="C276" s="57" t="s">
        <v>151</v>
      </c>
      <c r="D276" s="76">
        <v>20</v>
      </c>
      <c r="E276" s="69">
        <v>2E-3</v>
      </c>
    </row>
    <row r="277" spans="2:5" ht="15" customHeight="1">
      <c r="B277" s="109"/>
      <c r="C277" s="57" t="s">
        <v>143</v>
      </c>
      <c r="D277" s="76">
        <v>8</v>
      </c>
      <c r="E277" s="69">
        <v>1E-3</v>
      </c>
    </row>
    <row r="278" spans="2:5" ht="15" customHeight="1">
      <c r="B278" s="109"/>
      <c r="C278" s="57" t="s">
        <v>152</v>
      </c>
      <c r="D278" s="76">
        <v>5</v>
      </c>
      <c r="E278" s="69">
        <v>1E-3</v>
      </c>
    </row>
    <row r="279" spans="2:5" ht="15" customHeight="1">
      <c r="B279" s="109"/>
      <c r="C279" s="57" t="s">
        <v>153</v>
      </c>
      <c r="D279" s="76">
        <v>25</v>
      </c>
      <c r="E279" s="69">
        <v>3.0000000000000001E-3</v>
      </c>
    </row>
    <row r="280" spans="2:5" ht="15" customHeight="1">
      <c r="B280" s="109"/>
      <c r="C280" s="57" t="s">
        <v>154</v>
      </c>
      <c r="D280" s="76">
        <v>5</v>
      </c>
      <c r="E280" s="69">
        <v>1E-3</v>
      </c>
    </row>
    <row r="281" spans="2:5" ht="15" customHeight="1">
      <c r="B281" s="109"/>
      <c r="C281" s="57" t="s">
        <v>235</v>
      </c>
      <c r="D281" s="76">
        <v>15</v>
      </c>
      <c r="E281" s="69">
        <v>2E-3</v>
      </c>
    </row>
    <row r="282" spans="2:5" ht="15" customHeight="1">
      <c r="B282" s="109"/>
      <c r="C282" s="57" t="s">
        <v>155</v>
      </c>
      <c r="D282" s="76">
        <v>1</v>
      </c>
      <c r="E282" s="69">
        <v>0</v>
      </c>
    </row>
    <row r="283" spans="2:5" ht="15" customHeight="1">
      <c r="B283" s="109"/>
      <c r="C283" s="57" t="s">
        <v>156</v>
      </c>
      <c r="D283" s="76">
        <v>51</v>
      </c>
      <c r="E283" s="69">
        <v>6.0000000000000001E-3</v>
      </c>
    </row>
    <row r="284" spans="2:5" ht="15" customHeight="1">
      <c r="B284" s="109"/>
      <c r="C284" s="57" t="s">
        <v>144</v>
      </c>
      <c r="D284" s="76">
        <v>9</v>
      </c>
      <c r="E284" s="69">
        <v>1E-3</v>
      </c>
    </row>
    <row r="285" spans="2:5" ht="15" customHeight="1">
      <c r="B285" s="109"/>
      <c r="C285" s="57" t="s">
        <v>145</v>
      </c>
      <c r="D285" s="76">
        <v>10</v>
      </c>
      <c r="E285" s="69">
        <v>1E-3</v>
      </c>
    </row>
    <row r="286" spans="2:5" ht="15" customHeight="1">
      <c r="B286" s="109"/>
      <c r="C286" s="57" t="s">
        <v>157</v>
      </c>
      <c r="D286" s="76">
        <v>7</v>
      </c>
      <c r="E286" s="69">
        <v>1E-3</v>
      </c>
    </row>
    <row r="287" spans="2:5" ht="15" customHeight="1">
      <c r="B287" s="109"/>
      <c r="C287" s="57" t="s">
        <v>158</v>
      </c>
      <c r="D287" s="76">
        <v>4</v>
      </c>
      <c r="E287" s="69">
        <v>0</v>
      </c>
    </row>
    <row r="288" spans="2:5" ht="15" customHeight="1">
      <c r="B288" s="109"/>
      <c r="C288" s="57" t="s">
        <v>159</v>
      </c>
      <c r="D288" s="76">
        <v>47</v>
      </c>
      <c r="E288" s="69">
        <v>6.0000000000000001E-3</v>
      </c>
    </row>
    <row r="289" spans="2:5" ht="15" customHeight="1">
      <c r="B289" s="109"/>
      <c r="C289" s="57" t="s">
        <v>161</v>
      </c>
      <c r="D289" s="76">
        <v>1</v>
      </c>
      <c r="E289" s="69">
        <v>0</v>
      </c>
    </row>
    <row r="290" spans="2:5" ht="15" customHeight="1">
      <c r="B290" s="109"/>
      <c r="C290" s="57" t="s">
        <v>146</v>
      </c>
      <c r="D290" s="76">
        <v>15</v>
      </c>
      <c r="E290" s="69">
        <v>2E-3</v>
      </c>
    </row>
    <row r="291" spans="2:5" ht="15" customHeight="1">
      <c r="B291" s="109"/>
      <c r="C291" s="57" t="s">
        <v>147</v>
      </c>
      <c r="D291" s="76">
        <v>64</v>
      </c>
      <c r="E291" s="69">
        <v>8.0000000000000002E-3</v>
      </c>
    </row>
    <row r="292" spans="2:5" ht="15" customHeight="1">
      <c r="B292" s="109"/>
      <c r="C292" s="57" t="s">
        <v>148</v>
      </c>
      <c r="D292" s="76">
        <v>12</v>
      </c>
      <c r="E292" s="69">
        <v>1E-3</v>
      </c>
    </row>
    <row r="293" spans="2:5" ht="15" customHeight="1">
      <c r="B293" s="109"/>
      <c r="C293" s="57" t="s">
        <v>149</v>
      </c>
      <c r="D293" s="76">
        <v>111</v>
      </c>
      <c r="E293" s="69">
        <v>1.2999999999999999E-2</v>
      </c>
    </row>
    <row r="294" spans="2:5" ht="15" customHeight="1">
      <c r="B294" s="109"/>
      <c r="C294" s="57" t="s">
        <v>150</v>
      </c>
      <c r="D294" s="76">
        <v>22</v>
      </c>
      <c r="E294" s="69">
        <v>3.0000000000000001E-3</v>
      </c>
    </row>
    <row r="295" spans="2:5" ht="15" customHeight="1">
      <c r="B295" s="109"/>
      <c r="C295" s="57" t="s">
        <v>160</v>
      </c>
      <c r="D295" s="76">
        <v>9</v>
      </c>
      <c r="E295" s="69">
        <v>1E-3</v>
      </c>
    </row>
    <row r="296" spans="2:5" ht="15" customHeight="1">
      <c r="B296" s="110"/>
      <c r="C296" s="73" t="s">
        <v>265</v>
      </c>
      <c r="D296" s="67">
        <v>454</v>
      </c>
      <c r="E296" s="72">
        <v>5.3999999999999999E-2</v>
      </c>
    </row>
    <row r="297" spans="2:5" ht="15" customHeight="1">
      <c r="B297" s="108" t="s">
        <v>70</v>
      </c>
      <c r="C297" s="57" t="s">
        <v>142</v>
      </c>
      <c r="D297" s="76">
        <v>4</v>
      </c>
      <c r="E297" s="69">
        <v>0</v>
      </c>
    </row>
    <row r="298" spans="2:5" ht="15" customHeight="1">
      <c r="B298" s="109"/>
      <c r="C298" s="57" t="s">
        <v>152</v>
      </c>
      <c r="D298" s="76">
        <v>1</v>
      </c>
      <c r="E298" s="69">
        <v>0</v>
      </c>
    </row>
    <row r="299" spans="2:5" ht="15" customHeight="1">
      <c r="B299" s="109"/>
      <c r="C299" s="57" t="s">
        <v>153</v>
      </c>
      <c r="D299" s="76">
        <v>3</v>
      </c>
      <c r="E299" s="69">
        <v>0</v>
      </c>
    </row>
    <row r="300" spans="2:5" ht="15" customHeight="1">
      <c r="B300" s="109"/>
      <c r="C300" s="57" t="s">
        <v>154</v>
      </c>
      <c r="D300" s="76">
        <v>2</v>
      </c>
      <c r="E300" s="69">
        <v>0</v>
      </c>
    </row>
    <row r="301" spans="2:5" ht="15" customHeight="1">
      <c r="B301" s="109"/>
      <c r="C301" s="57" t="s">
        <v>156</v>
      </c>
      <c r="D301" s="76">
        <v>2</v>
      </c>
      <c r="E301" s="69">
        <v>0</v>
      </c>
    </row>
    <row r="302" spans="2:5" ht="15" customHeight="1">
      <c r="B302" s="109"/>
      <c r="C302" s="57" t="s">
        <v>145</v>
      </c>
      <c r="D302" s="76">
        <v>1</v>
      </c>
      <c r="E302" s="69">
        <v>0</v>
      </c>
    </row>
    <row r="303" spans="2:5" ht="15" customHeight="1">
      <c r="B303" s="109"/>
      <c r="C303" s="57" t="s">
        <v>157</v>
      </c>
      <c r="D303" s="76">
        <v>2</v>
      </c>
      <c r="E303" s="69">
        <v>0</v>
      </c>
    </row>
    <row r="304" spans="2:5" ht="15" customHeight="1">
      <c r="B304" s="109"/>
      <c r="C304" s="57" t="s">
        <v>158</v>
      </c>
      <c r="D304" s="76">
        <v>2</v>
      </c>
      <c r="E304" s="69">
        <v>0</v>
      </c>
    </row>
    <row r="305" spans="2:5" ht="15" customHeight="1">
      <c r="B305" s="109"/>
      <c r="C305" s="57" t="s">
        <v>159</v>
      </c>
      <c r="D305" s="76">
        <v>2</v>
      </c>
      <c r="E305" s="69">
        <v>0</v>
      </c>
    </row>
    <row r="306" spans="2:5" ht="15" customHeight="1">
      <c r="B306" s="109"/>
      <c r="C306" s="57" t="s">
        <v>161</v>
      </c>
      <c r="D306" s="76">
        <v>1</v>
      </c>
      <c r="E306" s="69">
        <v>0</v>
      </c>
    </row>
    <row r="307" spans="2:5" ht="15" customHeight="1">
      <c r="B307" s="109"/>
      <c r="C307" s="57" t="s">
        <v>146</v>
      </c>
      <c r="D307" s="76">
        <v>3</v>
      </c>
      <c r="E307" s="69">
        <v>0</v>
      </c>
    </row>
    <row r="308" spans="2:5" ht="15" customHeight="1">
      <c r="B308" s="109"/>
      <c r="C308" s="57" t="s">
        <v>147</v>
      </c>
      <c r="D308" s="76">
        <v>8</v>
      </c>
      <c r="E308" s="69">
        <v>1E-3</v>
      </c>
    </row>
    <row r="309" spans="2:5" ht="15" customHeight="1">
      <c r="B309" s="109"/>
      <c r="C309" s="57" t="s">
        <v>148</v>
      </c>
      <c r="D309" s="76">
        <v>10</v>
      </c>
      <c r="E309" s="69">
        <v>1E-3</v>
      </c>
    </row>
    <row r="310" spans="2:5" ht="15" customHeight="1">
      <c r="B310" s="109"/>
      <c r="C310" s="57" t="s">
        <v>149</v>
      </c>
      <c r="D310" s="76">
        <v>16</v>
      </c>
      <c r="E310" s="69">
        <v>2E-3</v>
      </c>
    </row>
    <row r="311" spans="2:5" ht="15" customHeight="1">
      <c r="B311" s="109"/>
      <c r="C311" s="57" t="s">
        <v>150</v>
      </c>
      <c r="D311" s="76">
        <v>4</v>
      </c>
      <c r="E311" s="69">
        <v>0</v>
      </c>
    </row>
    <row r="312" spans="2:5" ht="15" customHeight="1">
      <c r="B312" s="109"/>
      <c r="C312" s="57" t="s">
        <v>160</v>
      </c>
      <c r="D312" s="76">
        <v>1</v>
      </c>
      <c r="E312" s="69">
        <v>0</v>
      </c>
    </row>
    <row r="313" spans="2:5" ht="15" customHeight="1">
      <c r="B313" s="110"/>
      <c r="C313" s="73" t="s">
        <v>265</v>
      </c>
      <c r="D313" s="67">
        <v>62</v>
      </c>
      <c r="E313" s="72">
        <v>7.0000000000000001E-3</v>
      </c>
    </row>
    <row r="314" spans="2:5" ht="15" customHeight="1">
      <c r="B314" s="108" t="s">
        <v>46</v>
      </c>
      <c r="C314" s="57" t="s">
        <v>142</v>
      </c>
      <c r="D314" s="76">
        <v>120</v>
      </c>
      <c r="E314" s="69">
        <v>1.4E-2</v>
      </c>
    </row>
    <row r="315" spans="2:5" ht="15" customHeight="1">
      <c r="B315" s="109"/>
      <c r="C315" s="57" t="s">
        <v>151</v>
      </c>
      <c r="D315" s="76">
        <v>56</v>
      </c>
      <c r="E315" s="69">
        <v>7.0000000000000001E-3</v>
      </c>
    </row>
    <row r="316" spans="2:5" ht="15" customHeight="1">
      <c r="B316" s="109"/>
      <c r="C316" s="57" t="s">
        <v>143</v>
      </c>
      <c r="D316" s="76">
        <v>49</v>
      </c>
      <c r="E316" s="69">
        <v>6.0000000000000001E-3</v>
      </c>
    </row>
    <row r="317" spans="2:5" ht="15" customHeight="1">
      <c r="B317" s="109"/>
      <c r="C317" s="57" t="s">
        <v>152</v>
      </c>
      <c r="D317" s="76">
        <v>10</v>
      </c>
      <c r="E317" s="69">
        <v>1E-3</v>
      </c>
    </row>
    <row r="318" spans="2:5" ht="15" customHeight="1">
      <c r="B318" s="109"/>
      <c r="C318" s="57" t="s">
        <v>153</v>
      </c>
      <c r="D318" s="76">
        <v>196</v>
      </c>
      <c r="E318" s="69">
        <v>2.3E-2</v>
      </c>
    </row>
    <row r="319" spans="2:5" ht="15" customHeight="1">
      <c r="B319" s="109"/>
      <c r="C319" s="57" t="s">
        <v>154</v>
      </c>
      <c r="D319" s="76">
        <v>17</v>
      </c>
      <c r="E319" s="69">
        <v>2E-3</v>
      </c>
    </row>
    <row r="320" spans="2:5" ht="15" customHeight="1">
      <c r="B320" s="109"/>
      <c r="C320" s="57" t="s">
        <v>235</v>
      </c>
      <c r="D320" s="76">
        <v>3</v>
      </c>
      <c r="E320" s="69">
        <v>0</v>
      </c>
    </row>
    <row r="321" spans="2:5" ht="15" customHeight="1">
      <c r="B321" s="109"/>
      <c r="C321" s="57" t="s">
        <v>155</v>
      </c>
      <c r="D321" s="76">
        <v>21</v>
      </c>
      <c r="E321" s="69">
        <v>3.0000000000000001E-3</v>
      </c>
    </row>
    <row r="322" spans="2:5" ht="15" customHeight="1">
      <c r="B322" s="109"/>
      <c r="C322" s="57" t="s">
        <v>156</v>
      </c>
      <c r="D322" s="76">
        <v>77</v>
      </c>
      <c r="E322" s="69">
        <v>8.9999999999999993E-3</v>
      </c>
    </row>
    <row r="323" spans="2:5" ht="15" customHeight="1">
      <c r="B323" s="109"/>
      <c r="C323" s="57" t="s">
        <v>144</v>
      </c>
      <c r="D323" s="76">
        <v>57</v>
      </c>
      <c r="E323" s="69">
        <v>7.0000000000000001E-3</v>
      </c>
    </row>
    <row r="324" spans="2:5" ht="15" customHeight="1">
      <c r="B324" s="109"/>
      <c r="C324" s="57" t="s">
        <v>145</v>
      </c>
      <c r="D324" s="76">
        <v>36</v>
      </c>
      <c r="E324" s="69">
        <v>4.0000000000000001E-3</v>
      </c>
    </row>
    <row r="325" spans="2:5" ht="15" customHeight="1">
      <c r="B325" s="109"/>
      <c r="C325" s="57" t="s">
        <v>157</v>
      </c>
      <c r="D325" s="76">
        <v>107</v>
      </c>
      <c r="E325" s="69">
        <v>1.2999999999999999E-2</v>
      </c>
    </row>
    <row r="326" spans="2:5" ht="15" customHeight="1">
      <c r="B326" s="109"/>
      <c r="C326" s="57" t="s">
        <v>158</v>
      </c>
      <c r="D326" s="76">
        <v>33</v>
      </c>
      <c r="E326" s="69">
        <v>4.0000000000000001E-3</v>
      </c>
    </row>
    <row r="327" spans="2:5" ht="15" customHeight="1">
      <c r="B327" s="109"/>
      <c r="C327" s="57" t="s">
        <v>159</v>
      </c>
      <c r="D327" s="76">
        <v>103</v>
      </c>
      <c r="E327" s="69">
        <v>1.2E-2</v>
      </c>
    </row>
    <row r="328" spans="2:5" ht="15" customHeight="1">
      <c r="B328" s="109"/>
      <c r="C328" s="57" t="s">
        <v>161</v>
      </c>
      <c r="D328" s="76">
        <v>54</v>
      </c>
      <c r="E328" s="69">
        <v>6.0000000000000001E-3</v>
      </c>
    </row>
    <row r="329" spans="2:5" ht="15" customHeight="1">
      <c r="B329" s="109"/>
      <c r="C329" s="57" t="s">
        <v>146</v>
      </c>
      <c r="D329" s="76">
        <v>56</v>
      </c>
      <c r="E329" s="69">
        <v>7.0000000000000001E-3</v>
      </c>
    </row>
    <row r="330" spans="2:5" ht="15" customHeight="1">
      <c r="B330" s="109"/>
      <c r="C330" s="57" t="s">
        <v>147</v>
      </c>
      <c r="D330" s="76">
        <v>231</v>
      </c>
      <c r="E330" s="69">
        <v>2.8000000000000001E-2</v>
      </c>
    </row>
    <row r="331" spans="2:5" ht="15" customHeight="1">
      <c r="B331" s="109"/>
      <c r="C331" s="57" t="s">
        <v>148</v>
      </c>
      <c r="D331" s="76">
        <v>153</v>
      </c>
      <c r="E331" s="69">
        <v>1.7999999999999999E-2</v>
      </c>
    </row>
    <row r="332" spans="2:5" ht="15" customHeight="1">
      <c r="B332" s="109"/>
      <c r="C332" s="57" t="s">
        <v>149</v>
      </c>
      <c r="D332" s="76">
        <v>362</v>
      </c>
      <c r="E332" s="69">
        <v>4.2999999999999997E-2</v>
      </c>
    </row>
    <row r="333" spans="2:5" ht="15" customHeight="1">
      <c r="B333" s="109"/>
      <c r="C333" s="57" t="s">
        <v>150</v>
      </c>
      <c r="D333" s="76">
        <v>102</v>
      </c>
      <c r="E333" s="69">
        <v>1.2E-2</v>
      </c>
    </row>
    <row r="334" spans="2:5" ht="15" customHeight="1">
      <c r="B334" s="109"/>
      <c r="C334" s="57" t="s">
        <v>160</v>
      </c>
      <c r="D334" s="76">
        <v>23</v>
      </c>
      <c r="E334" s="69">
        <v>3.0000000000000001E-3</v>
      </c>
    </row>
    <row r="335" spans="2:5" ht="15" customHeight="1">
      <c r="B335" s="110"/>
      <c r="C335" s="73" t="s">
        <v>265</v>
      </c>
      <c r="D335" s="67">
        <v>1866</v>
      </c>
      <c r="E335" s="72">
        <v>0.223</v>
      </c>
    </row>
    <row r="336" spans="2:5" ht="15" customHeight="1">
      <c r="B336" s="108" t="s">
        <v>81</v>
      </c>
      <c r="C336" s="57" t="s">
        <v>142</v>
      </c>
      <c r="D336" s="76">
        <v>1</v>
      </c>
      <c r="E336" s="69">
        <v>0</v>
      </c>
    </row>
    <row r="337" spans="2:5" ht="15" customHeight="1">
      <c r="B337" s="109"/>
      <c r="C337" s="57" t="s">
        <v>152</v>
      </c>
      <c r="D337" s="76">
        <v>2</v>
      </c>
      <c r="E337" s="69">
        <v>0</v>
      </c>
    </row>
    <row r="338" spans="2:5" ht="15" customHeight="1">
      <c r="B338" s="109"/>
      <c r="C338" s="57" t="s">
        <v>153</v>
      </c>
      <c r="D338" s="76">
        <v>4</v>
      </c>
      <c r="E338" s="69">
        <v>0</v>
      </c>
    </row>
    <row r="339" spans="2:5" ht="15" customHeight="1">
      <c r="B339" s="109"/>
      <c r="C339" s="57" t="s">
        <v>156</v>
      </c>
      <c r="D339" s="76">
        <v>3</v>
      </c>
      <c r="E339" s="69">
        <v>0</v>
      </c>
    </row>
    <row r="340" spans="2:5" ht="15" customHeight="1">
      <c r="B340" s="109"/>
      <c r="C340" s="57" t="s">
        <v>145</v>
      </c>
      <c r="D340" s="76">
        <v>1</v>
      </c>
      <c r="E340" s="69">
        <v>0</v>
      </c>
    </row>
    <row r="341" spans="2:5" ht="15" customHeight="1">
      <c r="B341" s="109"/>
      <c r="C341" s="57" t="s">
        <v>157</v>
      </c>
      <c r="D341" s="76">
        <v>1</v>
      </c>
      <c r="E341" s="69">
        <v>0</v>
      </c>
    </row>
    <row r="342" spans="2:5" ht="15" customHeight="1">
      <c r="B342" s="109"/>
      <c r="C342" s="57" t="s">
        <v>147</v>
      </c>
      <c r="D342" s="76">
        <v>4</v>
      </c>
      <c r="E342" s="69">
        <v>0</v>
      </c>
    </row>
    <row r="343" spans="2:5" ht="15" customHeight="1">
      <c r="B343" s="109"/>
      <c r="C343" s="57" t="s">
        <v>149</v>
      </c>
      <c r="D343" s="76">
        <v>6</v>
      </c>
      <c r="E343" s="69">
        <v>1E-3</v>
      </c>
    </row>
    <row r="344" spans="2:5" ht="15" customHeight="1">
      <c r="B344" s="109"/>
      <c r="C344" s="57" t="s">
        <v>160</v>
      </c>
      <c r="D344" s="76">
        <v>1</v>
      </c>
      <c r="E344" s="69">
        <v>0</v>
      </c>
    </row>
    <row r="345" spans="2:5" ht="15" customHeight="1">
      <c r="B345" s="110"/>
      <c r="C345" s="73" t="s">
        <v>265</v>
      </c>
      <c r="D345" s="67">
        <v>23</v>
      </c>
      <c r="E345" s="72">
        <v>3.0000000000000001E-3</v>
      </c>
    </row>
    <row r="346" spans="2:5" ht="15" customHeight="1">
      <c r="B346" s="108" t="s">
        <v>82</v>
      </c>
      <c r="C346" s="57" t="s">
        <v>143</v>
      </c>
      <c r="D346" s="76">
        <v>2</v>
      </c>
      <c r="E346" s="69">
        <v>0</v>
      </c>
    </row>
    <row r="347" spans="2:5" ht="15" customHeight="1">
      <c r="B347" s="109"/>
      <c r="C347" s="57" t="s">
        <v>152</v>
      </c>
      <c r="D347" s="76">
        <v>1</v>
      </c>
      <c r="E347" s="69">
        <v>0</v>
      </c>
    </row>
    <row r="348" spans="2:5" ht="15" customHeight="1">
      <c r="B348" s="109"/>
      <c r="C348" s="57" t="s">
        <v>156</v>
      </c>
      <c r="D348" s="76">
        <v>2</v>
      </c>
      <c r="E348" s="69">
        <v>0</v>
      </c>
    </row>
    <row r="349" spans="2:5" ht="15" customHeight="1">
      <c r="B349" s="109"/>
      <c r="C349" s="57" t="s">
        <v>145</v>
      </c>
      <c r="D349" s="76">
        <v>1</v>
      </c>
      <c r="E349" s="69">
        <v>0</v>
      </c>
    </row>
    <row r="350" spans="2:5" ht="15" customHeight="1">
      <c r="B350" s="109"/>
      <c r="C350" s="57" t="s">
        <v>157</v>
      </c>
      <c r="D350" s="76">
        <v>3</v>
      </c>
      <c r="E350" s="69">
        <v>0</v>
      </c>
    </row>
    <row r="351" spans="2:5" ht="15" customHeight="1">
      <c r="B351" s="109"/>
      <c r="C351" s="57" t="s">
        <v>158</v>
      </c>
      <c r="D351" s="76">
        <v>1</v>
      </c>
      <c r="E351" s="69">
        <v>0</v>
      </c>
    </row>
    <row r="352" spans="2:5" ht="15" customHeight="1">
      <c r="B352" s="109"/>
      <c r="C352" s="57" t="s">
        <v>159</v>
      </c>
      <c r="D352" s="76">
        <v>2</v>
      </c>
      <c r="E352" s="69">
        <v>0</v>
      </c>
    </row>
    <row r="353" spans="2:5" ht="15" customHeight="1">
      <c r="B353" s="109"/>
      <c r="C353" s="57" t="s">
        <v>147</v>
      </c>
      <c r="D353" s="76">
        <v>4</v>
      </c>
      <c r="E353" s="69">
        <v>0</v>
      </c>
    </row>
    <row r="354" spans="2:5" ht="15" customHeight="1">
      <c r="B354" s="109"/>
      <c r="C354" s="57" t="s">
        <v>149</v>
      </c>
      <c r="D354" s="76">
        <v>9</v>
      </c>
      <c r="E354" s="69">
        <v>1E-3</v>
      </c>
    </row>
    <row r="355" spans="2:5" ht="15" customHeight="1">
      <c r="B355" s="109"/>
      <c r="C355" s="57" t="s">
        <v>150</v>
      </c>
      <c r="D355" s="76">
        <v>2</v>
      </c>
      <c r="E355" s="69">
        <v>0</v>
      </c>
    </row>
    <row r="356" spans="2:5" ht="15" customHeight="1">
      <c r="B356" s="110"/>
      <c r="C356" s="73" t="s">
        <v>265</v>
      </c>
      <c r="D356" s="67">
        <v>27</v>
      </c>
      <c r="E356" s="72">
        <v>3.0000000000000001E-3</v>
      </c>
    </row>
    <row r="357" spans="2:5" ht="15" customHeight="1">
      <c r="B357" s="108" t="s">
        <v>77</v>
      </c>
      <c r="C357" s="57" t="s">
        <v>142</v>
      </c>
      <c r="D357" s="76">
        <v>3</v>
      </c>
      <c r="E357" s="69">
        <v>0</v>
      </c>
    </row>
    <row r="358" spans="2:5" ht="15" customHeight="1">
      <c r="B358" s="109"/>
      <c r="C358" s="57" t="s">
        <v>153</v>
      </c>
      <c r="D358" s="76">
        <v>7</v>
      </c>
      <c r="E358" s="69">
        <v>1E-3</v>
      </c>
    </row>
    <row r="359" spans="2:5" ht="15" customHeight="1">
      <c r="B359" s="109"/>
      <c r="C359" s="57" t="s">
        <v>158</v>
      </c>
      <c r="D359" s="76">
        <v>3</v>
      </c>
      <c r="E359" s="69">
        <v>0</v>
      </c>
    </row>
    <row r="360" spans="2:5" ht="15" customHeight="1">
      <c r="B360" s="109"/>
      <c r="C360" s="57" t="s">
        <v>146</v>
      </c>
      <c r="D360" s="76">
        <v>1</v>
      </c>
      <c r="E360" s="69">
        <v>0</v>
      </c>
    </row>
    <row r="361" spans="2:5" ht="15" customHeight="1">
      <c r="B361" s="109"/>
      <c r="C361" s="57" t="s">
        <v>147</v>
      </c>
      <c r="D361" s="76">
        <v>1</v>
      </c>
      <c r="E361" s="69">
        <v>0</v>
      </c>
    </row>
    <row r="362" spans="2:5" ht="15" customHeight="1">
      <c r="B362" s="109"/>
      <c r="C362" s="57" t="s">
        <v>148</v>
      </c>
      <c r="D362" s="76">
        <v>2</v>
      </c>
      <c r="E362" s="69">
        <v>0</v>
      </c>
    </row>
    <row r="363" spans="2:5" ht="15" customHeight="1">
      <c r="B363" s="109"/>
      <c r="C363" s="57" t="s">
        <v>149</v>
      </c>
      <c r="D363" s="76">
        <v>9</v>
      </c>
      <c r="E363" s="69">
        <v>1E-3</v>
      </c>
    </row>
    <row r="364" spans="2:5" ht="15" customHeight="1">
      <c r="B364" s="109"/>
      <c r="C364" s="57" t="s">
        <v>150</v>
      </c>
      <c r="D364" s="76">
        <v>3</v>
      </c>
      <c r="E364" s="69">
        <v>0</v>
      </c>
    </row>
    <row r="365" spans="2:5" ht="15" customHeight="1">
      <c r="B365" s="110"/>
      <c r="C365" s="73" t="s">
        <v>265</v>
      </c>
      <c r="D365" s="67">
        <v>29</v>
      </c>
      <c r="E365" s="72">
        <v>3.0000000000000001E-3</v>
      </c>
    </row>
    <row r="366" spans="2:5" ht="15" customHeight="1">
      <c r="B366" s="108" t="s">
        <v>92</v>
      </c>
      <c r="C366" s="57" t="s">
        <v>152</v>
      </c>
      <c r="D366" s="76">
        <v>1</v>
      </c>
      <c r="E366" s="69">
        <v>0</v>
      </c>
    </row>
    <row r="367" spans="2:5" ht="15" customHeight="1">
      <c r="B367" s="109"/>
      <c r="C367" s="57" t="s">
        <v>153</v>
      </c>
      <c r="D367" s="76">
        <v>1</v>
      </c>
      <c r="E367" s="69">
        <v>0</v>
      </c>
    </row>
    <row r="368" spans="2:5" ht="15" customHeight="1">
      <c r="B368" s="109"/>
      <c r="C368" s="57" t="s">
        <v>145</v>
      </c>
      <c r="D368" s="76">
        <v>1</v>
      </c>
      <c r="E368" s="69">
        <v>0</v>
      </c>
    </row>
    <row r="369" spans="2:5" ht="15" customHeight="1">
      <c r="B369" s="109"/>
      <c r="C369" s="57" t="s">
        <v>157</v>
      </c>
      <c r="D369" s="76">
        <v>1</v>
      </c>
      <c r="E369" s="69">
        <v>0</v>
      </c>
    </row>
    <row r="370" spans="2:5" ht="15" customHeight="1">
      <c r="B370" s="109"/>
      <c r="C370" s="57" t="s">
        <v>159</v>
      </c>
      <c r="D370" s="76">
        <v>1</v>
      </c>
      <c r="E370" s="69">
        <v>0</v>
      </c>
    </row>
    <row r="371" spans="2:5" ht="15" customHeight="1">
      <c r="B371" s="109"/>
      <c r="C371" s="57" t="s">
        <v>161</v>
      </c>
      <c r="D371" s="76">
        <v>2</v>
      </c>
      <c r="E371" s="69">
        <v>0</v>
      </c>
    </row>
    <row r="372" spans="2:5" ht="15" customHeight="1">
      <c r="B372" s="109"/>
      <c r="C372" s="57" t="s">
        <v>147</v>
      </c>
      <c r="D372" s="76">
        <v>1</v>
      </c>
      <c r="E372" s="69">
        <v>0</v>
      </c>
    </row>
    <row r="373" spans="2:5" ht="15" customHeight="1">
      <c r="B373" s="109"/>
      <c r="C373" s="57" t="s">
        <v>148</v>
      </c>
      <c r="D373" s="76">
        <v>1</v>
      </c>
      <c r="E373" s="69">
        <v>0</v>
      </c>
    </row>
    <row r="374" spans="2:5" ht="15" customHeight="1">
      <c r="B374" s="109"/>
      <c r="C374" s="57" t="s">
        <v>149</v>
      </c>
      <c r="D374" s="76">
        <v>2</v>
      </c>
      <c r="E374" s="69">
        <v>0</v>
      </c>
    </row>
    <row r="375" spans="2:5" ht="15" customHeight="1">
      <c r="B375" s="110"/>
      <c r="C375" s="73" t="s">
        <v>265</v>
      </c>
      <c r="D375" s="67">
        <v>11</v>
      </c>
      <c r="E375" s="72">
        <v>1E-3</v>
      </c>
    </row>
    <row r="376" spans="2:5" ht="15" customHeight="1">
      <c r="B376" s="108" t="s">
        <v>93</v>
      </c>
      <c r="C376" s="57" t="s">
        <v>142</v>
      </c>
      <c r="D376" s="76">
        <v>1</v>
      </c>
      <c r="E376" s="69">
        <v>0</v>
      </c>
    </row>
    <row r="377" spans="2:5" ht="15" customHeight="1">
      <c r="B377" s="110"/>
      <c r="C377" s="73" t="s">
        <v>265</v>
      </c>
      <c r="D377" s="67">
        <v>1</v>
      </c>
      <c r="E377" s="72">
        <v>0</v>
      </c>
    </row>
    <row r="378" spans="2:5" ht="15" customHeight="1">
      <c r="B378" s="108" t="s">
        <v>83</v>
      </c>
      <c r="C378" s="57" t="s">
        <v>153</v>
      </c>
      <c r="D378" s="76">
        <v>1</v>
      </c>
      <c r="E378" s="69">
        <v>0</v>
      </c>
    </row>
    <row r="379" spans="2:5" ht="15" customHeight="1">
      <c r="B379" s="109"/>
      <c r="C379" s="57" t="s">
        <v>157</v>
      </c>
      <c r="D379" s="76">
        <v>1</v>
      </c>
      <c r="E379" s="69">
        <v>0</v>
      </c>
    </row>
    <row r="380" spans="2:5" ht="15" customHeight="1">
      <c r="B380" s="109"/>
      <c r="C380" s="57" t="s">
        <v>159</v>
      </c>
      <c r="D380" s="76">
        <v>1</v>
      </c>
      <c r="E380" s="69">
        <v>0</v>
      </c>
    </row>
    <row r="381" spans="2:5" ht="15" customHeight="1">
      <c r="B381" s="109"/>
      <c r="C381" s="57" t="s">
        <v>146</v>
      </c>
      <c r="D381" s="76">
        <v>9</v>
      </c>
      <c r="E381" s="69">
        <v>1E-3</v>
      </c>
    </row>
    <row r="382" spans="2:5" ht="15" customHeight="1">
      <c r="B382" s="109"/>
      <c r="C382" s="57" t="s">
        <v>147</v>
      </c>
      <c r="D382" s="76">
        <v>8</v>
      </c>
      <c r="E382" s="69">
        <v>1E-3</v>
      </c>
    </row>
    <row r="383" spans="2:5" ht="15" customHeight="1">
      <c r="B383" s="109"/>
      <c r="C383" s="57" t="s">
        <v>149</v>
      </c>
      <c r="D383" s="76">
        <v>7</v>
      </c>
      <c r="E383" s="69">
        <v>1E-3</v>
      </c>
    </row>
    <row r="384" spans="2:5" ht="15" customHeight="1">
      <c r="B384" s="110"/>
      <c r="C384" s="73" t="s">
        <v>265</v>
      </c>
      <c r="D384" s="67">
        <v>27</v>
      </c>
      <c r="E384" s="72">
        <v>3.0000000000000001E-3</v>
      </c>
    </row>
    <row r="385" spans="2:5" ht="15" customHeight="1">
      <c r="B385" s="108" t="s">
        <v>84</v>
      </c>
      <c r="C385" s="57" t="s">
        <v>152</v>
      </c>
      <c r="D385" s="76">
        <v>1</v>
      </c>
      <c r="E385" s="69">
        <v>0</v>
      </c>
    </row>
    <row r="386" spans="2:5" ht="15" customHeight="1">
      <c r="B386" s="109"/>
      <c r="C386" s="57" t="s">
        <v>153</v>
      </c>
      <c r="D386" s="76">
        <v>1</v>
      </c>
      <c r="E386" s="69">
        <v>0</v>
      </c>
    </row>
    <row r="387" spans="2:5" ht="15" customHeight="1">
      <c r="B387" s="109"/>
      <c r="C387" s="57" t="s">
        <v>235</v>
      </c>
      <c r="D387" s="76">
        <v>1</v>
      </c>
      <c r="E387" s="69">
        <v>0</v>
      </c>
    </row>
    <row r="388" spans="2:5" ht="15" customHeight="1">
      <c r="B388" s="109"/>
      <c r="C388" s="57" t="s">
        <v>158</v>
      </c>
      <c r="D388" s="76">
        <v>1</v>
      </c>
      <c r="E388" s="69">
        <v>0</v>
      </c>
    </row>
    <row r="389" spans="2:5" ht="15" customHeight="1">
      <c r="B389" s="109"/>
      <c r="C389" s="57" t="s">
        <v>147</v>
      </c>
      <c r="D389" s="76">
        <v>2</v>
      </c>
      <c r="E389" s="69">
        <v>0</v>
      </c>
    </row>
    <row r="390" spans="2:5" ht="15" customHeight="1">
      <c r="B390" s="109"/>
      <c r="C390" s="57" t="s">
        <v>149</v>
      </c>
      <c r="D390" s="76">
        <v>3</v>
      </c>
      <c r="E390" s="69">
        <v>0</v>
      </c>
    </row>
    <row r="391" spans="2:5" ht="15" customHeight="1">
      <c r="B391" s="110"/>
      <c r="C391" s="73" t="s">
        <v>265</v>
      </c>
      <c r="D391" s="67">
        <v>9</v>
      </c>
      <c r="E391" s="72">
        <v>1E-3</v>
      </c>
    </row>
    <row r="392" spans="2:5" ht="15" customHeight="1">
      <c r="B392" s="108" t="s">
        <v>72</v>
      </c>
      <c r="C392" s="57" t="s">
        <v>142</v>
      </c>
      <c r="D392" s="76">
        <v>5</v>
      </c>
      <c r="E392" s="69">
        <v>1E-3</v>
      </c>
    </row>
    <row r="393" spans="2:5" ht="15" customHeight="1">
      <c r="B393" s="109"/>
      <c r="C393" s="57" t="s">
        <v>143</v>
      </c>
      <c r="D393" s="76">
        <v>2</v>
      </c>
      <c r="E393" s="69">
        <v>0</v>
      </c>
    </row>
    <row r="394" spans="2:5" ht="15" customHeight="1">
      <c r="B394" s="109"/>
      <c r="C394" s="57" t="s">
        <v>152</v>
      </c>
      <c r="D394" s="76">
        <v>2</v>
      </c>
      <c r="E394" s="69">
        <v>0</v>
      </c>
    </row>
    <row r="395" spans="2:5" ht="15" customHeight="1">
      <c r="B395" s="109"/>
      <c r="C395" s="57" t="s">
        <v>153</v>
      </c>
      <c r="D395" s="76">
        <v>7</v>
      </c>
      <c r="E395" s="69">
        <v>1E-3</v>
      </c>
    </row>
    <row r="396" spans="2:5" ht="15" customHeight="1">
      <c r="B396" s="109"/>
      <c r="C396" s="57" t="s">
        <v>155</v>
      </c>
      <c r="D396" s="76">
        <v>1</v>
      </c>
      <c r="E396" s="69">
        <v>0</v>
      </c>
    </row>
    <row r="397" spans="2:5" ht="15" customHeight="1">
      <c r="B397" s="109"/>
      <c r="C397" s="57" t="s">
        <v>156</v>
      </c>
      <c r="D397" s="76">
        <v>2</v>
      </c>
      <c r="E397" s="69">
        <v>0</v>
      </c>
    </row>
    <row r="398" spans="2:5" ht="15" customHeight="1">
      <c r="B398" s="109"/>
      <c r="C398" s="57" t="s">
        <v>144</v>
      </c>
      <c r="D398" s="76">
        <v>1</v>
      </c>
      <c r="E398" s="69">
        <v>0</v>
      </c>
    </row>
    <row r="399" spans="2:5" ht="15" customHeight="1">
      <c r="B399" s="109"/>
      <c r="C399" s="57" t="s">
        <v>145</v>
      </c>
      <c r="D399" s="76">
        <v>2</v>
      </c>
      <c r="E399" s="69">
        <v>0</v>
      </c>
    </row>
    <row r="400" spans="2:5" ht="15" customHeight="1">
      <c r="B400" s="109"/>
      <c r="C400" s="57" t="s">
        <v>157</v>
      </c>
      <c r="D400" s="76">
        <v>4</v>
      </c>
      <c r="E400" s="69">
        <v>0</v>
      </c>
    </row>
    <row r="401" spans="2:5" ht="15" customHeight="1">
      <c r="B401" s="109"/>
      <c r="C401" s="57" t="s">
        <v>158</v>
      </c>
      <c r="D401" s="76">
        <v>5</v>
      </c>
      <c r="E401" s="69">
        <v>1E-3</v>
      </c>
    </row>
    <row r="402" spans="2:5" ht="15" customHeight="1">
      <c r="B402" s="109"/>
      <c r="C402" s="57" t="s">
        <v>159</v>
      </c>
      <c r="D402" s="76">
        <v>5</v>
      </c>
      <c r="E402" s="69">
        <v>1E-3</v>
      </c>
    </row>
    <row r="403" spans="2:5" ht="15" customHeight="1">
      <c r="B403" s="109"/>
      <c r="C403" s="57" t="s">
        <v>161</v>
      </c>
      <c r="D403" s="76">
        <v>3</v>
      </c>
      <c r="E403" s="69">
        <v>0</v>
      </c>
    </row>
    <row r="404" spans="2:5" ht="15" customHeight="1">
      <c r="B404" s="109"/>
      <c r="C404" s="57" t="s">
        <v>146</v>
      </c>
      <c r="D404" s="76">
        <v>2</v>
      </c>
      <c r="E404" s="69">
        <v>0</v>
      </c>
    </row>
    <row r="405" spans="2:5" ht="15" customHeight="1">
      <c r="B405" s="109"/>
      <c r="C405" s="57" t="s">
        <v>147</v>
      </c>
      <c r="D405" s="76">
        <v>7</v>
      </c>
      <c r="E405" s="69">
        <v>1E-3</v>
      </c>
    </row>
    <row r="406" spans="2:5" ht="15" customHeight="1">
      <c r="B406" s="109"/>
      <c r="C406" s="57" t="s">
        <v>148</v>
      </c>
      <c r="D406" s="76">
        <v>3</v>
      </c>
      <c r="E406" s="69">
        <v>0</v>
      </c>
    </row>
    <row r="407" spans="2:5" ht="15" customHeight="1">
      <c r="B407" s="109"/>
      <c r="C407" s="57" t="s">
        <v>149</v>
      </c>
      <c r="D407" s="76">
        <v>22</v>
      </c>
      <c r="E407" s="69">
        <v>3.0000000000000001E-3</v>
      </c>
    </row>
    <row r="408" spans="2:5" ht="15" customHeight="1">
      <c r="B408" s="109"/>
      <c r="C408" s="57" t="s">
        <v>150</v>
      </c>
      <c r="D408" s="76">
        <v>7</v>
      </c>
      <c r="E408" s="69">
        <v>1E-3</v>
      </c>
    </row>
    <row r="409" spans="2:5" ht="15" customHeight="1">
      <c r="B409" s="110"/>
      <c r="C409" s="73" t="s">
        <v>265</v>
      </c>
      <c r="D409" s="67">
        <v>80</v>
      </c>
      <c r="E409" s="72">
        <v>0.01</v>
      </c>
    </row>
    <row r="410" spans="2:5" ht="15" customHeight="1">
      <c r="B410" s="108" t="s">
        <v>73</v>
      </c>
      <c r="C410" s="57" t="s">
        <v>142</v>
      </c>
      <c r="D410" s="76">
        <v>3</v>
      </c>
      <c r="E410" s="69">
        <v>0</v>
      </c>
    </row>
    <row r="411" spans="2:5" ht="15" customHeight="1">
      <c r="B411" s="109"/>
      <c r="C411" s="57" t="s">
        <v>143</v>
      </c>
      <c r="D411" s="76">
        <v>2</v>
      </c>
      <c r="E411" s="69">
        <v>0</v>
      </c>
    </row>
    <row r="412" spans="2:5" ht="15" customHeight="1">
      <c r="B412" s="109"/>
      <c r="C412" s="57" t="s">
        <v>152</v>
      </c>
      <c r="D412" s="76">
        <v>1</v>
      </c>
      <c r="E412" s="69">
        <v>0</v>
      </c>
    </row>
    <row r="413" spans="2:5" ht="15" customHeight="1">
      <c r="B413" s="109"/>
      <c r="C413" s="57" t="s">
        <v>153</v>
      </c>
      <c r="D413" s="76">
        <v>13</v>
      </c>
      <c r="E413" s="69">
        <v>2E-3</v>
      </c>
    </row>
    <row r="414" spans="2:5" ht="15" customHeight="1">
      <c r="B414" s="109"/>
      <c r="C414" s="57" t="s">
        <v>155</v>
      </c>
      <c r="D414" s="76">
        <v>1</v>
      </c>
      <c r="E414" s="69">
        <v>0</v>
      </c>
    </row>
    <row r="415" spans="2:5" ht="15" customHeight="1">
      <c r="B415" s="109"/>
      <c r="C415" s="57" t="s">
        <v>157</v>
      </c>
      <c r="D415" s="76">
        <v>7</v>
      </c>
      <c r="E415" s="69">
        <v>1E-3</v>
      </c>
    </row>
    <row r="416" spans="2:5" ht="15" customHeight="1">
      <c r="B416" s="109"/>
      <c r="C416" s="57" t="s">
        <v>158</v>
      </c>
      <c r="D416" s="76">
        <v>1</v>
      </c>
      <c r="E416" s="69">
        <v>0</v>
      </c>
    </row>
    <row r="417" spans="2:5" ht="15" customHeight="1">
      <c r="B417" s="109"/>
      <c r="C417" s="57" t="s">
        <v>159</v>
      </c>
      <c r="D417" s="76">
        <v>6</v>
      </c>
      <c r="E417" s="69">
        <v>1E-3</v>
      </c>
    </row>
    <row r="418" spans="2:5" ht="15" customHeight="1">
      <c r="B418" s="109"/>
      <c r="C418" s="57" t="s">
        <v>161</v>
      </c>
      <c r="D418" s="76">
        <v>1</v>
      </c>
      <c r="E418" s="69">
        <v>0</v>
      </c>
    </row>
    <row r="419" spans="2:5" ht="15" customHeight="1">
      <c r="B419" s="109"/>
      <c r="C419" s="57" t="s">
        <v>147</v>
      </c>
      <c r="D419" s="76">
        <v>4</v>
      </c>
      <c r="E419" s="69">
        <v>0</v>
      </c>
    </row>
    <row r="420" spans="2:5" ht="15" customHeight="1">
      <c r="B420" s="109"/>
      <c r="C420" s="57" t="s">
        <v>148</v>
      </c>
      <c r="D420" s="76">
        <v>4</v>
      </c>
      <c r="E420" s="69">
        <v>0</v>
      </c>
    </row>
    <row r="421" spans="2:5" ht="15" customHeight="1">
      <c r="B421" s="109"/>
      <c r="C421" s="57" t="s">
        <v>149</v>
      </c>
      <c r="D421" s="76">
        <v>16</v>
      </c>
      <c r="E421" s="69">
        <v>2E-3</v>
      </c>
    </row>
    <row r="422" spans="2:5" ht="15" customHeight="1">
      <c r="B422" s="109"/>
      <c r="C422" s="57" t="s">
        <v>150</v>
      </c>
      <c r="D422" s="76">
        <v>4</v>
      </c>
      <c r="E422" s="69">
        <v>0</v>
      </c>
    </row>
    <row r="423" spans="2:5" ht="15" customHeight="1">
      <c r="B423" s="109"/>
      <c r="C423" s="57" t="s">
        <v>160</v>
      </c>
      <c r="D423" s="76">
        <v>1</v>
      </c>
      <c r="E423" s="69">
        <v>0</v>
      </c>
    </row>
    <row r="424" spans="2:5" ht="15" customHeight="1">
      <c r="B424" s="110"/>
      <c r="C424" s="73" t="s">
        <v>265</v>
      </c>
      <c r="D424" s="67">
        <v>64</v>
      </c>
      <c r="E424" s="72">
        <v>8.0000000000000002E-3</v>
      </c>
    </row>
    <row r="425" spans="2:5" ht="15" customHeight="1">
      <c r="B425" s="108" t="s">
        <v>66</v>
      </c>
      <c r="C425" s="57" t="s">
        <v>142</v>
      </c>
      <c r="D425" s="76">
        <v>1</v>
      </c>
      <c r="E425" s="69">
        <v>0</v>
      </c>
    </row>
    <row r="426" spans="2:5" ht="15" customHeight="1">
      <c r="B426" s="109"/>
      <c r="C426" s="57" t="s">
        <v>152</v>
      </c>
      <c r="D426" s="76">
        <v>1</v>
      </c>
      <c r="E426" s="69">
        <v>0</v>
      </c>
    </row>
    <row r="427" spans="2:5" ht="15" customHeight="1">
      <c r="B427" s="109"/>
      <c r="C427" s="57" t="s">
        <v>153</v>
      </c>
      <c r="D427" s="76">
        <v>21</v>
      </c>
      <c r="E427" s="69">
        <v>3.0000000000000001E-3</v>
      </c>
    </row>
    <row r="428" spans="2:5" ht="15" customHeight="1">
      <c r="B428" s="109"/>
      <c r="C428" s="57" t="s">
        <v>155</v>
      </c>
      <c r="D428" s="76">
        <v>1</v>
      </c>
      <c r="E428" s="69">
        <v>0</v>
      </c>
    </row>
    <row r="429" spans="2:5" ht="15" customHeight="1">
      <c r="B429" s="109"/>
      <c r="C429" s="57" t="s">
        <v>156</v>
      </c>
      <c r="D429" s="76">
        <v>6</v>
      </c>
      <c r="E429" s="69">
        <v>1E-3</v>
      </c>
    </row>
    <row r="430" spans="2:5" ht="15" customHeight="1">
      <c r="B430" s="109"/>
      <c r="C430" s="57" t="s">
        <v>158</v>
      </c>
      <c r="D430" s="76">
        <v>1</v>
      </c>
      <c r="E430" s="69">
        <v>0</v>
      </c>
    </row>
    <row r="431" spans="2:5" ht="15" customHeight="1">
      <c r="B431" s="109"/>
      <c r="C431" s="57" t="s">
        <v>159</v>
      </c>
      <c r="D431" s="76">
        <v>3</v>
      </c>
      <c r="E431" s="69">
        <v>0</v>
      </c>
    </row>
    <row r="432" spans="2:5" ht="15" customHeight="1">
      <c r="B432" s="109"/>
      <c r="C432" s="57" t="s">
        <v>146</v>
      </c>
      <c r="D432" s="76">
        <v>2</v>
      </c>
      <c r="E432" s="69">
        <v>0</v>
      </c>
    </row>
    <row r="433" spans="2:5" ht="15" customHeight="1">
      <c r="B433" s="109"/>
      <c r="C433" s="57" t="s">
        <v>147</v>
      </c>
      <c r="D433" s="76">
        <v>6</v>
      </c>
      <c r="E433" s="69">
        <v>1E-3</v>
      </c>
    </row>
    <row r="434" spans="2:5" ht="15" customHeight="1">
      <c r="B434" s="109"/>
      <c r="C434" s="57" t="s">
        <v>149</v>
      </c>
      <c r="D434" s="76">
        <v>14</v>
      </c>
      <c r="E434" s="69">
        <v>2E-3</v>
      </c>
    </row>
    <row r="435" spans="2:5" ht="15" customHeight="1">
      <c r="B435" s="110"/>
      <c r="C435" s="73" t="s">
        <v>265</v>
      </c>
      <c r="D435" s="67">
        <v>56</v>
      </c>
      <c r="E435" s="72">
        <v>7.0000000000000001E-3</v>
      </c>
    </row>
    <row r="436" spans="2:5" ht="15" customHeight="1">
      <c r="B436" s="111" t="s">
        <v>67</v>
      </c>
      <c r="C436" s="57" t="s">
        <v>142</v>
      </c>
      <c r="D436" s="76">
        <v>9</v>
      </c>
      <c r="E436" s="69">
        <v>1E-3</v>
      </c>
    </row>
    <row r="437" spans="2:5" ht="15" customHeight="1">
      <c r="B437" s="112"/>
      <c r="C437" s="57" t="s">
        <v>151</v>
      </c>
      <c r="D437" s="76">
        <v>1</v>
      </c>
      <c r="E437" s="69">
        <v>0</v>
      </c>
    </row>
    <row r="438" spans="2:5" ht="15" customHeight="1">
      <c r="B438" s="112"/>
      <c r="C438" s="57" t="s">
        <v>143</v>
      </c>
      <c r="D438" s="76">
        <v>1</v>
      </c>
      <c r="E438" s="69">
        <v>0</v>
      </c>
    </row>
    <row r="439" spans="2:5" ht="15" customHeight="1">
      <c r="B439" s="112"/>
      <c r="C439" s="57" t="s">
        <v>152</v>
      </c>
      <c r="D439" s="76">
        <v>1</v>
      </c>
      <c r="E439" s="69">
        <v>0</v>
      </c>
    </row>
    <row r="440" spans="2:5" ht="15" customHeight="1">
      <c r="B440" s="112"/>
      <c r="C440" s="57" t="s">
        <v>153</v>
      </c>
      <c r="D440" s="76">
        <v>17</v>
      </c>
      <c r="E440" s="69">
        <v>2E-3</v>
      </c>
    </row>
    <row r="441" spans="2:5" ht="15" customHeight="1">
      <c r="B441" s="112"/>
      <c r="C441" s="57" t="s">
        <v>154</v>
      </c>
      <c r="D441" s="76">
        <v>3</v>
      </c>
      <c r="E441" s="69">
        <v>0</v>
      </c>
    </row>
    <row r="442" spans="2:5" ht="15" customHeight="1">
      <c r="B442" s="112"/>
      <c r="C442" s="57" t="s">
        <v>155</v>
      </c>
      <c r="D442" s="76">
        <v>2</v>
      </c>
      <c r="E442" s="69">
        <v>0</v>
      </c>
    </row>
    <row r="443" spans="2:5" ht="15" customHeight="1">
      <c r="B443" s="112"/>
      <c r="C443" s="57" t="s">
        <v>144</v>
      </c>
      <c r="D443" s="76">
        <v>7</v>
      </c>
      <c r="E443" s="69">
        <v>1E-3</v>
      </c>
    </row>
    <row r="444" spans="2:5" ht="15" customHeight="1">
      <c r="B444" s="112"/>
      <c r="C444" s="57" t="s">
        <v>145</v>
      </c>
      <c r="D444" s="76">
        <v>3</v>
      </c>
      <c r="E444" s="69">
        <v>0</v>
      </c>
    </row>
    <row r="445" spans="2:5" ht="15" customHeight="1">
      <c r="B445" s="112"/>
      <c r="C445" s="57" t="s">
        <v>157</v>
      </c>
      <c r="D445" s="76">
        <v>3</v>
      </c>
      <c r="E445" s="69">
        <v>0</v>
      </c>
    </row>
    <row r="446" spans="2:5" ht="15" customHeight="1">
      <c r="B446" s="112"/>
      <c r="C446" s="57" t="s">
        <v>159</v>
      </c>
      <c r="D446" s="76">
        <v>6</v>
      </c>
      <c r="E446" s="69">
        <v>1E-3</v>
      </c>
    </row>
    <row r="447" spans="2:5" ht="15" customHeight="1">
      <c r="B447" s="112"/>
      <c r="C447" s="57" t="s">
        <v>161</v>
      </c>
      <c r="D447" s="76">
        <v>3</v>
      </c>
      <c r="E447" s="69">
        <v>0</v>
      </c>
    </row>
    <row r="448" spans="2:5" ht="15" customHeight="1">
      <c r="B448" s="112"/>
      <c r="C448" s="57" t="s">
        <v>146</v>
      </c>
      <c r="D448" s="76">
        <v>2</v>
      </c>
      <c r="E448" s="69">
        <v>0</v>
      </c>
    </row>
    <row r="449" spans="2:5" ht="15" customHeight="1">
      <c r="B449" s="112"/>
      <c r="C449" s="57" t="s">
        <v>147</v>
      </c>
      <c r="D449" s="76">
        <v>14</v>
      </c>
      <c r="E449" s="69">
        <v>2E-3</v>
      </c>
    </row>
    <row r="450" spans="2:5" ht="15" customHeight="1">
      <c r="B450" s="112"/>
      <c r="C450" s="57" t="s">
        <v>148</v>
      </c>
      <c r="D450" s="76">
        <v>11</v>
      </c>
      <c r="E450" s="69">
        <v>1E-3</v>
      </c>
    </row>
    <row r="451" spans="2:5" ht="15" customHeight="1">
      <c r="B451" s="112"/>
      <c r="C451" s="57" t="s">
        <v>149</v>
      </c>
      <c r="D451" s="76">
        <v>17</v>
      </c>
      <c r="E451" s="69">
        <v>2E-3</v>
      </c>
    </row>
    <row r="452" spans="2:5" ht="15" customHeight="1">
      <c r="B452" s="112"/>
      <c r="C452" s="57" t="s">
        <v>150</v>
      </c>
      <c r="D452" s="76">
        <v>8</v>
      </c>
      <c r="E452" s="69">
        <v>1E-3</v>
      </c>
    </row>
    <row r="453" spans="2:5" ht="15" customHeight="1">
      <c r="B453" s="113"/>
      <c r="C453" s="73" t="s">
        <v>265</v>
      </c>
      <c r="D453" s="67">
        <v>108</v>
      </c>
      <c r="E453" s="72">
        <v>1.2999999999999999E-2</v>
      </c>
    </row>
    <row r="454" spans="2:5" ht="15" customHeight="1">
      <c r="B454" s="111" t="s">
        <v>55</v>
      </c>
      <c r="C454" s="57" t="s">
        <v>142</v>
      </c>
      <c r="D454" s="76">
        <v>26</v>
      </c>
      <c r="E454" s="69">
        <v>3.0000000000000001E-3</v>
      </c>
    </row>
    <row r="455" spans="2:5" ht="15" customHeight="1">
      <c r="B455" s="112"/>
      <c r="C455" s="57" t="s">
        <v>151</v>
      </c>
      <c r="D455" s="76">
        <v>2</v>
      </c>
      <c r="E455" s="69">
        <v>0</v>
      </c>
    </row>
    <row r="456" spans="2:5" ht="15" customHeight="1">
      <c r="B456" s="112"/>
      <c r="C456" s="57" t="s">
        <v>152</v>
      </c>
      <c r="D456" s="76">
        <v>1</v>
      </c>
      <c r="E456" s="69">
        <v>0</v>
      </c>
    </row>
    <row r="457" spans="2:5" ht="15" customHeight="1">
      <c r="B457" s="112"/>
      <c r="C457" s="57" t="s">
        <v>153</v>
      </c>
      <c r="D457" s="76">
        <v>22</v>
      </c>
      <c r="E457" s="69">
        <v>3.0000000000000001E-3</v>
      </c>
    </row>
    <row r="458" spans="2:5" ht="15" customHeight="1">
      <c r="B458" s="112"/>
      <c r="C458" s="57" t="s">
        <v>154</v>
      </c>
      <c r="D458" s="76">
        <v>4</v>
      </c>
      <c r="E458" s="69">
        <v>0</v>
      </c>
    </row>
    <row r="459" spans="2:5" ht="15" customHeight="1">
      <c r="B459" s="112"/>
      <c r="C459" s="57" t="s">
        <v>235</v>
      </c>
      <c r="D459" s="76">
        <v>1</v>
      </c>
      <c r="E459" s="69">
        <v>0</v>
      </c>
    </row>
    <row r="460" spans="2:5" ht="15" customHeight="1">
      <c r="B460" s="112"/>
      <c r="C460" s="57" t="s">
        <v>155</v>
      </c>
      <c r="D460" s="76">
        <v>4</v>
      </c>
      <c r="E460" s="69">
        <v>0</v>
      </c>
    </row>
    <row r="461" spans="2:5" ht="15" customHeight="1">
      <c r="B461" s="112"/>
      <c r="C461" s="57" t="s">
        <v>156</v>
      </c>
      <c r="D461" s="76">
        <v>8</v>
      </c>
      <c r="E461" s="69">
        <v>1E-3</v>
      </c>
    </row>
    <row r="462" spans="2:5" ht="15" customHeight="1">
      <c r="B462" s="112"/>
      <c r="C462" s="57" t="s">
        <v>144</v>
      </c>
      <c r="D462" s="76">
        <v>1</v>
      </c>
      <c r="E462" s="69">
        <v>0</v>
      </c>
    </row>
    <row r="463" spans="2:5" ht="15" customHeight="1">
      <c r="B463" s="112"/>
      <c r="C463" s="57" t="s">
        <v>145</v>
      </c>
      <c r="D463" s="76">
        <v>2</v>
      </c>
      <c r="E463" s="69">
        <v>0</v>
      </c>
    </row>
    <row r="464" spans="2:5" ht="15" customHeight="1">
      <c r="B464" s="112"/>
      <c r="C464" s="57" t="s">
        <v>157</v>
      </c>
      <c r="D464" s="76">
        <v>8</v>
      </c>
      <c r="E464" s="69">
        <v>1E-3</v>
      </c>
    </row>
    <row r="465" spans="2:5" ht="15" customHeight="1">
      <c r="B465" s="112"/>
      <c r="C465" s="57" t="s">
        <v>158</v>
      </c>
      <c r="D465" s="76">
        <v>6</v>
      </c>
      <c r="E465" s="69">
        <v>1E-3</v>
      </c>
    </row>
    <row r="466" spans="2:5" ht="15" customHeight="1">
      <c r="B466" s="112"/>
      <c r="C466" s="57" t="s">
        <v>159</v>
      </c>
      <c r="D466" s="76">
        <v>10</v>
      </c>
      <c r="E466" s="69">
        <v>1E-3</v>
      </c>
    </row>
    <row r="467" spans="2:5" ht="15" customHeight="1">
      <c r="B467" s="112"/>
      <c r="C467" s="57" t="s">
        <v>161</v>
      </c>
      <c r="D467" s="76">
        <v>1</v>
      </c>
      <c r="E467" s="69">
        <v>0</v>
      </c>
    </row>
    <row r="468" spans="2:5" ht="15" customHeight="1">
      <c r="B468" s="112"/>
      <c r="C468" s="57" t="s">
        <v>146</v>
      </c>
      <c r="D468" s="76">
        <v>1</v>
      </c>
      <c r="E468" s="69">
        <v>0</v>
      </c>
    </row>
    <row r="469" spans="2:5" ht="15" customHeight="1">
      <c r="B469" s="112"/>
      <c r="C469" s="57" t="s">
        <v>147</v>
      </c>
      <c r="D469" s="76">
        <v>27</v>
      </c>
      <c r="E469" s="69">
        <v>3.0000000000000001E-3</v>
      </c>
    </row>
    <row r="470" spans="2:5" ht="15" customHeight="1">
      <c r="B470" s="112"/>
      <c r="C470" s="57" t="s">
        <v>148</v>
      </c>
      <c r="D470" s="76">
        <v>27</v>
      </c>
      <c r="E470" s="69">
        <v>3.0000000000000001E-3</v>
      </c>
    </row>
    <row r="471" spans="2:5" ht="15" customHeight="1">
      <c r="B471" s="112"/>
      <c r="C471" s="57" t="s">
        <v>149</v>
      </c>
      <c r="D471" s="76">
        <v>43</v>
      </c>
      <c r="E471" s="69">
        <v>5.0000000000000001E-3</v>
      </c>
    </row>
    <row r="472" spans="2:5" ht="15" customHeight="1">
      <c r="B472" s="112"/>
      <c r="C472" s="57" t="s">
        <v>150</v>
      </c>
      <c r="D472" s="76">
        <v>9</v>
      </c>
      <c r="E472" s="69">
        <v>1E-3</v>
      </c>
    </row>
    <row r="473" spans="2:5" ht="15" customHeight="1">
      <c r="B473" s="112"/>
      <c r="C473" s="57" t="s">
        <v>160</v>
      </c>
      <c r="D473" s="76">
        <v>4</v>
      </c>
      <c r="E473" s="69">
        <v>0</v>
      </c>
    </row>
    <row r="474" spans="2:5" ht="15" customHeight="1">
      <c r="B474" s="113"/>
      <c r="C474" s="73" t="s">
        <v>265</v>
      </c>
      <c r="D474" s="67">
        <v>207</v>
      </c>
      <c r="E474" s="72">
        <v>2.5000000000000001E-2</v>
      </c>
    </row>
    <row r="475" spans="2:5" ht="15" customHeight="1">
      <c r="B475" s="111" t="s">
        <v>63</v>
      </c>
      <c r="C475" s="57" t="s">
        <v>142</v>
      </c>
      <c r="D475" s="76">
        <v>2</v>
      </c>
      <c r="E475" s="69">
        <v>0</v>
      </c>
    </row>
    <row r="476" spans="2:5" ht="15" customHeight="1">
      <c r="B476" s="112"/>
      <c r="C476" s="57" t="s">
        <v>151</v>
      </c>
      <c r="D476" s="76">
        <v>2</v>
      </c>
      <c r="E476" s="69">
        <v>0</v>
      </c>
    </row>
    <row r="477" spans="2:5" ht="15" customHeight="1">
      <c r="B477" s="112"/>
      <c r="C477" s="57" t="s">
        <v>152</v>
      </c>
      <c r="D477" s="76">
        <v>5</v>
      </c>
      <c r="E477" s="69">
        <v>1E-3</v>
      </c>
    </row>
    <row r="478" spans="2:5" ht="15" customHeight="1">
      <c r="B478" s="112"/>
      <c r="C478" s="57" t="s">
        <v>153</v>
      </c>
      <c r="D478" s="76">
        <v>20</v>
      </c>
      <c r="E478" s="69">
        <v>2E-3</v>
      </c>
    </row>
    <row r="479" spans="2:5" ht="15" customHeight="1">
      <c r="B479" s="112"/>
      <c r="C479" s="57" t="s">
        <v>154</v>
      </c>
      <c r="D479" s="76">
        <v>10</v>
      </c>
      <c r="E479" s="69">
        <v>1E-3</v>
      </c>
    </row>
    <row r="480" spans="2:5" ht="15" customHeight="1">
      <c r="B480" s="112"/>
      <c r="C480" s="57" t="s">
        <v>155</v>
      </c>
      <c r="D480" s="76">
        <v>1</v>
      </c>
      <c r="E480" s="69">
        <v>0</v>
      </c>
    </row>
    <row r="481" spans="2:5" ht="15" customHeight="1">
      <c r="B481" s="112"/>
      <c r="C481" s="57" t="s">
        <v>156</v>
      </c>
      <c r="D481" s="76">
        <v>4</v>
      </c>
      <c r="E481" s="69">
        <v>0</v>
      </c>
    </row>
    <row r="482" spans="2:5" ht="15" customHeight="1">
      <c r="B482" s="112"/>
      <c r="C482" s="57" t="s">
        <v>144</v>
      </c>
      <c r="D482" s="76">
        <v>3</v>
      </c>
      <c r="E482" s="69">
        <v>0</v>
      </c>
    </row>
    <row r="483" spans="2:5" ht="15" customHeight="1">
      <c r="B483" s="112"/>
      <c r="C483" s="57" t="s">
        <v>145</v>
      </c>
      <c r="D483" s="76">
        <v>3</v>
      </c>
      <c r="E483" s="69">
        <v>0</v>
      </c>
    </row>
    <row r="484" spans="2:5" ht="15" customHeight="1">
      <c r="B484" s="112"/>
      <c r="C484" s="57" t="s">
        <v>157</v>
      </c>
      <c r="D484" s="76">
        <v>2</v>
      </c>
      <c r="E484" s="69">
        <v>0</v>
      </c>
    </row>
    <row r="485" spans="2:5" ht="15" customHeight="1">
      <c r="B485" s="112"/>
      <c r="C485" s="57" t="s">
        <v>158</v>
      </c>
      <c r="D485" s="76">
        <v>5</v>
      </c>
      <c r="E485" s="69">
        <v>1E-3</v>
      </c>
    </row>
    <row r="486" spans="2:5" ht="15" customHeight="1">
      <c r="B486" s="112"/>
      <c r="C486" s="57" t="s">
        <v>159</v>
      </c>
      <c r="D486" s="76">
        <v>9</v>
      </c>
      <c r="E486" s="69">
        <v>1E-3</v>
      </c>
    </row>
    <row r="487" spans="2:5" ht="15" customHeight="1">
      <c r="B487" s="112"/>
      <c r="C487" s="57" t="s">
        <v>161</v>
      </c>
      <c r="D487" s="76">
        <v>1</v>
      </c>
      <c r="E487" s="69">
        <v>0</v>
      </c>
    </row>
    <row r="488" spans="2:5" ht="15" customHeight="1">
      <c r="B488" s="112"/>
      <c r="C488" s="57" t="s">
        <v>146</v>
      </c>
      <c r="D488" s="76">
        <v>7</v>
      </c>
      <c r="E488" s="69">
        <v>1E-3</v>
      </c>
    </row>
    <row r="489" spans="2:5" ht="15" customHeight="1">
      <c r="B489" s="112"/>
      <c r="C489" s="57" t="s">
        <v>147</v>
      </c>
      <c r="D489" s="76">
        <v>11</v>
      </c>
      <c r="E489" s="69">
        <v>1E-3</v>
      </c>
    </row>
    <row r="490" spans="2:5" ht="15" customHeight="1">
      <c r="B490" s="112"/>
      <c r="C490" s="57" t="s">
        <v>148</v>
      </c>
      <c r="D490" s="76">
        <v>2</v>
      </c>
      <c r="E490" s="69">
        <v>0</v>
      </c>
    </row>
    <row r="491" spans="2:5" ht="15" customHeight="1">
      <c r="B491" s="112"/>
      <c r="C491" s="57" t="s">
        <v>149</v>
      </c>
      <c r="D491" s="76">
        <v>25</v>
      </c>
      <c r="E491" s="69">
        <v>3.0000000000000001E-3</v>
      </c>
    </row>
    <row r="492" spans="2:5" ht="15" customHeight="1">
      <c r="B492" s="112"/>
      <c r="C492" s="57" t="s">
        <v>150</v>
      </c>
      <c r="D492" s="76">
        <v>8</v>
      </c>
      <c r="E492" s="69">
        <v>1E-3</v>
      </c>
    </row>
    <row r="493" spans="2:5" ht="15" customHeight="1">
      <c r="B493" s="112"/>
      <c r="C493" s="57" t="s">
        <v>160</v>
      </c>
      <c r="D493" s="76">
        <v>3</v>
      </c>
      <c r="E493" s="69">
        <v>0</v>
      </c>
    </row>
    <row r="494" spans="2:5" ht="15" customHeight="1">
      <c r="B494" s="113"/>
      <c r="C494" s="73" t="s">
        <v>265</v>
      </c>
      <c r="D494" s="67">
        <v>123</v>
      </c>
      <c r="E494" s="72">
        <v>1.4999999999999999E-2</v>
      </c>
    </row>
    <row r="495" spans="2:5" ht="15" customHeight="1">
      <c r="B495" s="111" t="s">
        <v>95</v>
      </c>
      <c r="C495" s="57" t="s">
        <v>153</v>
      </c>
      <c r="D495" s="76">
        <v>1</v>
      </c>
      <c r="E495" s="69">
        <v>0</v>
      </c>
    </row>
    <row r="496" spans="2:5" ht="15" customHeight="1">
      <c r="B496" s="112"/>
      <c r="C496" s="57" t="s">
        <v>145</v>
      </c>
      <c r="D496" s="76">
        <v>1</v>
      </c>
      <c r="E496" s="69">
        <v>0</v>
      </c>
    </row>
    <row r="497" spans="2:5" ht="15" customHeight="1">
      <c r="B497" s="112"/>
      <c r="C497" s="57" t="s">
        <v>159</v>
      </c>
      <c r="D497" s="76">
        <v>1</v>
      </c>
      <c r="E497" s="69">
        <v>0</v>
      </c>
    </row>
    <row r="498" spans="2:5" ht="15" customHeight="1">
      <c r="B498" s="112"/>
      <c r="C498" s="57" t="s">
        <v>149</v>
      </c>
      <c r="D498" s="76">
        <v>2</v>
      </c>
      <c r="E498" s="69">
        <v>0</v>
      </c>
    </row>
    <row r="499" spans="2:5" ht="15" customHeight="1">
      <c r="B499" s="113"/>
      <c r="C499" s="73" t="s">
        <v>265</v>
      </c>
      <c r="D499" s="67">
        <v>5</v>
      </c>
      <c r="E499" s="72">
        <v>1E-3</v>
      </c>
    </row>
    <row r="500" spans="2:5" ht="15" customHeight="1">
      <c r="B500" s="111" t="s">
        <v>57</v>
      </c>
      <c r="C500" s="57" t="s">
        <v>142</v>
      </c>
      <c r="D500" s="76">
        <v>3</v>
      </c>
      <c r="E500" s="69">
        <v>0</v>
      </c>
    </row>
    <row r="501" spans="2:5" ht="15" customHeight="1">
      <c r="B501" s="112"/>
      <c r="C501" s="57" t="s">
        <v>151</v>
      </c>
      <c r="D501" s="76">
        <v>5</v>
      </c>
      <c r="E501" s="69">
        <v>1E-3</v>
      </c>
    </row>
    <row r="502" spans="2:5" ht="15" customHeight="1">
      <c r="B502" s="112"/>
      <c r="C502" s="57" t="s">
        <v>143</v>
      </c>
      <c r="D502" s="76">
        <v>2</v>
      </c>
      <c r="E502" s="69">
        <v>0</v>
      </c>
    </row>
    <row r="503" spans="2:5" ht="15" customHeight="1">
      <c r="B503" s="112"/>
      <c r="C503" s="57" t="s">
        <v>152</v>
      </c>
      <c r="D503" s="76">
        <v>2</v>
      </c>
      <c r="E503" s="69">
        <v>0</v>
      </c>
    </row>
    <row r="504" spans="2:5" ht="15" customHeight="1">
      <c r="B504" s="112"/>
      <c r="C504" s="57" t="s">
        <v>153</v>
      </c>
      <c r="D504" s="76">
        <v>16</v>
      </c>
      <c r="E504" s="69">
        <v>2E-3</v>
      </c>
    </row>
    <row r="505" spans="2:5" ht="15" customHeight="1">
      <c r="B505" s="112"/>
      <c r="C505" s="57" t="s">
        <v>154</v>
      </c>
      <c r="D505" s="76">
        <v>3</v>
      </c>
      <c r="E505" s="69">
        <v>0</v>
      </c>
    </row>
    <row r="506" spans="2:5" ht="15" customHeight="1">
      <c r="B506" s="112"/>
      <c r="C506" s="57" t="s">
        <v>235</v>
      </c>
      <c r="D506" s="76">
        <v>1</v>
      </c>
      <c r="E506" s="69">
        <v>0</v>
      </c>
    </row>
    <row r="507" spans="2:5" ht="15" customHeight="1">
      <c r="B507" s="112"/>
      <c r="C507" s="57" t="s">
        <v>155</v>
      </c>
      <c r="D507" s="76">
        <v>1</v>
      </c>
      <c r="E507" s="69">
        <v>0</v>
      </c>
    </row>
    <row r="508" spans="2:5" ht="15" customHeight="1">
      <c r="B508" s="112"/>
      <c r="C508" s="57" t="s">
        <v>156</v>
      </c>
      <c r="D508" s="76">
        <v>38</v>
      </c>
      <c r="E508" s="69">
        <v>5.0000000000000001E-3</v>
      </c>
    </row>
    <row r="509" spans="2:5" ht="15" customHeight="1">
      <c r="B509" s="112"/>
      <c r="C509" s="57" t="s">
        <v>144</v>
      </c>
      <c r="D509" s="76">
        <v>11</v>
      </c>
      <c r="E509" s="69">
        <v>1E-3</v>
      </c>
    </row>
    <row r="510" spans="2:5" ht="15" customHeight="1">
      <c r="B510" s="112"/>
      <c r="C510" s="57" t="s">
        <v>145</v>
      </c>
      <c r="D510" s="76">
        <v>11</v>
      </c>
      <c r="E510" s="69">
        <v>1E-3</v>
      </c>
    </row>
    <row r="511" spans="2:5" ht="15" customHeight="1">
      <c r="B511" s="112"/>
      <c r="C511" s="57" t="s">
        <v>157</v>
      </c>
      <c r="D511" s="76">
        <v>8</v>
      </c>
      <c r="E511" s="69">
        <v>1E-3</v>
      </c>
    </row>
    <row r="512" spans="2:5" ht="15" customHeight="1">
      <c r="B512" s="112"/>
      <c r="C512" s="57" t="s">
        <v>158</v>
      </c>
      <c r="D512" s="76">
        <v>11</v>
      </c>
      <c r="E512" s="69">
        <v>1E-3</v>
      </c>
    </row>
    <row r="513" spans="2:5" ht="15" customHeight="1">
      <c r="B513" s="112"/>
      <c r="C513" s="57" t="s">
        <v>159</v>
      </c>
      <c r="D513" s="76">
        <v>7</v>
      </c>
      <c r="E513" s="69">
        <v>1E-3</v>
      </c>
    </row>
    <row r="514" spans="2:5" ht="15" customHeight="1">
      <c r="B514" s="112"/>
      <c r="C514" s="57" t="s">
        <v>146</v>
      </c>
      <c r="D514" s="76">
        <v>5</v>
      </c>
      <c r="E514" s="69">
        <v>1E-3</v>
      </c>
    </row>
    <row r="515" spans="2:5" ht="15" customHeight="1">
      <c r="B515" s="112"/>
      <c r="C515" s="57" t="s">
        <v>147</v>
      </c>
      <c r="D515" s="76">
        <v>50</v>
      </c>
      <c r="E515" s="69">
        <v>6.0000000000000001E-3</v>
      </c>
    </row>
    <row r="516" spans="2:5" ht="15" customHeight="1">
      <c r="B516" s="112"/>
      <c r="C516" s="57" t="s">
        <v>148</v>
      </c>
      <c r="D516" s="76">
        <v>2</v>
      </c>
      <c r="E516" s="69">
        <v>0</v>
      </c>
    </row>
    <row r="517" spans="2:5" ht="15" customHeight="1">
      <c r="B517" s="112"/>
      <c r="C517" s="57" t="s">
        <v>149</v>
      </c>
      <c r="D517" s="76">
        <v>47</v>
      </c>
      <c r="E517" s="69">
        <v>6.0000000000000001E-3</v>
      </c>
    </row>
    <row r="518" spans="2:5" ht="15" customHeight="1">
      <c r="B518" s="112"/>
      <c r="C518" s="57" t="s">
        <v>150</v>
      </c>
      <c r="D518" s="76">
        <v>14</v>
      </c>
      <c r="E518" s="69">
        <v>2E-3</v>
      </c>
    </row>
    <row r="519" spans="2:5" ht="15" customHeight="1">
      <c r="B519" s="112"/>
      <c r="C519" s="57" t="s">
        <v>160</v>
      </c>
      <c r="D519" s="76">
        <v>3</v>
      </c>
      <c r="E519" s="69">
        <v>0</v>
      </c>
    </row>
    <row r="520" spans="2:5" ht="15" customHeight="1">
      <c r="B520" s="113"/>
      <c r="C520" s="73" t="s">
        <v>265</v>
      </c>
      <c r="D520" s="67">
        <v>240</v>
      </c>
      <c r="E520" s="72">
        <v>2.9000000000000001E-2</v>
      </c>
    </row>
    <row r="521" spans="2:5" ht="15" customHeight="1">
      <c r="B521" s="111" t="s">
        <v>50</v>
      </c>
      <c r="C521" s="57" t="s">
        <v>142</v>
      </c>
      <c r="D521" s="76">
        <v>12</v>
      </c>
      <c r="E521" s="69">
        <v>1E-3</v>
      </c>
    </row>
    <row r="522" spans="2:5" ht="15" customHeight="1">
      <c r="B522" s="112"/>
      <c r="C522" s="57" t="s">
        <v>151</v>
      </c>
      <c r="D522" s="76">
        <v>26</v>
      </c>
      <c r="E522" s="69">
        <v>3.0000000000000001E-3</v>
      </c>
    </row>
    <row r="523" spans="2:5" ht="15" customHeight="1">
      <c r="B523" s="112"/>
      <c r="C523" s="57" t="s">
        <v>143</v>
      </c>
      <c r="D523" s="76">
        <v>12</v>
      </c>
      <c r="E523" s="69">
        <v>1E-3</v>
      </c>
    </row>
    <row r="524" spans="2:5" ht="15" customHeight="1">
      <c r="B524" s="112"/>
      <c r="C524" s="57" t="s">
        <v>152</v>
      </c>
      <c r="D524" s="76">
        <v>10</v>
      </c>
      <c r="E524" s="69">
        <v>1E-3</v>
      </c>
    </row>
    <row r="525" spans="2:5" ht="15" customHeight="1">
      <c r="B525" s="112"/>
      <c r="C525" s="57" t="s">
        <v>153</v>
      </c>
      <c r="D525" s="76">
        <v>48</v>
      </c>
      <c r="E525" s="69">
        <v>6.0000000000000001E-3</v>
      </c>
    </row>
    <row r="526" spans="2:5" ht="15" customHeight="1">
      <c r="B526" s="112"/>
      <c r="C526" s="57" t="s">
        <v>154</v>
      </c>
      <c r="D526" s="76">
        <v>4</v>
      </c>
      <c r="E526" s="69">
        <v>0</v>
      </c>
    </row>
    <row r="527" spans="2:5" ht="15" customHeight="1">
      <c r="B527" s="112"/>
      <c r="C527" s="57" t="s">
        <v>235</v>
      </c>
      <c r="D527" s="76">
        <v>1</v>
      </c>
      <c r="E527" s="69">
        <v>0</v>
      </c>
    </row>
    <row r="528" spans="2:5" ht="15" customHeight="1">
      <c r="B528" s="112"/>
      <c r="C528" s="57" t="s">
        <v>155</v>
      </c>
      <c r="D528" s="76">
        <v>9</v>
      </c>
      <c r="E528" s="69">
        <v>1E-3</v>
      </c>
    </row>
    <row r="529" spans="2:5" ht="15" customHeight="1">
      <c r="B529" s="112"/>
      <c r="C529" s="57" t="s">
        <v>156</v>
      </c>
      <c r="D529" s="76">
        <v>15</v>
      </c>
      <c r="E529" s="69">
        <v>2E-3</v>
      </c>
    </row>
    <row r="530" spans="2:5" ht="15" customHeight="1">
      <c r="B530" s="112"/>
      <c r="C530" s="57" t="s">
        <v>144</v>
      </c>
      <c r="D530" s="76">
        <v>12</v>
      </c>
      <c r="E530" s="69">
        <v>1E-3</v>
      </c>
    </row>
    <row r="531" spans="2:5" ht="15" customHeight="1">
      <c r="B531" s="112"/>
      <c r="C531" s="57" t="s">
        <v>145</v>
      </c>
      <c r="D531" s="76">
        <v>10</v>
      </c>
      <c r="E531" s="69">
        <v>1E-3</v>
      </c>
    </row>
    <row r="532" spans="2:5" ht="15" customHeight="1">
      <c r="B532" s="112"/>
      <c r="C532" s="57" t="s">
        <v>157</v>
      </c>
      <c r="D532" s="76">
        <v>11</v>
      </c>
      <c r="E532" s="69">
        <v>1E-3</v>
      </c>
    </row>
    <row r="533" spans="2:5" ht="15" customHeight="1">
      <c r="B533" s="112"/>
      <c r="C533" s="57" t="s">
        <v>158</v>
      </c>
      <c r="D533" s="76">
        <v>16</v>
      </c>
      <c r="E533" s="69">
        <v>2E-3</v>
      </c>
    </row>
    <row r="534" spans="2:5" ht="15" customHeight="1">
      <c r="B534" s="112"/>
      <c r="C534" s="57" t="s">
        <v>159</v>
      </c>
      <c r="D534" s="76">
        <v>19</v>
      </c>
      <c r="E534" s="69">
        <v>2E-3</v>
      </c>
    </row>
    <row r="535" spans="2:5" ht="15" customHeight="1">
      <c r="B535" s="112"/>
      <c r="C535" s="57" t="s">
        <v>161</v>
      </c>
      <c r="D535" s="76">
        <v>5</v>
      </c>
      <c r="E535" s="69">
        <v>1E-3</v>
      </c>
    </row>
    <row r="536" spans="2:5" ht="15" customHeight="1">
      <c r="B536" s="112"/>
      <c r="C536" s="57" t="s">
        <v>146</v>
      </c>
      <c r="D536" s="76">
        <v>7</v>
      </c>
      <c r="E536" s="69">
        <v>1E-3</v>
      </c>
    </row>
    <row r="537" spans="2:5" ht="15" customHeight="1">
      <c r="B537" s="112"/>
      <c r="C537" s="57" t="s">
        <v>147</v>
      </c>
      <c r="D537" s="76">
        <v>59</v>
      </c>
      <c r="E537" s="69">
        <v>7.0000000000000001E-3</v>
      </c>
    </row>
    <row r="538" spans="2:5" ht="15" customHeight="1">
      <c r="B538" s="112"/>
      <c r="C538" s="57" t="s">
        <v>148</v>
      </c>
      <c r="D538" s="76">
        <v>20</v>
      </c>
      <c r="E538" s="69">
        <v>2E-3</v>
      </c>
    </row>
    <row r="539" spans="2:5" ht="15" customHeight="1">
      <c r="B539" s="112"/>
      <c r="C539" s="57" t="s">
        <v>149</v>
      </c>
      <c r="D539" s="76">
        <v>70</v>
      </c>
      <c r="E539" s="69">
        <v>8.0000000000000002E-3</v>
      </c>
    </row>
    <row r="540" spans="2:5" ht="15" customHeight="1">
      <c r="B540" s="112"/>
      <c r="C540" s="57" t="s">
        <v>150</v>
      </c>
      <c r="D540" s="76">
        <v>19</v>
      </c>
      <c r="E540" s="69">
        <v>2E-3</v>
      </c>
    </row>
    <row r="541" spans="2:5" ht="15" customHeight="1">
      <c r="B541" s="112"/>
      <c r="C541" s="57" t="s">
        <v>160</v>
      </c>
      <c r="D541" s="76">
        <v>12</v>
      </c>
      <c r="E541" s="69">
        <v>1E-3</v>
      </c>
    </row>
    <row r="542" spans="2:5" ht="15" customHeight="1">
      <c r="B542" s="113"/>
      <c r="C542" s="73" t="s">
        <v>265</v>
      </c>
      <c r="D542" s="67">
        <v>397</v>
      </c>
      <c r="E542" s="72">
        <v>4.7E-2</v>
      </c>
    </row>
    <row r="543" spans="2:5" ht="15" customHeight="1">
      <c r="B543" s="111" t="s">
        <v>58</v>
      </c>
      <c r="C543" s="57" t="s">
        <v>142</v>
      </c>
      <c r="D543" s="76">
        <v>4</v>
      </c>
      <c r="E543" s="69">
        <v>0</v>
      </c>
    </row>
    <row r="544" spans="2:5" ht="15" customHeight="1">
      <c r="B544" s="112"/>
      <c r="C544" s="57" t="s">
        <v>153</v>
      </c>
      <c r="D544" s="76">
        <v>3</v>
      </c>
      <c r="E544" s="69">
        <v>0</v>
      </c>
    </row>
    <row r="545" spans="2:5" ht="15" customHeight="1">
      <c r="B545" s="112"/>
      <c r="C545" s="57" t="s">
        <v>154</v>
      </c>
      <c r="D545" s="76">
        <v>4</v>
      </c>
      <c r="E545" s="69">
        <v>0</v>
      </c>
    </row>
    <row r="546" spans="2:5" ht="15" customHeight="1">
      <c r="B546" s="112"/>
      <c r="C546" s="57" t="s">
        <v>155</v>
      </c>
      <c r="D546" s="76">
        <v>1</v>
      </c>
      <c r="E546" s="69">
        <v>0</v>
      </c>
    </row>
    <row r="547" spans="2:5" ht="15" customHeight="1">
      <c r="B547" s="112"/>
      <c r="C547" s="57" t="s">
        <v>156</v>
      </c>
      <c r="D547" s="76">
        <v>2</v>
      </c>
      <c r="E547" s="69">
        <v>0</v>
      </c>
    </row>
    <row r="548" spans="2:5" ht="15" customHeight="1">
      <c r="B548" s="112"/>
      <c r="C548" s="57" t="s">
        <v>144</v>
      </c>
      <c r="D548" s="76">
        <v>1</v>
      </c>
      <c r="E548" s="69">
        <v>0</v>
      </c>
    </row>
    <row r="549" spans="2:5" ht="15" customHeight="1">
      <c r="B549" s="112"/>
      <c r="C549" s="57" t="s">
        <v>157</v>
      </c>
      <c r="D549" s="76">
        <v>28</v>
      </c>
      <c r="E549" s="69">
        <v>3.0000000000000001E-3</v>
      </c>
    </row>
    <row r="550" spans="2:5" ht="15" customHeight="1">
      <c r="B550" s="112"/>
      <c r="C550" s="57" t="s">
        <v>158</v>
      </c>
      <c r="D550" s="76">
        <v>2</v>
      </c>
      <c r="E550" s="69">
        <v>0</v>
      </c>
    </row>
    <row r="551" spans="2:5" ht="15" customHeight="1">
      <c r="B551" s="112"/>
      <c r="C551" s="57" t="s">
        <v>159</v>
      </c>
      <c r="D551" s="76">
        <v>7</v>
      </c>
      <c r="E551" s="69">
        <v>1E-3</v>
      </c>
    </row>
    <row r="552" spans="2:5" ht="15" customHeight="1">
      <c r="B552" s="112"/>
      <c r="C552" s="57" t="s">
        <v>161</v>
      </c>
      <c r="D552" s="76">
        <v>1</v>
      </c>
      <c r="E552" s="69">
        <v>0</v>
      </c>
    </row>
    <row r="553" spans="2:5" ht="15" customHeight="1">
      <c r="B553" s="112"/>
      <c r="C553" s="57" t="s">
        <v>147</v>
      </c>
      <c r="D553" s="76">
        <v>13</v>
      </c>
      <c r="E553" s="69">
        <v>2E-3</v>
      </c>
    </row>
    <row r="554" spans="2:5" ht="15" customHeight="1">
      <c r="B554" s="112"/>
      <c r="C554" s="57" t="s">
        <v>148</v>
      </c>
      <c r="D554" s="76">
        <v>1</v>
      </c>
      <c r="E554" s="69">
        <v>0</v>
      </c>
    </row>
    <row r="555" spans="2:5" ht="15" customHeight="1">
      <c r="B555" s="112"/>
      <c r="C555" s="57" t="s">
        <v>149</v>
      </c>
      <c r="D555" s="76">
        <v>30</v>
      </c>
      <c r="E555" s="69">
        <v>4.0000000000000001E-3</v>
      </c>
    </row>
    <row r="556" spans="2:5" ht="15" customHeight="1">
      <c r="B556" s="112"/>
      <c r="C556" s="57" t="s">
        <v>150</v>
      </c>
      <c r="D556" s="76">
        <v>31</v>
      </c>
      <c r="E556" s="69">
        <v>4.0000000000000001E-3</v>
      </c>
    </row>
    <row r="557" spans="2:5" ht="15" customHeight="1">
      <c r="B557" s="113"/>
      <c r="C557" s="73" t="s">
        <v>265</v>
      </c>
      <c r="D557" s="67">
        <v>128</v>
      </c>
      <c r="E557" s="72">
        <v>1.4999999999999999E-2</v>
      </c>
    </row>
    <row r="558" spans="2:5" ht="15" customHeight="1">
      <c r="B558" s="111" t="s">
        <v>64</v>
      </c>
      <c r="C558" s="57" t="s">
        <v>142</v>
      </c>
      <c r="D558" s="76">
        <v>1</v>
      </c>
      <c r="E558" s="69">
        <v>0</v>
      </c>
    </row>
    <row r="559" spans="2:5" ht="15" customHeight="1">
      <c r="B559" s="112"/>
      <c r="C559" s="57" t="s">
        <v>151</v>
      </c>
      <c r="D559" s="76">
        <v>2</v>
      </c>
      <c r="E559" s="69">
        <v>0</v>
      </c>
    </row>
    <row r="560" spans="2:5" ht="15" customHeight="1">
      <c r="B560" s="112"/>
      <c r="C560" s="57" t="s">
        <v>143</v>
      </c>
      <c r="D560" s="76">
        <v>5</v>
      </c>
      <c r="E560" s="69">
        <v>1E-3</v>
      </c>
    </row>
    <row r="561" spans="2:5" ht="15" customHeight="1">
      <c r="B561" s="112"/>
      <c r="C561" s="57" t="s">
        <v>152</v>
      </c>
      <c r="D561" s="76">
        <v>3</v>
      </c>
      <c r="E561" s="69">
        <v>0</v>
      </c>
    </row>
    <row r="562" spans="2:5" ht="15" customHeight="1">
      <c r="B562" s="112"/>
      <c r="C562" s="57" t="s">
        <v>153</v>
      </c>
      <c r="D562" s="76">
        <v>25</v>
      </c>
      <c r="E562" s="69">
        <v>3.0000000000000001E-3</v>
      </c>
    </row>
    <row r="563" spans="2:5" ht="15" customHeight="1">
      <c r="B563" s="112"/>
      <c r="C563" s="57" t="s">
        <v>154</v>
      </c>
      <c r="D563" s="76">
        <v>6</v>
      </c>
      <c r="E563" s="69">
        <v>1E-3</v>
      </c>
    </row>
    <row r="564" spans="2:5" ht="15" customHeight="1">
      <c r="B564" s="112"/>
      <c r="C564" s="57" t="s">
        <v>235</v>
      </c>
      <c r="D564" s="76">
        <v>2</v>
      </c>
      <c r="E564" s="69">
        <v>0</v>
      </c>
    </row>
    <row r="565" spans="2:5" ht="15" customHeight="1">
      <c r="B565" s="112"/>
      <c r="C565" s="57" t="s">
        <v>155</v>
      </c>
      <c r="D565" s="76">
        <v>2</v>
      </c>
      <c r="E565" s="69">
        <v>0</v>
      </c>
    </row>
    <row r="566" spans="2:5" ht="15" customHeight="1">
      <c r="B566" s="112"/>
      <c r="C566" s="57" t="s">
        <v>156</v>
      </c>
      <c r="D566" s="76">
        <v>7</v>
      </c>
      <c r="E566" s="69">
        <v>1E-3</v>
      </c>
    </row>
    <row r="567" spans="2:5" ht="15" customHeight="1">
      <c r="B567" s="112"/>
      <c r="C567" s="57" t="s">
        <v>145</v>
      </c>
      <c r="D567" s="76">
        <v>4</v>
      </c>
      <c r="E567" s="69">
        <v>0</v>
      </c>
    </row>
    <row r="568" spans="2:5" ht="15" customHeight="1">
      <c r="B568" s="112"/>
      <c r="C568" s="57" t="s">
        <v>157</v>
      </c>
      <c r="D568" s="76">
        <v>5</v>
      </c>
      <c r="E568" s="69">
        <v>1E-3</v>
      </c>
    </row>
    <row r="569" spans="2:5" ht="15" customHeight="1">
      <c r="B569" s="112"/>
      <c r="C569" s="57" t="s">
        <v>158</v>
      </c>
      <c r="D569" s="76">
        <v>1</v>
      </c>
      <c r="E569" s="69">
        <v>0</v>
      </c>
    </row>
    <row r="570" spans="2:5" ht="15" customHeight="1">
      <c r="B570" s="112"/>
      <c r="C570" s="57" t="s">
        <v>159</v>
      </c>
      <c r="D570" s="76">
        <v>11</v>
      </c>
      <c r="E570" s="69">
        <v>1E-3</v>
      </c>
    </row>
    <row r="571" spans="2:5" ht="15" customHeight="1">
      <c r="B571" s="112"/>
      <c r="C571" s="57" t="s">
        <v>146</v>
      </c>
      <c r="D571" s="76">
        <v>6</v>
      </c>
      <c r="E571" s="69">
        <v>1E-3</v>
      </c>
    </row>
    <row r="572" spans="2:5" ht="15" customHeight="1">
      <c r="B572" s="112"/>
      <c r="C572" s="57" t="s">
        <v>147</v>
      </c>
      <c r="D572" s="76">
        <v>21</v>
      </c>
      <c r="E572" s="69">
        <v>3.0000000000000001E-3</v>
      </c>
    </row>
    <row r="573" spans="2:5" ht="15" customHeight="1">
      <c r="B573" s="112"/>
      <c r="C573" s="57" t="s">
        <v>148</v>
      </c>
      <c r="D573" s="76">
        <v>8</v>
      </c>
      <c r="E573" s="69">
        <v>1E-3</v>
      </c>
    </row>
    <row r="574" spans="2:5" ht="15" customHeight="1">
      <c r="B574" s="112"/>
      <c r="C574" s="57" t="s">
        <v>149</v>
      </c>
      <c r="D574" s="76">
        <v>30</v>
      </c>
      <c r="E574" s="69">
        <v>4.0000000000000001E-3</v>
      </c>
    </row>
    <row r="575" spans="2:5" ht="15" customHeight="1">
      <c r="B575" s="112"/>
      <c r="C575" s="57" t="s">
        <v>150</v>
      </c>
      <c r="D575" s="76">
        <v>3</v>
      </c>
      <c r="E575" s="69">
        <v>0</v>
      </c>
    </row>
    <row r="576" spans="2:5" ht="15" customHeight="1">
      <c r="B576" s="112"/>
      <c r="C576" s="57" t="s">
        <v>160</v>
      </c>
      <c r="D576" s="76">
        <v>2</v>
      </c>
      <c r="E576" s="69">
        <v>0</v>
      </c>
    </row>
    <row r="577" spans="2:5" ht="15" customHeight="1">
      <c r="B577" s="113"/>
      <c r="C577" s="73" t="s">
        <v>265</v>
      </c>
      <c r="D577" s="67">
        <v>144</v>
      </c>
      <c r="E577" s="72">
        <v>1.7000000000000001E-2</v>
      </c>
    </row>
    <row r="578" spans="2:5" ht="15" customHeight="1">
      <c r="B578" s="111" t="s">
        <v>85</v>
      </c>
      <c r="C578" s="57" t="s">
        <v>142</v>
      </c>
      <c r="D578" s="76">
        <v>4</v>
      </c>
      <c r="E578" s="69">
        <v>0</v>
      </c>
    </row>
    <row r="579" spans="2:5" ht="15" customHeight="1">
      <c r="B579" s="112"/>
      <c r="C579" s="57" t="s">
        <v>153</v>
      </c>
      <c r="D579" s="76">
        <v>6</v>
      </c>
      <c r="E579" s="69">
        <v>1E-3</v>
      </c>
    </row>
    <row r="580" spans="2:5" ht="15" customHeight="1">
      <c r="B580" s="112"/>
      <c r="C580" s="57" t="s">
        <v>154</v>
      </c>
      <c r="D580" s="76">
        <v>1</v>
      </c>
      <c r="E580" s="69">
        <v>0</v>
      </c>
    </row>
    <row r="581" spans="2:5" ht="15" customHeight="1">
      <c r="B581" s="112"/>
      <c r="C581" s="57" t="s">
        <v>145</v>
      </c>
      <c r="D581" s="76">
        <v>2</v>
      </c>
      <c r="E581" s="69">
        <v>0</v>
      </c>
    </row>
    <row r="582" spans="2:5" ht="15" customHeight="1">
      <c r="B582" s="112"/>
      <c r="C582" s="57" t="s">
        <v>157</v>
      </c>
      <c r="D582" s="76">
        <v>2</v>
      </c>
      <c r="E582" s="69">
        <v>0</v>
      </c>
    </row>
    <row r="583" spans="2:5" ht="15" customHeight="1">
      <c r="B583" s="112"/>
      <c r="C583" s="57" t="s">
        <v>158</v>
      </c>
      <c r="D583" s="76">
        <v>1</v>
      </c>
      <c r="E583" s="69">
        <v>0</v>
      </c>
    </row>
    <row r="584" spans="2:5" ht="15" customHeight="1">
      <c r="B584" s="112"/>
      <c r="C584" s="57" t="s">
        <v>159</v>
      </c>
      <c r="D584" s="76">
        <v>2</v>
      </c>
      <c r="E584" s="69">
        <v>0</v>
      </c>
    </row>
    <row r="585" spans="2:5" ht="15" customHeight="1">
      <c r="B585" s="112"/>
      <c r="C585" s="57" t="s">
        <v>147</v>
      </c>
      <c r="D585" s="76">
        <v>2</v>
      </c>
      <c r="E585" s="69">
        <v>0</v>
      </c>
    </row>
    <row r="586" spans="2:5" ht="15" customHeight="1">
      <c r="B586" s="112"/>
      <c r="C586" s="57" t="s">
        <v>148</v>
      </c>
      <c r="D586" s="76">
        <v>1</v>
      </c>
      <c r="E586" s="69">
        <v>0</v>
      </c>
    </row>
    <row r="587" spans="2:5" ht="15" customHeight="1">
      <c r="B587" s="112"/>
      <c r="C587" s="57" t="s">
        <v>149</v>
      </c>
      <c r="D587" s="76">
        <v>9</v>
      </c>
      <c r="E587" s="69">
        <v>1E-3</v>
      </c>
    </row>
    <row r="588" spans="2:5" ht="15" customHeight="1">
      <c r="B588" s="113"/>
      <c r="C588" s="73" t="s">
        <v>265</v>
      </c>
      <c r="D588" s="67">
        <v>30</v>
      </c>
      <c r="E588" s="72">
        <v>4.0000000000000001E-3</v>
      </c>
    </row>
    <row r="589" spans="2:5" ht="15" customHeight="1">
      <c r="B589" s="111" t="s">
        <v>48</v>
      </c>
      <c r="C589" s="57" t="s">
        <v>142</v>
      </c>
      <c r="D589" s="76">
        <v>48</v>
      </c>
      <c r="E589" s="69">
        <v>6.0000000000000001E-3</v>
      </c>
    </row>
    <row r="590" spans="2:5" ht="15" customHeight="1">
      <c r="B590" s="112"/>
      <c r="C590" s="57" t="s">
        <v>151</v>
      </c>
      <c r="D590" s="76">
        <v>23</v>
      </c>
      <c r="E590" s="69">
        <v>3.0000000000000001E-3</v>
      </c>
    </row>
    <row r="591" spans="2:5" ht="15" customHeight="1">
      <c r="B591" s="112"/>
      <c r="C591" s="57" t="s">
        <v>143</v>
      </c>
      <c r="D591" s="76">
        <v>16</v>
      </c>
      <c r="E591" s="69">
        <v>2E-3</v>
      </c>
    </row>
    <row r="592" spans="2:5" ht="15" customHeight="1">
      <c r="B592" s="112"/>
      <c r="C592" s="57" t="s">
        <v>152</v>
      </c>
      <c r="D592" s="76">
        <v>2</v>
      </c>
      <c r="E592" s="69">
        <v>0</v>
      </c>
    </row>
    <row r="593" spans="2:5" ht="15" customHeight="1">
      <c r="B593" s="112"/>
      <c r="C593" s="57" t="s">
        <v>153</v>
      </c>
      <c r="D593" s="76">
        <v>77</v>
      </c>
      <c r="E593" s="69">
        <v>8.9999999999999993E-3</v>
      </c>
    </row>
    <row r="594" spans="2:5" ht="15" customHeight="1">
      <c r="B594" s="112"/>
      <c r="C594" s="57" t="s">
        <v>154</v>
      </c>
      <c r="D594" s="76">
        <v>7</v>
      </c>
      <c r="E594" s="69">
        <v>1E-3</v>
      </c>
    </row>
    <row r="595" spans="2:5" ht="15" customHeight="1">
      <c r="B595" s="112"/>
      <c r="C595" s="57" t="s">
        <v>235</v>
      </c>
      <c r="D595" s="76">
        <v>3</v>
      </c>
      <c r="E595" s="69">
        <v>0</v>
      </c>
    </row>
    <row r="596" spans="2:5" ht="15" customHeight="1">
      <c r="B596" s="112"/>
      <c r="C596" s="57" t="s">
        <v>155</v>
      </c>
      <c r="D596" s="76">
        <v>12</v>
      </c>
      <c r="E596" s="69">
        <v>1E-3</v>
      </c>
    </row>
    <row r="597" spans="2:5" ht="15" customHeight="1">
      <c r="B597" s="112"/>
      <c r="C597" s="57" t="s">
        <v>156</v>
      </c>
      <c r="D597" s="76">
        <v>16</v>
      </c>
      <c r="E597" s="69">
        <v>2E-3</v>
      </c>
    </row>
    <row r="598" spans="2:5" ht="15" customHeight="1">
      <c r="B598" s="112"/>
      <c r="C598" s="57" t="s">
        <v>144</v>
      </c>
      <c r="D598" s="76">
        <v>6</v>
      </c>
      <c r="E598" s="69">
        <v>1E-3</v>
      </c>
    </row>
    <row r="599" spans="2:5" ht="15" customHeight="1">
      <c r="B599" s="112"/>
      <c r="C599" s="57" t="s">
        <v>145</v>
      </c>
      <c r="D599" s="76">
        <v>18</v>
      </c>
      <c r="E599" s="69">
        <v>2E-3</v>
      </c>
    </row>
    <row r="600" spans="2:5" ht="15" customHeight="1">
      <c r="B600" s="112"/>
      <c r="C600" s="57" t="s">
        <v>157</v>
      </c>
      <c r="D600" s="76">
        <v>39</v>
      </c>
      <c r="E600" s="69">
        <v>5.0000000000000001E-3</v>
      </c>
    </row>
    <row r="601" spans="2:5" ht="15" customHeight="1">
      <c r="B601" s="112"/>
      <c r="C601" s="57" t="s">
        <v>158</v>
      </c>
      <c r="D601" s="76">
        <v>16</v>
      </c>
      <c r="E601" s="69">
        <v>2E-3</v>
      </c>
    </row>
    <row r="602" spans="2:5" ht="15" customHeight="1">
      <c r="B602" s="112"/>
      <c r="C602" s="57" t="s">
        <v>159</v>
      </c>
      <c r="D602" s="76">
        <v>51</v>
      </c>
      <c r="E602" s="69">
        <v>6.0000000000000001E-3</v>
      </c>
    </row>
    <row r="603" spans="2:5" ht="15" customHeight="1">
      <c r="B603" s="112"/>
      <c r="C603" s="57" t="s">
        <v>161</v>
      </c>
      <c r="D603" s="76">
        <v>13</v>
      </c>
      <c r="E603" s="69">
        <v>2E-3</v>
      </c>
    </row>
    <row r="604" spans="2:5" ht="15" customHeight="1">
      <c r="B604" s="112"/>
      <c r="C604" s="57" t="s">
        <v>146</v>
      </c>
      <c r="D604" s="76">
        <v>23</v>
      </c>
      <c r="E604" s="69">
        <v>3.0000000000000001E-3</v>
      </c>
    </row>
    <row r="605" spans="2:5" ht="15" customHeight="1">
      <c r="B605" s="112"/>
      <c r="C605" s="57" t="s">
        <v>147</v>
      </c>
      <c r="D605" s="76">
        <v>74</v>
      </c>
      <c r="E605" s="69">
        <v>8.9999999999999993E-3</v>
      </c>
    </row>
    <row r="606" spans="2:5" ht="15" customHeight="1">
      <c r="B606" s="112"/>
      <c r="C606" s="57" t="s">
        <v>148</v>
      </c>
      <c r="D606" s="76">
        <v>76</v>
      </c>
      <c r="E606" s="69">
        <v>8.9999999999999993E-3</v>
      </c>
    </row>
    <row r="607" spans="2:5" ht="15" customHeight="1">
      <c r="B607" s="112"/>
      <c r="C607" s="57" t="s">
        <v>149</v>
      </c>
      <c r="D607" s="76">
        <v>200</v>
      </c>
      <c r="E607" s="69">
        <v>2.4E-2</v>
      </c>
    </row>
    <row r="608" spans="2:5" ht="15" customHeight="1">
      <c r="B608" s="112"/>
      <c r="C608" s="57" t="s">
        <v>150</v>
      </c>
      <c r="D608" s="76">
        <v>33</v>
      </c>
      <c r="E608" s="69">
        <v>4.0000000000000001E-3</v>
      </c>
    </row>
    <row r="609" spans="2:5" ht="15" customHeight="1">
      <c r="B609" s="112"/>
      <c r="C609" s="57" t="s">
        <v>160</v>
      </c>
      <c r="D609" s="76">
        <v>6</v>
      </c>
      <c r="E609" s="69">
        <v>1E-3</v>
      </c>
    </row>
    <row r="610" spans="2:5" ht="15" customHeight="1">
      <c r="B610" s="113"/>
      <c r="C610" s="73" t="s">
        <v>265</v>
      </c>
      <c r="D610" s="67">
        <v>759</v>
      </c>
      <c r="E610" s="72">
        <v>9.0999999999999998E-2</v>
      </c>
    </row>
    <row r="611" spans="2:5" ht="15" customHeight="1">
      <c r="B611" s="111" t="s">
        <v>53</v>
      </c>
      <c r="C611" s="57" t="s">
        <v>142</v>
      </c>
      <c r="D611" s="76">
        <v>22</v>
      </c>
      <c r="E611" s="69">
        <v>3.0000000000000001E-3</v>
      </c>
    </row>
    <row r="612" spans="2:5" ht="15" customHeight="1">
      <c r="B612" s="112"/>
      <c r="C612" s="57" t="s">
        <v>151</v>
      </c>
      <c r="D612" s="76">
        <v>2</v>
      </c>
      <c r="E612" s="69">
        <v>0</v>
      </c>
    </row>
    <row r="613" spans="2:5" ht="15" customHeight="1">
      <c r="B613" s="112"/>
      <c r="C613" s="57" t="s">
        <v>143</v>
      </c>
      <c r="D613" s="76">
        <v>10</v>
      </c>
      <c r="E613" s="69">
        <v>1E-3</v>
      </c>
    </row>
    <row r="614" spans="2:5" ht="15" customHeight="1">
      <c r="B614" s="112"/>
      <c r="C614" s="57" t="s">
        <v>152</v>
      </c>
      <c r="D614" s="76">
        <v>3</v>
      </c>
      <c r="E614" s="69">
        <v>0</v>
      </c>
    </row>
    <row r="615" spans="2:5" ht="15" customHeight="1">
      <c r="B615" s="112"/>
      <c r="C615" s="57" t="s">
        <v>153</v>
      </c>
      <c r="D615" s="76">
        <v>24</v>
      </c>
      <c r="E615" s="69">
        <v>3.0000000000000001E-3</v>
      </c>
    </row>
    <row r="616" spans="2:5" ht="15" customHeight="1">
      <c r="B616" s="112"/>
      <c r="C616" s="57" t="s">
        <v>154</v>
      </c>
      <c r="D616" s="76">
        <v>3</v>
      </c>
      <c r="E616" s="69">
        <v>0</v>
      </c>
    </row>
    <row r="617" spans="2:5" ht="15" customHeight="1">
      <c r="B617" s="112"/>
      <c r="C617" s="57" t="s">
        <v>156</v>
      </c>
      <c r="D617" s="76">
        <v>9</v>
      </c>
      <c r="E617" s="69">
        <v>1E-3</v>
      </c>
    </row>
    <row r="618" spans="2:5" ht="15" customHeight="1">
      <c r="B618" s="112"/>
      <c r="C618" s="57" t="s">
        <v>144</v>
      </c>
      <c r="D618" s="76">
        <v>14</v>
      </c>
      <c r="E618" s="69">
        <v>2E-3</v>
      </c>
    </row>
    <row r="619" spans="2:5" ht="15" customHeight="1">
      <c r="B619" s="112"/>
      <c r="C619" s="57" t="s">
        <v>145</v>
      </c>
      <c r="D619" s="76">
        <v>2</v>
      </c>
      <c r="E619" s="69">
        <v>0</v>
      </c>
    </row>
    <row r="620" spans="2:5" ht="15" customHeight="1">
      <c r="B620" s="112"/>
      <c r="C620" s="57" t="s">
        <v>157</v>
      </c>
      <c r="D620" s="76">
        <v>14</v>
      </c>
      <c r="E620" s="69">
        <v>2E-3</v>
      </c>
    </row>
    <row r="621" spans="2:5" ht="15" customHeight="1">
      <c r="B621" s="112"/>
      <c r="C621" s="57" t="s">
        <v>158</v>
      </c>
      <c r="D621" s="76">
        <v>15</v>
      </c>
      <c r="E621" s="69">
        <v>2E-3</v>
      </c>
    </row>
    <row r="622" spans="2:5" ht="15" customHeight="1">
      <c r="B622" s="112"/>
      <c r="C622" s="57" t="s">
        <v>159</v>
      </c>
      <c r="D622" s="76">
        <v>22</v>
      </c>
      <c r="E622" s="69">
        <v>3.0000000000000001E-3</v>
      </c>
    </row>
    <row r="623" spans="2:5" ht="15" customHeight="1">
      <c r="B623" s="112"/>
      <c r="C623" s="57" t="s">
        <v>161</v>
      </c>
      <c r="D623" s="76">
        <v>3</v>
      </c>
      <c r="E623" s="69">
        <v>0</v>
      </c>
    </row>
    <row r="624" spans="2:5" ht="15" customHeight="1">
      <c r="B624" s="112"/>
      <c r="C624" s="57" t="s">
        <v>146</v>
      </c>
      <c r="D624" s="76">
        <v>12</v>
      </c>
      <c r="E624" s="69">
        <v>1E-3</v>
      </c>
    </row>
    <row r="625" spans="2:5" ht="15" customHeight="1">
      <c r="B625" s="112"/>
      <c r="C625" s="57" t="s">
        <v>147</v>
      </c>
      <c r="D625" s="76">
        <v>74</v>
      </c>
      <c r="E625" s="69">
        <v>8.9999999999999993E-3</v>
      </c>
    </row>
    <row r="626" spans="2:5" ht="15" customHeight="1">
      <c r="B626" s="112"/>
      <c r="C626" s="57" t="s">
        <v>148</v>
      </c>
      <c r="D626" s="76">
        <v>46</v>
      </c>
      <c r="E626" s="69">
        <v>5.0000000000000001E-3</v>
      </c>
    </row>
    <row r="627" spans="2:5" ht="15" customHeight="1">
      <c r="B627" s="112"/>
      <c r="C627" s="57" t="s">
        <v>149</v>
      </c>
      <c r="D627" s="76">
        <v>77</v>
      </c>
      <c r="E627" s="69">
        <v>8.9999999999999993E-3</v>
      </c>
    </row>
    <row r="628" spans="2:5" ht="15" customHeight="1">
      <c r="B628" s="112"/>
      <c r="C628" s="57" t="s">
        <v>150</v>
      </c>
      <c r="D628" s="76">
        <v>16</v>
      </c>
      <c r="E628" s="69">
        <v>2E-3</v>
      </c>
    </row>
    <row r="629" spans="2:5" ht="15" customHeight="1">
      <c r="B629" s="112"/>
      <c r="C629" s="57" t="s">
        <v>160</v>
      </c>
      <c r="D629" s="76">
        <v>4</v>
      </c>
      <c r="E629" s="69">
        <v>0</v>
      </c>
    </row>
    <row r="630" spans="2:5" ht="15" customHeight="1">
      <c r="B630" s="113"/>
      <c r="C630" s="73" t="s">
        <v>265</v>
      </c>
      <c r="D630" s="67">
        <v>372</v>
      </c>
      <c r="E630" s="72">
        <v>4.3999999999999997E-2</v>
      </c>
    </row>
    <row r="631" spans="2:5" ht="15" customHeight="1">
      <c r="B631" s="111" t="s">
        <v>60</v>
      </c>
      <c r="C631" s="57" t="s">
        <v>142</v>
      </c>
      <c r="D631" s="76">
        <v>2</v>
      </c>
      <c r="E631" s="69">
        <v>0</v>
      </c>
    </row>
    <row r="632" spans="2:5" ht="15" customHeight="1">
      <c r="B632" s="112"/>
      <c r="C632" s="57" t="s">
        <v>151</v>
      </c>
      <c r="D632" s="76">
        <v>1</v>
      </c>
      <c r="E632" s="69">
        <v>0</v>
      </c>
    </row>
    <row r="633" spans="2:5" ht="15" customHeight="1">
      <c r="B633" s="112"/>
      <c r="C633" s="57" t="s">
        <v>143</v>
      </c>
      <c r="D633" s="76">
        <v>21</v>
      </c>
      <c r="E633" s="69">
        <v>3.0000000000000001E-3</v>
      </c>
    </row>
    <row r="634" spans="2:5" ht="15" customHeight="1">
      <c r="B634" s="112"/>
      <c r="C634" s="57" t="s">
        <v>152</v>
      </c>
      <c r="D634" s="76">
        <v>1</v>
      </c>
      <c r="E634" s="69">
        <v>0</v>
      </c>
    </row>
    <row r="635" spans="2:5" ht="15" customHeight="1">
      <c r="B635" s="112"/>
      <c r="C635" s="57" t="s">
        <v>153</v>
      </c>
      <c r="D635" s="76">
        <v>19</v>
      </c>
      <c r="E635" s="69">
        <v>2E-3</v>
      </c>
    </row>
    <row r="636" spans="2:5" ht="15" customHeight="1">
      <c r="B636" s="112"/>
      <c r="C636" s="57" t="s">
        <v>154</v>
      </c>
      <c r="D636" s="76">
        <v>5</v>
      </c>
      <c r="E636" s="69">
        <v>1E-3</v>
      </c>
    </row>
    <row r="637" spans="2:5" ht="15" customHeight="1">
      <c r="B637" s="112"/>
      <c r="C637" s="57" t="s">
        <v>235</v>
      </c>
      <c r="D637" s="76">
        <v>6</v>
      </c>
      <c r="E637" s="69">
        <v>1E-3</v>
      </c>
    </row>
    <row r="638" spans="2:5" ht="15" customHeight="1">
      <c r="B638" s="112"/>
      <c r="C638" s="57" t="s">
        <v>155</v>
      </c>
      <c r="D638" s="76">
        <v>2</v>
      </c>
      <c r="E638" s="69">
        <v>0</v>
      </c>
    </row>
    <row r="639" spans="2:5" ht="15" customHeight="1">
      <c r="B639" s="112"/>
      <c r="C639" s="57" t="s">
        <v>156</v>
      </c>
      <c r="D639" s="76">
        <v>8</v>
      </c>
      <c r="E639" s="69">
        <v>1E-3</v>
      </c>
    </row>
    <row r="640" spans="2:5" ht="15" customHeight="1">
      <c r="B640" s="112"/>
      <c r="C640" s="57" t="s">
        <v>144</v>
      </c>
      <c r="D640" s="76">
        <v>3</v>
      </c>
      <c r="E640" s="69">
        <v>0</v>
      </c>
    </row>
    <row r="641" spans="2:5" ht="15" customHeight="1">
      <c r="B641" s="112"/>
      <c r="C641" s="57" t="s">
        <v>145</v>
      </c>
      <c r="D641" s="76">
        <v>9</v>
      </c>
      <c r="E641" s="69">
        <v>1E-3</v>
      </c>
    </row>
    <row r="642" spans="2:5" ht="15" customHeight="1">
      <c r="B642" s="112"/>
      <c r="C642" s="57" t="s">
        <v>157</v>
      </c>
      <c r="D642" s="76">
        <v>8</v>
      </c>
      <c r="E642" s="69">
        <v>1E-3</v>
      </c>
    </row>
    <row r="643" spans="2:5" ht="15" customHeight="1">
      <c r="B643" s="112"/>
      <c r="C643" s="57" t="s">
        <v>158</v>
      </c>
      <c r="D643" s="76">
        <v>3</v>
      </c>
      <c r="E643" s="69">
        <v>0</v>
      </c>
    </row>
    <row r="644" spans="2:5" ht="15" customHeight="1">
      <c r="B644" s="112"/>
      <c r="C644" s="57" t="s">
        <v>159</v>
      </c>
      <c r="D644" s="76">
        <v>8</v>
      </c>
      <c r="E644" s="69">
        <v>1E-3</v>
      </c>
    </row>
    <row r="645" spans="2:5" ht="15" customHeight="1">
      <c r="B645" s="112"/>
      <c r="C645" s="57" t="s">
        <v>161</v>
      </c>
      <c r="D645" s="76">
        <v>1</v>
      </c>
      <c r="E645" s="69">
        <v>0</v>
      </c>
    </row>
    <row r="646" spans="2:5" ht="15" customHeight="1">
      <c r="B646" s="112"/>
      <c r="C646" s="57" t="s">
        <v>146</v>
      </c>
      <c r="D646" s="76">
        <v>3</v>
      </c>
      <c r="E646" s="69">
        <v>0</v>
      </c>
    </row>
    <row r="647" spans="2:5" ht="15" customHeight="1">
      <c r="B647" s="112"/>
      <c r="C647" s="57" t="s">
        <v>147</v>
      </c>
      <c r="D647" s="76">
        <v>13</v>
      </c>
      <c r="E647" s="69">
        <v>2E-3</v>
      </c>
    </row>
    <row r="648" spans="2:5" ht="15" customHeight="1">
      <c r="B648" s="112"/>
      <c r="C648" s="57" t="s">
        <v>148</v>
      </c>
      <c r="D648" s="76">
        <v>7</v>
      </c>
      <c r="E648" s="69">
        <v>1E-3</v>
      </c>
    </row>
    <row r="649" spans="2:5" ht="15" customHeight="1">
      <c r="B649" s="112"/>
      <c r="C649" s="57" t="s">
        <v>149</v>
      </c>
      <c r="D649" s="76">
        <v>42</v>
      </c>
      <c r="E649" s="69">
        <v>5.0000000000000001E-3</v>
      </c>
    </row>
    <row r="650" spans="2:5" ht="15" customHeight="1">
      <c r="B650" s="112"/>
      <c r="C650" s="57" t="s">
        <v>150</v>
      </c>
      <c r="D650" s="76">
        <v>5</v>
      </c>
      <c r="E650" s="69">
        <v>1E-3</v>
      </c>
    </row>
    <row r="651" spans="2:5" ht="15" customHeight="1">
      <c r="B651" s="112"/>
      <c r="C651" s="57" t="s">
        <v>160</v>
      </c>
      <c r="D651" s="76">
        <v>1</v>
      </c>
      <c r="E651" s="69">
        <v>0</v>
      </c>
    </row>
    <row r="652" spans="2:5" ht="15" customHeight="1">
      <c r="B652" s="113"/>
      <c r="C652" s="73" t="s">
        <v>265</v>
      </c>
      <c r="D652" s="67">
        <v>168</v>
      </c>
      <c r="E652" s="72">
        <v>0.02</v>
      </c>
    </row>
    <row r="653" spans="2:5" ht="15" customHeight="1">
      <c r="B653" s="111" t="s">
        <v>52</v>
      </c>
      <c r="C653" s="57" t="s">
        <v>142</v>
      </c>
      <c r="D653" s="76">
        <v>12</v>
      </c>
      <c r="E653" s="69">
        <v>1E-3</v>
      </c>
    </row>
    <row r="654" spans="2:5" ht="15" customHeight="1">
      <c r="B654" s="112"/>
      <c r="C654" s="57" t="s">
        <v>151</v>
      </c>
      <c r="D654" s="76">
        <v>20</v>
      </c>
      <c r="E654" s="69">
        <v>2E-3</v>
      </c>
    </row>
    <row r="655" spans="2:5" ht="15" customHeight="1">
      <c r="B655" s="112"/>
      <c r="C655" s="57" t="s">
        <v>143</v>
      </c>
      <c r="D655" s="76">
        <v>14</v>
      </c>
      <c r="E655" s="69">
        <v>2E-3</v>
      </c>
    </row>
    <row r="656" spans="2:5" ht="15" customHeight="1">
      <c r="B656" s="112"/>
      <c r="C656" s="57" t="s">
        <v>152</v>
      </c>
      <c r="D656" s="76">
        <v>3</v>
      </c>
      <c r="E656" s="69">
        <v>0</v>
      </c>
    </row>
    <row r="657" spans="2:5" ht="15" customHeight="1">
      <c r="B657" s="112"/>
      <c r="C657" s="57" t="s">
        <v>153</v>
      </c>
      <c r="D657" s="76">
        <v>97</v>
      </c>
      <c r="E657" s="69">
        <v>1.2E-2</v>
      </c>
    </row>
    <row r="658" spans="2:5" ht="15" customHeight="1">
      <c r="B658" s="112"/>
      <c r="C658" s="57" t="s">
        <v>154</v>
      </c>
      <c r="D658" s="76">
        <v>3</v>
      </c>
      <c r="E658" s="69">
        <v>0</v>
      </c>
    </row>
    <row r="659" spans="2:5" ht="15" customHeight="1">
      <c r="B659" s="112"/>
      <c r="C659" s="57" t="s">
        <v>155</v>
      </c>
      <c r="D659" s="76">
        <v>4</v>
      </c>
      <c r="E659" s="69">
        <v>0</v>
      </c>
    </row>
    <row r="660" spans="2:5" ht="15" customHeight="1">
      <c r="B660" s="112"/>
      <c r="C660" s="57" t="s">
        <v>156</v>
      </c>
      <c r="D660" s="76">
        <v>12</v>
      </c>
      <c r="E660" s="69">
        <v>1E-3</v>
      </c>
    </row>
    <row r="661" spans="2:5" ht="15" customHeight="1">
      <c r="B661" s="112"/>
      <c r="C661" s="57" t="s">
        <v>144</v>
      </c>
      <c r="D661" s="76">
        <v>24</v>
      </c>
      <c r="E661" s="69">
        <v>3.0000000000000001E-3</v>
      </c>
    </row>
    <row r="662" spans="2:5" ht="15" customHeight="1">
      <c r="B662" s="112"/>
      <c r="C662" s="57" t="s">
        <v>145</v>
      </c>
      <c r="D662" s="76">
        <v>21</v>
      </c>
      <c r="E662" s="69">
        <v>3.0000000000000001E-3</v>
      </c>
    </row>
    <row r="663" spans="2:5" ht="15" customHeight="1">
      <c r="B663" s="112"/>
      <c r="C663" s="57" t="s">
        <v>157</v>
      </c>
      <c r="D663" s="76">
        <v>10</v>
      </c>
      <c r="E663" s="69">
        <v>1E-3</v>
      </c>
    </row>
    <row r="664" spans="2:5" ht="15" customHeight="1">
      <c r="B664" s="112"/>
      <c r="C664" s="57" t="s">
        <v>158</v>
      </c>
      <c r="D664" s="76">
        <v>10</v>
      </c>
      <c r="E664" s="69">
        <v>1E-3</v>
      </c>
    </row>
    <row r="665" spans="2:5" ht="15" customHeight="1">
      <c r="B665" s="112"/>
      <c r="C665" s="57" t="s">
        <v>159</v>
      </c>
      <c r="D665" s="76">
        <v>23</v>
      </c>
      <c r="E665" s="69">
        <v>3.0000000000000001E-3</v>
      </c>
    </row>
    <row r="666" spans="2:5" ht="15" customHeight="1">
      <c r="B666" s="112"/>
      <c r="C666" s="57" t="s">
        <v>161</v>
      </c>
      <c r="D666" s="76">
        <v>5</v>
      </c>
      <c r="E666" s="69">
        <v>1E-3</v>
      </c>
    </row>
    <row r="667" spans="2:5" ht="15" customHeight="1">
      <c r="B667" s="112"/>
      <c r="C667" s="57" t="s">
        <v>146</v>
      </c>
      <c r="D667" s="76">
        <v>17</v>
      </c>
      <c r="E667" s="69">
        <v>2E-3</v>
      </c>
    </row>
    <row r="668" spans="2:5" ht="15" customHeight="1">
      <c r="B668" s="112"/>
      <c r="C668" s="57" t="s">
        <v>147</v>
      </c>
      <c r="D668" s="76">
        <v>44</v>
      </c>
      <c r="E668" s="69">
        <v>5.0000000000000001E-3</v>
      </c>
    </row>
    <row r="669" spans="2:5" ht="15" customHeight="1">
      <c r="B669" s="112"/>
      <c r="C669" s="57" t="s">
        <v>148</v>
      </c>
      <c r="D669" s="76">
        <v>27</v>
      </c>
      <c r="E669" s="69">
        <v>3.0000000000000001E-3</v>
      </c>
    </row>
    <row r="670" spans="2:5" ht="15" customHeight="1">
      <c r="B670" s="112"/>
      <c r="C670" s="57" t="s">
        <v>149</v>
      </c>
      <c r="D670" s="76">
        <v>81</v>
      </c>
      <c r="E670" s="69">
        <v>0.01</v>
      </c>
    </row>
    <row r="671" spans="2:5" ht="15" customHeight="1">
      <c r="B671" s="112"/>
      <c r="C671" s="57" t="s">
        <v>150</v>
      </c>
      <c r="D671" s="76">
        <v>10</v>
      </c>
      <c r="E671" s="69">
        <v>1E-3</v>
      </c>
    </row>
    <row r="672" spans="2:5" ht="15" customHeight="1">
      <c r="B672" s="112"/>
      <c r="C672" s="57" t="s">
        <v>160</v>
      </c>
      <c r="D672" s="76">
        <v>3</v>
      </c>
      <c r="E672" s="69">
        <v>0</v>
      </c>
    </row>
    <row r="673" spans="2:5" ht="15" customHeight="1">
      <c r="B673" s="113"/>
      <c r="C673" s="73" t="s">
        <v>265</v>
      </c>
      <c r="D673" s="67">
        <v>440</v>
      </c>
      <c r="E673" s="72">
        <v>5.2999999999999999E-2</v>
      </c>
    </row>
    <row r="674" spans="2:5" ht="15" customHeight="1">
      <c r="B674" s="111" t="s">
        <v>51</v>
      </c>
      <c r="C674" s="57" t="s">
        <v>142</v>
      </c>
      <c r="D674" s="76">
        <v>25</v>
      </c>
      <c r="E674" s="69">
        <v>3.0000000000000001E-3</v>
      </c>
    </row>
    <row r="675" spans="2:5" ht="15" customHeight="1">
      <c r="B675" s="112"/>
      <c r="C675" s="57" t="s">
        <v>151</v>
      </c>
      <c r="D675" s="76">
        <v>10</v>
      </c>
      <c r="E675" s="69">
        <v>1E-3</v>
      </c>
    </row>
    <row r="676" spans="2:5" ht="15" customHeight="1">
      <c r="B676" s="112"/>
      <c r="C676" s="57" t="s">
        <v>143</v>
      </c>
      <c r="D676" s="76">
        <v>16</v>
      </c>
      <c r="E676" s="69">
        <v>2E-3</v>
      </c>
    </row>
    <row r="677" spans="2:5" ht="15" customHeight="1">
      <c r="B677" s="112"/>
      <c r="C677" s="57" t="s">
        <v>152</v>
      </c>
      <c r="D677" s="76">
        <v>4</v>
      </c>
      <c r="E677" s="69">
        <v>0</v>
      </c>
    </row>
    <row r="678" spans="2:5" ht="15" customHeight="1">
      <c r="B678" s="112"/>
      <c r="C678" s="57" t="s">
        <v>153</v>
      </c>
      <c r="D678" s="76">
        <v>46</v>
      </c>
      <c r="E678" s="69">
        <v>5.0000000000000001E-3</v>
      </c>
    </row>
    <row r="679" spans="2:5" ht="15" customHeight="1">
      <c r="B679" s="112"/>
      <c r="C679" s="57" t="s">
        <v>154</v>
      </c>
      <c r="D679" s="76">
        <v>10</v>
      </c>
      <c r="E679" s="69">
        <v>1E-3</v>
      </c>
    </row>
    <row r="680" spans="2:5" ht="15" customHeight="1">
      <c r="B680" s="112"/>
      <c r="C680" s="57" t="s">
        <v>235</v>
      </c>
      <c r="D680" s="76">
        <v>1</v>
      </c>
      <c r="E680" s="69">
        <v>0</v>
      </c>
    </row>
    <row r="681" spans="2:5" ht="15" customHeight="1">
      <c r="B681" s="112"/>
      <c r="C681" s="57" t="s">
        <v>155</v>
      </c>
      <c r="D681" s="76">
        <v>5</v>
      </c>
      <c r="E681" s="69">
        <v>1E-3</v>
      </c>
    </row>
    <row r="682" spans="2:5" ht="15" customHeight="1">
      <c r="B682" s="112"/>
      <c r="C682" s="57" t="s">
        <v>156</v>
      </c>
      <c r="D682" s="76">
        <v>2</v>
      </c>
      <c r="E682" s="69">
        <v>0</v>
      </c>
    </row>
    <row r="683" spans="2:5" ht="15" customHeight="1">
      <c r="B683" s="112"/>
      <c r="C683" s="57" t="s">
        <v>144</v>
      </c>
      <c r="D683" s="76">
        <v>3</v>
      </c>
      <c r="E683" s="69">
        <v>0</v>
      </c>
    </row>
    <row r="684" spans="2:5" ht="15" customHeight="1">
      <c r="B684" s="112"/>
      <c r="C684" s="57" t="s">
        <v>145</v>
      </c>
      <c r="D684" s="76">
        <v>10</v>
      </c>
      <c r="E684" s="69">
        <v>1E-3</v>
      </c>
    </row>
    <row r="685" spans="2:5" ht="15" customHeight="1">
      <c r="B685" s="112"/>
      <c r="C685" s="57" t="s">
        <v>157</v>
      </c>
      <c r="D685" s="76">
        <v>23</v>
      </c>
      <c r="E685" s="69">
        <v>3.0000000000000001E-3</v>
      </c>
    </row>
    <row r="686" spans="2:5" ht="15" customHeight="1">
      <c r="B686" s="112"/>
      <c r="C686" s="57" t="s">
        <v>158</v>
      </c>
      <c r="D686" s="76">
        <v>10</v>
      </c>
      <c r="E686" s="69">
        <v>1E-3</v>
      </c>
    </row>
    <row r="687" spans="2:5" ht="15" customHeight="1">
      <c r="B687" s="112"/>
      <c r="C687" s="57" t="s">
        <v>159</v>
      </c>
      <c r="D687" s="76">
        <v>20</v>
      </c>
      <c r="E687" s="69">
        <v>2E-3</v>
      </c>
    </row>
    <row r="688" spans="2:5" ht="15" customHeight="1">
      <c r="B688" s="112"/>
      <c r="C688" s="57" t="s">
        <v>161</v>
      </c>
      <c r="D688" s="76">
        <v>10</v>
      </c>
      <c r="E688" s="69">
        <v>1E-3</v>
      </c>
    </row>
    <row r="689" spans="2:5" ht="15" customHeight="1">
      <c r="B689" s="112"/>
      <c r="C689" s="57" t="s">
        <v>146</v>
      </c>
      <c r="D689" s="76">
        <v>23</v>
      </c>
      <c r="E689" s="69">
        <v>3.0000000000000001E-3</v>
      </c>
    </row>
    <row r="690" spans="2:5" ht="15" customHeight="1">
      <c r="B690" s="112"/>
      <c r="C690" s="57" t="s">
        <v>147</v>
      </c>
      <c r="D690" s="76">
        <v>44</v>
      </c>
      <c r="E690" s="69">
        <v>5.0000000000000001E-3</v>
      </c>
    </row>
    <row r="691" spans="2:5" ht="15" customHeight="1">
      <c r="B691" s="112"/>
      <c r="C691" s="57" t="s">
        <v>148</v>
      </c>
      <c r="D691" s="76">
        <v>18</v>
      </c>
      <c r="E691" s="69">
        <v>2E-3</v>
      </c>
    </row>
    <row r="692" spans="2:5" ht="15" customHeight="1">
      <c r="B692" s="112"/>
      <c r="C692" s="57" t="s">
        <v>149</v>
      </c>
      <c r="D692" s="76">
        <v>102</v>
      </c>
      <c r="E692" s="69">
        <v>1.2E-2</v>
      </c>
    </row>
    <row r="693" spans="2:5" ht="15" customHeight="1">
      <c r="B693" s="112"/>
      <c r="C693" s="57" t="s">
        <v>150</v>
      </c>
      <c r="D693" s="76">
        <v>13</v>
      </c>
      <c r="E693" s="69">
        <v>2E-3</v>
      </c>
    </row>
    <row r="694" spans="2:5" ht="15" customHeight="1">
      <c r="B694" s="112"/>
      <c r="C694" s="57" t="s">
        <v>160</v>
      </c>
      <c r="D694" s="76">
        <v>9</v>
      </c>
      <c r="E694" s="69">
        <v>1E-3</v>
      </c>
    </row>
    <row r="695" spans="2:5" ht="15" customHeight="1">
      <c r="B695" s="113"/>
      <c r="C695" s="73" t="s">
        <v>265</v>
      </c>
      <c r="D695" s="67">
        <v>404</v>
      </c>
      <c r="E695" s="72">
        <v>4.8000000000000001E-2</v>
      </c>
    </row>
    <row r="696" spans="2:5" ht="15" customHeight="1">
      <c r="B696" s="111" t="s">
        <v>71</v>
      </c>
      <c r="C696" s="57" t="s">
        <v>142</v>
      </c>
      <c r="D696" s="76">
        <v>2</v>
      </c>
      <c r="E696" s="69">
        <v>0</v>
      </c>
    </row>
    <row r="697" spans="2:5" ht="15" customHeight="1">
      <c r="B697" s="112"/>
      <c r="C697" s="57" t="s">
        <v>152</v>
      </c>
      <c r="D697" s="76">
        <v>2</v>
      </c>
      <c r="E697" s="69">
        <v>0</v>
      </c>
    </row>
    <row r="698" spans="2:5" ht="15" customHeight="1">
      <c r="B698" s="112"/>
      <c r="C698" s="57" t="s">
        <v>153</v>
      </c>
      <c r="D698" s="76">
        <v>13</v>
      </c>
      <c r="E698" s="69">
        <v>2E-3</v>
      </c>
    </row>
    <row r="699" spans="2:5" ht="15" customHeight="1">
      <c r="B699" s="112"/>
      <c r="C699" s="57" t="s">
        <v>154</v>
      </c>
      <c r="D699" s="76">
        <v>2</v>
      </c>
      <c r="E699" s="69">
        <v>0</v>
      </c>
    </row>
    <row r="700" spans="2:5" ht="15" customHeight="1">
      <c r="B700" s="112"/>
      <c r="C700" s="57" t="s">
        <v>157</v>
      </c>
      <c r="D700" s="76">
        <v>3</v>
      </c>
      <c r="E700" s="69">
        <v>0</v>
      </c>
    </row>
    <row r="701" spans="2:5" ht="15" customHeight="1">
      <c r="B701" s="112"/>
      <c r="C701" s="57" t="s">
        <v>159</v>
      </c>
      <c r="D701" s="76">
        <v>4</v>
      </c>
      <c r="E701" s="69">
        <v>0</v>
      </c>
    </row>
    <row r="702" spans="2:5" ht="15" customHeight="1">
      <c r="B702" s="112"/>
      <c r="C702" s="57" t="s">
        <v>147</v>
      </c>
      <c r="D702" s="76">
        <v>7</v>
      </c>
      <c r="E702" s="69">
        <v>1E-3</v>
      </c>
    </row>
    <row r="703" spans="2:5" ht="15" customHeight="1">
      <c r="B703" s="112"/>
      <c r="C703" s="57" t="s">
        <v>148</v>
      </c>
      <c r="D703" s="76">
        <v>3</v>
      </c>
      <c r="E703" s="69">
        <v>0</v>
      </c>
    </row>
    <row r="704" spans="2:5" ht="15" customHeight="1">
      <c r="B704" s="112"/>
      <c r="C704" s="57" t="s">
        <v>149</v>
      </c>
      <c r="D704" s="76">
        <v>11</v>
      </c>
      <c r="E704" s="69">
        <v>1E-3</v>
      </c>
    </row>
    <row r="705" spans="2:5" ht="15" customHeight="1">
      <c r="B705" s="112"/>
      <c r="C705" s="57" t="s">
        <v>160</v>
      </c>
      <c r="D705" s="76">
        <v>1</v>
      </c>
      <c r="E705" s="69">
        <v>0</v>
      </c>
    </row>
    <row r="706" spans="2:5" ht="15" customHeight="1">
      <c r="B706" s="113"/>
      <c r="C706" s="73" t="s">
        <v>265</v>
      </c>
      <c r="D706" s="67">
        <v>48</v>
      </c>
      <c r="E706" s="72">
        <v>6.0000000000000001E-3</v>
      </c>
    </row>
    <row r="707" spans="2:5" ht="15" customHeight="1">
      <c r="B707" s="111" t="s">
        <v>79</v>
      </c>
      <c r="C707" s="57" t="s">
        <v>142</v>
      </c>
      <c r="D707" s="76">
        <v>4</v>
      </c>
      <c r="E707" s="69">
        <v>0</v>
      </c>
    </row>
    <row r="708" spans="2:5" ht="15" customHeight="1">
      <c r="B708" s="112"/>
      <c r="C708" s="57" t="s">
        <v>152</v>
      </c>
      <c r="D708" s="76">
        <v>1</v>
      </c>
      <c r="E708" s="69">
        <v>0</v>
      </c>
    </row>
    <row r="709" spans="2:5" ht="15" customHeight="1">
      <c r="B709" s="112"/>
      <c r="C709" s="57" t="s">
        <v>153</v>
      </c>
      <c r="D709" s="76">
        <v>3</v>
      </c>
      <c r="E709" s="69">
        <v>0</v>
      </c>
    </row>
    <row r="710" spans="2:5" ht="15" customHeight="1">
      <c r="B710" s="112"/>
      <c r="C710" s="57" t="s">
        <v>145</v>
      </c>
      <c r="D710" s="76">
        <v>1</v>
      </c>
      <c r="E710" s="69">
        <v>0</v>
      </c>
    </row>
    <row r="711" spans="2:5" ht="15" customHeight="1">
      <c r="B711" s="112"/>
      <c r="C711" s="57" t="s">
        <v>157</v>
      </c>
      <c r="D711" s="76">
        <v>4</v>
      </c>
      <c r="E711" s="69">
        <v>0</v>
      </c>
    </row>
    <row r="712" spans="2:5" ht="15" customHeight="1">
      <c r="B712" s="112"/>
      <c r="C712" s="57" t="s">
        <v>159</v>
      </c>
      <c r="D712" s="76">
        <v>3</v>
      </c>
      <c r="E712" s="69">
        <v>0</v>
      </c>
    </row>
    <row r="713" spans="2:5" ht="15" customHeight="1">
      <c r="B713" s="112"/>
      <c r="C713" s="57" t="s">
        <v>146</v>
      </c>
      <c r="D713" s="76">
        <v>1</v>
      </c>
      <c r="E713" s="69">
        <v>0</v>
      </c>
    </row>
    <row r="714" spans="2:5" ht="15" customHeight="1">
      <c r="B714" s="112"/>
      <c r="C714" s="57" t="s">
        <v>147</v>
      </c>
      <c r="D714" s="76">
        <v>9</v>
      </c>
      <c r="E714" s="69">
        <v>1E-3</v>
      </c>
    </row>
    <row r="715" spans="2:5" ht="15" customHeight="1">
      <c r="B715" s="112"/>
      <c r="C715" s="57" t="s">
        <v>148</v>
      </c>
      <c r="D715" s="76">
        <v>1</v>
      </c>
      <c r="E715" s="69">
        <v>0</v>
      </c>
    </row>
    <row r="716" spans="2:5" ht="15" customHeight="1">
      <c r="B716" s="112"/>
      <c r="C716" s="57" t="s">
        <v>149</v>
      </c>
      <c r="D716" s="76">
        <v>8</v>
      </c>
      <c r="E716" s="69">
        <v>1E-3</v>
      </c>
    </row>
    <row r="717" spans="2:5" ht="15" customHeight="1">
      <c r="B717" s="112"/>
      <c r="C717" s="57" t="s">
        <v>150</v>
      </c>
      <c r="D717" s="76">
        <v>1</v>
      </c>
      <c r="E717" s="69">
        <v>0</v>
      </c>
    </row>
    <row r="718" spans="2:5" ht="15" customHeight="1">
      <c r="B718" s="113"/>
      <c r="C718" s="73" t="s">
        <v>265</v>
      </c>
      <c r="D718" s="67">
        <v>36</v>
      </c>
      <c r="E718" s="72">
        <v>4.0000000000000001E-3</v>
      </c>
    </row>
    <row r="719" spans="2:5" ht="15" customHeight="1">
      <c r="B719" s="111" t="s">
        <v>78</v>
      </c>
      <c r="C719" s="57" t="s">
        <v>142</v>
      </c>
      <c r="D719" s="76">
        <v>2</v>
      </c>
      <c r="E719" s="69">
        <v>0</v>
      </c>
    </row>
    <row r="720" spans="2:5" ht="15" customHeight="1">
      <c r="B720" s="112"/>
      <c r="C720" s="57" t="s">
        <v>153</v>
      </c>
      <c r="D720" s="76">
        <v>3</v>
      </c>
      <c r="E720" s="69">
        <v>0</v>
      </c>
    </row>
    <row r="721" spans="2:5" ht="15" customHeight="1">
      <c r="B721" s="112"/>
      <c r="C721" s="57" t="s">
        <v>154</v>
      </c>
      <c r="D721" s="76">
        <v>1</v>
      </c>
      <c r="E721" s="69">
        <v>0</v>
      </c>
    </row>
    <row r="722" spans="2:5" ht="15" customHeight="1">
      <c r="B722" s="112"/>
      <c r="C722" s="57" t="s">
        <v>235</v>
      </c>
      <c r="D722" s="76">
        <v>1</v>
      </c>
      <c r="E722" s="69">
        <v>0</v>
      </c>
    </row>
    <row r="723" spans="2:5" ht="15" customHeight="1">
      <c r="B723" s="112"/>
      <c r="C723" s="57" t="s">
        <v>155</v>
      </c>
      <c r="D723" s="76">
        <v>2</v>
      </c>
      <c r="E723" s="69">
        <v>0</v>
      </c>
    </row>
    <row r="724" spans="2:5" ht="15" customHeight="1">
      <c r="B724" s="112"/>
      <c r="C724" s="57" t="s">
        <v>156</v>
      </c>
      <c r="D724" s="76">
        <v>5</v>
      </c>
      <c r="E724" s="69">
        <v>1E-3</v>
      </c>
    </row>
    <row r="725" spans="2:5" ht="15" customHeight="1">
      <c r="B725" s="112"/>
      <c r="C725" s="57" t="s">
        <v>144</v>
      </c>
      <c r="D725" s="76">
        <v>1</v>
      </c>
      <c r="E725" s="69">
        <v>0</v>
      </c>
    </row>
    <row r="726" spans="2:5" ht="15" customHeight="1">
      <c r="B726" s="112"/>
      <c r="C726" s="57" t="s">
        <v>145</v>
      </c>
      <c r="D726" s="76">
        <v>1</v>
      </c>
      <c r="E726" s="69">
        <v>0</v>
      </c>
    </row>
    <row r="727" spans="2:5" ht="15" customHeight="1">
      <c r="B727" s="112"/>
      <c r="C727" s="57" t="s">
        <v>157</v>
      </c>
      <c r="D727" s="76">
        <v>2</v>
      </c>
      <c r="E727" s="69">
        <v>0</v>
      </c>
    </row>
    <row r="728" spans="2:5" ht="15" customHeight="1">
      <c r="B728" s="112"/>
      <c r="C728" s="57" t="s">
        <v>158</v>
      </c>
      <c r="D728" s="76">
        <v>13</v>
      </c>
      <c r="E728" s="69">
        <v>2E-3</v>
      </c>
    </row>
    <row r="729" spans="2:5" ht="15" customHeight="1">
      <c r="B729" s="112"/>
      <c r="C729" s="57" t="s">
        <v>147</v>
      </c>
      <c r="D729" s="76">
        <v>5</v>
      </c>
      <c r="E729" s="69">
        <v>1E-3</v>
      </c>
    </row>
    <row r="730" spans="2:5" ht="15" customHeight="1">
      <c r="B730" s="112"/>
      <c r="C730" s="57" t="s">
        <v>149</v>
      </c>
      <c r="D730" s="76">
        <v>7</v>
      </c>
      <c r="E730" s="69">
        <v>1E-3</v>
      </c>
    </row>
    <row r="731" spans="2:5" ht="15" customHeight="1">
      <c r="B731" s="112"/>
      <c r="C731" s="57" t="s">
        <v>150</v>
      </c>
      <c r="D731" s="76">
        <v>2</v>
      </c>
      <c r="E731" s="69">
        <v>0</v>
      </c>
    </row>
    <row r="732" spans="2:5" ht="15" customHeight="1">
      <c r="B732" s="113"/>
      <c r="C732" s="73" t="s">
        <v>265</v>
      </c>
      <c r="D732" s="67">
        <v>45</v>
      </c>
      <c r="E732" s="72">
        <v>5.0000000000000001E-3</v>
      </c>
    </row>
    <row r="733" spans="2:5" ht="15" customHeight="1">
      <c r="B733" s="111" t="s">
        <v>87</v>
      </c>
      <c r="C733" s="57" t="s">
        <v>142</v>
      </c>
      <c r="D733" s="76">
        <v>1</v>
      </c>
      <c r="E733" s="69">
        <v>0</v>
      </c>
    </row>
    <row r="734" spans="2:5" ht="15" customHeight="1">
      <c r="B734" s="112"/>
      <c r="C734" s="57" t="s">
        <v>151</v>
      </c>
      <c r="D734" s="76">
        <v>1</v>
      </c>
      <c r="E734" s="69">
        <v>0</v>
      </c>
    </row>
    <row r="735" spans="2:5" ht="15" customHeight="1">
      <c r="B735" s="112"/>
      <c r="C735" s="57" t="s">
        <v>155</v>
      </c>
      <c r="D735" s="76">
        <v>1</v>
      </c>
      <c r="E735" s="69">
        <v>0</v>
      </c>
    </row>
    <row r="736" spans="2:5" ht="15" customHeight="1">
      <c r="B736" s="112"/>
      <c r="C736" s="57" t="s">
        <v>144</v>
      </c>
      <c r="D736" s="76">
        <v>1</v>
      </c>
      <c r="E736" s="69">
        <v>0</v>
      </c>
    </row>
    <row r="737" spans="2:5" ht="15" customHeight="1">
      <c r="B737" s="112"/>
      <c r="C737" s="57" t="s">
        <v>157</v>
      </c>
      <c r="D737" s="76">
        <v>3</v>
      </c>
      <c r="E737" s="69">
        <v>0</v>
      </c>
    </row>
    <row r="738" spans="2:5" ht="15" customHeight="1">
      <c r="B738" s="112"/>
      <c r="C738" s="57" t="s">
        <v>147</v>
      </c>
      <c r="D738" s="76">
        <v>1</v>
      </c>
      <c r="E738" s="69">
        <v>0</v>
      </c>
    </row>
    <row r="739" spans="2:5" ht="15" customHeight="1">
      <c r="B739" s="112"/>
      <c r="C739" s="57" t="s">
        <v>149</v>
      </c>
      <c r="D739" s="76">
        <v>2</v>
      </c>
      <c r="E739" s="69">
        <v>0</v>
      </c>
    </row>
    <row r="740" spans="2:5" ht="15" customHeight="1">
      <c r="B740" s="113"/>
      <c r="C740" s="73" t="s">
        <v>265</v>
      </c>
      <c r="D740" s="67">
        <v>10</v>
      </c>
      <c r="E740" s="72">
        <v>1E-3</v>
      </c>
    </row>
    <row r="741" spans="2:5" ht="15" customHeight="1">
      <c r="B741" s="114" t="s">
        <v>265</v>
      </c>
      <c r="C741" s="115"/>
      <c r="D741" s="40">
        <v>8379</v>
      </c>
      <c r="E741" s="75">
        <v>1</v>
      </c>
    </row>
    <row r="742" spans="2:5" ht="15" customHeight="1">
      <c r="B742" s="46"/>
      <c r="C742" s="46"/>
      <c r="D742" s="46"/>
      <c r="E742" s="46"/>
    </row>
    <row r="743" spans="2:5" ht="15" customHeight="1">
      <c r="B743" s="35" t="s">
        <v>232</v>
      </c>
      <c r="C743" s="46"/>
      <c r="D743" s="46"/>
      <c r="E743" s="46"/>
    </row>
    <row r="744" spans="2:5" ht="15" customHeight="1">
      <c r="B744" s="36" t="s">
        <v>18</v>
      </c>
      <c r="C744" s="46"/>
      <c r="D744" s="46"/>
      <c r="E744" s="46"/>
    </row>
    <row r="745" spans="2:5" ht="15" customHeight="1">
      <c r="B745" s="37" t="s">
        <v>45</v>
      </c>
      <c r="C745" s="46"/>
      <c r="D745" s="46"/>
      <c r="E745" s="46"/>
    </row>
    <row r="746" spans="2:5" ht="15" customHeight="1">
      <c r="B746" s="35" t="s">
        <v>17</v>
      </c>
      <c r="C746" s="46"/>
      <c r="D746" s="46"/>
      <c r="E746" s="46"/>
    </row>
    <row r="747" spans="2:5" ht="15" customHeight="1">
      <c r="B747" s="35" t="s">
        <v>266</v>
      </c>
      <c r="C747" s="46"/>
      <c r="D747" s="46"/>
      <c r="E747" s="46"/>
    </row>
    <row r="748" spans="2:5" ht="15" customHeight="1">
      <c r="B748" s="46"/>
      <c r="C748" s="46"/>
      <c r="D748" s="46"/>
      <c r="E748" s="46"/>
    </row>
  </sheetData>
  <mergeCells count="52">
    <mergeCell ref="B7:E8"/>
    <mergeCell ref="B177:B182"/>
    <mergeCell ref="B183:B198"/>
    <mergeCell ref="B199:B220"/>
    <mergeCell ref="B221:B240"/>
    <mergeCell ref="B10:B22"/>
    <mergeCell ref="B23:B43"/>
    <mergeCell ref="B44:B57"/>
    <mergeCell ref="B58:B77"/>
    <mergeCell ref="B78:B83"/>
    <mergeCell ref="B84:B86"/>
    <mergeCell ref="B87:B96"/>
    <mergeCell ref="B97:B116"/>
    <mergeCell ref="B117:B135"/>
    <mergeCell ref="B136:B155"/>
    <mergeCell ref="B156:B173"/>
    <mergeCell ref="B741:C741"/>
    <mergeCell ref="B674:B695"/>
    <mergeCell ref="B696:B706"/>
    <mergeCell ref="B707:B718"/>
    <mergeCell ref="B719:B732"/>
    <mergeCell ref="B733:B740"/>
    <mergeCell ref="B631:B652"/>
    <mergeCell ref="B653:B673"/>
    <mergeCell ref="B314:B335"/>
    <mergeCell ref="B336:B345"/>
    <mergeCell ref="B346:B356"/>
    <mergeCell ref="B357:B365"/>
    <mergeCell ref="B500:B520"/>
    <mergeCell ref="B521:B542"/>
    <mergeCell ref="B543:B557"/>
    <mergeCell ref="B174:B176"/>
    <mergeCell ref="B241:B253"/>
    <mergeCell ref="B254:B270"/>
    <mergeCell ref="B271:B274"/>
    <mergeCell ref="B275:B296"/>
    <mergeCell ref="B297:B313"/>
    <mergeCell ref="B558:B577"/>
    <mergeCell ref="B578:B588"/>
    <mergeCell ref="B589:B610"/>
    <mergeCell ref="B611:B630"/>
    <mergeCell ref="B366:B375"/>
    <mergeCell ref="B376:B377"/>
    <mergeCell ref="B378:B384"/>
    <mergeCell ref="B385:B391"/>
    <mergeCell ref="B392:B409"/>
    <mergeCell ref="B410:B424"/>
    <mergeCell ref="B425:B435"/>
    <mergeCell ref="B436:B453"/>
    <mergeCell ref="B454:B474"/>
    <mergeCell ref="B475:B494"/>
    <mergeCell ref="B495:B4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564"/>
  <sheetViews>
    <sheetView showGridLines="0" tabSelected="1" view="pageBreakPreview" zoomScaleNormal="100" zoomScaleSheetLayoutView="100" workbookViewId="0">
      <selection activeCell="E14" sqref="E14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49.710937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A6" s="42"/>
      <c r="B6" s="41"/>
      <c r="C6" s="42"/>
      <c r="D6" s="42"/>
      <c r="E6" s="42"/>
    </row>
    <row r="7" spans="1:5" s="20" customFormat="1" ht="26.25" customHeight="1">
      <c r="A7" s="47"/>
      <c r="B7" s="116"/>
      <c r="C7" s="116"/>
      <c r="D7" s="116"/>
      <c r="E7" s="116"/>
    </row>
    <row r="8" spans="1:5" s="20" customFormat="1" ht="33" customHeight="1">
      <c r="A8" s="47"/>
      <c r="B8" s="116"/>
      <c r="C8" s="116"/>
      <c r="D8" s="116"/>
      <c r="E8" s="116"/>
    </row>
    <row r="9" spans="1:5" s="15" customFormat="1" ht="40.5" customHeight="1">
      <c r="A9" s="29"/>
      <c r="B9" s="81" t="s">
        <v>22</v>
      </c>
      <c r="C9" s="82" t="s">
        <v>24</v>
      </c>
      <c r="D9" s="83" t="s">
        <v>20</v>
      </c>
      <c r="E9" s="81" t="s">
        <v>19</v>
      </c>
    </row>
    <row r="10" spans="1:5" ht="16.5">
      <c r="A10" s="46"/>
      <c r="B10" s="124" t="s">
        <v>100</v>
      </c>
      <c r="C10" s="57" t="s">
        <v>149</v>
      </c>
      <c r="D10" s="76">
        <v>1082</v>
      </c>
      <c r="E10" s="69">
        <v>0.129</v>
      </c>
    </row>
    <row r="11" spans="1:5" ht="16.5">
      <c r="A11" s="46"/>
      <c r="B11" s="124"/>
      <c r="C11" s="57" t="s">
        <v>147</v>
      </c>
      <c r="D11" s="76">
        <v>629</v>
      </c>
      <c r="E11" s="69">
        <v>7.4999999999999997E-2</v>
      </c>
    </row>
    <row r="12" spans="1:5" ht="16.5">
      <c r="A12" s="46"/>
      <c r="B12" s="124"/>
      <c r="C12" s="57" t="s">
        <v>153</v>
      </c>
      <c r="D12" s="76">
        <v>613</v>
      </c>
      <c r="E12" s="69">
        <v>7.2999999999999995E-2</v>
      </c>
    </row>
    <row r="13" spans="1:5" ht="16.5">
      <c r="A13" s="46"/>
      <c r="B13" s="124"/>
      <c r="C13" s="57" t="s">
        <v>148</v>
      </c>
      <c r="D13" s="76">
        <v>386</v>
      </c>
      <c r="E13" s="69">
        <v>4.5999999999999999E-2</v>
      </c>
    </row>
    <row r="14" spans="1:5" ht="16.5">
      <c r="A14" s="46"/>
      <c r="B14" s="124"/>
      <c r="C14" s="57" t="s">
        <v>159</v>
      </c>
      <c r="D14" s="76">
        <v>292</v>
      </c>
      <c r="E14" s="69">
        <v>3.5000000000000003E-2</v>
      </c>
    </row>
    <row r="15" spans="1:5" ht="16.5">
      <c r="A15" s="46"/>
      <c r="B15" s="124"/>
      <c r="C15" s="57" t="s">
        <v>142</v>
      </c>
      <c r="D15" s="76">
        <v>287</v>
      </c>
      <c r="E15" s="69">
        <v>3.4000000000000002E-2</v>
      </c>
    </row>
    <row r="16" spans="1:5" ht="16.5">
      <c r="A16" s="46"/>
      <c r="B16" s="124"/>
      <c r="C16" s="57" t="s">
        <v>150</v>
      </c>
      <c r="D16" s="76">
        <v>242</v>
      </c>
      <c r="E16" s="69">
        <v>2.9000000000000001E-2</v>
      </c>
    </row>
    <row r="17" spans="1:5" ht="16.5">
      <c r="A17" s="46"/>
      <c r="B17" s="124"/>
      <c r="C17" s="57" t="s">
        <v>157</v>
      </c>
      <c r="D17" s="76">
        <v>233</v>
      </c>
      <c r="E17" s="69">
        <v>2.8000000000000001E-2</v>
      </c>
    </row>
    <row r="18" spans="1:5" ht="16.5">
      <c r="A18" s="46"/>
      <c r="B18" s="124"/>
      <c r="C18" s="57" t="s">
        <v>143</v>
      </c>
      <c r="D18" s="76">
        <v>173</v>
      </c>
      <c r="E18" s="69">
        <v>2.1000000000000001E-2</v>
      </c>
    </row>
    <row r="19" spans="1:5" ht="16.5">
      <c r="A19" s="46"/>
      <c r="B19" s="124"/>
      <c r="C19" s="57" t="s">
        <v>151</v>
      </c>
      <c r="D19" s="76">
        <v>156</v>
      </c>
      <c r="E19" s="69">
        <v>1.9E-2</v>
      </c>
    </row>
    <row r="20" spans="1:5" ht="16.5">
      <c r="A20" s="46"/>
      <c r="B20" s="124"/>
      <c r="C20" s="57" t="s">
        <v>156</v>
      </c>
      <c r="D20" s="76">
        <v>154</v>
      </c>
      <c r="E20" s="69">
        <v>1.7999999999999999E-2</v>
      </c>
    </row>
    <row r="21" spans="1:5" ht="16.5">
      <c r="A21" s="46"/>
      <c r="B21" s="124"/>
      <c r="C21" s="57" t="s">
        <v>146</v>
      </c>
      <c r="D21" s="76">
        <v>149</v>
      </c>
      <c r="E21" s="69">
        <v>1.7999999999999999E-2</v>
      </c>
    </row>
    <row r="22" spans="1:5" ht="16.5">
      <c r="A22" s="46"/>
      <c r="B22" s="124"/>
      <c r="C22" s="57" t="s">
        <v>144</v>
      </c>
      <c r="D22" s="76">
        <v>139</v>
      </c>
      <c r="E22" s="69">
        <v>1.7000000000000001E-2</v>
      </c>
    </row>
    <row r="23" spans="1:5" ht="16.5">
      <c r="A23" s="46"/>
      <c r="B23" s="124"/>
      <c r="C23" s="57" t="s">
        <v>145</v>
      </c>
      <c r="D23" s="76">
        <v>120</v>
      </c>
      <c r="E23" s="69">
        <v>1.4E-2</v>
      </c>
    </row>
    <row r="24" spans="1:5" ht="16.5">
      <c r="A24" s="46"/>
      <c r="B24" s="124"/>
      <c r="C24" s="57" t="s">
        <v>158</v>
      </c>
      <c r="D24" s="76">
        <v>117</v>
      </c>
      <c r="E24" s="69">
        <v>1.4E-2</v>
      </c>
    </row>
    <row r="25" spans="1:5" ht="16.5">
      <c r="A25" s="46"/>
      <c r="B25" s="124"/>
      <c r="C25" s="57" t="s">
        <v>161</v>
      </c>
      <c r="D25" s="76">
        <v>102</v>
      </c>
      <c r="E25" s="69">
        <v>1.2E-2</v>
      </c>
    </row>
    <row r="26" spans="1:5" ht="16.5">
      <c r="A26" s="46"/>
      <c r="B26" s="124"/>
      <c r="C26" s="57" t="s">
        <v>160</v>
      </c>
      <c r="D26" s="76">
        <v>70</v>
      </c>
      <c r="E26" s="69">
        <v>8.0000000000000002E-3</v>
      </c>
    </row>
    <row r="27" spans="1:5" ht="16.5">
      <c r="A27" s="46"/>
      <c r="B27" s="124"/>
      <c r="C27" s="57" t="s">
        <v>155</v>
      </c>
      <c r="D27" s="76">
        <v>66</v>
      </c>
      <c r="E27" s="69">
        <v>8.0000000000000002E-3</v>
      </c>
    </row>
    <row r="28" spans="1:5" ht="16.5">
      <c r="A28" s="46"/>
      <c r="B28" s="124"/>
      <c r="C28" s="57" t="s">
        <v>154</v>
      </c>
      <c r="D28" s="76">
        <v>57</v>
      </c>
      <c r="E28" s="69">
        <v>7.0000000000000001E-3</v>
      </c>
    </row>
    <row r="29" spans="1:5" ht="16.5">
      <c r="A29" s="46"/>
      <c r="B29" s="124"/>
      <c r="C29" s="57" t="s">
        <v>152</v>
      </c>
      <c r="D29" s="76">
        <v>37</v>
      </c>
      <c r="E29" s="69">
        <v>4.0000000000000001E-3</v>
      </c>
    </row>
    <row r="30" spans="1:5" ht="16.5">
      <c r="A30" s="46"/>
      <c r="B30" s="124"/>
      <c r="C30" s="57" t="s">
        <v>235</v>
      </c>
      <c r="D30" s="76">
        <v>15</v>
      </c>
      <c r="E30" s="69">
        <v>2E-3</v>
      </c>
    </row>
    <row r="31" spans="1:5" ht="16.5">
      <c r="A31" s="46"/>
      <c r="B31" s="124"/>
      <c r="C31" s="73" t="s">
        <v>265</v>
      </c>
      <c r="D31" s="67">
        <v>5119</v>
      </c>
      <c r="E31" s="72">
        <v>0.61099999999999999</v>
      </c>
    </row>
    <row r="32" spans="1:5" ht="16.5">
      <c r="A32" s="46"/>
      <c r="B32" s="124" t="s">
        <v>122</v>
      </c>
      <c r="C32" s="57" t="s">
        <v>149</v>
      </c>
      <c r="D32" s="76">
        <v>115</v>
      </c>
      <c r="E32" s="69">
        <v>1.4E-2</v>
      </c>
    </row>
    <row r="33" spans="1:5" ht="16.5">
      <c r="A33" s="46"/>
      <c r="B33" s="124"/>
      <c r="C33" s="57" t="s">
        <v>147</v>
      </c>
      <c r="D33" s="76">
        <v>84</v>
      </c>
      <c r="E33" s="69">
        <v>0.01</v>
      </c>
    </row>
    <row r="34" spans="1:5" ht="16.5">
      <c r="A34" s="46"/>
      <c r="B34" s="124"/>
      <c r="C34" s="57" t="s">
        <v>156</v>
      </c>
      <c r="D34" s="76">
        <v>60</v>
      </c>
      <c r="E34" s="69">
        <v>7.0000000000000001E-3</v>
      </c>
    </row>
    <row r="35" spans="1:5" ht="16.5">
      <c r="A35" s="46"/>
      <c r="B35" s="124"/>
      <c r="C35" s="57" t="s">
        <v>159</v>
      </c>
      <c r="D35" s="76">
        <v>50</v>
      </c>
      <c r="E35" s="69">
        <v>6.0000000000000001E-3</v>
      </c>
    </row>
    <row r="36" spans="1:5" ht="16.5">
      <c r="A36" s="46"/>
      <c r="B36" s="124"/>
      <c r="C36" s="57" t="s">
        <v>150</v>
      </c>
      <c r="D36" s="76">
        <v>30</v>
      </c>
      <c r="E36" s="69">
        <v>4.0000000000000001E-3</v>
      </c>
    </row>
    <row r="37" spans="1:5" ht="16.5">
      <c r="A37" s="46"/>
      <c r="B37" s="124"/>
      <c r="C37" s="57" t="s">
        <v>153</v>
      </c>
      <c r="D37" s="76">
        <v>29</v>
      </c>
      <c r="E37" s="69">
        <v>3.0000000000000001E-3</v>
      </c>
    </row>
    <row r="38" spans="1:5" ht="16.5">
      <c r="A38" s="46"/>
      <c r="B38" s="124"/>
      <c r="C38" s="57" t="s">
        <v>151</v>
      </c>
      <c r="D38" s="76">
        <v>22</v>
      </c>
      <c r="E38" s="69">
        <v>3.0000000000000001E-3</v>
      </c>
    </row>
    <row r="39" spans="1:5" ht="16.5">
      <c r="A39" s="46"/>
      <c r="B39" s="124"/>
      <c r="C39" s="57" t="s">
        <v>146</v>
      </c>
      <c r="D39" s="76">
        <v>18</v>
      </c>
      <c r="E39" s="69">
        <v>2E-3</v>
      </c>
    </row>
    <row r="40" spans="1:5" ht="16.5">
      <c r="A40" s="46"/>
      <c r="B40" s="124"/>
      <c r="C40" s="57" t="s">
        <v>148</v>
      </c>
      <c r="D40" s="76">
        <v>17</v>
      </c>
      <c r="E40" s="69">
        <v>2E-3</v>
      </c>
    </row>
    <row r="41" spans="1:5" ht="16.5">
      <c r="A41" s="46"/>
      <c r="B41" s="124"/>
      <c r="C41" s="57" t="s">
        <v>235</v>
      </c>
      <c r="D41" s="76">
        <v>15</v>
      </c>
      <c r="E41" s="69">
        <v>2E-3</v>
      </c>
    </row>
    <row r="42" spans="1:5" ht="16.5">
      <c r="A42" s="46"/>
      <c r="B42" s="124"/>
      <c r="C42" s="57" t="s">
        <v>142</v>
      </c>
      <c r="D42" s="76">
        <v>14</v>
      </c>
      <c r="E42" s="69">
        <v>2E-3</v>
      </c>
    </row>
    <row r="43" spans="1:5" ht="16.5">
      <c r="A43" s="46"/>
      <c r="B43" s="124"/>
      <c r="C43" s="57" t="s">
        <v>145</v>
      </c>
      <c r="D43" s="76">
        <v>12</v>
      </c>
      <c r="E43" s="69">
        <v>1E-3</v>
      </c>
    </row>
    <row r="44" spans="1:5" ht="16.5">
      <c r="A44" s="46"/>
      <c r="B44" s="124"/>
      <c r="C44" s="57" t="s">
        <v>144</v>
      </c>
      <c r="D44" s="76">
        <v>9</v>
      </c>
      <c r="E44" s="69">
        <v>1E-3</v>
      </c>
    </row>
    <row r="45" spans="1:5" ht="16.5">
      <c r="A45" s="46"/>
      <c r="B45" s="124"/>
      <c r="C45" s="57" t="s">
        <v>157</v>
      </c>
      <c r="D45" s="76">
        <v>9</v>
      </c>
      <c r="E45" s="69">
        <v>1E-3</v>
      </c>
    </row>
    <row r="46" spans="1:5" ht="16.5">
      <c r="A46" s="46"/>
      <c r="B46" s="124"/>
      <c r="C46" s="57" t="s">
        <v>160</v>
      </c>
      <c r="D46" s="76">
        <v>9</v>
      </c>
      <c r="E46" s="69">
        <v>1E-3</v>
      </c>
    </row>
    <row r="47" spans="1:5" ht="16.5">
      <c r="A47" s="46"/>
      <c r="B47" s="124"/>
      <c r="C47" s="57" t="s">
        <v>143</v>
      </c>
      <c r="D47" s="76">
        <v>7</v>
      </c>
      <c r="E47" s="69">
        <v>1E-3</v>
      </c>
    </row>
    <row r="48" spans="1:5" ht="16.5">
      <c r="A48" s="46"/>
      <c r="B48" s="124"/>
      <c r="C48" s="57" t="s">
        <v>152</v>
      </c>
      <c r="D48" s="76">
        <v>7</v>
      </c>
      <c r="E48" s="69">
        <v>1E-3</v>
      </c>
    </row>
    <row r="49" spans="1:5" ht="16.5">
      <c r="A49" s="46"/>
      <c r="B49" s="124"/>
      <c r="C49" s="57" t="s">
        <v>154</v>
      </c>
      <c r="D49" s="76">
        <v>6</v>
      </c>
      <c r="E49" s="69">
        <v>1E-3</v>
      </c>
    </row>
    <row r="50" spans="1:5" ht="16.5">
      <c r="A50" s="46"/>
      <c r="B50" s="124"/>
      <c r="C50" s="57" t="s">
        <v>158</v>
      </c>
      <c r="D50" s="76">
        <v>4</v>
      </c>
      <c r="E50" s="69">
        <v>0</v>
      </c>
    </row>
    <row r="51" spans="1:5" ht="16.5">
      <c r="A51" s="46"/>
      <c r="B51" s="124"/>
      <c r="C51" s="57" t="s">
        <v>155</v>
      </c>
      <c r="D51" s="76">
        <v>1</v>
      </c>
      <c r="E51" s="69">
        <v>0</v>
      </c>
    </row>
    <row r="52" spans="1:5" ht="16.5">
      <c r="A52" s="46"/>
      <c r="B52" s="124"/>
      <c r="C52" s="57" t="s">
        <v>161</v>
      </c>
      <c r="D52" s="76">
        <v>1</v>
      </c>
      <c r="E52" s="69">
        <v>0</v>
      </c>
    </row>
    <row r="53" spans="1:5" ht="16.5">
      <c r="A53" s="46"/>
      <c r="B53" s="124"/>
      <c r="C53" s="73" t="s">
        <v>265</v>
      </c>
      <c r="D53" s="67">
        <v>519</v>
      </c>
      <c r="E53" s="72">
        <v>6.2E-2</v>
      </c>
    </row>
    <row r="54" spans="1:5" ht="16.5">
      <c r="A54" s="46"/>
      <c r="B54" s="124" t="s">
        <v>135</v>
      </c>
      <c r="C54" s="57" t="s">
        <v>149</v>
      </c>
      <c r="D54" s="76">
        <v>92</v>
      </c>
      <c r="E54" s="69">
        <v>1.0999999999999999E-2</v>
      </c>
    </row>
    <row r="55" spans="1:5" ht="16.5">
      <c r="A55" s="46"/>
      <c r="B55" s="124"/>
      <c r="C55" s="57" t="s">
        <v>147</v>
      </c>
      <c r="D55" s="76">
        <v>48</v>
      </c>
      <c r="E55" s="69">
        <v>6.0000000000000001E-3</v>
      </c>
    </row>
    <row r="56" spans="1:5" ht="16.5">
      <c r="A56" s="46"/>
      <c r="B56" s="124"/>
      <c r="C56" s="57" t="s">
        <v>153</v>
      </c>
      <c r="D56" s="76">
        <v>46</v>
      </c>
      <c r="E56" s="69">
        <v>5.0000000000000001E-3</v>
      </c>
    </row>
    <row r="57" spans="1:5" ht="16.5">
      <c r="A57" s="46"/>
      <c r="B57" s="124"/>
      <c r="C57" s="57" t="s">
        <v>142</v>
      </c>
      <c r="D57" s="76">
        <v>15</v>
      </c>
      <c r="E57" s="69">
        <v>2E-3</v>
      </c>
    </row>
    <row r="58" spans="1:5" ht="16.5">
      <c r="A58" s="46"/>
      <c r="B58" s="124"/>
      <c r="C58" s="57" t="s">
        <v>154</v>
      </c>
      <c r="D58" s="76">
        <v>14</v>
      </c>
      <c r="E58" s="69">
        <v>2E-3</v>
      </c>
    </row>
    <row r="59" spans="1:5" ht="16.5">
      <c r="A59" s="46"/>
      <c r="B59" s="124"/>
      <c r="C59" s="57" t="s">
        <v>157</v>
      </c>
      <c r="D59" s="76">
        <v>13</v>
      </c>
      <c r="E59" s="69">
        <v>2E-3</v>
      </c>
    </row>
    <row r="60" spans="1:5" ht="16.5">
      <c r="A60" s="46"/>
      <c r="B60" s="124"/>
      <c r="C60" s="57" t="s">
        <v>159</v>
      </c>
      <c r="D60" s="76">
        <v>12</v>
      </c>
      <c r="E60" s="69">
        <v>1E-3</v>
      </c>
    </row>
    <row r="61" spans="1:5" ht="16.5">
      <c r="A61" s="46"/>
      <c r="B61" s="124"/>
      <c r="C61" s="57" t="s">
        <v>145</v>
      </c>
      <c r="D61" s="76">
        <v>8</v>
      </c>
      <c r="E61" s="69">
        <v>1E-3</v>
      </c>
    </row>
    <row r="62" spans="1:5" ht="16.5">
      <c r="A62" s="46"/>
      <c r="B62" s="124"/>
      <c r="C62" s="57" t="s">
        <v>158</v>
      </c>
      <c r="D62" s="76">
        <v>8</v>
      </c>
      <c r="E62" s="69">
        <v>1E-3</v>
      </c>
    </row>
    <row r="63" spans="1:5" ht="16.5">
      <c r="A63" s="46"/>
      <c r="B63" s="124"/>
      <c r="C63" s="57" t="s">
        <v>150</v>
      </c>
      <c r="D63" s="76">
        <v>8</v>
      </c>
      <c r="E63" s="69">
        <v>1E-3</v>
      </c>
    </row>
    <row r="64" spans="1:5" ht="16.5">
      <c r="A64" s="46"/>
      <c r="B64" s="124"/>
      <c r="C64" s="57" t="s">
        <v>160</v>
      </c>
      <c r="D64" s="76">
        <v>8</v>
      </c>
      <c r="E64" s="69">
        <v>1E-3</v>
      </c>
    </row>
    <row r="65" spans="1:5" ht="16.5">
      <c r="A65" s="46"/>
      <c r="B65" s="124"/>
      <c r="C65" s="57" t="s">
        <v>152</v>
      </c>
      <c r="D65" s="76">
        <v>7</v>
      </c>
      <c r="E65" s="69">
        <v>1E-3</v>
      </c>
    </row>
    <row r="66" spans="1:5" ht="16.5">
      <c r="A66" s="46"/>
      <c r="B66" s="124"/>
      <c r="C66" s="57" t="s">
        <v>156</v>
      </c>
      <c r="D66" s="76">
        <v>7</v>
      </c>
      <c r="E66" s="69">
        <v>1E-3</v>
      </c>
    </row>
    <row r="67" spans="1:5" ht="16.5">
      <c r="A67" s="46"/>
      <c r="B67" s="124"/>
      <c r="C67" s="57" t="s">
        <v>144</v>
      </c>
      <c r="D67" s="76">
        <v>7</v>
      </c>
      <c r="E67" s="69">
        <v>1E-3</v>
      </c>
    </row>
    <row r="68" spans="1:5" ht="16.5">
      <c r="A68" s="46"/>
      <c r="B68" s="124"/>
      <c r="C68" s="57" t="s">
        <v>146</v>
      </c>
      <c r="D68" s="76">
        <v>6</v>
      </c>
      <c r="E68" s="69">
        <v>1E-3</v>
      </c>
    </row>
    <row r="69" spans="1:5" ht="16.5">
      <c r="A69" s="46"/>
      <c r="B69" s="124"/>
      <c r="C69" s="57" t="s">
        <v>148</v>
      </c>
      <c r="D69" s="76">
        <v>6</v>
      </c>
      <c r="E69" s="69">
        <v>1E-3</v>
      </c>
    </row>
    <row r="70" spans="1:5" ht="16.5">
      <c r="A70" s="46"/>
      <c r="B70" s="124"/>
      <c r="C70" s="57" t="s">
        <v>161</v>
      </c>
      <c r="D70" s="76">
        <v>5</v>
      </c>
      <c r="E70" s="69">
        <v>1E-3</v>
      </c>
    </row>
    <row r="71" spans="1:5" ht="16.5">
      <c r="A71" s="46"/>
      <c r="B71" s="124"/>
      <c r="C71" s="57" t="s">
        <v>143</v>
      </c>
      <c r="D71" s="76">
        <v>4</v>
      </c>
      <c r="E71" s="69">
        <v>0</v>
      </c>
    </row>
    <row r="72" spans="1:5" ht="16.5">
      <c r="A72" s="46"/>
      <c r="B72" s="124"/>
      <c r="C72" s="57" t="s">
        <v>151</v>
      </c>
      <c r="D72" s="76">
        <v>2</v>
      </c>
      <c r="E72" s="69">
        <v>0</v>
      </c>
    </row>
    <row r="73" spans="1:5" ht="16.5">
      <c r="A73" s="46"/>
      <c r="B73" s="124"/>
      <c r="C73" s="57" t="s">
        <v>155</v>
      </c>
      <c r="D73" s="76">
        <v>1</v>
      </c>
      <c r="E73" s="69">
        <v>0</v>
      </c>
    </row>
    <row r="74" spans="1:5" ht="16.5">
      <c r="A74" s="46"/>
      <c r="B74" s="124"/>
      <c r="C74" s="73" t="s">
        <v>265</v>
      </c>
      <c r="D74" s="67">
        <v>317</v>
      </c>
      <c r="E74" s="72">
        <v>3.7999999999999999E-2</v>
      </c>
    </row>
    <row r="75" spans="1:5" ht="16.5">
      <c r="A75" s="46"/>
      <c r="B75" s="124" t="s">
        <v>101</v>
      </c>
      <c r="C75" s="57" t="s">
        <v>154</v>
      </c>
      <c r="D75" s="76">
        <v>93</v>
      </c>
      <c r="E75" s="69">
        <v>1.0999999999999999E-2</v>
      </c>
    </row>
    <row r="76" spans="1:5" ht="16.5">
      <c r="A76" s="46"/>
      <c r="B76" s="124"/>
      <c r="C76" s="57" t="s">
        <v>149</v>
      </c>
      <c r="D76" s="76">
        <v>58</v>
      </c>
      <c r="E76" s="69">
        <v>7.0000000000000001E-3</v>
      </c>
    </row>
    <row r="77" spans="1:5" ht="16.5">
      <c r="A77" s="46"/>
      <c r="B77" s="124"/>
      <c r="C77" s="57" t="s">
        <v>147</v>
      </c>
      <c r="D77" s="76">
        <v>30</v>
      </c>
      <c r="E77" s="69">
        <v>4.0000000000000001E-3</v>
      </c>
    </row>
    <row r="78" spans="1:5" ht="16.5">
      <c r="A78" s="46"/>
      <c r="B78" s="124"/>
      <c r="C78" s="57" t="s">
        <v>153</v>
      </c>
      <c r="D78" s="76">
        <v>19</v>
      </c>
      <c r="E78" s="69">
        <v>2E-3</v>
      </c>
    </row>
    <row r="79" spans="1:5" ht="16.5">
      <c r="A79" s="46"/>
      <c r="B79" s="124"/>
      <c r="C79" s="57" t="s">
        <v>159</v>
      </c>
      <c r="D79" s="76">
        <v>13</v>
      </c>
      <c r="E79" s="69">
        <v>2E-3</v>
      </c>
    </row>
    <row r="80" spans="1:5" ht="16.5">
      <c r="A80" s="46"/>
      <c r="B80" s="124"/>
      <c r="C80" s="57" t="s">
        <v>152</v>
      </c>
      <c r="D80" s="76">
        <v>9</v>
      </c>
      <c r="E80" s="69">
        <v>1E-3</v>
      </c>
    </row>
    <row r="81" spans="1:5" ht="16.5">
      <c r="A81" s="46"/>
      <c r="B81" s="124"/>
      <c r="C81" s="57" t="s">
        <v>235</v>
      </c>
      <c r="D81" s="76">
        <v>7</v>
      </c>
      <c r="E81" s="69">
        <v>1E-3</v>
      </c>
    </row>
    <row r="82" spans="1:5" ht="16.5">
      <c r="A82" s="46"/>
      <c r="B82" s="124"/>
      <c r="C82" s="57" t="s">
        <v>158</v>
      </c>
      <c r="D82" s="76">
        <v>5</v>
      </c>
      <c r="E82" s="69">
        <v>1E-3</v>
      </c>
    </row>
    <row r="83" spans="1:5" ht="16.5">
      <c r="A83" s="46"/>
      <c r="B83" s="124"/>
      <c r="C83" s="57" t="s">
        <v>148</v>
      </c>
      <c r="D83" s="76">
        <v>5</v>
      </c>
      <c r="E83" s="69">
        <v>1E-3</v>
      </c>
    </row>
    <row r="84" spans="1:5" ht="16.5">
      <c r="A84" s="46"/>
      <c r="B84" s="124"/>
      <c r="C84" s="57" t="s">
        <v>145</v>
      </c>
      <c r="D84" s="76">
        <v>4</v>
      </c>
      <c r="E84" s="69">
        <v>0</v>
      </c>
    </row>
    <row r="85" spans="1:5" ht="16.5">
      <c r="A85" s="46"/>
      <c r="B85" s="124"/>
      <c r="C85" s="57" t="s">
        <v>151</v>
      </c>
      <c r="D85" s="76">
        <v>3</v>
      </c>
      <c r="E85" s="69">
        <v>0</v>
      </c>
    </row>
    <row r="86" spans="1:5" ht="16.5">
      <c r="A86" s="46"/>
      <c r="B86" s="124"/>
      <c r="C86" s="57" t="s">
        <v>143</v>
      </c>
      <c r="D86" s="76">
        <v>3</v>
      </c>
      <c r="E86" s="69">
        <v>0</v>
      </c>
    </row>
    <row r="87" spans="1:5" ht="16.5">
      <c r="A87" s="46"/>
      <c r="B87" s="124"/>
      <c r="C87" s="57" t="s">
        <v>156</v>
      </c>
      <c r="D87" s="76">
        <v>3</v>
      </c>
      <c r="E87" s="69">
        <v>0</v>
      </c>
    </row>
    <row r="88" spans="1:5" ht="16.5">
      <c r="A88" s="46"/>
      <c r="B88" s="124"/>
      <c r="C88" s="57" t="s">
        <v>157</v>
      </c>
      <c r="D88" s="76">
        <v>2</v>
      </c>
      <c r="E88" s="69">
        <v>0</v>
      </c>
    </row>
    <row r="89" spans="1:5" ht="16.5">
      <c r="A89" s="46"/>
      <c r="B89" s="124"/>
      <c r="C89" s="57" t="s">
        <v>150</v>
      </c>
      <c r="D89" s="76">
        <v>2</v>
      </c>
      <c r="E89" s="69">
        <v>0</v>
      </c>
    </row>
    <row r="90" spans="1:5" ht="16.5">
      <c r="A90" s="46"/>
      <c r="B90" s="124"/>
      <c r="C90" s="57" t="s">
        <v>160</v>
      </c>
      <c r="D90" s="76">
        <v>2</v>
      </c>
      <c r="E90" s="69">
        <v>0</v>
      </c>
    </row>
    <row r="91" spans="1:5" ht="16.5">
      <c r="A91" s="46"/>
      <c r="B91" s="124"/>
      <c r="C91" s="57" t="s">
        <v>142</v>
      </c>
      <c r="D91" s="76">
        <v>1</v>
      </c>
      <c r="E91" s="69">
        <v>0</v>
      </c>
    </row>
    <row r="92" spans="1:5" ht="16.5">
      <c r="A92" s="46"/>
      <c r="B92" s="124"/>
      <c r="C92" s="57" t="s">
        <v>144</v>
      </c>
      <c r="D92" s="76">
        <v>1</v>
      </c>
      <c r="E92" s="69">
        <v>0</v>
      </c>
    </row>
    <row r="93" spans="1:5" ht="16.5">
      <c r="A93" s="46"/>
      <c r="B93" s="124"/>
      <c r="C93" s="73" t="s">
        <v>265</v>
      </c>
      <c r="D93" s="67">
        <v>260</v>
      </c>
      <c r="E93" s="72">
        <v>3.1E-2</v>
      </c>
    </row>
    <row r="94" spans="1:5" ht="16.5">
      <c r="A94" s="46"/>
      <c r="B94" s="124" t="s">
        <v>98</v>
      </c>
      <c r="C94" s="57" t="s">
        <v>149</v>
      </c>
      <c r="D94" s="76">
        <v>53</v>
      </c>
      <c r="E94" s="69">
        <v>6.0000000000000001E-3</v>
      </c>
    </row>
    <row r="95" spans="1:5" ht="16.5">
      <c r="A95" s="46"/>
      <c r="B95" s="124"/>
      <c r="C95" s="57" t="s">
        <v>147</v>
      </c>
      <c r="D95" s="76">
        <v>37</v>
      </c>
      <c r="E95" s="69">
        <v>4.0000000000000001E-3</v>
      </c>
    </row>
    <row r="96" spans="1:5" ht="16.5">
      <c r="A96" s="46"/>
      <c r="B96" s="124"/>
      <c r="C96" s="57" t="s">
        <v>142</v>
      </c>
      <c r="D96" s="76">
        <v>32</v>
      </c>
      <c r="E96" s="69">
        <v>4.0000000000000001E-3</v>
      </c>
    </row>
    <row r="97" spans="1:5" ht="16.5">
      <c r="A97" s="46"/>
      <c r="B97" s="124"/>
      <c r="C97" s="57" t="s">
        <v>148</v>
      </c>
      <c r="D97" s="76">
        <v>25</v>
      </c>
      <c r="E97" s="69">
        <v>3.0000000000000001E-3</v>
      </c>
    </row>
    <row r="98" spans="1:5" ht="16.5">
      <c r="A98" s="46"/>
      <c r="B98" s="124"/>
      <c r="C98" s="57" t="s">
        <v>153</v>
      </c>
      <c r="D98" s="76">
        <v>24</v>
      </c>
      <c r="E98" s="69">
        <v>3.0000000000000001E-3</v>
      </c>
    </row>
    <row r="99" spans="1:5" ht="16.5">
      <c r="A99" s="46"/>
      <c r="B99" s="124"/>
      <c r="C99" s="57" t="s">
        <v>157</v>
      </c>
      <c r="D99" s="76">
        <v>15</v>
      </c>
      <c r="E99" s="69">
        <v>2E-3</v>
      </c>
    </row>
    <row r="100" spans="1:5" ht="16.5">
      <c r="A100" s="46"/>
      <c r="B100" s="124"/>
      <c r="C100" s="57" t="s">
        <v>159</v>
      </c>
      <c r="D100" s="76">
        <v>14</v>
      </c>
      <c r="E100" s="69">
        <v>2E-3</v>
      </c>
    </row>
    <row r="101" spans="1:5" ht="16.5">
      <c r="A101" s="46"/>
      <c r="B101" s="124"/>
      <c r="C101" s="57" t="s">
        <v>150</v>
      </c>
      <c r="D101" s="76">
        <v>9</v>
      </c>
      <c r="E101" s="69">
        <v>1E-3</v>
      </c>
    </row>
    <row r="102" spans="1:5" ht="16.5">
      <c r="A102" s="46"/>
      <c r="B102" s="124"/>
      <c r="C102" s="57" t="s">
        <v>158</v>
      </c>
      <c r="D102" s="76">
        <v>8</v>
      </c>
      <c r="E102" s="69">
        <v>1E-3</v>
      </c>
    </row>
    <row r="103" spans="1:5" ht="16.5">
      <c r="A103" s="46"/>
      <c r="B103" s="124"/>
      <c r="C103" s="57" t="s">
        <v>156</v>
      </c>
      <c r="D103" s="76">
        <v>6</v>
      </c>
      <c r="E103" s="69">
        <v>1E-3</v>
      </c>
    </row>
    <row r="104" spans="1:5" ht="16.5">
      <c r="A104" s="46"/>
      <c r="B104" s="124"/>
      <c r="C104" s="57" t="s">
        <v>155</v>
      </c>
      <c r="D104" s="76">
        <v>5</v>
      </c>
      <c r="E104" s="69">
        <v>1E-3</v>
      </c>
    </row>
    <row r="105" spans="1:5" ht="16.5">
      <c r="A105" s="46"/>
      <c r="B105" s="124"/>
      <c r="C105" s="57" t="s">
        <v>151</v>
      </c>
      <c r="D105" s="76">
        <v>3</v>
      </c>
      <c r="E105" s="69">
        <v>0</v>
      </c>
    </row>
    <row r="106" spans="1:5" ht="16.5">
      <c r="A106" s="46"/>
      <c r="B106" s="124"/>
      <c r="C106" s="57" t="s">
        <v>160</v>
      </c>
      <c r="D106" s="76">
        <v>3</v>
      </c>
      <c r="E106" s="69">
        <v>0</v>
      </c>
    </row>
    <row r="107" spans="1:5" ht="16.5">
      <c r="A107" s="46"/>
      <c r="B107" s="124"/>
      <c r="C107" s="57" t="s">
        <v>152</v>
      </c>
      <c r="D107" s="76">
        <v>2</v>
      </c>
      <c r="E107" s="69">
        <v>0</v>
      </c>
    </row>
    <row r="108" spans="1:5" ht="16.5">
      <c r="A108" s="46"/>
      <c r="B108" s="124"/>
      <c r="C108" s="57" t="s">
        <v>154</v>
      </c>
      <c r="D108" s="76">
        <v>2</v>
      </c>
      <c r="E108" s="69">
        <v>0</v>
      </c>
    </row>
    <row r="109" spans="1:5" ht="16.5">
      <c r="A109" s="46"/>
      <c r="B109" s="124"/>
      <c r="C109" s="57" t="s">
        <v>145</v>
      </c>
      <c r="D109" s="76">
        <v>2</v>
      </c>
      <c r="E109" s="69">
        <v>0</v>
      </c>
    </row>
    <row r="110" spans="1:5" ht="16.5">
      <c r="A110" s="46"/>
      <c r="B110" s="124"/>
      <c r="C110" s="57" t="s">
        <v>146</v>
      </c>
      <c r="D110" s="76">
        <v>2</v>
      </c>
      <c r="E110" s="69">
        <v>0</v>
      </c>
    </row>
    <row r="111" spans="1:5" ht="16.5">
      <c r="A111" s="46"/>
      <c r="B111" s="124"/>
      <c r="C111" s="57" t="s">
        <v>235</v>
      </c>
      <c r="D111" s="76">
        <v>1</v>
      </c>
      <c r="E111" s="69">
        <v>0</v>
      </c>
    </row>
    <row r="112" spans="1:5" ht="16.5">
      <c r="A112" s="46"/>
      <c r="B112" s="124"/>
      <c r="C112" s="57" t="s">
        <v>144</v>
      </c>
      <c r="D112" s="76">
        <v>1</v>
      </c>
      <c r="E112" s="69">
        <v>0</v>
      </c>
    </row>
    <row r="113" spans="1:5" ht="16.5">
      <c r="A113" s="46"/>
      <c r="B113" s="124"/>
      <c r="C113" s="57" t="s">
        <v>161</v>
      </c>
      <c r="D113" s="76">
        <v>1</v>
      </c>
      <c r="E113" s="69">
        <v>0</v>
      </c>
    </row>
    <row r="114" spans="1:5" ht="16.5">
      <c r="A114" s="46"/>
      <c r="B114" s="124"/>
      <c r="C114" s="73" t="s">
        <v>265</v>
      </c>
      <c r="D114" s="67">
        <v>245</v>
      </c>
      <c r="E114" s="72">
        <v>2.9000000000000001E-2</v>
      </c>
    </row>
    <row r="115" spans="1:5" ht="16.5">
      <c r="A115" s="46"/>
      <c r="B115" s="124" t="s">
        <v>108</v>
      </c>
      <c r="C115" s="57" t="s">
        <v>149</v>
      </c>
      <c r="D115" s="76">
        <v>65</v>
      </c>
      <c r="E115" s="69">
        <v>8.0000000000000002E-3</v>
      </c>
    </row>
    <row r="116" spans="1:5" ht="16.5">
      <c r="A116" s="46"/>
      <c r="B116" s="124"/>
      <c r="C116" s="57" t="s">
        <v>145</v>
      </c>
      <c r="D116" s="76">
        <v>22</v>
      </c>
      <c r="E116" s="69">
        <v>3.0000000000000001E-3</v>
      </c>
    </row>
    <row r="117" spans="1:5" ht="16.5">
      <c r="A117" s="46"/>
      <c r="B117" s="124"/>
      <c r="C117" s="57" t="s">
        <v>153</v>
      </c>
      <c r="D117" s="76">
        <v>21</v>
      </c>
      <c r="E117" s="69">
        <v>3.0000000000000001E-3</v>
      </c>
    </row>
    <row r="118" spans="1:5" ht="16.5">
      <c r="A118" s="46"/>
      <c r="B118" s="124"/>
      <c r="C118" s="57" t="s">
        <v>156</v>
      </c>
      <c r="D118" s="76">
        <v>19</v>
      </c>
      <c r="E118" s="69">
        <v>2E-3</v>
      </c>
    </row>
    <row r="119" spans="1:5" ht="16.5">
      <c r="A119" s="46"/>
      <c r="B119" s="124"/>
      <c r="C119" s="57" t="s">
        <v>158</v>
      </c>
      <c r="D119" s="76">
        <v>16</v>
      </c>
      <c r="E119" s="69">
        <v>2E-3</v>
      </c>
    </row>
    <row r="120" spans="1:5" ht="16.5">
      <c r="A120" s="46"/>
      <c r="B120" s="124"/>
      <c r="C120" s="57" t="s">
        <v>147</v>
      </c>
      <c r="D120" s="76">
        <v>16</v>
      </c>
      <c r="E120" s="69">
        <v>2E-3</v>
      </c>
    </row>
    <row r="121" spans="1:5" ht="16.5">
      <c r="A121" s="46"/>
      <c r="B121" s="124"/>
      <c r="C121" s="57" t="s">
        <v>157</v>
      </c>
      <c r="D121" s="76">
        <v>12</v>
      </c>
      <c r="E121" s="69">
        <v>1E-3</v>
      </c>
    </row>
    <row r="122" spans="1:5" ht="16.5">
      <c r="A122" s="46"/>
      <c r="B122" s="124"/>
      <c r="C122" s="57" t="s">
        <v>150</v>
      </c>
      <c r="D122" s="76">
        <v>11</v>
      </c>
      <c r="E122" s="69">
        <v>1E-3</v>
      </c>
    </row>
    <row r="123" spans="1:5" ht="16.5">
      <c r="A123" s="46"/>
      <c r="B123" s="124"/>
      <c r="C123" s="57" t="s">
        <v>159</v>
      </c>
      <c r="D123" s="76">
        <v>7</v>
      </c>
      <c r="E123" s="69">
        <v>1E-3</v>
      </c>
    </row>
    <row r="124" spans="1:5" ht="16.5">
      <c r="A124" s="46"/>
      <c r="B124" s="124"/>
      <c r="C124" s="57" t="s">
        <v>146</v>
      </c>
      <c r="D124" s="76">
        <v>6</v>
      </c>
      <c r="E124" s="69">
        <v>1E-3</v>
      </c>
    </row>
    <row r="125" spans="1:5" ht="16.5">
      <c r="A125" s="46"/>
      <c r="B125" s="124"/>
      <c r="C125" s="57" t="s">
        <v>143</v>
      </c>
      <c r="D125" s="76">
        <v>3</v>
      </c>
      <c r="E125" s="69">
        <v>0</v>
      </c>
    </row>
    <row r="126" spans="1:5" ht="16.5">
      <c r="A126" s="46"/>
      <c r="B126" s="124"/>
      <c r="C126" s="57" t="s">
        <v>148</v>
      </c>
      <c r="D126" s="76">
        <v>3</v>
      </c>
      <c r="E126" s="69">
        <v>0</v>
      </c>
    </row>
    <row r="127" spans="1:5" ht="16.5">
      <c r="A127" s="46"/>
      <c r="B127" s="124"/>
      <c r="C127" s="57" t="s">
        <v>151</v>
      </c>
      <c r="D127" s="76">
        <v>2</v>
      </c>
      <c r="E127" s="69">
        <v>0</v>
      </c>
    </row>
    <row r="128" spans="1:5" ht="16.5">
      <c r="A128" s="46"/>
      <c r="B128" s="124"/>
      <c r="C128" s="57" t="s">
        <v>154</v>
      </c>
      <c r="D128" s="76">
        <v>2</v>
      </c>
      <c r="E128" s="69">
        <v>0</v>
      </c>
    </row>
    <row r="129" spans="1:5" ht="16.5">
      <c r="A129" s="46"/>
      <c r="B129" s="124"/>
      <c r="C129" s="57" t="s">
        <v>155</v>
      </c>
      <c r="D129" s="76">
        <v>2</v>
      </c>
      <c r="E129" s="69">
        <v>0</v>
      </c>
    </row>
    <row r="130" spans="1:5" ht="16.5">
      <c r="A130" s="46"/>
      <c r="B130" s="124"/>
      <c r="C130" s="57" t="s">
        <v>161</v>
      </c>
      <c r="D130" s="76">
        <v>2</v>
      </c>
      <c r="E130" s="69">
        <v>0</v>
      </c>
    </row>
    <row r="131" spans="1:5" ht="16.5">
      <c r="A131" s="46"/>
      <c r="B131" s="124"/>
      <c r="C131" s="57" t="s">
        <v>160</v>
      </c>
      <c r="D131" s="76">
        <v>2</v>
      </c>
      <c r="E131" s="69">
        <v>0</v>
      </c>
    </row>
    <row r="132" spans="1:5" ht="16.5">
      <c r="A132" s="46"/>
      <c r="B132" s="124"/>
      <c r="C132" s="57" t="s">
        <v>142</v>
      </c>
      <c r="D132" s="76">
        <v>1</v>
      </c>
      <c r="E132" s="69">
        <v>0</v>
      </c>
    </row>
    <row r="133" spans="1:5" ht="16.5">
      <c r="A133" s="46"/>
      <c r="B133" s="124"/>
      <c r="C133" s="73" t="s">
        <v>265</v>
      </c>
      <c r="D133" s="67">
        <v>212</v>
      </c>
      <c r="E133" s="72">
        <v>2.5000000000000001E-2</v>
      </c>
    </row>
    <row r="134" spans="1:5" ht="16.5">
      <c r="A134" s="46"/>
      <c r="B134" s="124" t="s">
        <v>126</v>
      </c>
      <c r="C134" s="57" t="s">
        <v>147</v>
      </c>
      <c r="D134" s="76">
        <v>41</v>
      </c>
      <c r="E134" s="69">
        <v>5.0000000000000001E-3</v>
      </c>
    </row>
    <row r="135" spans="1:5" ht="16.5">
      <c r="A135" s="46"/>
      <c r="B135" s="124"/>
      <c r="C135" s="57" t="s">
        <v>149</v>
      </c>
      <c r="D135" s="76">
        <v>30</v>
      </c>
      <c r="E135" s="69">
        <v>4.0000000000000001E-3</v>
      </c>
    </row>
    <row r="136" spans="1:5" ht="16.5">
      <c r="A136" s="46"/>
      <c r="B136" s="124"/>
      <c r="C136" s="57" t="s">
        <v>156</v>
      </c>
      <c r="D136" s="76">
        <v>24</v>
      </c>
      <c r="E136" s="69">
        <v>3.0000000000000001E-3</v>
      </c>
    </row>
    <row r="137" spans="1:5" ht="16.5">
      <c r="A137" s="46"/>
      <c r="B137" s="124"/>
      <c r="C137" s="57" t="s">
        <v>153</v>
      </c>
      <c r="D137" s="76">
        <v>12</v>
      </c>
      <c r="E137" s="69">
        <v>1E-3</v>
      </c>
    </row>
    <row r="138" spans="1:5" ht="16.5">
      <c r="A138" s="46"/>
      <c r="B138" s="124"/>
      <c r="C138" s="57" t="s">
        <v>150</v>
      </c>
      <c r="D138" s="76">
        <v>12</v>
      </c>
      <c r="E138" s="69">
        <v>1E-3</v>
      </c>
    </row>
    <row r="139" spans="1:5" ht="16.5">
      <c r="A139" s="46"/>
      <c r="B139" s="124"/>
      <c r="C139" s="57" t="s">
        <v>145</v>
      </c>
      <c r="D139" s="76">
        <v>8</v>
      </c>
      <c r="E139" s="69">
        <v>1E-3</v>
      </c>
    </row>
    <row r="140" spans="1:5" ht="16.5">
      <c r="A140" s="46"/>
      <c r="B140" s="124"/>
      <c r="C140" s="57" t="s">
        <v>159</v>
      </c>
      <c r="D140" s="76">
        <v>7</v>
      </c>
      <c r="E140" s="69">
        <v>1E-3</v>
      </c>
    </row>
    <row r="141" spans="1:5" ht="16.5">
      <c r="A141" s="46"/>
      <c r="B141" s="124"/>
      <c r="C141" s="57" t="s">
        <v>158</v>
      </c>
      <c r="D141" s="76">
        <v>5</v>
      </c>
      <c r="E141" s="69">
        <v>1E-3</v>
      </c>
    </row>
    <row r="142" spans="1:5" ht="16.5">
      <c r="A142" s="46"/>
      <c r="B142" s="124"/>
      <c r="C142" s="57" t="s">
        <v>142</v>
      </c>
      <c r="D142" s="76">
        <v>3</v>
      </c>
      <c r="E142" s="69">
        <v>0</v>
      </c>
    </row>
    <row r="143" spans="1:5" ht="16.5">
      <c r="A143" s="46"/>
      <c r="B143" s="124"/>
      <c r="C143" s="57" t="s">
        <v>144</v>
      </c>
      <c r="D143" s="76">
        <v>3</v>
      </c>
      <c r="E143" s="69">
        <v>0</v>
      </c>
    </row>
    <row r="144" spans="1:5" ht="16.5">
      <c r="A144" s="46"/>
      <c r="B144" s="124"/>
      <c r="C144" s="57" t="s">
        <v>151</v>
      </c>
      <c r="D144" s="76">
        <v>2</v>
      </c>
      <c r="E144" s="69">
        <v>0</v>
      </c>
    </row>
    <row r="145" spans="1:5" ht="16.5">
      <c r="A145" s="46"/>
      <c r="B145" s="124"/>
      <c r="C145" s="57" t="s">
        <v>143</v>
      </c>
      <c r="D145" s="76">
        <v>2</v>
      </c>
      <c r="E145" s="69">
        <v>0</v>
      </c>
    </row>
    <row r="146" spans="1:5" ht="16.5">
      <c r="A146" s="46"/>
      <c r="B146" s="124"/>
      <c r="C146" s="57" t="s">
        <v>157</v>
      </c>
      <c r="D146" s="76">
        <v>2</v>
      </c>
      <c r="E146" s="69">
        <v>0</v>
      </c>
    </row>
    <row r="147" spans="1:5" ht="16.5">
      <c r="A147" s="46"/>
      <c r="B147" s="124"/>
      <c r="C147" s="57" t="s">
        <v>146</v>
      </c>
      <c r="D147" s="76">
        <v>2</v>
      </c>
      <c r="E147" s="69">
        <v>0</v>
      </c>
    </row>
    <row r="148" spans="1:5" ht="16.5">
      <c r="A148" s="46"/>
      <c r="B148" s="124"/>
      <c r="C148" s="57" t="s">
        <v>148</v>
      </c>
      <c r="D148" s="76">
        <v>2</v>
      </c>
      <c r="E148" s="69">
        <v>0</v>
      </c>
    </row>
    <row r="149" spans="1:5" ht="16.5">
      <c r="A149" s="46"/>
      <c r="B149" s="124"/>
      <c r="C149" s="57" t="s">
        <v>152</v>
      </c>
      <c r="D149" s="76">
        <v>1</v>
      </c>
      <c r="E149" s="69">
        <v>0</v>
      </c>
    </row>
    <row r="150" spans="1:5" ht="16.5">
      <c r="A150" s="46"/>
      <c r="B150" s="124"/>
      <c r="C150" s="57" t="s">
        <v>154</v>
      </c>
      <c r="D150" s="76">
        <v>1</v>
      </c>
      <c r="E150" s="69">
        <v>0</v>
      </c>
    </row>
    <row r="151" spans="1:5" ht="16.5">
      <c r="A151" s="46"/>
      <c r="B151" s="124"/>
      <c r="C151" s="57" t="s">
        <v>155</v>
      </c>
      <c r="D151" s="76">
        <v>1</v>
      </c>
      <c r="E151" s="69">
        <v>0</v>
      </c>
    </row>
    <row r="152" spans="1:5" ht="16.5">
      <c r="A152" s="46"/>
      <c r="B152" s="124"/>
      <c r="C152" s="57" t="s">
        <v>160</v>
      </c>
      <c r="D152" s="76">
        <v>1</v>
      </c>
      <c r="E152" s="69">
        <v>0</v>
      </c>
    </row>
    <row r="153" spans="1:5" ht="16.5">
      <c r="A153" s="46"/>
      <c r="B153" s="124"/>
      <c r="C153" s="73" t="s">
        <v>265</v>
      </c>
      <c r="D153" s="67">
        <v>159</v>
      </c>
      <c r="E153" s="72">
        <v>1.9E-2</v>
      </c>
    </row>
    <row r="154" spans="1:5" ht="16.5">
      <c r="A154" s="46"/>
      <c r="B154" s="124" t="s">
        <v>136</v>
      </c>
      <c r="C154" s="57" t="s">
        <v>149</v>
      </c>
      <c r="D154" s="76">
        <v>34</v>
      </c>
      <c r="E154" s="69">
        <v>4.0000000000000001E-3</v>
      </c>
    </row>
    <row r="155" spans="1:5" ht="16.5">
      <c r="A155" s="46"/>
      <c r="B155" s="124"/>
      <c r="C155" s="57" t="s">
        <v>153</v>
      </c>
      <c r="D155" s="76">
        <v>27</v>
      </c>
      <c r="E155" s="69">
        <v>3.0000000000000001E-3</v>
      </c>
    </row>
    <row r="156" spans="1:5" ht="16.5">
      <c r="A156" s="46"/>
      <c r="B156" s="124"/>
      <c r="C156" s="57" t="s">
        <v>147</v>
      </c>
      <c r="D156" s="76">
        <v>20</v>
      </c>
      <c r="E156" s="69">
        <v>2E-3</v>
      </c>
    </row>
    <row r="157" spans="1:5" ht="16.5">
      <c r="A157" s="46"/>
      <c r="B157" s="124"/>
      <c r="C157" s="57" t="s">
        <v>159</v>
      </c>
      <c r="D157" s="76">
        <v>11</v>
      </c>
      <c r="E157" s="69">
        <v>1E-3</v>
      </c>
    </row>
    <row r="158" spans="1:5" ht="16.5">
      <c r="A158" s="46"/>
      <c r="B158" s="124"/>
      <c r="C158" s="57" t="s">
        <v>156</v>
      </c>
      <c r="D158" s="76">
        <v>9</v>
      </c>
      <c r="E158" s="69">
        <v>1E-3</v>
      </c>
    </row>
    <row r="159" spans="1:5" ht="16.5">
      <c r="A159" s="46"/>
      <c r="B159" s="124"/>
      <c r="C159" s="57" t="s">
        <v>148</v>
      </c>
      <c r="D159" s="76">
        <v>8</v>
      </c>
      <c r="E159" s="69">
        <v>1E-3</v>
      </c>
    </row>
    <row r="160" spans="1:5" ht="16.5">
      <c r="A160" s="46"/>
      <c r="B160" s="124"/>
      <c r="C160" s="57" t="s">
        <v>143</v>
      </c>
      <c r="D160" s="76">
        <v>6</v>
      </c>
      <c r="E160" s="69">
        <v>1E-3</v>
      </c>
    </row>
    <row r="161" spans="1:5" ht="16.5">
      <c r="A161" s="46"/>
      <c r="B161" s="124"/>
      <c r="C161" s="57" t="s">
        <v>154</v>
      </c>
      <c r="D161" s="76">
        <v>6</v>
      </c>
      <c r="E161" s="69">
        <v>1E-3</v>
      </c>
    </row>
    <row r="162" spans="1:5" ht="16.5">
      <c r="A162" s="46"/>
      <c r="B162" s="124"/>
      <c r="C162" s="57" t="s">
        <v>157</v>
      </c>
      <c r="D162" s="76">
        <v>6</v>
      </c>
      <c r="E162" s="69">
        <v>1E-3</v>
      </c>
    </row>
    <row r="163" spans="1:5" ht="16.5">
      <c r="A163" s="46"/>
      <c r="B163" s="124"/>
      <c r="C163" s="57" t="s">
        <v>146</v>
      </c>
      <c r="D163" s="76">
        <v>6</v>
      </c>
      <c r="E163" s="69">
        <v>1E-3</v>
      </c>
    </row>
    <row r="164" spans="1:5" ht="16.5">
      <c r="A164" s="46"/>
      <c r="B164" s="124"/>
      <c r="C164" s="57" t="s">
        <v>145</v>
      </c>
      <c r="D164" s="76">
        <v>4</v>
      </c>
      <c r="E164" s="69">
        <v>0</v>
      </c>
    </row>
    <row r="165" spans="1:5" ht="16.5">
      <c r="A165" s="46"/>
      <c r="B165" s="124"/>
      <c r="C165" s="57" t="s">
        <v>152</v>
      </c>
      <c r="D165" s="76">
        <v>3</v>
      </c>
      <c r="E165" s="69">
        <v>0</v>
      </c>
    </row>
    <row r="166" spans="1:5" ht="16.5">
      <c r="A166" s="46"/>
      <c r="B166" s="124"/>
      <c r="C166" s="57" t="s">
        <v>150</v>
      </c>
      <c r="D166" s="76">
        <v>3</v>
      </c>
      <c r="E166" s="69">
        <v>0</v>
      </c>
    </row>
    <row r="167" spans="1:5" ht="16.5">
      <c r="A167" s="46"/>
      <c r="B167" s="124"/>
      <c r="C167" s="57" t="s">
        <v>151</v>
      </c>
      <c r="D167" s="76">
        <v>2</v>
      </c>
      <c r="E167" s="69">
        <v>0</v>
      </c>
    </row>
    <row r="168" spans="1:5" ht="16.5">
      <c r="A168" s="46"/>
      <c r="B168" s="124"/>
      <c r="C168" s="57" t="s">
        <v>235</v>
      </c>
      <c r="D168" s="76">
        <v>2</v>
      </c>
      <c r="E168" s="69">
        <v>0</v>
      </c>
    </row>
    <row r="169" spans="1:5" ht="16.5">
      <c r="A169" s="46"/>
      <c r="B169" s="124"/>
      <c r="C169" s="57" t="s">
        <v>155</v>
      </c>
      <c r="D169" s="76">
        <v>2</v>
      </c>
      <c r="E169" s="69">
        <v>0</v>
      </c>
    </row>
    <row r="170" spans="1:5" ht="16.5">
      <c r="A170" s="46"/>
      <c r="B170" s="124"/>
      <c r="C170" s="57" t="s">
        <v>160</v>
      </c>
      <c r="D170" s="76">
        <v>2</v>
      </c>
      <c r="E170" s="69">
        <v>0</v>
      </c>
    </row>
    <row r="171" spans="1:5" ht="16.5">
      <c r="A171" s="46"/>
      <c r="B171" s="124"/>
      <c r="C171" s="57" t="s">
        <v>142</v>
      </c>
      <c r="D171" s="76">
        <v>1</v>
      </c>
      <c r="E171" s="69">
        <v>0</v>
      </c>
    </row>
    <row r="172" spans="1:5" ht="16.5">
      <c r="A172" s="46"/>
      <c r="B172" s="124"/>
      <c r="C172" s="57" t="s">
        <v>158</v>
      </c>
      <c r="D172" s="76">
        <v>1</v>
      </c>
      <c r="E172" s="69">
        <v>0</v>
      </c>
    </row>
    <row r="173" spans="1:5" ht="16.5">
      <c r="A173" s="46"/>
      <c r="B173" s="124"/>
      <c r="C173" s="73" t="s">
        <v>265</v>
      </c>
      <c r="D173" s="67">
        <v>153</v>
      </c>
      <c r="E173" s="72">
        <v>1.7999999999999999E-2</v>
      </c>
    </row>
    <row r="174" spans="1:5" ht="16.5">
      <c r="A174" s="46"/>
      <c r="B174" s="124" t="s">
        <v>117</v>
      </c>
      <c r="C174" s="57" t="s">
        <v>150</v>
      </c>
      <c r="D174" s="76">
        <v>31</v>
      </c>
      <c r="E174" s="69">
        <v>4.0000000000000001E-3</v>
      </c>
    </row>
    <row r="175" spans="1:5" ht="16.5">
      <c r="A175" s="46"/>
      <c r="B175" s="124"/>
      <c r="C175" s="57" t="s">
        <v>157</v>
      </c>
      <c r="D175" s="76">
        <v>30</v>
      </c>
      <c r="E175" s="69">
        <v>4.0000000000000001E-3</v>
      </c>
    </row>
    <row r="176" spans="1:5" ht="16.5">
      <c r="A176" s="46"/>
      <c r="B176" s="124"/>
      <c r="C176" s="57" t="s">
        <v>149</v>
      </c>
      <c r="D176" s="76">
        <v>27</v>
      </c>
      <c r="E176" s="69">
        <v>3.0000000000000001E-3</v>
      </c>
    </row>
    <row r="177" spans="1:5" ht="16.5">
      <c r="A177" s="46"/>
      <c r="B177" s="124"/>
      <c r="C177" s="57" t="s">
        <v>147</v>
      </c>
      <c r="D177" s="76">
        <v>12</v>
      </c>
      <c r="E177" s="69">
        <v>1E-3</v>
      </c>
    </row>
    <row r="178" spans="1:5" ht="16.5">
      <c r="A178" s="46"/>
      <c r="B178" s="124"/>
      <c r="C178" s="57" t="s">
        <v>159</v>
      </c>
      <c r="D178" s="76">
        <v>7</v>
      </c>
      <c r="E178" s="69">
        <v>1E-3</v>
      </c>
    </row>
    <row r="179" spans="1:5" ht="16.5">
      <c r="A179" s="46"/>
      <c r="B179" s="124"/>
      <c r="C179" s="57" t="s">
        <v>154</v>
      </c>
      <c r="D179" s="76">
        <v>4</v>
      </c>
      <c r="E179" s="69">
        <v>0</v>
      </c>
    </row>
    <row r="180" spans="1:5" ht="16.5">
      <c r="A180" s="46"/>
      <c r="B180" s="124"/>
      <c r="C180" s="57" t="s">
        <v>142</v>
      </c>
      <c r="D180" s="76">
        <v>3</v>
      </c>
      <c r="E180" s="69">
        <v>0</v>
      </c>
    </row>
    <row r="181" spans="1:5" ht="16.5">
      <c r="A181" s="46"/>
      <c r="B181" s="124"/>
      <c r="C181" s="57" t="s">
        <v>153</v>
      </c>
      <c r="D181" s="76">
        <v>2</v>
      </c>
      <c r="E181" s="69">
        <v>0</v>
      </c>
    </row>
    <row r="182" spans="1:5" ht="16.5">
      <c r="A182" s="46"/>
      <c r="B182" s="124"/>
      <c r="C182" s="57" t="s">
        <v>156</v>
      </c>
      <c r="D182" s="76">
        <v>2</v>
      </c>
      <c r="E182" s="69">
        <v>0</v>
      </c>
    </row>
    <row r="183" spans="1:5" ht="16.5">
      <c r="A183" s="46"/>
      <c r="B183" s="124"/>
      <c r="C183" s="57" t="s">
        <v>155</v>
      </c>
      <c r="D183" s="76">
        <v>1</v>
      </c>
      <c r="E183" s="69">
        <v>0</v>
      </c>
    </row>
    <row r="184" spans="1:5" ht="16.5">
      <c r="A184" s="46"/>
      <c r="B184" s="124"/>
      <c r="C184" s="57" t="s">
        <v>144</v>
      </c>
      <c r="D184" s="76">
        <v>1</v>
      </c>
      <c r="E184" s="69">
        <v>0</v>
      </c>
    </row>
    <row r="185" spans="1:5" ht="16.5">
      <c r="A185" s="46"/>
      <c r="B185" s="124"/>
      <c r="C185" s="57" t="s">
        <v>161</v>
      </c>
      <c r="D185" s="76">
        <v>1</v>
      </c>
      <c r="E185" s="69">
        <v>0</v>
      </c>
    </row>
    <row r="186" spans="1:5" ht="16.5">
      <c r="A186" s="46"/>
      <c r="B186" s="124"/>
      <c r="C186" s="73" t="s">
        <v>265</v>
      </c>
      <c r="D186" s="67">
        <v>121</v>
      </c>
      <c r="E186" s="72">
        <v>1.4E-2</v>
      </c>
    </row>
    <row r="187" spans="1:5" ht="16.5">
      <c r="A187" s="46"/>
      <c r="B187" s="124" t="s">
        <v>107</v>
      </c>
      <c r="C187" s="57" t="s">
        <v>149</v>
      </c>
      <c r="D187" s="76">
        <v>26</v>
      </c>
      <c r="E187" s="69">
        <v>3.0000000000000001E-3</v>
      </c>
    </row>
    <row r="188" spans="1:5" ht="16.5">
      <c r="A188" s="46"/>
      <c r="B188" s="124"/>
      <c r="C188" s="57" t="s">
        <v>147</v>
      </c>
      <c r="D188" s="76">
        <v>20</v>
      </c>
      <c r="E188" s="69">
        <v>2E-3</v>
      </c>
    </row>
    <row r="189" spans="1:5" ht="16.5">
      <c r="A189" s="46"/>
      <c r="B189" s="124"/>
      <c r="C189" s="57" t="s">
        <v>153</v>
      </c>
      <c r="D189" s="76">
        <v>17</v>
      </c>
      <c r="E189" s="69">
        <v>2E-3</v>
      </c>
    </row>
    <row r="190" spans="1:5" ht="16.5">
      <c r="A190" s="46"/>
      <c r="B190" s="124"/>
      <c r="C190" s="57" t="s">
        <v>143</v>
      </c>
      <c r="D190" s="76">
        <v>11</v>
      </c>
      <c r="E190" s="69">
        <v>1E-3</v>
      </c>
    </row>
    <row r="191" spans="1:5" ht="16.5">
      <c r="A191" s="46"/>
      <c r="B191" s="124"/>
      <c r="C191" s="57" t="s">
        <v>151</v>
      </c>
      <c r="D191" s="76">
        <v>5</v>
      </c>
      <c r="E191" s="69">
        <v>1E-3</v>
      </c>
    </row>
    <row r="192" spans="1:5" ht="16.5">
      <c r="A192" s="46"/>
      <c r="B192" s="124"/>
      <c r="C192" s="57" t="s">
        <v>142</v>
      </c>
      <c r="D192" s="76">
        <v>4</v>
      </c>
      <c r="E192" s="69">
        <v>0</v>
      </c>
    </row>
    <row r="193" spans="1:5" ht="16.5">
      <c r="A193" s="46"/>
      <c r="B193" s="124"/>
      <c r="C193" s="57" t="s">
        <v>155</v>
      </c>
      <c r="D193" s="76">
        <v>4</v>
      </c>
      <c r="E193" s="69">
        <v>0</v>
      </c>
    </row>
    <row r="194" spans="1:5" ht="16.5">
      <c r="A194" s="46"/>
      <c r="B194" s="124"/>
      <c r="C194" s="57" t="s">
        <v>146</v>
      </c>
      <c r="D194" s="76">
        <v>4</v>
      </c>
      <c r="E194" s="69">
        <v>0</v>
      </c>
    </row>
    <row r="195" spans="1:5" ht="16.5">
      <c r="A195" s="46"/>
      <c r="B195" s="124"/>
      <c r="C195" s="57" t="s">
        <v>150</v>
      </c>
      <c r="D195" s="76">
        <v>4</v>
      </c>
      <c r="E195" s="69">
        <v>0</v>
      </c>
    </row>
    <row r="196" spans="1:5" ht="16.5">
      <c r="A196" s="46"/>
      <c r="B196" s="124"/>
      <c r="C196" s="57" t="s">
        <v>154</v>
      </c>
      <c r="D196" s="76">
        <v>3</v>
      </c>
      <c r="E196" s="69">
        <v>0</v>
      </c>
    </row>
    <row r="197" spans="1:5" ht="16.5">
      <c r="A197" s="46"/>
      <c r="B197" s="124"/>
      <c r="C197" s="57" t="s">
        <v>157</v>
      </c>
      <c r="D197" s="76">
        <v>3</v>
      </c>
      <c r="E197" s="69">
        <v>0</v>
      </c>
    </row>
    <row r="198" spans="1:5" ht="16.5">
      <c r="A198" s="46"/>
      <c r="B198" s="124"/>
      <c r="C198" s="57" t="s">
        <v>159</v>
      </c>
      <c r="D198" s="76">
        <v>3</v>
      </c>
      <c r="E198" s="69">
        <v>0</v>
      </c>
    </row>
    <row r="199" spans="1:5" ht="16.5">
      <c r="A199" s="46"/>
      <c r="B199" s="124"/>
      <c r="C199" s="57" t="s">
        <v>152</v>
      </c>
      <c r="D199" s="76">
        <v>2</v>
      </c>
      <c r="E199" s="69">
        <v>0</v>
      </c>
    </row>
    <row r="200" spans="1:5" ht="16.5">
      <c r="A200" s="46"/>
      <c r="B200" s="124"/>
      <c r="C200" s="57" t="s">
        <v>156</v>
      </c>
      <c r="D200" s="76">
        <v>2</v>
      </c>
      <c r="E200" s="69">
        <v>0</v>
      </c>
    </row>
    <row r="201" spans="1:5" ht="16.5">
      <c r="A201" s="46"/>
      <c r="B201" s="124"/>
      <c r="C201" s="57" t="s">
        <v>160</v>
      </c>
      <c r="D201" s="76">
        <v>2</v>
      </c>
      <c r="E201" s="69">
        <v>0</v>
      </c>
    </row>
    <row r="202" spans="1:5" ht="16.5">
      <c r="A202" s="46"/>
      <c r="B202" s="124"/>
      <c r="C202" s="57" t="s">
        <v>144</v>
      </c>
      <c r="D202" s="76">
        <v>1</v>
      </c>
      <c r="E202" s="69">
        <v>0</v>
      </c>
    </row>
    <row r="203" spans="1:5" ht="16.5">
      <c r="A203" s="46"/>
      <c r="B203" s="124"/>
      <c r="C203" s="57" t="s">
        <v>145</v>
      </c>
      <c r="D203" s="76">
        <v>1</v>
      </c>
      <c r="E203" s="69">
        <v>0</v>
      </c>
    </row>
    <row r="204" spans="1:5" ht="16.5">
      <c r="A204" s="46"/>
      <c r="B204" s="124"/>
      <c r="C204" s="57" t="s">
        <v>158</v>
      </c>
      <c r="D204" s="76">
        <v>1</v>
      </c>
      <c r="E204" s="69">
        <v>0</v>
      </c>
    </row>
    <row r="205" spans="1:5" ht="16.5">
      <c r="A205" s="46"/>
      <c r="B205" s="124"/>
      <c r="C205" s="57" t="s">
        <v>161</v>
      </c>
      <c r="D205" s="76">
        <v>1</v>
      </c>
      <c r="E205" s="69">
        <v>0</v>
      </c>
    </row>
    <row r="206" spans="1:5" ht="16.5">
      <c r="A206" s="46"/>
      <c r="B206" s="124"/>
      <c r="C206" s="73" t="s">
        <v>265</v>
      </c>
      <c r="D206" s="67">
        <v>114</v>
      </c>
      <c r="E206" s="72">
        <v>1.4E-2</v>
      </c>
    </row>
    <row r="207" spans="1:5" ht="16.5">
      <c r="A207" s="46"/>
      <c r="B207" s="124" t="s">
        <v>130</v>
      </c>
      <c r="C207" s="57" t="s">
        <v>149</v>
      </c>
      <c r="D207" s="76">
        <v>24</v>
      </c>
      <c r="E207" s="69">
        <v>3.0000000000000001E-3</v>
      </c>
    </row>
    <row r="208" spans="1:5" ht="16.5">
      <c r="A208" s="46"/>
      <c r="B208" s="124"/>
      <c r="C208" s="57" t="s">
        <v>153</v>
      </c>
      <c r="D208" s="76">
        <v>15</v>
      </c>
      <c r="E208" s="69">
        <v>2E-3</v>
      </c>
    </row>
    <row r="209" spans="1:5" ht="16.5">
      <c r="A209" s="46"/>
      <c r="B209" s="124"/>
      <c r="C209" s="57" t="s">
        <v>154</v>
      </c>
      <c r="D209" s="76">
        <v>15</v>
      </c>
      <c r="E209" s="69">
        <v>2E-3</v>
      </c>
    </row>
    <row r="210" spans="1:5" ht="16.5">
      <c r="A210" s="46"/>
      <c r="B210" s="124"/>
      <c r="C210" s="57" t="s">
        <v>147</v>
      </c>
      <c r="D210" s="76">
        <v>8</v>
      </c>
      <c r="E210" s="69">
        <v>1E-3</v>
      </c>
    </row>
    <row r="211" spans="1:5" ht="16.5">
      <c r="A211" s="46"/>
      <c r="B211" s="124"/>
      <c r="C211" s="57" t="s">
        <v>150</v>
      </c>
      <c r="D211" s="76">
        <v>7</v>
      </c>
      <c r="E211" s="69">
        <v>1E-3</v>
      </c>
    </row>
    <row r="212" spans="1:5" ht="16.5">
      <c r="A212" s="46"/>
      <c r="B212" s="124"/>
      <c r="C212" s="57" t="s">
        <v>146</v>
      </c>
      <c r="D212" s="76">
        <v>5</v>
      </c>
      <c r="E212" s="69">
        <v>1E-3</v>
      </c>
    </row>
    <row r="213" spans="1:5" ht="16.5">
      <c r="A213" s="46"/>
      <c r="B213" s="124"/>
      <c r="C213" s="57" t="s">
        <v>152</v>
      </c>
      <c r="D213" s="76">
        <v>4</v>
      </c>
      <c r="E213" s="69">
        <v>0</v>
      </c>
    </row>
    <row r="214" spans="1:5" ht="16.5">
      <c r="A214" s="46"/>
      <c r="B214" s="124"/>
      <c r="C214" s="57" t="s">
        <v>156</v>
      </c>
      <c r="D214" s="76">
        <v>4</v>
      </c>
      <c r="E214" s="69">
        <v>0</v>
      </c>
    </row>
    <row r="215" spans="1:5" ht="16.5">
      <c r="A215" s="46"/>
      <c r="B215" s="124"/>
      <c r="C215" s="57" t="s">
        <v>159</v>
      </c>
      <c r="D215" s="76">
        <v>4</v>
      </c>
      <c r="E215" s="69">
        <v>0</v>
      </c>
    </row>
    <row r="216" spans="1:5" ht="16.5">
      <c r="A216" s="46"/>
      <c r="B216" s="124"/>
      <c r="C216" s="57" t="s">
        <v>151</v>
      </c>
      <c r="D216" s="76">
        <v>3</v>
      </c>
      <c r="E216" s="69">
        <v>0</v>
      </c>
    </row>
    <row r="217" spans="1:5" ht="16.5">
      <c r="A217" s="46"/>
      <c r="B217" s="124"/>
      <c r="C217" s="57" t="s">
        <v>144</v>
      </c>
      <c r="D217" s="76">
        <v>3</v>
      </c>
      <c r="E217" s="69">
        <v>0</v>
      </c>
    </row>
    <row r="218" spans="1:5" ht="16.5">
      <c r="A218" s="46"/>
      <c r="B218" s="124"/>
      <c r="C218" s="57" t="s">
        <v>145</v>
      </c>
      <c r="D218" s="76">
        <v>3</v>
      </c>
      <c r="E218" s="69">
        <v>0</v>
      </c>
    </row>
    <row r="219" spans="1:5" ht="16.5">
      <c r="A219" s="46"/>
      <c r="B219" s="124"/>
      <c r="C219" s="57" t="s">
        <v>157</v>
      </c>
      <c r="D219" s="76">
        <v>2</v>
      </c>
      <c r="E219" s="69">
        <v>0</v>
      </c>
    </row>
    <row r="220" spans="1:5" ht="16.5">
      <c r="A220" s="46"/>
      <c r="B220" s="124"/>
      <c r="C220" s="57" t="s">
        <v>158</v>
      </c>
      <c r="D220" s="76">
        <v>2</v>
      </c>
      <c r="E220" s="69">
        <v>0</v>
      </c>
    </row>
    <row r="221" spans="1:5" ht="16.5">
      <c r="A221" s="46"/>
      <c r="B221" s="124"/>
      <c r="C221" s="57" t="s">
        <v>148</v>
      </c>
      <c r="D221" s="76">
        <v>2</v>
      </c>
      <c r="E221" s="69">
        <v>0</v>
      </c>
    </row>
    <row r="222" spans="1:5" ht="16.5">
      <c r="A222" s="46"/>
      <c r="B222" s="124"/>
      <c r="C222" s="57" t="s">
        <v>160</v>
      </c>
      <c r="D222" s="76">
        <v>2</v>
      </c>
      <c r="E222" s="69">
        <v>0</v>
      </c>
    </row>
    <row r="223" spans="1:5" ht="16.5">
      <c r="A223" s="46"/>
      <c r="B223" s="124"/>
      <c r="C223" s="57" t="s">
        <v>142</v>
      </c>
      <c r="D223" s="76">
        <v>1</v>
      </c>
      <c r="E223" s="69">
        <v>0</v>
      </c>
    </row>
    <row r="224" spans="1:5" ht="16.5">
      <c r="A224" s="46"/>
      <c r="B224" s="124"/>
      <c r="C224" s="57" t="s">
        <v>155</v>
      </c>
      <c r="D224" s="76">
        <v>1</v>
      </c>
      <c r="E224" s="69">
        <v>0</v>
      </c>
    </row>
    <row r="225" spans="1:5" ht="16.5">
      <c r="A225" s="46"/>
      <c r="B225" s="124"/>
      <c r="C225" s="57" t="s">
        <v>161</v>
      </c>
      <c r="D225" s="76">
        <v>1</v>
      </c>
      <c r="E225" s="69">
        <v>0</v>
      </c>
    </row>
    <row r="226" spans="1:5" ht="16.5">
      <c r="A226" s="46"/>
      <c r="B226" s="124"/>
      <c r="C226" s="73" t="s">
        <v>265</v>
      </c>
      <c r="D226" s="67">
        <v>106</v>
      </c>
      <c r="E226" s="72">
        <v>1.2999999999999999E-2</v>
      </c>
    </row>
    <row r="227" spans="1:5" ht="16.5">
      <c r="A227" s="46"/>
      <c r="B227" s="124" t="s">
        <v>78</v>
      </c>
      <c r="C227" s="57" t="s">
        <v>153</v>
      </c>
      <c r="D227" s="76">
        <v>20</v>
      </c>
      <c r="E227" s="69">
        <v>2E-3</v>
      </c>
    </row>
    <row r="228" spans="1:5" ht="16.5">
      <c r="A228" s="46"/>
      <c r="B228" s="124"/>
      <c r="C228" s="57" t="s">
        <v>149</v>
      </c>
      <c r="D228" s="76">
        <v>20</v>
      </c>
      <c r="E228" s="69">
        <v>2E-3</v>
      </c>
    </row>
    <row r="229" spans="1:5" ht="16.5">
      <c r="A229" s="46"/>
      <c r="B229" s="124"/>
      <c r="C229" s="57" t="s">
        <v>147</v>
      </c>
      <c r="D229" s="76">
        <v>18</v>
      </c>
      <c r="E229" s="69">
        <v>2E-3</v>
      </c>
    </row>
    <row r="230" spans="1:5" ht="16.5">
      <c r="A230" s="46"/>
      <c r="B230" s="124"/>
      <c r="C230" s="57" t="s">
        <v>159</v>
      </c>
      <c r="D230" s="76">
        <v>9</v>
      </c>
      <c r="E230" s="69">
        <v>1E-3</v>
      </c>
    </row>
    <row r="231" spans="1:5" ht="16.5">
      <c r="A231" s="46"/>
      <c r="B231" s="124"/>
      <c r="C231" s="57" t="s">
        <v>157</v>
      </c>
      <c r="D231" s="76">
        <v>5</v>
      </c>
      <c r="E231" s="69">
        <v>1E-3</v>
      </c>
    </row>
    <row r="232" spans="1:5" ht="16.5">
      <c r="A232" s="46"/>
      <c r="B232" s="124"/>
      <c r="C232" s="57" t="s">
        <v>151</v>
      </c>
      <c r="D232" s="76">
        <v>4</v>
      </c>
      <c r="E232" s="69">
        <v>0</v>
      </c>
    </row>
    <row r="233" spans="1:5" ht="16.5">
      <c r="A233" s="46"/>
      <c r="B233" s="124"/>
      <c r="C233" s="57" t="s">
        <v>152</v>
      </c>
      <c r="D233" s="76">
        <v>4</v>
      </c>
      <c r="E233" s="69">
        <v>0</v>
      </c>
    </row>
    <row r="234" spans="1:5" ht="16.5">
      <c r="A234" s="46"/>
      <c r="B234" s="124"/>
      <c r="C234" s="57" t="s">
        <v>142</v>
      </c>
      <c r="D234" s="76">
        <v>3</v>
      </c>
      <c r="E234" s="69">
        <v>0</v>
      </c>
    </row>
    <row r="235" spans="1:5" ht="16.5">
      <c r="A235" s="46"/>
      <c r="B235" s="124"/>
      <c r="C235" s="57" t="s">
        <v>154</v>
      </c>
      <c r="D235" s="76">
        <v>3</v>
      </c>
      <c r="E235" s="69">
        <v>0</v>
      </c>
    </row>
    <row r="236" spans="1:5" ht="16.5">
      <c r="A236" s="46"/>
      <c r="B236" s="124"/>
      <c r="C236" s="57" t="s">
        <v>158</v>
      </c>
      <c r="D236" s="76">
        <v>3</v>
      </c>
      <c r="E236" s="69">
        <v>0</v>
      </c>
    </row>
    <row r="237" spans="1:5" ht="16.5">
      <c r="A237" s="46"/>
      <c r="B237" s="124"/>
      <c r="C237" s="57" t="s">
        <v>148</v>
      </c>
      <c r="D237" s="76">
        <v>3</v>
      </c>
      <c r="E237" s="69">
        <v>0</v>
      </c>
    </row>
    <row r="238" spans="1:5" ht="16.5">
      <c r="A238" s="46"/>
      <c r="B238" s="124"/>
      <c r="C238" s="57" t="s">
        <v>160</v>
      </c>
      <c r="D238" s="76">
        <v>3</v>
      </c>
      <c r="E238" s="69">
        <v>0</v>
      </c>
    </row>
    <row r="239" spans="1:5" ht="16.5">
      <c r="A239" s="46"/>
      <c r="B239" s="124"/>
      <c r="C239" s="57" t="s">
        <v>146</v>
      </c>
      <c r="D239" s="76">
        <v>1</v>
      </c>
      <c r="E239" s="69">
        <v>0</v>
      </c>
    </row>
    <row r="240" spans="1:5" ht="16.5">
      <c r="A240" s="46"/>
      <c r="B240" s="124"/>
      <c r="C240" s="57" t="s">
        <v>150</v>
      </c>
      <c r="D240" s="76">
        <v>1</v>
      </c>
      <c r="E240" s="69">
        <v>0</v>
      </c>
    </row>
    <row r="241" spans="1:5" ht="16.5">
      <c r="A241" s="46"/>
      <c r="B241" s="124"/>
      <c r="C241" s="73" t="s">
        <v>265</v>
      </c>
      <c r="D241" s="67">
        <v>97</v>
      </c>
      <c r="E241" s="72">
        <v>1.2E-2</v>
      </c>
    </row>
    <row r="242" spans="1:5" ht="16.5">
      <c r="A242" s="46"/>
      <c r="B242" s="124" t="s">
        <v>105</v>
      </c>
      <c r="C242" s="57" t="s">
        <v>144</v>
      </c>
      <c r="D242" s="76">
        <v>19</v>
      </c>
      <c r="E242" s="69">
        <v>2E-3</v>
      </c>
    </row>
    <row r="243" spans="1:5" ht="16.5">
      <c r="A243" s="46"/>
      <c r="B243" s="124"/>
      <c r="C243" s="57" t="s">
        <v>149</v>
      </c>
      <c r="D243" s="76">
        <v>14</v>
      </c>
      <c r="E243" s="69">
        <v>2E-3</v>
      </c>
    </row>
    <row r="244" spans="1:5" ht="16.5">
      <c r="A244" s="46"/>
      <c r="B244" s="124"/>
      <c r="C244" s="57" t="s">
        <v>153</v>
      </c>
      <c r="D244" s="76">
        <v>7</v>
      </c>
      <c r="E244" s="69">
        <v>1E-3</v>
      </c>
    </row>
    <row r="245" spans="1:5" ht="16.5">
      <c r="A245" s="46"/>
      <c r="B245" s="124"/>
      <c r="C245" s="57" t="s">
        <v>159</v>
      </c>
      <c r="D245" s="76">
        <v>7</v>
      </c>
      <c r="E245" s="69">
        <v>1E-3</v>
      </c>
    </row>
    <row r="246" spans="1:5" ht="16.5">
      <c r="A246" s="46"/>
      <c r="B246" s="124"/>
      <c r="C246" s="57" t="s">
        <v>147</v>
      </c>
      <c r="D246" s="76">
        <v>7</v>
      </c>
      <c r="E246" s="69">
        <v>1E-3</v>
      </c>
    </row>
    <row r="247" spans="1:5" ht="16.5">
      <c r="A247" s="46"/>
      <c r="B247" s="124"/>
      <c r="C247" s="57" t="s">
        <v>156</v>
      </c>
      <c r="D247" s="76">
        <v>6</v>
      </c>
      <c r="E247" s="69">
        <v>1E-3</v>
      </c>
    </row>
    <row r="248" spans="1:5" ht="16.5">
      <c r="A248" s="46"/>
      <c r="B248" s="124"/>
      <c r="C248" s="57" t="s">
        <v>142</v>
      </c>
      <c r="D248" s="76">
        <v>5</v>
      </c>
      <c r="E248" s="69">
        <v>1E-3</v>
      </c>
    </row>
    <row r="249" spans="1:5" ht="16.5">
      <c r="A249" s="46"/>
      <c r="B249" s="124"/>
      <c r="C249" s="57" t="s">
        <v>145</v>
      </c>
      <c r="D249" s="76">
        <v>5</v>
      </c>
      <c r="E249" s="69">
        <v>1E-3</v>
      </c>
    </row>
    <row r="250" spans="1:5" ht="16.5">
      <c r="A250" s="46"/>
      <c r="B250" s="124"/>
      <c r="C250" s="57" t="s">
        <v>151</v>
      </c>
      <c r="D250" s="76">
        <v>3</v>
      </c>
      <c r="E250" s="69">
        <v>0</v>
      </c>
    </row>
    <row r="251" spans="1:5" ht="16.5">
      <c r="A251" s="46"/>
      <c r="B251" s="124"/>
      <c r="C251" s="57" t="s">
        <v>152</v>
      </c>
      <c r="D251" s="76">
        <v>3</v>
      </c>
      <c r="E251" s="69">
        <v>0</v>
      </c>
    </row>
    <row r="252" spans="1:5" ht="16.5">
      <c r="A252" s="46"/>
      <c r="B252" s="124"/>
      <c r="C252" s="57" t="s">
        <v>146</v>
      </c>
      <c r="D252" s="76">
        <v>3</v>
      </c>
      <c r="E252" s="69">
        <v>0</v>
      </c>
    </row>
    <row r="253" spans="1:5" ht="16.5">
      <c r="A253" s="46"/>
      <c r="B253" s="124"/>
      <c r="C253" s="57" t="s">
        <v>154</v>
      </c>
      <c r="D253" s="76">
        <v>2</v>
      </c>
      <c r="E253" s="69">
        <v>0</v>
      </c>
    </row>
    <row r="254" spans="1:5" ht="16.5">
      <c r="A254" s="46"/>
      <c r="B254" s="124"/>
      <c r="C254" s="57" t="s">
        <v>157</v>
      </c>
      <c r="D254" s="76">
        <v>2</v>
      </c>
      <c r="E254" s="69">
        <v>0</v>
      </c>
    </row>
    <row r="255" spans="1:5" ht="16.5">
      <c r="A255" s="46"/>
      <c r="B255" s="124"/>
      <c r="C255" s="57" t="s">
        <v>150</v>
      </c>
      <c r="D255" s="76">
        <v>2</v>
      </c>
      <c r="E255" s="69">
        <v>0</v>
      </c>
    </row>
    <row r="256" spans="1:5" ht="16.5">
      <c r="A256" s="46"/>
      <c r="B256" s="124"/>
      <c r="C256" s="57" t="s">
        <v>235</v>
      </c>
      <c r="D256" s="76">
        <v>1</v>
      </c>
      <c r="E256" s="69">
        <v>0</v>
      </c>
    </row>
    <row r="257" spans="1:5" ht="16.5">
      <c r="A257" s="46"/>
      <c r="B257" s="124"/>
      <c r="C257" s="57" t="s">
        <v>158</v>
      </c>
      <c r="D257" s="76">
        <v>1</v>
      </c>
      <c r="E257" s="69">
        <v>0</v>
      </c>
    </row>
    <row r="258" spans="1:5" ht="16.5">
      <c r="A258" s="46"/>
      <c r="B258" s="124"/>
      <c r="C258" s="57" t="s">
        <v>161</v>
      </c>
      <c r="D258" s="76">
        <v>1</v>
      </c>
      <c r="E258" s="69">
        <v>0</v>
      </c>
    </row>
    <row r="259" spans="1:5" ht="16.5">
      <c r="A259" s="46"/>
      <c r="B259" s="124"/>
      <c r="C259" s="57" t="s">
        <v>160</v>
      </c>
      <c r="D259" s="76">
        <v>1</v>
      </c>
      <c r="E259" s="69">
        <v>0</v>
      </c>
    </row>
    <row r="260" spans="1:5" ht="16.5">
      <c r="A260" s="46"/>
      <c r="B260" s="124"/>
      <c r="C260" s="73" t="s">
        <v>265</v>
      </c>
      <c r="D260" s="67">
        <v>89</v>
      </c>
      <c r="E260" s="72">
        <v>1.0999999999999999E-2</v>
      </c>
    </row>
    <row r="261" spans="1:5" ht="16.5">
      <c r="A261" s="46"/>
      <c r="B261" s="124" t="s">
        <v>104</v>
      </c>
      <c r="C261" s="57" t="s">
        <v>149</v>
      </c>
      <c r="D261" s="76">
        <v>22</v>
      </c>
      <c r="E261" s="69">
        <v>3.0000000000000001E-3</v>
      </c>
    </row>
    <row r="262" spans="1:5" ht="16.5">
      <c r="A262" s="46"/>
      <c r="B262" s="124"/>
      <c r="C262" s="57" t="s">
        <v>153</v>
      </c>
      <c r="D262" s="76">
        <v>21</v>
      </c>
      <c r="E262" s="69">
        <v>3.0000000000000001E-3</v>
      </c>
    </row>
    <row r="263" spans="1:5" ht="16.5">
      <c r="A263" s="46"/>
      <c r="B263" s="124"/>
      <c r="C263" s="57" t="s">
        <v>147</v>
      </c>
      <c r="D263" s="76">
        <v>10</v>
      </c>
      <c r="E263" s="69">
        <v>1E-3</v>
      </c>
    </row>
    <row r="264" spans="1:5" ht="16.5">
      <c r="A264" s="46"/>
      <c r="B264" s="124"/>
      <c r="C264" s="57" t="s">
        <v>156</v>
      </c>
      <c r="D264" s="76">
        <v>6</v>
      </c>
      <c r="E264" s="69">
        <v>1E-3</v>
      </c>
    </row>
    <row r="265" spans="1:5" ht="16.5">
      <c r="A265" s="46"/>
      <c r="B265" s="124"/>
      <c r="C265" s="57" t="s">
        <v>159</v>
      </c>
      <c r="D265" s="76">
        <v>5</v>
      </c>
      <c r="E265" s="69">
        <v>1E-3</v>
      </c>
    </row>
    <row r="266" spans="1:5" ht="16.5">
      <c r="A266" s="46"/>
      <c r="B266" s="124"/>
      <c r="C266" s="57" t="s">
        <v>157</v>
      </c>
      <c r="D266" s="76">
        <v>3</v>
      </c>
      <c r="E266" s="69">
        <v>0</v>
      </c>
    </row>
    <row r="267" spans="1:5" ht="16.5">
      <c r="A267" s="46"/>
      <c r="B267" s="124"/>
      <c r="C267" s="57" t="s">
        <v>146</v>
      </c>
      <c r="D267" s="76">
        <v>3</v>
      </c>
      <c r="E267" s="69">
        <v>0</v>
      </c>
    </row>
    <row r="268" spans="1:5" ht="16.5">
      <c r="A268" s="46"/>
      <c r="B268" s="124"/>
      <c r="C268" s="57" t="s">
        <v>143</v>
      </c>
      <c r="D268" s="76">
        <v>2</v>
      </c>
      <c r="E268" s="69">
        <v>0</v>
      </c>
    </row>
    <row r="269" spans="1:5" ht="16.5">
      <c r="A269" s="46"/>
      <c r="B269" s="124"/>
      <c r="C269" s="57" t="s">
        <v>152</v>
      </c>
      <c r="D269" s="76">
        <v>2</v>
      </c>
      <c r="E269" s="69">
        <v>0</v>
      </c>
    </row>
    <row r="270" spans="1:5" ht="16.5">
      <c r="A270" s="46"/>
      <c r="B270" s="124"/>
      <c r="C270" s="57" t="s">
        <v>158</v>
      </c>
      <c r="D270" s="76">
        <v>2</v>
      </c>
      <c r="E270" s="69">
        <v>0</v>
      </c>
    </row>
    <row r="271" spans="1:5" ht="16.5">
      <c r="A271" s="46"/>
      <c r="B271" s="124"/>
      <c r="C271" s="57" t="s">
        <v>150</v>
      </c>
      <c r="D271" s="76">
        <v>2</v>
      </c>
      <c r="E271" s="69">
        <v>0</v>
      </c>
    </row>
    <row r="272" spans="1:5" ht="16.5">
      <c r="A272" s="46"/>
      <c r="B272" s="124"/>
      <c r="C272" s="57" t="s">
        <v>142</v>
      </c>
      <c r="D272" s="76">
        <v>1</v>
      </c>
      <c r="E272" s="69">
        <v>0</v>
      </c>
    </row>
    <row r="273" spans="1:5" ht="16.5">
      <c r="A273" s="46"/>
      <c r="B273" s="124"/>
      <c r="C273" s="57" t="s">
        <v>155</v>
      </c>
      <c r="D273" s="76">
        <v>1</v>
      </c>
      <c r="E273" s="69">
        <v>0</v>
      </c>
    </row>
    <row r="274" spans="1:5" ht="16.5">
      <c r="A274" s="46"/>
      <c r="B274" s="124"/>
      <c r="C274" s="57" t="s">
        <v>145</v>
      </c>
      <c r="D274" s="76">
        <v>1</v>
      </c>
      <c r="E274" s="69">
        <v>0</v>
      </c>
    </row>
    <row r="275" spans="1:5" ht="16.5">
      <c r="A275" s="46"/>
      <c r="B275" s="124"/>
      <c r="C275" s="73" t="s">
        <v>265</v>
      </c>
      <c r="D275" s="67">
        <v>81</v>
      </c>
      <c r="E275" s="72">
        <v>0.01</v>
      </c>
    </row>
    <row r="276" spans="1:5" ht="16.5">
      <c r="A276" s="46"/>
      <c r="B276" s="124" t="s">
        <v>129</v>
      </c>
      <c r="C276" s="57" t="s">
        <v>149</v>
      </c>
      <c r="D276" s="76">
        <v>21</v>
      </c>
      <c r="E276" s="69">
        <v>3.0000000000000001E-3</v>
      </c>
    </row>
    <row r="277" spans="1:5" ht="16.5">
      <c r="A277" s="46"/>
      <c r="B277" s="124"/>
      <c r="C277" s="57" t="s">
        <v>147</v>
      </c>
      <c r="D277" s="76">
        <v>7</v>
      </c>
      <c r="E277" s="69">
        <v>1E-3</v>
      </c>
    </row>
    <row r="278" spans="1:5" ht="16.5">
      <c r="A278" s="46"/>
      <c r="B278" s="124"/>
      <c r="C278" s="57" t="s">
        <v>150</v>
      </c>
      <c r="D278" s="76">
        <v>6</v>
      </c>
      <c r="E278" s="69">
        <v>1E-3</v>
      </c>
    </row>
    <row r="279" spans="1:5" ht="16.5">
      <c r="A279" s="46"/>
      <c r="B279" s="124"/>
      <c r="C279" s="57" t="s">
        <v>153</v>
      </c>
      <c r="D279" s="76">
        <v>5</v>
      </c>
      <c r="E279" s="69">
        <v>1E-3</v>
      </c>
    </row>
    <row r="280" spans="1:5" ht="16.5">
      <c r="A280" s="46"/>
      <c r="B280" s="124"/>
      <c r="C280" s="57" t="s">
        <v>159</v>
      </c>
      <c r="D280" s="76">
        <v>5</v>
      </c>
      <c r="E280" s="69">
        <v>1E-3</v>
      </c>
    </row>
    <row r="281" spans="1:5" ht="16.5">
      <c r="A281" s="46"/>
      <c r="B281" s="124"/>
      <c r="C281" s="57" t="s">
        <v>158</v>
      </c>
      <c r="D281" s="76">
        <v>4</v>
      </c>
      <c r="E281" s="69">
        <v>0</v>
      </c>
    </row>
    <row r="282" spans="1:5" ht="16.5">
      <c r="A282" s="46"/>
      <c r="B282" s="124"/>
      <c r="C282" s="57" t="s">
        <v>142</v>
      </c>
      <c r="D282" s="76">
        <v>3</v>
      </c>
      <c r="E282" s="69">
        <v>0</v>
      </c>
    </row>
    <row r="283" spans="1:5" ht="16.5">
      <c r="A283" s="46"/>
      <c r="B283" s="124"/>
      <c r="C283" s="57" t="s">
        <v>157</v>
      </c>
      <c r="D283" s="76">
        <v>3</v>
      </c>
      <c r="E283" s="69">
        <v>0</v>
      </c>
    </row>
    <row r="284" spans="1:5" ht="16.5">
      <c r="A284" s="46"/>
      <c r="B284" s="124"/>
      <c r="C284" s="57" t="s">
        <v>161</v>
      </c>
      <c r="D284" s="76">
        <v>3</v>
      </c>
      <c r="E284" s="69">
        <v>0</v>
      </c>
    </row>
    <row r="285" spans="1:5" ht="16.5">
      <c r="A285" s="46"/>
      <c r="B285" s="124"/>
      <c r="C285" s="57" t="s">
        <v>148</v>
      </c>
      <c r="D285" s="76">
        <v>3</v>
      </c>
      <c r="E285" s="69">
        <v>0</v>
      </c>
    </row>
    <row r="286" spans="1:5" ht="16.5">
      <c r="A286" s="46"/>
      <c r="B286" s="124"/>
      <c r="C286" s="57" t="s">
        <v>143</v>
      </c>
      <c r="D286" s="76">
        <v>2</v>
      </c>
      <c r="E286" s="69">
        <v>0</v>
      </c>
    </row>
    <row r="287" spans="1:5" ht="16.5">
      <c r="A287" s="46"/>
      <c r="B287" s="124"/>
      <c r="C287" s="57" t="s">
        <v>156</v>
      </c>
      <c r="D287" s="76">
        <v>2</v>
      </c>
      <c r="E287" s="69">
        <v>0</v>
      </c>
    </row>
    <row r="288" spans="1:5" ht="16.5">
      <c r="A288" s="46"/>
      <c r="B288" s="124"/>
      <c r="C288" s="57" t="s">
        <v>145</v>
      </c>
      <c r="D288" s="76">
        <v>2</v>
      </c>
      <c r="E288" s="69">
        <v>0</v>
      </c>
    </row>
    <row r="289" spans="1:5" ht="16.5">
      <c r="A289" s="46"/>
      <c r="B289" s="124"/>
      <c r="C289" s="57" t="s">
        <v>146</v>
      </c>
      <c r="D289" s="76">
        <v>2</v>
      </c>
      <c r="E289" s="69">
        <v>0</v>
      </c>
    </row>
    <row r="290" spans="1:5" ht="16.5">
      <c r="A290" s="46"/>
      <c r="B290" s="124"/>
      <c r="C290" s="57" t="s">
        <v>155</v>
      </c>
      <c r="D290" s="76">
        <v>1</v>
      </c>
      <c r="E290" s="69">
        <v>0</v>
      </c>
    </row>
    <row r="291" spans="1:5" ht="16.5">
      <c r="A291" s="46"/>
      <c r="B291" s="124"/>
      <c r="C291" s="57" t="s">
        <v>144</v>
      </c>
      <c r="D291" s="76">
        <v>1</v>
      </c>
      <c r="E291" s="69">
        <v>0</v>
      </c>
    </row>
    <row r="292" spans="1:5" ht="16.5">
      <c r="A292" s="46"/>
      <c r="B292" s="124"/>
      <c r="C292" s="73" t="s">
        <v>265</v>
      </c>
      <c r="D292" s="67">
        <v>70</v>
      </c>
      <c r="E292" s="72">
        <v>8.0000000000000002E-3</v>
      </c>
    </row>
    <row r="293" spans="1:5" ht="16.5">
      <c r="A293" s="46"/>
      <c r="B293" s="124" t="s">
        <v>109</v>
      </c>
      <c r="C293" s="57" t="s">
        <v>149</v>
      </c>
      <c r="D293" s="76">
        <v>21</v>
      </c>
      <c r="E293" s="69">
        <v>3.0000000000000001E-3</v>
      </c>
    </row>
    <row r="294" spans="1:5" ht="16.5">
      <c r="A294" s="46"/>
      <c r="B294" s="124"/>
      <c r="C294" s="57" t="s">
        <v>147</v>
      </c>
      <c r="D294" s="76">
        <v>19</v>
      </c>
      <c r="E294" s="69">
        <v>2E-3</v>
      </c>
    </row>
    <row r="295" spans="1:5" ht="16.5">
      <c r="A295" s="46"/>
      <c r="B295" s="124"/>
      <c r="C295" s="57" t="s">
        <v>153</v>
      </c>
      <c r="D295" s="76">
        <v>7</v>
      </c>
      <c r="E295" s="69">
        <v>1E-3</v>
      </c>
    </row>
    <row r="296" spans="1:5" ht="16.5">
      <c r="A296" s="46"/>
      <c r="B296" s="124"/>
      <c r="C296" s="57" t="s">
        <v>150</v>
      </c>
      <c r="D296" s="76">
        <v>5</v>
      </c>
      <c r="E296" s="69">
        <v>1E-3</v>
      </c>
    </row>
    <row r="297" spans="1:5" ht="16.5">
      <c r="A297" s="46"/>
      <c r="B297" s="124"/>
      <c r="C297" s="57" t="s">
        <v>159</v>
      </c>
      <c r="D297" s="76">
        <v>3</v>
      </c>
      <c r="E297" s="69">
        <v>0</v>
      </c>
    </row>
    <row r="298" spans="1:5" ht="16.5">
      <c r="A298" s="46"/>
      <c r="B298" s="124"/>
      <c r="C298" s="57" t="s">
        <v>146</v>
      </c>
      <c r="D298" s="76">
        <v>3</v>
      </c>
      <c r="E298" s="69">
        <v>0</v>
      </c>
    </row>
    <row r="299" spans="1:5" ht="16.5">
      <c r="A299" s="46"/>
      <c r="B299" s="124"/>
      <c r="C299" s="57" t="s">
        <v>155</v>
      </c>
      <c r="D299" s="76">
        <v>2</v>
      </c>
      <c r="E299" s="69">
        <v>0</v>
      </c>
    </row>
    <row r="300" spans="1:5" ht="16.5">
      <c r="A300" s="46"/>
      <c r="B300" s="124"/>
      <c r="C300" s="57" t="s">
        <v>148</v>
      </c>
      <c r="D300" s="76">
        <v>2</v>
      </c>
      <c r="E300" s="69">
        <v>0</v>
      </c>
    </row>
    <row r="301" spans="1:5" ht="16.5">
      <c r="A301" s="46"/>
      <c r="B301" s="124"/>
      <c r="C301" s="57" t="s">
        <v>151</v>
      </c>
      <c r="D301" s="76">
        <v>1</v>
      </c>
      <c r="E301" s="69">
        <v>0</v>
      </c>
    </row>
    <row r="302" spans="1:5" ht="16.5">
      <c r="A302" s="46"/>
      <c r="B302" s="124"/>
      <c r="C302" s="57" t="s">
        <v>144</v>
      </c>
      <c r="D302" s="76">
        <v>1</v>
      </c>
      <c r="E302" s="69">
        <v>0</v>
      </c>
    </row>
    <row r="303" spans="1:5" ht="16.5">
      <c r="A303" s="46"/>
      <c r="B303" s="124"/>
      <c r="C303" s="73" t="s">
        <v>265</v>
      </c>
      <c r="D303" s="67">
        <v>64</v>
      </c>
      <c r="E303" s="72">
        <v>8.0000000000000002E-3</v>
      </c>
    </row>
    <row r="304" spans="1:5" ht="16.5">
      <c r="A304" s="46"/>
      <c r="B304" s="124" t="s">
        <v>134</v>
      </c>
      <c r="C304" s="57" t="s">
        <v>149</v>
      </c>
      <c r="D304" s="76">
        <v>16</v>
      </c>
      <c r="E304" s="69">
        <v>2E-3</v>
      </c>
    </row>
    <row r="305" spans="1:5" ht="16.5">
      <c r="A305" s="46"/>
      <c r="B305" s="124"/>
      <c r="C305" s="57" t="s">
        <v>157</v>
      </c>
      <c r="D305" s="76">
        <v>13</v>
      </c>
      <c r="E305" s="69">
        <v>2E-3</v>
      </c>
    </row>
    <row r="306" spans="1:5" ht="16.5">
      <c r="A306" s="46"/>
      <c r="B306" s="124"/>
      <c r="C306" s="57" t="s">
        <v>147</v>
      </c>
      <c r="D306" s="76">
        <v>6</v>
      </c>
      <c r="E306" s="69">
        <v>1E-3</v>
      </c>
    </row>
    <row r="307" spans="1:5" ht="16.5">
      <c r="A307" s="46"/>
      <c r="B307" s="124"/>
      <c r="C307" s="57" t="s">
        <v>159</v>
      </c>
      <c r="D307" s="76">
        <v>5</v>
      </c>
      <c r="E307" s="69">
        <v>1E-3</v>
      </c>
    </row>
    <row r="308" spans="1:5" ht="16.5">
      <c r="A308" s="46"/>
      <c r="B308" s="124"/>
      <c r="C308" s="57" t="s">
        <v>158</v>
      </c>
      <c r="D308" s="76">
        <v>4</v>
      </c>
      <c r="E308" s="69">
        <v>0</v>
      </c>
    </row>
    <row r="309" spans="1:5" ht="16.5">
      <c r="A309" s="46"/>
      <c r="B309" s="124"/>
      <c r="C309" s="57" t="s">
        <v>142</v>
      </c>
      <c r="D309" s="76">
        <v>3</v>
      </c>
      <c r="E309" s="69">
        <v>0</v>
      </c>
    </row>
    <row r="310" spans="1:5" ht="16.5">
      <c r="A310" s="46"/>
      <c r="B310" s="124"/>
      <c r="C310" s="57" t="s">
        <v>146</v>
      </c>
      <c r="D310" s="76">
        <v>3</v>
      </c>
      <c r="E310" s="69">
        <v>0</v>
      </c>
    </row>
    <row r="311" spans="1:5" ht="16.5">
      <c r="A311" s="46"/>
      <c r="B311" s="124"/>
      <c r="C311" s="57" t="s">
        <v>150</v>
      </c>
      <c r="D311" s="76">
        <v>2</v>
      </c>
      <c r="E311" s="69">
        <v>0</v>
      </c>
    </row>
    <row r="312" spans="1:5" ht="16.5">
      <c r="A312" s="46"/>
      <c r="B312" s="124"/>
      <c r="C312" s="57" t="s">
        <v>160</v>
      </c>
      <c r="D312" s="76">
        <v>2</v>
      </c>
      <c r="E312" s="69">
        <v>0</v>
      </c>
    </row>
    <row r="313" spans="1:5" ht="16.5">
      <c r="A313" s="46"/>
      <c r="B313" s="124"/>
      <c r="C313" s="57" t="s">
        <v>154</v>
      </c>
      <c r="D313" s="76">
        <v>1</v>
      </c>
      <c r="E313" s="69">
        <v>0</v>
      </c>
    </row>
    <row r="314" spans="1:5" ht="16.5">
      <c r="A314" s="46"/>
      <c r="B314" s="124"/>
      <c r="C314" s="57" t="s">
        <v>145</v>
      </c>
      <c r="D314" s="76">
        <v>1</v>
      </c>
      <c r="E314" s="69">
        <v>0</v>
      </c>
    </row>
    <row r="315" spans="1:5" ht="16.5">
      <c r="A315" s="46"/>
      <c r="B315" s="124"/>
      <c r="C315" s="57" t="s">
        <v>161</v>
      </c>
      <c r="D315" s="76">
        <v>1</v>
      </c>
      <c r="E315" s="69">
        <v>0</v>
      </c>
    </row>
    <row r="316" spans="1:5" ht="16.5">
      <c r="A316" s="46"/>
      <c r="B316" s="124"/>
      <c r="C316" s="73" t="s">
        <v>265</v>
      </c>
      <c r="D316" s="67">
        <v>57</v>
      </c>
      <c r="E316" s="72">
        <v>7.0000000000000001E-3</v>
      </c>
    </row>
    <row r="317" spans="1:5" ht="16.5">
      <c r="A317" s="46"/>
      <c r="B317" s="124" t="s">
        <v>112</v>
      </c>
      <c r="C317" s="57" t="s">
        <v>147</v>
      </c>
      <c r="D317" s="76">
        <v>19</v>
      </c>
      <c r="E317" s="69">
        <v>2E-3</v>
      </c>
    </row>
    <row r="318" spans="1:5" ht="16.5">
      <c r="A318" s="46"/>
      <c r="B318" s="124"/>
      <c r="C318" s="57" t="s">
        <v>149</v>
      </c>
      <c r="D318" s="76">
        <v>11</v>
      </c>
      <c r="E318" s="69">
        <v>1E-3</v>
      </c>
    </row>
    <row r="319" spans="1:5" ht="16.5">
      <c r="A319" s="46"/>
      <c r="B319" s="124"/>
      <c r="C319" s="57" t="s">
        <v>150</v>
      </c>
      <c r="D319" s="76">
        <v>7</v>
      </c>
      <c r="E319" s="69">
        <v>1E-3</v>
      </c>
    </row>
    <row r="320" spans="1:5" ht="16.5">
      <c r="A320" s="46"/>
      <c r="B320" s="124"/>
      <c r="C320" s="57" t="s">
        <v>157</v>
      </c>
      <c r="D320" s="76">
        <v>6</v>
      </c>
      <c r="E320" s="69">
        <v>1E-3</v>
      </c>
    </row>
    <row r="321" spans="1:5" ht="16.5">
      <c r="A321" s="46"/>
      <c r="B321" s="124"/>
      <c r="C321" s="57" t="s">
        <v>158</v>
      </c>
      <c r="D321" s="76">
        <v>4</v>
      </c>
      <c r="E321" s="69">
        <v>0</v>
      </c>
    </row>
    <row r="322" spans="1:5" ht="16.5">
      <c r="A322" s="46"/>
      <c r="B322" s="124"/>
      <c r="C322" s="57" t="s">
        <v>153</v>
      </c>
      <c r="D322" s="76">
        <v>2</v>
      </c>
      <c r="E322" s="69">
        <v>0</v>
      </c>
    </row>
    <row r="323" spans="1:5" ht="16.5">
      <c r="A323" s="46"/>
      <c r="B323" s="124"/>
      <c r="C323" s="57" t="s">
        <v>145</v>
      </c>
      <c r="D323" s="76">
        <v>2</v>
      </c>
      <c r="E323" s="69">
        <v>0</v>
      </c>
    </row>
    <row r="324" spans="1:5" ht="16.5">
      <c r="A324" s="46"/>
      <c r="B324" s="124"/>
      <c r="C324" s="57" t="s">
        <v>154</v>
      </c>
      <c r="D324" s="76">
        <v>1</v>
      </c>
      <c r="E324" s="69">
        <v>0</v>
      </c>
    </row>
    <row r="325" spans="1:5" ht="16.5">
      <c r="A325" s="46"/>
      <c r="B325" s="124"/>
      <c r="C325" s="57" t="s">
        <v>144</v>
      </c>
      <c r="D325" s="76">
        <v>1</v>
      </c>
      <c r="E325" s="69">
        <v>0</v>
      </c>
    </row>
    <row r="326" spans="1:5" ht="16.5">
      <c r="A326" s="46"/>
      <c r="B326" s="124"/>
      <c r="C326" s="57" t="s">
        <v>159</v>
      </c>
      <c r="D326" s="76">
        <v>1</v>
      </c>
      <c r="E326" s="69">
        <v>0</v>
      </c>
    </row>
    <row r="327" spans="1:5" ht="16.5">
      <c r="A327" s="46"/>
      <c r="B327" s="124"/>
      <c r="C327" s="57" t="s">
        <v>148</v>
      </c>
      <c r="D327" s="76">
        <v>1</v>
      </c>
      <c r="E327" s="69">
        <v>0</v>
      </c>
    </row>
    <row r="328" spans="1:5" ht="16.5">
      <c r="A328" s="46"/>
      <c r="B328" s="124"/>
      <c r="C328" s="73" t="s">
        <v>265</v>
      </c>
      <c r="D328" s="67">
        <v>55</v>
      </c>
      <c r="E328" s="72">
        <v>7.0000000000000001E-3</v>
      </c>
    </row>
    <row r="329" spans="1:5" ht="16.5">
      <c r="A329" s="46"/>
      <c r="B329" s="124" t="s">
        <v>132</v>
      </c>
      <c r="C329" s="57" t="s">
        <v>156</v>
      </c>
      <c r="D329" s="76">
        <v>13</v>
      </c>
      <c r="E329" s="69">
        <v>2E-3</v>
      </c>
    </row>
    <row r="330" spans="1:5" ht="16.5">
      <c r="A330" s="46"/>
      <c r="B330" s="124"/>
      <c r="C330" s="57" t="s">
        <v>149</v>
      </c>
      <c r="D330" s="76">
        <v>13</v>
      </c>
      <c r="E330" s="69">
        <v>2E-3</v>
      </c>
    </row>
    <row r="331" spans="1:5" ht="16.5">
      <c r="A331" s="46"/>
      <c r="B331" s="124"/>
      <c r="C331" s="57" t="s">
        <v>144</v>
      </c>
      <c r="D331" s="76">
        <v>5</v>
      </c>
      <c r="E331" s="69">
        <v>1E-3</v>
      </c>
    </row>
    <row r="332" spans="1:5" ht="16.5">
      <c r="A332" s="46"/>
      <c r="B332" s="124"/>
      <c r="C332" s="57" t="s">
        <v>147</v>
      </c>
      <c r="D332" s="76">
        <v>5</v>
      </c>
      <c r="E332" s="69">
        <v>1E-3</v>
      </c>
    </row>
    <row r="333" spans="1:5" ht="16.5">
      <c r="A333" s="46"/>
      <c r="B333" s="124"/>
      <c r="C333" s="57" t="s">
        <v>153</v>
      </c>
      <c r="D333" s="76">
        <v>4</v>
      </c>
      <c r="E333" s="69">
        <v>0</v>
      </c>
    </row>
    <row r="334" spans="1:5" ht="16.5">
      <c r="A334" s="46"/>
      <c r="B334" s="124"/>
      <c r="C334" s="57" t="s">
        <v>150</v>
      </c>
      <c r="D334" s="76">
        <v>2</v>
      </c>
      <c r="E334" s="69">
        <v>0</v>
      </c>
    </row>
    <row r="335" spans="1:5" ht="16.5">
      <c r="A335" s="46"/>
      <c r="B335" s="124"/>
      <c r="C335" s="57" t="s">
        <v>151</v>
      </c>
      <c r="D335" s="76">
        <v>1</v>
      </c>
      <c r="E335" s="69">
        <v>0</v>
      </c>
    </row>
    <row r="336" spans="1:5" ht="16.5">
      <c r="A336" s="46"/>
      <c r="B336" s="124"/>
      <c r="C336" s="57" t="s">
        <v>152</v>
      </c>
      <c r="D336" s="76">
        <v>1</v>
      </c>
      <c r="E336" s="69">
        <v>0</v>
      </c>
    </row>
    <row r="337" spans="1:5" ht="16.5">
      <c r="A337" s="46"/>
      <c r="B337" s="124"/>
      <c r="C337" s="57" t="s">
        <v>154</v>
      </c>
      <c r="D337" s="76">
        <v>1</v>
      </c>
      <c r="E337" s="69">
        <v>0</v>
      </c>
    </row>
    <row r="338" spans="1:5" ht="16.5">
      <c r="A338" s="46"/>
      <c r="B338" s="124"/>
      <c r="C338" s="57" t="s">
        <v>235</v>
      </c>
      <c r="D338" s="76">
        <v>1</v>
      </c>
      <c r="E338" s="69">
        <v>0</v>
      </c>
    </row>
    <row r="339" spans="1:5" ht="16.5">
      <c r="A339" s="46"/>
      <c r="B339" s="124"/>
      <c r="C339" s="57" t="s">
        <v>145</v>
      </c>
      <c r="D339" s="76">
        <v>1</v>
      </c>
      <c r="E339" s="69">
        <v>0</v>
      </c>
    </row>
    <row r="340" spans="1:5" ht="16.5">
      <c r="A340" s="46"/>
      <c r="B340" s="124"/>
      <c r="C340" s="57" t="s">
        <v>157</v>
      </c>
      <c r="D340" s="76">
        <v>1</v>
      </c>
      <c r="E340" s="69">
        <v>0</v>
      </c>
    </row>
    <row r="341" spans="1:5" ht="16.5">
      <c r="A341" s="46"/>
      <c r="B341" s="124"/>
      <c r="C341" s="57" t="s">
        <v>158</v>
      </c>
      <c r="D341" s="76">
        <v>1</v>
      </c>
      <c r="E341" s="69">
        <v>0</v>
      </c>
    </row>
    <row r="342" spans="1:5" ht="16.5">
      <c r="A342" s="46"/>
      <c r="B342" s="124"/>
      <c r="C342" s="73" t="s">
        <v>265</v>
      </c>
      <c r="D342" s="67">
        <v>49</v>
      </c>
      <c r="E342" s="72">
        <v>6.0000000000000001E-3</v>
      </c>
    </row>
    <row r="343" spans="1:5" ht="16.5">
      <c r="A343" s="46"/>
      <c r="B343" s="124" t="s">
        <v>137</v>
      </c>
      <c r="C343" s="57" t="s">
        <v>158</v>
      </c>
      <c r="D343" s="76">
        <v>16</v>
      </c>
      <c r="E343" s="69">
        <v>2E-3</v>
      </c>
    </row>
    <row r="344" spans="1:5" ht="16.5">
      <c r="A344" s="46"/>
      <c r="B344" s="124"/>
      <c r="C344" s="57" t="s">
        <v>147</v>
      </c>
      <c r="D344" s="76">
        <v>7</v>
      </c>
      <c r="E344" s="69">
        <v>1E-3</v>
      </c>
    </row>
    <row r="345" spans="1:5" ht="16.5">
      <c r="A345" s="46"/>
      <c r="B345" s="124"/>
      <c r="C345" s="57" t="s">
        <v>149</v>
      </c>
      <c r="D345" s="76">
        <v>6</v>
      </c>
      <c r="E345" s="69">
        <v>1E-3</v>
      </c>
    </row>
    <row r="346" spans="1:5" ht="16.5">
      <c r="A346" s="46"/>
      <c r="B346" s="124"/>
      <c r="C346" s="57" t="s">
        <v>156</v>
      </c>
      <c r="D346" s="76">
        <v>5</v>
      </c>
      <c r="E346" s="69">
        <v>1E-3</v>
      </c>
    </row>
    <row r="347" spans="1:5" ht="16.5">
      <c r="A347" s="46"/>
      <c r="B347" s="124"/>
      <c r="C347" s="57" t="s">
        <v>142</v>
      </c>
      <c r="D347" s="76">
        <v>2</v>
      </c>
      <c r="E347" s="69">
        <v>0</v>
      </c>
    </row>
    <row r="348" spans="1:5" ht="16.5">
      <c r="A348" s="46"/>
      <c r="B348" s="124"/>
      <c r="C348" s="57" t="s">
        <v>153</v>
      </c>
      <c r="D348" s="76">
        <v>2</v>
      </c>
      <c r="E348" s="69">
        <v>0</v>
      </c>
    </row>
    <row r="349" spans="1:5" ht="16.5">
      <c r="A349" s="46"/>
      <c r="B349" s="124"/>
      <c r="C349" s="57" t="s">
        <v>144</v>
      </c>
      <c r="D349" s="76">
        <v>2</v>
      </c>
      <c r="E349" s="69">
        <v>0</v>
      </c>
    </row>
    <row r="350" spans="1:5" ht="16.5">
      <c r="A350" s="46"/>
      <c r="B350" s="124"/>
      <c r="C350" s="57" t="s">
        <v>145</v>
      </c>
      <c r="D350" s="76">
        <v>2</v>
      </c>
      <c r="E350" s="69">
        <v>0</v>
      </c>
    </row>
    <row r="351" spans="1:5" ht="16.5">
      <c r="A351" s="46"/>
      <c r="B351" s="124"/>
      <c r="C351" s="57" t="s">
        <v>157</v>
      </c>
      <c r="D351" s="76">
        <v>2</v>
      </c>
      <c r="E351" s="69">
        <v>0</v>
      </c>
    </row>
    <row r="352" spans="1:5" ht="16.5">
      <c r="A352" s="46"/>
      <c r="B352" s="124"/>
      <c r="C352" s="57" t="s">
        <v>150</v>
      </c>
      <c r="D352" s="76">
        <v>2</v>
      </c>
      <c r="E352" s="69">
        <v>0</v>
      </c>
    </row>
    <row r="353" spans="1:5" ht="16.5">
      <c r="A353" s="46"/>
      <c r="B353" s="124"/>
      <c r="C353" s="57" t="s">
        <v>154</v>
      </c>
      <c r="D353" s="76">
        <v>1</v>
      </c>
      <c r="E353" s="69">
        <v>0</v>
      </c>
    </row>
    <row r="354" spans="1:5" ht="16.5">
      <c r="A354" s="46"/>
      <c r="B354" s="124"/>
      <c r="C354" s="57" t="s">
        <v>235</v>
      </c>
      <c r="D354" s="76">
        <v>1</v>
      </c>
      <c r="E354" s="69">
        <v>0</v>
      </c>
    </row>
    <row r="355" spans="1:5" ht="16.5">
      <c r="A355" s="46"/>
      <c r="B355" s="124"/>
      <c r="C355" s="57" t="s">
        <v>155</v>
      </c>
      <c r="D355" s="76">
        <v>1</v>
      </c>
      <c r="E355" s="69">
        <v>0</v>
      </c>
    </row>
    <row r="356" spans="1:5" ht="16.5">
      <c r="A356" s="46"/>
      <c r="B356" s="124"/>
      <c r="C356" s="73" t="s">
        <v>265</v>
      </c>
      <c r="D356" s="67">
        <v>49</v>
      </c>
      <c r="E356" s="72">
        <v>6.0000000000000001E-3</v>
      </c>
    </row>
    <row r="357" spans="1:5" ht="16.5">
      <c r="A357" s="46"/>
      <c r="B357" s="124" t="s">
        <v>99</v>
      </c>
      <c r="C357" s="57" t="s">
        <v>148</v>
      </c>
      <c r="D357" s="76">
        <v>10</v>
      </c>
      <c r="E357" s="69">
        <v>1E-3</v>
      </c>
    </row>
    <row r="358" spans="1:5" ht="16.5">
      <c r="A358" s="46"/>
      <c r="B358" s="124"/>
      <c r="C358" s="57" t="s">
        <v>149</v>
      </c>
      <c r="D358" s="76">
        <v>9</v>
      </c>
      <c r="E358" s="69">
        <v>1E-3</v>
      </c>
    </row>
    <row r="359" spans="1:5" ht="16.5">
      <c r="A359" s="46"/>
      <c r="B359" s="124"/>
      <c r="C359" s="57" t="s">
        <v>147</v>
      </c>
      <c r="D359" s="76">
        <v>4</v>
      </c>
      <c r="E359" s="69">
        <v>0</v>
      </c>
    </row>
    <row r="360" spans="1:5" ht="16.5">
      <c r="A360" s="46"/>
      <c r="B360" s="124"/>
      <c r="C360" s="57" t="s">
        <v>153</v>
      </c>
      <c r="D360" s="76">
        <v>3</v>
      </c>
      <c r="E360" s="69">
        <v>0</v>
      </c>
    </row>
    <row r="361" spans="1:5" ht="16.5">
      <c r="A361" s="46"/>
      <c r="B361" s="124"/>
      <c r="C361" s="57" t="s">
        <v>158</v>
      </c>
      <c r="D361" s="76">
        <v>3</v>
      </c>
      <c r="E361" s="69">
        <v>0</v>
      </c>
    </row>
    <row r="362" spans="1:5" ht="16.5">
      <c r="A362" s="46"/>
      <c r="B362" s="124"/>
      <c r="C362" s="57" t="s">
        <v>154</v>
      </c>
      <c r="D362" s="76">
        <v>2</v>
      </c>
      <c r="E362" s="69">
        <v>0</v>
      </c>
    </row>
    <row r="363" spans="1:5" ht="16.5">
      <c r="A363" s="46"/>
      <c r="B363" s="124"/>
      <c r="C363" s="57" t="s">
        <v>156</v>
      </c>
      <c r="D363" s="76">
        <v>2</v>
      </c>
      <c r="E363" s="69">
        <v>0</v>
      </c>
    </row>
    <row r="364" spans="1:5" ht="16.5">
      <c r="A364" s="46"/>
      <c r="B364" s="124"/>
      <c r="C364" s="57" t="s">
        <v>150</v>
      </c>
      <c r="D364" s="76">
        <v>2</v>
      </c>
      <c r="E364" s="69">
        <v>0</v>
      </c>
    </row>
    <row r="365" spans="1:5" ht="16.5">
      <c r="A365" s="46"/>
      <c r="B365" s="124"/>
      <c r="C365" s="57" t="s">
        <v>142</v>
      </c>
      <c r="D365" s="76">
        <v>1</v>
      </c>
      <c r="E365" s="69">
        <v>0</v>
      </c>
    </row>
    <row r="366" spans="1:5" ht="16.5">
      <c r="A366" s="46"/>
      <c r="B366" s="124"/>
      <c r="C366" s="57" t="s">
        <v>152</v>
      </c>
      <c r="D366" s="76">
        <v>1</v>
      </c>
      <c r="E366" s="69">
        <v>0</v>
      </c>
    </row>
    <row r="367" spans="1:5" ht="16.5">
      <c r="A367" s="46"/>
      <c r="B367" s="124"/>
      <c r="C367" s="57" t="s">
        <v>157</v>
      </c>
      <c r="D367" s="76">
        <v>1</v>
      </c>
      <c r="E367" s="69">
        <v>0</v>
      </c>
    </row>
    <row r="368" spans="1:5" ht="16.5">
      <c r="A368" s="46"/>
      <c r="B368" s="124"/>
      <c r="C368" s="57" t="s">
        <v>159</v>
      </c>
      <c r="D368" s="76">
        <v>1</v>
      </c>
      <c r="E368" s="69">
        <v>0</v>
      </c>
    </row>
    <row r="369" spans="1:5" ht="16.5">
      <c r="A369" s="46"/>
      <c r="B369" s="124"/>
      <c r="C369" s="57" t="s">
        <v>146</v>
      </c>
      <c r="D369" s="76">
        <v>1</v>
      </c>
      <c r="E369" s="69">
        <v>0</v>
      </c>
    </row>
    <row r="370" spans="1:5" ht="16.5">
      <c r="A370" s="46"/>
      <c r="B370" s="124"/>
      <c r="C370" s="57" t="s">
        <v>160</v>
      </c>
      <c r="D370" s="76">
        <v>1</v>
      </c>
      <c r="E370" s="69">
        <v>0</v>
      </c>
    </row>
    <row r="371" spans="1:5" ht="16.5">
      <c r="A371" s="46"/>
      <c r="B371" s="124"/>
      <c r="C371" s="73" t="s">
        <v>265</v>
      </c>
      <c r="D371" s="67">
        <v>41</v>
      </c>
      <c r="E371" s="72">
        <v>5.0000000000000001E-3</v>
      </c>
    </row>
    <row r="372" spans="1:5" ht="16.5">
      <c r="A372" s="46"/>
      <c r="B372" s="124" t="s">
        <v>121</v>
      </c>
      <c r="C372" s="57" t="s">
        <v>153</v>
      </c>
      <c r="D372" s="76">
        <v>10</v>
      </c>
      <c r="E372" s="69">
        <v>1E-3</v>
      </c>
    </row>
    <row r="373" spans="1:5" ht="16.5">
      <c r="A373" s="46"/>
      <c r="B373" s="124"/>
      <c r="C373" s="57" t="s">
        <v>149</v>
      </c>
      <c r="D373" s="76">
        <v>8</v>
      </c>
      <c r="E373" s="69">
        <v>1E-3</v>
      </c>
    </row>
    <row r="374" spans="1:5" ht="16.5">
      <c r="A374" s="46"/>
      <c r="B374" s="124"/>
      <c r="C374" s="57" t="s">
        <v>157</v>
      </c>
      <c r="D374" s="76">
        <v>5</v>
      </c>
      <c r="E374" s="69">
        <v>1E-3</v>
      </c>
    </row>
    <row r="375" spans="1:5" ht="16.5">
      <c r="A375" s="46"/>
      <c r="B375" s="124"/>
      <c r="C375" s="57" t="s">
        <v>148</v>
      </c>
      <c r="D375" s="76">
        <v>4</v>
      </c>
      <c r="E375" s="69">
        <v>0</v>
      </c>
    </row>
    <row r="376" spans="1:5" ht="16.5">
      <c r="A376" s="46"/>
      <c r="B376" s="124"/>
      <c r="C376" s="57" t="s">
        <v>159</v>
      </c>
      <c r="D376" s="76">
        <v>3</v>
      </c>
      <c r="E376" s="69">
        <v>0</v>
      </c>
    </row>
    <row r="377" spans="1:5" ht="16.5">
      <c r="A377" s="46"/>
      <c r="B377" s="124"/>
      <c r="C377" s="57" t="s">
        <v>147</v>
      </c>
      <c r="D377" s="76">
        <v>3</v>
      </c>
      <c r="E377" s="69">
        <v>0</v>
      </c>
    </row>
    <row r="378" spans="1:5" ht="16.5">
      <c r="A378" s="46"/>
      <c r="B378" s="124"/>
      <c r="C378" s="57" t="s">
        <v>150</v>
      </c>
      <c r="D378" s="76">
        <v>3</v>
      </c>
      <c r="E378" s="69">
        <v>0</v>
      </c>
    </row>
    <row r="379" spans="1:5" ht="16.5">
      <c r="A379" s="46"/>
      <c r="B379" s="124"/>
      <c r="C379" s="57" t="s">
        <v>142</v>
      </c>
      <c r="D379" s="76">
        <v>1</v>
      </c>
      <c r="E379" s="69">
        <v>0</v>
      </c>
    </row>
    <row r="380" spans="1:5" ht="16.5">
      <c r="A380" s="46"/>
      <c r="B380" s="124"/>
      <c r="C380" s="57" t="s">
        <v>155</v>
      </c>
      <c r="D380" s="76">
        <v>1</v>
      </c>
      <c r="E380" s="69">
        <v>0</v>
      </c>
    </row>
    <row r="381" spans="1:5" ht="16.5">
      <c r="A381" s="46"/>
      <c r="B381" s="124"/>
      <c r="C381" s="57" t="s">
        <v>158</v>
      </c>
      <c r="D381" s="76">
        <v>1</v>
      </c>
      <c r="E381" s="69">
        <v>0</v>
      </c>
    </row>
    <row r="382" spans="1:5" ht="16.5">
      <c r="A382" s="46"/>
      <c r="B382" s="124"/>
      <c r="C382" s="57" t="s">
        <v>146</v>
      </c>
      <c r="D382" s="76">
        <v>1</v>
      </c>
      <c r="E382" s="69">
        <v>0</v>
      </c>
    </row>
    <row r="383" spans="1:5" ht="16.5">
      <c r="A383" s="46"/>
      <c r="B383" s="124"/>
      <c r="C383" s="57" t="s">
        <v>160</v>
      </c>
      <c r="D383" s="76">
        <v>1</v>
      </c>
      <c r="E383" s="69">
        <v>0</v>
      </c>
    </row>
    <row r="384" spans="1:5" ht="16.5">
      <c r="A384" s="46"/>
      <c r="B384" s="124"/>
      <c r="C384" s="73" t="s">
        <v>265</v>
      </c>
      <c r="D384" s="67">
        <v>41</v>
      </c>
      <c r="E384" s="72">
        <v>5.0000000000000001E-3</v>
      </c>
    </row>
    <row r="385" spans="1:5" ht="16.5">
      <c r="A385" s="46"/>
      <c r="B385" s="124" t="s">
        <v>138</v>
      </c>
      <c r="C385" s="57" t="s">
        <v>149</v>
      </c>
      <c r="D385" s="76">
        <v>11</v>
      </c>
      <c r="E385" s="69">
        <v>1E-3</v>
      </c>
    </row>
    <row r="386" spans="1:5" ht="16.5">
      <c r="A386" s="46"/>
      <c r="B386" s="124"/>
      <c r="C386" s="57" t="s">
        <v>153</v>
      </c>
      <c r="D386" s="76">
        <v>7</v>
      </c>
      <c r="E386" s="69">
        <v>1E-3</v>
      </c>
    </row>
    <row r="387" spans="1:5" ht="16.5">
      <c r="A387" s="46"/>
      <c r="B387" s="124"/>
      <c r="C387" s="57" t="s">
        <v>158</v>
      </c>
      <c r="D387" s="76">
        <v>4</v>
      </c>
      <c r="E387" s="69">
        <v>0</v>
      </c>
    </row>
    <row r="388" spans="1:5" ht="16.5">
      <c r="A388" s="46"/>
      <c r="B388" s="124"/>
      <c r="C388" s="57" t="s">
        <v>150</v>
      </c>
      <c r="D388" s="76">
        <v>4</v>
      </c>
      <c r="E388" s="69">
        <v>0</v>
      </c>
    </row>
    <row r="389" spans="1:5" ht="16.5">
      <c r="A389" s="46"/>
      <c r="B389" s="124"/>
      <c r="C389" s="57" t="s">
        <v>142</v>
      </c>
      <c r="D389" s="76">
        <v>3</v>
      </c>
      <c r="E389" s="69">
        <v>0</v>
      </c>
    </row>
    <row r="390" spans="1:5" ht="16.5">
      <c r="A390" s="46"/>
      <c r="B390" s="124"/>
      <c r="C390" s="57" t="s">
        <v>147</v>
      </c>
      <c r="D390" s="76">
        <v>3</v>
      </c>
      <c r="E390" s="69">
        <v>0</v>
      </c>
    </row>
    <row r="391" spans="1:5" ht="16.5">
      <c r="A391" s="46"/>
      <c r="B391" s="124"/>
      <c r="C391" s="57" t="s">
        <v>148</v>
      </c>
      <c r="D391" s="76">
        <v>3</v>
      </c>
      <c r="E391" s="69">
        <v>0</v>
      </c>
    </row>
    <row r="392" spans="1:5" ht="16.5">
      <c r="A392" s="46"/>
      <c r="B392" s="124"/>
      <c r="C392" s="57" t="s">
        <v>144</v>
      </c>
      <c r="D392" s="76">
        <v>2</v>
      </c>
      <c r="E392" s="69">
        <v>0</v>
      </c>
    </row>
    <row r="393" spans="1:5" ht="16.5">
      <c r="A393" s="46"/>
      <c r="B393" s="124"/>
      <c r="C393" s="57" t="s">
        <v>146</v>
      </c>
      <c r="D393" s="76">
        <v>2</v>
      </c>
      <c r="E393" s="69">
        <v>0</v>
      </c>
    </row>
    <row r="394" spans="1:5" ht="16.5">
      <c r="A394" s="46"/>
      <c r="B394" s="124"/>
      <c r="C394" s="57" t="s">
        <v>157</v>
      </c>
      <c r="D394" s="76">
        <v>1</v>
      </c>
      <c r="E394" s="69">
        <v>0</v>
      </c>
    </row>
    <row r="395" spans="1:5" ht="16.5">
      <c r="A395" s="46"/>
      <c r="B395" s="124"/>
      <c r="C395" s="57" t="s">
        <v>160</v>
      </c>
      <c r="D395" s="76">
        <v>1</v>
      </c>
      <c r="E395" s="69">
        <v>0</v>
      </c>
    </row>
    <row r="396" spans="1:5" ht="16.5">
      <c r="A396" s="46"/>
      <c r="B396" s="124"/>
      <c r="C396" s="73" t="s">
        <v>265</v>
      </c>
      <c r="D396" s="67">
        <v>41</v>
      </c>
      <c r="E396" s="72">
        <v>5.0000000000000001E-3</v>
      </c>
    </row>
    <row r="397" spans="1:5" ht="16.5">
      <c r="A397" s="46"/>
      <c r="B397" s="124" t="s">
        <v>111</v>
      </c>
      <c r="C397" s="57" t="s">
        <v>149</v>
      </c>
      <c r="D397" s="76">
        <v>9</v>
      </c>
      <c r="E397" s="69">
        <v>1E-3</v>
      </c>
    </row>
    <row r="398" spans="1:5" ht="16.5">
      <c r="A398" s="46"/>
      <c r="B398" s="124"/>
      <c r="C398" s="57" t="s">
        <v>147</v>
      </c>
      <c r="D398" s="76">
        <v>6</v>
      </c>
      <c r="E398" s="69">
        <v>1E-3</v>
      </c>
    </row>
    <row r="399" spans="1:5" ht="16.5">
      <c r="A399" s="46"/>
      <c r="B399" s="124"/>
      <c r="C399" s="57" t="s">
        <v>142</v>
      </c>
      <c r="D399" s="76">
        <v>4</v>
      </c>
      <c r="E399" s="69">
        <v>0</v>
      </c>
    </row>
    <row r="400" spans="1:5" ht="16.5">
      <c r="A400" s="46"/>
      <c r="B400" s="124"/>
      <c r="C400" s="57" t="s">
        <v>150</v>
      </c>
      <c r="D400" s="76">
        <v>4</v>
      </c>
      <c r="E400" s="69">
        <v>0</v>
      </c>
    </row>
    <row r="401" spans="1:5" ht="16.5">
      <c r="A401" s="46"/>
      <c r="B401" s="124"/>
      <c r="C401" s="57" t="s">
        <v>154</v>
      </c>
      <c r="D401" s="76">
        <v>3</v>
      </c>
      <c r="E401" s="69">
        <v>0</v>
      </c>
    </row>
    <row r="402" spans="1:5" ht="16.5">
      <c r="A402" s="46"/>
      <c r="B402" s="124"/>
      <c r="C402" s="57" t="s">
        <v>157</v>
      </c>
      <c r="D402" s="76">
        <v>3</v>
      </c>
      <c r="E402" s="69">
        <v>0</v>
      </c>
    </row>
    <row r="403" spans="1:5" ht="16.5">
      <c r="A403" s="46"/>
      <c r="B403" s="124"/>
      <c r="C403" s="57" t="s">
        <v>153</v>
      </c>
      <c r="D403" s="76">
        <v>2</v>
      </c>
      <c r="E403" s="69">
        <v>0</v>
      </c>
    </row>
    <row r="404" spans="1:5" ht="16.5">
      <c r="A404" s="46"/>
      <c r="B404" s="124"/>
      <c r="C404" s="57" t="s">
        <v>146</v>
      </c>
      <c r="D404" s="76">
        <v>2</v>
      </c>
      <c r="E404" s="69">
        <v>0</v>
      </c>
    </row>
    <row r="405" spans="1:5" ht="16.5">
      <c r="A405" s="46"/>
      <c r="B405" s="124"/>
      <c r="C405" s="57" t="s">
        <v>151</v>
      </c>
      <c r="D405" s="76">
        <v>1</v>
      </c>
      <c r="E405" s="69">
        <v>0</v>
      </c>
    </row>
    <row r="406" spans="1:5" ht="16.5">
      <c r="A406" s="46"/>
      <c r="B406" s="124"/>
      <c r="C406" s="57" t="s">
        <v>235</v>
      </c>
      <c r="D406" s="76">
        <v>1</v>
      </c>
      <c r="E406" s="69">
        <v>0</v>
      </c>
    </row>
    <row r="407" spans="1:5" ht="16.5">
      <c r="A407" s="46"/>
      <c r="B407" s="124"/>
      <c r="C407" s="57" t="s">
        <v>145</v>
      </c>
      <c r="D407" s="76">
        <v>1</v>
      </c>
      <c r="E407" s="69">
        <v>0</v>
      </c>
    </row>
    <row r="408" spans="1:5" ht="16.5">
      <c r="A408" s="46"/>
      <c r="B408" s="124"/>
      <c r="C408" s="57" t="s">
        <v>159</v>
      </c>
      <c r="D408" s="76">
        <v>1</v>
      </c>
      <c r="E408" s="69">
        <v>0</v>
      </c>
    </row>
    <row r="409" spans="1:5" ht="16.5">
      <c r="A409" s="46"/>
      <c r="B409" s="124"/>
      <c r="C409" s="57" t="s">
        <v>148</v>
      </c>
      <c r="D409" s="76">
        <v>1</v>
      </c>
      <c r="E409" s="69">
        <v>0</v>
      </c>
    </row>
    <row r="410" spans="1:5" ht="16.5">
      <c r="A410" s="46"/>
      <c r="B410" s="124"/>
      <c r="C410" s="57" t="s">
        <v>160</v>
      </c>
      <c r="D410" s="76">
        <v>1</v>
      </c>
      <c r="E410" s="69">
        <v>0</v>
      </c>
    </row>
    <row r="411" spans="1:5" ht="16.5">
      <c r="A411" s="46"/>
      <c r="B411" s="124"/>
      <c r="C411" s="73" t="s">
        <v>265</v>
      </c>
      <c r="D411" s="67">
        <v>39</v>
      </c>
      <c r="E411" s="72">
        <v>5.0000000000000001E-3</v>
      </c>
    </row>
    <row r="412" spans="1:5" ht="16.5">
      <c r="A412" s="46"/>
      <c r="B412" s="124" t="s">
        <v>116</v>
      </c>
      <c r="C412" s="57" t="s">
        <v>147</v>
      </c>
      <c r="D412" s="76">
        <v>11</v>
      </c>
      <c r="E412" s="69">
        <v>1E-3</v>
      </c>
    </row>
    <row r="413" spans="1:5" ht="16.5">
      <c r="A413" s="46"/>
      <c r="B413" s="124"/>
      <c r="C413" s="57" t="s">
        <v>149</v>
      </c>
      <c r="D413" s="76">
        <v>8</v>
      </c>
      <c r="E413" s="69">
        <v>1E-3</v>
      </c>
    </row>
    <row r="414" spans="1:5" ht="16.5">
      <c r="A414" s="46"/>
      <c r="B414" s="124"/>
      <c r="C414" s="57" t="s">
        <v>153</v>
      </c>
      <c r="D414" s="76">
        <v>5</v>
      </c>
      <c r="E414" s="69">
        <v>1E-3</v>
      </c>
    </row>
    <row r="415" spans="1:5" ht="16.5">
      <c r="A415" s="46"/>
      <c r="B415" s="124"/>
      <c r="C415" s="57" t="s">
        <v>155</v>
      </c>
      <c r="D415" s="76">
        <v>2</v>
      </c>
      <c r="E415" s="69">
        <v>0</v>
      </c>
    </row>
    <row r="416" spans="1:5" ht="16.5">
      <c r="A416" s="46"/>
      <c r="B416" s="124"/>
      <c r="C416" s="57" t="s">
        <v>146</v>
      </c>
      <c r="D416" s="76">
        <v>2</v>
      </c>
      <c r="E416" s="69">
        <v>0</v>
      </c>
    </row>
    <row r="417" spans="1:5" ht="16.5">
      <c r="A417" s="46"/>
      <c r="B417" s="124"/>
      <c r="C417" s="57" t="s">
        <v>148</v>
      </c>
      <c r="D417" s="76">
        <v>2</v>
      </c>
      <c r="E417" s="69">
        <v>0</v>
      </c>
    </row>
    <row r="418" spans="1:5" ht="16.5">
      <c r="A418" s="46"/>
      <c r="B418" s="124"/>
      <c r="C418" s="57" t="s">
        <v>150</v>
      </c>
      <c r="D418" s="76">
        <v>2</v>
      </c>
      <c r="E418" s="69">
        <v>0</v>
      </c>
    </row>
    <row r="419" spans="1:5" ht="16.5">
      <c r="A419" s="46"/>
      <c r="B419" s="124"/>
      <c r="C419" s="57" t="s">
        <v>160</v>
      </c>
      <c r="D419" s="76">
        <v>2</v>
      </c>
      <c r="E419" s="69">
        <v>0</v>
      </c>
    </row>
    <row r="420" spans="1:5" ht="16.5">
      <c r="A420" s="46"/>
      <c r="B420" s="124"/>
      <c r="C420" s="57" t="s">
        <v>151</v>
      </c>
      <c r="D420" s="76">
        <v>1</v>
      </c>
      <c r="E420" s="69">
        <v>0</v>
      </c>
    </row>
    <row r="421" spans="1:5" ht="16.5">
      <c r="A421" s="46"/>
      <c r="B421" s="124"/>
      <c r="C421" s="57" t="s">
        <v>143</v>
      </c>
      <c r="D421" s="76">
        <v>1</v>
      </c>
      <c r="E421" s="69">
        <v>0</v>
      </c>
    </row>
    <row r="422" spans="1:5" ht="16.5">
      <c r="A422" s="46"/>
      <c r="B422" s="124"/>
      <c r="C422" s="57" t="s">
        <v>152</v>
      </c>
      <c r="D422" s="76">
        <v>1</v>
      </c>
      <c r="E422" s="69">
        <v>0</v>
      </c>
    </row>
    <row r="423" spans="1:5" ht="16.5">
      <c r="A423" s="46"/>
      <c r="B423" s="124"/>
      <c r="C423" s="57" t="s">
        <v>156</v>
      </c>
      <c r="D423" s="76">
        <v>1</v>
      </c>
      <c r="E423" s="69">
        <v>0</v>
      </c>
    </row>
    <row r="424" spans="1:5" ht="16.5">
      <c r="A424" s="46"/>
      <c r="B424" s="124"/>
      <c r="C424" s="57" t="s">
        <v>157</v>
      </c>
      <c r="D424" s="76">
        <v>1</v>
      </c>
      <c r="E424" s="69">
        <v>0</v>
      </c>
    </row>
    <row r="425" spans="1:5" ht="16.5">
      <c r="A425" s="46"/>
      <c r="B425" s="124"/>
      <c r="C425" s="73" t="s">
        <v>265</v>
      </c>
      <c r="D425" s="67">
        <v>39</v>
      </c>
      <c r="E425" s="72">
        <v>5.0000000000000001E-3</v>
      </c>
    </row>
    <row r="426" spans="1:5" ht="16.5">
      <c r="A426" s="46"/>
      <c r="B426" s="124" t="s">
        <v>128</v>
      </c>
      <c r="C426" s="57" t="s">
        <v>159</v>
      </c>
      <c r="D426" s="76">
        <v>9</v>
      </c>
      <c r="E426" s="69">
        <v>1E-3</v>
      </c>
    </row>
    <row r="427" spans="1:5" ht="16.5">
      <c r="A427" s="46"/>
      <c r="B427" s="124"/>
      <c r="C427" s="57" t="s">
        <v>149</v>
      </c>
      <c r="D427" s="76">
        <v>8</v>
      </c>
      <c r="E427" s="69">
        <v>1E-3</v>
      </c>
    </row>
    <row r="428" spans="1:5" ht="16.5">
      <c r="A428" s="46"/>
      <c r="B428" s="124"/>
      <c r="C428" s="57" t="s">
        <v>153</v>
      </c>
      <c r="D428" s="76">
        <v>5</v>
      </c>
      <c r="E428" s="69">
        <v>1E-3</v>
      </c>
    </row>
    <row r="429" spans="1:5" ht="16.5">
      <c r="A429" s="46"/>
      <c r="B429" s="124"/>
      <c r="C429" s="57" t="s">
        <v>154</v>
      </c>
      <c r="D429" s="76">
        <v>3</v>
      </c>
      <c r="E429" s="69">
        <v>0</v>
      </c>
    </row>
    <row r="430" spans="1:5" ht="16.5">
      <c r="A430" s="46"/>
      <c r="B430" s="124"/>
      <c r="C430" s="57" t="s">
        <v>146</v>
      </c>
      <c r="D430" s="76">
        <v>3</v>
      </c>
      <c r="E430" s="69">
        <v>0</v>
      </c>
    </row>
    <row r="431" spans="1:5" ht="16.5">
      <c r="A431" s="46"/>
      <c r="B431" s="124"/>
      <c r="C431" s="57" t="s">
        <v>150</v>
      </c>
      <c r="D431" s="76">
        <v>3</v>
      </c>
      <c r="E431" s="69">
        <v>0</v>
      </c>
    </row>
    <row r="432" spans="1:5" ht="16.5">
      <c r="A432" s="46"/>
      <c r="B432" s="124"/>
      <c r="C432" s="57" t="s">
        <v>158</v>
      </c>
      <c r="D432" s="76">
        <v>2</v>
      </c>
      <c r="E432" s="69">
        <v>0</v>
      </c>
    </row>
    <row r="433" spans="1:5" ht="16.5">
      <c r="A433" s="46"/>
      <c r="B433" s="124"/>
      <c r="C433" s="57" t="s">
        <v>148</v>
      </c>
      <c r="D433" s="76">
        <v>2</v>
      </c>
      <c r="E433" s="69">
        <v>0</v>
      </c>
    </row>
    <row r="434" spans="1:5" ht="16.5">
      <c r="A434" s="46"/>
      <c r="B434" s="124"/>
      <c r="C434" s="57" t="s">
        <v>142</v>
      </c>
      <c r="D434" s="76">
        <v>1</v>
      </c>
      <c r="E434" s="69">
        <v>0</v>
      </c>
    </row>
    <row r="435" spans="1:5" ht="16.5">
      <c r="A435" s="46"/>
      <c r="B435" s="124"/>
      <c r="C435" s="57" t="s">
        <v>144</v>
      </c>
      <c r="D435" s="76">
        <v>1</v>
      </c>
      <c r="E435" s="69">
        <v>0</v>
      </c>
    </row>
    <row r="436" spans="1:5" ht="16.5">
      <c r="A436" s="46"/>
      <c r="B436" s="124"/>
      <c r="C436" s="57" t="s">
        <v>157</v>
      </c>
      <c r="D436" s="76">
        <v>1</v>
      </c>
      <c r="E436" s="69">
        <v>0</v>
      </c>
    </row>
    <row r="437" spans="1:5" ht="16.5">
      <c r="A437" s="46"/>
      <c r="B437" s="124"/>
      <c r="C437" s="57" t="s">
        <v>160</v>
      </c>
      <c r="D437" s="76">
        <v>1</v>
      </c>
      <c r="E437" s="69">
        <v>0</v>
      </c>
    </row>
    <row r="438" spans="1:5" ht="16.5">
      <c r="A438" s="46"/>
      <c r="B438" s="124"/>
      <c r="C438" s="73" t="s">
        <v>265</v>
      </c>
      <c r="D438" s="67">
        <v>39</v>
      </c>
      <c r="E438" s="72">
        <v>5.0000000000000001E-3</v>
      </c>
    </row>
    <row r="439" spans="1:5" ht="16.5">
      <c r="A439" s="46"/>
      <c r="B439" s="124" t="s">
        <v>110</v>
      </c>
      <c r="C439" s="57" t="s">
        <v>149</v>
      </c>
      <c r="D439" s="76">
        <v>8</v>
      </c>
      <c r="E439" s="69">
        <v>1E-3</v>
      </c>
    </row>
    <row r="440" spans="1:5" ht="16.5">
      <c r="A440" s="46"/>
      <c r="B440" s="124"/>
      <c r="C440" s="57" t="s">
        <v>142</v>
      </c>
      <c r="D440" s="76">
        <v>4</v>
      </c>
      <c r="E440" s="69">
        <v>0</v>
      </c>
    </row>
    <row r="441" spans="1:5" ht="16.5">
      <c r="A441" s="46"/>
      <c r="B441" s="124"/>
      <c r="C441" s="57" t="s">
        <v>157</v>
      </c>
      <c r="D441" s="76">
        <v>4</v>
      </c>
      <c r="E441" s="69">
        <v>0</v>
      </c>
    </row>
    <row r="442" spans="1:5" ht="16.5">
      <c r="A442" s="46"/>
      <c r="B442" s="124"/>
      <c r="C442" s="57" t="s">
        <v>159</v>
      </c>
      <c r="D442" s="76">
        <v>4</v>
      </c>
      <c r="E442" s="69">
        <v>0</v>
      </c>
    </row>
    <row r="443" spans="1:5" ht="16.5">
      <c r="A443" s="46"/>
      <c r="B443" s="124"/>
      <c r="C443" s="57" t="s">
        <v>143</v>
      </c>
      <c r="D443" s="76">
        <v>2</v>
      </c>
      <c r="E443" s="69">
        <v>0</v>
      </c>
    </row>
    <row r="444" spans="1:5" ht="16.5">
      <c r="A444" s="46"/>
      <c r="B444" s="124"/>
      <c r="C444" s="57" t="s">
        <v>153</v>
      </c>
      <c r="D444" s="76">
        <v>2</v>
      </c>
      <c r="E444" s="69">
        <v>0</v>
      </c>
    </row>
    <row r="445" spans="1:5" ht="16.5">
      <c r="A445" s="46"/>
      <c r="B445" s="124"/>
      <c r="C445" s="57" t="s">
        <v>147</v>
      </c>
      <c r="D445" s="76">
        <v>2</v>
      </c>
      <c r="E445" s="69">
        <v>0</v>
      </c>
    </row>
    <row r="446" spans="1:5" ht="16.5">
      <c r="A446" s="46"/>
      <c r="B446" s="124"/>
      <c r="C446" s="57" t="s">
        <v>150</v>
      </c>
      <c r="D446" s="76">
        <v>2</v>
      </c>
      <c r="E446" s="69">
        <v>0</v>
      </c>
    </row>
    <row r="447" spans="1:5" ht="16.5">
      <c r="A447" s="46"/>
      <c r="B447" s="124"/>
      <c r="C447" s="57" t="s">
        <v>152</v>
      </c>
      <c r="D447" s="76">
        <v>1</v>
      </c>
      <c r="E447" s="69">
        <v>0</v>
      </c>
    </row>
    <row r="448" spans="1:5" ht="16.5">
      <c r="A448" s="46"/>
      <c r="B448" s="124"/>
      <c r="C448" s="57" t="s">
        <v>161</v>
      </c>
      <c r="D448" s="76">
        <v>1</v>
      </c>
      <c r="E448" s="69">
        <v>0</v>
      </c>
    </row>
    <row r="449" spans="1:5" ht="16.5">
      <c r="A449" s="46"/>
      <c r="B449" s="124"/>
      <c r="C449" s="57" t="s">
        <v>148</v>
      </c>
      <c r="D449" s="76">
        <v>1</v>
      </c>
      <c r="E449" s="69">
        <v>0</v>
      </c>
    </row>
    <row r="450" spans="1:5" ht="16.5">
      <c r="A450" s="46"/>
      <c r="B450" s="124"/>
      <c r="C450" s="73" t="s">
        <v>265</v>
      </c>
      <c r="D450" s="67">
        <v>31</v>
      </c>
      <c r="E450" s="72">
        <v>4.0000000000000001E-3</v>
      </c>
    </row>
    <row r="451" spans="1:5" ht="16.5">
      <c r="A451" s="46"/>
      <c r="B451" s="124" t="s">
        <v>131</v>
      </c>
      <c r="C451" s="57" t="s">
        <v>149</v>
      </c>
      <c r="D451" s="76">
        <v>7</v>
      </c>
      <c r="E451" s="69">
        <v>1E-3</v>
      </c>
    </row>
    <row r="452" spans="1:5" ht="16.5">
      <c r="A452" s="46"/>
      <c r="B452" s="124"/>
      <c r="C452" s="57" t="s">
        <v>159</v>
      </c>
      <c r="D452" s="76">
        <v>3</v>
      </c>
      <c r="E452" s="69">
        <v>0</v>
      </c>
    </row>
    <row r="453" spans="1:5" ht="16.5">
      <c r="A453" s="46"/>
      <c r="B453" s="124"/>
      <c r="C453" s="57" t="s">
        <v>153</v>
      </c>
      <c r="D453" s="76">
        <v>2</v>
      </c>
      <c r="E453" s="69">
        <v>0</v>
      </c>
    </row>
    <row r="454" spans="1:5" ht="16.5">
      <c r="A454" s="46"/>
      <c r="B454" s="124"/>
      <c r="C454" s="57" t="s">
        <v>157</v>
      </c>
      <c r="D454" s="76">
        <v>2</v>
      </c>
      <c r="E454" s="69">
        <v>0</v>
      </c>
    </row>
    <row r="455" spans="1:5" ht="16.5">
      <c r="A455" s="46"/>
      <c r="B455" s="124"/>
      <c r="C455" s="57" t="s">
        <v>158</v>
      </c>
      <c r="D455" s="76">
        <v>2</v>
      </c>
      <c r="E455" s="69">
        <v>0</v>
      </c>
    </row>
    <row r="456" spans="1:5" ht="16.5">
      <c r="A456" s="46"/>
      <c r="B456" s="124"/>
      <c r="C456" s="57" t="s">
        <v>154</v>
      </c>
      <c r="D456" s="76">
        <v>1</v>
      </c>
      <c r="E456" s="69">
        <v>0</v>
      </c>
    </row>
    <row r="457" spans="1:5" ht="16.5">
      <c r="A457" s="46"/>
      <c r="B457" s="124"/>
      <c r="C457" s="57" t="s">
        <v>144</v>
      </c>
      <c r="D457" s="76">
        <v>1</v>
      </c>
      <c r="E457" s="69">
        <v>0</v>
      </c>
    </row>
    <row r="458" spans="1:5" ht="16.5">
      <c r="A458" s="46"/>
      <c r="B458" s="124"/>
      <c r="C458" s="57" t="s">
        <v>145</v>
      </c>
      <c r="D458" s="76">
        <v>1</v>
      </c>
      <c r="E458" s="69">
        <v>0</v>
      </c>
    </row>
    <row r="459" spans="1:5" ht="16.5">
      <c r="A459" s="46"/>
      <c r="B459" s="124"/>
      <c r="C459" s="57" t="s">
        <v>147</v>
      </c>
      <c r="D459" s="76">
        <v>1</v>
      </c>
      <c r="E459" s="69">
        <v>0</v>
      </c>
    </row>
    <row r="460" spans="1:5" ht="16.5">
      <c r="A460" s="46"/>
      <c r="B460" s="124"/>
      <c r="C460" s="73" t="s">
        <v>265</v>
      </c>
      <c r="D460" s="67">
        <v>20</v>
      </c>
      <c r="E460" s="72">
        <v>2E-3</v>
      </c>
    </row>
    <row r="461" spans="1:5" ht="16.5">
      <c r="A461" s="46"/>
      <c r="B461" s="124" t="s">
        <v>123</v>
      </c>
      <c r="C461" s="57" t="s">
        <v>149</v>
      </c>
      <c r="D461" s="76">
        <v>4</v>
      </c>
      <c r="E461" s="69">
        <v>0</v>
      </c>
    </row>
    <row r="462" spans="1:5" ht="16.5">
      <c r="A462" s="46"/>
      <c r="B462" s="124"/>
      <c r="C462" s="57" t="s">
        <v>157</v>
      </c>
      <c r="D462" s="76">
        <v>3</v>
      </c>
      <c r="E462" s="69">
        <v>0</v>
      </c>
    </row>
    <row r="463" spans="1:5" ht="16.5">
      <c r="A463" s="46"/>
      <c r="B463" s="124"/>
      <c r="C463" s="57" t="s">
        <v>152</v>
      </c>
      <c r="D463" s="76">
        <v>2</v>
      </c>
      <c r="E463" s="69">
        <v>0</v>
      </c>
    </row>
    <row r="464" spans="1:5" ht="16.5">
      <c r="A464" s="46"/>
      <c r="B464" s="124"/>
      <c r="C464" s="57" t="s">
        <v>159</v>
      </c>
      <c r="D464" s="76">
        <v>2</v>
      </c>
      <c r="E464" s="69">
        <v>0</v>
      </c>
    </row>
    <row r="465" spans="1:5" ht="16.5">
      <c r="A465" s="46"/>
      <c r="B465" s="124"/>
      <c r="C465" s="57" t="s">
        <v>161</v>
      </c>
      <c r="D465" s="76">
        <v>2</v>
      </c>
      <c r="E465" s="69">
        <v>0</v>
      </c>
    </row>
    <row r="466" spans="1:5" ht="16.5">
      <c r="A466" s="46"/>
      <c r="B466" s="124"/>
      <c r="C466" s="57" t="s">
        <v>147</v>
      </c>
      <c r="D466" s="76">
        <v>2</v>
      </c>
      <c r="E466" s="69">
        <v>0</v>
      </c>
    </row>
    <row r="467" spans="1:5" ht="16.5">
      <c r="A467" s="46"/>
      <c r="B467" s="124"/>
      <c r="C467" s="57" t="s">
        <v>153</v>
      </c>
      <c r="D467" s="76">
        <v>1</v>
      </c>
      <c r="E467" s="69">
        <v>0</v>
      </c>
    </row>
    <row r="468" spans="1:5" ht="16.5">
      <c r="A468" s="46"/>
      <c r="B468" s="124"/>
      <c r="C468" s="57" t="s">
        <v>145</v>
      </c>
      <c r="D468" s="76">
        <v>1</v>
      </c>
      <c r="E468" s="69">
        <v>0</v>
      </c>
    </row>
    <row r="469" spans="1:5" ht="16.5">
      <c r="A469" s="46"/>
      <c r="B469" s="124"/>
      <c r="C469" s="57" t="s">
        <v>148</v>
      </c>
      <c r="D469" s="76">
        <v>1</v>
      </c>
      <c r="E469" s="69">
        <v>0</v>
      </c>
    </row>
    <row r="470" spans="1:5" ht="16.5">
      <c r="A470" s="46"/>
      <c r="B470" s="124"/>
      <c r="C470" s="57" t="s">
        <v>160</v>
      </c>
      <c r="D470" s="76">
        <v>1</v>
      </c>
      <c r="E470" s="69">
        <v>0</v>
      </c>
    </row>
    <row r="471" spans="1:5" ht="16.5">
      <c r="A471" s="46"/>
      <c r="B471" s="124"/>
      <c r="C471" s="73" t="s">
        <v>265</v>
      </c>
      <c r="D471" s="67">
        <v>19</v>
      </c>
      <c r="E471" s="72">
        <v>2E-3</v>
      </c>
    </row>
    <row r="472" spans="1:5" ht="16.5">
      <c r="A472" s="46"/>
      <c r="B472" s="124" t="s">
        <v>119</v>
      </c>
      <c r="C472" s="57" t="s">
        <v>148</v>
      </c>
      <c r="D472" s="76">
        <v>6</v>
      </c>
      <c r="E472" s="69">
        <v>1E-3</v>
      </c>
    </row>
    <row r="473" spans="1:5" ht="16.5">
      <c r="A473" s="46"/>
      <c r="B473" s="124"/>
      <c r="C473" s="57" t="s">
        <v>147</v>
      </c>
      <c r="D473" s="76">
        <v>5</v>
      </c>
      <c r="E473" s="69">
        <v>1E-3</v>
      </c>
    </row>
    <row r="474" spans="1:5" ht="16.5">
      <c r="A474" s="46"/>
      <c r="B474" s="124"/>
      <c r="C474" s="57" t="s">
        <v>156</v>
      </c>
      <c r="D474" s="76">
        <v>2</v>
      </c>
      <c r="E474" s="69">
        <v>0</v>
      </c>
    </row>
    <row r="475" spans="1:5" ht="16.5">
      <c r="A475" s="46"/>
      <c r="B475" s="124"/>
      <c r="C475" s="57" t="s">
        <v>149</v>
      </c>
      <c r="D475" s="76">
        <v>2</v>
      </c>
      <c r="E475" s="69">
        <v>0</v>
      </c>
    </row>
    <row r="476" spans="1:5" ht="16.5">
      <c r="A476" s="46"/>
      <c r="B476" s="124"/>
      <c r="C476" s="57" t="s">
        <v>142</v>
      </c>
      <c r="D476" s="76">
        <v>1</v>
      </c>
      <c r="E476" s="69">
        <v>0</v>
      </c>
    </row>
    <row r="477" spans="1:5" ht="16.5">
      <c r="A477" s="46"/>
      <c r="B477" s="124"/>
      <c r="C477" s="57" t="s">
        <v>155</v>
      </c>
      <c r="D477" s="76">
        <v>1</v>
      </c>
      <c r="E477" s="69">
        <v>0</v>
      </c>
    </row>
    <row r="478" spans="1:5" ht="16.5">
      <c r="A478" s="46"/>
      <c r="B478" s="124"/>
      <c r="C478" s="57" t="s">
        <v>157</v>
      </c>
      <c r="D478" s="76">
        <v>1</v>
      </c>
      <c r="E478" s="69">
        <v>0</v>
      </c>
    </row>
    <row r="479" spans="1:5" ht="16.5">
      <c r="A479" s="46"/>
      <c r="B479" s="124"/>
      <c r="C479" s="73" t="s">
        <v>265</v>
      </c>
      <c r="D479" s="67">
        <v>18</v>
      </c>
      <c r="E479" s="72">
        <v>2E-3</v>
      </c>
    </row>
    <row r="480" spans="1:5" ht="16.5">
      <c r="A480" s="46"/>
      <c r="B480" s="124" t="s">
        <v>96</v>
      </c>
      <c r="C480" s="57" t="s">
        <v>147</v>
      </c>
      <c r="D480" s="76">
        <v>5</v>
      </c>
      <c r="E480" s="69">
        <v>1E-3</v>
      </c>
    </row>
    <row r="481" spans="1:5" ht="16.5">
      <c r="A481" s="46"/>
      <c r="B481" s="124"/>
      <c r="C481" s="57" t="s">
        <v>148</v>
      </c>
      <c r="D481" s="76">
        <v>4</v>
      </c>
      <c r="E481" s="69">
        <v>0</v>
      </c>
    </row>
    <row r="482" spans="1:5" ht="16.5">
      <c r="A482" s="46"/>
      <c r="B482" s="124"/>
      <c r="C482" s="57" t="s">
        <v>146</v>
      </c>
      <c r="D482" s="76">
        <v>3</v>
      </c>
      <c r="E482" s="69">
        <v>0</v>
      </c>
    </row>
    <row r="483" spans="1:5" ht="16.5">
      <c r="A483" s="46"/>
      <c r="B483" s="124"/>
      <c r="C483" s="57" t="s">
        <v>149</v>
      </c>
      <c r="D483" s="76">
        <v>3</v>
      </c>
      <c r="E483" s="69">
        <v>0</v>
      </c>
    </row>
    <row r="484" spans="1:5" ht="16.5">
      <c r="A484" s="46"/>
      <c r="B484" s="124"/>
      <c r="C484" s="57" t="s">
        <v>142</v>
      </c>
      <c r="D484" s="76">
        <v>1</v>
      </c>
      <c r="E484" s="69">
        <v>0</v>
      </c>
    </row>
    <row r="485" spans="1:5" ht="16.5">
      <c r="A485" s="46"/>
      <c r="B485" s="124"/>
      <c r="C485" s="57" t="s">
        <v>155</v>
      </c>
      <c r="D485" s="76">
        <v>1</v>
      </c>
      <c r="E485" s="69">
        <v>0</v>
      </c>
    </row>
    <row r="486" spans="1:5" ht="16.5">
      <c r="A486" s="46"/>
      <c r="B486" s="124"/>
      <c r="C486" s="73" t="s">
        <v>265</v>
      </c>
      <c r="D486" s="67">
        <v>17</v>
      </c>
      <c r="E486" s="72">
        <v>2E-3</v>
      </c>
    </row>
    <row r="487" spans="1:5" ht="16.5">
      <c r="A487" s="46"/>
      <c r="B487" s="124" t="s">
        <v>113</v>
      </c>
      <c r="C487" s="57" t="s">
        <v>146</v>
      </c>
      <c r="D487" s="76">
        <v>8</v>
      </c>
      <c r="E487" s="69">
        <v>1E-3</v>
      </c>
    </row>
    <row r="488" spans="1:5" ht="16.5">
      <c r="A488" s="46"/>
      <c r="B488" s="124"/>
      <c r="C488" s="57" t="s">
        <v>149</v>
      </c>
      <c r="D488" s="76">
        <v>4</v>
      </c>
      <c r="E488" s="69">
        <v>0</v>
      </c>
    </row>
    <row r="489" spans="1:5" ht="16.5">
      <c r="A489" s="46"/>
      <c r="B489" s="124"/>
      <c r="C489" s="57" t="s">
        <v>147</v>
      </c>
      <c r="D489" s="76">
        <v>3</v>
      </c>
      <c r="E489" s="69">
        <v>0</v>
      </c>
    </row>
    <row r="490" spans="1:5" ht="16.5">
      <c r="A490" s="46"/>
      <c r="B490" s="124"/>
      <c r="C490" s="57" t="s">
        <v>157</v>
      </c>
      <c r="D490" s="76">
        <v>1</v>
      </c>
      <c r="E490" s="69">
        <v>0</v>
      </c>
    </row>
    <row r="491" spans="1:5" ht="16.5">
      <c r="A491" s="46"/>
      <c r="B491" s="124"/>
      <c r="C491" s="57" t="s">
        <v>159</v>
      </c>
      <c r="D491" s="76">
        <v>1</v>
      </c>
      <c r="E491" s="69">
        <v>0</v>
      </c>
    </row>
    <row r="492" spans="1:5" ht="16.5">
      <c r="A492" s="46"/>
      <c r="B492" s="124"/>
      <c r="C492" s="73" t="s">
        <v>265</v>
      </c>
      <c r="D492" s="131">
        <v>17</v>
      </c>
      <c r="E492" s="70">
        <v>2E-3</v>
      </c>
    </row>
    <row r="493" spans="1:5" ht="16.5">
      <c r="A493" s="46"/>
      <c r="B493" s="124" t="s">
        <v>124</v>
      </c>
      <c r="C493" s="57" t="s">
        <v>149</v>
      </c>
      <c r="D493" s="76">
        <v>10</v>
      </c>
      <c r="E493" s="69">
        <v>1E-3</v>
      </c>
    </row>
    <row r="494" spans="1:5" ht="16.5">
      <c r="A494" s="46"/>
      <c r="B494" s="124"/>
      <c r="C494" s="57" t="s">
        <v>148</v>
      </c>
      <c r="D494" s="76">
        <v>3</v>
      </c>
      <c r="E494" s="69">
        <v>0</v>
      </c>
    </row>
    <row r="495" spans="1:5" ht="16.5">
      <c r="A495" s="46"/>
      <c r="B495" s="124"/>
      <c r="C495" s="57" t="s">
        <v>153</v>
      </c>
      <c r="D495" s="76">
        <v>2</v>
      </c>
      <c r="E495" s="69">
        <v>0</v>
      </c>
    </row>
    <row r="496" spans="1:5" ht="16.5">
      <c r="A496" s="46"/>
      <c r="B496" s="124"/>
      <c r="C496" s="57" t="s">
        <v>142</v>
      </c>
      <c r="D496" s="76">
        <v>1</v>
      </c>
      <c r="E496" s="69">
        <v>0</v>
      </c>
    </row>
    <row r="497" spans="1:5" ht="16.5">
      <c r="A497" s="46"/>
      <c r="B497" s="124"/>
      <c r="C497" s="57" t="s">
        <v>155</v>
      </c>
      <c r="D497" s="76">
        <v>1</v>
      </c>
      <c r="E497" s="69">
        <v>0</v>
      </c>
    </row>
    <row r="498" spans="1:5" ht="16.5">
      <c r="A498" s="46"/>
      <c r="B498" s="124"/>
      <c r="C498" s="73" t="s">
        <v>265</v>
      </c>
      <c r="D498" s="67">
        <v>17</v>
      </c>
      <c r="E498" s="72">
        <v>2E-3</v>
      </c>
    </row>
    <row r="499" spans="1:5" ht="16.5">
      <c r="A499" s="46"/>
      <c r="B499" s="124" t="s">
        <v>125</v>
      </c>
      <c r="C499" s="57" t="s">
        <v>149</v>
      </c>
      <c r="D499" s="76">
        <v>4</v>
      </c>
      <c r="E499" s="69">
        <v>0</v>
      </c>
    </row>
    <row r="500" spans="1:5" ht="16.5">
      <c r="A500" s="46"/>
      <c r="B500" s="124"/>
      <c r="C500" s="57" t="s">
        <v>147</v>
      </c>
      <c r="D500" s="76">
        <v>2</v>
      </c>
      <c r="E500" s="69">
        <v>0</v>
      </c>
    </row>
    <row r="501" spans="1:5" ht="16.5">
      <c r="A501" s="46"/>
      <c r="B501" s="124"/>
      <c r="C501" s="57" t="s">
        <v>152</v>
      </c>
      <c r="D501" s="76">
        <v>1</v>
      </c>
      <c r="E501" s="69">
        <v>0</v>
      </c>
    </row>
    <row r="502" spans="1:5" ht="16.5">
      <c r="A502" s="46"/>
      <c r="B502" s="124"/>
      <c r="C502" s="57" t="s">
        <v>153</v>
      </c>
      <c r="D502" s="76">
        <v>1</v>
      </c>
      <c r="E502" s="69">
        <v>0</v>
      </c>
    </row>
    <row r="503" spans="1:5" ht="16.5">
      <c r="A503" s="46"/>
      <c r="B503" s="124"/>
      <c r="C503" s="57" t="s">
        <v>235</v>
      </c>
      <c r="D503" s="76">
        <v>1</v>
      </c>
      <c r="E503" s="69">
        <v>0</v>
      </c>
    </row>
    <row r="504" spans="1:5" ht="16.5">
      <c r="A504" s="46"/>
      <c r="B504" s="124"/>
      <c r="C504" s="57" t="s">
        <v>158</v>
      </c>
      <c r="D504" s="76">
        <v>1</v>
      </c>
      <c r="E504" s="69">
        <v>0</v>
      </c>
    </row>
    <row r="505" spans="1:5" ht="16.5">
      <c r="A505" s="46"/>
      <c r="B505" s="124"/>
      <c r="C505" s="57" t="s">
        <v>146</v>
      </c>
      <c r="D505" s="76">
        <v>1</v>
      </c>
      <c r="E505" s="69">
        <v>0</v>
      </c>
    </row>
    <row r="506" spans="1:5" ht="16.5">
      <c r="A506" s="46"/>
      <c r="B506" s="124"/>
      <c r="C506" s="57" t="s">
        <v>148</v>
      </c>
      <c r="D506" s="76">
        <v>1</v>
      </c>
      <c r="E506" s="69">
        <v>0</v>
      </c>
    </row>
    <row r="507" spans="1:5" ht="16.5">
      <c r="A507" s="46"/>
      <c r="B507" s="124"/>
      <c r="C507" s="73" t="s">
        <v>265</v>
      </c>
      <c r="D507" s="67">
        <v>12</v>
      </c>
      <c r="E507" s="72">
        <v>1E-3</v>
      </c>
    </row>
    <row r="508" spans="1:5" ht="16.5">
      <c r="A508" s="46"/>
      <c r="B508" s="124" t="s">
        <v>139</v>
      </c>
      <c r="C508" s="57" t="s">
        <v>153</v>
      </c>
      <c r="D508" s="76">
        <v>3</v>
      </c>
      <c r="E508" s="69">
        <v>0</v>
      </c>
    </row>
    <row r="509" spans="1:5" ht="16.5">
      <c r="A509" s="46"/>
      <c r="B509" s="124"/>
      <c r="C509" s="57" t="s">
        <v>145</v>
      </c>
      <c r="D509" s="76">
        <v>2</v>
      </c>
      <c r="E509" s="69">
        <v>0</v>
      </c>
    </row>
    <row r="510" spans="1:5" ht="16.5">
      <c r="A510" s="46"/>
      <c r="B510" s="124"/>
      <c r="C510" s="57" t="s">
        <v>149</v>
      </c>
      <c r="D510" s="76">
        <v>2</v>
      </c>
      <c r="E510" s="69">
        <v>0</v>
      </c>
    </row>
    <row r="511" spans="1:5" ht="16.5">
      <c r="A511" s="46"/>
      <c r="B511" s="124"/>
      <c r="C511" s="57" t="s">
        <v>156</v>
      </c>
      <c r="D511" s="76">
        <v>1</v>
      </c>
      <c r="E511" s="69">
        <v>0</v>
      </c>
    </row>
    <row r="512" spans="1:5" ht="16.5">
      <c r="A512" s="46"/>
      <c r="B512" s="124"/>
      <c r="C512" s="57" t="s">
        <v>157</v>
      </c>
      <c r="D512" s="76">
        <v>1</v>
      </c>
      <c r="E512" s="69">
        <v>0</v>
      </c>
    </row>
    <row r="513" spans="1:5" ht="16.5">
      <c r="A513" s="46"/>
      <c r="B513" s="124"/>
      <c r="C513" s="57" t="s">
        <v>146</v>
      </c>
      <c r="D513" s="76">
        <v>1</v>
      </c>
      <c r="E513" s="69">
        <v>0</v>
      </c>
    </row>
    <row r="514" spans="1:5" ht="16.5">
      <c r="A514" s="46"/>
      <c r="B514" s="124"/>
      <c r="C514" s="73" t="s">
        <v>265</v>
      </c>
      <c r="D514" s="67">
        <v>10</v>
      </c>
      <c r="E514" s="72">
        <v>1E-3</v>
      </c>
    </row>
    <row r="515" spans="1:5" ht="16.5">
      <c r="A515" s="46"/>
      <c r="B515" s="124" t="s">
        <v>103</v>
      </c>
      <c r="C515" s="57" t="s">
        <v>145</v>
      </c>
      <c r="D515" s="76">
        <v>2</v>
      </c>
      <c r="E515" s="69">
        <v>0</v>
      </c>
    </row>
    <row r="516" spans="1:5" ht="16.5">
      <c r="A516" s="46"/>
      <c r="B516" s="124"/>
      <c r="C516" s="57" t="s">
        <v>142</v>
      </c>
      <c r="D516" s="76">
        <v>1</v>
      </c>
      <c r="E516" s="69">
        <v>0</v>
      </c>
    </row>
    <row r="517" spans="1:5" ht="16.5">
      <c r="A517" s="46"/>
      <c r="B517" s="124"/>
      <c r="C517" s="57" t="s">
        <v>144</v>
      </c>
      <c r="D517" s="76">
        <v>1</v>
      </c>
      <c r="E517" s="69">
        <v>0</v>
      </c>
    </row>
    <row r="518" spans="1:5" ht="16.5">
      <c r="A518" s="46"/>
      <c r="B518" s="124"/>
      <c r="C518" s="57" t="s">
        <v>157</v>
      </c>
      <c r="D518" s="76">
        <v>1</v>
      </c>
      <c r="E518" s="69">
        <v>0</v>
      </c>
    </row>
    <row r="519" spans="1:5" ht="16.5">
      <c r="A519" s="46"/>
      <c r="B519" s="124"/>
      <c r="C519" s="57" t="s">
        <v>146</v>
      </c>
      <c r="D519" s="76">
        <v>1</v>
      </c>
      <c r="E519" s="69">
        <v>0</v>
      </c>
    </row>
    <row r="520" spans="1:5" ht="16.5">
      <c r="A520" s="46"/>
      <c r="B520" s="124"/>
      <c r="C520" s="57" t="s">
        <v>147</v>
      </c>
      <c r="D520" s="76">
        <v>1</v>
      </c>
      <c r="E520" s="69">
        <v>0</v>
      </c>
    </row>
    <row r="521" spans="1:5" ht="16.5">
      <c r="A521" s="46"/>
      <c r="B521" s="124"/>
      <c r="C521" s="57" t="s">
        <v>149</v>
      </c>
      <c r="D521" s="76">
        <v>1</v>
      </c>
      <c r="E521" s="69">
        <v>0</v>
      </c>
    </row>
    <row r="522" spans="1:5" ht="16.5">
      <c r="A522" s="46"/>
      <c r="B522" s="124"/>
      <c r="C522" s="57" t="s">
        <v>150</v>
      </c>
      <c r="D522" s="76">
        <v>1</v>
      </c>
      <c r="E522" s="69">
        <v>0</v>
      </c>
    </row>
    <row r="523" spans="1:5" ht="16.5">
      <c r="A523" s="46"/>
      <c r="B523" s="124"/>
      <c r="C523" s="73" t="s">
        <v>265</v>
      </c>
      <c r="D523" s="67">
        <v>9</v>
      </c>
      <c r="E523" s="72">
        <v>1E-3</v>
      </c>
    </row>
    <row r="524" spans="1:5" ht="16.5">
      <c r="A524" s="46"/>
      <c r="B524" s="124" t="s">
        <v>118</v>
      </c>
      <c r="C524" s="57" t="s">
        <v>147</v>
      </c>
      <c r="D524" s="76">
        <v>3</v>
      </c>
      <c r="E524" s="69">
        <v>0</v>
      </c>
    </row>
    <row r="525" spans="1:5" ht="16.5">
      <c r="A525" s="46"/>
      <c r="B525" s="124"/>
      <c r="C525" s="57" t="s">
        <v>149</v>
      </c>
      <c r="D525" s="76">
        <v>3</v>
      </c>
      <c r="E525" s="69">
        <v>0</v>
      </c>
    </row>
    <row r="526" spans="1:5" ht="16.5">
      <c r="A526" s="46"/>
      <c r="B526" s="124"/>
      <c r="C526" s="57" t="s">
        <v>153</v>
      </c>
      <c r="D526" s="76">
        <v>1</v>
      </c>
      <c r="E526" s="69">
        <v>0</v>
      </c>
    </row>
    <row r="527" spans="1:5" ht="16.5">
      <c r="A527" s="46"/>
      <c r="B527" s="124"/>
      <c r="C527" s="57" t="s">
        <v>150</v>
      </c>
      <c r="D527" s="76">
        <v>1</v>
      </c>
      <c r="E527" s="69">
        <v>0</v>
      </c>
    </row>
    <row r="528" spans="1:5" ht="16.5">
      <c r="A528" s="46"/>
      <c r="B528" s="124"/>
      <c r="C528" s="73" t="s">
        <v>265</v>
      </c>
      <c r="D528" s="67">
        <v>8</v>
      </c>
      <c r="E528" s="72">
        <v>1E-3</v>
      </c>
    </row>
    <row r="529" spans="1:5" ht="16.5">
      <c r="A529" s="46"/>
      <c r="B529" s="124" t="s">
        <v>106</v>
      </c>
      <c r="C529" s="57" t="s">
        <v>149</v>
      </c>
      <c r="D529" s="76">
        <v>3</v>
      </c>
      <c r="E529" s="69">
        <v>0</v>
      </c>
    </row>
    <row r="530" spans="1:5" ht="16.5">
      <c r="A530" s="46"/>
      <c r="B530" s="124"/>
      <c r="C530" s="57" t="s">
        <v>156</v>
      </c>
      <c r="D530" s="76">
        <v>1</v>
      </c>
      <c r="E530" s="69">
        <v>0</v>
      </c>
    </row>
    <row r="531" spans="1:5" ht="16.5">
      <c r="A531" s="46"/>
      <c r="B531" s="124"/>
      <c r="C531" s="57" t="s">
        <v>145</v>
      </c>
      <c r="D531" s="76">
        <v>1</v>
      </c>
      <c r="E531" s="69">
        <v>0</v>
      </c>
    </row>
    <row r="532" spans="1:5" ht="16.5">
      <c r="A532" s="46"/>
      <c r="B532" s="124"/>
      <c r="C532" s="73" t="s">
        <v>265</v>
      </c>
      <c r="D532" s="67">
        <v>5</v>
      </c>
      <c r="E532" s="72">
        <v>1E-3</v>
      </c>
    </row>
    <row r="533" spans="1:5" ht="16.5">
      <c r="A533" s="46"/>
      <c r="B533" s="124" t="s">
        <v>133</v>
      </c>
      <c r="C533" s="57" t="s">
        <v>142</v>
      </c>
      <c r="D533" s="76">
        <v>1</v>
      </c>
      <c r="E533" s="69">
        <v>0</v>
      </c>
    </row>
    <row r="534" spans="1:5" ht="16.5">
      <c r="A534" s="46"/>
      <c r="B534" s="124"/>
      <c r="C534" s="57" t="s">
        <v>153</v>
      </c>
      <c r="D534" s="76">
        <v>1</v>
      </c>
      <c r="E534" s="69">
        <v>0</v>
      </c>
    </row>
    <row r="535" spans="1:5" ht="16.5">
      <c r="A535" s="46"/>
      <c r="B535" s="124"/>
      <c r="C535" s="57" t="s">
        <v>148</v>
      </c>
      <c r="D535" s="76">
        <v>1</v>
      </c>
      <c r="E535" s="69">
        <v>0</v>
      </c>
    </row>
    <row r="536" spans="1:5" ht="16.5">
      <c r="A536" s="46"/>
      <c r="B536" s="124"/>
      <c r="C536" s="57" t="s">
        <v>149</v>
      </c>
      <c r="D536" s="76">
        <v>1</v>
      </c>
      <c r="E536" s="69">
        <v>0</v>
      </c>
    </row>
    <row r="537" spans="1:5" ht="16.5">
      <c r="A537" s="46"/>
      <c r="B537" s="124"/>
      <c r="C537" s="73" t="s">
        <v>265</v>
      </c>
      <c r="D537" s="67">
        <v>4</v>
      </c>
      <c r="E537" s="72">
        <v>0</v>
      </c>
    </row>
    <row r="538" spans="1:5" ht="16.5">
      <c r="A538" s="46"/>
      <c r="B538" s="124" t="s">
        <v>102</v>
      </c>
      <c r="C538" s="57" t="s">
        <v>149</v>
      </c>
      <c r="D538" s="76">
        <v>3</v>
      </c>
      <c r="E538" s="69">
        <v>0</v>
      </c>
    </row>
    <row r="539" spans="1:5" ht="16.5">
      <c r="A539" s="46"/>
      <c r="B539" s="124"/>
      <c r="C539" s="73" t="s">
        <v>265</v>
      </c>
      <c r="D539" s="67">
        <v>3</v>
      </c>
      <c r="E539" s="72">
        <v>0</v>
      </c>
    </row>
    <row r="540" spans="1:5" ht="16.5">
      <c r="A540" s="46"/>
      <c r="B540" s="124" t="s">
        <v>114</v>
      </c>
      <c r="C540" s="57" t="s">
        <v>155</v>
      </c>
      <c r="D540" s="76">
        <v>1</v>
      </c>
      <c r="E540" s="69">
        <v>0</v>
      </c>
    </row>
    <row r="541" spans="1:5" ht="16.5">
      <c r="A541" s="46"/>
      <c r="B541" s="124"/>
      <c r="C541" s="57" t="s">
        <v>156</v>
      </c>
      <c r="D541" s="76">
        <v>1</v>
      </c>
      <c r="E541" s="69">
        <v>0</v>
      </c>
    </row>
    <row r="542" spans="1:5" ht="16.5">
      <c r="A542" s="46"/>
      <c r="B542" s="124"/>
      <c r="C542" s="57" t="s">
        <v>149</v>
      </c>
      <c r="D542" s="76">
        <v>1</v>
      </c>
      <c r="E542" s="69">
        <v>0</v>
      </c>
    </row>
    <row r="543" spans="1:5" ht="16.5">
      <c r="A543" s="46"/>
      <c r="B543" s="124"/>
      <c r="C543" s="73" t="s">
        <v>265</v>
      </c>
      <c r="D543" s="67">
        <v>3</v>
      </c>
      <c r="E543" s="72">
        <v>0</v>
      </c>
    </row>
    <row r="544" spans="1:5" ht="16.5">
      <c r="A544" s="46"/>
      <c r="B544" s="124" t="s">
        <v>97</v>
      </c>
      <c r="C544" s="57" t="s">
        <v>154</v>
      </c>
      <c r="D544" s="76">
        <v>1</v>
      </c>
      <c r="E544" s="69">
        <v>0</v>
      </c>
    </row>
    <row r="545" spans="1:5" ht="16.5">
      <c r="A545" s="46"/>
      <c r="B545" s="124"/>
      <c r="C545" s="57" t="s">
        <v>149</v>
      </c>
      <c r="D545" s="76">
        <v>1</v>
      </c>
      <c r="E545" s="69">
        <v>0</v>
      </c>
    </row>
    <row r="546" spans="1:5" ht="16.5">
      <c r="A546" s="46"/>
      <c r="B546" s="124"/>
      <c r="C546" s="73" t="s">
        <v>265</v>
      </c>
      <c r="D546" s="67">
        <v>2</v>
      </c>
      <c r="E546" s="72">
        <v>0</v>
      </c>
    </row>
    <row r="547" spans="1:5" ht="16.5">
      <c r="A547" s="46"/>
      <c r="B547" s="124" t="s">
        <v>115</v>
      </c>
      <c r="C547" s="57" t="s">
        <v>161</v>
      </c>
      <c r="D547" s="76">
        <v>1</v>
      </c>
      <c r="E547" s="69">
        <v>0</v>
      </c>
    </row>
    <row r="548" spans="1:5" ht="16.5">
      <c r="A548" s="46"/>
      <c r="B548" s="124"/>
      <c r="C548" s="57" t="s">
        <v>148</v>
      </c>
      <c r="D548" s="76">
        <v>1</v>
      </c>
      <c r="E548" s="69">
        <v>0</v>
      </c>
    </row>
    <row r="549" spans="1:5" ht="16.5">
      <c r="A549" s="46"/>
      <c r="B549" s="124"/>
      <c r="C549" s="73" t="s">
        <v>265</v>
      </c>
      <c r="D549" s="67">
        <v>2</v>
      </c>
      <c r="E549" s="72">
        <v>0</v>
      </c>
    </row>
    <row r="550" spans="1:5" ht="16.5">
      <c r="A550" s="46"/>
      <c r="B550" s="124" t="s">
        <v>120</v>
      </c>
      <c r="C550" s="57" t="s">
        <v>147</v>
      </c>
      <c r="D550" s="76">
        <v>1</v>
      </c>
      <c r="E550" s="69">
        <v>0</v>
      </c>
    </row>
    <row r="551" spans="1:5" ht="16.5">
      <c r="A551" s="46"/>
      <c r="B551" s="124"/>
      <c r="C551" s="57" t="s">
        <v>160</v>
      </c>
      <c r="D551" s="76">
        <v>1</v>
      </c>
      <c r="E551" s="69">
        <v>0</v>
      </c>
    </row>
    <row r="552" spans="1:5" ht="16.5">
      <c r="A552" s="46"/>
      <c r="B552" s="124"/>
      <c r="C552" s="73" t="s">
        <v>265</v>
      </c>
      <c r="D552" s="67">
        <v>2</v>
      </c>
      <c r="E552" s="72">
        <v>0</v>
      </c>
    </row>
    <row r="553" spans="1:5" ht="16.5">
      <c r="A553" s="46"/>
      <c r="B553" s="124" t="s">
        <v>127</v>
      </c>
      <c r="C553" s="57" t="s">
        <v>158</v>
      </c>
      <c r="D553" s="76">
        <v>2</v>
      </c>
      <c r="E553" s="69">
        <v>0</v>
      </c>
    </row>
    <row r="554" spans="1:5" ht="16.5">
      <c r="A554" s="46"/>
      <c r="B554" s="124"/>
      <c r="C554" s="73" t="s">
        <v>265</v>
      </c>
      <c r="D554" s="67">
        <v>2</v>
      </c>
      <c r="E554" s="72">
        <v>0</v>
      </c>
    </row>
    <row r="555" spans="1:5" ht="16.5">
      <c r="A555" s="46"/>
      <c r="B555" s="124" t="s">
        <v>234</v>
      </c>
      <c r="C555" s="57" t="s">
        <v>235</v>
      </c>
      <c r="D555" s="76">
        <v>1</v>
      </c>
      <c r="E555" s="69">
        <v>0</v>
      </c>
    </row>
    <row r="556" spans="1:5" ht="16.5">
      <c r="A556" s="46"/>
      <c r="B556" s="124"/>
      <c r="C556" s="57" t="s">
        <v>147</v>
      </c>
      <c r="D556" s="76">
        <v>1</v>
      </c>
      <c r="E556" s="69">
        <v>0</v>
      </c>
    </row>
    <row r="557" spans="1:5" ht="16.5">
      <c r="A557" s="46"/>
      <c r="B557" s="124"/>
      <c r="C557" s="73" t="s">
        <v>265</v>
      </c>
      <c r="D557" s="67">
        <v>2</v>
      </c>
      <c r="E557" s="72">
        <v>0</v>
      </c>
    </row>
    <row r="558" spans="1:5" ht="16.5">
      <c r="A558" s="46"/>
      <c r="B558" s="132" t="s">
        <v>265</v>
      </c>
      <c r="C558" s="133"/>
      <c r="D558" s="40">
        <v>8379</v>
      </c>
      <c r="E558" s="75">
        <v>1</v>
      </c>
    </row>
    <row r="559" spans="1:5" ht="15" customHeight="1">
      <c r="A559" s="46"/>
      <c r="B559" s="46"/>
      <c r="C559" s="46"/>
      <c r="D559" s="46"/>
      <c r="E559" s="46"/>
    </row>
    <row r="560" spans="1:5" ht="15" customHeight="1">
      <c r="A560" s="46"/>
      <c r="B560" s="35" t="s">
        <v>232</v>
      </c>
      <c r="C560" s="35"/>
      <c r="D560" s="46"/>
      <c r="E560" s="46"/>
    </row>
    <row r="561" spans="1:5" ht="15" customHeight="1">
      <c r="A561" s="46"/>
      <c r="B561" s="36" t="s">
        <v>18</v>
      </c>
      <c r="C561" s="36"/>
      <c r="D561" s="46"/>
      <c r="E561" s="46"/>
    </row>
    <row r="562" spans="1:5" ht="15" customHeight="1">
      <c r="A562" s="46"/>
      <c r="B562" s="37" t="s">
        <v>45</v>
      </c>
      <c r="C562" s="37"/>
      <c r="D562" s="46"/>
      <c r="E562" s="46"/>
    </row>
    <row r="563" spans="1:5" ht="15" customHeight="1">
      <c r="A563" s="46"/>
      <c r="B563" s="35" t="s">
        <v>17</v>
      </c>
      <c r="C563" s="35"/>
      <c r="D563" s="46"/>
      <c r="E563" s="46"/>
    </row>
    <row r="564" spans="1:5" ht="15" customHeight="1">
      <c r="A564" s="46"/>
      <c r="B564" s="35" t="s">
        <v>266</v>
      </c>
      <c r="C564" s="35"/>
      <c r="D564" s="46"/>
      <c r="E564" s="46"/>
    </row>
  </sheetData>
  <mergeCells count="48">
    <mergeCell ref="B558:C558"/>
    <mergeCell ref="B293:B303"/>
    <mergeCell ref="B7:E8"/>
    <mergeCell ref="B480:B486"/>
    <mergeCell ref="B487:B492"/>
    <mergeCell ref="B493:B498"/>
    <mergeCell ref="B461:B471"/>
    <mergeCell ref="B472:B479"/>
    <mergeCell ref="B304:B316"/>
    <mergeCell ref="B317:B328"/>
    <mergeCell ref="B329:B342"/>
    <mergeCell ref="B276:B292"/>
    <mergeCell ref="B343:B356"/>
    <mergeCell ref="B357:B371"/>
    <mergeCell ref="B372:B384"/>
    <mergeCell ref="B385:B396"/>
    <mergeCell ref="B397:B411"/>
    <mergeCell ref="B426:B438"/>
    <mergeCell ref="B439:B450"/>
    <mergeCell ref="B451:B460"/>
    <mergeCell ref="B553:B554"/>
    <mergeCell ref="B515:B523"/>
    <mergeCell ref="B524:B528"/>
    <mergeCell ref="B529:B532"/>
    <mergeCell ref="B499:B507"/>
    <mergeCell ref="B508:B514"/>
    <mergeCell ref="B544:B546"/>
    <mergeCell ref="B547:B549"/>
    <mergeCell ref="B550:B552"/>
    <mergeCell ref="B533:B537"/>
    <mergeCell ref="B540:B543"/>
    <mergeCell ref="B538:B539"/>
    <mergeCell ref="B555:B557"/>
    <mergeCell ref="B10:B31"/>
    <mergeCell ref="B32:B53"/>
    <mergeCell ref="B54:B74"/>
    <mergeCell ref="B75:B93"/>
    <mergeCell ref="B94:B114"/>
    <mergeCell ref="B115:B133"/>
    <mergeCell ref="B134:B153"/>
    <mergeCell ref="B154:B173"/>
    <mergeCell ref="B174:B186"/>
    <mergeCell ref="B187:B206"/>
    <mergeCell ref="B207:B226"/>
    <mergeCell ref="B227:B241"/>
    <mergeCell ref="B242:B260"/>
    <mergeCell ref="B261:B275"/>
    <mergeCell ref="B412:B4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68"/>
  <sheetViews>
    <sheetView showGridLines="0" view="pageBreakPreview" topLeftCell="A30" zoomScale="115" zoomScaleNormal="100" zoomScaleSheetLayoutView="115" workbookViewId="0">
      <selection activeCell="A42" sqref="A42"/>
    </sheetView>
  </sheetViews>
  <sheetFormatPr baseColWidth="10" defaultColWidth="11.42578125" defaultRowHeight="15"/>
  <cols>
    <col min="1" max="1" width="9.28515625" style="13" customWidth="1"/>
    <col min="2" max="2" width="35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10.7109375" style="13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29"/>
      <c r="B7" s="107" t="s">
        <v>37</v>
      </c>
      <c r="C7" s="107"/>
      <c r="D7" s="107"/>
      <c r="E7" s="29"/>
    </row>
    <row r="8" spans="1:5" s="15" customFormat="1" ht="15" customHeight="1">
      <c r="A8" s="29"/>
      <c r="B8" s="107"/>
      <c r="C8" s="107"/>
      <c r="D8" s="107"/>
      <c r="E8" s="29"/>
    </row>
    <row r="9" spans="1:5" s="15" customFormat="1" ht="33" customHeight="1">
      <c r="A9" s="29"/>
      <c r="B9" s="107"/>
      <c r="C9" s="107"/>
      <c r="D9" s="107"/>
      <c r="E9" s="29"/>
    </row>
    <row r="10" spans="1:5" s="15" customFormat="1" ht="4.5" customHeight="1">
      <c r="A10" s="29"/>
      <c r="B10" s="30"/>
      <c r="C10" s="30"/>
      <c r="D10" s="30"/>
      <c r="E10" s="29"/>
    </row>
    <row r="11" spans="1:5" s="15" customFormat="1" ht="29.25" customHeight="1">
      <c r="A11" s="29"/>
      <c r="B11" s="31" t="s">
        <v>27</v>
      </c>
      <c r="C11" s="32" t="s">
        <v>26</v>
      </c>
      <c r="D11" s="33" t="s">
        <v>19</v>
      </c>
      <c r="E11" s="29"/>
    </row>
    <row r="12" spans="1:5" ht="16.5">
      <c r="A12" s="34"/>
      <c r="B12" s="63" t="s">
        <v>162</v>
      </c>
      <c r="C12" s="58">
        <v>97</v>
      </c>
      <c r="D12" s="59">
        <v>1.1576560448741001E-2</v>
      </c>
      <c r="E12" s="34"/>
    </row>
    <row r="13" spans="1:5" ht="16.5">
      <c r="A13" s="34"/>
      <c r="B13" s="63" t="s">
        <v>163</v>
      </c>
      <c r="C13" s="58">
        <v>36</v>
      </c>
      <c r="D13" s="59">
        <v>4.2964554242749999E-3</v>
      </c>
      <c r="E13" s="34"/>
    </row>
    <row r="14" spans="1:5" ht="16.5">
      <c r="A14" s="34"/>
      <c r="B14" s="63" t="s">
        <v>164</v>
      </c>
      <c r="C14" s="58">
        <v>64</v>
      </c>
      <c r="D14" s="59">
        <v>7.6381429764889996E-3</v>
      </c>
      <c r="E14" s="34"/>
    </row>
    <row r="15" spans="1:5" ht="16.5">
      <c r="A15" s="34"/>
      <c r="B15" s="63" t="s">
        <v>165</v>
      </c>
      <c r="C15" s="58">
        <v>137</v>
      </c>
      <c r="D15" s="59">
        <v>1.6350399809045998E-2</v>
      </c>
      <c r="E15" s="34"/>
    </row>
    <row r="16" spans="1:5" ht="16.5">
      <c r="A16" s="34"/>
      <c r="B16" s="63" t="s">
        <v>166</v>
      </c>
      <c r="C16" s="58">
        <v>87</v>
      </c>
      <c r="D16" s="59">
        <v>1.0383100608665E-2</v>
      </c>
      <c r="E16" s="34"/>
    </row>
    <row r="17" spans="1:5" ht="16.5">
      <c r="A17" s="34"/>
      <c r="B17" s="63" t="s">
        <v>167</v>
      </c>
      <c r="C17" s="58">
        <v>102</v>
      </c>
      <c r="D17" s="59">
        <v>1.2173290368779E-2</v>
      </c>
      <c r="E17" s="34"/>
    </row>
    <row r="18" spans="1:5" ht="16.5">
      <c r="A18" s="34"/>
      <c r="B18" s="63" t="s">
        <v>168</v>
      </c>
      <c r="C18" s="58">
        <v>543</v>
      </c>
      <c r="D18" s="59">
        <v>6.4804869316147998E-2</v>
      </c>
      <c r="E18" s="34"/>
    </row>
    <row r="19" spans="1:5" ht="15" customHeight="1">
      <c r="A19" s="34"/>
      <c r="B19" s="63" t="s">
        <v>169</v>
      </c>
      <c r="C19" s="58">
        <v>922</v>
      </c>
      <c r="D19" s="59">
        <v>0.110036997255042</v>
      </c>
      <c r="E19" s="34"/>
    </row>
    <row r="20" spans="1:5" ht="16.5">
      <c r="A20" s="34"/>
      <c r="B20" s="63" t="s">
        <v>170</v>
      </c>
      <c r="C20" s="58">
        <v>84</v>
      </c>
      <c r="D20" s="59">
        <v>1.0025062656642001E-2</v>
      </c>
      <c r="E20" s="34"/>
    </row>
    <row r="21" spans="1:5" ht="16.5">
      <c r="A21" s="34"/>
      <c r="B21" s="63" t="s">
        <v>171</v>
      </c>
      <c r="C21" s="58">
        <v>142</v>
      </c>
      <c r="D21" s="59">
        <v>1.6947129729084999E-2</v>
      </c>
      <c r="E21" s="34"/>
    </row>
    <row r="22" spans="1:5" ht="16.5">
      <c r="A22" s="34"/>
      <c r="B22" s="63" t="s">
        <v>172</v>
      </c>
      <c r="C22" s="58">
        <v>348</v>
      </c>
      <c r="D22" s="59">
        <v>4.1532402434658E-2</v>
      </c>
      <c r="E22" s="34"/>
    </row>
    <row r="23" spans="1:5" ht="15" customHeight="1">
      <c r="A23" s="34"/>
      <c r="B23" s="63" t="s">
        <v>173</v>
      </c>
      <c r="C23" s="58">
        <v>2626</v>
      </c>
      <c r="D23" s="59">
        <v>0.31340255400405798</v>
      </c>
      <c r="E23" s="34"/>
    </row>
    <row r="24" spans="1:5" ht="16.5">
      <c r="A24" s="34"/>
      <c r="B24" s="63" t="s">
        <v>174</v>
      </c>
      <c r="C24" s="58">
        <v>165</v>
      </c>
      <c r="D24" s="59">
        <v>1.9692087361260002E-2</v>
      </c>
      <c r="E24" s="34"/>
    </row>
    <row r="25" spans="1:5" ht="15" customHeight="1">
      <c r="A25" s="34"/>
      <c r="B25" s="63" t="s">
        <v>175</v>
      </c>
      <c r="C25" s="58">
        <v>536</v>
      </c>
      <c r="D25" s="59">
        <v>6.3969447428094003E-2</v>
      </c>
      <c r="E25" s="34"/>
    </row>
    <row r="26" spans="1:5" ht="15" customHeight="1">
      <c r="A26" s="34"/>
      <c r="B26" s="63" t="s">
        <v>176</v>
      </c>
      <c r="C26" s="58">
        <v>1917</v>
      </c>
      <c r="D26" s="59">
        <v>0.22878625134264199</v>
      </c>
      <c r="E26" s="34"/>
    </row>
    <row r="27" spans="1:5" ht="16.5">
      <c r="A27" s="34"/>
      <c r="B27" s="63" t="s">
        <v>177</v>
      </c>
      <c r="C27" s="58">
        <v>35</v>
      </c>
      <c r="D27" s="59">
        <v>4.177109440267E-3</v>
      </c>
      <c r="E27" s="34"/>
    </row>
    <row r="28" spans="1:5" ht="16.5">
      <c r="A28" s="34"/>
      <c r="B28" s="63" t="s">
        <v>178</v>
      </c>
      <c r="C28" s="58">
        <v>41</v>
      </c>
      <c r="D28" s="59">
        <v>4.8931853443130004E-3</v>
      </c>
      <c r="E28" s="34"/>
    </row>
    <row r="29" spans="1:5" ht="16.5">
      <c r="A29" s="34"/>
      <c r="B29" s="63" t="s">
        <v>179</v>
      </c>
      <c r="C29" s="58">
        <v>15</v>
      </c>
      <c r="D29" s="59">
        <v>1.790189760115E-3</v>
      </c>
      <c r="E29" s="34"/>
    </row>
    <row r="30" spans="1:5" ht="16.5">
      <c r="A30" s="34"/>
      <c r="B30" s="63" t="s">
        <v>180</v>
      </c>
      <c r="C30" s="58">
        <v>10</v>
      </c>
      <c r="D30" s="59">
        <v>1.1934598400760001E-3</v>
      </c>
      <c r="E30" s="34"/>
    </row>
    <row r="31" spans="1:5" ht="16.5">
      <c r="A31" s="34"/>
      <c r="B31" s="63" t="s">
        <v>181</v>
      </c>
      <c r="C31" s="58">
        <v>111</v>
      </c>
      <c r="D31" s="59">
        <v>1.3247404224848E-2</v>
      </c>
      <c r="E31" s="34"/>
    </row>
    <row r="32" spans="1:5" ht="16.5">
      <c r="A32" s="34"/>
      <c r="B32" s="63" t="s">
        <v>182</v>
      </c>
      <c r="C32" s="58">
        <v>342</v>
      </c>
      <c r="D32" s="59">
        <v>4.0816326530611999E-2</v>
      </c>
      <c r="E32" s="34"/>
    </row>
    <row r="33" spans="1:5" ht="16.5">
      <c r="A33" s="34"/>
      <c r="B33" s="63" t="s">
        <v>249</v>
      </c>
      <c r="C33" s="58">
        <v>3</v>
      </c>
      <c r="D33" s="59">
        <v>3.58037952023E-4</v>
      </c>
      <c r="E33" s="34"/>
    </row>
    <row r="34" spans="1:5" ht="16.5">
      <c r="A34" s="34"/>
      <c r="B34" s="63" t="s">
        <v>183</v>
      </c>
      <c r="C34" s="58">
        <v>13</v>
      </c>
      <c r="D34" s="59">
        <v>1.5514977920990001E-3</v>
      </c>
      <c r="E34" s="34"/>
    </row>
    <row r="35" spans="1:5" ht="14.25" customHeight="1">
      <c r="A35" s="34"/>
      <c r="B35" s="63" t="s">
        <v>250</v>
      </c>
      <c r="C35" s="58">
        <v>3</v>
      </c>
      <c r="D35" s="59">
        <v>3.58037952023E-4</v>
      </c>
      <c r="E35" s="34"/>
    </row>
    <row r="36" spans="1:5" ht="16.5">
      <c r="A36" s="34"/>
      <c r="B36" s="80" t="s">
        <v>267</v>
      </c>
      <c r="C36" s="61">
        <v>8379</v>
      </c>
      <c r="D36" s="62">
        <v>1</v>
      </c>
      <c r="E36" s="34"/>
    </row>
    <row r="37" spans="1:5" ht="16.5">
      <c r="A37" s="34"/>
      <c r="B37" s="36"/>
      <c r="C37" s="34"/>
      <c r="D37" s="34"/>
      <c r="E37" s="34"/>
    </row>
    <row r="38" spans="1:5" ht="16.5">
      <c r="A38" s="35" t="s">
        <v>232</v>
      </c>
      <c r="B38" s="37"/>
      <c r="C38" s="34"/>
      <c r="D38" s="34"/>
      <c r="E38" s="34"/>
    </row>
    <row r="39" spans="1:5" ht="16.5">
      <c r="A39" s="36" t="s">
        <v>18</v>
      </c>
      <c r="B39" s="35"/>
      <c r="C39" s="34"/>
      <c r="D39" s="34"/>
      <c r="E39" s="34"/>
    </row>
    <row r="40" spans="1:5" ht="16.5">
      <c r="A40" s="37" t="s">
        <v>45</v>
      </c>
      <c r="B40" s="35"/>
      <c r="C40" s="34"/>
      <c r="D40" s="34"/>
      <c r="E40" s="34"/>
    </row>
    <row r="41" spans="1:5" ht="16.5">
      <c r="A41" s="35" t="s">
        <v>17</v>
      </c>
      <c r="B41" s="34"/>
      <c r="C41" s="34"/>
      <c r="D41" s="34"/>
      <c r="E41" s="34"/>
    </row>
    <row r="42" spans="1:5" ht="16.5">
      <c r="A42" s="35" t="s">
        <v>266</v>
      </c>
      <c r="B42" s="34"/>
      <c r="C42" s="38"/>
      <c r="D42" s="34"/>
      <c r="E42" s="34"/>
    </row>
    <row r="43" spans="1:5">
      <c r="C43" s="13"/>
    </row>
    <row r="44" spans="1:5">
      <c r="C44" s="13"/>
    </row>
    <row r="45" spans="1:5">
      <c r="C45" s="13"/>
    </row>
    <row r="46" spans="1:5">
      <c r="C46" s="13"/>
    </row>
    <row r="47" spans="1:5">
      <c r="C47" s="13"/>
    </row>
    <row r="48" spans="1:5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06"/>
  <sheetViews>
    <sheetView showGridLines="0" view="pageBreakPreview" topLeftCell="A487" zoomScaleNormal="100" zoomScaleSheetLayoutView="100" workbookViewId="0">
      <selection activeCell="E489" sqref="E48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B6" s="41"/>
      <c r="C6" s="42"/>
      <c r="D6" s="42"/>
      <c r="E6" s="42"/>
    </row>
    <row r="7" spans="1:5" s="20" customFormat="1" ht="26.25" customHeight="1">
      <c r="A7" s="21"/>
      <c r="B7" s="116"/>
      <c r="C7" s="116"/>
      <c r="D7" s="116"/>
      <c r="E7" s="116"/>
    </row>
    <row r="8" spans="1:5" s="20" customFormat="1" ht="33" customHeight="1">
      <c r="A8" s="21"/>
      <c r="B8" s="116"/>
      <c r="C8" s="116"/>
      <c r="D8" s="116"/>
      <c r="E8" s="116"/>
    </row>
    <row r="9" spans="1:5" s="15" customFormat="1" ht="40.5" customHeight="1">
      <c r="B9" s="81" t="s">
        <v>28</v>
      </c>
      <c r="C9" s="82" t="s">
        <v>25</v>
      </c>
      <c r="D9" s="83" t="s">
        <v>20</v>
      </c>
      <c r="E9" s="81" t="s">
        <v>19</v>
      </c>
    </row>
    <row r="10" spans="1:5" ht="15" customHeight="1">
      <c r="B10" s="117" t="s">
        <v>162</v>
      </c>
      <c r="C10" s="84" t="s">
        <v>96</v>
      </c>
      <c r="D10" s="85">
        <v>1</v>
      </c>
      <c r="E10" s="86">
        <v>0</v>
      </c>
    </row>
    <row r="11" spans="1:5" ht="15" customHeight="1">
      <c r="B11" s="118"/>
      <c r="C11" s="84" t="s">
        <v>100</v>
      </c>
      <c r="D11" s="85">
        <v>73</v>
      </c>
      <c r="E11" s="86">
        <v>8.9999999999999993E-3</v>
      </c>
    </row>
    <row r="12" spans="1:5" ht="15" customHeight="1">
      <c r="B12" s="118"/>
      <c r="C12" s="84" t="s">
        <v>101</v>
      </c>
      <c r="D12" s="85">
        <v>2</v>
      </c>
      <c r="E12" s="86">
        <v>0</v>
      </c>
    </row>
    <row r="13" spans="1:5" ht="15" customHeight="1">
      <c r="B13" s="118"/>
      <c r="C13" s="84" t="s">
        <v>104</v>
      </c>
      <c r="D13" s="85">
        <v>1</v>
      </c>
      <c r="E13" s="86">
        <v>0</v>
      </c>
    </row>
    <row r="14" spans="1:5" ht="15" customHeight="1">
      <c r="B14" s="118"/>
      <c r="C14" s="84" t="s">
        <v>105</v>
      </c>
      <c r="D14" s="85">
        <v>1</v>
      </c>
      <c r="E14" s="86">
        <v>0</v>
      </c>
    </row>
    <row r="15" spans="1:5" ht="15" customHeight="1">
      <c r="B15" s="118"/>
      <c r="C15" s="84" t="s">
        <v>107</v>
      </c>
      <c r="D15" s="85">
        <v>2</v>
      </c>
      <c r="E15" s="86">
        <v>0</v>
      </c>
    </row>
    <row r="16" spans="1:5" ht="15" customHeight="1">
      <c r="B16" s="118"/>
      <c r="C16" s="84" t="s">
        <v>108</v>
      </c>
      <c r="D16" s="85">
        <v>1</v>
      </c>
      <c r="E16" s="86">
        <v>0</v>
      </c>
    </row>
    <row r="17" spans="2:5" ht="15" customHeight="1">
      <c r="B17" s="118"/>
      <c r="C17" s="84" t="s">
        <v>117</v>
      </c>
      <c r="D17" s="85">
        <v>1</v>
      </c>
      <c r="E17" s="86">
        <v>0</v>
      </c>
    </row>
    <row r="18" spans="2:5" ht="15" customHeight="1">
      <c r="B18" s="118"/>
      <c r="C18" s="84" t="s">
        <v>121</v>
      </c>
      <c r="D18" s="85">
        <v>1</v>
      </c>
      <c r="E18" s="86">
        <v>0</v>
      </c>
    </row>
    <row r="19" spans="2:5" ht="15" customHeight="1">
      <c r="B19" s="118"/>
      <c r="C19" s="84" t="s">
        <v>122</v>
      </c>
      <c r="D19" s="85">
        <v>7</v>
      </c>
      <c r="E19" s="86">
        <v>1E-3</v>
      </c>
    </row>
    <row r="20" spans="2:5" ht="15" customHeight="1">
      <c r="B20" s="118"/>
      <c r="C20" s="84" t="s">
        <v>126</v>
      </c>
      <c r="D20" s="85">
        <v>1</v>
      </c>
      <c r="E20" s="86">
        <v>0</v>
      </c>
    </row>
    <row r="21" spans="2:5" ht="15" customHeight="1">
      <c r="B21" s="118"/>
      <c r="C21" s="84" t="s">
        <v>129</v>
      </c>
      <c r="D21" s="85">
        <v>1</v>
      </c>
      <c r="E21" s="86">
        <v>0</v>
      </c>
    </row>
    <row r="22" spans="2:5" ht="15" customHeight="1">
      <c r="B22" s="118"/>
      <c r="C22" s="84" t="s">
        <v>134</v>
      </c>
      <c r="D22" s="85">
        <v>1</v>
      </c>
      <c r="E22" s="86">
        <v>0</v>
      </c>
    </row>
    <row r="23" spans="2:5" ht="15" customHeight="1">
      <c r="B23" s="118"/>
      <c r="C23" s="84" t="s">
        <v>135</v>
      </c>
      <c r="D23" s="85">
        <v>3</v>
      </c>
      <c r="E23" s="86">
        <v>0</v>
      </c>
    </row>
    <row r="24" spans="2:5" ht="15" customHeight="1">
      <c r="B24" s="118"/>
      <c r="C24" s="84" t="s">
        <v>136</v>
      </c>
      <c r="D24" s="85">
        <v>1</v>
      </c>
      <c r="E24" s="86">
        <v>0</v>
      </c>
    </row>
    <row r="25" spans="2:5" ht="15" customHeight="1">
      <c r="B25" s="119"/>
      <c r="C25" s="87" t="s">
        <v>265</v>
      </c>
      <c r="D25" s="88">
        <v>97</v>
      </c>
      <c r="E25" s="89">
        <v>1.2E-2</v>
      </c>
    </row>
    <row r="26" spans="2:5" ht="15" customHeight="1">
      <c r="B26" s="117" t="s">
        <v>236</v>
      </c>
      <c r="C26" s="84" t="s">
        <v>98</v>
      </c>
      <c r="D26" s="85">
        <v>1</v>
      </c>
      <c r="E26" s="86">
        <v>0</v>
      </c>
    </row>
    <row r="27" spans="2:5" ht="15" customHeight="1">
      <c r="B27" s="118"/>
      <c r="C27" s="84" t="s">
        <v>99</v>
      </c>
      <c r="D27" s="85">
        <v>1</v>
      </c>
      <c r="E27" s="86">
        <v>0</v>
      </c>
    </row>
    <row r="28" spans="2:5" ht="15" customHeight="1">
      <c r="B28" s="118"/>
      <c r="C28" s="84" t="s">
        <v>100</v>
      </c>
      <c r="D28" s="85">
        <v>24</v>
      </c>
      <c r="E28" s="86">
        <v>3.0000000000000001E-3</v>
      </c>
    </row>
    <row r="29" spans="2:5" ht="15" customHeight="1">
      <c r="B29" s="118"/>
      <c r="C29" s="84" t="s">
        <v>105</v>
      </c>
      <c r="D29" s="85">
        <v>2</v>
      </c>
      <c r="E29" s="86">
        <v>0</v>
      </c>
    </row>
    <row r="30" spans="2:5" ht="15" customHeight="1">
      <c r="B30" s="118"/>
      <c r="C30" s="84" t="s">
        <v>106</v>
      </c>
      <c r="D30" s="85">
        <v>1</v>
      </c>
      <c r="E30" s="86">
        <v>0</v>
      </c>
    </row>
    <row r="31" spans="2:5" ht="15" customHeight="1">
      <c r="B31" s="118"/>
      <c r="C31" s="84" t="s">
        <v>109</v>
      </c>
      <c r="D31" s="85">
        <v>2</v>
      </c>
      <c r="E31" s="86">
        <v>0</v>
      </c>
    </row>
    <row r="32" spans="2:5" ht="15" customHeight="1">
      <c r="B32" s="118"/>
      <c r="C32" s="84" t="s">
        <v>111</v>
      </c>
      <c r="D32" s="85">
        <v>1</v>
      </c>
      <c r="E32" s="86">
        <v>0</v>
      </c>
    </row>
    <row r="33" spans="2:5" ht="15" customHeight="1">
      <c r="B33" s="118"/>
      <c r="C33" s="84" t="s">
        <v>131</v>
      </c>
      <c r="D33" s="85">
        <v>1</v>
      </c>
      <c r="E33" s="86">
        <v>0</v>
      </c>
    </row>
    <row r="34" spans="2:5" ht="15" customHeight="1">
      <c r="B34" s="118"/>
      <c r="C34" s="84" t="s">
        <v>135</v>
      </c>
      <c r="D34" s="85">
        <v>2</v>
      </c>
      <c r="E34" s="86">
        <v>0</v>
      </c>
    </row>
    <row r="35" spans="2:5" ht="15" customHeight="1">
      <c r="B35" s="118"/>
      <c r="C35" s="84" t="s">
        <v>78</v>
      </c>
      <c r="D35" s="85">
        <v>1</v>
      </c>
      <c r="E35" s="86">
        <v>0</v>
      </c>
    </row>
    <row r="36" spans="2:5" ht="15" customHeight="1">
      <c r="B36" s="119"/>
      <c r="C36" s="87" t="s">
        <v>265</v>
      </c>
      <c r="D36" s="88">
        <v>36</v>
      </c>
      <c r="E36" s="89">
        <v>4.0000000000000001E-3</v>
      </c>
    </row>
    <row r="37" spans="2:5" ht="15" customHeight="1">
      <c r="B37" s="117" t="s">
        <v>237</v>
      </c>
      <c r="C37" s="84" t="s">
        <v>98</v>
      </c>
      <c r="D37" s="85">
        <v>1</v>
      </c>
      <c r="E37" s="86">
        <v>0</v>
      </c>
    </row>
    <row r="38" spans="2:5" ht="15" customHeight="1">
      <c r="B38" s="118"/>
      <c r="C38" s="84" t="s">
        <v>100</v>
      </c>
      <c r="D38" s="85">
        <v>43</v>
      </c>
      <c r="E38" s="86">
        <v>5.0000000000000001E-3</v>
      </c>
    </row>
    <row r="39" spans="2:5" ht="15" customHeight="1">
      <c r="B39" s="118"/>
      <c r="C39" s="84" t="s">
        <v>101</v>
      </c>
      <c r="D39" s="85">
        <v>1</v>
      </c>
      <c r="E39" s="86">
        <v>0</v>
      </c>
    </row>
    <row r="40" spans="2:5" ht="15" customHeight="1">
      <c r="B40" s="118"/>
      <c r="C40" s="84" t="s">
        <v>104</v>
      </c>
      <c r="D40" s="85">
        <v>2</v>
      </c>
      <c r="E40" s="86">
        <v>0</v>
      </c>
    </row>
    <row r="41" spans="2:5" ht="15" customHeight="1">
      <c r="B41" s="118"/>
      <c r="C41" s="84" t="s">
        <v>105</v>
      </c>
      <c r="D41" s="85">
        <v>3</v>
      </c>
      <c r="E41" s="86">
        <v>0</v>
      </c>
    </row>
    <row r="42" spans="2:5" ht="15" customHeight="1">
      <c r="B42" s="118"/>
      <c r="C42" s="84" t="s">
        <v>108</v>
      </c>
      <c r="D42" s="85">
        <v>1</v>
      </c>
      <c r="E42" s="86">
        <v>0</v>
      </c>
    </row>
    <row r="43" spans="2:5" ht="15" customHeight="1">
      <c r="B43" s="118"/>
      <c r="C43" s="84" t="s">
        <v>122</v>
      </c>
      <c r="D43" s="85">
        <v>3</v>
      </c>
      <c r="E43" s="86">
        <v>0</v>
      </c>
    </row>
    <row r="44" spans="2:5" ht="15" customHeight="1">
      <c r="B44" s="118"/>
      <c r="C44" s="84" t="s">
        <v>126</v>
      </c>
      <c r="D44" s="85">
        <v>1</v>
      </c>
      <c r="E44" s="86">
        <v>0</v>
      </c>
    </row>
    <row r="45" spans="2:5" ht="15" customHeight="1">
      <c r="B45" s="118"/>
      <c r="C45" s="84" t="s">
        <v>129</v>
      </c>
      <c r="D45" s="85">
        <v>1</v>
      </c>
      <c r="E45" s="86">
        <v>0</v>
      </c>
    </row>
    <row r="46" spans="2:5" ht="15" customHeight="1">
      <c r="B46" s="118"/>
      <c r="C46" s="84" t="s">
        <v>130</v>
      </c>
      <c r="D46" s="85">
        <v>1</v>
      </c>
      <c r="E46" s="86">
        <v>0</v>
      </c>
    </row>
    <row r="47" spans="2:5" ht="15" customHeight="1">
      <c r="B47" s="118"/>
      <c r="C47" s="84" t="s">
        <v>132</v>
      </c>
      <c r="D47" s="85">
        <v>1</v>
      </c>
      <c r="E47" s="86">
        <v>0</v>
      </c>
    </row>
    <row r="48" spans="2:5" ht="15" customHeight="1">
      <c r="B48" s="118"/>
      <c r="C48" s="84" t="s">
        <v>133</v>
      </c>
      <c r="D48" s="85">
        <v>1</v>
      </c>
      <c r="E48" s="86">
        <v>0</v>
      </c>
    </row>
    <row r="49" spans="2:5" ht="15" customHeight="1">
      <c r="B49" s="118"/>
      <c r="C49" s="84" t="s">
        <v>135</v>
      </c>
      <c r="D49" s="85">
        <v>2</v>
      </c>
      <c r="E49" s="86">
        <v>0</v>
      </c>
    </row>
    <row r="50" spans="2:5" ht="15" customHeight="1">
      <c r="B50" s="118"/>
      <c r="C50" s="84" t="s">
        <v>137</v>
      </c>
      <c r="D50" s="85">
        <v>1</v>
      </c>
      <c r="E50" s="86">
        <v>0</v>
      </c>
    </row>
    <row r="51" spans="2:5" ht="15" customHeight="1">
      <c r="B51" s="118"/>
      <c r="C51" s="84" t="s">
        <v>78</v>
      </c>
      <c r="D51" s="85">
        <v>1</v>
      </c>
      <c r="E51" s="86">
        <v>0</v>
      </c>
    </row>
    <row r="52" spans="2:5" ht="15" customHeight="1">
      <c r="B52" s="118"/>
      <c r="C52" s="84" t="s">
        <v>138</v>
      </c>
      <c r="D52" s="85">
        <v>1</v>
      </c>
      <c r="E52" s="86">
        <v>0</v>
      </c>
    </row>
    <row r="53" spans="2:5" ht="15" customHeight="1">
      <c r="B53" s="119"/>
      <c r="C53" s="87" t="s">
        <v>265</v>
      </c>
      <c r="D53" s="88">
        <v>64</v>
      </c>
      <c r="E53" s="89">
        <v>8.0000000000000002E-3</v>
      </c>
    </row>
    <row r="54" spans="2:5" ht="15" customHeight="1">
      <c r="B54" s="117" t="s">
        <v>238</v>
      </c>
      <c r="C54" s="84" t="s">
        <v>98</v>
      </c>
      <c r="D54" s="85">
        <v>8</v>
      </c>
      <c r="E54" s="86">
        <v>1E-3</v>
      </c>
    </row>
    <row r="55" spans="2:5" ht="15" customHeight="1">
      <c r="B55" s="118"/>
      <c r="C55" s="84" t="s">
        <v>100</v>
      </c>
      <c r="D55" s="85">
        <v>90</v>
      </c>
      <c r="E55" s="86">
        <v>1.0999999999999999E-2</v>
      </c>
    </row>
    <row r="56" spans="2:5" ht="15" customHeight="1">
      <c r="B56" s="118"/>
      <c r="C56" s="84" t="s">
        <v>101</v>
      </c>
      <c r="D56" s="85">
        <v>2</v>
      </c>
      <c r="E56" s="86">
        <v>0</v>
      </c>
    </row>
    <row r="57" spans="2:5" ht="15" customHeight="1">
      <c r="B57" s="118"/>
      <c r="C57" s="84" t="s">
        <v>104</v>
      </c>
      <c r="D57" s="85">
        <v>2</v>
      </c>
      <c r="E57" s="86">
        <v>0</v>
      </c>
    </row>
    <row r="58" spans="2:5" ht="15" customHeight="1">
      <c r="B58" s="118"/>
      <c r="C58" s="84" t="s">
        <v>105</v>
      </c>
      <c r="D58" s="85">
        <v>2</v>
      </c>
      <c r="E58" s="86">
        <v>0</v>
      </c>
    </row>
    <row r="59" spans="2:5" ht="15" customHeight="1">
      <c r="B59" s="118"/>
      <c r="C59" s="84" t="s">
        <v>107</v>
      </c>
      <c r="D59" s="85">
        <v>2</v>
      </c>
      <c r="E59" s="86">
        <v>0</v>
      </c>
    </row>
    <row r="60" spans="2:5" ht="15" customHeight="1">
      <c r="B60" s="118"/>
      <c r="C60" s="84" t="s">
        <v>108</v>
      </c>
      <c r="D60" s="85">
        <v>2</v>
      </c>
      <c r="E60" s="86">
        <v>0</v>
      </c>
    </row>
    <row r="61" spans="2:5" ht="15" customHeight="1">
      <c r="B61" s="118"/>
      <c r="C61" s="84" t="s">
        <v>109</v>
      </c>
      <c r="D61" s="85">
        <v>3</v>
      </c>
      <c r="E61" s="86">
        <v>0</v>
      </c>
    </row>
    <row r="62" spans="2:5" ht="15" customHeight="1">
      <c r="B62" s="118"/>
      <c r="C62" s="84" t="s">
        <v>112</v>
      </c>
      <c r="D62" s="85">
        <v>1</v>
      </c>
      <c r="E62" s="86">
        <v>0</v>
      </c>
    </row>
    <row r="63" spans="2:5" ht="15" customHeight="1">
      <c r="B63" s="118"/>
      <c r="C63" s="84" t="s">
        <v>117</v>
      </c>
      <c r="D63" s="85">
        <v>1</v>
      </c>
      <c r="E63" s="86">
        <v>0</v>
      </c>
    </row>
    <row r="64" spans="2:5" ht="15" customHeight="1">
      <c r="B64" s="118"/>
      <c r="C64" s="84" t="s">
        <v>121</v>
      </c>
      <c r="D64" s="85">
        <v>1</v>
      </c>
      <c r="E64" s="86">
        <v>0</v>
      </c>
    </row>
    <row r="65" spans="2:5" ht="15" customHeight="1">
      <c r="B65" s="118"/>
      <c r="C65" s="84" t="s">
        <v>122</v>
      </c>
      <c r="D65" s="85">
        <v>6</v>
      </c>
      <c r="E65" s="86">
        <v>1E-3</v>
      </c>
    </row>
    <row r="66" spans="2:5" ht="15" customHeight="1">
      <c r="B66" s="118"/>
      <c r="C66" s="84" t="s">
        <v>125</v>
      </c>
      <c r="D66" s="85">
        <v>1</v>
      </c>
      <c r="E66" s="86">
        <v>0</v>
      </c>
    </row>
    <row r="67" spans="2:5" ht="15" customHeight="1">
      <c r="B67" s="118"/>
      <c r="C67" s="84" t="s">
        <v>126</v>
      </c>
      <c r="D67" s="85">
        <v>2</v>
      </c>
      <c r="E67" s="86">
        <v>0</v>
      </c>
    </row>
    <row r="68" spans="2:5" ht="15" customHeight="1">
      <c r="B68" s="118"/>
      <c r="C68" s="84" t="s">
        <v>129</v>
      </c>
      <c r="D68" s="85">
        <v>1</v>
      </c>
      <c r="E68" s="86">
        <v>0</v>
      </c>
    </row>
    <row r="69" spans="2:5" ht="15" customHeight="1">
      <c r="B69" s="118"/>
      <c r="C69" s="84" t="s">
        <v>130</v>
      </c>
      <c r="D69" s="85">
        <v>4</v>
      </c>
      <c r="E69" s="86">
        <v>0</v>
      </c>
    </row>
    <row r="70" spans="2:5" ht="15" customHeight="1">
      <c r="B70" s="118"/>
      <c r="C70" s="84" t="s">
        <v>132</v>
      </c>
      <c r="D70" s="85">
        <v>1</v>
      </c>
      <c r="E70" s="86">
        <v>0</v>
      </c>
    </row>
    <row r="71" spans="2:5" ht="15" customHeight="1">
      <c r="B71" s="118"/>
      <c r="C71" s="84" t="s">
        <v>135</v>
      </c>
      <c r="D71" s="85">
        <v>1</v>
      </c>
      <c r="E71" s="86">
        <v>0</v>
      </c>
    </row>
    <row r="72" spans="2:5" ht="15" customHeight="1">
      <c r="B72" s="118"/>
      <c r="C72" s="84" t="s">
        <v>136</v>
      </c>
      <c r="D72" s="85">
        <v>5</v>
      </c>
      <c r="E72" s="86">
        <v>1E-3</v>
      </c>
    </row>
    <row r="73" spans="2:5" ht="15" customHeight="1">
      <c r="B73" s="118"/>
      <c r="C73" s="84" t="s">
        <v>78</v>
      </c>
      <c r="D73" s="85">
        <v>1</v>
      </c>
      <c r="E73" s="86">
        <v>0</v>
      </c>
    </row>
    <row r="74" spans="2:5" ht="15" customHeight="1">
      <c r="B74" s="118"/>
      <c r="C74" s="84" t="s">
        <v>139</v>
      </c>
      <c r="D74" s="85">
        <v>1</v>
      </c>
      <c r="E74" s="86">
        <v>0</v>
      </c>
    </row>
    <row r="75" spans="2:5" ht="15" customHeight="1">
      <c r="B75" s="119"/>
      <c r="C75" s="87" t="s">
        <v>265</v>
      </c>
      <c r="D75" s="88">
        <v>137</v>
      </c>
      <c r="E75" s="89">
        <v>1.6E-2</v>
      </c>
    </row>
    <row r="76" spans="2:5" ht="15" customHeight="1">
      <c r="B76" s="117" t="s">
        <v>239</v>
      </c>
      <c r="C76" s="84" t="s">
        <v>98</v>
      </c>
      <c r="D76" s="85">
        <v>3</v>
      </c>
      <c r="E76" s="86">
        <v>0</v>
      </c>
    </row>
    <row r="77" spans="2:5" ht="15" customHeight="1">
      <c r="B77" s="118"/>
      <c r="C77" s="84" t="s">
        <v>100</v>
      </c>
      <c r="D77" s="85">
        <v>61</v>
      </c>
      <c r="E77" s="86">
        <v>7.0000000000000001E-3</v>
      </c>
    </row>
    <row r="78" spans="2:5" ht="15" customHeight="1">
      <c r="B78" s="118"/>
      <c r="C78" s="84" t="s">
        <v>101</v>
      </c>
      <c r="D78" s="85">
        <v>6</v>
      </c>
      <c r="E78" s="86">
        <v>1E-3</v>
      </c>
    </row>
    <row r="79" spans="2:5" ht="15" customHeight="1">
      <c r="B79" s="118"/>
      <c r="C79" s="84" t="s">
        <v>107</v>
      </c>
      <c r="D79" s="85">
        <v>1</v>
      </c>
      <c r="E79" s="86">
        <v>0</v>
      </c>
    </row>
    <row r="80" spans="2:5" ht="15" customHeight="1">
      <c r="B80" s="118"/>
      <c r="C80" s="84" t="s">
        <v>108</v>
      </c>
      <c r="D80" s="85">
        <v>1</v>
      </c>
      <c r="E80" s="86">
        <v>0</v>
      </c>
    </row>
    <row r="81" spans="2:5" ht="15" customHeight="1">
      <c r="B81" s="118"/>
      <c r="C81" s="84" t="s">
        <v>112</v>
      </c>
      <c r="D81" s="85">
        <v>1</v>
      </c>
      <c r="E81" s="86">
        <v>0</v>
      </c>
    </row>
    <row r="82" spans="2:5" ht="15" customHeight="1">
      <c r="B82" s="118"/>
      <c r="C82" s="84" t="s">
        <v>116</v>
      </c>
      <c r="D82" s="85">
        <v>1</v>
      </c>
      <c r="E82" s="86">
        <v>0</v>
      </c>
    </row>
    <row r="83" spans="2:5" ht="15" customHeight="1">
      <c r="B83" s="118"/>
      <c r="C83" s="84" t="s">
        <v>122</v>
      </c>
      <c r="D83" s="85">
        <v>1</v>
      </c>
      <c r="E83" s="86">
        <v>0</v>
      </c>
    </row>
    <row r="84" spans="2:5" ht="15" customHeight="1">
      <c r="B84" s="118"/>
      <c r="C84" s="84" t="s">
        <v>126</v>
      </c>
      <c r="D84" s="85">
        <v>2</v>
      </c>
      <c r="E84" s="86">
        <v>0</v>
      </c>
    </row>
    <row r="85" spans="2:5" ht="15" customHeight="1">
      <c r="B85" s="118"/>
      <c r="C85" s="84" t="s">
        <v>129</v>
      </c>
      <c r="D85" s="85">
        <v>1</v>
      </c>
      <c r="E85" s="86">
        <v>0</v>
      </c>
    </row>
    <row r="86" spans="2:5" ht="15" customHeight="1">
      <c r="B86" s="118"/>
      <c r="C86" s="84" t="s">
        <v>130</v>
      </c>
      <c r="D86" s="85">
        <v>1</v>
      </c>
      <c r="E86" s="86">
        <v>0</v>
      </c>
    </row>
    <row r="87" spans="2:5" ht="15" customHeight="1">
      <c r="B87" s="118"/>
      <c r="C87" s="84" t="s">
        <v>132</v>
      </c>
      <c r="D87" s="85">
        <v>1</v>
      </c>
      <c r="E87" s="86">
        <v>0</v>
      </c>
    </row>
    <row r="88" spans="2:5" ht="15" customHeight="1">
      <c r="B88" s="118"/>
      <c r="C88" s="84" t="s">
        <v>135</v>
      </c>
      <c r="D88" s="85">
        <v>4</v>
      </c>
      <c r="E88" s="86">
        <v>0</v>
      </c>
    </row>
    <row r="89" spans="2:5" ht="15" customHeight="1">
      <c r="B89" s="118"/>
      <c r="C89" s="84" t="s">
        <v>136</v>
      </c>
      <c r="D89" s="85">
        <v>1</v>
      </c>
      <c r="E89" s="86">
        <v>0</v>
      </c>
    </row>
    <row r="90" spans="2:5" ht="15" customHeight="1">
      <c r="B90" s="118"/>
      <c r="C90" s="84" t="s">
        <v>78</v>
      </c>
      <c r="D90" s="85">
        <v>2</v>
      </c>
      <c r="E90" s="86">
        <v>0</v>
      </c>
    </row>
    <row r="91" spans="2:5" ht="15" customHeight="1">
      <c r="B91" s="119"/>
      <c r="C91" s="87" t="s">
        <v>265</v>
      </c>
      <c r="D91" s="88">
        <v>87</v>
      </c>
      <c r="E91" s="89">
        <v>0.01</v>
      </c>
    </row>
    <row r="92" spans="2:5" ht="15" customHeight="1">
      <c r="B92" s="117" t="s">
        <v>240</v>
      </c>
      <c r="C92" s="84" t="s">
        <v>96</v>
      </c>
      <c r="D92" s="85">
        <v>1</v>
      </c>
      <c r="E92" s="86">
        <v>0</v>
      </c>
    </row>
    <row r="93" spans="2:5" ht="15" customHeight="1">
      <c r="B93" s="118"/>
      <c r="C93" s="84" t="s">
        <v>98</v>
      </c>
      <c r="D93" s="85">
        <v>3</v>
      </c>
      <c r="E93" s="86">
        <v>0</v>
      </c>
    </row>
    <row r="94" spans="2:5" ht="15" customHeight="1">
      <c r="B94" s="118"/>
      <c r="C94" s="84" t="s">
        <v>100</v>
      </c>
      <c r="D94" s="85">
        <v>77</v>
      </c>
      <c r="E94" s="86">
        <v>8.9999999999999993E-3</v>
      </c>
    </row>
    <row r="95" spans="2:5" ht="15" customHeight="1">
      <c r="B95" s="118"/>
      <c r="C95" s="84" t="s">
        <v>101</v>
      </c>
      <c r="D95" s="85">
        <v>3</v>
      </c>
      <c r="E95" s="86">
        <v>0</v>
      </c>
    </row>
    <row r="96" spans="2:5" ht="15" customHeight="1">
      <c r="B96" s="118"/>
      <c r="C96" s="84" t="s">
        <v>104</v>
      </c>
      <c r="D96" s="85">
        <v>2</v>
      </c>
      <c r="E96" s="86">
        <v>0</v>
      </c>
    </row>
    <row r="97" spans="2:5" ht="15" customHeight="1">
      <c r="B97" s="118"/>
      <c r="C97" s="84" t="s">
        <v>105</v>
      </c>
      <c r="D97" s="85">
        <v>1</v>
      </c>
      <c r="E97" s="86">
        <v>0</v>
      </c>
    </row>
    <row r="98" spans="2:5" ht="15" customHeight="1">
      <c r="B98" s="118"/>
      <c r="C98" s="84" t="s">
        <v>107</v>
      </c>
      <c r="D98" s="85">
        <v>2</v>
      </c>
      <c r="E98" s="86">
        <v>0</v>
      </c>
    </row>
    <row r="99" spans="2:5" ht="15" customHeight="1">
      <c r="B99" s="118"/>
      <c r="C99" s="84" t="s">
        <v>108</v>
      </c>
      <c r="D99" s="85">
        <v>2</v>
      </c>
      <c r="E99" s="86">
        <v>0</v>
      </c>
    </row>
    <row r="100" spans="2:5" ht="15" customHeight="1">
      <c r="B100" s="118"/>
      <c r="C100" s="84" t="s">
        <v>111</v>
      </c>
      <c r="D100" s="85">
        <v>1</v>
      </c>
      <c r="E100" s="86">
        <v>0</v>
      </c>
    </row>
    <row r="101" spans="2:5" ht="15" customHeight="1">
      <c r="B101" s="118"/>
      <c r="C101" s="84" t="s">
        <v>121</v>
      </c>
      <c r="D101" s="85">
        <v>1</v>
      </c>
      <c r="E101" s="86">
        <v>0</v>
      </c>
    </row>
    <row r="102" spans="2:5" ht="15" customHeight="1">
      <c r="B102" s="118"/>
      <c r="C102" s="84" t="s">
        <v>122</v>
      </c>
      <c r="D102" s="85">
        <v>2</v>
      </c>
      <c r="E102" s="86">
        <v>0</v>
      </c>
    </row>
    <row r="103" spans="2:5" ht="15" customHeight="1">
      <c r="B103" s="118"/>
      <c r="C103" s="84" t="s">
        <v>129</v>
      </c>
      <c r="D103" s="85">
        <v>1</v>
      </c>
      <c r="E103" s="86">
        <v>0</v>
      </c>
    </row>
    <row r="104" spans="2:5" ht="15" customHeight="1">
      <c r="B104" s="118"/>
      <c r="C104" s="84" t="s">
        <v>130</v>
      </c>
      <c r="D104" s="85">
        <v>1</v>
      </c>
      <c r="E104" s="86">
        <v>0</v>
      </c>
    </row>
    <row r="105" spans="2:5" ht="15" customHeight="1">
      <c r="B105" s="118"/>
      <c r="C105" s="84" t="s">
        <v>134</v>
      </c>
      <c r="D105" s="85">
        <v>1</v>
      </c>
      <c r="E105" s="86">
        <v>0</v>
      </c>
    </row>
    <row r="106" spans="2:5" ht="15" customHeight="1">
      <c r="B106" s="118"/>
      <c r="C106" s="84" t="s">
        <v>135</v>
      </c>
      <c r="D106" s="85">
        <v>2</v>
      </c>
      <c r="E106" s="86">
        <v>0</v>
      </c>
    </row>
    <row r="107" spans="2:5" ht="15" customHeight="1">
      <c r="B107" s="118"/>
      <c r="C107" s="84" t="s">
        <v>136</v>
      </c>
      <c r="D107" s="85">
        <v>1</v>
      </c>
      <c r="E107" s="86">
        <v>0</v>
      </c>
    </row>
    <row r="108" spans="2:5" ht="15" customHeight="1">
      <c r="B108" s="118"/>
      <c r="C108" s="84" t="s">
        <v>78</v>
      </c>
      <c r="D108" s="85">
        <v>1</v>
      </c>
      <c r="E108" s="86">
        <v>0</v>
      </c>
    </row>
    <row r="109" spans="2:5" ht="15" customHeight="1">
      <c r="B109" s="119"/>
      <c r="C109" s="87" t="s">
        <v>265</v>
      </c>
      <c r="D109" s="88">
        <v>102</v>
      </c>
      <c r="E109" s="89">
        <v>1.2E-2</v>
      </c>
    </row>
    <row r="110" spans="2:5" ht="15" customHeight="1">
      <c r="B110" s="117" t="s">
        <v>241</v>
      </c>
      <c r="C110" s="84" t="s">
        <v>98</v>
      </c>
      <c r="D110" s="85">
        <v>13</v>
      </c>
      <c r="E110" s="86">
        <v>2E-3</v>
      </c>
    </row>
    <row r="111" spans="2:5" ht="15" customHeight="1">
      <c r="B111" s="118"/>
      <c r="C111" s="84" t="s">
        <v>99</v>
      </c>
      <c r="D111" s="85">
        <v>1</v>
      </c>
      <c r="E111" s="86">
        <v>0</v>
      </c>
    </row>
    <row r="112" spans="2:5" ht="15" customHeight="1">
      <c r="B112" s="118"/>
      <c r="C112" s="84" t="s">
        <v>100</v>
      </c>
      <c r="D112" s="85">
        <v>380</v>
      </c>
      <c r="E112" s="86">
        <v>4.4999999999999998E-2</v>
      </c>
    </row>
    <row r="113" spans="2:5" ht="15" customHeight="1">
      <c r="B113" s="118"/>
      <c r="C113" s="84" t="s">
        <v>101</v>
      </c>
      <c r="D113" s="85">
        <v>17</v>
      </c>
      <c r="E113" s="86">
        <v>2E-3</v>
      </c>
    </row>
    <row r="114" spans="2:5" ht="15" customHeight="1">
      <c r="B114" s="118"/>
      <c r="C114" s="84" t="s">
        <v>104</v>
      </c>
      <c r="D114" s="85">
        <v>3</v>
      </c>
      <c r="E114" s="86">
        <v>0</v>
      </c>
    </row>
    <row r="115" spans="2:5" ht="15" customHeight="1">
      <c r="B115" s="118"/>
      <c r="C115" s="84" t="s">
        <v>105</v>
      </c>
      <c r="D115" s="85">
        <v>3</v>
      </c>
      <c r="E115" s="86">
        <v>0</v>
      </c>
    </row>
    <row r="116" spans="2:5" ht="15" customHeight="1">
      <c r="B116" s="118"/>
      <c r="C116" s="84" t="s">
        <v>106</v>
      </c>
      <c r="D116" s="85">
        <v>1</v>
      </c>
      <c r="E116" s="86">
        <v>0</v>
      </c>
    </row>
    <row r="117" spans="2:5" ht="15" customHeight="1">
      <c r="B117" s="118"/>
      <c r="C117" s="84" t="s">
        <v>107</v>
      </c>
      <c r="D117" s="85">
        <v>9</v>
      </c>
      <c r="E117" s="86">
        <v>1E-3</v>
      </c>
    </row>
    <row r="118" spans="2:5" ht="15" customHeight="1">
      <c r="B118" s="118"/>
      <c r="C118" s="84" t="s">
        <v>108</v>
      </c>
      <c r="D118" s="85">
        <v>9</v>
      </c>
      <c r="E118" s="86">
        <v>1E-3</v>
      </c>
    </row>
    <row r="119" spans="2:5" ht="15" customHeight="1">
      <c r="B119" s="118"/>
      <c r="C119" s="84" t="s">
        <v>109</v>
      </c>
      <c r="D119" s="85">
        <v>2</v>
      </c>
      <c r="E119" s="86">
        <v>0</v>
      </c>
    </row>
    <row r="120" spans="2:5" ht="15" customHeight="1">
      <c r="B120" s="118"/>
      <c r="C120" s="84" t="s">
        <v>110</v>
      </c>
      <c r="D120" s="85">
        <v>3</v>
      </c>
      <c r="E120" s="86">
        <v>0</v>
      </c>
    </row>
    <row r="121" spans="2:5" ht="15" customHeight="1">
      <c r="B121" s="118"/>
      <c r="C121" s="84" t="s">
        <v>113</v>
      </c>
      <c r="D121" s="85">
        <v>1</v>
      </c>
      <c r="E121" s="86">
        <v>0</v>
      </c>
    </row>
    <row r="122" spans="2:5" ht="15" customHeight="1">
      <c r="B122" s="118"/>
      <c r="C122" s="84" t="s">
        <v>116</v>
      </c>
      <c r="D122" s="85">
        <v>4</v>
      </c>
      <c r="E122" s="86">
        <v>0</v>
      </c>
    </row>
    <row r="123" spans="2:5" ht="15" customHeight="1">
      <c r="B123" s="118"/>
      <c r="C123" s="84" t="s">
        <v>117</v>
      </c>
      <c r="D123" s="85">
        <v>3</v>
      </c>
      <c r="E123" s="86">
        <v>0</v>
      </c>
    </row>
    <row r="124" spans="2:5" ht="15" customHeight="1">
      <c r="B124" s="118"/>
      <c r="C124" s="84" t="s">
        <v>121</v>
      </c>
      <c r="D124" s="85">
        <v>2</v>
      </c>
      <c r="E124" s="86">
        <v>0</v>
      </c>
    </row>
    <row r="125" spans="2:5" ht="15" customHeight="1">
      <c r="B125" s="118"/>
      <c r="C125" s="84" t="s">
        <v>122</v>
      </c>
      <c r="D125" s="85">
        <v>33</v>
      </c>
      <c r="E125" s="86">
        <v>4.0000000000000001E-3</v>
      </c>
    </row>
    <row r="126" spans="2:5" ht="15" customHeight="1">
      <c r="B126" s="118"/>
      <c r="C126" s="84" t="s">
        <v>123</v>
      </c>
      <c r="D126" s="85">
        <v>1</v>
      </c>
      <c r="E126" s="86">
        <v>0</v>
      </c>
    </row>
    <row r="127" spans="2:5" ht="15" customHeight="1">
      <c r="B127" s="118"/>
      <c r="C127" s="84" t="s">
        <v>125</v>
      </c>
      <c r="D127" s="85">
        <v>1</v>
      </c>
      <c r="E127" s="86">
        <v>0</v>
      </c>
    </row>
    <row r="128" spans="2:5" ht="15" customHeight="1">
      <c r="B128" s="118"/>
      <c r="C128" s="84" t="s">
        <v>126</v>
      </c>
      <c r="D128" s="85">
        <v>5</v>
      </c>
      <c r="E128" s="86">
        <v>1E-3</v>
      </c>
    </row>
    <row r="129" spans="2:5" ht="15" customHeight="1">
      <c r="B129" s="118"/>
      <c r="C129" s="84" t="s">
        <v>128</v>
      </c>
      <c r="D129" s="85">
        <v>6</v>
      </c>
      <c r="E129" s="86">
        <v>1E-3</v>
      </c>
    </row>
    <row r="130" spans="2:5" ht="15" customHeight="1">
      <c r="B130" s="118"/>
      <c r="C130" s="84" t="s">
        <v>129</v>
      </c>
      <c r="D130" s="85">
        <v>5</v>
      </c>
      <c r="E130" s="86">
        <v>1E-3</v>
      </c>
    </row>
    <row r="131" spans="2:5" ht="15" customHeight="1">
      <c r="B131" s="118"/>
      <c r="C131" s="84" t="s">
        <v>130</v>
      </c>
      <c r="D131" s="85">
        <v>4</v>
      </c>
      <c r="E131" s="86">
        <v>0</v>
      </c>
    </row>
    <row r="132" spans="2:5" ht="15" customHeight="1">
      <c r="B132" s="118"/>
      <c r="C132" s="84" t="s">
        <v>131</v>
      </c>
      <c r="D132" s="85">
        <v>2</v>
      </c>
      <c r="E132" s="86">
        <v>0</v>
      </c>
    </row>
    <row r="133" spans="2:5" ht="15" customHeight="1">
      <c r="B133" s="118"/>
      <c r="C133" s="84" t="s">
        <v>134</v>
      </c>
      <c r="D133" s="85">
        <v>1</v>
      </c>
      <c r="E133" s="86">
        <v>0</v>
      </c>
    </row>
    <row r="134" spans="2:5" ht="15" customHeight="1">
      <c r="B134" s="118"/>
      <c r="C134" s="84" t="s">
        <v>135</v>
      </c>
      <c r="D134" s="85">
        <v>16</v>
      </c>
      <c r="E134" s="86">
        <v>2E-3</v>
      </c>
    </row>
    <row r="135" spans="2:5" ht="15" customHeight="1">
      <c r="B135" s="118"/>
      <c r="C135" s="84" t="s">
        <v>136</v>
      </c>
      <c r="D135" s="85">
        <v>10</v>
      </c>
      <c r="E135" s="86">
        <v>1E-3</v>
      </c>
    </row>
    <row r="136" spans="2:5" ht="15" customHeight="1">
      <c r="B136" s="118"/>
      <c r="C136" s="84" t="s">
        <v>137</v>
      </c>
      <c r="D136" s="85">
        <v>1</v>
      </c>
      <c r="E136" s="86">
        <v>0</v>
      </c>
    </row>
    <row r="137" spans="2:5" ht="15" customHeight="1">
      <c r="B137" s="118"/>
      <c r="C137" s="84" t="s">
        <v>78</v>
      </c>
      <c r="D137" s="85">
        <v>4</v>
      </c>
      <c r="E137" s="86">
        <v>0</v>
      </c>
    </row>
    <row r="138" spans="2:5" ht="15" customHeight="1">
      <c r="B138" s="118"/>
      <c r="C138" s="84" t="s">
        <v>138</v>
      </c>
      <c r="D138" s="85">
        <v>2</v>
      </c>
      <c r="E138" s="86">
        <v>0</v>
      </c>
    </row>
    <row r="139" spans="2:5" ht="15" customHeight="1">
      <c r="B139" s="118"/>
      <c r="C139" s="84" t="s">
        <v>139</v>
      </c>
      <c r="D139" s="85">
        <v>1</v>
      </c>
      <c r="E139" s="86">
        <v>0</v>
      </c>
    </row>
    <row r="140" spans="2:5" ht="15" customHeight="1">
      <c r="B140" s="119"/>
      <c r="C140" s="87" t="s">
        <v>265</v>
      </c>
      <c r="D140" s="88">
        <v>543</v>
      </c>
      <c r="E140" s="89">
        <v>6.5000000000000002E-2</v>
      </c>
    </row>
    <row r="141" spans="2:5" ht="15" customHeight="1">
      <c r="B141" s="117" t="s">
        <v>169</v>
      </c>
      <c r="C141" s="84" t="s">
        <v>96</v>
      </c>
      <c r="D141" s="85">
        <v>1</v>
      </c>
      <c r="E141" s="86">
        <v>0</v>
      </c>
    </row>
    <row r="142" spans="2:5" ht="15" customHeight="1">
      <c r="B142" s="118"/>
      <c r="C142" s="84" t="s">
        <v>98</v>
      </c>
      <c r="D142" s="85">
        <v>25</v>
      </c>
      <c r="E142" s="86">
        <v>3.0000000000000001E-3</v>
      </c>
    </row>
    <row r="143" spans="2:5" ht="15" customHeight="1">
      <c r="B143" s="118"/>
      <c r="C143" s="84" t="s">
        <v>99</v>
      </c>
      <c r="D143" s="85">
        <v>6</v>
      </c>
      <c r="E143" s="86">
        <v>1E-3</v>
      </c>
    </row>
    <row r="144" spans="2:5" ht="15" customHeight="1">
      <c r="B144" s="118"/>
      <c r="C144" s="84" t="s">
        <v>100</v>
      </c>
      <c r="D144" s="85">
        <v>581</v>
      </c>
      <c r="E144" s="86">
        <v>6.9000000000000006E-2</v>
      </c>
    </row>
    <row r="145" spans="2:5" ht="15" customHeight="1">
      <c r="B145" s="118"/>
      <c r="C145" s="84" t="s">
        <v>101</v>
      </c>
      <c r="D145" s="85">
        <v>27</v>
      </c>
      <c r="E145" s="86">
        <v>3.0000000000000001E-3</v>
      </c>
    </row>
    <row r="146" spans="2:5" ht="15" customHeight="1">
      <c r="B146" s="118"/>
      <c r="C146" s="84" t="s">
        <v>103</v>
      </c>
      <c r="D146" s="85">
        <v>1</v>
      </c>
      <c r="E146" s="86">
        <v>0</v>
      </c>
    </row>
    <row r="147" spans="2:5" ht="15" customHeight="1">
      <c r="B147" s="118"/>
      <c r="C147" s="84" t="s">
        <v>104</v>
      </c>
      <c r="D147" s="85">
        <v>11</v>
      </c>
      <c r="E147" s="86">
        <v>1E-3</v>
      </c>
    </row>
    <row r="148" spans="2:5" ht="15" customHeight="1">
      <c r="B148" s="118"/>
      <c r="C148" s="84" t="s">
        <v>105</v>
      </c>
      <c r="D148" s="85">
        <v>16</v>
      </c>
      <c r="E148" s="86">
        <v>2E-3</v>
      </c>
    </row>
    <row r="149" spans="2:5" ht="15" customHeight="1">
      <c r="B149" s="118"/>
      <c r="C149" s="84" t="s">
        <v>107</v>
      </c>
      <c r="D149" s="85">
        <v>11</v>
      </c>
      <c r="E149" s="86">
        <v>1E-3</v>
      </c>
    </row>
    <row r="150" spans="2:5" ht="15" customHeight="1">
      <c r="B150" s="118"/>
      <c r="C150" s="84" t="s">
        <v>108</v>
      </c>
      <c r="D150" s="85">
        <v>31</v>
      </c>
      <c r="E150" s="86">
        <v>4.0000000000000001E-3</v>
      </c>
    </row>
    <row r="151" spans="2:5" ht="15" customHeight="1">
      <c r="B151" s="118"/>
      <c r="C151" s="84" t="s">
        <v>109</v>
      </c>
      <c r="D151" s="85">
        <v>5</v>
      </c>
      <c r="E151" s="86">
        <v>1E-3</v>
      </c>
    </row>
    <row r="152" spans="2:5" ht="15" customHeight="1">
      <c r="B152" s="118"/>
      <c r="C152" s="84" t="s">
        <v>111</v>
      </c>
      <c r="D152" s="85">
        <v>2</v>
      </c>
      <c r="E152" s="86">
        <v>0</v>
      </c>
    </row>
    <row r="153" spans="2:5" ht="15" customHeight="1">
      <c r="B153" s="118"/>
      <c r="C153" s="84" t="s">
        <v>112</v>
      </c>
      <c r="D153" s="85">
        <v>10</v>
      </c>
      <c r="E153" s="86">
        <v>1E-3</v>
      </c>
    </row>
    <row r="154" spans="2:5" ht="15" customHeight="1">
      <c r="B154" s="118"/>
      <c r="C154" s="84" t="s">
        <v>113</v>
      </c>
      <c r="D154" s="85">
        <v>2</v>
      </c>
      <c r="E154" s="86">
        <v>0</v>
      </c>
    </row>
    <row r="155" spans="2:5" ht="15" customHeight="1">
      <c r="B155" s="118"/>
      <c r="C155" s="84" t="s">
        <v>116</v>
      </c>
      <c r="D155" s="85">
        <v>1</v>
      </c>
      <c r="E155" s="86">
        <v>0</v>
      </c>
    </row>
    <row r="156" spans="2:5" ht="15" customHeight="1">
      <c r="B156" s="118"/>
      <c r="C156" s="84" t="s">
        <v>117</v>
      </c>
      <c r="D156" s="85">
        <v>15</v>
      </c>
      <c r="E156" s="86">
        <v>2E-3</v>
      </c>
    </row>
    <row r="157" spans="2:5" ht="15" customHeight="1">
      <c r="B157" s="118"/>
      <c r="C157" s="84" t="s">
        <v>118</v>
      </c>
      <c r="D157" s="85">
        <v>1</v>
      </c>
      <c r="E157" s="86">
        <v>0</v>
      </c>
    </row>
    <row r="158" spans="2:5" ht="15" customHeight="1">
      <c r="B158" s="118"/>
      <c r="C158" s="84" t="s">
        <v>119</v>
      </c>
      <c r="D158" s="85">
        <v>2</v>
      </c>
      <c r="E158" s="86">
        <v>0</v>
      </c>
    </row>
    <row r="159" spans="2:5" ht="15" customHeight="1">
      <c r="B159" s="118"/>
      <c r="C159" s="84" t="s">
        <v>121</v>
      </c>
      <c r="D159" s="85">
        <v>1</v>
      </c>
      <c r="E159" s="86">
        <v>0</v>
      </c>
    </row>
    <row r="160" spans="2:5" ht="15" customHeight="1">
      <c r="B160" s="118"/>
      <c r="C160" s="84" t="s">
        <v>122</v>
      </c>
      <c r="D160" s="85">
        <v>50</v>
      </c>
      <c r="E160" s="86">
        <v>6.0000000000000001E-3</v>
      </c>
    </row>
    <row r="161" spans="2:5" ht="15" customHeight="1">
      <c r="B161" s="118"/>
      <c r="C161" s="84" t="s">
        <v>123</v>
      </c>
      <c r="D161" s="85">
        <v>1</v>
      </c>
      <c r="E161" s="86">
        <v>0</v>
      </c>
    </row>
    <row r="162" spans="2:5" ht="15" customHeight="1">
      <c r="B162" s="118"/>
      <c r="C162" s="84" t="s">
        <v>124</v>
      </c>
      <c r="D162" s="85">
        <v>1</v>
      </c>
      <c r="E162" s="86">
        <v>0</v>
      </c>
    </row>
    <row r="163" spans="2:5" ht="15" customHeight="1">
      <c r="B163" s="118"/>
      <c r="C163" s="84" t="s">
        <v>126</v>
      </c>
      <c r="D163" s="85">
        <v>20</v>
      </c>
      <c r="E163" s="86">
        <v>2E-3</v>
      </c>
    </row>
    <row r="164" spans="2:5" ht="15" customHeight="1">
      <c r="B164" s="118"/>
      <c r="C164" s="84" t="s">
        <v>127</v>
      </c>
      <c r="D164" s="85">
        <v>1</v>
      </c>
      <c r="E164" s="86">
        <v>0</v>
      </c>
    </row>
    <row r="165" spans="2:5" ht="15" customHeight="1">
      <c r="B165" s="118"/>
      <c r="C165" s="84" t="s">
        <v>128</v>
      </c>
      <c r="D165" s="85">
        <v>6</v>
      </c>
      <c r="E165" s="86">
        <v>1E-3</v>
      </c>
    </row>
    <row r="166" spans="2:5" ht="15" customHeight="1">
      <c r="B166" s="118"/>
      <c r="C166" s="84" t="s">
        <v>129</v>
      </c>
      <c r="D166" s="85">
        <v>8</v>
      </c>
      <c r="E166" s="86">
        <v>1E-3</v>
      </c>
    </row>
    <row r="167" spans="2:5" ht="15" customHeight="1">
      <c r="B167" s="118"/>
      <c r="C167" s="84" t="s">
        <v>130</v>
      </c>
      <c r="D167" s="85">
        <v>13</v>
      </c>
      <c r="E167" s="86">
        <v>2E-3</v>
      </c>
    </row>
    <row r="168" spans="2:5" ht="15" customHeight="1">
      <c r="B168" s="118"/>
      <c r="C168" s="84" t="s">
        <v>132</v>
      </c>
      <c r="D168" s="85">
        <v>6</v>
      </c>
      <c r="E168" s="86">
        <v>1E-3</v>
      </c>
    </row>
    <row r="169" spans="2:5" ht="15" customHeight="1">
      <c r="B169" s="118"/>
      <c r="C169" s="84" t="s">
        <v>133</v>
      </c>
      <c r="D169" s="85">
        <v>1</v>
      </c>
      <c r="E169" s="86">
        <v>0</v>
      </c>
    </row>
    <row r="170" spans="2:5" ht="15" customHeight="1">
      <c r="B170" s="118"/>
      <c r="C170" s="84" t="s">
        <v>134</v>
      </c>
      <c r="D170" s="85">
        <v>4</v>
      </c>
      <c r="E170" s="86">
        <v>0</v>
      </c>
    </row>
    <row r="171" spans="2:5" ht="15" customHeight="1">
      <c r="B171" s="118"/>
      <c r="C171" s="84" t="s">
        <v>135</v>
      </c>
      <c r="D171" s="85">
        <v>32</v>
      </c>
      <c r="E171" s="86">
        <v>4.0000000000000001E-3</v>
      </c>
    </row>
    <row r="172" spans="2:5" ht="15" customHeight="1">
      <c r="B172" s="118"/>
      <c r="C172" s="84" t="s">
        <v>136</v>
      </c>
      <c r="D172" s="85">
        <v>11</v>
      </c>
      <c r="E172" s="86">
        <v>1E-3</v>
      </c>
    </row>
    <row r="173" spans="2:5" ht="15" customHeight="1">
      <c r="B173" s="118"/>
      <c r="C173" s="84" t="s">
        <v>137</v>
      </c>
      <c r="D173" s="85">
        <v>7</v>
      </c>
      <c r="E173" s="86">
        <v>1E-3</v>
      </c>
    </row>
    <row r="174" spans="2:5" ht="15" customHeight="1">
      <c r="B174" s="118"/>
      <c r="C174" s="84" t="s">
        <v>78</v>
      </c>
      <c r="D174" s="85">
        <v>4</v>
      </c>
      <c r="E174" s="86">
        <v>0</v>
      </c>
    </row>
    <row r="175" spans="2:5" ht="15" customHeight="1">
      <c r="B175" s="118"/>
      <c r="C175" s="84" t="s">
        <v>138</v>
      </c>
      <c r="D175" s="85">
        <v>7</v>
      </c>
      <c r="E175" s="86">
        <v>1E-3</v>
      </c>
    </row>
    <row r="176" spans="2:5" ht="15" customHeight="1">
      <c r="B176" s="118"/>
      <c r="C176" s="84" t="s">
        <v>139</v>
      </c>
      <c r="D176" s="85">
        <v>1</v>
      </c>
      <c r="E176" s="86">
        <v>0</v>
      </c>
    </row>
    <row r="177" spans="2:5" ht="15" customHeight="1">
      <c r="B177" s="119"/>
      <c r="C177" s="87" t="s">
        <v>265</v>
      </c>
      <c r="D177" s="88">
        <v>922</v>
      </c>
      <c r="E177" s="89">
        <v>0.11</v>
      </c>
    </row>
    <row r="178" spans="2:5" ht="15" customHeight="1">
      <c r="B178" s="117" t="s">
        <v>242</v>
      </c>
      <c r="C178" s="84" t="s">
        <v>98</v>
      </c>
      <c r="D178" s="85">
        <v>6</v>
      </c>
      <c r="E178" s="86">
        <v>1E-3</v>
      </c>
    </row>
    <row r="179" spans="2:5" ht="15" customHeight="1">
      <c r="B179" s="118"/>
      <c r="C179" s="84" t="s">
        <v>100</v>
      </c>
      <c r="D179" s="85">
        <v>46</v>
      </c>
      <c r="E179" s="86">
        <v>5.0000000000000001E-3</v>
      </c>
    </row>
    <row r="180" spans="2:5" ht="15" customHeight="1">
      <c r="B180" s="118"/>
      <c r="C180" s="84" t="s">
        <v>101</v>
      </c>
      <c r="D180" s="85">
        <v>1</v>
      </c>
      <c r="E180" s="86">
        <v>0</v>
      </c>
    </row>
    <row r="181" spans="2:5" ht="15" customHeight="1">
      <c r="B181" s="118"/>
      <c r="C181" s="84" t="s">
        <v>104</v>
      </c>
      <c r="D181" s="85">
        <v>1</v>
      </c>
      <c r="E181" s="86">
        <v>0</v>
      </c>
    </row>
    <row r="182" spans="2:5" ht="15" customHeight="1">
      <c r="B182" s="118"/>
      <c r="C182" s="84" t="s">
        <v>107</v>
      </c>
      <c r="D182" s="85">
        <v>2</v>
      </c>
      <c r="E182" s="86">
        <v>0</v>
      </c>
    </row>
    <row r="183" spans="2:5" ht="15" customHeight="1">
      <c r="B183" s="118"/>
      <c r="C183" s="84" t="s">
        <v>108</v>
      </c>
      <c r="D183" s="85">
        <v>2</v>
      </c>
      <c r="E183" s="86">
        <v>0</v>
      </c>
    </row>
    <row r="184" spans="2:5" ht="15" customHeight="1">
      <c r="B184" s="118"/>
      <c r="C184" s="84" t="s">
        <v>116</v>
      </c>
      <c r="D184" s="85">
        <v>1</v>
      </c>
      <c r="E184" s="86">
        <v>0</v>
      </c>
    </row>
    <row r="185" spans="2:5" ht="15" customHeight="1">
      <c r="B185" s="118"/>
      <c r="C185" s="84" t="s">
        <v>121</v>
      </c>
      <c r="D185" s="85">
        <v>3</v>
      </c>
      <c r="E185" s="86">
        <v>0</v>
      </c>
    </row>
    <row r="186" spans="2:5" ht="15" customHeight="1">
      <c r="B186" s="118"/>
      <c r="C186" s="84" t="s">
        <v>122</v>
      </c>
      <c r="D186" s="85">
        <v>9</v>
      </c>
      <c r="E186" s="86">
        <v>1E-3</v>
      </c>
    </row>
    <row r="187" spans="2:5" ht="15" customHeight="1">
      <c r="B187" s="118"/>
      <c r="C187" s="84" t="s">
        <v>126</v>
      </c>
      <c r="D187" s="85">
        <v>2</v>
      </c>
      <c r="E187" s="86">
        <v>0</v>
      </c>
    </row>
    <row r="188" spans="2:5" ht="15" customHeight="1">
      <c r="B188" s="118"/>
      <c r="C188" s="84" t="s">
        <v>128</v>
      </c>
      <c r="D188" s="85">
        <v>1</v>
      </c>
      <c r="E188" s="86">
        <v>0</v>
      </c>
    </row>
    <row r="189" spans="2:5" ht="15" customHeight="1">
      <c r="B189" s="118"/>
      <c r="C189" s="84" t="s">
        <v>129</v>
      </c>
      <c r="D189" s="85">
        <v>1</v>
      </c>
      <c r="E189" s="86">
        <v>0</v>
      </c>
    </row>
    <row r="190" spans="2:5" ht="15" customHeight="1">
      <c r="B190" s="118"/>
      <c r="C190" s="84" t="s">
        <v>131</v>
      </c>
      <c r="D190" s="85">
        <v>1</v>
      </c>
      <c r="E190" s="86">
        <v>0</v>
      </c>
    </row>
    <row r="191" spans="2:5" ht="15" customHeight="1">
      <c r="B191" s="118"/>
      <c r="C191" s="84" t="s">
        <v>135</v>
      </c>
      <c r="D191" s="85">
        <v>3</v>
      </c>
      <c r="E191" s="86">
        <v>0</v>
      </c>
    </row>
    <row r="192" spans="2:5" ht="15" customHeight="1">
      <c r="B192" s="118"/>
      <c r="C192" s="84" t="s">
        <v>136</v>
      </c>
      <c r="D192" s="85">
        <v>1</v>
      </c>
      <c r="E192" s="86">
        <v>0</v>
      </c>
    </row>
    <row r="193" spans="2:5" ht="15" customHeight="1">
      <c r="B193" s="118"/>
      <c r="C193" s="84" t="s">
        <v>78</v>
      </c>
      <c r="D193" s="85">
        <v>4</v>
      </c>
      <c r="E193" s="86">
        <v>0</v>
      </c>
    </row>
    <row r="194" spans="2:5" ht="15" customHeight="1">
      <c r="B194" s="119"/>
      <c r="C194" s="87" t="s">
        <v>265</v>
      </c>
      <c r="D194" s="88">
        <v>84</v>
      </c>
      <c r="E194" s="89">
        <v>0.01</v>
      </c>
    </row>
    <row r="195" spans="2:5" ht="15" customHeight="1">
      <c r="B195" s="117" t="s">
        <v>243</v>
      </c>
      <c r="C195" s="84" t="s">
        <v>98</v>
      </c>
      <c r="D195" s="85">
        <v>3</v>
      </c>
      <c r="E195" s="86">
        <v>0</v>
      </c>
    </row>
    <row r="196" spans="2:5" ht="15" customHeight="1">
      <c r="B196" s="118"/>
      <c r="C196" s="84" t="s">
        <v>99</v>
      </c>
      <c r="D196" s="85">
        <v>1</v>
      </c>
      <c r="E196" s="86">
        <v>0</v>
      </c>
    </row>
    <row r="197" spans="2:5" ht="15" customHeight="1">
      <c r="B197" s="118"/>
      <c r="C197" s="84" t="s">
        <v>100</v>
      </c>
      <c r="D197" s="85">
        <v>85</v>
      </c>
      <c r="E197" s="86">
        <v>0.01</v>
      </c>
    </row>
    <row r="198" spans="2:5" ht="15" customHeight="1">
      <c r="B198" s="118"/>
      <c r="C198" s="84" t="s">
        <v>101</v>
      </c>
      <c r="D198" s="85">
        <v>3</v>
      </c>
      <c r="E198" s="86">
        <v>0</v>
      </c>
    </row>
    <row r="199" spans="2:5" ht="15" customHeight="1">
      <c r="B199" s="118"/>
      <c r="C199" s="84" t="s">
        <v>104</v>
      </c>
      <c r="D199" s="85">
        <v>1</v>
      </c>
      <c r="E199" s="86">
        <v>0</v>
      </c>
    </row>
    <row r="200" spans="2:5" ht="15" customHeight="1">
      <c r="B200" s="118"/>
      <c r="C200" s="84" t="s">
        <v>105</v>
      </c>
      <c r="D200" s="85">
        <v>1</v>
      </c>
      <c r="E200" s="86">
        <v>0</v>
      </c>
    </row>
    <row r="201" spans="2:5" ht="15" customHeight="1">
      <c r="B201" s="118"/>
      <c r="C201" s="84" t="s">
        <v>107</v>
      </c>
      <c r="D201" s="85">
        <v>1</v>
      </c>
      <c r="E201" s="86">
        <v>0</v>
      </c>
    </row>
    <row r="202" spans="2:5" ht="15" customHeight="1">
      <c r="B202" s="118"/>
      <c r="C202" s="84" t="s">
        <v>108</v>
      </c>
      <c r="D202" s="85">
        <v>4</v>
      </c>
      <c r="E202" s="86">
        <v>0</v>
      </c>
    </row>
    <row r="203" spans="2:5" ht="15" customHeight="1">
      <c r="B203" s="118"/>
      <c r="C203" s="84" t="s">
        <v>109</v>
      </c>
      <c r="D203" s="85">
        <v>1</v>
      </c>
      <c r="E203" s="86">
        <v>0</v>
      </c>
    </row>
    <row r="204" spans="2:5" ht="15" customHeight="1">
      <c r="B204" s="118"/>
      <c r="C204" s="84" t="s">
        <v>110</v>
      </c>
      <c r="D204" s="85">
        <v>1</v>
      </c>
      <c r="E204" s="86">
        <v>0</v>
      </c>
    </row>
    <row r="205" spans="2:5" ht="15" customHeight="1">
      <c r="B205" s="118"/>
      <c r="C205" s="84" t="s">
        <v>111</v>
      </c>
      <c r="D205" s="85">
        <v>2</v>
      </c>
      <c r="E205" s="86">
        <v>0</v>
      </c>
    </row>
    <row r="206" spans="2:5" ht="15" customHeight="1">
      <c r="B206" s="118"/>
      <c r="C206" s="84" t="s">
        <v>113</v>
      </c>
      <c r="D206" s="85">
        <v>1</v>
      </c>
      <c r="E206" s="86">
        <v>0</v>
      </c>
    </row>
    <row r="207" spans="2:5" ht="15" customHeight="1">
      <c r="B207" s="118"/>
      <c r="C207" s="84" t="s">
        <v>117</v>
      </c>
      <c r="D207" s="85">
        <v>3</v>
      </c>
      <c r="E207" s="86">
        <v>0</v>
      </c>
    </row>
    <row r="208" spans="2:5" ht="15" customHeight="1">
      <c r="B208" s="118"/>
      <c r="C208" s="84" t="s">
        <v>119</v>
      </c>
      <c r="D208" s="85">
        <v>2</v>
      </c>
      <c r="E208" s="86">
        <v>0</v>
      </c>
    </row>
    <row r="209" spans="2:5" ht="15" customHeight="1">
      <c r="B209" s="118"/>
      <c r="C209" s="84" t="s">
        <v>121</v>
      </c>
      <c r="D209" s="85">
        <v>2</v>
      </c>
      <c r="E209" s="86">
        <v>0</v>
      </c>
    </row>
    <row r="210" spans="2:5" ht="15" customHeight="1">
      <c r="B210" s="118"/>
      <c r="C210" s="84" t="s">
        <v>122</v>
      </c>
      <c r="D210" s="85">
        <v>7</v>
      </c>
      <c r="E210" s="86">
        <v>1E-3</v>
      </c>
    </row>
    <row r="211" spans="2:5" ht="15" customHeight="1">
      <c r="B211" s="118"/>
      <c r="C211" s="84" t="s">
        <v>125</v>
      </c>
      <c r="D211" s="85">
        <v>1</v>
      </c>
      <c r="E211" s="86">
        <v>0</v>
      </c>
    </row>
    <row r="212" spans="2:5" ht="15" customHeight="1">
      <c r="B212" s="118"/>
      <c r="C212" s="84" t="s">
        <v>126</v>
      </c>
      <c r="D212" s="85">
        <v>4</v>
      </c>
      <c r="E212" s="86">
        <v>0</v>
      </c>
    </row>
    <row r="213" spans="2:5" ht="15" customHeight="1">
      <c r="B213" s="118"/>
      <c r="C213" s="84" t="s">
        <v>129</v>
      </c>
      <c r="D213" s="85">
        <v>2</v>
      </c>
      <c r="E213" s="86">
        <v>0</v>
      </c>
    </row>
    <row r="214" spans="2:5" ht="15" customHeight="1">
      <c r="B214" s="118"/>
      <c r="C214" s="84" t="s">
        <v>130</v>
      </c>
      <c r="D214" s="85">
        <v>3</v>
      </c>
      <c r="E214" s="86">
        <v>0</v>
      </c>
    </row>
    <row r="215" spans="2:5" ht="15" customHeight="1">
      <c r="B215" s="118"/>
      <c r="C215" s="84" t="s">
        <v>133</v>
      </c>
      <c r="D215" s="85">
        <v>1</v>
      </c>
      <c r="E215" s="86">
        <v>0</v>
      </c>
    </row>
    <row r="216" spans="2:5" ht="15" customHeight="1">
      <c r="B216" s="118"/>
      <c r="C216" s="84" t="s">
        <v>134</v>
      </c>
      <c r="D216" s="85">
        <v>4</v>
      </c>
      <c r="E216" s="86">
        <v>0</v>
      </c>
    </row>
    <row r="217" spans="2:5" ht="15" customHeight="1">
      <c r="B217" s="118"/>
      <c r="C217" s="84" t="s">
        <v>135</v>
      </c>
      <c r="D217" s="85">
        <v>4</v>
      </c>
      <c r="E217" s="86">
        <v>0</v>
      </c>
    </row>
    <row r="218" spans="2:5" ht="15" customHeight="1">
      <c r="B218" s="118"/>
      <c r="C218" s="84" t="s">
        <v>136</v>
      </c>
      <c r="D218" s="85">
        <v>3</v>
      </c>
      <c r="E218" s="86">
        <v>0</v>
      </c>
    </row>
    <row r="219" spans="2:5" ht="15" customHeight="1">
      <c r="B219" s="118"/>
      <c r="C219" s="84" t="s">
        <v>78</v>
      </c>
      <c r="D219" s="85">
        <v>2</v>
      </c>
      <c r="E219" s="86">
        <v>0</v>
      </c>
    </row>
    <row r="220" spans="2:5" ht="15" customHeight="1">
      <c r="B220" s="119"/>
      <c r="C220" s="87" t="s">
        <v>265</v>
      </c>
      <c r="D220" s="88">
        <v>142</v>
      </c>
      <c r="E220" s="89">
        <v>1.7000000000000001E-2</v>
      </c>
    </row>
    <row r="221" spans="2:5" ht="15" customHeight="1">
      <c r="B221" s="117" t="s">
        <v>244</v>
      </c>
      <c r="C221" s="84" t="s">
        <v>96</v>
      </c>
      <c r="D221" s="85">
        <v>2</v>
      </c>
      <c r="E221" s="86">
        <v>0</v>
      </c>
    </row>
    <row r="222" spans="2:5" ht="15" customHeight="1">
      <c r="B222" s="118"/>
      <c r="C222" s="84" t="s">
        <v>97</v>
      </c>
      <c r="D222" s="85">
        <v>1</v>
      </c>
      <c r="E222" s="86">
        <v>0</v>
      </c>
    </row>
    <row r="223" spans="2:5" ht="15" customHeight="1">
      <c r="B223" s="118"/>
      <c r="C223" s="84" t="s">
        <v>98</v>
      </c>
      <c r="D223" s="85">
        <v>13</v>
      </c>
      <c r="E223" s="86">
        <v>2E-3</v>
      </c>
    </row>
    <row r="224" spans="2:5" ht="15" customHeight="1">
      <c r="B224" s="118"/>
      <c r="C224" s="84" t="s">
        <v>99</v>
      </c>
      <c r="D224" s="85">
        <v>4</v>
      </c>
      <c r="E224" s="86">
        <v>0</v>
      </c>
    </row>
    <row r="225" spans="2:5" ht="15" customHeight="1">
      <c r="B225" s="118"/>
      <c r="C225" s="84" t="s">
        <v>100</v>
      </c>
      <c r="D225" s="85">
        <v>219</v>
      </c>
      <c r="E225" s="86">
        <v>2.5999999999999999E-2</v>
      </c>
    </row>
    <row r="226" spans="2:5" ht="15" customHeight="1">
      <c r="B226" s="118"/>
      <c r="C226" s="84" t="s">
        <v>101</v>
      </c>
      <c r="D226" s="85">
        <v>20</v>
      </c>
      <c r="E226" s="86">
        <v>2E-3</v>
      </c>
    </row>
    <row r="227" spans="2:5" ht="15" customHeight="1">
      <c r="B227" s="118"/>
      <c r="C227" s="84" t="s">
        <v>103</v>
      </c>
      <c r="D227" s="85">
        <v>1</v>
      </c>
      <c r="E227" s="86">
        <v>0</v>
      </c>
    </row>
    <row r="228" spans="2:5" ht="15" customHeight="1">
      <c r="B228" s="118"/>
      <c r="C228" s="84" t="s">
        <v>104</v>
      </c>
      <c r="D228" s="85">
        <v>2</v>
      </c>
      <c r="E228" s="86">
        <v>0</v>
      </c>
    </row>
    <row r="229" spans="2:5" ht="15" customHeight="1">
      <c r="B229" s="118"/>
      <c r="C229" s="84" t="s">
        <v>105</v>
      </c>
      <c r="D229" s="85">
        <v>2</v>
      </c>
      <c r="E229" s="86">
        <v>0</v>
      </c>
    </row>
    <row r="230" spans="2:5" ht="15" customHeight="1">
      <c r="B230" s="118"/>
      <c r="C230" s="84" t="s">
        <v>106</v>
      </c>
      <c r="D230" s="85">
        <v>1</v>
      </c>
      <c r="E230" s="86">
        <v>0</v>
      </c>
    </row>
    <row r="231" spans="2:5" ht="15" customHeight="1">
      <c r="B231" s="118"/>
      <c r="C231" s="84" t="s">
        <v>107</v>
      </c>
      <c r="D231" s="85">
        <v>2</v>
      </c>
      <c r="E231" s="86">
        <v>0</v>
      </c>
    </row>
    <row r="232" spans="2:5" ht="15" customHeight="1">
      <c r="B232" s="118"/>
      <c r="C232" s="84" t="s">
        <v>108</v>
      </c>
      <c r="D232" s="85">
        <v>5</v>
      </c>
      <c r="E232" s="86">
        <v>1E-3</v>
      </c>
    </row>
    <row r="233" spans="2:5" ht="15" customHeight="1">
      <c r="B233" s="118"/>
      <c r="C233" s="84" t="s">
        <v>111</v>
      </c>
      <c r="D233" s="85">
        <v>2</v>
      </c>
      <c r="E233" s="86">
        <v>0</v>
      </c>
    </row>
    <row r="234" spans="2:5" ht="15" customHeight="1">
      <c r="B234" s="118"/>
      <c r="C234" s="84" t="s">
        <v>112</v>
      </c>
      <c r="D234" s="85">
        <v>2</v>
      </c>
      <c r="E234" s="86">
        <v>0</v>
      </c>
    </row>
    <row r="235" spans="2:5" ht="15" customHeight="1">
      <c r="B235" s="118"/>
      <c r="C235" s="84" t="s">
        <v>116</v>
      </c>
      <c r="D235" s="85">
        <v>7</v>
      </c>
      <c r="E235" s="86">
        <v>1E-3</v>
      </c>
    </row>
    <row r="236" spans="2:5" ht="15" customHeight="1">
      <c r="B236" s="118"/>
      <c r="C236" s="84" t="s">
        <v>117</v>
      </c>
      <c r="D236" s="85">
        <v>3</v>
      </c>
      <c r="E236" s="86">
        <v>0</v>
      </c>
    </row>
    <row r="237" spans="2:5" ht="15" customHeight="1">
      <c r="B237" s="118"/>
      <c r="C237" s="84" t="s">
        <v>121</v>
      </c>
      <c r="D237" s="85">
        <v>1</v>
      </c>
      <c r="E237" s="86">
        <v>0</v>
      </c>
    </row>
    <row r="238" spans="2:5" ht="15" customHeight="1">
      <c r="B238" s="118"/>
      <c r="C238" s="84" t="s">
        <v>122</v>
      </c>
      <c r="D238" s="85">
        <v>22</v>
      </c>
      <c r="E238" s="86">
        <v>3.0000000000000001E-3</v>
      </c>
    </row>
    <row r="239" spans="2:5" ht="15" customHeight="1">
      <c r="B239" s="118"/>
      <c r="C239" s="84" t="s">
        <v>123</v>
      </c>
      <c r="D239" s="85">
        <v>2</v>
      </c>
      <c r="E239" s="86">
        <v>0</v>
      </c>
    </row>
    <row r="240" spans="2:5" ht="15" customHeight="1">
      <c r="B240" s="118"/>
      <c r="C240" s="84" t="s">
        <v>124</v>
      </c>
      <c r="D240" s="85">
        <v>1</v>
      </c>
      <c r="E240" s="86">
        <v>0</v>
      </c>
    </row>
    <row r="241" spans="2:5" ht="15" customHeight="1">
      <c r="B241" s="118"/>
      <c r="C241" s="84" t="s">
        <v>126</v>
      </c>
      <c r="D241" s="85">
        <v>6</v>
      </c>
      <c r="E241" s="86">
        <v>1E-3</v>
      </c>
    </row>
    <row r="242" spans="2:5" ht="15" customHeight="1">
      <c r="B242" s="118"/>
      <c r="C242" s="84" t="s">
        <v>128</v>
      </c>
      <c r="D242" s="85">
        <v>1</v>
      </c>
      <c r="E242" s="86">
        <v>0</v>
      </c>
    </row>
    <row r="243" spans="2:5" ht="15" customHeight="1">
      <c r="B243" s="118"/>
      <c r="C243" s="84" t="s">
        <v>129</v>
      </c>
      <c r="D243" s="85">
        <v>1</v>
      </c>
      <c r="E243" s="86">
        <v>0</v>
      </c>
    </row>
    <row r="244" spans="2:5" ht="15" customHeight="1">
      <c r="B244" s="118"/>
      <c r="C244" s="84" t="s">
        <v>131</v>
      </c>
      <c r="D244" s="85">
        <v>2</v>
      </c>
      <c r="E244" s="86">
        <v>0</v>
      </c>
    </row>
    <row r="245" spans="2:5" ht="15" customHeight="1">
      <c r="B245" s="118"/>
      <c r="C245" s="84" t="s">
        <v>132</v>
      </c>
      <c r="D245" s="85">
        <v>2</v>
      </c>
      <c r="E245" s="86">
        <v>0</v>
      </c>
    </row>
    <row r="246" spans="2:5" ht="15" customHeight="1">
      <c r="B246" s="118"/>
      <c r="C246" s="84" t="s">
        <v>134</v>
      </c>
      <c r="D246" s="85">
        <v>2</v>
      </c>
      <c r="E246" s="86">
        <v>0</v>
      </c>
    </row>
    <row r="247" spans="2:5" ht="15" customHeight="1">
      <c r="B247" s="118"/>
      <c r="C247" s="84" t="s">
        <v>135</v>
      </c>
      <c r="D247" s="85">
        <v>8</v>
      </c>
      <c r="E247" s="86">
        <v>1E-3</v>
      </c>
    </row>
    <row r="248" spans="2:5" ht="15" customHeight="1">
      <c r="B248" s="118"/>
      <c r="C248" s="84" t="s">
        <v>136</v>
      </c>
      <c r="D248" s="85">
        <v>5</v>
      </c>
      <c r="E248" s="86">
        <v>1E-3</v>
      </c>
    </row>
    <row r="249" spans="2:5" ht="15" customHeight="1">
      <c r="B249" s="118"/>
      <c r="C249" s="84" t="s">
        <v>137</v>
      </c>
      <c r="D249" s="85">
        <v>4</v>
      </c>
      <c r="E249" s="86">
        <v>0</v>
      </c>
    </row>
    <row r="250" spans="2:5" ht="15" customHeight="1">
      <c r="B250" s="118"/>
      <c r="C250" s="84" t="s">
        <v>78</v>
      </c>
      <c r="D250" s="85">
        <v>1</v>
      </c>
      <c r="E250" s="86">
        <v>0</v>
      </c>
    </row>
    <row r="251" spans="2:5" ht="15" customHeight="1">
      <c r="B251" s="118"/>
      <c r="C251" s="84" t="s">
        <v>138</v>
      </c>
      <c r="D251" s="85">
        <v>4</v>
      </c>
      <c r="E251" s="86">
        <v>0</v>
      </c>
    </row>
    <row r="252" spans="2:5" ht="15" customHeight="1">
      <c r="B252" s="119"/>
      <c r="C252" s="87" t="s">
        <v>265</v>
      </c>
      <c r="D252" s="88">
        <v>348</v>
      </c>
      <c r="E252" s="89">
        <v>4.2000000000000003E-2</v>
      </c>
    </row>
    <row r="253" spans="2:5" ht="15" customHeight="1">
      <c r="B253" s="117" t="s">
        <v>173</v>
      </c>
      <c r="C253" s="84" t="s">
        <v>96</v>
      </c>
      <c r="D253" s="85">
        <v>7</v>
      </c>
      <c r="E253" s="86">
        <v>1E-3</v>
      </c>
    </row>
    <row r="254" spans="2:5" ht="15" customHeight="1">
      <c r="B254" s="118"/>
      <c r="C254" s="84" t="s">
        <v>98</v>
      </c>
      <c r="D254" s="85">
        <v>66</v>
      </c>
      <c r="E254" s="86">
        <v>8.0000000000000002E-3</v>
      </c>
    </row>
    <row r="255" spans="2:5" ht="15" customHeight="1">
      <c r="B255" s="118"/>
      <c r="C255" s="84" t="s">
        <v>99</v>
      </c>
      <c r="D255" s="85">
        <v>13</v>
      </c>
      <c r="E255" s="86">
        <v>2E-3</v>
      </c>
    </row>
    <row r="256" spans="2:5" ht="15" customHeight="1">
      <c r="B256" s="118"/>
      <c r="C256" s="84" t="s">
        <v>100</v>
      </c>
      <c r="D256" s="90">
        <v>1573</v>
      </c>
      <c r="E256" s="86">
        <v>0.188</v>
      </c>
    </row>
    <row r="257" spans="2:5" ht="15" customHeight="1">
      <c r="B257" s="118"/>
      <c r="C257" s="84" t="s">
        <v>101</v>
      </c>
      <c r="D257" s="85">
        <v>78</v>
      </c>
      <c r="E257" s="86">
        <v>8.9999999999999993E-3</v>
      </c>
    </row>
    <row r="258" spans="2:5" ht="15" customHeight="1">
      <c r="B258" s="118"/>
      <c r="C258" s="84" t="s">
        <v>102</v>
      </c>
      <c r="D258" s="85">
        <v>1</v>
      </c>
      <c r="E258" s="86">
        <v>0</v>
      </c>
    </row>
    <row r="259" spans="2:5" ht="15" customHeight="1">
      <c r="B259" s="118"/>
      <c r="C259" s="84" t="s">
        <v>103</v>
      </c>
      <c r="D259" s="85">
        <v>2</v>
      </c>
      <c r="E259" s="86">
        <v>0</v>
      </c>
    </row>
    <row r="260" spans="2:5" ht="15" customHeight="1">
      <c r="B260" s="118"/>
      <c r="C260" s="84" t="s">
        <v>104</v>
      </c>
      <c r="D260" s="85">
        <v>28</v>
      </c>
      <c r="E260" s="86">
        <v>3.0000000000000001E-3</v>
      </c>
    </row>
    <row r="261" spans="2:5" ht="15" customHeight="1">
      <c r="B261" s="118"/>
      <c r="C261" s="84" t="s">
        <v>105</v>
      </c>
      <c r="D261" s="85">
        <v>25</v>
      </c>
      <c r="E261" s="86">
        <v>3.0000000000000001E-3</v>
      </c>
    </row>
    <row r="262" spans="2:5" ht="15" customHeight="1">
      <c r="B262" s="118"/>
      <c r="C262" s="84" t="s">
        <v>106</v>
      </c>
      <c r="D262" s="85">
        <v>1</v>
      </c>
      <c r="E262" s="86">
        <v>0</v>
      </c>
    </row>
    <row r="263" spans="2:5" ht="15" customHeight="1">
      <c r="B263" s="118"/>
      <c r="C263" s="84" t="s">
        <v>107</v>
      </c>
      <c r="D263" s="85">
        <v>33</v>
      </c>
      <c r="E263" s="86">
        <v>4.0000000000000001E-3</v>
      </c>
    </row>
    <row r="264" spans="2:5" ht="15" customHeight="1">
      <c r="B264" s="118"/>
      <c r="C264" s="84" t="s">
        <v>108</v>
      </c>
      <c r="D264" s="85">
        <v>79</v>
      </c>
      <c r="E264" s="86">
        <v>8.9999999999999993E-3</v>
      </c>
    </row>
    <row r="265" spans="2:5" ht="15" customHeight="1">
      <c r="B265" s="118"/>
      <c r="C265" s="84" t="s">
        <v>109</v>
      </c>
      <c r="D265" s="85">
        <v>20</v>
      </c>
      <c r="E265" s="86">
        <v>2E-3</v>
      </c>
    </row>
    <row r="266" spans="2:5" ht="15" customHeight="1">
      <c r="B266" s="118"/>
      <c r="C266" s="84" t="s">
        <v>110</v>
      </c>
      <c r="D266" s="85">
        <v>10</v>
      </c>
      <c r="E266" s="86">
        <v>1E-3</v>
      </c>
    </row>
    <row r="267" spans="2:5" ht="15" customHeight="1">
      <c r="B267" s="118"/>
      <c r="C267" s="84" t="s">
        <v>111</v>
      </c>
      <c r="D267" s="85">
        <v>13</v>
      </c>
      <c r="E267" s="86">
        <v>2E-3</v>
      </c>
    </row>
    <row r="268" spans="2:5" ht="15" customHeight="1">
      <c r="B268" s="118"/>
      <c r="C268" s="84" t="s">
        <v>112</v>
      </c>
      <c r="D268" s="85">
        <v>17</v>
      </c>
      <c r="E268" s="86">
        <v>2E-3</v>
      </c>
    </row>
    <row r="269" spans="2:5" ht="15" customHeight="1">
      <c r="B269" s="118"/>
      <c r="C269" s="84" t="s">
        <v>113</v>
      </c>
      <c r="D269" s="85">
        <v>10</v>
      </c>
      <c r="E269" s="86">
        <v>1E-3</v>
      </c>
    </row>
    <row r="270" spans="2:5" ht="15" customHeight="1">
      <c r="B270" s="118"/>
      <c r="C270" s="84" t="s">
        <v>114</v>
      </c>
      <c r="D270" s="85">
        <v>2</v>
      </c>
      <c r="E270" s="86">
        <v>0</v>
      </c>
    </row>
    <row r="271" spans="2:5" ht="15" customHeight="1">
      <c r="B271" s="118"/>
      <c r="C271" s="84" t="s">
        <v>115</v>
      </c>
      <c r="D271" s="85">
        <v>1</v>
      </c>
      <c r="E271" s="86">
        <v>0</v>
      </c>
    </row>
    <row r="272" spans="2:5" ht="15" customHeight="1">
      <c r="B272" s="118"/>
      <c r="C272" s="84" t="s">
        <v>116</v>
      </c>
      <c r="D272" s="85">
        <v>8</v>
      </c>
      <c r="E272" s="86">
        <v>1E-3</v>
      </c>
    </row>
    <row r="273" spans="2:5" ht="15" customHeight="1">
      <c r="B273" s="118"/>
      <c r="C273" s="84" t="s">
        <v>117</v>
      </c>
      <c r="D273" s="85">
        <v>36</v>
      </c>
      <c r="E273" s="86">
        <v>4.0000000000000001E-3</v>
      </c>
    </row>
    <row r="274" spans="2:5" ht="15" customHeight="1">
      <c r="B274" s="118"/>
      <c r="C274" s="84" t="s">
        <v>118</v>
      </c>
      <c r="D274" s="85">
        <v>4</v>
      </c>
      <c r="E274" s="86">
        <v>0</v>
      </c>
    </row>
    <row r="275" spans="2:5" ht="15" customHeight="1">
      <c r="B275" s="118"/>
      <c r="C275" s="84" t="s">
        <v>119</v>
      </c>
      <c r="D275" s="85">
        <v>8</v>
      </c>
      <c r="E275" s="86">
        <v>1E-3</v>
      </c>
    </row>
    <row r="276" spans="2:5" ht="15" customHeight="1">
      <c r="B276" s="118"/>
      <c r="C276" s="84" t="s">
        <v>120</v>
      </c>
      <c r="D276" s="85">
        <v>1</v>
      </c>
      <c r="E276" s="86">
        <v>0</v>
      </c>
    </row>
    <row r="277" spans="2:5" ht="15" customHeight="1">
      <c r="B277" s="118"/>
      <c r="C277" s="84" t="s">
        <v>121</v>
      </c>
      <c r="D277" s="85">
        <v>13</v>
      </c>
      <c r="E277" s="86">
        <v>2E-3</v>
      </c>
    </row>
    <row r="278" spans="2:5" ht="15" customHeight="1">
      <c r="B278" s="118"/>
      <c r="C278" s="84" t="s">
        <v>122</v>
      </c>
      <c r="D278" s="85">
        <v>162</v>
      </c>
      <c r="E278" s="86">
        <v>1.9E-2</v>
      </c>
    </row>
    <row r="279" spans="2:5" ht="15" customHeight="1">
      <c r="B279" s="118"/>
      <c r="C279" s="84" t="s">
        <v>123</v>
      </c>
      <c r="D279" s="85">
        <v>8</v>
      </c>
      <c r="E279" s="86">
        <v>1E-3</v>
      </c>
    </row>
    <row r="280" spans="2:5" ht="15" customHeight="1">
      <c r="B280" s="118"/>
      <c r="C280" s="84" t="s">
        <v>124</v>
      </c>
      <c r="D280" s="85">
        <v>3</v>
      </c>
      <c r="E280" s="86">
        <v>0</v>
      </c>
    </row>
    <row r="281" spans="2:5" ht="15" customHeight="1">
      <c r="B281" s="118"/>
      <c r="C281" s="84" t="s">
        <v>125</v>
      </c>
      <c r="D281" s="85">
        <v>4</v>
      </c>
      <c r="E281" s="86">
        <v>0</v>
      </c>
    </row>
    <row r="282" spans="2:5" ht="15" customHeight="1">
      <c r="B282" s="118"/>
      <c r="C282" s="84" t="s">
        <v>126</v>
      </c>
      <c r="D282" s="85">
        <v>69</v>
      </c>
      <c r="E282" s="86">
        <v>8.0000000000000002E-3</v>
      </c>
    </row>
    <row r="283" spans="2:5" ht="15" customHeight="1">
      <c r="B283" s="118"/>
      <c r="C283" s="84" t="s">
        <v>128</v>
      </c>
      <c r="D283" s="85">
        <v>13</v>
      </c>
      <c r="E283" s="86">
        <v>2E-3</v>
      </c>
    </row>
    <row r="284" spans="2:5" ht="15" customHeight="1">
      <c r="B284" s="118"/>
      <c r="C284" s="84" t="s">
        <v>129</v>
      </c>
      <c r="D284" s="85">
        <v>19</v>
      </c>
      <c r="E284" s="86">
        <v>2E-3</v>
      </c>
    </row>
    <row r="285" spans="2:5" ht="15" customHeight="1">
      <c r="B285" s="118"/>
      <c r="C285" s="84" t="s">
        <v>130</v>
      </c>
      <c r="D285" s="85">
        <v>35</v>
      </c>
      <c r="E285" s="86">
        <v>4.0000000000000001E-3</v>
      </c>
    </row>
    <row r="286" spans="2:5" ht="15" customHeight="1">
      <c r="B286" s="118"/>
      <c r="C286" s="84" t="s">
        <v>131</v>
      </c>
      <c r="D286" s="85">
        <v>7</v>
      </c>
      <c r="E286" s="86">
        <v>1E-3</v>
      </c>
    </row>
    <row r="287" spans="2:5" ht="15" customHeight="1">
      <c r="B287" s="118"/>
      <c r="C287" s="84" t="s">
        <v>234</v>
      </c>
      <c r="D287" s="85">
        <v>1</v>
      </c>
      <c r="E287" s="86">
        <v>0</v>
      </c>
    </row>
    <row r="288" spans="2:5" ht="15" customHeight="1">
      <c r="B288" s="118"/>
      <c r="C288" s="84" t="s">
        <v>132</v>
      </c>
      <c r="D288" s="85">
        <v>21</v>
      </c>
      <c r="E288" s="86">
        <v>3.0000000000000001E-3</v>
      </c>
    </row>
    <row r="289" spans="2:5" ht="15" customHeight="1">
      <c r="B289" s="118"/>
      <c r="C289" s="84" t="s">
        <v>134</v>
      </c>
      <c r="D289" s="85">
        <v>22</v>
      </c>
      <c r="E289" s="86">
        <v>3.0000000000000001E-3</v>
      </c>
    </row>
    <row r="290" spans="2:5" ht="15" customHeight="1">
      <c r="B290" s="118"/>
      <c r="C290" s="84" t="s">
        <v>135</v>
      </c>
      <c r="D290" s="85">
        <v>106</v>
      </c>
      <c r="E290" s="86">
        <v>1.2999999999999999E-2</v>
      </c>
    </row>
    <row r="291" spans="2:5" ht="15" customHeight="1">
      <c r="B291" s="118"/>
      <c r="C291" s="84" t="s">
        <v>136</v>
      </c>
      <c r="D291" s="85">
        <v>50</v>
      </c>
      <c r="E291" s="86">
        <v>6.0000000000000001E-3</v>
      </c>
    </row>
    <row r="292" spans="2:5" ht="15" customHeight="1">
      <c r="B292" s="118"/>
      <c r="C292" s="84" t="s">
        <v>137</v>
      </c>
      <c r="D292" s="85">
        <v>18</v>
      </c>
      <c r="E292" s="86">
        <v>2E-3</v>
      </c>
    </row>
    <row r="293" spans="2:5" ht="15" customHeight="1">
      <c r="B293" s="118"/>
      <c r="C293" s="84" t="s">
        <v>78</v>
      </c>
      <c r="D293" s="85">
        <v>28</v>
      </c>
      <c r="E293" s="86">
        <v>3.0000000000000001E-3</v>
      </c>
    </row>
    <row r="294" spans="2:5" ht="15" customHeight="1">
      <c r="B294" s="118"/>
      <c r="C294" s="84" t="s">
        <v>138</v>
      </c>
      <c r="D294" s="85">
        <v>9</v>
      </c>
      <c r="E294" s="86">
        <v>1E-3</v>
      </c>
    </row>
    <row r="295" spans="2:5" ht="15" customHeight="1">
      <c r="B295" s="118"/>
      <c r="C295" s="84" t="s">
        <v>139</v>
      </c>
      <c r="D295" s="85">
        <v>2</v>
      </c>
      <c r="E295" s="86">
        <v>0</v>
      </c>
    </row>
    <row r="296" spans="2:5" ht="15" customHeight="1">
      <c r="B296" s="119"/>
      <c r="C296" s="87" t="s">
        <v>265</v>
      </c>
      <c r="D296" s="88">
        <v>2626</v>
      </c>
      <c r="E296" s="89">
        <v>0.313</v>
      </c>
    </row>
    <row r="297" spans="2:5" ht="15" customHeight="1">
      <c r="B297" s="117" t="s">
        <v>174</v>
      </c>
      <c r="C297" s="84" t="s">
        <v>98</v>
      </c>
      <c r="D297" s="85">
        <v>5</v>
      </c>
      <c r="E297" s="86">
        <v>1E-3</v>
      </c>
    </row>
    <row r="298" spans="2:5" ht="15" customHeight="1">
      <c r="B298" s="118"/>
      <c r="C298" s="84" t="s">
        <v>100</v>
      </c>
      <c r="D298" s="85">
        <v>108</v>
      </c>
      <c r="E298" s="86">
        <v>1.2999999999999999E-2</v>
      </c>
    </row>
    <row r="299" spans="2:5" ht="15" customHeight="1">
      <c r="B299" s="118"/>
      <c r="C299" s="84" t="s">
        <v>101</v>
      </c>
      <c r="D299" s="85">
        <v>4</v>
      </c>
      <c r="E299" s="86">
        <v>0</v>
      </c>
    </row>
    <row r="300" spans="2:5" ht="15" customHeight="1">
      <c r="B300" s="118"/>
      <c r="C300" s="84" t="s">
        <v>103</v>
      </c>
      <c r="D300" s="85">
        <v>1</v>
      </c>
      <c r="E300" s="86">
        <v>0</v>
      </c>
    </row>
    <row r="301" spans="2:5" ht="15" customHeight="1">
      <c r="B301" s="118"/>
      <c r="C301" s="84" t="s">
        <v>105</v>
      </c>
      <c r="D301" s="85">
        <v>2</v>
      </c>
      <c r="E301" s="86">
        <v>0</v>
      </c>
    </row>
    <row r="302" spans="2:5" ht="15" customHeight="1">
      <c r="B302" s="118"/>
      <c r="C302" s="84" t="s">
        <v>107</v>
      </c>
      <c r="D302" s="85">
        <v>1</v>
      </c>
      <c r="E302" s="86">
        <v>0</v>
      </c>
    </row>
    <row r="303" spans="2:5" ht="15" customHeight="1">
      <c r="B303" s="118"/>
      <c r="C303" s="84" t="s">
        <v>108</v>
      </c>
      <c r="D303" s="85">
        <v>4</v>
      </c>
      <c r="E303" s="86">
        <v>0</v>
      </c>
    </row>
    <row r="304" spans="2:5" ht="15" customHeight="1">
      <c r="B304" s="118"/>
      <c r="C304" s="84" t="s">
        <v>109</v>
      </c>
      <c r="D304" s="85">
        <v>1</v>
      </c>
      <c r="E304" s="86">
        <v>0</v>
      </c>
    </row>
    <row r="305" spans="2:5" ht="15" customHeight="1">
      <c r="B305" s="118"/>
      <c r="C305" s="84" t="s">
        <v>110</v>
      </c>
      <c r="D305" s="85">
        <v>2</v>
      </c>
      <c r="E305" s="86">
        <v>0</v>
      </c>
    </row>
    <row r="306" spans="2:5" ht="15" customHeight="1">
      <c r="B306" s="118"/>
      <c r="C306" s="84" t="s">
        <v>111</v>
      </c>
      <c r="D306" s="85">
        <v>1</v>
      </c>
      <c r="E306" s="86">
        <v>0</v>
      </c>
    </row>
    <row r="307" spans="2:5" ht="15" customHeight="1">
      <c r="B307" s="118"/>
      <c r="C307" s="84" t="s">
        <v>112</v>
      </c>
      <c r="D307" s="85">
        <v>1</v>
      </c>
      <c r="E307" s="86">
        <v>0</v>
      </c>
    </row>
    <row r="308" spans="2:5" ht="15" customHeight="1">
      <c r="B308" s="118"/>
      <c r="C308" s="84" t="s">
        <v>116</v>
      </c>
      <c r="D308" s="85">
        <v>1</v>
      </c>
      <c r="E308" s="86">
        <v>0</v>
      </c>
    </row>
    <row r="309" spans="2:5" ht="15" customHeight="1">
      <c r="B309" s="118"/>
      <c r="C309" s="84" t="s">
        <v>117</v>
      </c>
      <c r="D309" s="85">
        <v>2</v>
      </c>
      <c r="E309" s="86">
        <v>0</v>
      </c>
    </row>
    <row r="310" spans="2:5" ht="15" customHeight="1">
      <c r="B310" s="118"/>
      <c r="C310" s="84" t="s">
        <v>119</v>
      </c>
      <c r="D310" s="85">
        <v>1</v>
      </c>
      <c r="E310" s="86">
        <v>0</v>
      </c>
    </row>
    <row r="311" spans="2:5" ht="15" customHeight="1">
      <c r="B311" s="118"/>
      <c r="C311" s="84" t="s">
        <v>122</v>
      </c>
      <c r="D311" s="85">
        <v>10</v>
      </c>
      <c r="E311" s="86">
        <v>1E-3</v>
      </c>
    </row>
    <row r="312" spans="2:5" ht="15" customHeight="1">
      <c r="B312" s="118"/>
      <c r="C312" s="84" t="s">
        <v>123</v>
      </c>
      <c r="D312" s="85">
        <v>1</v>
      </c>
      <c r="E312" s="86">
        <v>0</v>
      </c>
    </row>
    <row r="313" spans="2:5" ht="15" customHeight="1">
      <c r="B313" s="118"/>
      <c r="C313" s="84" t="s">
        <v>124</v>
      </c>
      <c r="D313" s="85">
        <v>1</v>
      </c>
      <c r="E313" s="86">
        <v>0</v>
      </c>
    </row>
    <row r="314" spans="2:5" ht="15" customHeight="1">
      <c r="B314" s="118"/>
      <c r="C314" s="84" t="s">
        <v>126</v>
      </c>
      <c r="D314" s="85">
        <v>1</v>
      </c>
      <c r="E314" s="86">
        <v>0</v>
      </c>
    </row>
    <row r="315" spans="2:5" ht="15" customHeight="1">
      <c r="B315" s="118"/>
      <c r="C315" s="84" t="s">
        <v>129</v>
      </c>
      <c r="D315" s="85">
        <v>4</v>
      </c>
      <c r="E315" s="86">
        <v>0</v>
      </c>
    </row>
    <row r="316" spans="2:5" ht="15" customHeight="1">
      <c r="B316" s="118"/>
      <c r="C316" s="84" t="s">
        <v>130</v>
      </c>
      <c r="D316" s="85">
        <v>1</v>
      </c>
      <c r="E316" s="86">
        <v>0</v>
      </c>
    </row>
    <row r="317" spans="2:5" ht="15" customHeight="1">
      <c r="B317" s="118"/>
      <c r="C317" s="84" t="s">
        <v>131</v>
      </c>
      <c r="D317" s="85">
        <v>1</v>
      </c>
      <c r="E317" s="86">
        <v>0</v>
      </c>
    </row>
    <row r="318" spans="2:5" ht="15" customHeight="1">
      <c r="B318" s="118"/>
      <c r="C318" s="84" t="s">
        <v>133</v>
      </c>
      <c r="D318" s="85">
        <v>1</v>
      </c>
      <c r="E318" s="86">
        <v>0</v>
      </c>
    </row>
    <row r="319" spans="2:5" ht="15" customHeight="1">
      <c r="B319" s="118"/>
      <c r="C319" s="84" t="s">
        <v>134</v>
      </c>
      <c r="D319" s="85">
        <v>1</v>
      </c>
      <c r="E319" s="86">
        <v>0</v>
      </c>
    </row>
    <row r="320" spans="2:5" ht="15" customHeight="1">
      <c r="B320" s="118"/>
      <c r="C320" s="84" t="s">
        <v>135</v>
      </c>
      <c r="D320" s="85">
        <v>7</v>
      </c>
      <c r="E320" s="86">
        <v>1E-3</v>
      </c>
    </row>
    <row r="321" spans="2:5" ht="15" customHeight="1">
      <c r="B321" s="118"/>
      <c r="C321" s="84" t="s">
        <v>137</v>
      </c>
      <c r="D321" s="85">
        <v>1</v>
      </c>
      <c r="E321" s="86">
        <v>0</v>
      </c>
    </row>
    <row r="322" spans="2:5" ht="15" customHeight="1">
      <c r="B322" s="118"/>
      <c r="C322" s="84" t="s">
        <v>78</v>
      </c>
      <c r="D322" s="85">
        <v>2</v>
      </c>
      <c r="E322" s="86">
        <v>0</v>
      </c>
    </row>
    <row r="323" spans="2:5" ht="15" customHeight="1">
      <c r="B323" s="119"/>
      <c r="C323" s="87" t="s">
        <v>265</v>
      </c>
      <c r="D323" s="88">
        <v>165</v>
      </c>
      <c r="E323" s="89">
        <v>0.02</v>
      </c>
    </row>
    <row r="324" spans="2:5" ht="15" customHeight="1">
      <c r="B324" s="117" t="s">
        <v>175</v>
      </c>
      <c r="C324" s="84" t="s">
        <v>96</v>
      </c>
      <c r="D324" s="85">
        <v>1</v>
      </c>
      <c r="E324" s="86">
        <v>0</v>
      </c>
    </row>
    <row r="325" spans="2:5" ht="15" customHeight="1">
      <c r="B325" s="118"/>
      <c r="C325" s="84" t="s">
        <v>98</v>
      </c>
      <c r="D325" s="85">
        <v>16</v>
      </c>
      <c r="E325" s="86">
        <v>2E-3</v>
      </c>
    </row>
    <row r="326" spans="2:5" ht="15" customHeight="1">
      <c r="B326" s="118"/>
      <c r="C326" s="84" t="s">
        <v>99</v>
      </c>
      <c r="D326" s="85">
        <v>2</v>
      </c>
      <c r="E326" s="86">
        <v>0</v>
      </c>
    </row>
    <row r="327" spans="2:5" ht="15" customHeight="1">
      <c r="B327" s="118"/>
      <c r="C327" s="84" t="s">
        <v>100</v>
      </c>
      <c r="D327" s="85">
        <v>327</v>
      </c>
      <c r="E327" s="86">
        <v>3.9E-2</v>
      </c>
    </row>
    <row r="328" spans="2:5" ht="15" customHeight="1">
      <c r="B328" s="118"/>
      <c r="C328" s="84" t="s">
        <v>101</v>
      </c>
      <c r="D328" s="85">
        <v>18</v>
      </c>
      <c r="E328" s="86">
        <v>2E-3</v>
      </c>
    </row>
    <row r="329" spans="2:5" ht="15" customHeight="1">
      <c r="B329" s="118"/>
      <c r="C329" s="84" t="s">
        <v>104</v>
      </c>
      <c r="D329" s="85">
        <v>6</v>
      </c>
      <c r="E329" s="86">
        <v>1E-3</v>
      </c>
    </row>
    <row r="330" spans="2:5" ht="15" customHeight="1">
      <c r="B330" s="118"/>
      <c r="C330" s="84" t="s">
        <v>105</v>
      </c>
      <c r="D330" s="85">
        <v>3</v>
      </c>
      <c r="E330" s="86">
        <v>0</v>
      </c>
    </row>
    <row r="331" spans="2:5" ht="15" customHeight="1">
      <c r="B331" s="118"/>
      <c r="C331" s="84" t="s">
        <v>107</v>
      </c>
      <c r="D331" s="85">
        <v>6</v>
      </c>
      <c r="E331" s="86">
        <v>1E-3</v>
      </c>
    </row>
    <row r="332" spans="2:5" ht="15" customHeight="1">
      <c r="B332" s="118"/>
      <c r="C332" s="84" t="s">
        <v>108</v>
      </c>
      <c r="D332" s="85">
        <v>6</v>
      </c>
      <c r="E332" s="86">
        <v>1E-3</v>
      </c>
    </row>
    <row r="333" spans="2:5" ht="15" customHeight="1">
      <c r="B333" s="118"/>
      <c r="C333" s="84" t="s">
        <v>109</v>
      </c>
      <c r="D333" s="85">
        <v>5</v>
      </c>
      <c r="E333" s="86">
        <v>1E-3</v>
      </c>
    </row>
    <row r="334" spans="2:5" ht="15" customHeight="1">
      <c r="B334" s="118"/>
      <c r="C334" s="84" t="s">
        <v>111</v>
      </c>
      <c r="D334" s="85">
        <v>6</v>
      </c>
      <c r="E334" s="86">
        <v>1E-3</v>
      </c>
    </row>
    <row r="335" spans="2:5" ht="15" customHeight="1">
      <c r="B335" s="118"/>
      <c r="C335" s="84" t="s">
        <v>112</v>
      </c>
      <c r="D335" s="85">
        <v>5</v>
      </c>
      <c r="E335" s="86">
        <v>1E-3</v>
      </c>
    </row>
    <row r="336" spans="2:5" ht="15" customHeight="1">
      <c r="B336" s="118"/>
      <c r="C336" s="84" t="s">
        <v>116</v>
      </c>
      <c r="D336" s="85">
        <v>5</v>
      </c>
      <c r="E336" s="86">
        <v>1E-3</v>
      </c>
    </row>
    <row r="337" spans="2:5" ht="15" customHeight="1">
      <c r="B337" s="118"/>
      <c r="C337" s="84" t="s">
        <v>117</v>
      </c>
      <c r="D337" s="85">
        <v>9</v>
      </c>
      <c r="E337" s="86">
        <v>1E-3</v>
      </c>
    </row>
    <row r="338" spans="2:5" ht="15" customHeight="1">
      <c r="B338" s="118"/>
      <c r="C338" s="84" t="s">
        <v>118</v>
      </c>
      <c r="D338" s="85">
        <v>1</v>
      </c>
      <c r="E338" s="86">
        <v>0</v>
      </c>
    </row>
    <row r="339" spans="2:5" ht="15" customHeight="1">
      <c r="B339" s="118"/>
      <c r="C339" s="84" t="s">
        <v>121</v>
      </c>
      <c r="D339" s="85">
        <v>2</v>
      </c>
      <c r="E339" s="86">
        <v>0</v>
      </c>
    </row>
    <row r="340" spans="2:5" ht="15" customHeight="1">
      <c r="B340" s="118"/>
      <c r="C340" s="84" t="s">
        <v>122</v>
      </c>
      <c r="D340" s="85">
        <v>41</v>
      </c>
      <c r="E340" s="86">
        <v>5.0000000000000001E-3</v>
      </c>
    </row>
    <row r="341" spans="2:5" ht="15" customHeight="1">
      <c r="B341" s="118"/>
      <c r="C341" s="84" t="s">
        <v>124</v>
      </c>
      <c r="D341" s="85">
        <v>3</v>
      </c>
      <c r="E341" s="86">
        <v>0</v>
      </c>
    </row>
    <row r="342" spans="2:5" ht="15" customHeight="1">
      <c r="B342" s="118"/>
      <c r="C342" s="84" t="s">
        <v>126</v>
      </c>
      <c r="D342" s="85">
        <v>12</v>
      </c>
      <c r="E342" s="86">
        <v>1E-3</v>
      </c>
    </row>
    <row r="343" spans="2:5" ht="15" customHeight="1">
      <c r="B343" s="118"/>
      <c r="C343" s="84" t="s">
        <v>128</v>
      </c>
      <c r="D343" s="85">
        <v>2</v>
      </c>
      <c r="E343" s="86">
        <v>0</v>
      </c>
    </row>
    <row r="344" spans="2:5" ht="15" customHeight="1">
      <c r="B344" s="118"/>
      <c r="C344" s="84" t="s">
        <v>129</v>
      </c>
      <c r="D344" s="85">
        <v>4</v>
      </c>
      <c r="E344" s="86">
        <v>0</v>
      </c>
    </row>
    <row r="345" spans="2:5" ht="15" customHeight="1">
      <c r="B345" s="118"/>
      <c r="C345" s="84" t="s">
        <v>130</v>
      </c>
      <c r="D345" s="85">
        <v>10</v>
      </c>
      <c r="E345" s="86">
        <v>1E-3</v>
      </c>
    </row>
    <row r="346" spans="2:5" ht="15" customHeight="1">
      <c r="B346" s="118"/>
      <c r="C346" s="84" t="s">
        <v>132</v>
      </c>
      <c r="D346" s="85">
        <v>3</v>
      </c>
      <c r="E346" s="86">
        <v>0</v>
      </c>
    </row>
    <row r="347" spans="2:5" ht="15" customHeight="1">
      <c r="B347" s="118"/>
      <c r="C347" s="84" t="s">
        <v>134</v>
      </c>
      <c r="D347" s="85">
        <v>4</v>
      </c>
      <c r="E347" s="86">
        <v>0</v>
      </c>
    </row>
    <row r="348" spans="2:5" ht="15" customHeight="1">
      <c r="B348" s="118"/>
      <c r="C348" s="84" t="s">
        <v>135</v>
      </c>
      <c r="D348" s="85">
        <v>19</v>
      </c>
      <c r="E348" s="86">
        <v>2E-3</v>
      </c>
    </row>
    <row r="349" spans="2:5" ht="15" customHeight="1">
      <c r="B349" s="118"/>
      <c r="C349" s="84" t="s">
        <v>136</v>
      </c>
      <c r="D349" s="85">
        <v>11</v>
      </c>
      <c r="E349" s="86">
        <v>1E-3</v>
      </c>
    </row>
    <row r="350" spans="2:5" ht="15" customHeight="1">
      <c r="B350" s="118"/>
      <c r="C350" s="84" t="s">
        <v>137</v>
      </c>
      <c r="D350" s="85">
        <v>3</v>
      </c>
      <c r="E350" s="86">
        <v>0</v>
      </c>
    </row>
    <row r="351" spans="2:5" ht="15" customHeight="1">
      <c r="B351" s="118"/>
      <c r="C351" s="84" t="s">
        <v>78</v>
      </c>
      <c r="D351" s="85">
        <v>5</v>
      </c>
      <c r="E351" s="86">
        <v>1E-3</v>
      </c>
    </row>
    <row r="352" spans="2:5" ht="15" customHeight="1">
      <c r="B352" s="118"/>
      <c r="C352" s="84" t="s">
        <v>138</v>
      </c>
      <c r="D352" s="85">
        <v>1</v>
      </c>
      <c r="E352" s="86">
        <v>0</v>
      </c>
    </row>
    <row r="353" spans="2:5" ht="15" customHeight="1">
      <c r="B353" s="119"/>
      <c r="C353" s="87" t="s">
        <v>265</v>
      </c>
      <c r="D353" s="88">
        <v>536</v>
      </c>
      <c r="E353" s="89">
        <v>6.4000000000000001E-2</v>
      </c>
    </row>
    <row r="354" spans="2:5" ht="15" customHeight="1">
      <c r="B354" s="117" t="s">
        <v>176</v>
      </c>
      <c r="C354" s="84" t="s">
        <v>96</v>
      </c>
      <c r="D354" s="85">
        <v>3</v>
      </c>
      <c r="E354" s="86">
        <v>0</v>
      </c>
    </row>
    <row r="355" spans="2:5" ht="15" customHeight="1">
      <c r="B355" s="118"/>
      <c r="C355" s="84" t="s">
        <v>97</v>
      </c>
      <c r="D355" s="85">
        <v>1</v>
      </c>
      <c r="E355" s="86">
        <v>0</v>
      </c>
    </row>
    <row r="356" spans="2:5" ht="15" customHeight="1">
      <c r="B356" s="118"/>
      <c r="C356" s="84" t="s">
        <v>98</v>
      </c>
      <c r="D356" s="85">
        <v>66</v>
      </c>
      <c r="E356" s="86">
        <v>8.0000000000000002E-3</v>
      </c>
    </row>
    <row r="357" spans="2:5" ht="15" customHeight="1">
      <c r="B357" s="118"/>
      <c r="C357" s="84" t="s">
        <v>99</v>
      </c>
      <c r="D357" s="85">
        <v>10</v>
      </c>
      <c r="E357" s="86">
        <v>1E-3</v>
      </c>
    </row>
    <row r="358" spans="2:5" ht="15" customHeight="1">
      <c r="B358" s="118"/>
      <c r="C358" s="84" t="s">
        <v>100</v>
      </c>
      <c r="D358" s="90">
        <v>1105</v>
      </c>
      <c r="E358" s="86">
        <v>0.13200000000000001</v>
      </c>
    </row>
    <row r="359" spans="2:5" ht="15" customHeight="1">
      <c r="B359" s="118"/>
      <c r="C359" s="84" t="s">
        <v>101</v>
      </c>
      <c r="D359" s="85">
        <v>58</v>
      </c>
      <c r="E359" s="86">
        <v>7.0000000000000001E-3</v>
      </c>
    </row>
    <row r="360" spans="2:5" ht="15" customHeight="1">
      <c r="B360" s="118"/>
      <c r="C360" s="84" t="s">
        <v>102</v>
      </c>
      <c r="D360" s="85">
        <v>1</v>
      </c>
      <c r="E360" s="86">
        <v>0</v>
      </c>
    </row>
    <row r="361" spans="2:5" ht="15" customHeight="1">
      <c r="B361" s="118"/>
      <c r="C361" s="84" t="s">
        <v>103</v>
      </c>
      <c r="D361" s="85">
        <v>2</v>
      </c>
      <c r="E361" s="86">
        <v>0</v>
      </c>
    </row>
    <row r="362" spans="2:5" ht="15" customHeight="1">
      <c r="B362" s="118"/>
      <c r="C362" s="84" t="s">
        <v>104</v>
      </c>
      <c r="D362" s="85">
        <v>19</v>
      </c>
      <c r="E362" s="86">
        <v>2E-3</v>
      </c>
    </row>
    <row r="363" spans="2:5" ht="15" customHeight="1">
      <c r="B363" s="118"/>
      <c r="C363" s="84" t="s">
        <v>105</v>
      </c>
      <c r="D363" s="85">
        <v>22</v>
      </c>
      <c r="E363" s="86">
        <v>3.0000000000000001E-3</v>
      </c>
    </row>
    <row r="364" spans="2:5" ht="15" customHeight="1">
      <c r="B364" s="118"/>
      <c r="C364" s="84" t="s">
        <v>106</v>
      </c>
      <c r="D364" s="85">
        <v>1</v>
      </c>
      <c r="E364" s="86">
        <v>0</v>
      </c>
    </row>
    <row r="365" spans="2:5" ht="15" customHeight="1">
      <c r="B365" s="118"/>
      <c r="C365" s="84" t="s">
        <v>107</v>
      </c>
      <c r="D365" s="85">
        <v>37</v>
      </c>
      <c r="E365" s="86">
        <v>4.0000000000000001E-3</v>
      </c>
    </row>
    <row r="366" spans="2:5" ht="15" customHeight="1">
      <c r="B366" s="118"/>
      <c r="C366" s="84" t="s">
        <v>108</v>
      </c>
      <c r="D366" s="85">
        <v>49</v>
      </c>
      <c r="E366" s="86">
        <v>6.0000000000000001E-3</v>
      </c>
    </row>
    <row r="367" spans="2:5" ht="15" customHeight="1">
      <c r="B367" s="118"/>
      <c r="C367" s="84" t="s">
        <v>109</v>
      </c>
      <c r="D367" s="85">
        <v>18</v>
      </c>
      <c r="E367" s="86">
        <v>2E-3</v>
      </c>
    </row>
    <row r="368" spans="2:5" ht="15" customHeight="1">
      <c r="B368" s="118"/>
      <c r="C368" s="84" t="s">
        <v>110</v>
      </c>
      <c r="D368" s="85">
        <v>12</v>
      </c>
      <c r="E368" s="86">
        <v>1E-3</v>
      </c>
    </row>
    <row r="369" spans="2:5" ht="15" customHeight="1">
      <c r="B369" s="118"/>
      <c r="C369" s="84" t="s">
        <v>111</v>
      </c>
      <c r="D369" s="85">
        <v>6</v>
      </c>
      <c r="E369" s="86">
        <v>1E-3</v>
      </c>
    </row>
    <row r="370" spans="2:5" ht="15" customHeight="1">
      <c r="B370" s="118"/>
      <c r="C370" s="84" t="s">
        <v>112</v>
      </c>
      <c r="D370" s="85">
        <v>13</v>
      </c>
      <c r="E370" s="86">
        <v>2E-3</v>
      </c>
    </row>
    <row r="371" spans="2:5" ht="15" customHeight="1">
      <c r="B371" s="118"/>
      <c r="C371" s="84" t="s">
        <v>113</v>
      </c>
      <c r="D371" s="85">
        <v>3</v>
      </c>
      <c r="E371" s="86">
        <v>0</v>
      </c>
    </row>
    <row r="372" spans="2:5" ht="15" customHeight="1">
      <c r="B372" s="118"/>
      <c r="C372" s="84" t="s">
        <v>114</v>
      </c>
      <c r="D372" s="85">
        <v>1</v>
      </c>
      <c r="E372" s="86">
        <v>0</v>
      </c>
    </row>
    <row r="373" spans="2:5" ht="15" customHeight="1">
      <c r="B373" s="118"/>
      <c r="C373" s="84" t="s">
        <v>116</v>
      </c>
      <c r="D373" s="85">
        <v>5</v>
      </c>
      <c r="E373" s="86">
        <v>1E-3</v>
      </c>
    </row>
    <row r="374" spans="2:5" ht="15" customHeight="1">
      <c r="B374" s="118"/>
      <c r="C374" s="84" t="s">
        <v>117</v>
      </c>
      <c r="D374" s="85">
        <v>32</v>
      </c>
      <c r="E374" s="86">
        <v>4.0000000000000001E-3</v>
      </c>
    </row>
    <row r="375" spans="2:5" ht="15" customHeight="1">
      <c r="B375" s="118"/>
      <c r="C375" s="84" t="s">
        <v>118</v>
      </c>
      <c r="D375" s="85">
        <v>1</v>
      </c>
      <c r="E375" s="86">
        <v>0</v>
      </c>
    </row>
    <row r="376" spans="2:5" ht="15" customHeight="1">
      <c r="B376" s="118"/>
      <c r="C376" s="84" t="s">
        <v>119</v>
      </c>
      <c r="D376" s="85">
        <v>3</v>
      </c>
      <c r="E376" s="86">
        <v>0</v>
      </c>
    </row>
    <row r="377" spans="2:5" ht="15" customHeight="1">
      <c r="B377" s="118"/>
      <c r="C377" s="84" t="s">
        <v>120</v>
      </c>
      <c r="D377" s="85">
        <v>1</v>
      </c>
      <c r="E377" s="86">
        <v>0</v>
      </c>
    </row>
    <row r="378" spans="2:5" ht="15" customHeight="1">
      <c r="B378" s="118"/>
      <c r="C378" s="84" t="s">
        <v>121</v>
      </c>
      <c r="D378" s="85">
        <v>11</v>
      </c>
      <c r="E378" s="86">
        <v>1E-3</v>
      </c>
    </row>
    <row r="379" spans="2:5" ht="15" customHeight="1">
      <c r="B379" s="118"/>
      <c r="C379" s="84" t="s">
        <v>122</v>
      </c>
      <c r="D379" s="85">
        <v>134</v>
      </c>
      <c r="E379" s="86">
        <v>1.6E-2</v>
      </c>
    </row>
    <row r="380" spans="2:5" ht="15" customHeight="1">
      <c r="B380" s="118"/>
      <c r="C380" s="84" t="s">
        <v>123</v>
      </c>
      <c r="D380" s="85">
        <v>5</v>
      </c>
      <c r="E380" s="86">
        <v>1E-3</v>
      </c>
    </row>
    <row r="381" spans="2:5" ht="15" customHeight="1">
      <c r="B381" s="118"/>
      <c r="C381" s="84" t="s">
        <v>124</v>
      </c>
      <c r="D381" s="85">
        <v>6</v>
      </c>
      <c r="E381" s="86">
        <v>1E-3</v>
      </c>
    </row>
    <row r="382" spans="2:5" ht="15" customHeight="1">
      <c r="B382" s="118"/>
      <c r="C382" s="84" t="s">
        <v>125</v>
      </c>
      <c r="D382" s="85">
        <v>5</v>
      </c>
      <c r="E382" s="86">
        <v>1E-3</v>
      </c>
    </row>
    <row r="383" spans="2:5" ht="15" customHeight="1">
      <c r="B383" s="118"/>
      <c r="C383" s="84" t="s">
        <v>126</v>
      </c>
      <c r="D383" s="85">
        <v>29</v>
      </c>
      <c r="E383" s="86">
        <v>3.0000000000000001E-3</v>
      </c>
    </row>
    <row r="384" spans="2:5" ht="15" customHeight="1">
      <c r="B384" s="118"/>
      <c r="C384" s="84" t="s">
        <v>127</v>
      </c>
      <c r="D384" s="85">
        <v>1</v>
      </c>
      <c r="E384" s="86">
        <v>0</v>
      </c>
    </row>
    <row r="385" spans="2:5" ht="15" customHeight="1">
      <c r="B385" s="118"/>
      <c r="C385" s="84" t="s">
        <v>128</v>
      </c>
      <c r="D385" s="85">
        <v>10</v>
      </c>
      <c r="E385" s="86">
        <v>1E-3</v>
      </c>
    </row>
    <row r="386" spans="2:5" ht="15" customHeight="1">
      <c r="B386" s="118"/>
      <c r="C386" s="84" t="s">
        <v>129</v>
      </c>
      <c r="D386" s="85">
        <v>16</v>
      </c>
      <c r="E386" s="86">
        <v>2E-3</v>
      </c>
    </row>
    <row r="387" spans="2:5" ht="15" customHeight="1">
      <c r="B387" s="118"/>
      <c r="C387" s="84" t="s">
        <v>130</v>
      </c>
      <c r="D387" s="85">
        <v>22</v>
      </c>
      <c r="E387" s="86">
        <v>3.0000000000000001E-3</v>
      </c>
    </row>
    <row r="388" spans="2:5" ht="15" customHeight="1">
      <c r="B388" s="118"/>
      <c r="C388" s="84" t="s">
        <v>131</v>
      </c>
      <c r="D388" s="85">
        <v>6</v>
      </c>
      <c r="E388" s="86">
        <v>1E-3</v>
      </c>
    </row>
    <row r="389" spans="2:5" ht="15" customHeight="1">
      <c r="B389" s="118"/>
      <c r="C389" s="84" t="s">
        <v>234</v>
      </c>
      <c r="D389" s="85">
        <v>1</v>
      </c>
      <c r="E389" s="86">
        <v>0</v>
      </c>
    </row>
    <row r="390" spans="2:5" ht="15" customHeight="1">
      <c r="B390" s="118"/>
      <c r="C390" s="84" t="s">
        <v>132</v>
      </c>
      <c r="D390" s="85">
        <v>9</v>
      </c>
      <c r="E390" s="86">
        <v>1E-3</v>
      </c>
    </row>
    <row r="391" spans="2:5" ht="15" customHeight="1">
      <c r="B391" s="118"/>
      <c r="C391" s="84" t="s">
        <v>134</v>
      </c>
      <c r="D391" s="85">
        <v>14</v>
      </c>
      <c r="E391" s="86">
        <v>2E-3</v>
      </c>
    </row>
    <row r="392" spans="2:5" ht="15" customHeight="1">
      <c r="B392" s="118"/>
      <c r="C392" s="84" t="s">
        <v>135</v>
      </c>
      <c r="D392" s="85">
        <v>80</v>
      </c>
      <c r="E392" s="86">
        <v>0.01</v>
      </c>
    </row>
    <row r="393" spans="2:5" ht="15" customHeight="1">
      <c r="B393" s="118"/>
      <c r="C393" s="84" t="s">
        <v>136</v>
      </c>
      <c r="D393" s="85">
        <v>41</v>
      </c>
      <c r="E393" s="86">
        <v>5.0000000000000001E-3</v>
      </c>
    </row>
    <row r="394" spans="2:5" ht="15" customHeight="1">
      <c r="B394" s="118"/>
      <c r="C394" s="84" t="s">
        <v>137</v>
      </c>
      <c r="D394" s="85">
        <v>9</v>
      </c>
      <c r="E394" s="86">
        <v>1E-3</v>
      </c>
    </row>
    <row r="395" spans="2:5" ht="15" customHeight="1">
      <c r="B395" s="118"/>
      <c r="C395" s="84" t="s">
        <v>78</v>
      </c>
      <c r="D395" s="85">
        <v>31</v>
      </c>
      <c r="E395" s="86">
        <v>4.0000000000000001E-3</v>
      </c>
    </row>
    <row r="396" spans="2:5" ht="15" customHeight="1">
      <c r="B396" s="118"/>
      <c r="C396" s="84" t="s">
        <v>138</v>
      </c>
      <c r="D396" s="85">
        <v>13</v>
      </c>
      <c r="E396" s="86">
        <v>2E-3</v>
      </c>
    </row>
    <row r="397" spans="2:5" ht="15" customHeight="1">
      <c r="B397" s="118"/>
      <c r="C397" s="84" t="s">
        <v>139</v>
      </c>
      <c r="D397" s="85">
        <v>5</v>
      </c>
      <c r="E397" s="86">
        <v>1E-3</v>
      </c>
    </row>
    <row r="398" spans="2:5" ht="15" customHeight="1">
      <c r="B398" s="119"/>
      <c r="C398" s="87" t="s">
        <v>265</v>
      </c>
      <c r="D398" s="88">
        <v>1917</v>
      </c>
      <c r="E398" s="89">
        <v>0.22900000000000001</v>
      </c>
    </row>
    <row r="399" spans="2:5" ht="15" customHeight="1">
      <c r="B399" s="117" t="s">
        <v>245</v>
      </c>
      <c r="C399" s="84" t="s">
        <v>100</v>
      </c>
      <c r="D399" s="85">
        <v>27</v>
      </c>
      <c r="E399" s="86">
        <v>3.0000000000000001E-3</v>
      </c>
    </row>
    <row r="400" spans="2:5" ht="15" customHeight="1">
      <c r="B400" s="118"/>
      <c r="C400" s="84" t="s">
        <v>107</v>
      </c>
      <c r="D400" s="85">
        <v>2</v>
      </c>
      <c r="E400" s="86">
        <v>0</v>
      </c>
    </row>
    <row r="401" spans="2:5" ht="15" customHeight="1">
      <c r="B401" s="118"/>
      <c r="C401" s="84" t="s">
        <v>117</v>
      </c>
      <c r="D401" s="85">
        <v>1</v>
      </c>
      <c r="E401" s="86">
        <v>0</v>
      </c>
    </row>
    <row r="402" spans="2:5" ht="15" customHeight="1">
      <c r="B402" s="118"/>
      <c r="C402" s="84" t="s">
        <v>119</v>
      </c>
      <c r="D402" s="85">
        <v>1</v>
      </c>
      <c r="E402" s="86">
        <v>0</v>
      </c>
    </row>
    <row r="403" spans="2:5" ht="15" customHeight="1">
      <c r="B403" s="118"/>
      <c r="C403" s="84" t="s">
        <v>122</v>
      </c>
      <c r="D403" s="85">
        <v>1</v>
      </c>
      <c r="E403" s="86">
        <v>0</v>
      </c>
    </row>
    <row r="404" spans="2:5" ht="15" customHeight="1">
      <c r="B404" s="118"/>
      <c r="C404" s="84" t="s">
        <v>135</v>
      </c>
      <c r="D404" s="85">
        <v>2</v>
      </c>
      <c r="E404" s="86">
        <v>0</v>
      </c>
    </row>
    <row r="405" spans="2:5" ht="15" customHeight="1">
      <c r="B405" s="118"/>
      <c r="C405" s="84" t="s">
        <v>137</v>
      </c>
      <c r="D405" s="85">
        <v>1</v>
      </c>
      <c r="E405" s="86">
        <v>0</v>
      </c>
    </row>
    <row r="406" spans="2:5" ht="15" customHeight="1">
      <c r="B406" s="119"/>
      <c r="C406" s="87" t="s">
        <v>265</v>
      </c>
      <c r="D406" s="88">
        <v>35</v>
      </c>
      <c r="E406" s="89">
        <v>4.0000000000000001E-3</v>
      </c>
    </row>
    <row r="407" spans="2:5" ht="15" customHeight="1">
      <c r="B407" s="117" t="s">
        <v>246</v>
      </c>
      <c r="C407" s="84" t="s">
        <v>100</v>
      </c>
      <c r="D407" s="85">
        <v>30</v>
      </c>
      <c r="E407" s="86">
        <v>4.0000000000000001E-3</v>
      </c>
    </row>
    <row r="408" spans="2:5" ht="15" customHeight="1">
      <c r="B408" s="118"/>
      <c r="C408" s="84" t="s">
        <v>102</v>
      </c>
      <c r="D408" s="85">
        <v>1</v>
      </c>
      <c r="E408" s="86">
        <v>0</v>
      </c>
    </row>
    <row r="409" spans="2:5" ht="15" customHeight="1">
      <c r="B409" s="118"/>
      <c r="C409" s="84" t="s">
        <v>104</v>
      </c>
      <c r="D409" s="85">
        <v>1</v>
      </c>
      <c r="E409" s="86">
        <v>0</v>
      </c>
    </row>
    <row r="410" spans="2:5" ht="15" customHeight="1">
      <c r="B410" s="118"/>
      <c r="C410" s="84" t="s">
        <v>105</v>
      </c>
      <c r="D410" s="85">
        <v>1</v>
      </c>
      <c r="E410" s="86">
        <v>0</v>
      </c>
    </row>
    <row r="411" spans="2:5" ht="15" customHeight="1">
      <c r="B411" s="118"/>
      <c r="C411" s="84" t="s">
        <v>107</v>
      </c>
      <c r="D411" s="85">
        <v>1</v>
      </c>
      <c r="E411" s="86">
        <v>0</v>
      </c>
    </row>
    <row r="412" spans="2:5" ht="15" customHeight="1">
      <c r="B412" s="118"/>
      <c r="C412" s="84" t="s">
        <v>109</v>
      </c>
      <c r="D412" s="85">
        <v>1</v>
      </c>
      <c r="E412" s="86">
        <v>0</v>
      </c>
    </row>
    <row r="413" spans="2:5" ht="15" customHeight="1">
      <c r="B413" s="118"/>
      <c r="C413" s="84" t="s">
        <v>122</v>
      </c>
      <c r="D413" s="85">
        <v>2</v>
      </c>
      <c r="E413" s="86">
        <v>0</v>
      </c>
    </row>
    <row r="414" spans="2:5" ht="15" customHeight="1">
      <c r="B414" s="118"/>
      <c r="C414" s="84" t="s">
        <v>126</v>
      </c>
      <c r="D414" s="85">
        <v>1</v>
      </c>
      <c r="E414" s="86">
        <v>0</v>
      </c>
    </row>
    <row r="415" spans="2:5" ht="15" customHeight="1">
      <c r="B415" s="118"/>
      <c r="C415" s="84" t="s">
        <v>129</v>
      </c>
      <c r="D415" s="85">
        <v>1</v>
      </c>
      <c r="E415" s="86">
        <v>0</v>
      </c>
    </row>
    <row r="416" spans="2:5" ht="15" customHeight="1">
      <c r="B416" s="118"/>
      <c r="C416" s="84" t="s">
        <v>135</v>
      </c>
      <c r="D416" s="85">
        <v>1</v>
      </c>
      <c r="E416" s="86">
        <v>0</v>
      </c>
    </row>
    <row r="417" spans="2:5" ht="15" customHeight="1">
      <c r="B417" s="118"/>
      <c r="C417" s="84" t="s">
        <v>78</v>
      </c>
      <c r="D417" s="85">
        <v>1</v>
      </c>
      <c r="E417" s="86">
        <v>0</v>
      </c>
    </row>
    <row r="418" spans="2:5" ht="15" customHeight="1">
      <c r="B418" s="119"/>
      <c r="C418" s="87" t="s">
        <v>265</v>
      </c>
      <c r="D418" s="88">
        <v>41</v>
      </c>
      <c r="E418" s="89">
        <v>5.0000000000000001E-3</v>
      </c>
    </row>
    <row r="419" spans="2:5" ht="15" customHeight="1">
      <c r="B419" s="117" t="s">
        <v>247</v>
      </c>
      <c r="C419" s="84" t="s">
        <v>98</v>
      </c>
      <c r="D419" s="85">
        <v>1</v>
      </c>
      <c r="E419" s="86">
        <v>0</v>
      </c>
    </row>
    <row r="420" spans="2:5" ht="15" customHeight="1">
      <c r="B420" s="118"/>
      <c r="C420" s="84" t="s">
        <v>100</v>
      </c>
      <c r="D420" s="85">
        <v>8</v>
      </c>
      <c r="E420" s="86">
        <v>1E-3</v>
      </c>
    </row>
    <row r="421" spans="2:5" ht="15" customHeight="1">
      <c r="B421" s="118"/>
      <c r="C421" s="84" t="s">
        <v>105</v>
      </c>
      <c r="D421" s="85">
        <v>1</v>
      </c>
      <c r="E421" s="86">
        <v>0</v>
      </c>
    </row>
    <row r="422" spans="2:5" ht="15" customHeight="1">
      <c r="B422" s="118"/>
      <c r="C422" s="84" t="s">
        <v>121</v>
      </c>
      <c r="D422" s="85">
        <v>1</v>
      </c>
      <c r="E422" s="86">
        <v>0</v>
      </c>
    </row>
    <row r="423" spans="2:5" ht="15" customHeight="1">
      <c r="B423" s="118"/>
      <c r="C423" s="84" t="s">
        <v>122</v>
      </c>
      <c r="D423" s="85">
        <v>1</v>
      </c>
      <c r="E423" s="86">
        <v>0</v>
      </c>
    </row>
    <row r="424" spans="2:5" ht="15" customHeight="1">
      <c r="B424" s="118"/>
      <c r="C424" s="84" t="s">
        <v>130</v>
      </c>
      <c r="D424" s="85">
        <v>2</v>
      </c>
      <c r="E424" s="86">
        <v>0</v>
      </c>
    </row>
    <row r="425" spans="2:5" ht="15" customHeight="1">
      <c r="B425" s="118"/>
      <c r="C425" s="84" t="s">
        <v>135</v>
      </c>
      <c r="D425" s="85">
        <v>1</v>
      </c>
      <c r="E425" s="86">
        <v>0</v>
      </c>
    </row>
    <row r="426" spans="2:5" ht="15" customHeight="1">
      <c r="B426" s="119"/>
      <c r="C426" s="87" t="s">
        <v>265</v>
      </c>
      <c r="D426" s="88">
        <v>15</v>
      </c>
      <c r="E426" s="89">
        <v>2E-3</v>
      </c>
    </row>
    <row r="427" spans="2:5" ht="15" customHeight="1">
      <c r="B427" s="117" t="s">
        <v>248</v>
      </c>
      <c r="C427" s="84" t="s">
        <v>98</v>
      </c>
      <c r="D427" s="85">
        <v>1</v>
      </c>
      <c r="E427" s="86">
        <v>0</v>
      </c>
    </row>
    <row r="428" spans="2:5" ht="15" customHeight="1">
      <c r="B428" s="118"/>
      <c r="C428" s="84" t="s">
        <v>100</v>
      </c>
      <c r="D428" s="85">
        <v>7</v>
      </c>
      <c r="E428" s="86">
        <v>1E-3</v>
      </c>
    </row>
    <row r="429" spans="2:5" ht="15" customHeight="1">
      <c r="B429" s="118"/>
      <c r="C429" s="84" t="s">
        <v>116</v>
      </c>
      <c r="D429" s="85">
        <v>1</v>
      </c>
      <c r="E429" s="86">
        <v>0</v>
      </c>
    </row>
    <row r="430" spans="2:5" ht="15" customHeight="1">
      <c r="B430" s="118"/>
      <c r="C430" s="84" t="s">
        <v>130</v>
      </c>
      <c r="D430" s="85">
        <v>1</v>
      </c>
      <c r="E430" s="86">
        <v>0</v>
      </c>
    </row>
    <row r="431" spans="2:5" ht="15" customHeight="1">
      <c r="B431" s="119"/>
      <c r="C431" s="87" t="s">
        <v>265</v>
      </c>
      <c r="D431" s="88">
        <v>10</v>
      </c>
      <c r="E431" s="89">
        <v>1E-3</v>
      </c>
    </row>
    <row r="432" spans="2:5" ht="15" customHeight="1">
      <c r="B432" s="117" t="s">
        <v>181</v>
      </c>
      <c r="C432" s="84" t="s">
        <v>98</v>
      </c>
      <c r="D432" s="85">
        <v>2</v>
      </c>
      <c r="E432" s="86">
        <v>0</v>
      </c>
    </row>
    <row r="433" spans="2:5" ht="15" customHeight="1">
      <c r="B433" s="118"/>
      <c r="C433" s="84" t="s">
        <v>99</v>
      </c>
      <c r="D433" s="85">
        <v>1</v>
      </c>
      <c r="E433" s="86">
        <v>0</v>
      </c>
    </row>
    <row r="434" spans="2:5" ht="15" customHeight="1">
      <c r="B434" s="118"/>
      <c r="C434" s="84" t="s">
        <v>100</v>
      </c>
      <c r="D434" s="85">
        <v>69</v>
      </c>
      <c r="E434" s="86">
        <v>8.0000000000000002E-3</v>
      </c>
    </row>
    <row r="435" spans="2:5" ht="15" customHeight="1">
      <c r="B435" s="118"/>
      <c r="C435" s="84" t="s">
        <v>101</v>
      </c>
      <c r="D435" s="85">
        <v>3</v>
      </c>
      <c r="E435" s="86">
        <v>0</v>
      </c>
    </row>
    <row r="436" spans="2:5" ht="15" customHeight="1">
      <c r="B436" s="118"/>
      <c r="C436" s="84" t="s">
        <v>104</v>
      </c>
      <c r="D436" s="85">
        <v>1</v>
      </c>
      <c r="E436" s="86">
        <v>0</v>
      </c>
    </row>
    <row r="437" spans="2:5" ht="15" customHeight="1">
      <c r="B437" s="118"/>
      <c r="C437" s="84" t="s">
        <v>108</v>
      </c>
      <c r="D437" s="85">
        <v>2</v>
      </c>
      <c r="E437" s="86">
        <v>0</v>
      </c>
    </row>
    <row r="438" spans="2:5" ht="15" customHeight="1">
      <c r="B438" s="118"/>
      <c r="C438" s="84" t="s">
        <v>109</v>
      </c>
      <c r="D438" s="85">
        <v>2</v>
      </c>
      <c r="E438" s="86">
        <v>0</v>
      </c>
    </row>
    <row r="439" spans="2:5" ht="15" customHeight="1">
      <c r="B439" s="118"/>
      <c r="C439" s="84" t="s">
        <v>110</v>
      </c>
      <c r="D439" s="85">
        <v>1</v>
      </c>
      <c r="E439" s="86">
        <v>0</v>
      </c>
    </row>
    <row r="440" spans="2:5" ht="15" customHeight="1">
      <c r="B440" s="118"/>
      <c r="C440" s="84" t="s">
        <v>111</v>
      </c>
      <c r="D440" s="85">
        <v>2</v>
      </c>
      <c r="E440" s="86">
        <v>0</v>
      </c>
    </row>
    <row r="441" spans="2:5" ht="15" customHeight="1">
      <c r="B441" s="118"/>
      <c r="C441" s="84" t="s">
        <v>112</v>
      </c>
      <c r="D441" s="85">
        <v>3</v>
      </c>
      <c r="E441" s="86">
        <v>0</v>
      </c>
    </row>
    <row r="442" spans="2:5" ht="15" customHeight="1">
      <c r="B442" s="118"/>
      <c r="C442" s="84" t="s">
        <v>116</v>
      </c>
      <c r="D442" s="85">
        <v>1</v>
      </c>
      <c r="E442" s="86">
        <v>0</v>
      </c>
    </row>
    <row r="443" spans="2:5" ht="15" customHeight="1">
      <c r="B443" s="118"/>
      <c r="C443" s="84" t="s">
        <v>117</v>
      </c>
      <c r="D443" s="85">
        <v>4</v>
      </c>
      <c r="E443" s="86">
        <v>0</v>
      </c>
    </row>
    <row r="444" spans="2:5" ht="15" customHeight="1">
      <c r="B444" s="118"/>
      <c r="C444" s="84" t="s">
        <v>122</v>
      </c>
      <c r="D444" s="85">
        <v>1</v>
      </c>
      <c r="E444" s="86">
        <v>0</v>
      </c>
    </row>
    <row r="445" spans="2:5" ht="15" customHeight="1">
      <c r="B445" s="118"/>
      <c r="C445" s="84" t="s">
        <v>124</v>
      </c>
      <c r="D445" s="85">
        <v>1</v>
      </c>
      <c r="E445" s="86">
        <v>0</v>
      </c>
    </row>
    <row r="446" spans="2:5" ht="15" customHeight="1">
      <c r="B446" s="118"/>
      <c r="C446" s="84" t="s">
        <v>129</v>
      </c>
      <c r="D446" s="85">
        <v>1</v>
      </c>
      <c r="E446" s="86">
        <v>0</v>
      </c>
    </row>
    <row r="447" spans="2:5" ht="15" customHeight="1">
      <c r="B447" s="118"/>
      <c r="C447" s="84" t="s">
        <v>130</v>
      </c>
      <c r="D447" s="85">
        <v>1</v>
      </c>
      <c r="E447" s="86">
        <v>0</v>
      </c>
    </row>
    <row r="448" spans="2:5" ht="15" customHeight="1">
      <c r="B448" s="118"/>
      <c r="C448" s="84" t="s">
        <v>132</v>
      </c>
      <c r="D448" s="85">
        <v>2</v>
      </c>
      <c r="E448" s="86">
        <v>0</v>
      </c>
    </row>
    <row r="449" spans="2:5" ht="15" customHeight="1">
      <c r="B449" s="118"/>
      <c r="C449" s="84" t="s">
        <v>135</v>
      </c>
      <c r="D449" s="85">
        <v>7</v>
      </c>
      <c r="E449" s="86">
        <v>1E-3</v>
      </c>
    </row>
    <row r="450" spans="2:5" ht="15" customHeight="1">
      <c r="B450" s="118"/>
      <c r="C450" s="84" t="s">
        <v>136</v>
      </c>
      <c r="D450" s="85">
        <v>4</v>
      </c>
      <c r="E450" s="86">
        <v>0</v>
      </c>
    </row>
    <row r="451" spans="2:5" ht="15" customHeight="1">
      <c r="B451" s="118"/>
      <c r="C451" s="84" t="s">
        <v>78</v>
      </c>
      <c r="D451" s="85">
        <v>2</v>
      </c>
      <c r="E451" s="86">
        <v>0</v>
      </c>
    </row>
    <row r="452" spans="2:5" ht="15" customHeight="1">
      <c r="B452" s="118"/>
      <c r="C452" s="84" t="s">
        <v>138</v>
      </c>
      <c r="D452" s="85">
        <v>1</v>
      </c>
      <c r="E452" s="86">
        <v>0</v>
      </c>
    </row>
    <row r="453" spans="2:5" ht="15" customHeight="1">
      <c r="B453" s="119"/>
      <c r="C453" s="87" t="s">
        <v>265</v>
      </c>
      <c r="D453" s="88">
        <v>111</v>
      </c>
      <c r="E453" s="89">
        <v>1.2999999999999999E-2</v>
      </c>
    </row>
    <row r="454" spans="2:5" ht="15" customHeight="1">
      <c r="B454" s="117" t="s">
        <v>182</v>
      </c>
      <c r="C454" s="84" t="s">
        <v>96</v>
      </c>
      <c r="D454" s="85">
        <v>1</v>
      </c>
      <c r="E454" s="86">
        <v>0</v>
      </c>
    </row>
    <row r="455" spans="2:5" ht="15" customHeight="1">
      <c r="B455" s="118"/>
      <c r="C455" s="84" t="s">
        <v>98</v>
      </c>
      <c r="D455" s="85">
        <v>9</v>
      </c>
      <c r="E455" s="86">
        <v>1E-3</v>
      </c>
    </row>
    <row r="456" spans="2:5" ht="15" customHeight="1">
      <c r="B456" s="118"/>
      <c r="C456" s="84" t="s">
        <v>99</v>
      </c>
      <c r="D456" s="85">
        <v>2</v>
      </c>
      <c r="E456" s="86">
        <v>0</v>
      </c>
    </row>
    <row r="457" spans="2:5" ht="15" customHeight="1">
      <c r="B457" s="118"/>
      <c r="C457" s="84" t="s">
        <v>100</v>
      </c>
      <c r="D457" s="85">
        <v>176</v>
      </c>
      <c r="E457" s="86">
        <v>2.1000000000000001E-2</v>
      </c>
    </row>
    <row r="458" spans="2:5" ht="15" customHeight="1">
      <c r="B458" s="118"/>
      <c r="C458" s="84" t="s">
        <v>101</v>
      </c>
      <c r="D458" s="85">
        <v>16</v>
      </c>
      <c r="E458" s="86">
        <v>2E-3</v>
      </c>
    </row>
    <row r="459" spans="2:5" ht="15" customHeight="1">
      <c r="B459" s="118"/>
      <c r="C459" s="84" t="s">
        <v>103</v>
      </c>
      <c r="D459" s="85">
        <v>2</v>
      </c>
      <c r="E459" s="86">
        <v>0</v>
      </c>
    </row>
    <row r="460" spans="2:5" ht="15" customHeight="1">
      <c r="B460" s="118"/>
      <c r="C460" s="84" t="s">
        <v>104</v>
      </c>
      <c r="D460" s="85">
        <v>1</v>
      </c>
      <c r="E460" s="86">
        <v>0</v>
      </c>
    </row>
    <row r="461" spans="2:5" ht="15" customHeight="1">
      <c r="B461" s="118"/>
      <c r="C461" s="84" t="s">
        <v>105</v>
      </c>
      <c r="D461" s="85">
        <v>4</v>
      </c>
      <c r="E461" s="86">
        <v>0</v>
      </c>
    </row>
    <row r="462" spans="2:5" ht="15" customHeight="1">
      <c r="B462" s="118"/>
      <c r="C462" s="84" t="s">
        <v>107</v>
      </c>
      <c r="D462" s="85">
        <v>2</v>
      </c>
      <c r="E462" s="86">
        <v>0</v>
      </c>
    </row>
    <row r="463" spans="2:5" ht="15" customHeight="1">
      <c r="B463" s="118"/>
      <c r="C463" s="84" t="s">
        <v>108</v>
      </c>
      <c r="D463" s="85">
        <v>14</v>
      </c>
      <c r="E463" s="86">
        <v>2E-3</v>
      </c>
    </row>
    <row r="464" spans="2:5" ht="15" customHeight="1">
      <c r="B464" s="118"/>
      <c r="C464" s="84" t="s">
        <v>109</v>
      </c>
      <c r="D464" s="85">
        <v>4</v>
      </c>
      <c r="E464" s="86">
        <v>0</v>
      </c>
    </row>
    <row r="465" spans="2:5" ht="15" customHeight="1">
      <c r="B465" s="118"/>
      <c r="C465" s="84" t="s">
        <v>110</v>
      </c>
      <c r="D465" s="85">
        <v>2</v>
      </c>
      <c r="E465" s="86">
        <v>0</v>
      </c>
    </row>
    <row r="466" spans="2:5" ht="15" customHeight="1">
      <c r="B466" s="118"/>
      <c r="C466" s="84" t="s">
        <v>111</v>
      </c>
      <c r="D466" s="85">
        <v>2</v>
      </c>
      <c r="E466" s="86">
        <v>0</v>
      </c>
    </row>
    <row r="467" spans="2:5" ht="15" customHeight="1">
      <c r="B467" s="118"/>
      <c r="C467" s="84" t="s">
        <v>112</v>
      </c>
      <c r="D467" s="85">
        <v>2</v>
      </c>
      <c r="E467" s="86">
        <v>0</v>
      </c>
    </row>
    <row r="468" spans="2:5" ht="15" customHeight="1">
      <c r="B468" s="118"/>
      <c r="C468" s="84" t="s">
        <v>115</v>
      </c>
      <c r="D468" s="85">
        <v>1</v>
      </c>
      <c r="E468" s="86">
        <v>0</v>
      </c>
    </row>
    <row r="469" spans="2:5" ht="15" customHeight="1">
      <c r="B469" s="118"/>
      <c r="C469" s="84" t="s">
        <v>116</v>
      </c>
      <c r="D469" s="85">
        <v>4</v>
      </c>
      <c r="E469" s="86">
        <v>0</v>
      </c>
    </row>
    <row r="470" spans="2:5" ht="15" customHeight="1">
      <c r="B470" s="118"/>
      <c r="C470" s="84" t="s">
        <v>117</v>
      </c>
      <c r="D470" s="85">
        <v>11</v>
      </c>
      <c r="E470" s="86">
        <v>1E-3</v>
      </c>
    </row>
    <row r="471" spans="2:5" ht="15" customHeight="1">
      <c r="B471" s="118"/>
      <c r="C471" s="84" t="s">
        <v>118</v>
      </c>
      <c r="D471" s="85">
        <v>1</v>
      </c>
      <c r="E471" s="86">
        <v>0</v>
      </c>
    </row>
    <row r="472" spans="2:5" ht="15" customHeight="1">
      <c r="B472" s="118"/>
      <c r="C472" s="84" t="s">
        <v>119</v>
      </c>
      <c r="D472" s="85">
        <v>1</v>
      </c>
      <c r="E472" s="86">
        <v>0</v>
      </c>
    </row>
    <row r="473" spans="2:5" ht="15" customHeight="1">
      <c r="B473" s="118"/>
      <c r="C473" s="84" t="s">
        <v>121</v>
      </c>
      <c r="D473" s="85">
        <v>2</v>
      </c>
      <c r="E473" s="86">
        <v>0</v>
      </c>
    </row>
    <row r="474" spans="2:5" ht="15" customHeight="1">
      <c r="B474" s="118"/>
      <c r="C474" s="84" t="s">
        <v>122</v>
      </c>
      <c r="D474" s="85">
        <v>27</v>
      </c>
      <c r="E474" s="86">
        <v>3.0000000000000001E-3</v>
      </c>
    </row>
    <row r="475" spans="2:5" ht="15" customHeight="1">
      <c r="B475" s="118"/>
      <c r="C475" s="84" t="s">
        <v>124</v>
      </c>
      <c r="D475" s="85">
        <v>1</v>
      </c>
      <c r="E475" s="86">
        <v>0</v>
      </c>
    </row>
    <row r="476" spans="2:5" ht="15" customHeight="1">
      <c r="B476" s="118"/>
      <c r="C476" s="84" t="s">
        <v>126</v>
      </c>
      <c r="D476" s="85">
        <v>4</v>
      </c>
      <c r="E476" s="86">
        <v>0</v>
      </c>
    </row>
    <row r="477" spans="2:5" ht="15" customHeight="1">
      <c r="B477" s="118"/>
      <c r="C477" s="84" t="s">
        <v>129</v>
      </c>
      <c r="D477" s="85">
        <v>3</v>
      </c>
      <c r="E477" s="86">
        <v>0</v>
      </c>
    </row>
    <row r="478" spans="2:5" ht="15" customHeight="1">
      <c r="B478" s="118"/>
      <c r="C478" s="84" t="s">
        <v>130</v>
      </c>
      <c r="D478" s="85">
        <v>7</v>
      </c>
      <c r="E478" s="86">
        <v>1E-3</v>
      </c>
    </row>
    <row r="479" spans="2:5" ht="15" customHeight="1">
      <c r="B479" s="118"/>
      <c r="C479" s="84" t="s">
        <v>132</v>
      </c>
      <c r="D479" s="85">
        <v>3</v>
      </c>
      <c r="E479" s="86">
        <v>0</v>
      </c>
    </row>
    <row r="480" spans="2:5" ht="15" customHeight="1">
      <c r="B480" s="118"/>
      <c r="C480" s="84" t="s">
        <v>134</v>
      </c>
      <c r="D480" s="85">
        <v>3</v>
      </c>
      <c r="E480" s="86">
        <v>0</v>
      </c>
    </row>
    <row r="481" spans="2:5" ht="15" customHeight="1">
      <c r="B481" s="118"/>
      <c r="C481" s="84" t="s">
        <v>135</v>
      </c>
      <c r="D481" s="85">
        <v>15</v>
      </c>
      <c r="E481" s="86">
        <v>2E-3</v>
      </c>
    </row>
    <row r="482" spans="2:5" ht="15" customHeight="1">
      <c r="B482" s="118"/>
      <c r="C482" s="84" t="s">
        <v>136</v>
      </c>
      <c r="D482" s="85">
        <v>9</v>
      </c>
      <c r="E482" s="86">
        <v>1E-3</v>
      </c>
    </row>
    <row r="483" spans="2:5" ht="15" customHeight="1">
      <c r="B483" s="118"/>
      <c r="C483" s="84" t="s">
        <v>137</v>
      </c>
      <c r="D483" s="85">
        <v>4</v>
      </c>
      <c r="E483" s="86">
        <v>0</v>
      </c>
    </row>
    <row r="484" spans="2:5" ht="15" customHeight="1">
      <c r="B484" s="118"/>
      <c r="C484" s="84" t="s">
        <v>78</v>
      </c>
      <c r="D484" s="85">
        <v>7</v>
      </c>
      <c r="E484" s="86">
        <v>1E-3</v>
      </c>
    </row>
    <row r="485" spans="2:5" ht="15" customHeight="1">
      <c r="B485" s="118"/>
      <c r="C485" s="84" t="s">
        <v>138</v>
      </c>
      <c r="D485" s="85">
        <v>2</v>
      </c>
      <c r="E485" s="86">
        <v>0</v>
      </c>
    </row>
    <row r="486" spans="2:5" ht="15" customHeight="1">
      <c r="B486" s="119"/>
      <c r="C486" s="87" t="s">
        <v>265</v>
      </c>
      <c r="D486" s="88">
        <v>342</v>
      </c>
      <c r="E486" s="89">
        <v>4.1000000000000002E-2</v>
      </c>
    </row>
    <row r="487" spans="2:5" ht="15" customHeight="1">
      <c r="B487" s="117" t="s">
        <v>249</v>
      </c>
      <c r="C487" s="84" t="s">
        <v>100</v>
      </c>
      <c r="D487" s="85">
        <v>2</v>
      </c>
      <c r="E487" s="86">
        <v>0</v>
      </c>
    </row>
    <row r="488" spans="2:5" ht="15" customHeight="1">
      <c r="B488" s="118"/>
      <c r="C488" s="84" t="s">
        <v>135</v>
      </c>
      <c r="D488" s="85">
        <v>1</v>
      </c>
      <c r="E488" s="86">
        <v>0</v>
      </c>
    </row>
    <row r="489" spans="2:5" ht="15" customHeight="1">
      <c r="B489" s="119"/>
      <c r="C489" s="87" t="s">
        <v>265</v>
      </c>
      <c r="D489" s="88">
        <v>3</v>
      </c>
      <c r="E489" s="89">
        <v>0</v>
      </c>
    </row>
    <row r="490" spans="2:5" ht="15" customHeight="1">
      <c r="B490" s="117" t="s">
        <v>183</v>
      </c>
      <c r="C490" s="84" t="s">
        <v>98</v>
      </c>
      <c r="D490" s="85">
        <v>3</v>
      </c>
      <c r="E490" s="86">
        <v>0</v>
      </c>
    </row>
    <row r="491" spans="2:5" ht="15" customHeight="1">
      <c r="B491" s="118"/>
      <c r="C491" s="84" t="s">
        <v>100</v>
      </c>
      <c r="D491" s="85">
        <v>6</v>
      </c>
      <c r="E491" s="86">
        <v>1E-3</v>
      </c>
    </row>
    <row r="492" spans="2:5" ht="15" customHeight="1">
      <c r="B492" s="118"/>
      <c r="C492" s="84" t="s">
        <v>111</v>
      </c>
      <c r="D492" s="85">
        <v>1</v>
      </c>
      <c r="E492" s="86">
        <v>0</v>
      </c>
    </row>
    <row r="493" spans="2:5" ht="15" customHeight="1">
      <c r="B493" s="118"/>
      <c r="C493" s="84" t="s">
        <v>123</v>
      </c>
      <c r="D493" s="85">
        <v>1</v>
      </c>
      <c r="E493" s="86">
        <v>0</v>
      </c>
    </row>
    <row r="494" spans="2:5" ht="15" customHeight="1">
      <c r="B494" s="118"/>
      <c r="C494" s="84" t="s">
        <v>135</v>
      </c>
      <c r="D494" s="85">
        <v>1</v>
      </c>
      <c r="E494" s="86">
        <v>0</v>
      </c>
    </row>
    <row r="495" spans="2:5" ht="15" customHeight="1">
      <c r="B495" s="118"/>
      <c r="C495" s="84" t="s">
        <v>138</v>
      </c>
      <c r="D495" s="85">
        <v>1</v>
      </c>
      <c r="E495" s="86">
        <v>0</v>
      </c>
    </row>
    <row r="496" spans="2:5" ht="15" customHeight="1">
      <c r="B496" s="119"/>
      <c r="C496" s="87" t="s">
        <v>265</v>
      </c>
      <c r="D496" s="88">
        <v>13</v>
      </c>
      <c r="E496" s="89">
        <v>2E-3</v>
      </c>
    </row>
    <row r="497" spans="2:5" ht="15" customHeight="1">
      <c r="B497" s="117" t="s">
        <v>250</v>
      </c>
      <c r="C497" s="84" t="s">
        <v>100</v>
      </c>
      <c r="D497" s="85">
        <v>2</v>
      </c>
      <c r="E497" s="86">
        <v>0</v>
      </c>
    </row>
    <row r="498" spans="2:5" ht="15" customHeight="1">
      <c r="B498" s="118"/>
      <c r="C498" s="84" t="s">
        <v>101</v>
      </c>
      <c r="D498" s="85">
        <v>1</v>
      </c>
      <c r="E498" s="86">
        <v>0</v>
      </c>
    </row>
    <row r="499" spans="2:5" ht="15" customHeight="1">
      <c r="B499" s="119"/>
      <c r="C499" s="87" t="s">
        <v>265</v>
      </c>
      <c r="D499" s="88">
        <v>3</v>
      </c>
      <c r="E499" s="89">
        <v>0</v>
      </c>
    </row>
    <row r="500" spans="2:5" ht="15" customHeight="1">
      <c r="B500" s="91" t="s">
        <v>265</v>
      </c>
      <c r="C500" s="91"/>
      <c r="D500" s="92">
        <v>8379</v>
      </c>
      <c r="E500" s="93">
        <v>1</v>
      </c>
    </row>
    <row r="501" spans="2:5" ht="15" customHeight="1">
      <c r="B501" s="46"/>
      <c r="C501" s="46"/>
      <c r="D501" s="46"/>
      <c r="E501" s="46"/>
    </row>
    <row r="502" spans="2:5" ht="15" customHeight="1">
      <c r="B502" s="35" t="s">
        <v>232</v>
      </c>
      <c r="C502" s="46"/>
      <c r="D502" s="46"/>
      <c r="E502" s="46"/>
    </row>
    <row r="503" spans="2:5" ht="15" customHeight="1">
      <c r="B503" s="36" t="s">
        <v>18</v>
      </c>
      <c r="C503" s="46"/>
      <c r="D503" s="46"/>
      <c r="E503" s="46"/>
    </row>
    <row r="504" spans="2:5" ht="15" customHeight="1">
      <c r="B504" s="37" t="s">
        <v>45</v>
      </c>
      <c r="C504" s="46"/>
      <c r="D504" s="46"/>
      <c r="E504" s="46"/>
    </row>
    <row r="505" spans="2:5" ht="15" customHeight="1">
      <c r="B505" s="35" t="s">
        <v>17</v>
      </c>
      <c r="C505" s="46"/>
      <c r="D505" s="46"/>
      <c r="E505" s="46"/>
    </row>
    <row r="506" spans="2:5" ht="15" customHeight="1">
      <c r="B506" s="35" t="s">
        <v>266</v>
      </c>
      <c r="C506" s="46"/>
      <c r="D506" s="46"/>
      <c r="E506" s="46"/>
    </row>
  </sheetData>
  <mergeCells count="25">
    <mergeCell ref="B7:E8"/>
    <mergeCell ref="B10:B25"/>
    <mergeCell ref="B26:B36"/>
    <mergeCell ref="B487:B489"/>
    <mergeCell ref="B490:B496"/>
    <mergeCell ref="B399:B406"/>
    <mergeCell ref="B407:B418"/>
    <mergeCell ref="B419:B426"/>
    <mergeCell ref="B141:B177"/>
    <mergeCell ref="B178:B194"/>
    <mergeCell ref="B195:B220"/>
    <mergeCell ref="B497:B499"/>
    <mergeCell ref="B427:B431"/>
    <mergeCell ref="B432:B453"/>
    <mergeCell ref="B454:B486"/>
    <mergeCell ref="B37:B53"/>
    <mergeCell ref="B54:B75"/>
    <mergeCell ref="B76:B91"/>
    <mergeCell ref="B92:B109"/>
    <mergeCell ref="B110:B140"/>
    <mergeCell ref="B221:B252"/>
    <mergeCell ref="B253:B296"/>
    <mergeCell ref="B297:B323"/>
    <mergeCell ref="B324:B353"/>
    <mergeCell ref="B354:B3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79"/>
  <sheetViews>
    <sheetView showGridLines="0" view="pageBreakPreview" topLeftCell="A70" zoomScaleNormal="98" zoomScaleSheetLayoutView="100" workbookViewId="0"/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9.710937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B6" s="41"/>
      <c r="C6" s="42"/>
      <c r="D6" s="42"/>
      <c r="E6" s="42"/>
    </row>
    <row r="7" spans="1:5" s="20" customFormat="1" ht="26.25" customHeight="1">
      <c r="A7" s="21"/>
      <c r="B7" s="116"/>
      <c r="C7" s="116"/>
      <c r="D7" s="116"/>
      <c r="E7" s="116"/>
    </row>
    <row r="8" spans="1:5" s="20" customFormat="1" ht="33" customHeight="1">
      <c r="A8" s="21"/>
      <c r="B8" s="116"/>
      <c r="C8" s="116"/>
      <c r="D8" s="116"/>
      <c r="E8" s="116"/>
    </row>
    <row r="9" spans="1:5" s="15" customFormat="1" ht="40.5" customHeight="1">
      <c r="B9" s="81" t="s">
        <v>22</v>
      </c>
      <c r="C9" s="82" t="s">
        <v>27</v>
      </c>
      <c r="D9" s="83" t="s">
        <v>20</v>
      </c>
      <c r="E9" s="81" t="s">
        <v>19</v>
      </c>
    </row>
    <row r="10" spans="1:5" ht="15" customHeight="1">
      <c r="B10" s="117" t="s">
        <v>80</v>
      </c>
      <c r="C10" s="84" t="s">
        <v>240</v>
      </c>
      <c r="D10" s="85">
        <v>1</v>
      </c>
      <c r="E10" s="86">
        <v>0</v>
      </c>
    </row>
    <row r="11" spans="1:5" ht="15" customHeight="1">
      <c r="B11" s="118"/>
      <c r="C11" s="84" t="s">
        <v>169</v>
      </c>
      <c r="D11" s="85">
        <v>4</v>
      </c>
      <c r="E11" s="86">
        <v>0</v>
      </c>
    </row>
    <row r="12" spans="1:5" ht="15" customHeight="1">
      <c r="B12" s="118"/>
      <c r="C12" s="84" t="s">
        <v>244</v>
      </c>
      <c r="D12" s="85">
        <v>2</v>
      </c>
      <c r="E12" s="86">
        <v>0</v>
      </c>
    </row>
    <row r="13" spans="1:5" ht="15" customHeight="1">
      <c r="B13" s="118"/>
      <c r="C13" s="84" t="s">
        <v>173</v>
      </c>
      <c r="D13" s="85">
        <v>14</v>
      </c>
      <c r="E13" s="86">
        <v>2E-3</v>
      </c>
    </row>
    <row r="14" spans="1:5" ht="15" customHeight="1">
      <c r="B14" s="118"/>
      <c r="C14" s="84" t="s">
        <v>174</v>
      </c>
      <c r="D14" s="85">
        <v>1</v>
      </c>
      <c r="E14" s="86">
        <v>0</v>
      </c>
    </row>
    <row r="15" spans="1:5" ht="15" customHeight="1">
      <c r="B15" s="118"/>
      <c r="C15" s="84" t="s">
        <v>175</v>
      </c>
      <c r="D15" s="85">
        <v>4</v>
      </c>
      <c r="E15" s="86">
        <v>0</v>
      </c>
    </row>
    <row r="16" spans="1:5" ht="15" customHeight="1">
      <c r="B16" s="118"/>
      <c r="C16" s="84" t="s">
        <v>176</v>
      </c>
      <c r="D16" s="85">
        <v>11</v>
      </c>
      <c r="E16" s="86">
        <v>1E-3</v>
      </c>
    </row>
    <row r="17" spans="2:5" ht="15" customHeight="1">
      <c r="B17" s="118"/>
      <c r="C17" s="84" t="s">
        <v>181</v>
      </c>
      <c r="D17" s="85">
        <v>3</v>
      </c>
      <c r="E17" s="86">
        <v>0</v>
      </c>
    </row>
    <row r="18" spans="2:5" ht="15" customHeight="1">
      <c r="B18" s="118"/>
      <c r="C18" s="84" t="s">
        <v>182</v>
      </c>
      <c r="D18" s="85">
        <v>1</v>
      </c>
      <c r="E18" s="86">
        <v>0</v>
      </c>
    </row>
    <row r="19" spans="2:5" ht="15" customHeight="1">
      <c r="B19" s="119"/>
      <c r="C19" s="87" t="s">
        <v>265</v>
      </c>
      <c r="D19" s="88">
        <v>41</v>
      </c>
      <c r="E19" s="89">
        <v>5.0000000000000001E-3</v>
      </c>
    </row>
    <row r="20" spans="2:5" ht="15" customHeight="1">
      <c r="B20" s="117" t="s">
        <v>62</v>
      </c>
      <c r="C20" s="84" t="s">
        <v>162</v>
      </c>
      <c r="D20" s="85">
        <v>2</v>
      </c>
      <c r="E20" s="86">
        <v>0</v>
      </c>
    </row>
    <row r="21" spans="2:5" ht="15" customHeight="1">
      <c r="B21" s="118"/>
      <c r="C21" s="84" t="s">
        <v>236</v>
      </c>
      <c r="D21" s="85">
        <v>2</v>
      </c>
      <c r="E21" s="86">
        <v>0</v>
      </c>
    </row>
    <row r="22" spans="2:5" ht="15" customHeight="1">
      <c r="B22" s="118"/>
      <c r="C22" s="84" t="s">
        <v>237</v>
      </c>
      <c r="D22" s="85">
        <v>2</v>
      </c>
      <c r="E22" s="86">
        <v>0</v>
      </c>
    </row>
    <row r="23" spans="2:5" ht="15" customHeight="1">
      <c r="B23" s="118"/>
      <c r="C23" s="84" t="s">
        <v>238</v>
      </c>
      <c r="D23" s="85">
        <v>3</v>
      </c>
      <c r="E23" s="86">
        <v>0</v>
      </c>
    </row>
    <row r="24" spans="2:5" ht="15" customHeight="1">
      <c r="B24" s="118"/>
      <c r="C24" s="84" t="s">
        <v>240</v>
      </c>
      <c r="D24" s="85">
        <v>2</v>
      </c>
      <c r="E24" s="86">
        <v>0</v>
      </c>
    </row>
    <row r="25" spans="2:5" ht="15" customHeight="1">
      <c r="B25" s="118"/>
      <c r="C25" s="84" t="s">
        <v>241</v>
      </c>
      <c r="D25" s="85">
        <v>5</v>
      </c>
      <c r="E25" s="86">
        <v>1E-3</v>
      </c>
    </row>
    <row r="26" spans="2:5" ht="15" customHeight="1">
      <c r="B26" s="118"/>
      <c r="C26" s="84" t="s">
        <v>169</v>
      </c>
      <c r="D26" s="85">
        <v>16</v>
      </c>
      <c r="E26" s="86">
        <v>2E-3</v>
      </c>
    </row>
    <row r="27" spans="2:5" ht="15" customHeight="1">
      <c r="B27" s="118"/>
      <c r="C27" s="84" t="s">
        <v>243</v>
      </c>
      <c r="D27" s="85">
        <v>1</v>
      </c>
      <c r="E27" s="86">
        <v>0</v>
      </c>
    </row>
    <row r="28" spans="2:5" ht="15" customHeight="1">
      <c r="B28" s="118"/>
      <c r="C28" s="84" t="s">
        <v>244</v>
      </c>
      <c r="D28" s="85">
        <v>6</v>
      </c>
      <c r="E28" s="86">
        <v>1E-3</v>
      </c>
    </row>
    <row r="29" spans="2:5" ht="15" customHeight="1">
      <c r="B29" s="118"/>
      <c r="C29" s="84" t="s">
        <v>173</v>
      </c>
      <c r="D29" s="85">
        <v>33</v>
      </c>
      <c r="E29" s="86">
        <v>4.0000000000000001E-3</v>
      </c>
    </row>
    <row r="30" spans="2:5" ht="15" customHeight="1">
      <c r="B30" s="118"/>
      <c r="C30" s="84" t="s">
        <v>174</v>
      </c>
      <c r="D30" s="85">
        <v>2</v>
      </c>
      <c r="E30" s="86">
        <v>0</v>
      </c>
    </row>
    <row r="31" spans="2:5" ht="15" customHeight="1">
      <c r="B31" s="118"/>
      <c r="C31" s="84" t="s">
        <v>175</v>
      </c>
      <c r="D31" s="85">
        <v>5</v>
      </c>
      <c r="E31" s="86">
        <v>1E-3</v>
      </c>
    </row>
    <row r="32" spans="2:5" ht="15" customHeight="1">
      <c r="B32" s="118"/>
      <c r="C32" s="84" t="s">
        <v>176</v>
      </c>
      <c r="D32" s="85">
        <v>29</v>
      </c>
      <c r="E32" s="86">
        <v>3.0000000000000001E-3</v>
      </c>
    </row>
    <row r="33" spans="2:5" ht="15" customHeight="1">
      <c r="B33" s="118"/>
      <c r="C33" s="84" t="s">
        <v>246</v>
      </c>
      <c r="D33" s="85">
        <v>1</v>
      </c>
      <c r="E33" s="86">
        <v>0</v>
      </c>
    </row>
    <row r="34" spans="2:5" ht="15" customHeight="1">
      <c r="B34" s="118"/>
      <c r="C34" s="84" t="s">
        <v>247</v>
      </c>
      <c r="D34" s="85">
        <v>1</v>
      </c>
      <c r="E34" s="86">
        <v>0</v>
      </c>
    </row>
    <row r="35" spans="2:5" ht="15" customHeight="1">
      <c r="B35" s="118"/>
      <c r="C35" s="84" t="s">
        <v>182</v>
      </c>
      <c r="D35" s="85">
        <v>4</v>
      </c>
      <c r="E35" s="86">
        <v>0</v>
      </c>
    </row>
    <row r="36" spans="2:5" ht="15" customHeight="1">
      <c r="B36" s="119"/>
      <c r="C36" s="87" t="s">
        <v>265</v>
      </c>
      <c r="D36" s="88">
        <v>114</v>
      </c>
      <c r="E36" s="89">
        <v>1.4E-2</v>
      </c>
    </row>
    <row r="37" spans="2:5" ht="15" customHeight="1">
      <c r="B37" s="117" t="s">
        <v>76</v>
      </c>
      <c r="C37" s="84" t="s">
        <v>237</v>
      </c>
      <c r="D37" s="85">
        <v>1</v>
      </c>
      <c r="E37" s="86">
        <v>0</v>
      </c>
    </row>
    <row r="38" spans="2:5" ht="15" customHeight="1">
      <c r="B38" s="118"/>
      <c r="C38" s="84" t="s">
        <v>241</v>
      </c>
      <c r="D38" s="85">
        <v>2</v>
      </c>
      <c r="E38" s="86">
        <v>0</v>
      </c>
    </row>
    <row r="39" spans="2:5" ht="15" customHeight="1">
      <c r="B39" s="118"/>
      <c r="C39" s="84" t="s">
        <v>169</v>
      </c>
      <c r="D39" s="85">
        <v>4</v>
      </c>
      <c r="E39" s="86">
        <v>0</v>
      </c>
    </row>
    <row r="40" spans="2:5" ht="15" customHeight="1">
      <c r="B40" s="118"/>
      <c r="C40" s="84" t="s">
        <v>243</v>
      </c>
      <c r="D40" s="85">
        <v>1</v>
      </c>
      <c r="E40" s="86">
        <v>0</v>
      </c>
    </row>
    <row r="41" spans="2:5" ht="15" customHeight="1">
      <c r="B41" s="118"/>
      <c r="C41" s="84" t="s">
        <v>244</v>
      </c>
      <c r="D41" s="85">
        <v>1</v>
      </c>
      <c r="E41" s="86">
        <v>0</v>
      </c>
    </row>
    <row r="42" spans="2:5" ht="15" customHeight="1">
      <c r="B42" s="118"/>
      <c r="C42" s="84" t="s">
        <v>173</v>
      </c>
      <c r="D42" s="85">
        <v>12</v>
      </c>
      <c r="E42" s="86">
        <v>1E-3</v>
      </c>
    </row>
    <row r="43" spans="2:5" ht="15" customHeight="1">
      <c r="B43" s="118"/>
      <c r="C43" s="84" t="s">
        <v>174</v>
      </c>
      <c r="D43" s="85">
        <v>2</v>
      </c>
      <c r="E43" s="86">
        <v>0</v>
      </c>
    </row>
    <row r="44" spans="2:5" ht="15" customHeight="1">
      <c r="B44" s="118"/>
      <c r="C44" s="84" t="s">
        <v>175</v>
      </c>
      <c r="D44" s="85">
        <v>4</v>
      </c>
      <c r="E44" s="86">
        <v>0</v>
      </c>
    </row>
    <row r="45" spans="2:5" ht="15" customHeight="1">
      <c r="B45" s="118"/>
      <c r="C45" s="84" t="s">
        <v>176</v>
      </c>
      <c r="D45" s="85">
        <v>10</v>
      </c>
      <c r="E45" s="86">
        <v>1E-3</v>
      </c>
    </row>
    <row r="46" spans="2:5" ht="15" customHeight="1">
      <c r="B46" s="118"/>
      <c r="C46" s="84" t="s">
        <v>181</v>
      </c>
      <c r="D46" s="85">
        <v>1</v>
      </c>
      <c r="E46" s="86">
        <v>0</v>
      </c>
    </row>
    <row r="47" spans="2:5" ht="15" customHeight="1">
      <c r="B47" s="118"/>
      <c r="C47" s="84" t="s">
        <v>182</v>
      </c>
      <c r="D47" s="85">
        <v>2</v>
      </c>
      <c r="E47" s="86">
        <v>0</v>
      </c>
    </row>
    <row r="48" spans="2:5" ht="15" customHeight="1">
      <c r="B48" s="119"/>
      <c r="C48" s="87" t="s">
        <v>265</v>
      </c>
      <c r="D48" s="88">
        <v>40</v>
      </c>
      <c r="E48" s="89">
        <v>5.0000000000000001E-3</v>
      </c>
    </row>
    <row r="49" spans="2:5" ht="15" customHeight="1">
      <c r="B49" s="117" t="s">
        <v>59</v>
      </c>
      <c r="C49" s="84" t="s">
        <v>162</v>
      </c>
      <c r="D49" s="85">
        <v>3</v>
      </c>
      <c r="E49" s="86">
        <v>0</v>
      </c>
    </row>
    <row r="50" spans="2:5" ht="15" customHeight="1">
      <c r="B50" s="118"/>
      <c r="C50" s="84" t="s">
        <v>238</v>
      </c>
      <c r="D50" s="85">
        <v>3</v>
      </c>
      <c r="E50" s="86">
        <v>0</v>
      </c>
    </row>
    <row r="51" spans="2:5" ht="15" customHeight="1">
      <c r="B51" s="118"/>
      <c r="C51" s="84" t="s">
        <v>239</v>
      </c>
      <c r="D51" s="85">
        <v>1</v>
      </c>
      <c r="E51" s="86">
        <v>0</v>
      </c>
    </row>
    <row r="52" spans="2:5" ht="15" customHeight="1">
      <c r="B52" s="118"/>
      <c r="C52" s="84" t="s">
        <v>240</v>
      </c>
      <c r="D52" s="85">
        <v>2</v>
      </c>
      <c r="E52" s="86">
        <v>0</v>
      </c>
    </row>
    <row r="53" spans="2:5" ht="15" customHeight="1">
      <c r="B53" s="118"/>
      <c r="C53" s="84" t="s">
        <v>241</v>
      </c>
      <c r="D53" s="85">
        <v>12</v>
      </c>
      <c r="E53" s="86">
        <v>1E-3</v>
      </c>
    </row>
    <row r="54" spans="2:5" ht="15" customHeight="1">
      <c r="B54" s="118"/>
      <c r="C54" s="84" t="s">
        <v>169</v>
      </c>
      <c r="D54" s="85">
        <v>12</v>
      </c>
      <c r="E54" s="86">
        <v>1E-3</v>
      </c>
    </row>
    <row r="55" spans="2:5" ht="15" customHeight="1">
      <c r="B55" s="118"/>
      <c r="C55" s="84" t="s">
        <v>242</v>
      </c>
      <c r="D55" s="85">
        <v>3</v>
      </c>
      <c r="E55" s="86">
        <v>0</v>
      </c>
    </row>
    <row r="56" spans="2:5" ht="15" customHeight="1">
      <c r="B56" s="118"/>
      <c r="C56" s="84" t="s">
        <v>243</v>
      </c>
      <c r="D56" s="85">
        <v>3</v>
      </c>
      <c r="E56" s="86">
        <v>0</v>
      </c>
    </row>
    <row r="57" spans="2:5" ht="15" customHeight="1">
      <c r="B57" s="118"/>
      <c r="C57" s="84" t="s">
        <v>244</v>
      </c>
      <c r="D57" s="85">
        <v>3</v>
      </c>
      <c r="E57" s="86">
        <v>0</v>
      </c>
    </row>
    <row r="58" spans="2:5" ht="15" customHeight="1">
      <c r="B58" s="118"/>
      <c r="C58" s="84" t="s">
        <v>173</v>
      </c>
      <c r="D58" s="85">
        <v>44</v>
      </c>
      <c r="E58" s="86">
        <v>5.0000000000000001E-3</v>
      </c>
    </row>
    <row r="59" spans="2:5" ht="15" customHeight="1">
      <c r="B59" s="118"/>
      <c r="C59" s="84" t="s">
        <v>174</v>
      </c>
      <c r="D59" s="85">
        <v>2</v>
      </c>
      <c r="E59" s="86">
        <v>0</v>
      </c>
    </row>
    <row r="60" spans="2:5" ht="15" customHeight="1">
      <c r="B60" s="118"/>
      <c r="C60" s="84" t="s">
        <v>175</v>
      </c>
      <c r="D60" s="85">
        <v>11</v>
      </c>
      <c r="E60" s="86">
        <v>1E-3</v>
      </c>
    </row>
    <row r="61" spans="2:5" ht="15" customHeight="1">
      <c r="B61" s="118"/>
      <c r="C61" s="84" t="s">
        <v>176</v>
      </c>
      <c r="D61" s="85">
        <v>53</v>
      </c>
      <c r="E61" s="86">
        <v>6.0000000000000001E-3</v>
      </c>
    </row>
    <row r="62" spans="2:5" ht="15" customHeight="1">
      <c r="B62" s="118"/>
      <c r="C62" s="84" t="s">
        <v>245</v>
      </c>
      <c r="D62" s="85">
        <v>2</v>
      </c>
      <c r="E62" s="86">
        <v>0</v>
      </c>
    </row>
    <row r="63" spans="2:5" ht="15" customHeight="1">
      <c r="B63" s="118"/>
      <c r="C63" s="84" t="s">
        <v>246</v>
      </c>
      <c r="D63" s="85">
        <v>1</v>
      </c>
      <c r="E63" s="86">
        <v>0</v>
      </c>
    </row>
    <row r="64" spans="2:5" ht="15" customHeight="1">
      <c r="B64" s="118"/>
      <c r="C64" s="84" t="s">
        <v>182</v>
      </c>
      <c r="D64" s="85">
        <v>4</v>
      </c>
      <c r="E64" s="86">
        <v>0</v>
      </c>
    </row>
    <row r="65" spans="2:5" ht="15" customHeight="1">
      <c r="B65" s="119"/>
      <c r="C65" s="87" t="s">
        <v>265</v>
      </c>
      <c r="D65" s="88">
        <v>159</v>
      </c>
      <c r="E65" s="89">
        <v>1.9E-2</v>
      </c>
    </row>
    <row r="66" spans="2:5" ht="15" customHeight="1">
      <c r="B66" s="117" t="s">
        <v>91</v>
      </c>
      <c r="C66" s="84" t="s">
        <v>173</v>
      </c>
      <c r="D66" s="85">
        <v>5</v>
      </c>
      <c r="E66" s="86">
        <v>1E-3</v>
      </c>
    </row>
    <row r="67" spans="2:5" ht="15" customHeight="1">
      <c r="B67" s="118"/>
      <c r="C67" s="84" t="s">
        <v>176</v>
      </c>
      <c r="D67" s="85">
        <v>2</v>
      </c>
      <c r="E67" s="86">
        <v>0</v>
      </c>
    </row>
    <row r="68" spans="2:5" ht="15" customHeight="1">
      <c r="B68" s="118"/>
      <c r="C68" s="84" t="s">
        <v>246</v>
      </c>
      <c r="D68" s="85">
        <v>1</v>
      </c>
      <c r="E68" s="86">
        <v>0</v>
      </c>
    </row>
    <row r="69" spans="2:5" ht="15" customHeight="1">
      <c r="B69" s="118"/>
      <c r="C69" s="84" t="s">
        <v>182</v>
      </c>
      <c r="D69" s="85">
        <v>1</v>
      </c>
      <c r="E69" s="86">
        <v>0</v>
      </c>
    </row>
    <row r="70" spans="2:5" ht="15" customHeight="1">
      <c r="B70" s="119"/>
      <c r="C70" s="87" t="s">
        <v>265</v>
      </c>
      <c r="D70" s="88">
        <v>9</v>
      </c>
      <c r="E70" s="89">
        <v>1E-3</v>
      </c>
    </row>
    <row r="71" spans="2:5" ht="15" customHeight="1">
      <c r="B71" s="117" t="s">
        <v>89</v>
      </c>
      <c r="C71" s="84" t="s">
        <v>173</v>
      </c>
      <c r="D71" s="85">
        <v>1</v>
      </c>
      <c r="E71" s="86">
        <v>0</v>
      </c>
    </row>
    <row r="72" spans="2:5" ht="15" customHeight="1">
      <c r="B72" s="118"/>
      <c r="C72" s="84" t="s">
        <v>182</v>
      </c>
      <c r="D72" s="85">
        <v>1</v>
      </c>
      <c r="E72" s="86">
        <v>0</v>
      </c>
    </row>
    <row r="73" spans="2:5" ht="15" customHeight="1">
      <c r="B73" s="119"/>
      <c r="C73" s="87" t="s">
        <v>265</v>
      </c>
      <c r="D73" s="88">
        <v>2</v>
      </c>
      <c r="E73" s="89">
        <v>0</v>
      </c>
    </row>
    <row r="74" spans="2:5" ht="15" customHeight="1">
      <c r="B74" s="117" t="s">
        <v>88</v>
      </c>
      <c r="C74" s="84" t="s">
        <v>237</v>
      </c>
      <c r="D74" s="85">
        <v>1</v>
      </c>
      <c r="E74" s="86">
        <v>0</v>
      </c>
    </row>
    <row r="75" spans="2:5" ht="15" customHeight="1">
      <c r="B75" s="118"/>
      <c r="C75" s="84" t="s">
        <v>238</v>
      </c>
      <c r="D75" s="85">
        <v>1</v>
      </c>
      <c r="E75" s="86">
        <v>0</v>
      </c>
    </row>
    <row r="76" spans="2:5" ht="15" customHeight="1">
      <c r="B76" s="118"/>
      <c r="C76" s="84" t="s">
        <v>241</v>
      </c>
      <c r="D76" s="85">
        <v>1</v>
      </c>
      <c r="E76" s="86">
        <v>0</v>
      </c>
    </row>
    <row r="77" spans="2:5" ht="15" customHeight="1">
      <c r="B77" s="118"/>
      <c r="C77" s="84" t="s">
        <v>169</v>
      </c>
      <c r="D77" s="85">
        <v>1</v>
      </c>
      <c r="E77" s="86">
        <v>0</v>
      </c>
    </row>
    <row r="78" spans="2:5" ht="15" customHeight="1">
      <c r="B78" s="118"/>
      <c r="C78" s="84" t="s">
        <v>173</v>
      </c>
      <c r="D78" s="85">
        <v>3</v>
      </c>
      <c r="E78" s="86">
        <v>0</v>
      </c>
    </row>
    <row r="79" spans="2:5" ht="15" customHeight="1">
      <c r="B79" s="118"/>
      <c r="C79" s="84" t="s">
        <v>174</v>
      </c>
      <c r="D79" s="85">
        <v>1</v>
      </c>
      <c r="E79" s="86">
        <v>0</v>
      </c>
    </row>
    <row r="80" spans="2:5" ht="15" customHeight="1">
      <c r="B80" s="118"/>
      <c r="C80" s="84" t="s">
        <v>176</v>
      </c>
      <c r="D80" s="85">
        <v>5</v>
      </c>
      <c r="E80" s="86">
        <v>1E-3</v>
      </c>
    </row>
    <row r="81" spans="2:5" ht="15" customHeight="1">
      <c r="B81" s="118"/>
      <c r="C81" s="84" t="s">
        <v>182</v>
      </c>
      <c r="D81" s="85">
        <v>1</v>
      </c>
      <c r="E81" s="86">
        <v>0</v>
      </c>
    </row>
    <row r="82" spans="2:5" ht="15" customHeight="1">
      <c r="B82" s="119"/>
      <c r="C82" s="87" t="s">
        <v>265</v>
      </c>
      <c r="D82" s="88">
        <v>14</v>
      </c>
      <c r="E82" s="89">
        <v>2E-3</v>
      </c>
    </row>
    <row r="83" spans="2:5" ht="15" customHeight="1">
      <c r="B83" s="117" t="s">
        <v>54</v>
      </c>
      <c r="C83" s="84" t="s">
        <v>162</v>
      </c>
      <c r="D83" s="85">
        <v>1</v>
      </c>
      <c r="E83" s="86">
        <v>0</v>
      </c>
    </row>
    <row r="84" spans="2:5" ht="15" customHeight="1">
      <c r="B84" s="118"/>
      <c r="C84" s="84" t="s">
        <v>236</v>
      </c>
      <c r="D84" s="85">
        <v>2</v>
      </c>
      <c r="E84" s="86">
        <v>0</v>
      </c>
    </row>
    <row r="85" spans="2:5" ht="15" customHeight="1">
      <c r="B85" s="118"/>
      <c r="C85" s="84" t="s">
        <v>237</v>
      </c>
      <c r="D85" s="85">
        <v>1</v>
      </c>
      <c r="E85" s="86">
        <v>0</v>
      </c>
    </row>
    <row r="86" spans="2:5" ht="15" customHeight="1">
      <c r="B86" s="118"/>
      <c r="C86" s="84" t="s">
        <v>238</v>
      </c>
      <c r="D86" s="85">
        <v>2</v>
      </c>
      <c r="E86" s="86">
        <v>0</v>
      </c>
    </row>
    <row r="87" spans="2:5" ht="15" customHeight="1">
      <c r="B87" s="118"/>
      <c r="C87" s="84" t="s">
        <v>239</v>
      </c>
      <c r="D87" s="85">
        <v>1</v>
      </c>
      <c r="E87" s="86">
        <v>0</v>
      </c>
    </row>
    <row r="88" spans="2:5" ht="15" customHeight="1">
      <c r="B88" s="118"/>
      <c r="C88" s="84" t="s">
        <v>240</v>
      </c>
      <c r="D88" s="85">
        <v>1</v>
      </c>
      <c r="E88" s="86">
        <v>0</v>
      </c>
    </row>
    <row r="89" spans="2:5" ht="15" customHeight="1">
      <c r="B89" s="118"/>
      <c r="C89" s="84" t="s">
        <v>241</v>
      </c>
      <c r="D89" s="85">
        <v>15</v>
      </c>
      <c r="E89" s="86">
        <v>2E-3</v>
      </c>
    </row>
    <row r="90" spans="2:5" ht="15" customHeight="1">
      <c r="B90" s="118"/>
      <c r="C90" s="84" t="s">
        <v>169</v>
      </c>
      <c r="D90" s="85">
        <v>44</v>
      </c>
      <c r="E90" s="86">
        <v>5.0000000000000001E-3</v>
      </c>
    </row>
    <row r="91" spans="2:5" ht="15" customHeight="1">
      <c r="B91" s="118"/>
      <c r="C91" s="84" t="s">
        <v>242</v>
      </c>
      <c r="D91" s="85">
        <v>2</v>
      </c>
      <c r="E91" s="86">
        <v>0</v>
      </c>
    </row>
    <row r="92" spans="2:5" ht="15" customHeight="1">
      <c r="B92" s="118"/>
      <c r="C92" s="84" t="s">
        <v>243</v>
      </c>
      <c r="D92" s="85">
        <v>5</v>
      </c>
      <c r="E92" s="86">
        <v>1E-3</v>
      </c>
    </row>
    <row r="93" spans="2:5" ht="15" customHeight="1">
      <c r="B93" s="118"/>
      <c r="C93" s="84" t="s">
        <v>244</v>
      </c>
      <c r="D93" s="85">
        <v>7</v>
      </c>
      <c r="E93" s="86">
        <v>1E-3</v>
      </c>
    </row>
    <row r="94" spans="2:5" ht="15" customHeight="1">
      <c r="B94" s="118"/>
      <c r="C94" s="84" t="s">
        <v>173</v>
      </c>
      <c r="D94" s="85">
        <v>104</v>
      </c>
      <c r="E94" s="86">
        <v>1.2E-2</v>
      </c>
    </row>
    <row r="95" spans="2:5" ht="15" customHeight="1">
      <c r="B95" s="118"/>
      <c r="C95" s="84" t="s">
        <v>174</v>
      </c>
      <c r="D95" s="85">
        <v>5</v>
      </c>
      <c r="E95" s="86">
        <v>1E-3</v>
      </c>
    </row>
    <row r="96" spans="2:5" ht="15" customHeight="1">
      <c r="B96" s="118"/>
      <c r="C96" s="84" t="s">
        <v>175</v>
      </c>
      <c r="D96" s="85">
        <v>10</v>
      </c>
      <c r="E96" s="86">
        <v>1E-3</v>
      </c>
    </row>
    <row r="97" spans="2:5" ht="15" customHeight="1">
      <c r="B97" s="118"/>
      <c r="C97" s="84" t="s">
        <v>176</v>
      </c>
      <c r="D97" s="85">
        <v>73</v>
      </c>
      <c r="E97" s="86">
        <v>8.9999999999999993E-3</v>
      </c>
    </row>
    <row r="98" spans="2:5" ht="15" customHeight="1">
      <c r="B98" s="118"/>
      <c r="C98" s="84" t="s">
        <v>181</v>
      </c>
      <c r="D98" s="85">
        <v>3</v>
      </c>
      <c r="E98" s="86">
        <v>0</v>
      </c>
    </row>
    <row r="99" spans="2:5" ht="15" customHeight="1">
      <c r="B99" s="118"/>
      <c r="C99" s="84" t="s">
        <v>182</v>
      </c>
      <c r="D99" s="85">
        <v>17</v>
      </c>
      <c r="E99" s="86">
        <v>2E-3</v>
      </c>
    </row>
    <row r="100" spans="2:5" ht="15" customHeight="1">
      <c r="B100" s="119"/>
      <c r="C100" s="87" t="s">
        <v>265</v>
      </c>
      <c r="D100" s="88">
        <v>293</v>
      </c>
      <c r="E100" s="89">
        <v>3.5000000000000003E-2</v>
      </c>
    </row>
    <row r="101" spans="2:5" ht="15" customHeight="1">
      <c r="B101" s="117" t="s">
        <v>61</v>
      </c>
      <c r="C101" s="84" t="s">
        <v>162</v>
      </c>
      <c r="D101" s="85">
        <v>1</v>
      </c>
      <c r="E101" s="86">
        <v>0</v>
      </c>
    </row>
    <row r="102" spans="2:5" ht="15" customHeight="1">
      <c r="B102" s="118"/>
      <c r="C102" s="84" t="s">
        <v>236</v>
      </c>
      <c r="D102" s="85">
        <v>1</v>
      </c>
      <c r="E102" s="86">
        <v>0</v>
      </c>
    </row>
    <row r="103" spans="2:5" ht="15" customHeight="1">
      <c r="B103" s="118"/>
      <c r="C103" s="84" t="s">
        <v>239</v>
      </c>
      <c r="D103" s="85">
        <v>2</v>
      </c>
      <c r="E103" s="86">
        <v>0</v>
      </c>
    </row>
    <row r="104" spans="2:5" ht="15" customHeight="1">
      <c r="B104" s="118"/>
      <c r="C104" s="84" t="s">
        <v>241</v>
      </c>
      <c r="D104" s="85">
        <v>3</v>
      </c>
      <c r="E104" s="86">
        <v>0</v>
      </c>
    </row>
    <row r="105" spans="2:5" ht="15" customHeight="1">
      <c r="B105" s="118"/>
      <c r="C105" s="84" t="s">
        <v>169</v>
      </c>
      <c r="D105" s="85">
        <v>11</v>
      </c>
      <c r="E105" s="86">
        <v>1E-3</v>
      </c>
    </row>
    <row r="106" spans="2:5" ht="15" customHeight="1">
      <c r="B106" s="118"/>
      <c r="C106" s="84" t="s">
        <v>242</v>
      </c>
      <c r="D106" s="85">
        <v>3</v>
      </c>
      <c r="E106" s="86">
        <v>0</v>
      </c>
    </row>
    <row r="107" spans="2:5" ht="15" customHeight="1">
      <c r="B107" s="118"/>
      <c r="C107" s="84" t="s">
        <v>243</v>
      </c>
      <c r="D107" s="85">
        <v>2</v>
      </c>
      <c r="E107" s="86">
        <v>0</v>
      </c>
    </row>
    <row r="108" spans="2:5" ht="15" customHeight="1">
      <c r="B108" s="118"/>
      <c r="C108" s="84" t="s">
        <v>244</v>
      </c>
      <c r="D108" s="85">
        <v>3</v>
      </c>
      <c r="E108" s="86">
        <v>0</v>
      </c>
    </row>
    <row r="109" spans="2:5" ht="15" customHeight="1">
      <c r="B109" s="118"/>
      <c r="C109" s="84" t="s">
        <v>173</v>
      </c>
      <c r="D109" s="85">
        <v>31</v>
      </c>
      <c r="E109" s="86">
        <v>4.0000000000000001E-3</v>
      </c>
    </row>
    <row r="110" spans="2:5" ht="15" customHeight="1">
      <c r="B110" s="118"/>
      <c r="C110" s="84" t="s">
        <v>174</v>
      </c>
      <c r="D110" s="85">
        <v>2</v>
      </c>
      <c r="E110" s="86">
        <v>0</v>
      </c>
    </row>
    <row r="111" spans="2:5" ht="15" customHeight="1">
      <c r="B111" s="118"/>
      <c r="C111" s="84" t="s">
        <v>175</v>
      </c>
      <c r="D111" s="85">
        <v>2</v>
      </c>
      <c r="E111" s="86">
        <v>0</v>
      </c>
    </row>
    <row r="112" spans="2:5" ht="15" customHeight="1">
      <c r="B112" s="118"/>
      <c r="C112" s="84" t="s">
        <v>176</v>
      </c>
      <c r="D112" s="85">
        <v>21</v>
      </c>
      <c r="E112" s="86">
        <v>3.0000000000000001E-3</v>
      </c>
    </row>
    <row r="113" spans="2:5" ht="15" customHeight="1">
      <c r="B113" s="118"/>
      <c r="C113" s="84" t="s">
        <v>246</v>
      </c>
      <c r="D113" s="85">
        <v>1</v>
      </c>
      <c r="E113" s="86">
        <v>0</v>
      </c>
    </row>
    <row r="114" spans="2:5" ht="15" customHeight="1">
      <c r="B114" s="118"/>
      <c r="C114" s="84" t="s">
        <v>182</v>
      </c>
      <c r="D114" s="85">
        <v>4</v>
      </c>
      <c r="E114" s="86">
        <v>0</v>
      </c>
    </row>
    <row r="115" spans="2:5" ht="15" customHeight="1">
      <c r="B115" s="119"/>
      <c r="C115" s="87" t="s">
        <v>265</v>
      </c>
      <c r="D115" s="88">
        <v>87</v>
      </c>
      <c r="E115" s="89">
        <v>0.01</v>
      </c>
    </row>
    <row r="116" spans="2:5" ht="15" customHeight="1">
      <c r="B116" s="117" t="s">
        <v>56</v>
      </c>
      <c r="C116" s="84" t="s">
        <v>162</v>
      </c>
      <c r="D116" s="85">
        <v>2</v>
      </c>
      <c r="E116" s="86">
        <v>0</v>
      </c>
    </row>
    <row r="117" spans="2:5" ht="15" customHeight="1">
      <c r="B117" s="118"/>
      <c r="C117" s="84" t="s">
        <v>237</v>
      </c>
      <c r="D117" s="85">
        <v>1</v>
      </c>
      <c r="E117" s="86">
        <v>0</v>
      </c>
    </row>
    <row r="118" spans="2:5" ht="15" customHeight="1">
      <c r="B118" s="118"/>
      <c r="C118" s="84" t="s">
        <v>238</v>
      </c>
      <c r="D118" s="85">
        <v>3</v>
      </c>
      <c r="E118" s="86">
        <v>0</v>
      </c>
    </row>
    <row r="119" spans="2:5" ht="15" customHeight="1">
      <c r="B119" s="118"/>
      <c r="C119" s="84" t="s">
        <v>239</v>
      </c>
      <c r="D119" s="85">
        <v>7</v>
      </c>
      <c r="E119" s="86">
        <v>1E-3</v>
      </c>
    </row>
    <row r="120" spans="2:5" ht="15" customHeight="1">
      <c r="B120" s="118"/>
      <c r="C120" s="84" t="s">
        <v>240</v>
      </c>
      <c r="D120" s="85">
        <v>2</v>
      </c>
      <c r="E120" s="86">
        <v>0</v>
      </c>
    </row>
    <row r="121" spans="2:5" ht="15" customHeight="1">
      <c r="B121" s="118"/>
      <c r="C121" s="84" t="s">
        <v>241</v>
      </c>
      <c r="D121" s="85">
        <v>17</v>
      </c>
      <c r="E121" s="86">
        <v>2E-3</v>
      </c>
    </row>
    <row r="122" spans="2:5" ht="15" customHeight="1">
      <c r="B122" s="118"/>
      <c r="C122" s="84" t="s">
        <v>169</v>
      </c>
      <c r="D122" s="85">
        <v>25</v>
      </c>
      <c r="E122" s="86">
        <v>3.0000000000000001E-3</v>
      </c>
    </row>
    <row r="123" spans="2:5" ht="15" customHeight="1">
      <c r="B123" s="118"/>
      <c r="C123" s="84" t="s">
        <v>242</v>
      </c>
      <c r="D123" s="85">
        <v>1</v>
      </c>
      <c r="E123" s="86">
        <v>0</v>
      </c>
    </row>
    <row r="124" spans="2:5" ht="15" customHeight="1">
      <c r="B124" s="118"/>
      <c r="C124" s="84" t="s">
        <v>243</v>
      </c>
      <c r="D124" s="85">
        <v>3</v>
      </c>
      <c r="E124" s="86">
        <v>0</v>
      </c>
    </row>
    <row r="125" spans="2:5" ht="15" customHeight="1">
      <c r="B125" s="118"/>
      <c r="C125" s="84" t="s">
        <v>244</v>
      </c>
      <c r="D125" s="85">
        <v>19</v>
      </c>
      <c r="E125" s="86">
        <v>2E-3</v>
      </c>
    </row>
    <row r="126" spans="2:5" ht="15" customHeight="1">
      <c r="B126" s="118"/>
      <c r="C126" s="84" t="s">
        <v>173</v>
      </c>
      <c r="D126" s="85">
        <v>76</v>
      </c>
      <c r="E126" s="86">
        <v>8.9999999999999993E-3</v>
      </c>
    </row>
    <row r="127" spans="2:5" ht="15" customHeight="1">
      <c r="B127" s="118"/>
      <c r="C127" s="84" t="s">
        <v>174</v>
      </c>
      <c r="D127" s="85">
        <v>4</v>
      </c>
      <c r="E127" s="86">
        <v>0</v>
      </c>
    </row>
    <row r="128" spans="2:5" ht="15" customHeight="1">
      <c r="B128" s="118"/>
      <c r="C128" s="84" t="s">
        <v>175</v>
      </c>
      <c r="D128" s="85">
        <v>18</v>
      </c>
      <c r="E128" s="86">
        <v>2E-3</v>
      </c>
    </row>
    <row r="129" spans="2:5" ht="15" customHeight="1">
      <c r="B129" s="118"/>
      <c r="C129" s="84" t="s">
        <v>176</v>
      </c>
      <c r="D129" s="85">
        <v>59</v>
      </c>
      <c r="E129" s="86">
        <v>7.0000000000000001E-3</v>
      </c>
    </row>
    <row r="130" spans="2:5" ht="15" customHeight="1">
      <c r="B130" s="118"/>
      <c r="C130" s="84" t="s">
        <v>181</v>
      </c>
      <c r="D130" s="85">
        <v>3</v>
      </c>
      <c r="E130" s="86">
        <v>0</v>
      </c>
    </row>
    <row r="131" spans="2:5" ht="15" customHeight="1">
      <c r="B131" s="118"/>
      <c r="C131" s="84" t="s">
        <v>182</v>
      </c>
      <c r="D131" s="85">
        <v>16</v>
      </c>
      <c r="E131" s="86">
        <v>2E-3</v>
      </c>
    </row>
    <row r="132" spans="2:5" ht="15" customHeight="1">
      <c r="B132" s="118"/>
      <c r="C132" s="84" t="s">
        <v>250</v>
      </c>
      <c r="D132" s="85">
        <v>1</v>
      </c>
      <c r="E132" s="86">
        <v>0</v>
      </c>
    </row>
    <row r="133" spans="2:5" ht="15" customHeight="1">
      <c r="B133" s="119"/>
      <c r="C133" s="87" t="s">
        <v>265</v>
      </c>
      <c r="D133" s="88">
        <v>257</v>
      </c>
      <c r="E133" s="89">
        <v>3.1E-2</v>
      </c>
    </row>
    <row r="134" spans="2:5" ht="15" customHeight="1">
      <c r="B134" s="117" t="s">
        <v>74</v>
      </c>
      <c r="C134" s="84" t="s">
        <v>239</v>
      </c>
      <c r="D134" s="85">
        <v>1</v>
      </c>
      <c r="E134" s="86">
        <v>0</v>
      </c>
    </row>
    <row r="135" spans="2:5" ht="15" customHeight="1">
      <c r="B135" s="118"/>
      <c r="C135" s="84" t="s">
        <v>241</v>
      </c>
      <c r="D135" s="85">
        <v>7</v>
      </c>
      <c r="E135" s="86">
        <v>1E-3</v>
      </c>
    </row>
    <row r="136" spans="2:5" ht="15" customHeight="1">
      <c r="B136" s="118"/>
      <c r="C136" s="84" t="s">
        <v>169</v>
      </c>
      <c r="D136" s="85">
        <v>6</v>
      </c>
      <c r="E136" s="86">
        <v>1E-3</v>
      </c>
    </row>
    <row r="137" spans="2:5" ht="15" customHeight="1">
      <c r="B137" s="118"/>
      <c r="C137" s="84" t="s">
        <v>242</v>
      </c>
      <c r="D137" s="85">
        <v>2</v>
      </c>
      <c r="E137" s="86">
        <v>0</v>
      </c>
    </row>
    <row r="138" spans="2:5" ht="15" customHeight="1">
      <c r="B138" s="118"/>
      <c r="C138" s="84" t="s">
        <v>244</v>
      </c>
      <c r="D138" s="85">
        <v>8</v>
      </c>
      <c r="E138" s="86">
        <v>1E-3</v>
      </c>
    </row>
    <row r="139" spans="2:5" ht="15" customHeight="1">
      <c r="B139" s="118"/>
      <c r="C139" s="84" t="s">
        <v>173</v>
      </c>
      <c r="D139" s="85">
        <v>18</v>
      </c>
      <c r="E139" s="86">
        <v>2E-3</v>
      </c>
    </row>
    <row r="140" spans="2:5" ht="15" customHeight="1">
      <c r="B140" s="118"/>
      <c r="C140" s="84" t="s">
        <v>174</v>
      </c>
      <c r="D140" s="85">
        <v>1</v>
      </c>
      <c r="E140" s="86">
        <v>0</v>
      </c>
    </row>
    <row r="141" spans="2:5" ht="15" customHeight="1">
      <c r="B141" s="118"/>
      <c r="C141" s="84" t="s">
        <v>175</v>
      </c>
      <c r="D141" s="85">
        <v>7</v>
      </c>
      <c r="E141" s="86">
        <v>1E-3</v>
      </c>
    </row>
    <row r="142" spans="2:5" ht="15" customHeight="1">
      <c r="B142" s="118"/>
      <c r="C142" s="84" t="s">
        <v>176</v>
      </c>
      <c r="D142" s="85">
        <v>13</v>
      </c>
      <c r="E142" s="86">
        <v>2E-3</v>
      </c>
    </row>
    <row r="143" spans="2:5" ht="15" customHeight="1">
      <c r="B143" s="118"/>
      <c r="C143" s="84" t="s">
        <v>245</v>
      </c>
      <c r="D143" s="85">
        <v>1</v>
      </c>
      <c r="E143" s="86">
        <v>0</v>
      </c>
    </row>
    <row r="144" spans="2:5" ht="15" customHeight="1">
      <c r="B144" s="118"/>
      <c r="C144" s="84" t="s">
        <v>248</v>
      </c>
      <c r="D144" s="85">
        <v>1</v>
      </c>
      <c r="E144" s="86">
        <v>0</v>
      </c>
    </row>
    <row r="145" spans="2:5" ht="15" customHeight="1">
      <c r="B145" s="118"/>
      <c r="C145" s="84" t="s">
        <v>181</v>
      </c>
      <c r="D145" s="85">
        <v>1</v>
      </c>
      <c r="E145" s="86">
        <v>0</v>
      </c>
    </row>
    <row r="146" spans="2:5" ht="15" customHeight="1">
      <c r="B146" s="118"/>
      <c r="C146" s="84" t="s">
        <v>182</v>
      </c>
      <c r="D146" s="85">
        <v>4</v>
      </c>
      <c r="E146" s="86">
        <v>0</v>
      </c>
    </row>
    <row r="147" spans="2:5" ht="15" customHeight="1">
      <c r="B147" s="119"/>
      <c r="C147" s="87" t="s">
        <v>265</v>
      </c>
      <c r="D147" s="88">
        <v>70</v>
      </c>
      <c r="E147" s="89">
        <v>8.0000000000000002E-3</v>
      </c>
    </row>
    <row r="148" spans="2:5" ht="15" customHeight="1">
      <c r="B148" s="117" t="s">
        <v>94</v>
      </c>
      <c r="C148" s="84" t="s">
        <v>238</v>
      </c>
      <c r="D148" s="85">
        <v>1</v>
      </c>
      <c r="E148" s="86">
        <v>0</v>
      </c>
    </row>
    <row r="149" spans="2:5" ht="15" customHeight="1">
      <c r="B149" s="118"/>
      <c r="C149" s="84" t="s">
        <v>241</v>
      </c>
      <c r="D149" s="85">
        <v>1</v>
      </c>
      <c r="E149" s="86">
        <v>0</v>
      </c>
    </row>
    <row r="150" spans="2:5" ht="15" customHeight="1">
      <c r="B150" s="119"/>
      <c r="C150" s="87" t="s">
        <v>265</v>
      </c>
      <c r="D150" s="88">
        <v>2</v>
      </c>
      <c r="E150" s="89">
        <v>0</v>
      </c>
    </row>
    <row r="151" spans="2:5" ht="15" customHeight="1">
      <c r="B151" s="117" t="s">
        <v>86</v>
      </c>
      <c r="C151" s="84" t="s">
        <v>241</v>
      </c>
      <c r="D151" s="85">
        <v>1</v>
      </c>
      <c r="E151" s="86">
        <v>0</v>
      </c>
    </row>
    <row r="152" spans="2:5" ht="15" customHeight="1">
      <c r="B152" s="118"/>
      <c r="C152" s="84" t="s">
        <v>173</v>
      </c>
      <c r="D152" s="85">
        <v>2</v>
      </c>
      <c r="E152" s="86">
        <v>0</v>
      </c>
    </row>
    <row r="153" spans="2:5" ht="15" customHeight="1">
      <c r="B153" s="118"/>
      <c r="C153" s="84" t="s">
        <v>176</v>
      </c>
      <c r="D153" s="85">
        <v>1</v>
      </c>
      <c r="E153" s="86">
        <v>0</v>
      </c>
    </row>
    <row r="154" spans="2:5" ht="15" customHeight="1">
      <c r="B154" s="118"/>
      <c r="C154" s="84" t="s">
        <v>181</v>
      </c>
      <c r="D154" s="85">
        <v>1</v>
      </c>
      <c r="E154" s="86">
        <v>0</v>
      </c>
    </row>
    <row r="155" spans="2:5" ht="15" customHeight="1">
      <c r="B155" s="118"/>
      <c r="C155" s="84" t="s">
        <v>183</v>
      </c>
      <c r="D155" s="85">
        <v>1</v>
      </c>
      <c r="E155" s="86">
        <v>0</v>
      </c>
    </row>
    <row r="156" spans="2:5" ht="15" customHeight="1">
      <c r="B156" s="119"/>
      <c r="C156" s="87" t="s">
        <v>265</v>
      </c>
      <c r="D156" s="88">
        <v>6</v>
      </c>
      <c r="E156" s="89">
        <v>1E-3</v>
      </c>
    </row>
    <row r="157" spans="2:5" ht="15" customHeight="1">
      <c r="B157" s="117" t="s">
        <v>75</v>
      </c>
      <c r="C157" s="84" t="s">
        <v>236</v>
      </c>
      <c r="D157" s="85">
        <v>1</v>
      </c>
      <c r="E157" s="86">
        <v>0</v>
      </c>
    </row>
    <row r="158" spans="2:5" ht="15" customHeight="1">
      <c r="B158" s="118"/>
      <c r="C158" s="84" t="s">
        <v>241</v>
      </c>
      <c r="D158" s="85">
        <v>3</v>
      </c>
      <c r="E158" s="86">
        <v>0</v>
      </c>
    </row>
    <row r="159" spans="2:5" ht="15" customHeight="1">
      <c r="B159" s="118"/>
      <c r="C159" s="84" t="s">
        <v>169</v>
      </c>
      <c r="D159" s="85">
        <v>1</v>
      </c>
      <c r="E159" s="86">
        <v>0</v>
      </c>
    </row>
    <row r="160" spans="2:5" ht="15" customHeight="1">
      <c r="B160" s="118"/>
      <c r="C160" s="84" t="s">
        <v>242</v>
      </c>
      <c r="D160" s="85">
        <v>1</v>
      </c>
      <c r="E160" s="86">
        <v>0</v>
      </c>
    </row>
    <row r="161" spans="2:5" ht="15" customHeight="1">
      <c r="B161" s="118"/>
      <c r="C161" s="84" t="s">
        <v>243</v>
      </c>
      <c r="D161" s="85">
        <v>1</v>
      </c>
      <c r="E161" s="86">
        <v>0</v>
      </c>
    </row>
    <row r="162" spans="2:5" ht="15" customHeight="1">
      <c r="B162" s="118"/>
      <c r="C162" s="84" t="s">
        <v>244</v>
      </c>
      <c r="D162" s="85">
        <v>3</v>
      </c>
      <c r="E162" s="86">
        <v>0</v>
      </c>
    </row>
    <row r="163" spans="2:5" ht="15" customHeight="1">
      <c r="B163" s="118"/>
      <c r="C163" s="84" t="s">
        <v>173</v>
      </c>
      <c r="D163" s="85">
        <v>14</v>
      </c>
      <c r="E163" s="86">
        <v>2E-3</v>
      </c>
    </row>
    <row r="164" spans="2:5" ht="15" customHeight="1">
      <c r="B164" s="118"/>
      <c r="C164" s="84" t="s">
        <v>174</v>
      </c>
      <c r="D164" s="85">
        <v>2</v>
      </c>
      <c r="E164" s="86">
        <v>0</v>
      </c>
    </row>
    <row r="165" spans="2:5" ht="15" customHeight="1">
      <c r="B165" s="118"/>
      <c r="C165" s="84" t="s">
        <v>176</v>
      </c>
      <c r="D165" s="85">
        <v>10</v>
      </c>
      <c r="E165" s="86">
        <v>1E-3</v>
      </c>
    </row>
    <row r="166" spans="2:5" ht="15" customHeight="1">
      <c r="B166" s="118"/>
      <c r="C166" s="84" t="s">
        <v>182</v>
      </c>
      <c r="D166" s="85">
        <v>2</v>
      </c>
      <c r="E166" s="86">
        <v>0</v>
      </c>
    </row>
    <row r="167" spans="2:5" ht="15" customHeight="1">
      <c r="B167" s="119"/>
      <c r="C167" s="87" t="s">
        <v>265</v>
      </c>
      <c r="D167" s="88">
        <v>38</v>
      </c>
      <c r="E167" s="89">
        <v>5.0000000000000001E-3</v>
      </c>
    </row>
    <row r="168" spans="2:5" ht="15" customHeight="1">
      <c r="B168" s="117" t="s">
        <v>47</v>
      </c>
      <c r="C168" s="84" t="s">
        <v>162</v>
      </c>
      <c r="D168" s="85">
        <v>6</v>
      </c>
      <c r="E168" s="86">
        <v>1E-3</v>
      </c>
    </row>
    <row r="169" spans="2:5" ht="15" customHeight="1">
      <c r="B169" s="118"/>
      <c r="C169" s="84" t="s">
        <v>236</v>
      </c>
      <c r="D169" s="85">
        <v>4</v>
      </c>
      <c r="E169" s="86">
        <v>0</v>
      </c>
    </row>
    <row r="170" spans="2:5" ht="15" customHeight="1">
      <c r="B170" s="118"/>
      <c r="C170" s="84" t="s">
        <v>237</v>
      </c>
      <c r="D170" s="85">
        <v>10</v>
      </c>
      <c r="E170" s="86">
        <v>1E-3</v>
      </c>
    </row>
    <row r="171" spans="2:5" ht="15" customHeight="1">
      <c r="B171" s="118"/>
      <c r="C171" s="84" t="s">
        <v>238</v>
      </c>
      <c r="D171" s="85">
        <v>16</v>
      </c>
      <c r="E171" s="86">
        <v>2E-3</v>
      </c>
    </row>
    <row r="172" spans="2:5" ht="15" customHeight="1">
      <c r="B172" s="118"/>
      <c r="C172" s="84" t="s">
        <v>239</v>
      </c>
      <c r="D172" s="85">
        <v>10</v>
      </c>
      <c r="E172" s="86">
        <v>1E-3</v>
      </c>
    </row>
    <row r="173" spans="2:5" ht="15" customHeight="1">
      <c r="B173" s="118"/>
      <c r="C173" s="84" t="s">
        <v>240</v>
      </c>
      <c r="D173" s="85">
        <v>15</v>
      </c>
      <c r="E173" s="86">
        <v>2E-3</v>
      </c>
    </row>
    <row r="174" spans="2:5" ht="15" customHeight="1">
      <c r="B174" s="118"/>
      <c r="C174" s="84" t="s">
        <v>241</v>
      </c>
      <c r="D174" s="85">
        <v>56</v>
      </c>
      <c r="E174" s="86">
        <v>7.0000000000000001E-3</v>
      </c>
    </row>
    <row r="175" spans="2:5" ht="15" customHeight="1">
      <c r="B175" s="118"/>
      <c r="C175" s="84" t="s">
        <v>169</v>
      </c>
      <c r="D175" s="85">
        <v>80</v>
      </c>
      <c r="E175" s="86">
        <v>0.01</v>
      </c>
    </row>
    <row r="176" spans="2:5" ht="15" customHeight="1">
      <c r="B176" s="118"/>
      <c r="C176" s="84" t="s">
        <v>242</v>
      </c>
      <c r="D176" s="85">
        <v>6</v>
      </c>
      <c r="E176" s="86">
        <v>1E-3</v>
      </c>
    </row>
    <row r="177" spans="2:5" ht="15" customHeight="1">
      <c r="B177" s="118"/>
      <c r="C177" s="84" t="s">
        <v>243</v>
      </c>
      <c r="D177" s="85">
        <v>10</v>
      </c>
      <c r="E177" s="86">
        <v>1E-3</v>
      </c>
    </row>
    <row r="178" spans="2:5" ht="15" customHeight="1">
      <c r="B178" s="118"/>
      <c r="C178" s="84" t="s">
        <v>244</v>
      </c>
      <c r="D178" s="85">
        <v>37</v>
      </c>
      <c r="E178" s="86">
        <v>4.0000000000000001E-3</v>
      </c>
    </row>
    <row r="179" spans="2:5" ht="15" customHeight="1">
      <c r="B179" s="118"/>
      <c r="C179" s="84" t="s">
        <v>173</v>
      </c>
      <c r="D179" s="85">
        <v>174</v>
      </c>
      <c r="E179" s="86">
        <v>2.1000000000000001E-2</v>
      </c>
    </row>
    <row r="180" spans="2:5" ht="15" customHeight="1">
      <c r="B180" s="118"/>
      <c r="C180" s="84" t="s">
        <v>174</v>
      </c>
      <c r="D180" s="85">
        <v>13</v>
      </c>
      <c r="E180" s="86">
        <v>2E-3</v>
      </c>
    </row>
    <row r="181" spans="2:5" ht="15" customHeight="1">
      <c r="B181" s="118"/>
      <c r="C181" s="84" t="s">
        <v>175</v>
      </c>
      <c r="D181" s="85">
        <v>56</v>
      </c>
      <c r="E181" s="86">
        <v>7.0000000000000001E-3</v>
      </c>
    </row>
    <row r="182" spans="2:5" ht="15" customHeight="1">
      <c r="B182" s="118"/>
      <c r="C182" s="84" t="s">
        <v>176</v>
      </c>
      <c r="D182" s="85">
        <v>121</v>
      </c>
      <c r="E182" s="86">
        <v>1.4E-2</v>
      </c>
    </row>
    <row r="183" spans="2:5" ht="15" customHeight="1">
      <c r="B183" s="118"/>
      <c r="C183" s="84" t="s">
        <v>245</v>
      </c>
      <c r="D183" s="85">
        <v>3</v>
      </c>
      <c r="E183" s="86">
        <v>0</v>
      </c>
    </row>
    <row r="184" spans="2:5" ht="15" customHeight="1">
      <c r="B184" s="118"/>
      <c r="C184" s="84" t="s">
        <v>246</v>
      </c>
      <c r="D184" s="85">
        <v>4</v>
      </c>
      <c r="E184" s="86">
        <v>0</v>
      </c>
    </row>
    <row r="185" spans="2:5" ht="15" customHeight="1">
      <c r="B185" s="118"/>
      <c r="C185" s="84" t="s">
        <v>248</v>
      </c>
      <c r="D185" s="85">
        <v>1</v>
      </c>
      <c r="E185" s="86">
        <v>0</v>
      </c>
    </row>
    <row r="186" spans="2:5" ht="15" customHeight="1">
      <c r="B186" s="118"/>
      <c r="C186" s="84" t="s">
        <v>181</v>
      </c>
      <c r="D186" s="85">
        <v>9</v>
      </c>
      <c r="E186" s="86">
        <v>1E-3</v>
      </c>
    </row>
    <row r="187" spans="2:5" ht="15" customHeight="1">
      <c r="B187" s="118"/>
      <c r="C187" s="84" t="s">
        <v>182</v>
      </c>
      <c r="D187" s="85">
        <v>17</v>
      </c>
      <c r="E187" s="86">
        <v>2E-3</v>
      </c>
    </row>
    <row r="188" spans="2:5" ht="15" customHeight="1">
      <c r="B188" s="118"/>
      <c r="C188" s="84" t="s">
        <v>249</v>
      </c>
      <c r="D188" s="85">
        <v>2</v>
      </c>
      <c r="E188" s="86">
        <v>0</v>
      </c>
    </row>
    <row r="189" spans="2:5" ht="15" customHeight="1">
      <c r="B189" s="119"/>
      <c r="C189" s="87" t="s">
        <v>265</v>
      </c>
      <c r="D189" s="88">
        <v>650</v>
      </c>
      <c r="E189" s="89">
        <v>7.8E-2</v>
      </c>
    </row>
    <row r="190" spans="2:5" ht="15" customHeight="1">
      <c r="B190" s="117" t="s">
        <v>65</v>
      </c>
      <c r="C190" s="84" t="s">
        <v>162</v>
      </c>
      <c r="D190" s="85">
        <v>1</v>
      </c>
      <c r="E190" s="86">
        <v>0</v>
      </c>
    </row>
    <row r="191" spans="2:5" ht="15" customHeight="1">
      <c r="B191" s="118"/>
      <c r="C191" s="84" t="s">
        <v>236</v>
      </c>
      <c r="D191" s="85">
        <v>1</v>
      </c>
      <c r="E191" s="86">
        <v>0</v>
      </c>
    </row>
    <row r="192" spans="2:5" ht="15" customHeight="1">
      <c r="B192" s="118"/>
      <c r="C192" s="84" t="s">
        <v>237</v>
      </c>
      <c r="D192" s="85">
        <v>1</v>
      </c>
      <c r="E192" s="86">
        <v>0</v>
      </c>
    </row>
    <row r="193" spans="2:5" ht="15" customHeight="1">
      <c r="B193" s="118"/>
      <c r="C193" s="84" t="s">
        <v>239</v>
      </c>
      <c r="D193" s="85">
        <v>2</v>
      </c>
      <c r="E193" s="86">
        <v>0</v>
      </c>
    </row>
    <row r="194" spans="2:5" ht="15" customHeight="1">
      <c r="B194" s="118"/>
      <c r="C194" s="84" t="s">
        <v>240</v>
      </c>
      <c r="D194" s="85">
        <v>2</v>
      </c>
      <c r="E194" s="86">
        <v>0</v>
      </c>
    </row>
    <row r="195" spans="2:5" ht="15" customHeight="1">
      <c r="B195" s="118"/>
      <c r="C195" s="84" t="s">
        <v>241</v>
      </c>
      <c r="D195" s="85">
        <v>4</v>
      </c>
      <c r="E195" s="86">
        <v>0</v>
      </c>
    </row>
    <row r="196" spans="2:5" ht="15" customHeight="1">
      <c r="B196" s="118"/>
      <c r="C196" s="84" t="s">
        <v>169</v>
      </c>
      <c r="D196" s="85">
        <v>7</v>
      </c>
      <c r="E196" s="86">
        <v>1E-3</v>
      </c>
    </row>
    <row r="197" spans="2:5" ht="15" customHeight="1">
      <c r="B197" s="118"/>
      <c r="C197" s="84" t="s">
        <v>244</v>
      </c>
      <c r="D197" s="85">
        <v>2</v>
      </c>
      <c r="E197" s="86">
        <v>0</v>
      </c>
    </row>
    <row r="198" spans="2:5" ht="15" customHeight="1">
      <c r="B198" s="118"/>
      <c r="C198" s="84" t="s">
        <v>173</v>
      </c>
      <c r="D198" s="85">
        <v>38</v>
      </c>
      <c r="E198" s="86">
        <v>5.0000000000000001E-3</v>
      </c>
    </row>
    <row r="199" spans="2:5" ht="15" customHeight="1">
      <c r="B199" s="118"/>
      <c r="C199" s="84" t="s">
        <v>174</v>
      </c>
      <c r="D199" s="85">
        <v>1</v>
      </c>
      <c r="E199" s="86">
        <v>0</v>
      </c>
    </row>
    <row r="200" spans="2:5" ht="15" customHeight="1">
      <c r="B200" s="118"/>
      <c r="C200" s="84" t="s">
        <v>175</v>
      </c>
      <c r="D200" s="85">
        <v>6</v>
      </c>
      <c r="E200" s="86">
        <v>1E-3</v>
      </c>
    </row>
    <row r="201" spans="2:5" ht="15" customHeight="1">
      <c r="B201" s="118"/>
      <c r="C201" s="84" t="s">
        <v>176</v>
      </c>
      <c r="D201" s="85">
        <v>34</v>
      </c>
      <c r="E201" s="86">
        <v>4.0000000000000001E-3</v>
      </c>
    </row>
    <row r="202" spans="2:5" ht="15" customHeight="1">
      <c r="B202" s="118"/>
      <c r="C202" s="84" t="s">
        <v>245</v>
      </c>
      <c r="D202" s="85">
        <v>1</v>
      </c>
      <c r="E202" s="86">
        <v>0</v>
      </c>
    </row>
    <row r="203" spans="2:5" ht="15" customHeight="1">
      <c r="B203" s="118"/>
      <c r="C203" s="84" t="s">
        <v>181</v>
      </c>
      <c r="D203" s="85">
        <v>3</v>
      </c>
      <c r="E203" s="86">
        <v>0</v>
      </c>
    </row>
    <row r="204" spans="2:5" ht="15" customHeight="1">
      <c r="B204" s="118"/>
      <c r="C204" s="84" t="s">
        <v>182</v>
      </c>
      <c r="D204" s="85">
        <v>6</v>
      </c>
      <c r="E204" s="86">
        <v>1E-3</v>
      </c>
    </row>
    <row r="205" spans="2:5" ht="15" customHeight="1">
      <c r="B205" s="118"/>
      <c r="C205" s="84" t="s">
        <v>249</v>
      </c>
      <c r="D205" s="85">
        <v>1</v>
      </c>
      <c r="E205" s="86">
        <v>0</v>
      </c>
    </row>
    <row r="206" spans="2:5" ht="15" customHeight="1">
      <c r="B206" s="119"/>
      <c r="C206" s="87" t="s">
        <v>265</v>
      </c>
      <c r="D206" s="88">
        <v>110</v>
      </c>
      <c r="E206" s="89">
        <v>1.2999999999999999E-2</v>
      </c>
    </row>
    <row r="207" spans="2:5" ht="15" customHeight="1">
      <c r="B207" s="117" t="s">
        <v>68</v>
      </c>
      <c r="C207" s="84" t="s">
        <v>238</v>
      </c>
      <c r="D207" s="85">
        <v>3</v>
      </c>
      <c r="E207" s="86">
        <v>0</v>
      </c>
    </row>
    <row r="208" spans="2:5" ht="15" customHeight="1">
      <c r="B208" s="118"/>
      <c r="C208" s="84" t="s">
        <v>239</v>
      </c>
      <c r="D208" s="85">
        <v>1</v>
      </c>
      <c r="E208" s="86">
        <v>0</v>
      </c>
    </row>
    <row r="209" spans="2:5" ht="15" customHeight="1">
      <c r="B209" s="118"/>
      <c r="C209" s="84" t="s">
        <v>240</v>
      </c>
      <c r="D209" s="85">
        <v>1</v>
      </c>
      <c r="E209" s="86">
        <v>0</v>
      </c>
    </row>
    <row r="210" spans="2:5" ht="15" customHeight="1">
      <c r="B210" s="118"/>
      <c r="C210" s="84" t="s">
        <v>241</v>
      </c>
      <c r="D210" s="85">
        <v>2</v>
      </c>
      <c r="E210" s="86">
        <v>0</v>
      </c>
    </row>
    <row r="211" spans="2:5" ht="15" customHeight="1">
      <c r="B211" s="118"/>
      <c r="C211" s="84" t="s">
        <v>169</v>
      </c>
      <c r="D211" s="85">
        <v>5</v>
      </c>
      <c r="E211" s="86">
        <v>1E-3</v>
      </c>
    </row>
    <row r="212" spans="2:5" ht="15" customHeight="1">
      <c r="B212" s="118"/>
      <c r="C212" s="84" t="s">
        <v>173</v>
      </c>
      <c r="D212" s="85">
        <v>17</v>
      </c>
      <c r="E212" s="86">
        <v>2E-3</v>
      </c>
    </row>
    <row r="213" spans="2:5" ht="15" customHeight="1">
      <c r="B213" s="118"/>
      <c r="C213" s="84" t="s">
        <v>174</v>
      </c>
      <c r="D213" s="85">
        <v>1</v>
      </c>
      <c r="E213" s="86">
        <v>0</v>
      </c>
    </row>
    <row r="214" spans="2:5" ht="15" customHeight="1">
      <c r="B214" s="118"/>
      <c r="C214" s="84" t="s">
        <v>175</v>
      </c>
      <c r="D214" s="85">
        <v>5</v>
      </c>
      <c r="E214" s="86">
        <v>1E-3</v>
      </c>
    </row>
    <row r="215" spans="2:5" ht="15" customHeight="1">
      <c r="B215" s="118"/>
      <c r="C215" s="84" t="s">
        <v>176</v>
      </c>
      <c r="D215" s="85">
        <v>14</v>
      </c>
      <c r="E215" s="86">
        <v>2E-3</v>
      </c>
    </row>
    <row r="216" spans="2:5" ht="15" customHeight="1">
      <c r="B216" s="118"/>
      <c r="C216" s="84" t="s">
        <v>246</v>
      </c>
      <c r="D216" s="85">
        <v>1</v>
      </c>
      <c r="E216" s="86">
        <v>0</v>
      </c>
    </row>
    <row r="217" spans="2:5" ht="15" customHeight="1">
      <c r="B217" s="118"/>
      <c r="C217" s="84" t="s">
        <v>181</v>
      </c>
      <c r="D217" s="85">
        <v>4</v>
      </c>
      <c r="E217" s="86">
        <v>0</v>
      </c>
    </row>
    <row r="218" spans="2:5" ht="15" customHeight="1">
      <c r="B218" s="118"/>
      <c r="C218" s="84" t="s">
        <v>182</v>
      </c>
      <c r="D218" s="85">
        <v>2</v>
      </c>
      <c r="E218" s="86">
        <v>0</v>
      </c>
    </row>
    <row r="219" spans="2:5" ht="15" customHeight="1">
      <c r="B219" s="119"/>
      <c r="C219" s="87" t="s">
        <v>265</v>
      </c>
      <c r="D219" s="88">
        <v>56</v>
      </c>
      <c r="E219" s="89">
        <v>7.0000000000000001E-3</v>
      </c>
    </row>
    <row r="220" spans="2:5" ht="15" customHeight="1">
      <c r="B220" s="117" t="s">
        <v>69</v>
      </c>
      <c r="C220" s="84" t="s">
        <v>236</v>
      </c>
      <c r="D220" s="85">
        <v>1</v>
      </c>
      <c r="E220" s="86">
        <v>0</v>
      </c>
    </row>
    <row r="221" spans="2:5" ht="15" customHeight="1">
      <c r="B221" s="118"/>
      <c r="C221" s="84" t="s">
        <v>169</v>
      </c>
      <c r="D221" s="85">
        <v>4</v>
      </c>
      <c r="E221" s="86">
        <v>0</v>
      </c>
    </row>
    <row r="222" spans="2:5" ht="15" customHeight="1">
      <c r="B222" s="118"/>
      <c r="C222" s="84" t="s">
        <v>243</v>
      </c>
      <c r="D222" s="85">
        <v>4</v>
      </c>
      <c r="E222" s="86">
        <v>0</v>
      </c>
    </row>
    <row r="223" spans="2:5" ht="15" customHeight="1">
      <c r="B223" s="118"/>
      <c r="C223" s="84" t="s">
        <v>244</v>
      </c>
      <c r="D223" s="85">
        <v>2</v>
      </c>
      <c r="E223" s="86">
        <v>0</v>
      </c>
    </row>
    <row r="224" spans="2:5" ht="15" customHeight="1">
      <c r="B224" s="118"/>
      <c r="C224" s="84" t="s">
        <v>173</v>
      </c>
      <c r="D224" s="85">
        <v>17</v>
      </c>
      <c r="E224" s="86">
        <v>2E-3</v>
      </c>
    </row>
    <row r="225" spans="2:5" ht="15" customHeight="1">
      <c r="B225" s="118"/>
      <c r="C225" s="84" t="s">
        <v>174</v>
      </c>
      <c r="D225" s="85">
        <v>1</v>
      </c>
      <c r="E225" s="86">
        <v>0</v>
      </c>
    </row>
    <row r="226" spans="2:5" ht="15" customHeight="1">
      <c r="B226" s="118"/>
      <c r="C226" s="84" t="s">
        <v>175</v>
      </c>
      <c r="D226" s="85">
        <v>5</v>
      </c>
      <c r="E226" s="86">
        <v>1E-3</v>
      </c>
    </row>
    <row r="227" spans="2:5" ht="15" customHeight="1">
      <c r="B227" s="118"/>
      <c r="C227" s="84" t="s">
        <v>176</v>
      </c>
      <c r="D227" s="85">
        <v>12</v>
      </c>
      <c r="E227" s="86">
        <v>1E-3</v>
      </c>
    </row>
    <row r="228" spans="2:5" ht="15" customHeight="1">
      <c r="B228" s="118"/>
      <c r="C228" s="84" t="s">
        <v>245</v>
      </c>
      <c r="D228" s="85">
        <v>1</v>
      </c>
      <c r="E228" s="86">
        <v>0</v>
      </c>
    </row>
    <row r="229" spans="2:5" ht="15" customHeight="1">
      <c r="B229" s="118"/>
      <c r="C229" s="84" t="s">
        <v>181</v>
      </c>
      <c r="D229" s="85">
        <v>2</v>
      </c>
      <c r="E229" s="86">
        <v>0</v>
      </c>
    </row>
    <row r="230" spans="2:5" ht="15" customHeight="1">
      <c r="B230" s="118"/>
      <c r="C230" s="84" t="s">
        <v>182</v>
      </c>
      <c r="D230" s="85">
        <v>3</v>
      </c>
      <c r="E230" s="86">
        <v>0</v>
      </c>
    </row>
    <row r="231" spans="2:5" ht="15" customHeight="1">
      <c r="B231" s="118"/>
      <c r="C231" s="84" t="s">
        <v>183</v>
      </c>
      <c r="D231" s="85">
        <v>1</v>
      </c>
      <c r="E231" s="86">
        <v>0</v>
      </c>
    </row>
    <row r="232" spans="2:5" ht="15" customHeight="1">
      <c r="B232" s="119"/>
      <c r="C232" s="87" t="s">
        <v>265</v>
      </c>
      <c r="D232" s="88">
        <v>53</v>
      </c>
      <c r="E232" s="89">
        <v>6.0000000000000001E-3</v>
      </c>
    </row>
    <row r="233" spans="2:5" ht="15" customHeight="1">
      <c r="B233" s="117" t="s">
        <v>90</v>
      </c>
      <c r="C233" s="84" t="s">
        <v>244</v>
      </c>
      <c r="D233" s="85">
        <v>1</v>
      </c>
      <c r="E233" s="86">
        <v>0</v>
      </c>
    </row>
    <row r="234" spans="2:5" ht="15" customHeight="1">
      <c r="B234" s="118"/>
      <c r="C234" s="84" t="s">
        <v>173</v>
      </c>
      <c r="D234" s="85">
        <v>2</v>
      </c>
      <c r="E234" s="86">
        <v>0</v>
      </c>
    </row>
    <row r="235" spans="2:5" ht="15" customHeight="1">
      <c r="B235" s="118"/>
      <c r="C235" s="84" t="s">
        <v>175</v>
      </c>
      <c r="D235" s="85">
        <v>1</v>
      </c>
      <c r="E235" s="86">
        <v>0</v>
      </c>
    </row>
    <row r="236" spans="2:5" ht="15" customHeight="1">
      <c r="B236" s="118"/>
      <c r="C236" s="84" t="s">
        <v>176</v>
      </c>
      <c r="D236" s="85">
        <v>1</v>
      </c>
      <c r="E236" s="86">
        <v>0</v>
      </c>
    </row>
    <row r="237" spans="2:5" ht="15" customHeight="1">
      <c r="B237" s="119"/>
      <c r="C237" s="87" t="s">
        <v>265</v>
      </c>
      <c r="D237" s="88">
        <v>5</v>
      </c>
      <c r="E237" s="89">
        <v>1E-3</v>
      </c>
    </row>
    <row r="238" spans="2:5" ht="15" customHeight="1">
      <c r="B238" s="117" t="s">
        <v>49</v>
      </c>
      <c r="C238" s="84" t="s">
        <v>162</v>
      </c>
      <c r="D238" s="85">
        <v>5</v>
      </c>
      <c r="E238" s="86">
        <v>1E-3</v>
      </c>
    </row>
    <row r="239" spans="2:5" ht="15" customHeight="1">
      <c r="B239" s="118"/>
      <c r="C239" s="84" t="s">
        <v>237</v>
      </c>
      <c r="D239" s="85">
        <v>3</v>
      </c>
      <c r="E239" s="86">
        <v>0</v>
      </c>
    </row>
    <row r="240" spans="2:5" ht="15" customHeight="1">
      <c r="B240" s="118"/>
      <c r="C240" s="84" t="s">
        <v>238</v>
      </c>
      <c r="D240" s="85">
        <v>6</v>
      </c>
      <c r="E240" s="86">
        <v>1E-3</v>
      </c>
    </row>
    <row r="241" spans="2:5" ht="15" customHeight="1">
      <c r="B241" s="118"/>
      <c r="C241" s="84" t="s">
        <v>239</v>
      </c>
      <c r="D241" s="85">
        <v>1</v>
      </c>
      <c r="E241" s="86">
        <v>0</v>
      </c>
    </row>
    <row r="242" spans="2:5" ht="15" customHeight="1">
      <c r="B242" s="118"/>
      <c r="C242" s="84" t="s">
        <v>240</v>
      </c>
      <c r="D242" s="85">
        <v>2</v>
      </c>
      <c r="E242" s="86">
        <v>0</v>
      </c>
    </row>
    <row r="243" spans="2:5" ht="15" customHeight="1">
      <c r="B243" s="118"/>
      <c r="C243" s="84" t="s">
        <v>241</v>
      </c>
      <c r="D243" s="85">
        <v>29</v>
      </c>
      <c r="E243" s="86">
        <v>3.0000000000000001E-3</v>
      </c>
    </row>
    <row r="244" spans="2:5" ht="15" customHeight="1">
      <c r="B244" s="118"/>
      <c r="C244" s="84" t="s">
        <v>169</v>
      </c>
      <c r="D244" s="85">
        <v>45</v>
      </c>
      <c r="E244" s="86">
        <v>5.0000000000000001E-3</v>
      </c>
    </row>
    <row r="245" spans="2:5" ht="15" customHeight="1">
      <c r="B245" s="118"/>
      <c r="C245" s="84" t="s">
        <v>242</v>
      </c>
      <c r="D245" s="85">
        <v>8</v>
      </c>
      <c r="E245" s="86">
        <v>1E-3</v>
      </c>
    </row>
    <row r="246" spans="2:5" ht="15" customHeight="1">
      <c r="B246" s="118"/>
      <c r="C246" s="84" t="s">
        <v>243</v>
      </c>
      <c r="D246" s="85">
        <v>7</v>
      </c>
      <c r="E246" s="86">
        <v>1E-3</v>
      </c>
    </row>
    <row r="247" spans="2:5" ht="15" customHeight="1">
      <c r="B247" s="118"/>
      <c r="C247" s="84" t="s">
        <v>244</v>
      </c>
      <c r="D247" s="85">
        <v>20</v>
      </c>
      <c r="E247" s="86">
        <v>2E-3</v>
      </c>
    </row>
    <row r="248" spans="2:5" ht="15" customHeight="1">
      <c r="B248" s="118"/>
      <c r="C248" s="84" t="s">
        <v>173</v>
      </c>
      <c r="D248" s="85">
        <v>138</v>
      </c>
      <c r="E248" s="86">
        <v>1.6E-2</v>
      </c>
    </row>
    <row r="249" spans="2:5" ht="15" customHeight="1">
      <c r="B249" s="118"/>
      <c r="C249" s="84" t="s">
        <v>174</v>
      </c>
      <c r="D249" s="85">
        <v>10</v>
      </c>
      <c r="E249" s="86">
        <v>1E-3</v>
      </c>
    </row>
    <row r="250" spans="2:5" ht="15" customHeight="1">
      <c r="B250" s="118"/>
      <c r="C250" s="84" t="s">
        <v>175</v>
      </c>
      <c r="D250" s="85">
        <v>36</v>
      </c>
      <c r="E250" s="86">
        <v>4.0000000000000001E-3</v>
      </c>
    </row>
    <row r="251" spans="2:5" ht="15" customHeight="1">
      <c r="B251" s="118"/>
      <c r="C251" s="84" t="s">
        <v>176</v>
      </c>
      <c r="D251" s="85">
        <v>114</v>
      </c>
      <c r="E251" s="86">
        <v>1.4E-2</v>
      </c>
    </row>
    <row r="252" spans="2:5" ht="15" customHeight="1">
      <c r="B252" s="118"/>
      <c r="C252" s="84" t="s">
        <v>245</v>
      </c>
      <c r="D252" s="85">
        <v>1</v>
      </c>
      <c r="E252" s="86">
        <v>0</v>
      </c>
    </row>
    <row r="253" spans="2:5" ht="15" customHeight="1">
      <c r="B253" s="118"/>
      <c r="C253" s="84" t="s">
        <v>246</v>
      </c>
      <c r="D253" s="85">
        <v>2</v>
      </c>
      <c r="E253" s="86">
        <v>0</v>
      </c>
    </row>
    <row r="254" spans="2:5" ht="15" customHeight="1">
      <c r="B254" s="118"/>
      <c r="C254" s="84" t="s">
        <v>247</v>
      </c>
      <c r="D254" s="85">
        <v>1</v>
      </c>
      <c r="E254" s="86">
        <v>0</v>
      </c>
    </row>
    <row r="255" spans="2:5" ht="15" customHeight="1">
      <c r="B255" s="118"/>
      <c r="C255" s="84" t="s">
        <v>181</v>
      </c>
      <c r="D255" s="85">
        <v>1</v>
      </c>
      <c r="E255" s="86">
        <v>0</v>
      </c>
    </row>
    <row r="256" spans="2:5" ht="15" customHeight="1">
      <c r="B256" s="118"/>
      <c r="C256" s="84" t="s">
        <v>182</v>
      </c>
      <c r="D256" s="85">
        <v>25</v>
      </c>
      <c r="E256" s="86">
        <v>3.0000000000000001E-3</v>
      </c>
    </row>
    <row r="257" spans="2:5" ht="15" customHeight="1">
      <c r="B257" s="119"/>
      <c r="C257" s="87" t="s">
        <v>265</v>
      </c>
      <c r="D257" s="88">
        <v>454</v>
      </c>
      <c r="E257" s="89">
        <v>5.3999999999999999E-2</v>
      </c>
    </row>
    <row r="258" spans="2:5" ht="15" customHeight="1">
      <c r="B258" s="117" t="s">
        <v>70</v>
      </c>
      <c r="C258" s="84" t="s">
        <v>236</v>
      </c>
      <c r="D258" s="85">
        <v>1</v>
      </c>
      <c r="E258" s="86">
        <v>0</v>
      </c>
    </row>
    <row r="259" spans="2:5" ht="15" customHeight="1">
      <c r="B259" s="118"/>
      <c r="C259" s="84" t="s">
        <v>241</v>
      </c>
      <c r="D259" s="85">
        <v>1</v>
      </c>
      <c r="E259" s="86">
        <v>0</v>
      </c>
    </row>
    <row r="260" spans="2:5" ht="15" customHeight="1">
      <c r="B260" s="118"/>
      <c r="C260" s="84" t="s">
        <v>169</v>
      </c>
      <c r="D260" s="85">
        <v>8</v>
      </c>
      <c r="E260" s="86">
        <v>1E-3</v>
      </c>
    </row>
    <row r="261" spans="2:5" ht="15" customHeight="1">
      <c r="B261" s="118"/>
      <c r="C261" s="84" t="s">
        <v>243</v>
      </c>
      <c r="D261" s="85">
        <v>4</v>
      </c>
      <c r="E261" s="86">
        <v>0</v>
      </c>
    </row>
    <row r="262" spans="2:5" ht="15" customHeight="1">
      <c r="B262" s="118"/>
      <c r="C262" s="84" t="s">
        <v>244</v>
      </c>
      <c r="D262" s="85">
        <v>4</v>
      </c>
      <c r="E262" s="86">
        <v>0</v>
      </c>
    </row>
    <row r="263" spans="2:5" ht="15" customHeight="1">
      <c r="B263" s="118"/>
      <c r="C263" s="84" t="s">
        <v>173</v>
      </c>
      <c r="D263" s="85">
        <v>22</v>
      </c>
      <c r="E263" s="86">
        <v>3.0000000000000001E-3</v>
      </c>
    </row>
    <row r="264" spans="2:5" ht="15" customHeight="1">
      <c r="B264" s="118"/>
      <c r="C264" s="84" t="s">
        <v>175</v>
      </c>
      <c r="D264" s="85">
        <v>4</v>
      </c>
      <c r="E264" s="86">
        <v>0</v>
      </c>
    </row>
    <row r="265" spans="2:5" ht="15" customHeight="1">
      <c r="B265" s="118"/>
      <c r="C265" s="84" t="s">
        <v>176</v>
      </c>
      <c r="D265" s="85">
        <v>14</v>
      </c>
      <c r="E265" s="86">
        <v>2E-3</v>
      </c>
    </row>
    <row r="266" spans="2:5" ht="15" customHeight="1">
      <c r="B266" s="118"/>
      <c r="C266" s="84" t="s">
        <v>182</v>
      </c>
      <c r="D266" s="85">
        <v>4</v>
      </c>
      <c r="E266" s="86">
        <v>0</v>
      </c>
    </row>
    <row r="267" spans="2:5" ht="15" customHeight="1">
      <c r="B267" s="119"/>
      <c r="C267" s="87" t="s">
        <v>265</v>
      </c>
      <c r="D267" s="88">
        <v>62</v>
      </c>
      <c r="E267" s="89">
        <v>7.0000000000000001E-3</v>
      </c>
    </row>
    <row r="268" spans="2:5" ht="15" customHeight="1">
      <c r="B268" s="117" t="s">
        <v>46</v>
      </c>
      <c r="C268" s="84" t="s">
        <v>162</v>
      </c>
      <c r="D268" s="85">
        <v>33</v>
      </c>
      <c r="E268" s="86">
        <v>4.0000000000000001E-3</v>
      </c>
    </row>
    <row r="269" spans="2:5" ht="15" customHeight="1">
      <c r="B269" s="118"/>
      <c r="C269" s="84" t="s">
        <v>236</v>
      </c>
      <c r="D269" s="85">
        <v>8</v>
      </c>
      <c r="E269" s="86">
        <v>1E-3</v>
      </c>
    </row>
    <row r="270" spans="2:5" ht="15" customHeight="1">
      <c r="B270" s="118"/>
      <c r="C270" s="84" t="s">
        <v>237</v>
      </c>
      <c r="D270" s="85">
        <v>9</v>
      </c>
      <c r="E270" s="86">
        <v>1E-3</v>
      </c>
    </row>
    <row r="271" spans="2:5" ht="15" customHeight="1">
      <c r="B271" s="118"/>
      <c r="C271" s="84" t="s">
        <v>238</v>
      </c>
      <c r="D271" s="85">
        <v>36</v>
      </c>
      <c r="E271" s="86">
        <v>4.0000000000000001E-3</v>
      </c>
    </row>
    <row r="272" spans="2:5" ht="15" customHeight="1">
      <c r="B272" s="118"/>
      <c r="C272" s="84" t="s">
        <v>239</v>
      </c>
      <c r="D272" s="85">
        <v>17</v>
      </c>
      <c r="E272" s="86">
        <v>2E-3</v>
      </c>
    </row>
    <row r="273" spans="2:5" ht="15" customHeight="1">
      <c r="B273" s="118"/>
      <c r="C273" s="84" t="s">
        <v>240</v>
      </c>
      <c r="D273" s="85">
        <v>22</v>
      </c>
      <c r="E273" s="86">
        <v>3.0000000000000001E-3</v>
      </c>
    </row>
    <row r="274" spans="2:5" ht="15" customHeight="1">
      <c r="B274" s="118"/>
      <c r="C274" s="84" t="s">
        <v>241</v>
      </c>
      <c r="D274" s="85">
        <v>135</v>
      </c>
      <c r="E274" s="86">
        <v>1.6E-2</v>
      </c>
    </row>
    <row r="275" spans="2:5" ht="15" customHeight="1">
      <c r="B275" s="118"/>
      <c r="C275" s="84" t="s">
        <v>169</v>
      </c>
      <c r="D275" s="85">
        <v>210</v>
      </c>
      <c r="E275" s="86">
        <v>2.5000000000000001E-2</v>
      </c>
    </row>
    <row r="276" spans="2:5" ht="15" customHeight="1">
      <c r="B276" s="118"/>
      <c r="C276" s="84" t="s">
        <v>242</v>
      </c>
      <c r="D276" s="85">
        <v>17</v>
      </c>
      <c r="E276" s="86">
        <v>2E-3</v>
      </c>
    </row>
    <row r="277" spans="2:5" ht="15" customHeight="1">
      <c r="B277" s="118"/>
      <c r="C277" s="84" t="s">
        <v>243</v>
      </c>
      <c r="D277" s="85">
        <v>33</v>
      </c>
      <c r="E277" s="86">
        <v>4.0000000000000001E-3</v>
      </c>
    </row>
    <row r="278" spans="2:5" ht="15" customHeight="1">
      <c r="B278" s="118"/>
      <c r="C278" s="84" t="s">
        <v>244</v>
      </c>
      <c r="D278" s="85">
        <v>74</v>
      </c>
      <c r="E278" s="86">
        <v>8.9999999999999993E-3</v>
      </c>
    </row>
    <row r="279" spans="2:5" ht="15" customHeight="1">
      <c r="B279" s="118"/>
      <c r="C279" s="84" t="s">
        <v>173</v>
      </c>
      <c r="D279" s="85">
        <v>597</v>
      </c>
      <c r="E279" s="86">
        <v>7.0999999999999994E-2</v>
      </c>
    </row>
    <row r="280" spans="2:5" ht="15" customHeight="1">
      <c r="B280" s="118"/>
      <c r="C280" s="84" t="s">
        <v>174</v>
      </c>
      <c r="D280" s="85">
        <v>29</v>
      </c>
      <c r="E280" s="86">
        <v>3.0000000000000001E-3</v>
      </c>
    </row>
    <row r="281" spans="2:5" ht="15" customHeight="1">
      <c r="B281" s="118"/>
      <c r="C281" s="84" t="s">
        <v>175</v>
      </c>
      <c r="D281" s="85">
        <v>106</v>
      </c>
      <c r="E281" s="86">
        <v>1.2999999999999999E-2</v>
      </c>
    </row>
    <row r="282" spans="2:5" ht="15" customHeight="1">
      <c r="B282" s="118"/>
      <c r="C282" s="84" t="s">
        <v>176</v>
      </c>
      <c r="D282" s="85">
        <v>419</v>
      </c>
      <c r="E282" s="86">
        <v>0.05</v>
      </c>
    </row>
    <row r="283" spans="2:5" ht="15" customHeight="1">
      <c r="B283" s="118"/>
      <c r="C283" s="84" t="s">
        <v>245</v>
      </c>
      <c r="D283" s="85">
        <v>8</v>
      </c>
      <c r="E283" s="86">
        <v>1E-3</v>
      </c>
    </row>
    <row r="284" spans="2:5" ht="15" customHeight="1">
      <c r="B284" s="118"/>
      <c r="C284" s="84" t="s">
        <v>246</v>
      </c>
      <c r="D284" s="85">
        <v>9</v>
      </c>
      <c r="E284" s="86">
        <v>1E-3</v>
      </c>
    </row>
    <row r="285" spans="2:5" ht="15" customHeight="1">
      <c r="B285" s="118"/>
      <c r="C285" s="84" t="s">
        <v>247</v>
      </c>
      <c r="D285" s="85">
        <v>1</v>
      </c>
      <c r="E285" s="86">
        <v>0</v>
      </c>
    </row>
    <row r="286" spans="2:5" ht="15" customHeight="1">
      <c r="B286" s="118"/>
      <c r="C286" s="84" t="s">
        <v>248</v>
      </c>
      <c r="D286" s="85">
        <v>1</v>
      </c>
      <c r="E286" s="86">
        <v>0</v>
      </c>
    </row>
    <row r="287" spans="2:5" ht="15" customHeight="1">
      <c r="B287" s="118"/>
      <c r="C287" s="84" t="s">
        <v>181</v>
      </c>
      <c r="D287" s="85">
        <v>27</v>
      </c>
      <c r="E287" s="86">
        <v>3.0000000000000001E-3</v>
      </c>
    </row>
    <row r="288" spans="2:5" ht="15" customHeight="1">
      <c r="B288" s="118"/>
      <c r="C288" s="84" t="s">
        <v>182</v>
      </c>
      <c r="D288" s="85">
        <v>72</v>
      </c>
      <c r="E288" s="86">
        <v>8.9999999999999993E-3</v>
      </c>
    </row>
    <row r="289" spans="2:5" ht="15" customHeight="1">
      <c r="B289" s="118"/>
      <c r="C289" s="84" t="s">
        <v>183</v>
      </c>
      <c r="D289" s="85">
        <v>2</v>
      </c>
      <c r="E289" s="86">
        <v>0</v>
      </c>
    </row>
    <row r="290" spans="2:5" ht="15" customHeight="1">
      <c r="B290" s="118"/>
      <c r="C290" s="84" t="s">
        <v>250</v>
      </c>
      <c r="D290" s="85">
        <v>1</v>
      </c>
      <c r="E290" s="86">
        <v>0</v>
      </c>
    </row>
    <row r="291" spans="2:5" ht="15" customHeight="1">
      <c r="B291" s="119"/>
      <c r="C291" s="87" t="s">
        <v>265</v>
      </c>
      <c r="D291" s="88">
        <v>1866</v>
      </c>
      <c r="E291" s="89">
        <v>0.223</v>
      </c>
    </row>
    <row r="292" spans="2:5" ht="15" customHeight="1">
      <c r="B292" s="117" t="s">
        <v>81</v>
      </c>
      <c r="C292" s="84" t="s">
        <v>241</v>
      </c>
      <c r="D292" s="85">
        <v>3</v>
      </c>
      <c r="E292" s="86">
        <v>0</v>
      </c>
    </row>
    <row r="293" spans="2:5" ht="15" customHeight="1">
      <c r="B293" s="118"/>
      <c r="C293" s="84" t="s">
        <v>169</v>
      </c>
      <c r="D293" s="85">
        <v>2</v>
      </c>
      <c r="E293" s="86">
        <v>0</v>
      </c>
    </row>
    <row r="294" spans="2:5" ht="15" customHeight="1">
      <c r="B294" s="118"/>
      <c r="C294" s="84" t="s">
        <v>243</v>
      </c>
      <c r="D294" s="85">
        <v>1</v>
      </c>
      <c r="E294" s="86">
        <v>0</v>
      </c>
    </row>
    <row r="295" spans="2:5" ht="15" customHeight="1">
      <c r="B295" s="118"/>
      <c r="C295" s="84" t="s">
        <v>244</v>
      </c>
      <c r="D295" s="85">
        <v>1</v>
      </c>
      <c r="E295" s="86">
        <v>0</v>
      </c>
    </row>
    <row r="296" spans="2:5" ht="15" customHeight="1">
      <c r="B296" s="118"/>
      <c r="C296" s="84" t="s">
        <v>173</v>
      </c>
      <c r="D296" s="85">
        <v>3</v>
      </c>
      <c r="E296" s="86">
        <v>0</v>
      </c>
    </row>
    <row r="297" spans="2:5" ht="15" customHeight="1">
      <c r="B297" s="118"/>
      <c r="C297" s="84" t="s">
        <v>174</v>
      </c>
      <c r="D297" s="85">
        <v>2</v>
      </c>
      <c r="E297" s="86">
        <v>0</v>
      </c>
    </row>
    <row r="298" spans="2:5" ht="15" customHeight="1">
      <c r="B298" s="118"/>
      <c r="C298" s="84" t="s">
        <v>175</v>
      </c>
      <c r="D298" s="85">
        <v>3</v>
      </c>
      <c r="E298" s="86">
        <v>0</v>
      </c>
    </row>
    <row r="299" spans="2:5" ht="15" customHeight="1">
      <c r="B299" s="118"/>
      <c r="C299" s="84" t="s">
        <v>176</v>
      </c>
      <c r="D299" s="85">
        <v>5</v>
      </c>
      <c r="E299" s="86">
        <v>1E-3</v>
      </c>
    </row>
    <row r="300" spans="2:5" ht="15" customHeight="1">
      <c r="B300" s="118"/>
      <c r="C300" s="84" t="s">
        <v>247</v>
      </c>
      <c r="D300" s="85">
        <v>1</v>
      </c>
      <c r="E300" s="86">
        <v>0</v>
      </c>
    </row>
    <row r="301" spans="2:5" ht="15" customHeight="1">
      <c r="B301" s="118"/>
      <c r="C301" s="84" t="s">
        <v>181</v>
      </c>
      <c r="D301" s="85">
        <v>1</v>
      </c>
      <c r="E301" s="86">
        <v>0</v>
      </c>
    </row>
    <row r="302" spans="2:5" ht="15" customHeight="1">
      <c r="B302" s="118"/>
      <c r="C302" s="84" t="s">
        <v>182</v>
      </c>
      <c r="D302" s="85">
        <v>1</v>
      </c>
      <c r="E302" s="86">
        <v>0</v>
      </c>
    </row>
    <row r="303" spans="2:5" ht="15" customHeight="1">
      <c r="B303" s="119"/>
      <c r="C303" s="87" t="s">
        <v>265</v>
      </c>
      <c r="D303" s="88">
        <v>23</v>
      </c>
      <c r="E303" s="89">
        <v>3.0000000000000001E-3</v>
      </c>
    </row>
    <row r="304" spans="2:5" ht="15" customHeight="1">
      <c r="B304" s="117" t="s">
        <v>82</v>
      </c>
      <c r="C304" s="84" t="s">
        <v>162</v>
      </c>
      <c r="D304" s="85">
        <v>1</v>
      </c>
      <c r="E304" s="86">
        <v>0</v>
      </c>
    </row>
    <row r="305" spans="2:5" ht="15" customHeight="1">
      <c r="B305" s="118"/>
      <c r="C305" s="84" t="s">
        <v>240</v>
      </c>
      <c r="D305" s="85">
        <v>2</v>
      </c>
      <c r="E305" s="86">
        <v>0</v>
      </c>
    </row>
    <row r="306" spans="2:5" ht="15" customHeight="1">
      <c r="B306" s="118"/>
      <c r="C306" s="84" t="s">
        <v>169</v>
      </c>
      <c r="D306" s="85">
        <v>4</v>
      </c>
      <c r="E306" s="86">
        <v>0</v>
      </c>
    </row>
    <row r="307" spans="2:5" ht="15" customHeight="1">
      <c r="B307" s="118"/>
      <c r="C307" s="84" t="s">
        <v>173</v>
      </c>
      <c r="D307" s="85">
        <v>9</v>
      </c>
      <c r="E307" s="86">
        <v>1E-3</v>
      </c>
    </row>
    <row r="308" spans="2:5" ht="15" customHeight="1">
      <c r="B308" s="118"/>
      <c r="C308" s="84" t="s">
        <v>175</v>
      </c>
      <c r="D308" s="85">
        <v>2</v>
      </c>
      <c r="E308" s="86">
        <v>0</v>
      </c>
    </row>
    <row r="309" spans="2:5" ht="15" customHeight="1">
      <c r="B309" s="118"/>
      <c r="C309" s="84" t="s">
        <v>176</v>
      </c>
      <c r="D309" s="85">
        <v>8</v>
      </c>
      <c r="E309" s="86">
        <v>1E-3</v>
      </c>
    </row>
    <row r="310" spans="2:5" ht="15" customHeight="1">
      <c r="B310" s="118"/>
      <c r="C310" s="84" t="s">
        <v>182</v>
      </c>
      <c r="D310" s="85">
        <v>1</v>
      </c>
      <c r="E310" s="86">
        <v>0</v>
      </c>
    </row>
    <row r="311" spans="2:5" ht="15" customHeight="1">
      <c r="B311" s="119"/>
      <c r="C311" s="87" t="s">
        <v>265</v>
      </c>
      <c r="D311" s="88">
        <v>27</v>
      </c>
      <c r="E311" s="89">
        <v>3.0000000000000001E-3</v>
      </c>
    </row>
    <row r="312" spans="2:5" ht="15" customHeight="1">
      <c r="B312" s="117" t="s">
        <v>77</v>
      </c>
      <c r="C312" s="84" t="s">
        <v>237</v>
      </c>
      <c r="D312" s="85">
        <v>1</v>
      </c>
      <c r="E312" s="86">
        <v>0</v>
      </c>
    </row>
    <row r="313" spans="2:5" ht="15" customHeight="1">
      <c r="B313" s="118"/>
      <c r="C313" s="84" t="s">
        <v>169</v>
      </c>
      <c r="D313" s="85">
        <v>4</v>
      </c>
      <c r="E313" s="86">
        <v>0</v>
      </c>
    </row>
    <row r="314" spans="2:5" ht="15" customHeight="1">
      <c r="B314" s="118"/>
      <c r="C314" s="84" t="s">
        <v>244</v>
      </c>
      <c r="D314" s="85">
        <v>4</v>
      </c>
      <c r="E314" s="86">
        <v>0</v>
      </c>
    </row>
    <row r="315" spans="2:5" ht="15" customHeight="1">
      <c r="B315" s="118"/>
      <c r="C315" s="84" t="s">
        <v>173</v>
      </c>
      <c r="D315" s="85">
        <v>7</v>
      </c>
      <c r="E315" s="86">
        <v>1E-3</v>
      </c>
    </row>
    <row r="316" spans="2:5" ht="15" customHeight="1">
      <c r="B316" s="118"/>
      <c r="C316" s="84" t="s">
        <v>175</v>
      </c>
      <c r="D316" s="85">
        <v>1</v>
      </c>
      <c r="E316" s="86">
        <v>0</v>
      </c>
    </row>
    <row r="317" spans="2:5" ht="15" customHeight="1">
      <c r="B317" s="118"/>
      <c r="C317" s="84" t="s">
        <v>176</v>
      </c>
      <c r="D317" s="85">
        <v>8</v>
      </c>
      <c r="E317" s="86">
        <v>1E-3</v>
      </c>
    </row>
    <row r="318" spans="2:5" ht="15" customHeight="1">
      <c r="B318" s="118"/>
      <c r="C318" s="84" t="s">
        <v>181</v>
      </c>
      <c r="D318" s="85">
        <v>1</v>
      </c>
      <c r="E318" s="86">
        <v>0</v>
      </c>
    </row>
    <row r="319" spans="2:5" ht="15" customHeight="1">
      <c r="B319" s="118"/>
      <c r="C319" s="84" t="s">
        <v>182</v>
      </c>
      <c r="D319" s="85">
        <v>2</v>
      </c>
      <c r="E319" s="86">
        <v>0</v>
      </c>
    </row>
    <row r="320" spans="2:5" ht="15" customHeight="1">
      <c r="B320" s="118"/>
      <c r="C320" s="84" t="s">
        <v>183</v>
      </c>
      <c r="D320" s="85">
        <v>1</v>
      </c>
      <c r="E320" s="86">
        <v>0</v>
      </c>
    </row>
    <row r="321" spans="2:5" ht="15" customHeight="1">
      <c r="B321" s="119"/>
      <c r="C321" s="87" t="s">
        <v>265</v>
      </c>
      <c r="D321" s="88">
        <v>29</v>
      </c>
      <c r="E321" s="89">
        <v>3.0000000000000001E-3</v>
      </c>
    </row>
    <row r="322" spans="2:5" ht="15" customHeight="1">
      <c r="B322" s="117" t="s">
        <v>92</v>
      </c>
      <c r="C322" s="84" t="s">
        <v>169</v>
      </c>
      <c r="D322" s="85">
        <v>1</v>
      </c>
      <c r="E322" s="86">
        <v>0</v>
      </c>
    </row>
    <row r="323" spans="2:5" ht="15" customHeight="1">
      <c r="B323" s="118"/>
      <c r="C323" s="84" t="s">
        <v>244</v>
      </c>
      <c r="D323" s="85">
        <v>2</v>
      </c>
      <c r="E323" s="86">
        <v>0</v>
      </c>
    </row>
    <row r="324" spans="2:5" ht="15" customHeight="1">
      <c r="B324" s="118"/>
      <c r="C324" s="84" t="s">
        <v>173</v>
      </c>
      <c r="D324" s="85">
        <v>3</v>
      </c>
      <c r="E324" s="86">
        <v>0</v>
      </c>
    </row>
    <row r="325" spans="2:5" ht="15" customHeight="1">
      <c r="B325" s="118"/>
      <c r="C325" s="84" t="s">
        <v>174</v>
      </c>
      <c r="D325" s="85">
        <v>1</v>
      </c>
      <c r="E325" s="86">
        <v>0</v>
      </c>
    </row>
    <row r="326" spans="2:5" ht="15" customHeight="1">
      <c r="B326" s="118"/>
      <c r="C326" s="84" t="s">
        <v>176</v>
      </c>
      <c r="D326" s="85">
        <v>3</v>
      </c>
      <c r="E326" s="86">
        <v>0</v>
      </c>
    </row>
    <row r="327" spans="2:5" ht="15" customHeight="1">
      <c r="B327" s="118"/>
      <c r="C327" s="84" t="s">
        <v>183</v>
      </c>
      <c r="D327" s="85">
        <v>1</v>
      </c>
      <c r="E327" s="86">
        <v>0</v>
      </c>
    </row>
    <row r="328" spans="2:5" ht="15" customHeight="1">
      <c r="B328" s="119"/>
      <c r="C328" s="87" t="s">
        <v>265</v>
      </c>
      <c r="D328" s="88">
        <v>11</v>
      </c>
      <c r="E328" s="89">
        <v>1E-3</v>
      </c>
    </row>
    <row r="329" spans="2:5" ht="15" customHeight="1">
      <c r="B329" s="117" t="s">
        <v>93</v>
      </c>
      <c r="C329" s="84" t="s">
        <v>183</v>
      </c>
      <c r="D329" s="85">
        <v>1</v>
      </c>
      <c r="E329" s="86">
        <v>0</v>
      </c>
    </row>
    <row r="330" spans="2:5" ht="15" customHeight="1">
      <c r="B330" s="118"/>
      <c r="C330" s="87" t="s">
        <v>265</v>
      </c>
      <c r="D330" s="88">
        <v>1</v>
      </c>
      <c r="E330" s="89">
        <v>0</v>
      </c>
    </row>
    <row r="331" spans="2:5" ht="15" customHeight="1">
      <c r="B331" s="119"/>
      <c r="C331" s="84" t="s">
        <v>241</v>
      </c>
      <c r="D331" s="85">
        <v>1</v>
      </c>
      <c r="E331" s="86">
        <v>0</v>
      </c>
    </row>
    <row r="332" spans="2:5" ht="15" customHeight="1">
      <c r="B332" s="120" t="s">
        <v>264</v>
      </c>
      <c r="C332" s="84" t="s">
        <v>169</v>
      </c>
      <c r="D332" s="85">
        <v>3</v>
      </c>
      <c r="E332" s="86">
        <v>0</v>
      </c>
    </row>
    <row r="333" spans="2:5" ht="15" customHeight="1">
      <c r="B333" s="121"/>
      <c r="C333" s="84" t="s">
        <v>243</v>
      </c>
      <c r="D333" s="85">
        <v>1</v>
      </c>
      <c r="E333" s="86">
        <v>0</v>
      </c>
    </row>
    <row r="334" spans="2:5" ht="15" customHeight="1">
      <c r="B334" s="121"/>
      <c r="C334" s="84" t="s">
        <v>173</v>
      </c>
      <c r="D334" s="85">
        <v>16</v>
      </c>
      <c r="E334" s="86">
        <v>2E-3</v>
      </c>
    </row>
    <row r="335" spans="2:5" ht="15" customHeight="1">
      <c r="B335" s="121"/>
      <c r="C335" s="84" t="s">
        <v>175</v>
      </c>
      <c r="D335" s="85">
        <v>1</v>
      </c>
      <c r="E335" s="86">
        <v>0</v>
      </c>
    </row>
    <row r="336" spans="2:5" ht="15" customHeight="1">
      <c r="B336" s="121"/>
      <c r="C336" s="84" t="s">
        <v>176</v>
      </c>
      <c r="D336" s="85">
        <v>4</v>
      </c>
      <c r="E336" s="86">
        <v>0</v>
      </c>
    </row>
    <row r="337" spans="2:5" ht="15" customHeight="1">
      <c r="B337" s="121"/>
      <c r="C337" s="84" t="s">
        <v>182</v>
      </c>
      <c r="D337" s="85">
        <v>1</v>
      </c>
      <c r="E337" s="86">
        <v>0</v>
      </c>
    </row>
    <row r="338" spans="2:5" ht="15" customHeight="1">
      <c r="B338" s="122"/>
      <c r="C338" s="87" t="s">
        <v>265</v>
      </c>
      <c r="D338" s="88">
        <v>27</v>
      </c>
      <c r="E338" s="89">
        <v>3.0000000000000001E-3</v>
      </c>
    </row>
    <row r="339" spans="2:5" ht="15" customHeight="1">
      <c r="B339" s="117" t="s">
        <v>84</v>
      </c>
      <c r="C339" s="84" t="s">
        <v>241</v>
      </c>
      <c r="D339" s="85">
        <v>1</v>
      </c>
      <c r="E339" s="86">
        <v>0</v>
      </c>
    </row>
    <row r="340" spans="2:5" ht="15" customHeight="1">
      <c r="B340" s="118"/>
      <c r="C340" s="84" t="s">
        <v>173</v>
      </c>
      <c r="D340" s="85">
        <v>3</v>
      </c>
      <c r="E340" s="86">
        <v>0</v>
      </c>
    </row>
    <row r="341" spans="2:5" ht="15" customHeight="1">
      <c r="B341" s="118"/>
      <c r="C341" s="84" t="s">
        <v>176</v>
      </c>
      <c r="D341" s="85">
        <v>5</v>
      </c>
      <c r="E341" s="86">
        <v>1E-3</v>
      </c>
    </row>
    <row r="342" spans="2:5" ht="15" customHeight="1">
      <c r="B342" s="119"/>
      <c r="C342" s="87" t="s">
        <v>265</v>
      </c>
      <c r="D342" s="88">
        <v>9</v>
      </c>
      <c r="E342" s="89">
        <v>1E-3</v>
      </c>
    </row>
    <row r="343" spans="2:5" ht="15" customHeight="1">
      <c r="B343" s="117" t="s">
        <v>72</v>
      </c>
      <c r="C343" s="84" t="s">
        <v>162</v>
      </c>
      <c r="D343" s="85">
        <v>1</v>
      </c>
      <c r="E343" s="86">
        <v>0</v>
      </c>
    </row>
    <row r="344" spans="2:5" ht="15" customHeight="1">
      <c r="B344" s="118"/>
      <c r="C344" s="84" t="s">
        <v>237</v>
      </c>
      <c r="D344" s="85">
        <v>1</v>
      </c>
      <c r="E344" s="86">
        <v>0</v>
      </c>
    </row>
    <row r="345" spans="2:5" ht="15" customHeight="1">
      <c r="B345" s="118"/>
      <c r="C345" s="84" t="s">
        <v>238</v>
      </c>
      <c r="D345" s="85">
        <v>1</v>
      </c>
      <c r="E345" s="86">
        <v>0</v>
      </c>
    </row>
    <row r="346" spans="2:5" ht="15" customHeight="1">
      <c r="B346" s="118"/>
      <c r="C346" s="84" t="s">
        <v>239</v>
      </c>
      <c r="D346" s="85">
        <v>1</v>
      </c>
      <c r="E346" s="86">
        <v>0</v>
      </c>
    </row>
    <row r="347" spans="2:5" ht="15" customHeight="1">
      <c r="B347" s="118"/>
      <c r="C347" s="84" t="s">
        <v>240</v>
      </c>
      <c r="D347" s="85">
        <v>2</v>
      </c>
      <c r="E347" s="86">
        <v>0</v>
      </c>
    </row>
    <row r="348" spans="2:5" ht="15" customHeight="1">
      <c r="B348" s="118"/>
      <c r="C348" s="84" t="s">
        <v>241</v>
      </c>
      <c r="D348" s="85">
        <v>5</v>
      </c>
      <c r="E348" s="86">
        <v>1E-3</v>
      </c>
    </row>
    <row r="349" spans="2:5" ht="15" customHeight="1">
      <c r="B349" s="118"/>
      <c r="C349" s="84" t="s">
        <v>169</v>
      </c>
      <c r="D349" s="85">
        <v>10</v>
      </c>
      <c r="E349" s="86">
        <v>1E-3</v>
      </c>
    </row>
    <row r="350" spans="2:5" ht="15" customHeight="1">
      <c r="B350" s="118"/>
      <c r="C350" s="84" t="s">
        <v>242</v>
      </c>
      <c r="D350" s="85">
        <v>1</v>
      </c>
      <c r="E350" s="86">
        <v>0</v>
      </c>
    </row>
    <row r="351" spans="2:5" ht="15" customHeight="1">
      <c r="B351" s="118"/>
      <c r="C351" s="84" t="s">
        <v>243</v>
      </c>
      <c r="D351" s="85">
        <v>2</v>
      </c>
      <c r="E351" s="86">
        <v>0</v>
      </c>
    </row>
    <row r="352" spans="2:5" ht="15" customHeight="1">
      <c r="B352" s="118"/>
      <c r="C352" s="84" t="s">
        <v>244</v>
      </c>
      <c r="D352" s="85">
        <v>1</v>
      </c>
      <c r="E352" s="86">
        <v>0</v>
      </c>
    </row>
    <row r="353" spans="2:5" ht="15" customHeight="1">
      <c r="B353" s="118"/>
      <c r="C353" s="84" t="s">
        <v>173</v>
      </c>
      <c r="D353" s="85">
        <v>21</v>
      </c>
      <c r="E353" s="86">
        <v>3.0000000000000001E-3</v>
      </c>
    </row>
    <row r="354" spans="2:5" ht="15" customHeight="1">
      <c r="B354" s="118"/>
      <c r="C354" s="84" t="s">
        <v>174</v>
      </c>
      <c r="D354" s="85">
        <v>5</v>
      </c>
      <c r="E354" s="86">
        <v>1E-3</v>
      </c>
    </row>
    <row r="355" spans="2:5" ht="15" customHeight="1">
      <c r="B355" s="118"/>
      <c r="C355" s="84" t="s">
        <v>175</v>
      </c>
      <c r="D355" s="85">
        <v>5</v>
      </c>
      <c r="E355" s="86">
        <v>1E-3</v>
      </c>
    </row>
    <row r="356" spans="2:5" ht="15" customHeight="1">
      <c r="B356" s="118"/>
      <c r="C356" s="84" t="s">
        <v>176</v>
      </c>
      <c r="D356" s="85">
        <v>18</v>
      </c>
      <c r="E356" s="86">
        <v>2E-3</v>
      </c>
    </row>
    <row r="357" spans="2:5" ht="15" customHeight="1">
      <c r="B357" s="118"/>
      <c r="C357" s="84" t="s">
        <v>246</v>
      </c>
      <c r="D357" s="85">
        <v>1</v>
      </c>
      <c r="E357" s="86">
        <v>0</v>
      </c>
    </row>
    <row r="358" spans="2:5" ht="15" customHeight="1">
      <c r="B358" s="118"/>
      <c r="C358" s="84" t="s">
        <v>181</v>
      </c>
      <c r="D358" s="85">
        <v>1</v>
      </c>
      <c r="E358" s="86">
        <v>0</v>
      </c>
    </row>
    <row r="359" spans="2:5" ht="15" customHeight="1">
      <c r="B359" s="118"/>
      <c r="C359" s="84" t="s">
        <v>182</v>
      </c>
      <c r="D359" s="85">
        <v>4</v>
      </c>
      <c r="E359" s="86">
        <v>0</v>
      </c>
    </row>
    <row r="360" spans="2:5" ht="15" customHeight="1">
      <c r="B360" s="119"/>
      <c r="C360" s="87" t="s">
        <v>265</v>
      </c>
      <c r="D360" s="88">
        <v>80</v>
      </c>
      <c r="E360" s="89">
        <v>0.01</v>
      </c>
    </row>
    <row r="361" spans="2:5" ht="15" customHeight="1">
      <c r="B361" s="117" t="s">
        <v>73</v>
      </c>
      <c r="C361" s="84" t="s">
        <v>162</v>
      </c>
      <c r="D361" s="85">
        <v>1</v>
      </c>
      <c r="E361" s="86">
        <v>0</v>
      </c>
    </row>
    <row r="362" spans="2:5" ht="15" customHeight="1">
      <c r="B362" s="118"/>
      <c r="C362" s="84" t="s">
        <v>238</v>
      </c>
      <c r="D362" s="85">
        <v>1</v>
      </c>
      <c r="E362" s="86">
        <v>0</v>
      </c>
    </row>
    <row r="363" spans="2:5" ht="15" customHeight="1">
      <c r="B363" s="118"/>
      <c r="C363" s="84" t="s">
        <v>240</v>
      </c>
      <c r="D363" s="85">
        <v>1</v>
      </c>
      <c r="E363" s="86">
        <v>0</v>
      </c>
    </row>
    <row r="364" spans="2:5" ht="15" customHeight="1">
      <c r="B364" s="118"/>
      <c r="C364" s="84" t="s">
        <v>241</v>
      </c>
      <c r="D364" s="85">
        <v>4</v>
      </c>
      <c r="E364" s="86">
        <v>0</v>
      </c>
    </row>
    <row r="365" spans="2:5" ht="15" customHeight="1">
      <c r="B365" s="118"/>
      <c r="C365" s="84" t="s">
        <v>169</v>
      </c>
      <c r="D365" s="85">
        <v>1</v>
      </c>
      <c r="E365" s="86">
        <v>0</v>
      </c>
    </row>
    <row r="366" spans="2:5" ht="15" customHeight="1">
      <c r="B366" s="118"/>
      <c r="C366" s="84" t="s">
        <v>242</v>
      </c>
      <c r="D366" s="85">
        <v>3</v>
      </c>
      <c r="E366" s="86">
        <v>0</v>
      </c>
    </row>
    <row r="367" spans="2:5" ht="15" customHeight="1">
      <c r="B367" s="118"/>
      <c r="C367" s="84" t="s">
        <v>243</v>
      </c>
      <c r="D367" s="85">
        <v>2</v>
      </c>
      <c r="E367" s="86">
        <v>0</v>
      </c>
    </row>
    <row r="368" spans="2:5" ht="15" customHeight="1">
      <c r="B368" s="118"/>
      <c r="C368" s="84" t="s">
        <v>244</v>
      </c>
      <c r="D368" s="85">
        <v>1</v>
      </c>
      <c r="E368" s="86">
        <v>0</v>
      </c>
    </row>
    <row r="369" spans="2:5" ht="15" customHeight="1">
      <c r="B369" s="118"/>
      <c r="C369" s="84" t="s">
        <v>173</v>
      </c>
      <c r="D369" s="85">
        <v>22</v>
      </c>
      <c r="E369" s="86">
        <v>3.0000000000000001E-3</v>
      </c>
    </row>
    <row r="370" spans="2:5" ht="15" customHeight="1">
      <c r="B370" s="118"/>
      <c r="C370" s="84" t="s">
        <v>174</v>
      </c>
      <c r="D370" s="85">
        <v>2</v>
      </c>
      <c r="E370" s="86">
        <v>0</v>
      </c>
    </row>
    <row r="371" spans="2:5" ht="15" customHeight="1">
      <c r="B371" s="118"/>
      <c r="C371" s="84" t="s">
        <v>175</v>
      </c>
      <c r="D371" s="85">
        <v>1</v>
      </c>
      <c r="E371" s="86">
        <v>0</v>
      </c>
    </row>
    <row r="372" spans="2:5" ht="15" customHeight="1">
      <c r="B372" s="118"/>
      <c r="C372" s="84" t="s">
        <v>176</v>
      </c>
      <c r="D372" s="85">
        <v>19</v>
      </c>
      <c r="E372" s="86">
        <v>2E-3</v>
      </c>
    </row>
    <row r="373" spans="2:5" ht="15" customHeight="1">
      <c r="B373" s="118"/>
      <c r="C373" s="84" t="s">
        <v>247</v>
      </c>
      <c r="D373" s="85">
        <v>1</v>
      </c>
      <c r="E373" s="86">
        <v>0</v>
      </c>
    </row>
    <row r="374" spans="2:5" ht="15" customHeight="1">
      <c r="B374" s="118"/>
      <c r="C374" s="84" t="s">
        <v>181</v>
      </c>
      <c r="D374" s="85">
        <v>1</v>
      </c>
      <c r="E374" s="86">
        <v>0</v>
      </c>
    </row>
    <row r="375" spans="2:5" ht="15" customHeight="1">
      <c r="B375" s="118"/>
      <c r="C375" s="84" t="s">
        <v>182</v>
      </c>
      <c r="D375" s="85">
        <v>4</v>
      </c>
      <c r="E375" s="86">
        <v>0</v>
      </c>
    </row>
    <row r="376" spans="2:5" ht="15" customHeight="1">
      <c r="B376" s="119"/>
      <c r="C376" s="87" t="s">
        <v>265</v>
      </c>
      <c r="D376" s="88">
        <v>64</v>
      </c>
      <c r="E376" s="89">
        <v>8.0000000000000002E-3</v>
      </c>
    </row>
    <row r="377" spans="2:5" ht="15" customHeight="1">
      <c r="B377" s="117" t="s">
        <v>66</v>
      </c>
      <c r="C377" s="84" t="s">
        <v>237</v>
      </c>
      <c r="D377" s="85">
        <v>3</v>
      </c>
      <c r="E377" s="86">
        <v>0</v>
      </c>
    </row>
    <row r="378" spans="2:5" ht="15" customHeight="1">
      <c r="B378" s="118"/>
      <c r="C378" s="84" t="s">
        <v>238</v>
      </c>
      <c r="D378" s="85">
        <v>2</v>
      </c>
      <c r="E378" s="86">
        <v>0</v>
      </c>
    </row>
    <row r="379" spans="2:5" ht="15" customHeight="1">
      <c r="B379" s="118"/>
      <c r="C379" s="84" t="s">
        <v>241</v>
      </c>
      <c r="D379" s="85">
        <v>2</v>
      </c>
      <c r="E379" s="86">
        <v>0</v>
      </c>
    </row>
    <row r="380" spans="2:5" ht="15" customHeight="1">
      <c r="B380" s="118"/>
      <c r="C380" s="84" t="s">
        <v>169</v>
      </c>
      <c r="D380" s="85">
        <v>8</v>
      </c>
      <c r="E380" s="86">
        <v>1E-3</v>
      </c>
    </row>
    <row r="381" spans="2:5" ht="15" customHeight="1">
      <c r="B381" s="118"/>
      <c r="C381" s="84" t="s">
        <v>242</v>
      </c>
      <c r="D381" s="85">
        <v>1</v>
      </c>
      <c r="E381" s="86">
        <v>0</v>
      </c>
    </row>
    <row r="382" spans="2:5" ht="15" customHeight="1">
      <c r="B382" s="118"/>
      <c r="C382" s="84" t="s">
        <v>243</v>
      </c>
      <c r="D382" s="85">
        <v>1</v>
      </c>
      <c r="E382" s="86">
        <v>0</v>
      </c>
    </row>
    <row r="383" spans="2:5" ht="15" customHeight="1">
      <c r="B383" s="118"/>
      <c r="C383" s="84" t="s">
        <v>244</v>
      </c>
      <c r="D383" s="85">
        <v>2</v>
      </c>
      <c r="E383" s="86">
        <v>0</v>
      </c>
    </row>
    <row r="384" spans="2:5" ht="15" customHeight="1">
      <c r="B384" s="118"/>
      <c r="C384" s="84" t="s">
        <v>173</v>
      </c>
      <c r="D384" s="85">
        <v>20</v>
      </c>
      <c r="E384" s="86">
        <v>2E-3</v>
      </c>
    </row>
    <row r="385" spans="2:5" ht="15" customHeight="1">
      <c r="B385" s="118"/>
      <c r="C385" s="84" t="s">
        <v>175</v>
      </c>
      <c r="D385" s="85">
        <v>4</v>
      </c>
      <c r="E385" s="86">
        <v>0</v>
      </c>
    </row>
    <row r="386" spans="2:5" ht="15" customHeight="1">
      <c r="B386" s="118"/>
      <c r="C386" s="84" t="s">
        <v>176</v>
      </c>
      <c r="D386" s="85">
        <v>11</v>
      </c>
      <c r="E386" s="86">
        <v>1E-3</v>
      </c>
    </row>
    <row r="387" spans="2:5" ht="15" customHeight="1">
      <c r="B387" s="118"/>
      <c r="C387" s="84" t="s">
        <v>246</v>
      </c>
      <c r="D387" s="85">
        <v>1</v>
      </c>
      <c r="E387" s="86">
        <v>0</v>
      </c>
    </row>
    <row r="388" spans="2:5" ht="15" customHeight="1">
      <c r="B388" s="118"/>
      <c r="C388" s="84" t="s">
        <v>181</v>
      </c>
      <c r="D388" s="85">
        <v>1</v>
      </c>
      <c r="E388" s="86">
        <v>0</v>
      </c>
    </row>
    <row r="389" spans="2:5" ht="15" customHeight="1">
      <c r="B389" s="119"/>
      <c r="C389" s="87" t="s">
        <v>265</v>
      </c>
      <c r="D389" s="88">
        <v>56</v>
      </c>
      <c r="E389" s="89">
        <v>7.0000000000000001E-3</v>
      </c>
    </row>
    <row r="390" spans="2:5" ht="15" customHeight="1">
      <c r="B390" s="117" t="s">
        <v>67</v>
      </c>
      <c r="C390" s="84" t="s">
        <v>162</v>
      </c>
      <c r="D390" s="85">
        <v>3</v>
      </c>
      <c r="E390" s="86">
        <v>0</v>
      </c>
    </row>
    <row r="391" spans="2:5" ht="15" customHeight="1">
      <c r="B391" s="118"/>
      <c r="C391" s="84" t="s">
        <v>236</v>
      </c>
      <c r="D391" s="85">
        <v>1</v>
      </c>
      <c r="E391" s="86">
        <v>0</v>
      </c>
    </row>
    <row r="392" spans="2:5" ht="15" customHeight="1">
      <c r="B392" s="118"/>
      <c r="C392" s="84" t="s">
        <v>237</v>
      </c>
      <c r="D392" s="85">
        <v>1</v>
      </c>
      <c r="E392" s="86">
        <v>0</v>
      </c>
    </row>
    <row r="393" spans="2:5" ht="15" customHeight="1">
      <c r="B393" s="118"/>
      <c r="C393" s="84" t="s">
        <v>238</v>
      </c>
      <c r="D393" s="85">
        <v>2</v>
      </c>
      <c r="E393" s="86">
        <v>0</v>
      </c>
    </row>
    <row r="394" spans="2:5" ht="15" customHeight="1">
      <c r="B394" s="118"/>
      <c r="C394" s="84" t="s">
        <v>239</v>
      </c>
      <c r="D394" s="85">
        <v>4</v>
      </c>
      <c r="E394" s="86">
        <v>0</v>
      </c>
    </row>
    <row r="395" spans="2:5" ht="15" customHeight="1">
      <c r="B395" s="118"/>
      <c r="C395" s="84" t="s">
        <v>240</v>
      </c>
      <c r="D395" s="85">
        <v>5</v>
      </c>
      <c r="E395" s="86">
        <v>1E-3</v>
      </c>
    </row>
    <row r="396" spans="2:5" ht="15" customHeight="1">
      <c r="B396" s="118"/>
      <c r="C396" s="84" t="s">
        <v>241</v>
      </c>
      <c r="D396" s="85">
        <v>8</v>
      </c>
      <c r="E396" s="86">
        <v>1E-3</v>
      </c>
    </row>
    <row r="397" spans="2:5" ht="15" customHeight="1">
      <c r="B397" s="118"/>
      <c r="C397" s="84" t="s">
        <v>169</v>
      </c>
      <c r="D397" s="85">
        <v>11</v>
      </c>
      <c r="E397" s="86">
        <v>1E-3</v>
      </c>
    </row>
    <row r="398" spans="2:5" ht="15" customHeight="1">
      <c r="B398" s="118"/>
      <c r="C398" s="84" t="s">
        <v>242</v>
      </c>
      <c r="D398" s="85">
        <v>3</v>
      </c>
      <c r="E398" s="86">
        <v>0</v>
      </c>
    </row>
    <row r="399" spans="2:5" ht="15" customHeight="1">
      <c r="B399" s="118"/>
      <c r="C399" s="84" t="s">
        <v>244</v>
      </c>
      <c r="D399" s="85">
        <v>3</v>
      </c>
      <c r="E399" s="86">
        <v>0</v>
      </c>
    </row>
    <row r="400" spans="2:5" ht="15" customHeight="1">
      <c r="B400" s="118"/>
      <c r="C400" s="84" t="s">
        <v>173</v>
      </c>
      <c r="D400" s="85">
        <v>34</v>
      </c>
      <c r="E400" s="86">
        <v>4.0000000000000001E-3</v>
      </c>
    </row>
    <row r="401" spans="2:5" ht="15" customHeight="1">
      <c r="B401" s="118"/>
      <c r="C401" s="84" t="s">
        <v>174</v>
      </c>
      <c r="D401" s="85">
        <v>3</v>
      </c>
      <c r="E401" s="86">
        <v>0</v>
      </c>
    </row>
    <row r="402" spans="2:5" ht="15" customHeight="1">
      <c r="B402" s="118"/>
      <c r="C402" s="84" t="s">
        <v>175</v>
      </c>
      <c r="D402" s="85">
        <v>3</v>
      </c>
      <c r="E402" s="86">
        <v>0</v>
      </c>
    </row>
    <row r="403" spans="2:5" ht="15" customHeight="1">
      <c r="B403" s="118"/>
      <c r="C403" s="84" t="s">
        <v>176</v>
      </c>
      <c r="D403" s="85">
        <v>20</v>
      </c>
      <c r="E403" s="86">
        <v>2E-3</v>
      </c>
    </row>
    <row r="404" spans="2:5" ht="15" customHeight="1">
      <c r="B404" s="118"/>
      <c r="C404" s="84" t="s">
        <v>245</v>
      </c>
      <c r="D404" s="85">
        <v>1</v>
      </c>
      <c r="E404" s="86">
        <v>0</v>
      </c>
    </row>
    <row r="405" spans="2:5" ht="15" customHeight="1">
      <c r="B405" s="118"/>
      <c r="C405" s="84" t="s">
        <v>246</v>
      </c>
      <c r="D405" s="85">
        <v>2</v>
      </c>
      <c r="E405" s="86">
        <v>0</v>
      </c>
    </row>
    <row r="406" spans="2:5" ht="15" customHeight="1">
      <c r="B406" s="118"/>
      <c r="C406" s="84" t="s">
        <v>248</v>
      </c>
      <c r="D406" s="85">
        <v>1</v>
      </c>
      <c r="E406" s="86">
        <v>0</v>
      </c>
    </row>
    <row r="407" spans="2:5" ht="15" customHeight="1">
      <c r="B407" s="118"/>
      <c r="C407" s="84" t="s">
        <v>182</v>
      </c>
      <c r="D407" s="85">
        <v>3</v>
      </c>
      <c r="E407" s="86">
        <v>0</v>
      </c>
    </row>
    <row r="408" spans="2:5" ht="15" customHeight="1">
      <c r="B408" s="119"/>
      <c r="C408" s="87" t="s">
        <v>265</v>
      </c>
      <c r="D408" s="88">
        <v>108</v>
      </c>
      <c r="E408" s="89">
        <v>1.2999999999999999E-2</v>
      </c>
    </row>
    <row r="409" spans="2:5" ht="15" customHeight="1">
      <c r="B409" s="117" t="s">
        <v>55</v>
      </c>
      <c r="C409" s="84" t="s">
        <v>162</v>
      </c>
      <c r="D409" s="85">
        <v>2</v>
      </c>
      <c r="E409" s="86">
        <v>0</v>
      </c>
    </row>
    <row r="410" spans="2:5" ht="15" customHeight="1">
      <c r="B410" s="118"/>
      <c r="C410" s="84" t="s">
        <v>236</v>
      </c>
      <c r="D410" s="85">
        <v>1</v>
      </c>
      <c r="E410" s="86">
        <v>0</v>
      </c>
    </row>
    <row r="411" spans="2:5" ht="15" customHeight="1">
      <c r="B411" s="118"/>
      <c r="C411" s="84" t="s">
        <v>238</v>
      </c>
      <c r="D411" s="85">
        <v>6</v>
      </c>
      <c r="E411" s="86">
        <v>1E-3</v>
      </c>
    </row>
    <row r="412" spans="2:5" ht="15" customHeight="1">
      <c r="B412" s="118"/>
      <c r="C412" s="84" t="s">
        <v>239</v>
      </c>
      <c r="D412" s="85">
        <v>3</v>
      </c>
      <c r="E412" s="86">
        <v>0</v>
      </c>
    </row>
    <row r="413" spans="2:5" ht="15" customHeight="1">
      <c r="B413" s="118"/>
      <c r="C413" s="84" t="s">
        <v>240</v>
      </c>
      <c r="D413" s="85">
        <v>2</v>
      </c>
      <c r="E413" s="86">
        <v>0</v>
      </c>
    </row>
    <row r="414" spans="2:5" ht="15" customHeight="1">
      <c r="B414" s="118"/>
      <c r="C414" s="84" t="s">
        <v>241</v>
      </c>
      <c r="D414" s="85">
        <v>8</v>
      </c>
      <c r="E414" s="86">
        <v>1E-3</v>
      </c>
    </row>
    <row r="415" spans="2:5" ht="15" customHeight="1">
      <c r="B415" s="118"/>
      <c r="C415" s="84" t="s">
        <v>169</v>
      </c>
      <c r="D415" s="85">
        <v>21</v>
      </c>
      <c r="E415" s="86">
        <v>3.0000000000000001E-3</v>
      </c>
    </row>
    <row r="416" spans="2:5" ht="15" customHeight="1">
      <c r="B416" s="118"/>
      <c r="C416" s="84" t="s">
        <v>242</v>
      </c>
      <c r="D416" s="85">
        <v>5</v>
      </c>
      <c r="E416" s="86">
        <v>1E-3</v>
      </c>
    </row>
    <row r="417" spans="2:5" ht="15" customHeight="1">
      <c r="B417" s="118"/>
      <c r="C417" s="84" t="s">
        <v>243</v>
      </c>
      <c r="D417" s="85">
        <v>2</v>
      </c>
      <c r="E417" s="86">
        <v>0</v>
      </c>
    </row>
    <row r="418" spans="2:5" ht="15" customHeight="1">
      <c r="B418" s="118"/>
      <c r="C418" s="84" t="s">
        <v>244</v>
      </c>
      <c r="D418" s="85">
        <v>11</v>
      </c>
      <c r="E418" s="86">
        <v>1E-3</v>
      </c>
    </row>
    <row r="419" spans="2:5" ht="15" customHeight="1">
      <c r="B419" s="118"/>
      <c r="C419" s="84" t="s">
        <v>173</v>
      </c>
      <c r="D419" s="85">
        <v>61</v>
      </c>
      <c r="E419" s="86">
        <v>7.0000000000000001E-3</v>
      </c>
    </row>
    <row r="420" spans="2:5" ht="15" customHeight="1">
      <c r="B420" s="118"/>
      <c r="C420" s="84" t="s">
        <v>174</v>
      </c>
      <c r="D420" s="85">
        <v>2</v>
      </c>
      <c r="E420" s="86">
        <v>0</v>
      </c>
    </row>
    <row r="421" spans="2:5" ht="15" customHeight="1">
      <c r="B421" s="118"/>
      <c r="C421" s="84" t="s">
        <v>175</v>
      </c>
      <c r="D421" s="85">
        <v>16</v>
      </c>
      <c r="E421" s="86">
        <v>2E-3</v>
      </c>
    </row>
    <row r="422" spans="2:5" ht="15" customHeight="1">
      <c r="B422" s="118"/>
      <c r="C422" s="84" t="s">
        <v>176</v>
      </c>
      <c r="D422" s="85">
        <v>55</v>
      </c>
      <c r="E422" s="86">
        <v>7.0000000000000001E-3</v>
      </c>
    </row>
    <row r="423" spans="2:5" ht="15" customHeight="1">
      <c r="B423" s="118"/>
      <c r="C423" s="84" t="s">
        <v>247</v>
      </c>
      <c r="D423" s="85">
        <v>1</v>
      </c>
      <c r="E423" s="86">
        <v>0</v>
      </c>
    </row>
    <row r="424" spans="2:5" ht="15" customHeight="1">
      <c r="B424" s="118"/>
      <c r="C424" s="84" t="s">
        <v>248</v>
      </c>
      <c r="D424" s="85">
        <v>1</v>
      </c>
      <c r="E424" s="86">
        <v>0</v>
      </c>
    </row>
    <row r="425" spans="2:5" ht="15" customHeight="1">
      <c r="B425" s="118"/>
      <c r="C425" s="84" t="s">
        <v>181</v>
      </c>
      <c r="D425" s="85">
        <v>2</v>
      </c>
      <c r="E425" s="86">
        <v>0</v>
      </c>
    </row>
    <row r="426" spans="2:5" ht="15" customHeight="1">
      <c r="B426" s="118"/>
      <c r="C426" s="84" t="s">
        <v>182</v>
      </c>
      <c r="D426" s="85">
        <v>7</v>
      </c>
      <c r="E426" s="86">
        <v>1E-3</v>
      </c>
    </row>
    <row r="427" spans="2:5" ht="15" customHeight="1">
      <c r="B427" s="118"/>
      <c r="C427" s="84" t="s">
        <v>183</v>
      </c>
      <c r="D427" s="85">
        <v>1</v>
      </c>
      <c r="E427" s="86">
        <v>0</v>
      </c>
    </row>
    <row r="428" spans="2:5" ht="15" customHeight="1">
      <c r="B428" s="119"/>
      <c r="C428" s="87" t="s">
        <v>265</v>
      </c>
      <c r="D428" s="88">
        <v>207</v>
      </c>
      <c r="E428" s="89">
        <v>2.5000000000000001E-2</v>
      </c>
    </row>
    <row r="429" spans="2:5" ht="15" customHeight="1">
      <c r="B429" s="117" t="s">
        <v>63</v>
      </c>
      <c r="C429" s="84" t="s">
        <v>236</v>
      </c>
      <c r="D429" s="85">
        <v>1</v>
      </c>
      <c r="E429" s="86">
        <v>0</v>
      </c>
    </row>
    <row r="430" spans="2:5" ht="15" customHeight="1">
      <c r="B430" s="118"/>
      <c r="C430" s="84" t="s">
        <v>237</v>
      </c>
      <c r="D430" s="85">
        <v>1</v>
      </c>
      <c r="E430" s="86">
        <v>0</v>
      </c>
    </row>
    <row r="431" spans="2:5" ht="15" customHeight="1">
      <c r="B431" s="118"/>
      <c r="C431" s="84" t="s">
        <v>238</v>
      </c>
      <c r="D431" s="85">
        <v>5</v>
      </c>
      <c r="E431" s="86">
        <v>1E-3</v>
      </c>
    </row>
    <row r="432" spans="2:5" ht="15" customHeight="1">
      <c r="B432" s="118"/>
      <c r="C432" s="84" t="s">
        <v>239</v>
      </c>
      <c r="D432" s="85">
        <v>3</v>
      </c>
      <c r="E432" s="86">
        <v>0</v>
      </c>
    </row>
    <row r="433" spans="2:5" ht="15" customHeight="1">
      <c r="B433" s="118"/>
      <c r="C433" s="84" t="s">
        <v>240</v>
      </c>
      <c r="D433" s="85">
        <v>1</v>
      </c>
      <c r="E433" s="86">
        <v>0</v>
      </c>
    </row>
    <row r="434" spans="2:5" ht="15" customHeight="1">
      <c r="B434" s="118"/>
      <c r="C434" s="84" t="s">
        <v>241</v>
      </c>
      <c r="D434" s="85">
        <v>4</v>
      </c>
      <c r="E434" s="86">
        <v>0</v>
      </c>
    </row>
    <row r="435" spans="2:5" ht="15" customHeight="1">
      <c r="B435" s="118"/>
      <c r="C435" s="84" t="s">
        <v>169</v>
      </c>
      <c r="D435" s="85">
        <v>15</v>
      </c>
      <c r="E435" s="86">
        <v>2E-3</v>
      </c>
    </row>
    <row r="436" spans="2:5" ht="15" customHeight="1">
      <c r="B436" s="118"/>
      <c r="C436" s="84" t="s">
        <v>242</v>
      </c>
      <c r="D436" s="85">
        <v>1</v>
      </c>
      <c r="E436" s="86">
        <v>0</v>
      </c>
    </row>
    <row r="437" spans="2:5" ht="15" customHeight="1">
      <c r="B437" s="118"/>
      <c r="C437" s="84" t="s">
        <v>243</v>
      </c>
      <c r="D437" s="85">
        <v>3</v>
      </c>
      <c r="E437" s="86">
        <v>0</v>
      </c>
    </row>
    <row r="438" spans="2:5" ht="15" customHeight="1">
      <c r="B438" s="118"/>
      <c r="C438" s="84" t="s">
        <v>173</v>
      </c>
      <c r="D438" s="85">
        <v>41</v>
      </c>
      <c r="E438" s="86">
        <v>5.0000000000000001E-3</v>
      </c>
    </row>
    <row r="439" spans="2:5" ht="15" customHeight="1">
      <c r="B439" s="118"/>
      <c r="C439" s="84" t="s">
        <v>174</v>
      </c>
      <c r="D439" s="85">
        <v>2</v>
      </c>
      <c r="E439" s="86">
        <v>0</v>
      </c>
    </row>
    <row r="440" spans="2:5" ht="15" customHeight="1">
      <c r="B440" s="118"/>
      <c r="C440" s="84" t="s">
        <v>175</v>
      </c>
      <c r="D440" s="85">
        <v>7</v>
      </c>
      <c r="E440" s="86">
        <v>1E-3</v>
      </c>
    </row>
    <row r="441" spans="2:5" ht="15" customHeight="1">
      <c r="B441" s="118"/>
      <c r="C441" s="84" t="s">
        <v>176</v>
      </c>
      <c r="D441" s="85">
        <v>24</v>
      </c>
      <c r="E441" s="86">
        <v>3.0000000000000001E-3</v>
      </c>
    </row>
    <row r="442" spans="2:5" ht="15" customHeight="1">
      <c r="B442" s="118"/>
      <c r="C442" s="84" t="s">
        <v>246</v>
      </c>
      <c r="D442" s="85">
        <v>1</v>
      </c>
      <c r="E442" s="86">
        <v>0</v>
      </c>
    </row>
    <row r="443" spans="2:5" ht="15" customHeight="1">
      <c r="B443" s="118"/>
      <c r="C443" s="84" t="s">
        <v>247</v>
      </c>
      <c r="D443" s="85">
        <v>2</v>
      </c>
      <c r="E443" s="86">
        <v>0</v>
      </c>
    </row>
    <row r="444" spans="2:5" ht="15" customHeight="1">
      <c r="B444" s="118"/>
      <c r="C444" s="84" t="s">
        <v>248</v>
      </c>
      <c r="D444" s="85">
        <v>1</v>
      </c>
      <c r="E444" s="86">
        <v>0</v>
      </c>
    </row>
    <row r="445" spans="2:5" ht="15" customHeight="1">
      <c r="B445" s="118"/>
      <c r="C445" s="84" t="s">
        <v>181</v>
      </c>
      <c r="D445" s="85">
        <v>2</v>
      </c>
      <c r="E445" s="86">
        <v>0</v>
      </c>
    </row>
    <row r="446" spans="2:5" ht="15" customHeight="1">
      <c r="B446" s="118"/>
      <c r="C446" s="84" t="s">
        <v>182</v>
      </c>
      <c r="D446" s="85">
        <v>9</v>
      </c>
      <c r="E446" s="86">
        <v>1E-3</v>
      </c>
    </row>
    <row r="447" spans="2:5" ht="15" customHeight="1">
      <c r="B447" s="119"/>
      <c r="C447" s="87" t="s">
        <v>265</v>
      </c>
      <c r="D447" s="88">
        <v>123</v>
      </c>
      <c r="E447" s="89">
        <v>1.4999999999999999E-2</v>
      </c>
    </row>
    <row r="448" spans="2:5" ht="15" customHeight="1">
      <c r="B448" s="117" t="s">
        <v>95</v>
      </c>
      <c r="C448" s="84" t="s">
        <v>169</v>
      </c>
      <c r="D448" s="85">
        <v>3</v>
      </c>
      <c r="E448" s="86">
        <v>0</v>
      </c>
    </row>
    <row r="449" spans="2:5" ht="15" customHeight="1">
      <c r="B449" s="118"/>
      <c r="C449" s="84" t="s">
        <v>173</v>
      </c>
      <c r="D449" s="85">
        <v>1</v>
      </c>
      <c r="E449" s="86">
        <v>0</v>
      </c>
    </row>
    <row r="450" spans="2:5" ht="15" customHeight="1">
      <c r="B450" s="118"/>
      <c r="C450" s="84" t="s">
        <v>176</v>
      </c>
      <c r="D450" s="85">
        <v>1</v>
      </c>
      <c r="E450" s="86">
        <v>0</v>
      </c>
    </row>
    <row r="451" spans="2:5" ht="15" customHeight="1">
      <c r="B451" s="119"/>
      <c r="C451" s="87" t="s">
        <v>265</v>
      </c>
      <c r="D451" s="88">
        <v>5</v>
      </c>
      <c r="E451" s="89">
        <v>1E-3</v>
      </c>
    </row>
    <row r="452" spans="2:5" ht="15" customHeight="1">
      <c r="B452" s="117" t="s">
        <v>57</v>
      </c>
      <c r="C452" s="84" t="s">
        <v>162</v>
      </c>
      <c r="D452" s="85">
        <v>2</v>
      </c>
      <c r="E452" s="86">
        <v>0</v>
      </c>
    </row>
    <row r="453" spans="2:5" ht="15" customHeight="1">
      <c r="B453" s="118"/>
      <c r="C453" s="84" t="s">
        <v>237</v>
      </c>
      <c r="D453" s="85">
        <v>2</v>
      </c>
      <c r="E453" s="86">
        <v>0</v>
      </c>
    </row>
    <row r="454" spans="2:5" ht="15" customHeight="1">
      <c r="B454" s="118"/>
      <c r="C454" s="84" t="s">
        <v>238</v>
      </c>
      <c r="D454" s="85">
        <v>4</v>
      </c>
      <c r="E454" s="86">
        <v>0</v>
      </c>
    </row>
    <row r="455" spans="2:5" ht="15" customHeight="1">
      <c r="B455" s="118"/>
      <c r="C455" s="84" t="s">
        <v>239</v>
      </c>
      <c r="D455" s="85">
        <v>3</v>
      </c>
      <c r="E455" s="86">
        <v>0</v>
      </c>
    </row>
    <row r="456" spans="2:5" ht="15" customHeight="1">
      <c r="B456" s="118"/>
      <c r="C456" s="84" t="s">
        <v>240</v>
      </c>
      <c r="D456" s="85">
        <v>1</v>
      </c>
      <c r="E456" s="86">
        <v>0</v>
      </c>
    </row>
    <row r="457" spans="2:5" ht="15" customHeight="1">
      <c r="B457" s="118"/>
      <c r="C457" s="84" t="s">
        <v>241</v>
      </c>
      <c r="D457" s="85">
        <v>5</v>
      </c>
      <c r="E457" s="86">
        <v>1E-3</v>
      </c>
    </row>
    <row r="458" spans="2:5" ht="15" customHeight="1">
      <c r="B458" s="118"/>
      <c r="C458" s="84" t="s">
        <v>169</v>
      </c>
      <c r="D458" s="85">
        <v>31</v>
      </c>
      <c r="E458" s="86">
        <v>4.0000000000000001E-3</v>
      </c>
    </row>
    <row r="459" spans="2:5" ht="15" customHeight="1">
      <c r="B459" s="118"/>
      <c r="C459" s="84" t="s">
        <v>242</v>
      </c>
      <c r="D459" s="85">
        <v>2</v>
      </c>
      <c r="E459" s="86">
        <v>0</v>
      </c>
    </row>
    <row r="460" spans="2:5" ht="15" customHeight="1">
      <c r="B460" s="118"/>
      <c r="C460" s="84" t="s">
        <v>243</v>
      </c>
      <c r="D460" s="85">
        <v>5</v>
      </c>
      <c r="E460" s="86">
        <v>1E-3</v>
      </c>
    </row>
    <row r="461" spans="2:5" ht="15" customHeight="1">
      <c r="B461" s="118"/>
      <c r="C461" s="84" t="s">
        <v>244</v>
      </c>
      <c r="D461" s="85">
        <v>11</v>
      </c>
      <c r="E461" s="86">
        <v>1E-3</v>
      </c>
    </row>
    <row r="462" spans="2:5" ht="15" customHeight="1">
      <c r="B462" s="118"/>
      <c r="C462" s="84" t="s">
        <v>173</v>
      </c>
      <c r="D462" s="85">
        <v>101</v>
      </c>
      <c r="E462" s="86">
        <v>1.2E-2</v>
      </c>
    </row>
    <row r="463" spans="2:5" ht="15" customHeight="1">
      <c r="B463" s="118"/>
      <c r="C463" s="84" t="s">
        <v>174</v>
      </c>
      <c r="D463" s="85">
        <v>2</v>
      </c>
      <c r="E463" s="86">
        <v>0</v>
      </c>
    </row>
    <row r="464" spans="2:5" ht="15" customHeight="1">
      <c r="B464" s="118"/>
      <c r="C464" s="84" t="s">
        <v>175</v>
      </c>
      <c r="D464" s="85">
        <v>17</v>
      </c>
      <c r="E464" s="86">
        <v>2E-3</v>
      </c>
    </row>
    <row r="465" spans="2:5" ht="15" customHeight="1">
      <c r="B465" s="118"/>
      <c r="C465" s="84" t="s">
        <v>176</v>
      </c>
      <c r="D465" s="85">
        <v>43</v>
      </c>
      <c r="E465" s="86">
        <v>5.0000000000000001E-3</v>
      </c>
    </row>
    <row r="466" spans="2:5" ht="15" customHeight="1">
      <c r="B466" s="118"/>
      <c r="C466" s="84" t="s">
        <v>246</v>
      </c>
      <c r="D466" s="85">
        <v>1</v>
      </c>
      <c r="E466" s="86">
        <v>0</v>
      </c>
    </row>
    <row r="467" spans="2:5" ht="15" customHeight="1">
      <c r="B467" s="118"/>
      <c r="C467" s="84" t="s">
        <v>181</v>
      </c>
      <c r="D467" s="85">
        <v>2</v>
      </c>
      <c r="E467" s="86">
        <v>0</v>
      </c>
    </row>
    <row r="468" spans="2:5" ht="15" customHeight="1">
      <c r="B468" s="118"/>
      <c r="C468" s="84" t="s">
        <v>182</v>
      </c>
      <c r="D468" s="85">
        <v>8</v>
      </c>
      <c r="E468" s="86">
        <v>1E-3</v>
      </c>
    </row>
    <row r="469" spans="2:5" ht="15" customHeight="1">
      <c r="B469" s="119"/>
      <c r="C469" s="87" t="s">
        <v>265</v>
      </c>
      <c r="D469" s="88">
        <v>240</v>
      </c>
      <c r="E469" s="89">
        <v>2.9000000000000001E-2</v>
      </c>
    </row>
    <row r="470" spans="2:5" ht="15" customHeight="1">
      <c r="B470" s="117" t="s">
        <v>50</v>
      </c>
      <c r="C470" s="84" t="s">
        <v>162</v>
      </c>
      <c r="D470" s="85">
        <v>4</v>
      </c>
      <c r="E470" s="86">
        <v>0</v>
      </c>
    </row>
    <row r="471" spans="2:5" ht="15" customHeight="1">
      <c r="B471" s="118"/>
      <c r="C471" s="84" t="s">
        <v>237</v>
      </c>
      <c r="D471" s="85">
        <v>4</v>
      </c>
      <c r="E471" s="86">
        <v>0</v>
      </c>
    </row>
    <row r="472" spans="2:5" ht="15" customHeight="1">
      <c r="B472" s="118"/>
      <c r="C472" s="84" t="s">
        <v>238</v>
      </c>
      <c r="D472" s="85">
        <v>3</v>
      </c>
      <c r="E472" s="86">
        <v>0</v>
      </c>
    </row>
    <row r="473" spans="2:5" ht="15" customHeight="1">
      <c r="B473" s="118"/>
      <c r="C473" s="84" t="s">
        <v>241</v>
      </c>
      <c r="D473" s="85">
        <v>29</v>
      </c>
      <c r="E473" s="86">
        <v>3.0000000000000001E-3</v>
      </c>
    </row>
    <row r="474" spans="2:5" ht="15" customHeight="1">
      <c r="B474" s="118"/>
      <c r="C474" s="84" t="s">
        <v>169</v>
      </c>
      <c r="D474" s="85">
        <v>69</v>
      </c>
      <c r="E474" s="86">
        <v>8.0000000000000002E-3</v>
      </c>
    </row>
    <row r="475" spans="2:5" ht="15" customHeight="1">
      <c r="B475" s="118"/>
      <c r="C475" s="84" t="s">
        <v>242</v>
      </c>
      <c r="D475" s="85">
        <v>1</v>
      </c>
      <c r="E475" s="86">
        <v>0</v>
      </c>
    </row>
    <row r="476" spans="2:5" ht="15" customHeight="1">
      <c r="B476" s="118"/>
      <c r="C476" s="84" t="s">
        <v>243</v>
      </c>
      <c r="D476" s="85">
        <v>10</v>
      </c>
      <c r="E476" s="86">
        <v>1E-3</v>
      </c>
    </row>
    <row r="477" spans="2:5" ht="15" customHeight="1">
      <c r="B477" s="118"/>
      <c r="C477" s="84" t="s">
        <v>244</v>
      </c>
      <c r="D477" s="85">
        <v>14</v>
      </c>
      <c r="E477" s="86">
        <v>2E-3</v>
      </c>
    </row>
    <row r="478" spans="2:5" ht="15" customHeight="1">
      <c r="B478" s="118"/>
      <c r="C478" s="84" t="s">
        <v>173</v>
      </c>
      <c r="D478" s="85">
        <v>138</v>
      </c>
      <c r="E478" s="86">
        <v>1.6E-2</v>
      </c>
    </row>
    <row r="479" spans="2:5" ht="15" customHeight="1">
      <c r="B479" s="118"/>
      <c r="C479" s="84" t="s">
        <v>174</v>
      </c>
      <c r="D479" s="85">
        <v>12</v>
      </c>
      <c r="E479" s="86">
        <v>1E-3</v>
      </c>
    </row>
    <row r="480" spans="2:5" ht="15" customHeight="1">
      <c r="B480" s="118"/>
      <c r="C480" s="84" t="s">
        <v>175</v>
      </c>
      <c r="D480" s="85">
        <v>24</v>
      </c>
      <c r="E480" s="86">
        <v>3.0000000000000001E-3</v>
      </c>
    </row>
    <row r="481" spans="2:5" ht="15" customHeight="1">
      <c r="B481" s="118"/>
      <c r="C481" s="84" t="s">
        <v>176</v>
      </c>
      <c r="D481" s="85">
        <v>74</v>
      </c>
      <c r="E481" s="86">
        <v>8.9999999999999993E-3</v>
      </c>
    </row>
    <row r="482" spans="2:5" ht="15" customHeight="1">
      <c r="B482" s="118"/>
      <c r="C482" s="84" t="s">
        <v>247</v>
      </c>
      <c r="D482" s="85">
        <v>1</v>
      </c>
      <c r="E482" s="86">
        <v>0</v>
      </c>
    </row>
    <row r="483" spans="2:5" ht="15" customHeight="1">
      <c r="B483" s="118"/>
      <c r="C483" s="84" t="s">
        <v>181</v>
      </c>
      <c r="D483" s="85">
        <v>1</v>
      </c>
      <c r="E483" s="86">
        <v>0</v>
      </c>
    </row>
    <row r="484" spans="2:5" ht="15" customHeight="1">
      <c r="B484" s="118"/>
      <c r="C484" s="84" t="s">
        <v>182</v>
      </c>
      <c r="D484" s="85">
        <v>13</v>
      </c>
      <c r="E484" s="86">
        <v>2E-3</v>
      </c>
    </row>
    <row r="485" spans="2:5" ht="15" customHeight="1">
      <c r="B485" s="119"/>
      <c r="C485" s="87" t="s">
        <v>265</v>
      </c>
      <c r="D485" s="88">
        <v>397</v>
      </c>
      <c r="E485" s="89">
        <v>4.7E-2</v>
      </c>
    </row>
    <row r="486" spans="2:5" ht="15" customHeight="1">
      <c r="B486" s="117" t="s">
        <v>58</v>
      </c>
      <c r="C486" s="84" t="s">
        <v>162</v>
      </c>
      <c r="D486" s="85">
        <v>1</v>
      </c>
      <c r="E486" s="86">
        <v>0</v>
      </c>
    </row>
    <row r="487" spans="2:5" ht="15" customHeight="1">
      <c r="B487" s="118"/>
      <c r="C487" s="84" t="s">
        <v>237</v>
      </c>
      <c r="D487" s="85">
        <v>1</v>
      </c>
      <c r="E487" s="86">
        <v>0</v>
      </c>
    </row>
    <row r="488" spans="2:5" ht="15" customHeight="1">
      <c r="B488" s="118"/>
      <c r="C488" s="84" t="s">
        <v>238</v>
      </c>
      <c r="D488" s="85">
        <v>1</v>
      </c>
      <c r="E488" s="86">
        <v>0</v>
      </c>
    </row>
    <row r="489" spans="2:5" ht="15" customHeight="1">
      <c r="B489" s="118"/>
      <c r="C489" s="84" t="s">
        <v>241</v>
      </c>
      <c r="D489" s="85">
        <v>3</v>
      </c>
      <c r="E489" s="86">
        <v>0</v>
      </c>
    </row>
    <row r="490" spans="2:5" ht="15" customHeight="1">
      <c r="B490" s="118"/>
      <c r="C490" s="84" t="s">
        <v>169</v>
      </c>
      <c r="D490" s="85">
        <v>15</v>
      </c>
      <c r="E490" s="86">
        <v>2E-3</v>
      </c>
    </row>
    <row r="491" spans="2:5" ht="15" customHeight="1">
      <c r="B491" s="118"/>
      <c r="C491" s="84" t="s">
        <v>243</v>
      </c>
      <c r="D491" s="85">
        <v>4</v>
      </c>
      <c r="E491" s="86">
        <v>0</v>
      </c>
    </row>
    <row r="492" spans="2:5" ht="15" customHeight="1">
      <c r="B492" s="118"/>
      <c r="C492" s="84" t="s">
        <v>244</v>
      </c>
      <c r="D492" s="85">
        <v>3</v>
      </c>
      <c r="E492" s="86">
        <v>0</v>
      </c>
    </row>
    <row r="493" spans="2:5" ht="15" customHeight="1">
      <c r="B493" s="118"/>
      <c r="C493" s="84" t="s">
        <v>173</v>
      </c>
      <c r="D493" s="85">
        <v>36</v>
      </c>
      <c r="E493" s="86">
        <v>4.0000000000000001E-3</v>
      </c>
    </row>
    <row r="494" spans="2:5" ht="15" customHeight="1">
      <c r="B494" s="118"/>
      <c r="C494" s="84" t="s">
        <v>174</v>
      </c>
      <c r="D494" s="85">
        <v>3</v>
      </c>
      <c r="E494" s="86">
        <v>0</v>
      </c>
    </row>
    <row r="495" spans="2:5" ht="15" customHeight="1">
      <c r="B495" s="118"/>
      <c r="C495" s="84" t="s">
        <v>175</v>
      </c>
      <c r="D495" s="85">
        <v>9</v>
      </c>
      <c r="E495" s="86">
        <v>1E-3</v>
      </c>
    </row>
    <row r="496" spans="2:5" ht="15" customHeight="1">
      <c r="B496" s="118"/>
      <c r="C496" s="84" t="s">
        <v>176</v>
      </c>
      <c r="D496" s="85">
        <v>35</v>
      </c>
      <c r="E496" s="86">
        <v>4.0000000000000001E-3</v>
      </c>
    </row>
    <row r="497" spans="2:5" ht="15" customHeight="1">
      <c r="B497" s="118"/>
      <c r="C497" s="84" t="s">
        <v>245</v>
      </c>
      <c r="D497" s="85">
        <v>1</v>
      </c>
      <c r="E497" s="86">
        <v>0</v>
      </c>
    </row>
    <row r="498" spans="2:5" ht="15" customHeight="1">
      <c r="B498" s="118"/>
      <c r="C498" s="84" t="s">
        <v>181</v>
      </c>
      <c r="D498" s="85">
        <v>4</v>
      </c>
      <c r="E498" s="86">
        <v>0</v>
      </c>
    </row>
    <row r="499" spans="2:5" ht="15" customHeight="1">
      <c r="B499" s="118"/>
      <c r="C499" s="84" t="s">
        <v>182</v>
      </c>
      <c r="D499" s="85">
        <v>12</v>
      </c>
      <c r="E499" s="86">
        <v>1E-3</v>
      </c>
    </row>
    <row r="500" spans="2:5" ht="15" customHeight="1">
      <c r="B500" s="119"/>
      <c r="C500" s="87" t="s">
        <v>265</v>
      </c>
      <c r="D500" s="88">
        <v>128</v>
      </c>
      <c r="E500" s="89">
        <v>1.4999999999999999E-2</v>
      </c>
    </row>
    <row r="501" spans="2:5" ht="15" customHeight="1">
      <c r="B501" s="117" t="s">
        <v>64</v>
      </c>
      <c r="C501" s="84" t="s">
        <v>238</v>
      </c>
      <c r="D501" s="85">
        <v>4</v>
      </c>
      <c r="E501" s="86">
        <v>0</v>
      </c>
    </row>
    <row r="502" spans="2:5" ht="15" customHeight="1">
      <c r="B502" s="118"/>
      <c r="C502" s="84" t="s">
        <v>239</v>
      </c>
      <c r="D502" s="85">
        <v>1</v>
      </c>
      <c r="E502" s="86">
        <v>0</v>
      </c>
    </row>
    <row r="503" spans="2:5" ht="15" customHeight="1">
      <c r="B503" s="118"/>
      <c r="C503" s="84" t="s">
        <v>240</v>
      </c>
      <c r="D503" s="85">
        <v>1</v>
      </c>
      <c r="E503" s="86">
        <v>0</v>
      </c>
    </row>
    <row r="504" spans="2:5" ht="15" customHeight="1">
      <c r="B504" s="118"/>
      <c r="C504" s="84" t="s">
        <v>241</v>
      </c>
      <c r="D504" s="85">
        <v>9</v>
      </c>
      <c r="E504" s="86">
        <v>1E-3</v>
      </c>
    </row>
    <row r="505" spans="2:5" ht="15" customHeight="1">
      <c r="B505" s="118"/>
      <c r="C505" s="84" t="s">
        <v>169</v>
      </c>
      <c r="D505" s="85">
        <v>10</v>
      </c>
      <c r="E505" s="86">
        <v>1E-3</v>
      </c>
    </row>
    <row r="506" spans="2:5" ht="15" customHeight="1">
      <c r="B506" s="118"/>
      <c r="C506" s="84" t="s">
        <v>243</v>
      </c>
      <c r="D506" s="85">
        <v>3</v>
      </c>
      <c r="E506" s="86">
        <v>0</v>
      </c>
    </row>
    <row r="507" spans="2:5" ht="15" customHeight="1">
      <c r="B507" s="118"/>
      <c r="C507" s="84" t="s">
        <v>244</v>
      </c>
      <c r="D507" s="85">
        <v>5</v>
      </c>
      <c r="E507" s="86">
        <v>1E-3</v>
      </c>
    </row>
    <row r="508" spans="2:5" ht="15" customHeight="1">
      <c r="B508" s="118"/>
      <c r="C508" s="84" t="s">
        <v>173</v>
      </c>
      <c r="D508" s="85">
        <v>48</v>
      </c>
      <c r="E508" s="86">
        <v>6.0000000000000001E-3</v>
      </c>
    </row>
    <row r="509" spans="2:5" ht="15" customHeight="1">
      <c r="B509" s="118"/>
      <c r="C509" s="84" t="s">
        <v>175</v>
      </c>
      <c r="D509" s="85">
        <v>10</v>
      </c>
      <c r="E509" s="86">
        <v>1E-3</v>
      </c>
    </row>
    <row r="510" spans="2:5" ht="15" customHeight="1">
      <c r="B510" s="118"/>
      <c r="C510" s="84" t="s">
        <v>176</v>
      </c>
      <c r="D510" s="85">
        <v>40</v>
      </c>
      <c r="E510" s="86">
        <v>5.0000000000000001E-3</v>
      </c>
    </row>
    <row r="511" spans="2:5" ht="15" customHeight="1">
      <c r="B511" s="118"/>
      <c r="C511" s="84" t="s">
        <v>181</v>
      </c>
      <c r="D511" s="85">
        <v>4</v>
      </c>
      <c r="E511" s="86">
        <v>0</v>
      </c>
    </row>
    <row r="512" spans="2:5" ht="15" customHeight="1">
      <c r="B512" s="118"/>
      <c r="C512" s="84" t="s">
        <v>182</v>
      </c>
      <c r="D512" s="85">
        <v>9</v>
      </c>
      <c r="E512" s="86">
        <v>1E-3</v>
      </c>
    </row>
    <row r="513" spans="2:5" ht="15" customHeight="1">
      <c r="B513" s="119"/>
      <c r="C513" s="87" t="s">
        <v>265</v>
      </c>
      <c r="D513" s="88">
        <v>144</v>
      </c>
      <c r="E513" s="89">
        <v>1.7000000000000001E-2</v>
      </c>
    </row>
    <row r="514" spans="2:5" ht="15" customHeight="1">
      <c r="B514" s="117" t="s">
        <v>85</v>
      </c>
      <c r="C514" s="84" t="s">
        <v>162</v>
      </c>
      <c r="D514" s="85">
        <v>1</v>
      </c>
      <c r="E514" s="86">
        <v>0</v>
      </c>
    </row>
    <row r="515" spans="2:5" ht="15" customHeight="1">
      <c r="B515" s="118"/>
      <c r="C515" s="84" t="s">
        <v>238</v>
      </c>
      <c r="D515" s="85">
        <v>1</v>
      </c>
      <c r="E515" s="86">
        <v>0</v>
      </c>
    </row>
    <row r="516" spans="2:5" ht="15" customHeight="1">
      <c r="B516" s="118"/>
      <c r="C516" s="84" t="s">
        <v>241</v>
      </c>
      <c r="D516" s="85">
        <v>3</v>
      </c>
      <c r="E516" s="86">
        <v>0</v>
      </c>
    </row>
    <row r="517" spans="2:5" ht="15" customHeight="1">
      <c r="B517" s="118"/>
      <c r="C517" s="84" t="s">
        <v>169</v>
      </c>
      <c r="D517" s="85">
        <v>3</v>
      </c>
      <c r="E517" s="86">
        <v>0</v>
      </c>
    </row>
    <row r="518" spans="2:5" ht="15" customHeight="1">
      <c r="B518" s="118"/>
      <c r="C518" s="84" t="s">
        <v>173</v>
      </c>
      <c r="D518" s="85">
        <v>11</v>
      </c>
      <c r="E518" s="86">
        <v>1E-3</v>
      </c>
    </row>
    <row r="519" spans="2:5" ht="15" customHeight="1">
      <c r="B519" s="118"/>
      <c r="C519" s="84" t="s">
        <v>175</v>
      </c>
      <c r="D519" s="85">
        <v>3</v>
      </c>
      <c r="E519" s="86">
        <v>0</v>
      </c>
    </row>
    <row r="520" spans="2:5" ht="15" customHeight="1">
      <c r="B520" s="118"/>
      <c r="C520" s="84" t="s">
        <v>176</v>
      </c>
      <c r="D520" s="85">
        <v>7</v>
      </c>
      <c r="E520" s="86">
        <v>1E-3</v>
      </c>
    </row>
    <row r="521" spans="2:5" ht="15" customHeight="1">
      <c r="B521" s="118"/>
      <c r="C521" s="84" t="s">
        <v>182</v>
      </c>
      <c r="D521" s="85">
        <v>1</v>
      </c>
      <c r="E521" s="86">
        <v>0</v>
      </c>
    </row>
    <row r="522" spans="2:5" ht="15" customHeight="1">
      <c r="B522" s="119"/>
      <c r="C522" s="87" t="s">
        <v>265</v>
      </c>
      <c r="D522" s="88">
        <v>30</v>
      </c>
      <c r="E522" s="89">
        <v>4.0000000000000001E-3</v>
      </c>
    </row>
    <row r="523" spans="2:5" ht="15" customHeight="1">
      <c r="B523" s="117" t="s">
        <v>48</v>
      </c>
      <c r="C523" s="84" t="s">
        <v>162</v>
      </c>
      <c r="D523" s="85">
        <v>8</v>
      </c>
      <c r="E523" s="86">
        <v>1E-3</v>
      </c>
    </row>
    <row r="524" spans="2:5" ht="15" customHeight="1">
      <c r="B524" s="118"/>
      <c r="C524" s="84" t="s">
        <v>236</v>
      </c>
      <c r="D524" s="85">
        <v>4</v>
      </c>
      <c r="E524" s="86">
        <v>0</v>
      </c>
    </row>
    <row r="525" spans="2:5" ht="15" customHeight="1">
      <c r="B525" s="118"/>
      <c r="C525" s="84" t="s">
        <v>237</v>
      </c>
      <c r="D525" s="85">
        <v>6</v>
      </c>
      <c r="E525" s="86">
        <v>1E-3</v>
      </c>
    </row>
    <row r="526" spans="2:5" ht="15" customHeight="1">
      <c r="B526" s="118"/>
      <c r="C526" s="84" t="s">
        <v>238</v>
      </c>
      <c r="D526" s="85">
        <v>14</v>
      </c>
      <c r="E526" s="86">
        <v>2E-3</v>
      </c>
    </row>
    <row r="527" spans="2:5" ht="15" customHeight="1">
      <c r="B527" s="118"/>
      <c r="C527" s="84" t="s">
        <v>239</v>
      </c>
      <c r="D527" s="85">
        <v>13</v>
      </c>
      <c r="E527" s="86">
        <v>2E-3</v>
      </c>
    </row>
    <row r="528" spans="2:5" ht="15" customHeight="1">
      <c r="B528" s="118"/>
      <c r="C528" s="84" t="s">
        <v>240</v>
      </c>
      <c r="D528" s="85">
        <v>12</v>
      </c>
      <c r="E528" s="86">
        <v>1E-3</v>
      </c>
    </row>
    <row r="529" spans="2:5" ht="15" customHeight="1">
      <c r="B529" s="118"/>
      <c r="C529" s="84" t="s">
        <v>241</v>
      </c>
      <c r="D529" s="85">
        <v>55</v>
      </c>
      <c r="E529" s="86">
        <v>7.0000000000000001E-3</v>
      </c>
    </row>
    <row r="530" spans="2:5" ht="15" customHeight="1">
      <c r="B530" s="118"/>
      <c r="C530" s="84" t="s">
        <v>169</v>
      </c>
      <c r="D530" s="85">
        <v>76</v>
      </c>
      <c r="E530" s="86">
        <v>8.9999999999999993E-3</v>
      </c>
    </row>
    <row r="531" spans="2:5" ht="15" customHeight="1">
      <c r="B531" s="118"/>
      <c r="C531" s="84" t="s">
        <v>242</v>
      </c>
      <c r="D531" s="85">
        <v>9</v>
      </c>
      <c r="E531" s="86">
        <v>1E-3</v>
      </c>
    </row>
    <row r="532" spans="2:5" ht="15" customHeight="1">
      <c r="B532" s="118"/>
      <c r="C532" s="84" t="s">
        <v>243</v>
      </c>
      <c r="D532" s="85">
        <v>10</v>
      </c>
      <c r="E532" s="86">
        <v>1E-3</v>
      </c>
    </row>
    <row r="533" spans="2:5" ht="15" customHeight="1">
      <c r="B533" s="118"/>
      <c r="C533" s="84" t="s">
        <v>244</v>
      </c>
      <c r="D533" s="85">
        <v>51</v>
      </c>
      <c r="E533" s="86">
        <v>6.0000000000000001E-3</v>
      </c>
    </row>
    <row r="534" spans="2:5" ht="15" customHeight="1">
      <c r="B534" s="118"/>
      <c r="C534" s="84" t="s">
        <v>173</v>
      </c>
      <c r="D534" s="85">
        <v>218</v>
      </c>
      <c r="E534" s="86">
        <v>2.5999999999999999E-2</v>
      </c>
    </row>
    <row r="535" spans="2:5" ht="15" customHeight="1">
      <c r="B535" s="118"/>
      <c r="C535" s="84" t="s">
        <v>174</v>
      </c>
      <c r="D535" s="85">
        <v>16</v>
      </c>
      <c r="E535" s="86">
        <v>2E-3</v>
      </c>
    </row>
    <row r="536" spans="2:5" ht="15" customHeight="1">
      <c r="B536" s="118"/>
      <c r="C536" s="84" t="s">
        <v>175</v>
      </c>
      <c r="D536" s="85">
        <v>48</v>
      </c>
      <c r="E536" s="86">
        <v>6.0000000000000001E-3</v>
      </c>
    </row>
    <row r="537" spans="2:5" ht="15" customHeight="1">
      <c r="B537" s="118"/>
      <c r="C537" s="84" t="s">
        <v>176</v>
      </c>
      <c r="D537" s="85">
        <v>176</v>
      </c>
      <c r="E537" s="86">
        <v>2.1000000000000001E-2</v>
      </c>
    </row>
    <row r="538" spans="2:5" ht="15" customHeight="1">
      <c r="B538" s="118"/>
      <c r="C538" s="84" t="s">
        <v>245</v>
      </c>
      <c r="D538" s="85">
        <v>3</v>
      </c>
      <c r="E538" s="86">
        <v>0</v>
      </c>
    </row>
    <row r="539" spans="2:5" ht="15" customHeight="1">
      <c r="B539" s="118"/>
      <c r="C539" s="84" t="s">
        <v>246</v>
      </c>
      <c r="D539" s="85">
        <v>3</v>
      </c>
      <c r="E539" s="86">
        <v>0</v>
      </c>
    </row>
    <row r="540" spans="2:5" ht="15" customHeight="1">
      <c r="B540" s="118"/>
      <c r="C540" s="84" t="s">
        <v>247</v>
      </c>
      <c r="D540" s="85">
        <v>2</v>
      </c>
      <c r="E540" s="86">
        <v>0</v>
      </c>
    </row>
    <row r="541" spans="2:5" ht="15" customHeight="1">
      <c r="B541" s="118"/>
      <c r="C541" s="84" t="s">
        <v>248</v>
      </c>
      <c r="D541" s="85">
        <v>2</v>
      </c>
      <c r="E541" s="86">
        <v>0</v>
      </c>
    </row>
    <row r="542" spans="2:5" ht="15" customHeight="1">
      <c r="B542" s="118"/>
      <c r="C542" s="84" t="s">
        <v>181</v>
      </c>
      <c r="D542" s="85">
        <v>8</v>
      </c>
      <c r="E542" s="86">
        <v>1E-3</v>
      </c>
    </row>
    <row r="543" spans="2:5" ht="15" customHeight="1">
      <c r="B543" s="118"/>
      <c r="C543" s="84" t="s">
        <v>182</v>
      </c>
      <c r="D543" s="85">
        <v>22</v>
      </c>
      <c r="E543" s="86">
        <v>3.0000000000000001E-3</v>
      </c>
    </row>
    <row r="544" spans="2:5" ht="15" customHeight="1">
      <c r="B544" s="118"/>
      <c r="C544" s="84" t="s">
        <v>183</v>
      </c>
      <c r="D544" s="85">
        <v>3</v>
      </c>
      <c r="E544" s="86">
        <v>0</v>
      </c>
    </row>
    <row r="545" spans="2:5" ht="15" customHeight="1">
      <c r="B545" s="119"/>
      <c r="C545" s="87" t="s">
        <v>265</v>
      </c>
      <c r="D545" s="88">
        <v>759</v>
      </c>
      <c r="E545" s="89">
        <v>9.0999999999999998E-2</v>
      </c>
    </row>
    <row r="546" spans="2:5" ht="15" customHeight="1">
      <c r="B546" s="117" t="s">
        <v>53</v>
      </c>
      <c r="C546" s="84" t="s">
        <v>162</v>
      </c>
      <c r="D546" s="85">
        <v>7</v>
      </c>
      <c r="E546" s="86">
        <v>1E-3</v>
      </c>
    </row>
    <row r="547" spans="2:5" ht="15" customHeight="1">
      <c r="B547" s="118"/>
      <c r="C547" s="84" t="s">
        <v>236</v>
      </c>
      <c r="D547" s="85">
        <v>1</v>
      </c>
      <c r="E547" s="86">
        <v>0</v>
      </c>
    </row>
    <row r="548" spans="2:5" ht="15" customHeight="1">
      <c r="B548" s="118"/>
      <c r="C548" s="84" t="s">
        <v>237</v>
      </c>
      <c r="D548" s="85">
        <v>3</v>
      </c>
      <c r="E548" s="86">
        <v>0</v>
      </c>
    </row>
    <row r="549" spans="2:5" ht="15" customHeight="1">
      <c r="B549" s="118"/>
      <c r="C549" s="84" t="s">
        <v>238</v>
      </c>
      <c r="D549" s="85">
        <v>5</v>
      </c>
      <c r="E549" s="86">
        <v>1E-3</v>
      </c>
    </row>
    <row r="550" spans="2:5" ht="15" customHeight="1">
      <c r="B550" s="118"/>
      <c r="C550" s="84" t="s">
        <v>239</v>
      </c>
      <c r="D550" s="85">
        <v>7</v>
      </c>
      <c r="E550" s="86">
        <v>1E-3</v>
      </c>
    </row>
    <row r="551" spans="2:5" ht="15" customHeight="1">
      <c r="B551" s="118"/>
      <c r="C551" s="84" t="s">
        <v>240</v>
      </c>
      <c r="D551" s="85">
        <v>6</v>
      </c>
      <c r="E551" s="86">
        <v>1E-3</v>
      </c>
    </row>
    <row r="552" spans="2:5" ht="15" customHeight="1">
      <c r="B552" s="118"/>
      <c r="C552" s="84" t="s">
        <v>241</v>
      </c>
      <c r="D552" s="85">
        <v>20</v>
      </c>
      <c r="E552" s="86">
        <v>2E-3</v>
      </c>
    </row>
    <row r="553" spans="2:5" ht="15" customHeight="1">
      <c r="B553" s="118"/>
      <c r="C553" s="84" t="s">
        <v>169</v>
      </c>
      <c r="D553" s="85">
        <v>49</v>
      </c>
      <c r="E553" s="86">
        <v>6.0000000000000001E-3</v>
      </c>
    </row>
    <row r="554" spans="2:5" ht="15" customHeight="1">
      <c r="B554" s="118"/>
      <c r="C554" s="84" t="s">
        <v>242</v>
      </c>
      <c r="D554" s="85">
        <v>4</v>
      </c>
      <c r="E554" s="86">
        <v>0</v>
      </c>
    </row>
    <row r="555" spans="2:5" ht="15" customHeight="1">
      <c r="B555" s="118"/>
      <c r="C555" s="84" t="s">
        <v>243</v>
      </c>
      <c r="D555" s="85">
        <v>3</v>
      </c>
      <c r="E555" s="86">
        <v>0</v>
      </c>
    </row>
    <row r="556" spans="2:5" ht="15" customHeight="1">
      <c r="B556" s="118"/>
      <c r="C556" s="84" t="s">
        <v>244</v>
      </c>
      <c r="D556" s="85">
        <v>4</v>
      </c>
      <c r="E556" s="86">
        <v>0</v>
      </c>
    </row>
    <row r="557" spans="2:5" ht="15" customHeight="1">
      <c r="B557" s="118"/>
      <c r="C557" s="84" t="s">
        <v>173</v>
      </c>
      <c r="D557" s="85">
        <v>119</v>
      </c>
      <c r="E557" s="86">
        <v>1.4E-2</v>
      </c>
    </row>
    <row r="558" spans="2:5" ht="15" customHeight="1">
      <c r="B558" s="118"/>
      <c r="C558" s="84" t="s">
        <v>174</v>
      </c>
      <c r="D558" s="85">
        <v>9</v>
      </c>
      <c r="E558" s="86">
        <v>1E-3</v>
      </c>
    </row>
    <row r="559" spans="2:5" ht="15" customHeight="1">
      <c r="B559" s="118"/>
      <c r="C559" s="84" t="s">
        <v>175</v>
      </c>
      <c r="D559" s="85">
        <v>29</v>
      </c>
      <c r="E559" s="86">
        <v>3.0000000000000001E-3</v>
      </c>
    </row>
    <row r="560" spans="2:5" ht="15" customHeight="1">
      <c r="B560" s="118"/>
      <c r="C560" s="84" t="s">
        <v>176</v>
      </c>
      <c r="D560" s="85">
        <v>81</v>
      </c>
      <c r="E560" s="86">
        <v>0.01</v>
      </c>
    </row>
    <row r="561" spans="2:5" ht="15" customHeight="1">
      <c r="B561" s="118"/>
      <c r="C561" s="84" t="s">
        <v>245</v>
      </c>
      <c r="D561" s="85">
        <v>2</v>
      </c>
      <c r="E561" s="86">
        <v>0</v>
      </c>
    </row>
    <row r="562" spans="2:5" ht="15" customHeight="1">
      <c r="B562" s="118"/>
      <c r="C562" s="84" t="s">
        <v>246</v>
      </c>
      <c r="D562" s="85">
        <v>4</v>
      </c>
      <c r="E562" s="86">
        <v>0</v>
      </c>
    </row>
    <row r="563" spans="2:5" ht="15" customHeight="1">
      <c r="B563" s="118"/>
      <c r="C563" s="84" t="s">
        <v>247</v>
      </c>
      <c r="D563" s="85">
        <v>4</v>
      </c>
      <c r="E563" s="86">
        <v>0</v>
      </c>
    </row>
    <row r="564" spans="2:5" ht="15" customHeight="1">
      <c r="B564" s="118"/>
      <c r="C564" s="84" t="s">
        <v>181</v>
      </c>
      <c r="D564" s="85">
        <v>2</v>
      </c>
      <c r="E564" s="86">
        <v>0</v>
      </c>
    </row>
    <row r="565" spans="2:5" ht="15" customHeight="1">
      <c r="B565" s="118"/>
      <c r="C565" s="84" t="s">
        <v>182</v>
      </c>
      <c r="D565" s="85">
        <v>13</v>
      </c>
      <c r="E565" s="86">
        <v>2E-3</v>
      </c>
    </row>
    <row r="566" spans="2:5" ht="15" customHeight="1">
      <c r="B566" s="119"/>
      <c r="C566" s="87" t="s">
        <v>265</v>
      </c>
      <c r="D566" s="88">
        <v>372</v>
      </c>
      <c r="E566" s="89">
        <v>4.3999999999999997E-2</v>
      </c>
    </row>
    <row r="567" spans="2:5" ht="15" customHeight="1">
      <c r="B567" s="117" t="s">
        <v>60</v>
      </c>
      <c r="C567" s="84" t="s">
        <v>236</v>
      </c>
      <c r="D567" s="85">
        <v>2</v>
      </c>
      <c r="E567" s="86">
        <v>0</v>
      </c>
    </row>
    <row r="568" spans="2:5" ht="15" customHeight="1">
      <c r="B568" s="118"/>
      <c r="C568" s="84" t="s">
        <v>237</v>
      </c>
      <c r="D568" s="85">
        <v>1</v>
      </c>
      <c r="E568" s="86">
        <v>0</v>
      </c>
    </row>
    <row r="569" spans="2:5" ht="15" customHeight="1">
      <c r="B569" s="118"/>
      <c r="C569" s="84" t="s">
        <v>238</v>
      </c>
      <c r="D569" s="85">
        <v>3</v>
      </c>
      <c r="E569" s="86">
        <v>0</v>
      </c>
    </row>
    <row r="570" spans="2:5" ht="15" customHeight="1">
      <c r="B570" s="118"/>
      <c r="C570" s="84" t="s">
        <v>239</v>
      </c>
      <c r="D570" s="85">
        <v>2</v>
      </c>
      <c r="E570" s="86">
        <v>0</v>
      </c>
    </row>
    <row r="571" spans="2:5" ht="15" customHeight="1">
      <c r="B571" s="118"/>
      <c r="C571" s="84" t="s">
        <v>240</v>
      </c>
      <c r="D571" s="85">
        <v>5</v>
      </c>
      <c r="E571" s="86">
        <v>1E-3</v>
      </c>
    </row>
    <row r="572" spans="2:5" ht="15" customHeight="1">
      <c r="B572" s="118"/>
      <c r="C572" s="84" t="s">
        <v>241</v>
      </c>
      <c r="D572" s="85">
        <v>16</v>
      </c>
      <c r="E572" s="86">
        <v>2E-3</v>
      </c>
    </row>
    <row r="573" spans="2:5" ht="15" customHeight="1">
      <c r="B573" s="118"/>
      <c r="C573" s="84" t="s">
        <v>169</v>
      </c>
      <c r="D573" s="85">
        <v>14</v>
      </c>
      <c r="E573" s="86">
        <v>2E-3</v>
      </c>
    </row>
    <row r="574" spans="2:5" ht="15" customHeight="1">
      <c r="B574" s="118"/>
      <c r="C574" s="84" t="s">
        <v>242</v>
      </c>
      <c r="D574" s="85">
        <v>3</v>
      </c>
      <c r="E574" s="86">
        <v>0</v>
      </c>
    </row>
    <row r="575" spans="2:5" ht="15" customHeight="1">
      <c r="B575" s="118"/>
      <c r="C575" s="84" t="s">
        <v>243</v>
      </c>
      <c r="D575" s="85">
        <v>3</v>
      </c>
      <c r="E575" s="86">
        <v>0</v>
      </c>
    </row>
    <row r="576" spans="2:5" ht="15" customHeight="1">
      <c r="B576" s="118"/>
      <c r="C576" s="84" t="s">
        <v>244</v>
      </c>
      <c r="D576" s="85">
        <v>8</v>
      </c>
      <c r="E576" s="86">
        <v>1E-3</v>
      </c>
    </row>
    <row r="577" spans="2:5" ht="15" customHeight="1">
      <c r="B577" s="118"/>
      <c r="C577" s="84" t="s">
        <v>173</v>
      </c>
      <c r="D577" s="85">
        <v>57</v>
      </c>
      <c r="E577" s="86">
        <v>7.0000000000000001E-3</v>
      </c>
    </row>
    <row r="578" spans="2:5" ht="15" customHeight="1">
      <c r="B578" s="118"/>
      <c r="C578" s="84" t="s">
        <v>175</v>
      </c>
      <c r="D578" s="85">
        <v>6</v>
      </c>
      <c r="E578" s="86">
        <v>1E-3</v>
      </c>
    </row>
    <row r="579" spans="2:5" ht="15" customHeight="1">
      <c r="B579" s="118"/>
      <c r="C579" s="84" t="s">
        <v>176</v>
      </c>
      <c r="D579" s="85">
        <v>33</v>
      </c>
      <c r="E579" s="86">
        <v>4.0000000000000001E-3</v>
      </c>
    </row>
    <row r="580" spans="2:5" ht="15" customHeight="1">
      <c r="B580" s="118"/>
      <c r="C580" s="84" t="s">
        <v>245</v>
      </c>
      <c r="D580" s="85">
        <v>4</v>
      </c>
      <c r="E580" s="86">
        <v>0</v>
      </c>
    </row>
    <row r="581" spans="2:5" ht="15" customHeight="1">
      <c r="B581" s="118"/>
      <c r="C581" s="84" t="s">
        <v>246</v>
      </c>
      <c r="D581" s="85">
        <v>1</v>
      </c>
      <c r="E581" s="86">
        <v>0</v>
      </c>
    </row>
    <row r="582" spans="2:5" ht="15" customHeight="1">
      <c r="B582" s="118"/>
      <c r="C582" s="84" t="s">
        <v>181</v>
      </c>
      <c r="D582" s="85">
        <v>6</v>
      </c>
      <c r="E582" s="86">
        <v>1E-3</v>
      </c>
    </row>
    <row r="583" spans="2:5" ht="15" customHeight="1">
      <c r="B583" s="118"/>
      <c r="C583" s="84" t="s">
        <v>182</v>
      </c>
      <c r="D583" s="85">
        <v>3</v>
      </c>
      <c r="E583" s="86">
        <v>0</v>
      </c>
    </row>
    <row r="584" spans="2:5" ht="15" customHeight="1">
      <c r="B584" s="118"/>
      <c r="C584" s="84" t="s">
        <v>183</v>
      </c>
      <c r="D584" s="85">
        <v>1</v>
      </c>
      <c r="E584" s="86">
        <v>0</v>
      </c>
    </row>
    <row r="585" spans="2:5" ht="15" customHeight="1">
      <c r="B585" s="119"/>
      <c r="C585" s="87" t="s">
        <v>265</v>
      </c>
      <c r="D585" s="88">
        <v>168</v>
      </c>
      <c r="E585" s="89">
        <v>0.02</v>
      </c>
    </row>
    <row r="586" spans="2:5" ht="15" customHeight="1">
      <c r="B586" s="117" t="s">
        <v>52</v>
      </c>
      <c r="C586" s="84" t="s">
        <v>162</v>
      </c>
      <c r="D586" s="85">
        <v>6</v>
      </c>
      <c r="E586" s="86">
        <v>1E-3</v>
      </c>
    </row>
    <row r="587" spans="2:5" ht="15" customHeight="1">
      <c r="B587" s="118"/>
      <c r="C587" s="84" t="s">
        <v>236</v>
      </c>
      <c r="D587" s="85">
        <v>2</v>
      </c>
      <c r="E587" s="86">
        <v>0</v>
      </c>
    </row>
    <row r="588" spans="2:5" ht="15" customHeight="1">
      <c r="B588" s="118"/>
      <c r="C588" s="84" t="s">
        <v>237</v>
      </c>
      <c r="D588" s="85">
        <v>2</v>
      </c>
      <c r="E588" s="86">
        <v>0</v>
      </c>
    </row>
    <row r="589" spans="2:5" ht="15" customHeight="1">
      <c r="B589" s="118"/>
      <c r="C589" s="84" t="s">
        <v>238</v>
      </c>
      <c r="D589" s="85">
        <v>5</v>
      </c>
      <c r="E589" s="86">
        <v>1E-3</v>
      </c>
    </row>
    <row r="590" spans="2:5" ht="15" customHeight="1">
      <c r="B590" s="118"/>
      <c r="C590" s="84" t="s">
        <v>239</v>
      </c>
      <c r="D590" s="85">
        <v>3</v>
      </c>
      <c r="E590" s="86">
        <v>0</v>
      </c>
    </row>
    <row r="591" spans="2:5" ht="15" customHeight="1">
      <c r="B591" s="118"/>
      <c r="C591" s="84" t="s">
        <v>240</v>
      </c>
      <c r="D591" s="85">
        <v>5</v>
      </c>
      <c r="E591" s="86">
        <v>1E-3</v>
      </c>
    </row>
    <row r="592" spans="2:5" ht="15" customHeight="1">
      <c r="B592" s="118"/>
      <c r="C592" s="84" t="s">
        <v>241</v>
      </c>
      <c r="D592" s="85">
        <v>34</v>
      </c>
      <c r="E592" s="86">
        <v>4.0000000000000001E-3</v>
      </c>
    </row>
    <row r="593" spans="2:5" ht="15" customHeight="1">
      <c r="B593" s="118"/>
      <c r="C593" s="84" t="s">
        <v>169</v>
      </c>
      <c r="D593" s="85">
        <v>38</v>
      </c>
      <c r="E593" s="86">
        <v>5.0000000000000001E-3</v>
      </c>
    </row>
    <row r="594" spans="2:5" ht="15" customHeight="1">
      <c r="B594" s="118"/>
      <c r="C594" s="84" t="s">
        <v>242</v>
      </c>
      <c r="D594" s="85">
        <v>2</v>
      </c>
      <c r="E594" s="86">
        <v>0</v>
      </c>
    </row>
    <row r="595" spans="2:5" ht="15" customHeight="1">
      <c r="B595" s="118"/>
      <c r="C595" s="84" t="s">
        <v>243</v>
      </c>
      <c r="D595" s="85">
        <v>8</v>
      </c>
      <c r="E595" s="86">
        <v>1E-3</v>
      </c>
    </row>
    <row r="596" spans="2:5" ht="15" customHeight="1">
      <c r="B596" s="118"/>
      <c r="C596" s="84" t="s">
        <v>244</v>
      </c>
      <c r="D596" s="85">
        <v>11</v>
      </c>
      <c r="E596" s="86">
        <v>1E-3</v>
      </c>
    </row>
    <row r="597" spans="2:5" ht="15" customHeight="1">
      <c r="B597" s="118"/>
      <c r="C597" s="84" t="s">
        <v>173</v>
      </c>
      <c r="D597" s="85">
        <v>138</v>
      </c>
      <c r="E597" s="86">
        <v>1.6E-2</v>
      </c>
    </row>
    <row r="598" spans="2:5" ht="15" customHeight="1">
      <c r="B598" s="118"/>
      <c r="C598" s="84" t="s">
        <v>174</v>
      </c>
      <c r="D598" s="85">
        <v>10</v>
      </c>
      <c r="E598" s="86">
        <v>1E-3</v>
      </c>
    </row>
    <row r="599" spans="2:5" ht="15" customHeight="1">
      <c r="B599" s="118"/>
      <c r="C599" s="84" t="s">
        <v>175</v>
      </c>
      <c r="D599" s="85">
        <v>33</v>
      </c>
      <c r="E599" s="86">
        <v>4.0000000000000001E-3</v>
      </c>
    </row>
    <row r="600" spans="2:5" ht="15" customHeight="1">
      <c r="B600" s="118"/>
      <c r="C600" s="84" t="s">
        <v>176</v>
      </c>
      <c r="D600" s="85">
        <v>109</v>
      </c>
      <c r="E600" s="86">
        <v>1.2999999999999999E-2</v>
      </c>
    </row>
    <row r="601" spans="2:5" ht="15" customHeight="1">
      <c r="B601" s="118"/>
      <c r="C601" s="84" t="s">
        <v>245</v>
      </c>
      <c r="D601" s="85">
        <v>2</v>
      </c>
      <c r="E601" s="86">
        <v>0</v>
      </c>
    </row>
    <row r="602" spans="2:5" ht="15" customHeight="1">
      <c r="B602" s="118"/>
      <c r="C602" s="84" t="s">
        <v>246</v>
      </c>
      <c r="D602" s="85">
        <v>4</v>
      </c>
      <c r="E602" s="86">
        <v>0</v>
      </c>
    </row>
    <row r="603" spans="2:5" ht="15" customHeight="1">
      <c r="B603" s="118"/>
      <c r="C603" s="84" t="s">
        <v>248</v>
      </c>
      <c r="D603" s="85">
        <v>2</v>
      </c>
      <c r="E603" s="86">
        <v>0</v>
      </c>
    </row>
    <row r="604" spans="2:5" ht="15" customHeight="1">
      <c r="B604" s="118"/>
      <c r="C604" s="84" t="s">
        <v>181</v>
      </c>
      <c r="D604" s="85">
        <v>4</v>
      </c>
      <c r="E604" s="86">
        <v>0</v>
      </c>
    </row>
    <row r="605" spans="2:5" ht="15" customHeight="1">
      <c r="B605" s="118"/>
      <c r="C605" s="84" t="s">
        <v>182</v>
      </c>
      <c r="D605" s="85">
        <v>21</v>
      </c>
      <c r="E605" s="86">
        <v>3.0000000000000001E-3</v>
      </c>
    </row>
    <row r="606" spans="2:5" ht="15" customHeight="1">
      <c r="B606" s="118"/>
      <c r="C606" s="84" t="s">
        <v>250</v>
      </c>
      <c r="D606" s="85">
        <v>1</v>
      </c>
      <c r="E606" s="86">
        <v>0</v>
      </c>
    </row>
    <row r="607" spans="2:5" ht="15" customHeight="1">
      <c r="B607" s="119"/>
      <c r="C607" s="87" t="s">
        <v>265</v>
      </c>
      <c r="D607" s="88">
        <v>440</v>
      </c>
      <c r="E607" s="89">
        <v>5.2999999999999999E-2</v>
      </c>
    </row>
    <row r="608" spans="2:5" ht="15" customHeight="1">
      <c r="B608" s="117" t="s">
        <v>51</v>
      </c>
      <c r="C608" s="84" t="s">
        <v>162</v>
      </c>
      <c r="D608" s="85">
        <v>6</v>
      </c>
      <c r="E608" s="86">
        <v>1E-3</v>
      </c>
    </row>
    <row r="609" spans="2:5" ht="15" customHeight="1">
      <c r="B609" s="118"/>
      <c r="C609" s="84" t="s">
        <v>236</v>
      </c>
      <c r="D609" s="85">
        <v>3</v>
      </c>
      <c r="E609" s="86">
        <v>0</v>
      </c>
    </row>
    <row r="610" spans="2:5" ht="15" customHeight="1">
      <c r="B610" s="118"/>
      <c r="C610" s="84" t="s">
        <v>237</v>
      </c>
      <c r="D610" s="85">
        <v>6</v>
      </c>
      <c r="E610" s="86">
        <v>1E-3</v>
      </c>
    </row>
    <row r="611" spans="2:5" ht="15" customHeight="1">
      <c r="B611" s="118"/>
      <c r="C611" s="84" t="s">
        <v>238</v>
      </c>
      <c r="D611" s="85">
        <v>5</v>
      </c>
      <c r="E611" s="86">
        <v>1E-3</v>
      </c>
    </row>
    <row r="612" spans="2:5" ht="15" customHeight="1">
      <c r="B612" s="118"/>
      <c r="C612" s="84" t="s">
        <v>239</v>
      </c>
      <c r="D612" s="85">
        <v>4</v>
      </c>
      <c r="E612" s="86">
        <v>0</v>
      </c>
    </row>
    <row r="613" spans="2:5" ht="15" customHeight="1">
      <c r="B613" s="118"/>
      <c r="C613" s="84" t="s">
        <v>240</v>
      </c>
      <c r="D613" s="85">
        <v>7</v>
      </c>
      <c r="E613" s="86">
        <v>1E-3</v>
      </c>
    </row>
    <row r="614" spans="2:5" ht="15" customHeight="1">
      <c r="B614" s="118"/>
      <c r="C614" s="84" t="s">
        <v>241</v>
      </c>
      <c r="D614" s="85">
        <v>32</v>
      </c>
      <c r="E614" s="86">
        <v>4.0000000000000001E-3</v>
      </c>
    </row>
    <row r="615" spans="2:5" ht="15" customHeight="1">
      <c r="B615" s="118"/>
      <c r="C615" s="84" t="s">
        <v>169</v>
      </c>
      <c r="D615" s="85">
        <v>36</v>
      </c>
      <c r="E615" s="86">
        <v>4.0000000000000001E-3</v>
      </c>
    </row>
    <row r="616" spans="2:5" ht="15" customHeight="1">
      <c r="B616" s="118"/>
      <c r="C616" s="84" t="s">
        <v>242</v>
      </c>
      <c r="D616" s="85">
        <v>3</v>
      </c>
      <c r="E616" s="86">
        <v>0</v>
      </c>
    </row>
    <row r="617" spans="2:5" ht="15" customHeight="1">
      <c r="B617" s="118"/>
      <c r="C617" s="84" t="s">
        <v>243</v>
      </c>
      <c r="D617" s="85">
        <v>8</v>
      </c>
      <c r="E617" s="86">
        <v>1E-3</v>
      </c>
    </row>
    <row r="618" spans="2:5" ht="15" customHeight="1">
      <c r="B618" s="118"/>
      <c r="C618" s="84" t="s">
        <v>244</v>
      </c>
      <c r="D618" s="85">
        <v>20</v>
      </c>
      <c r="E618" s="86">
        <v>2E-3</v>
      </c>
    </row>
    <row r="619" spans="2:5" ht="15" customHeight="1">
      <c r="B619" s="118"/>
      <c r="C619" s="84" t="s">
        <v>173</v>
      </c>
      <c r="D619" s="85">
        <v>116</v>
      </c>
      <c r="E619" s="86">
        <v>1.4E-2</v>
      </c>
    </row>
    <row r="620" spans="2:5" ht="15" customHeight="1">
      <c r="B620" s="118"/>
      <c r="C620" s="84" t="s">
        <v>174</v>
      </c>
      <c r="D620" s="85">
        <v>15</v>
      </c>
      <c r="E620" s="86">
        <v>2E-3</v>
      </c>
    </row>
    <row r="621" spans="2:5" ht="15" customHeight="1">
      <c r="B621" s="118"/>
      <c r="C621" s="84" t="s">
        <v>175</v>
      </c>
      <c r="D621" s="85">
        <v>28</v>
      </c>
      <c r="E621" s="86">
        <v>3.0000000000000001E-3</v>
      </c>
    </row>
    <row r="622" spans="2:5" ht="15" customHeight="1">
      <c r="B622" s="118"/>
      <c r="C622" s="84" t="s">
        <v>176</v>
      </c>
      <c r="D622" s="85">
        <v>84</v>
      </c>
      <c r="E622" s="86">
        <v>0.01</v>
      </c>
    </row>
    <row r="623" spans="2:5" ht="15" customHeight="1">
      <c r="B623" s="118"/>
      <c r="C623" s="84" t="s">
        <v>245</v>
      </c>
      <c r="D623" s="85">
        <v>4</v>
      </c>
      <c r="E623" s="86">
        <v>0</v>
      </c>
    </row>
    <row r="624" spans="2:5" ht="15" customHeight="1">
      <c r="B624" s="118"/>
      <c r="C624" s="84" t="s">
        <v>246</v>
      </c>
      <c r="D624" s="85">
        <v>3</v>
      </c>
      <c r="E624" s="86">
        <v>0</v>
      </c>
    </row>
    <row r="625" spans="2:5" ht="15" customHeight="1">
      <c r="B625" s="118"/>
      <c r="C625" s="84" t="s">
        <v>181</v>
      </c>
      <c r="D625" s="85">
        <v>12</v>
      </c>
      <c r="E625" s="86">
        <v>1E-3</v>
      </c>
    </row>
    <row r="626" spans="2:5" ht="15" customHeight="1">
      <c r="B626" s="118"/>
      <c r="C626" s="84" t="s">
        <v>182</v>
      </c>
      <c r="D626" s="85">
        <v>12</v>
      </c>
      <c r="E626" s="86">
        <v>1E-3</v>
      </c>
    </row>
    <row r="627" spans="2:5" ht="15" customHeight="1">
      <c r="B627" s="119"/>
      <c r="C627" s="87" t="s">
        <v>265</v>
      </c>
      <c r="D627" s="88">
        <v>404</v>
      </c>
      <c r="E627" s="89">
        <v>4.8000000000000001E-2</v>
      </c>
    </row>
    <row r="628" spans="2:5" ht="15" customHeight="1">
      <c r="B628" s="117" t="s">
        <v>71</v>
      </c>
      <c r="C628" s="84" t="s">
        <v>237</v>
      </c>
      <c r="D628" s="85">
        <v>1</v>
      </c>
      <c r="E628" s="86">
        <v>0</v>
      </c>
    </row>
    <row r="629" spans="2:5" ht="15" customHeight="1">
      <c r="B629" s="118"/>
      <c r="C629" s="84" t="s">
        <v>240</v>
      </c>
      <c r="D629" s="85">
        <v>1</v>
      </c>
      <c r="E629" s="86">
        <v>0</v>
      </c>
    </row>
    <row r="630" spans="2:5" ht="15" customHeight="1">
      <c r="B630" s="118"/>
      <c r="C630" s="84" t="s">
        <v>241</v>
      </c>
      <c r="D630" s="85">
        <v>2</v>
      </c>
      <c r="E630" s="86">
        <v>0</v>
      </c>
    </row>
    <row r="631" spans="2:5" ht="15" customHeight="1">
      <c r="B631" s="118"/>
      <c r="C631" s="84" t="s">
        <v>169</v>
      </c>
      <c r="D631" s="85">
        <v>2</v>
      </c>
      <c r="E631" s="86">
        <v>0</v>
      </c>
    </row>
    <row r="632" spans="2:5" ht="15" customHeight="1">
      <c r="B632" s="118"/>
      <c r="C632" s="84" t="s">
        <v>242</v>
      </c>
      <c r="D632" s="85">
        <v>2</v>
      </c>
      <c r="E632" s="86">
        <v>0</v>
      </c>
    </row>
    <row r="633" spans="2:5" ht="15" customHeight="1">
      <c r="B633" s="118"/>
      <c r="C633" s="84" t="s">
        <v>244</v>
      </c>
      <c r="D633" s="85">
        <v>1</v>
      </c>
      <c r="E633" s="86">
        <v>0</v>
      </c>
    </row>
    <row r="634" spans="2:5" ht="15" customHeight="1">
      <c r="B634" s="118"/>
      <c r="C634" s="84" t="s">
        <v>173</v>
      </c>
      <c r="D634" s="85">
        <v>15</v>
      </c>
      <c r="E634" s="86">
        <v>2E-3</v>
      </c>
    </row>
    <row r="635" spans="2:5" ht="15" customHeight="1">
      <c r="B635" s="118"/>
      <c r="C635" s="84" t="s">
        <v>175</v>
      </c>
      <c r="D635" s="85">
        <v>2</v>
      </c>
      <c r="E635" s="86">
        <v>0</v>
      </c>
    </row>
    <row r="636" spans="2:5" ht="15" customHeight="1">
      <c r="B636" s="118"/>
      <c r="C636" s="84" t="s">
        <v>176</v>
      </c>
      <c r="D636" s="85">
        <v>17</v>
      </c>
      <c r="E636" s="86">
        <v>2E-3</v>
      </c>
    </row>
    <row r="637" spans="2:5" ht="15" customHeight="1">
      <c r="B637" s="118"/>
      <c r="C637" s="84" t="s">
        <v>181</v>
      </c>
      <c r="D637" s="85">
        <v>1</v>
      </c>
      <c r="E637" s="86">
        <v>0</v>
      </c>
    </row>
    <row r="638" spans="2:5" ht="15" customHeight="1">
      <c r="B638" s="118"/>
      <c r="C638" s="84" t="s">
        <v>182</v>
      </c>
      <c r="D638" s="85">
        <v>4</v>
      </c>
      <c r="E638" s="86">
        <v>0</v>
      </c>
    </row>
    <row r="639" spans="2:5" ht="15" customHeight="1">
      <c r="B639" s="119"/>
      <c r="C639" s="87" t="s">
        <v>265</v>
      </c>
      <c r="D639" s="88">
        <v>48</v>
      </c>
      <c r="E639" s="89">
        <v>6.0000000000000001E-3</v>
      </c>
    </row>
    <row r="640" spans="2:5" ht="15" customHeight="1">
      <c r="B640" s="117" t="s">
        <v>79</v>
      </c>
      <c r="C640" s="84" t="s">
        <v>237</v>
      </c>
      <c r="D640" s="85">
        <v>1</v>
      </c>
      <c r="E640" s="86">
        <v>0</v>
      </c>
    </row>
    <row r="641" spans="2:5" ht="15" customHeight="1">
      <c r="B641" s="118"/>
      <c r="C641" s="84" t="s">
        <v>238</v>
      </c>
      <c r="D641" s="85">
        <v>1</v>
      </c>
      <c r="E641" s="86">
        <v>0</v>
      </c>
    </row>
    <row r="642" spans="2:5" ht="15" customHeight="1">
      <c r="B642" s="118"/>
      <c r="C642" s="84" t="s">
        <v>241</v>
      </c>
      <c r="D642" s="85">
        <v>3</v>
      </c>
      <c r="E642" s="86">
        <v>0</v>
      </c>
    </row>
    <row r="643" spans="2:5" ht="15" customHeight="1">
      <c r="B643" s="118"/>
      <c r="C643" s="84" t="s">
        <v>169</v>
      </c>
      <c r="D643" s="85">
        <v>5</v>
      </c>
      <c r="E643" s="86">
        <v>1E-3</v>
      </c>
    </row>
    <row r="644" spans="2:5" ht="15" customHeight="1">
      <c r="B644" s="118"/>
      <c r="C644" s="84" t="s">
        <v>242</v>
      </c>
      <c r="D644" s="85">
        <v>1</v>
      </c>
      <c r="E644" s="86">
        <v>0</v>
      </c>
    </row>
    <row r="645" spans="2:5" ht="15" customHeight="1">
      <c r="B645" s="118"/>
      <c r="C645" s="84" t="s">
        <v>243</v>
      </c>
      <c r="D645" s="85">
        <v>1</v>
      </c>
      <c r="E645" s="86">
        <v>0</v>
      </c>
    </row>
    <row r="646" spans="2:5" ht="15" customHeight="1">
      <c r="B646" s="118"/>
      <c r="C646" s="84" t="s">
        <v>244</v>
      </c>
      <c r="D646" s="85">
        <v>2</v>
      </c>
      <c r="E646" s="86">
        <v>0</v>
      </c>
    </row>
    <row r="647" spans="2:5" ht="15" customHeight="1">
      <c r="B647" s="118"/>
      <c r="C647" s="84" t="s">
        <v>173</v>
      </c>
      <c r="D647" s="85">
        <v>7</v>
      </c>
      <c r="E647" s="86">
        <v>1E-3</v>
      </c>
    </row>
    <row r="648" spans="2:5" ht="15" customHeight="1">
      <c r="B648" s="118"/>
      <c r="C648" s="84" t="s">
        <v>174</v>
      </c>
      <c r="D648" s="85">
        <v>2</v>
      </c>
      <c r="E648" s="86">
        <v>0</v>
      </c>
    </row>
    <row r="649" spans="2:5" ht="15" customHeight="1">
      <c r="B649" s="118"/>
      <c r="C649" s="84" t="s">
        <v>175</v>
      </c>
      <c r="D649" s="85">
        <v>1</v>
      </c>
      <c r="E649" s="86">
        <v>0</v>
      </c>
    </row>
    <row r="650" spans="2:5" ht="15" customHeight="1">
      <c r="B650" s="118"/>
      <c r="C650" s="84" t="s">
        <v>176</v>
      </c>
      <c r="D650" s="85">
        <v>9</v>
      </c>
      <c r="E650" s="86">
        <v>1E-3</v>
      </c>
    </row>
    <row r="651" spans="2:5" ht="15" customHeight="1">
      <c r="B651" s="118"/>
      <c r="C651" s="84" t="s">
        <v>182</v>
      </c>
      <c r="D651" s="85">
        <v>2</v>
      </c>
      <c r="E651" s="86">
        <v>0</v>
      </c>
    </row>
    <row r="652" spans="2:5" ht="15" customHeight="1">
      <c r="B652" s="118"/>
      <c r="C652" s="84" t="s">
        <v>183</v>
      </c>
      <c r="D652" s="85">
        <v>1</v>
      </c>
      <c r="E652" s="86">
        <v>0</v>
      </c>
    </row>
    <row r="653" spans="2:5" ht="15" customHeight="1">
      <c r="B653" s="119"/>
      <c r="C653" s="87" t="s">
        <v>265</v>
      </c>
      <c r="D653" s="88">
        <v>36</v>
      </c>
      <c r="E653" s="89">
        <v>4.0000000000000001E-3</v>
      </c>
    </row>
    <row r="654" spans="2:5" ht="15" customHeight="1">
      <c r="B654" s="117" t="s">
        <v>78</v>
      </c>
      <c r="C654" s="84" t="s">
        <v>237</v>
      </c>
      <c r="D654" s="85">
        <v>1</v>
      </c>
      <c r="E654" s="86">
        <v>0</v>
      </c>
    </row>
    <row r="655" spans="2:5" ht="15" customHeight="1">
      <c r="B655" s="118"/>
      <c r="C655" s="84" t="s">
        <v>241</v>
      </c>
      <c r="D655" s="85">
        <v>1</v>
      </c>
      <c r="E655" s="86">
        <v>0</v>
      </c>
    </row>
    <row r="656" spans="2:5" ht="15" customHeight="1">
      <c r="B656" s="118"/>
      <c r="C656" s="84" t="s">
        <v>169</v>
      </c>
      <c r="D656" s="85">
        <v>6</v>
      </c>
      <c r="E656" s="86">
        <v>1E-3</v>
      </c>
    </row>
    <row r="657" spans="2:5" ht="15" customHeight="1">
      <c r="B657" s="118"/>
      <c r="C657" s="84" t="s">
        <v>244</v>
      </c>
      <c r="D657" s="85">
        <v>1</v>
      </c>
      <c r="E657" s="86">
        <v>0</v>
      </c>
    </row>
    <row r="658" spans="2:5" ht="15" customHeight="1">
      <c r="B658" s="118"/>
      <c r="C658" s="84" t="s">
        <v>173</v>
      </c>
      <c r="D658" s="85">
        <v>17</v>
      </c>
      <c r="E658" s="86">
        <v>2E-3</v>
      </c>
    </row>
    <row r="659" spans="2:5" ht="15" customHeight="1">
      <c r="B659" s="118"/>
      <c r="C659" s="84" t="s">
        <v>174</v>
      </c>
      <c r="D659" s="85">
        <v>1</v>
      </c>
      <c r="E659" s="86">
        <v>0</v>
      </c>
    </row>
    <row r="660" spans="2:5" ht="15" customHeight="1">
      <c r="B660" s="118"/>
      <c r="C660" s="84" t="s">
        <v>175</v>
      </c>
      <c r="D660" s="85">
        <v>3</v>
      </c>
      <c r="E660" s="86">
        <v>0</v>
      </c>
    </row>
    <row r="661" spans="2:5" ht="15" customHeight="1">
      <c r="B661" s="118"/>
      <c r="C661" s="84" t="s">
        <v>176</v>
      </c>
      <c r="D661" s="85">
        <v>10</v>
      </c>
      <c r="E661" s="86">
        <v>1E-3</v>
      </c>
    </row>
    <row r="662" spans="2:5" ht="15" customHeight="1">
      <c r="B662" s="118"/>
      <c r="C662" s="84" t="s">
        <v>245</v>
      </c>
      <c r="D662" s="85">
        <v>1</v>
      </c>
      <c r="E662" s="86">
        <v>0</v>
      </c>
    </row>
    <row r="663" spans="2:5" ht="15" customHeight="1">
      <c r="B663" s="118"/>
      <c r="C663" s="84" t="s">
        <v>182</v>
      </c>
      <c r="D663" s="85">
        <v>4</v>
      </c>
      <c r="E663" s="86">
        <v>0</v>
      </c>
    </row>
    <row r="664" spans="2:5" ht="15" customHeight="1">
      <c r="B664" s="119"/>
      <c r="C664" s="87" t="s">
        <v>265</v>
      </c>
      <c r="D664" s="88">
        <v>45</v>
      </c>
      <c r="E664" s="89">
        <v>5.0000000000000001E-3</v>
      </c>
    </row>
    <row r="665" spans="2:5" ht="15" customHeight="1">
      <c r="B665" s="117" t="s">
        <v>87</v>
      </c>
      <c r="C665" s="84" t="s">
        <v>240</v>
      </c>
      <c r="D665" s="85">
        <v>1</v>
      </c>
      <c r="E665" s="86">
        <v>0</v>
      </c>
    </row>
    <row r="666" spans="2:5" ht="15" customHeight="1">
      <c r="B666" s="118"/>
      <c r="C666" s="84" t="s">
        <v>241</v>
      </c>
      <c r="D666" s="85">
        <v>1</v>
      </c>
      <c r="E666" s="86">
        <v>0</v>
      </c>
    </row>
    <row r="667" spans="2:5" ht="15" customHeight="1">
      <c r="B667" s="118"/>
      <c r="C667" s="84" t="s">
        <v>169</v>
      </c>
      <c r="D667" s="85">
        <v>2</v>
      </c>
      <c r="E667" s="86">
        <v>0</v>
      </c>
    </row>
    <row r="668" spans="2:5" ht="15" customHeight="1">
      <c r="B668" s="118"/>
      <c r="C668" s="84" t="s">
        <v>243</v>
      </c>
      <c r="D668" s="85">
        <v>1</v>
      </c>
      <c r="E668" s="86">
        <v>0</v>
      </c>
    </row>
    <row r="669" spans="2:5" ht="15" customHeight="1">
      <c r="B669" s="118"/>
      <c r="C669" s="84" t="s">
        <v>173</v>
      </c>
      <c r="D669" s="85">
        <v>2</v>
      </c>
      <c r="E669" s="86">
        <v>0</v>
      </c>
    </row>
    <row r="670" spans="2:5" ht="15" customHeight="1">
      <c r="B670" s="118"/>
      <c r="C670" s="84" t="s">
        <v>174</v>
      </c>
      <c r="D670" s="85">
        <v>1</v>
      </c>
      <c r="E670" s="86">
        <v>0</v>
      </c>
    </row>
    <row r="671" spans="2:5" ht="15" customHeight="1">
      <c r="B671" s="118"/>
      <c r="C671" s="84" t="s">
        <v>176</v>
      </c>
      <c r="D671" s="85">
        <v>2</v>
      </c>
      <c r="E671" s="86">
        <v>0</v>
      </c>
    </row>
    <row r="672" spans="2:5" ht="15" customHeight="1">
      <c r="B672" s="119"/>
      <c r="C672" s="87" t="s">
        <v>265</v>
      </c>
      <c r="D672" s="88">
        <v>10</v>
      </c>
      <c r="E672" s="89">
        <v>1E-3</v>
      </c>
    </row>
    <row r="673" spans="2:5" ht="15" customHeight="1">
      <c r="B673" s="91" t="s">
        <v>265</v>
      </c>
      <c r="C673" s="92"/>
      <c r="D673" s="93">
        <v>8379</v>
      </c>
      <c r="E673" s="91">
        <v>1</v>
      </c>
    </row>
    <row r="674" spans="2:5" ht="15" customHeight="1">
      <c r="B674" s="46"/>
      <c r="C674" s="46"/>
      <c r="D674" s="46"/>
      <c r="E674" s="46"/>
    </row>
    <row r="675" spans="2:5" ht="15" customHeight="1">
      <c r="B675" s="35" t="s">
        <v>232</v>
      </c>
      <c r="C675" s="36"/>
      <c r="D675" s="46"/>
      <c r="E675" s="46"/>
    </row>
    <row r="676" spans="2:5" ht="15" customHeight="1">
      <c r="B676" s="36" t="s">
        <v>18</v>
      </c>
      <c r="C676" s="37"/>
      <c r="D676" s="46"/>
      <c r="E676" s="46"/>
    </row>
    <row r="677" spans="2:5" ht="15" customHeight="1">
      <c r="B677" s="37" t="s">
        <v>45</v>
      </c>
      <c r="C677" s="35"/>
      <c r="D677" s="46"/>
      <c r="E677" s="46"/>
    </row>
    <row r="678" spans="2:5" ht="15" customHeight="1">
      <c r="B678" s="35" t="s">
        <v>17</v>
      </c>
      <c r="C678" s="35"/>
      <c r="D678" s="46"/>
      <c r="E678" s="46"/>
    </row>
    <row r="679" spans="2:5" ht="15" customHeight="1">
      <c r="B679" s="35" t="s">
        <v>266</v>
      </c>
      <c r="C679" s="34"/>
      <c r="D679" s="46"/>
      <c r="E679" s="46"/>
    </row>
  </sheetData>
  <mergeCells count="51">
    <mergeCell ref="B608:B627"/>
    <mergeCell ref="B628:B639"/>
    <mergeCell ref="B640:B653"/>
    <mergeCell ref="B654:B664"/>
    <mergeCell ref="B665:B672"/>
    <mergeCell ref="B238:B257"/>
    <mergeCell ref="B258:B267"/>
    <mergeCell ref="B7:E8"/>
    <mergeCell ref="B10:B19"/>
    <mergeCell ref="B20:B36"/>
    <mergeCell ref="B37:B48"/>
    <mergeCell ref="B49:B65"/>
    <mergeCell ref="B66:B70"/>
    <mergeCell ref="B71:B73"/>
    <mergeCell ref="B74:B82"/>
    <mergeCell ref="B207:B219"/>
    <mergeCell ref="B220:B232"/>
    <mergeCell ref="B151:B156"/>
    <mergeCell ref="B157:B167"/>
    <mergeCell ref="B168:B189"/>
    <mergeCell ref="B190:B206"/>
    <mergeCell ref="B233:B237"/>
    <mergeCell ref="B83:B100"/>
    <mergeCell ref="B101:B115"/>
    <mergeCell ref="B116:B133"/>
    <mergeCell ref="B134:B147"/>
    <mergeCell ref="B148:B150"/>
    <mergeCell ref="B268:B291"/>
    <mergeCell ref="B292:B303"/>
    <mergeCell ref="B523:B545"/>
    <mergeCell ref="B546:B566"/>
    <mergeCell ref="B567:B585"/>
    <mergeCell ref="B304:B311"/>
    <mergeCell ref="B312:B321"/>
    <mergeCell ref="B322:B328"/>
    <mergeCell ref="B329:B331"/>
    <mergeCell ref="B586:B607"/>
    <mergeCell ref="B332:B338"/>
    <mergeCell ref="B339:B342"/>
    <mergeCell ref="B343:B360"/>
    <mergeCell ref="B361:B376"/>
    <mergeCell ref="B377:B389"/>
    <mergeCell ref="B390:B408"/>
    <mergeCell ref="B409:B428"/>
    <mergeCell ref="B429:B447"/>
    <mergeCell ref="B448:B451"/>
    <mergeCell ref="B452:B469"/>
    <mergeCell ref="B470:B485"/>
    <mergeCell ref="B486:B500"/>
    <mergeCell ref="B501:B513"/>
    <mergeCell ref="B514:B5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topLeftCell="A12" zoomScale="115" zoomScaleNormal="100" zoomScaleSheetLayoutView="115" workbookViewId="0">
      <selection activeCell="A21" sqref="A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29"/>
      <c r="B7" s="107" t="s">
        <v>36</v>
      </c>
      <c r="C7" s="107"/>
      <c r="D7" s="107"/>
      <c r="E7" s="29"/>
      <c r="F7" s="29"/>
    </row>
    <row r="8" spans="1:6" s="15" customFormat="1" ht="15" customHeight="1">
      <c r="A8" s="29"/>
      <c r="B8" s="107"/>
      <c r="C8" s="107"/>
      <c r="D8" s="107"/>
      <c r="E8" s="29"/>
      <c r="F8" s="29"/>
    </row>
    <row r="9" spans="1:6" s="15" customFormat="1" ht="33" customHeight="1">
      <c r="A9" s="29"/>
      <c r="B9" s="107"/>
      <c r="C9" s="107"/>
      <c r="D9" s="107"/>
      <c r="E9" s="29"/>
      <c r="F9" s="29"/>
    </row>
    <row r="10" spans="1:6" s="15" customFormat="1" ht="4.5" customHeight="1">
      <c r="A10" s="29"/>
      <c r="B10" s="30"/>
      <c r="C10" s="30"/>
      <c r="D10" s="30"/>
      <c r="E10" s="29"/>
      <c r="F10" s="29"/>
    </row>
    <row r="11" spans="1:6" s="15" customFormat="1" ht="33" customHeight="1">
      <c r="A11" s="29"/>
      <c r="B11" s="31" t="s">
        <v>29</v>
      </c>
      <c r="C11" s="32" t="s">
        <v>20</v>
      </c>
      <c r="D11" s="33" t="s">
        <v>19</v>
      </c>
      <c r="E11" s="29"/>
      <c r="F11" s="29"/>
    </row>
    <row r="12" spans="1:6" ht="16.5">
      <c r="A12" s="34"/>
      <c r="B12" s="63" t="s">
        <v>254</v>
      </c>
      <c r="C12" s="58">
        <v>3979</v>
      </c>
      <c r="D12" s="59">
        <v>0.474877670366392</v>
      </c>
      <c r="E12" s="34"/>
      <c r="F12" s="34"/>
    </row>
    <row r="13" spans="1:6" ht="16.5">
      <c r="A13" s="34"/>
      <c r="B13" s="63" t="s">
        <v>141</v>
      </c>
      <c r="C13" s="58">
        <v>4397</v>
      </c>
      <c r="D13" s="59">
        <v>0.524764291681585</v>
      </c>
      <c r="E13" s="34"/>
      <c r="F13" s="34"/>
    </row>
    <row r="14" spans="1:6" ht="16.5">
      <c r="A14" s="34"/>
      <c r="B14" s="63" t="s">
        <v>233</v>
      </c>
      <c r="C14" s="58">
        <v>3</v>
      </c>
      <c r="D14" s="59">
        <v>3.58037952023E-4</v>
      </c>
      <c r="E14" s="34"/>
      <c r="F14" s="34"/>
    </row>
    <row r="15" spans="1:6" ht="16.5">
      <c r="A15" s="34"/>
      <c r="B15" s="80" t="s">
        <v>269</v>
      </c>
      <c r="C15" s="61">
        <v>8379</v>
      </c>
      <c r="D15" s="62">
        <v>1</v>
      </c>
      <c r="E15" s="34"/>
      <c r="F15" s="34"/>
    </row>
    <row r="16" spans="1:6" ht="16.5">
      <c r="A16" s="34"/>
      <c r="B16" s="35"/>
      <c r="C16" s="38"/>
      <c r="D16" s="38"/>
      <c r="E16" s="34"/>
      <c r="F16" s="34"/>
    </row>
    <row r="17" spans="1:6" ht="16.5">
      <c r="A17" s="35" t="s">
        <v>232</v>
      </c>
      <c r="B17" s="36"/>
      <c r="C17" s="48"/>
      <c r="D17" s="48"/>
      <c r="E17" s="34"/>
      <c r="F17" s="34"/>
    </row>
    <row r="18" spans="1:6" ht="16.5">
      <c r="A18" s="36" t="s">
        <v>18</v>
      </c>
      <c r="B18" s="37"/>
      <c r="C18" s="49"/>
      <c r="D18" s="49"/>
      <c r="E18" s="34"/>
      <c r="F18" s="34"/>
    </row>
    <row r="19" spans="1:6" ht="16.5">
      <c r="A19" s="37" t="s">
        <v>45</v>
      </c>
      <c r="B19" s="35"/>
      <c r="C19" s="38"/>
      <c r="D19" s="34"/>
      <c r="E19" s="34"/>
      <c r="F19" s="34"/>
    </row>
    <row r="20" spans="1:6" ht="16.5">
      <c r="A20" s="35" t="s">
        <v>17</v>
      </c>
      <c r="B20" s="35"/>
      <c r="C20" s="38"/>
      <c r="D20" s="34"/>
      <c r="E20" s="34"/>
      <c r="F20" s="34"/>
    </row>
    <row r="21" spans="1:6" ht="16.5">
      <c r="A21" s="35" t="s">
        <v>266</v>
      </c>
      <c r="B21" s="34"/>
      <c r="C21" s="38"/>
      <c r="D21" s="34"/>
      <c r="E21" s="34"/>
      <c r="F21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1"/>
  <sheetViews>
    <sheetView showGridLines="0" view="pageBreakPreview" topLeftCell="A154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5" customWidth="1"/>
    <col min="2" max="3" width="25.7109375" style="20" customWidth="1"/>
    <col min="4" max="4" width="15.7109375" style="24" customWidth="1"/>
    <col min="5" max="5" width="15.7109375" style="20" customWidth="1"/>
    <col min="6" max="6" width="2.5703125" style="15" customWidth="1"/>
    <col min="7" max="16384" width="11.42578125" style="15"/>
  </cols>
  <sheetData>
    <row r="1" spans="1:6" s="13" customFormat="1" ht="15">
      <c r="B1" s="20"/>
      <c r="C1" s="20"/>
    </row>
    <row r="2" spans="1:6" s="20" customFormat="1">
      <c r="B2" s="26"/>
    </row>
    <row r="3" spans="1:6" ht="15" customHeight="1">
      <c r="B3" s="27"/>
      <c r="C3" s="17"/>
      <c r="D3" s="15"/>
      <c r="F3" s="20"/>
    </row>
    <row r="4" spans="1:6" ht="30" customHeight="1">
      <c r="B4" s="27"/>
      <c r="C4" s="17"/>
      <c r="D4" s="15"/>
      <c r="F4" s="20"/>
    </row>
    <row r="5" spans="1:6" ht="15" customHeight="1">
      <c r="B5" s="27"/>
      <c r="C5" s="17"/>
      <c r="D5" s="15"/>
      <c r="F5" s="20"/>
    </row>
    <row r="6" spans="1:6" s="20" customFormat="1">
      <c r="B6" s="23"/>
      <c r="C6" s="22"/>
    </row>
    <row r="7" spans="1:6" s="20" customFormat="1" ht="12.75">
      <c r="A7" s="42"/>
      <c r="B7" s="41"/>
      <c r="C7" s="42"/>
      <c r="D7" s="42"/>
      <c r="E7" s="42"/>
      <c r="F7" s="42"/>
    </row>
    <row r="8" spans="1:6" s="13" customFormat="1" ht="15" customHeight="1">
      <c r="A8" s="34"/>
      <c r="B8" s="107" t="s">
        <v>38</v>
      </c>
      <c r="C8" s="107"/>
      <c r="D8" s="107"/>
      <c r="E8" s="107"/>
      <c r="F8" s="34"/>
    </row>
    <row r="9" spans="1:6" s="13" customFormat="1" ht="15" customHeight="1">
      <c r="A9" s="34"/>
      <c r="B9" s="107"/>
      <c r="C9" s="107"/>
      <c r="D9" s="107"/>
      <c r="E9" s="107"/>
      <c r="F9" s="50"/>
    </row>
    <row r="10" spans="1:6" s="13" customFormat="1" ht="15" customHeight="1">
      <c r="A10" s="34"/>
      <c r="B10" s="107"/>
      <c r="C10" s="107"/>
      <c r="D10" s="107"/>
      <c r="E10" s="107"/>
      <c r="F10" s="34"/>
    </row>
    <row r="11" spans="1:6" s="13" customFormat="1" ht="15" customHeight="1">
      <c r="A11" s="34"/>
      <c r="B11" s="51"/>
      <c r="C11" s="51"/>
      <c r="D11" s="51"/>
      <c r="E11" s="51"/>
      <c r="F11" s="34"/>
    </row>
    <row r="12" spans="1:6" s="13" customFormat="1" ht="36.950000000000003" customHeight="1">
      <c r="A12" s="34"/>
      <c r="B12" s="52" t="s">
        <v>22</v>
      </c>
      <c r="C12" s="52" t="s">
        <v>29</v>
      </c>
      <c r="D12" s="52" t="s">
        <v>20</v>
      </c>
      <c r="E12" s="52" t="s">
        <v>19</v>
      </c>
      <c r="F12" s="34"/>
    </row>
    <row r="13" spans="1:6" ht="14.45" customHeight="1">
      <c r="A13" s="29"/>
      <c r="B13" s="124" t="s">
        <v>80</v>
      </c>
      <c r="C13" s="57" t="s">
        <v>140</v>
      </c>
      <c r="D13" s="68">
        <v>14</v>
      </c>
      <c r="E13" s="69">
        <v>2E-3</v>
      </c>
      <c r="F13" s="29"/>
    </row>
    <row r="14" spans="1:6" ht="14.45" customHeight="1">
      <c r="A14" s="29"/>
      <c r="B14" s="124"/>
      <c r="C14" s="57" t="s">
        <v>141</v>
      </c>
      <c r="D14" s="68">
        <v>27</v>
      </c>
      <c r="E14" s="69">
        <v>3.0000000000000001E-3</v>
      </c>
      <c r="F14" s="29"/>
    </row>
    <row r="15" spans="1:6" ht="14.45" customHeight="1">
      <c r="A15" s="29"/>
      <c r="B15" s="124"/>
      <c r="C15" s="73" t="s">
        <v>265</v>
      </c>
      <c r="D15" s="71">
        <v>41</v>
      </c>
      <c r="E15" s="72">
        <v>5.0000000000000001E-3</v>
      </c>
      <c r="F15" s="29"/>
    </row>
    <row r="16" spans="1:6" ht="14.45" customHeight="1">
      <c r="A16" s="29"/>
      <c r="B16" s="124" t="s">
        <v>62</v>
      </c>
      <c r="C16" s="57" t="s">
        <v>140</v>
      </c>
      <c r="D16" s="68">
        <v>51</v>
      </c>
      <c r="E16" s="69">
        <v>6.0000000000000001E-3</v>
      </c>
      <c r="F16" s="29"/>
    </row>
    <row r="17" spans="1:6" ht="14.45" customHeight="1">
      <c r="A17" s="29"/>
      <c r="B17" s="124"/>
      <c r="C17" s="57" t="s">
        <v>141</v>
      </c>
      <c r="D17" s="68">
        <v>63</v>
      </c>
      <c r="E17" s="69">
        <v>8.0000000000000002E-3</v>
      </c>
      <c r="F17" s="29"/>
    </row>
    <row r="18" spans="1:6" ht="14.45" customHeight="1">
      <c r="A18" s="29"/>
      <c r="B18" s="124"/>
      <c r="C18" s="73" t="s">
        <v>265</v>
      </c>
      <c r="D18" s="71">
        <v>114</v>
      </c>
      <c r="E18" s="72">
        <v>1.4E-2</v>
      </c>
      <c r="F18" s="29"/>
    </row>
    <row r="19" spans="1:6" ht="14.45" customHeight="1">
      <c r="A19" s="29"/>
      <c r="B19" s="124" t="s">
        <v>76</v>
      </c>
      <c r="C19" s="57" t="s">
        <v>140</v>
      </c>
      <c r="D19" s="68">
        <v>22</v>
      </c>
      <c r="E19" s="69">
        <v>3.0000000000000001E-3</v>
      </c>
      <c r="F19" s="29"/>
    </row>
    <row r="20" spans="1:6" ht="14.45" customHeight="1">
      <c r="A20" s="29"/>
      <c r="B20" s="124"/>
      <c r="C20" s="57" t="s">
        <v>141</v>
      </c>
      <c r="D20" s="68">
        <v>18</v>
      </c>
      <c r="E20" s="69">
        <v>2E-3</v>
      </c>
      <c r="F20" s="29"/>
    </row>
    <row r="21" spans="1:6" ht="14.45" customHeight="1">
      <c r="A21" s="29"/>
      <c r="B21" s="124"/>
      <c r="C21" s="73" t="s">
        <v>265</v>
      </c>
      <c r="D21" s="71">
        <v>40</v>
      </c>
      <c r="E21" s="72">
        <v>5.0000000000000001E-3</v>
      </c>
      <c r="F21" s="29"/>
    </row>
    <row r="22" spans="1:6" ht="14.45" customHeight="1">
      <c r="A22" s="29"/>
      <c r="B22" s="124" t="s">
        <v>59</v>
      </c>
      <c r="C22" s="57" t="s">
        <v>140</v>
      </c>
      <c r="D22" s="68">
        <v>60</v>
      </c>
      <c r="E22" s="69">
        <v>7.0000000000000001E-3</v>
      </c>
      <c r="F22" s="29"/>
    </row>
    <row r="23" spans="1:6" ht="14.45" customHeight="1">
      <c r="A23" s="29"/>
      <c r="B23" s="124"/>
      <c r="C23" s="57" t="s">
        <v>141</v>
      </c>
      <c r="D23" s="68">
        <v>99</v>
      </c>
      <c r="E23" s="69">
        <v>1.2E-2</v>
      </c>
      <c r="F23" s="29"/>
    </row>
    <row r="24" spans="1:6" ht="14.45" customHeight="1">
      <c r="A24" s="29"/>
      <c r="B24" s="124"/>
      <c r="C24" s="73" t="s">
        <v>265</v>
      </c>
      <c r="D24" s="71">
        <v>159</v>
      </c>
      <c r="E24" s="72">
        <v>1.9E-2</v>
      </c>
      <c r="F24" s="29"/>
    </row>
    <row r="25" spans="1:6" ht="14.45" customHeight="1">
      <c r="A25" s="29"/>
      <c r="B25" s="124" t="s">
        <v>91</v>
      </c>
      <c r="C25" s="57" t="s">
        <v>140</v>
      </c>
      <c r="D25" s="68">
        <v>2</v>
      </c>
      <c r="E25" s="69">
        <v>0</v>
      </c>
      <c r="F25" s="29"/>
    </row>
    <row r="26" spans="1:6" ht="14.45" customHeight="1">
      <c r="A26" s="29"/>
      <c r="B26" s="124"/>
      <c r="C26" s="57" t="s">
        <v>141</v>
      </c>
      <c r="D26" s="68">
        <v>7</v>
      </c>
      <c r="E26" s="69">
        <v>1E-3</v>
      </c>
      <c r="F26" s="29"/>
    </row>
    <row r="27" spans="1:6" ht="14.45" customHeight="1">
      <c r="A27" s="29"/>
      <c r="B27" s="124"/>
      <c r="C27" s="73" t="s">
        <v>265</v>
      </c>
      <c r="D27" s="71">
        <v>9</v>
      </c>
      <c r="E27" s="72">
        <v>1E-3</v>
      </c>
      <c r="F27" s="29"/>
    </row>
    <row r="28" spans="1:6" ht="14.45" customHeight="1">
      <c r="A28" s="29"/>
      <c r="B28" s="124" t="s">
        <v>89</v>
      </c>
      <c r="C28" s="57" t="s">
        <v>140</v>
      </c>
      <c r="D28" s="68">
        <v>1</v>
      </c>
      <c r="E28" s="69">
        <v>0</v>
      </c>
      <c r="F28" s="29"/>
    </row>
    <row r="29" spans="1:6" ht="14.45" customHeight="1">
      <c r="A29" s="29"/>
      <c r="B29" s="124"/>
      <c r="C29" s="57" t="s">
        <v>141</v>
      </c>
      <c r="D29" s="68">
        <v>1</v>
      </c>
      <c r="E29" s="69">
        <v>0</v>
      </c>
      <c r="F29" s="29"/>
    </row>
    <row r="30" spans="1:6" ht="14.45" customHeight="1">
      <c r="A30" s="29"/>
      <c r="B30" s="124"/>
      <c r="C30" s="73" t="s">
        <v>265</v>
      </c>
      <c r="D30" s="71">
        <v>2</v>
      </c>
      <c r="E30" s="72">
        <v>0</v>
      </c>
      <c r="F30" s="29"/>
    </row>
    <row r="31" spans="1:6" ht="14.45" customHeight="1">
      <c r="A31" s="29"/>
      <c r="B31" s="124" t="s">
        <v>88</v>
      </c>
      <c r="C31" s="57" t="s">
        <v>140</v>
      </c>
      <c r="D31" s="68">
        <v>9</v>
      </c>
      <c r="E31" s="69">
        <v>1E-3</v>
      </c>
      <c r="F31" s="29"/>
    </row>
    <row r="32" spans="1:6" ht="14.45" customHeight="1">
      <c r="A32" s="29"/>
      <c r="B32" s="124"/>
      <c r="C32" s="57" t="s">
        <v>141</v>
      </c>
      <c r="D32" s="68">
        <v>5</v>
      </c>
      <c r="E32" s="69">
        <v>1E-3</v>
      </c>
      <c r="F32" s="29"/>
    </row>
    <row r="33" spans="1:6" ht="14.45" customHeight="1">
      <c r="A33" s="29"/>
      <c r="B33" s="124"/>
      <c r="C33" s="73" t="s">
        <v>265</v>
      </c>
      <c r="D33" s="71">
        <v>14</v>
      </c>
      <c r="E33" s="72">
        <v>2E-3</v>
      </c>
      <c r="F33" s="29"/>
    </row>
    <row r="34" spans="1:6" ht="14.45" customHeight="1">
      <c r="A34" s="29"/>
      <c r="B34" s="124" t="s">
        <v>54</v>
      </c>
      <c r="C34" s="57" t="s">
        <v>140</v>
      </c>
      <c r="D34" s="68">
        <v>119</v>
      </c>
      <c r="E34" s="69">
        <v>1.4E-2</v>
      </c>
      <c r="F34" s="29"/>
    </row>
    <row r="35" spans="1:6" ht="14.45" customHeight="1">
      <c r="A35" s="29"/>
      <c r="B35" s="124"/>
      <c r="C35" s="57" t="s">
        <v>141</v>
      </c>
      <c r="D35" s="68">
        <v>174</v>
      </c>
      <c r="E35" s="69">
        <v>2.1000000000000001E-2</v>
      </c>
      <c r="F35" s="29"/>
    </row>
    <row r="36" spans="1:6" ht="14.45" customHeight="1">
      <c r="A36" s="29"/>
      <c r="B36" s="124"/>
      <c r="C36" s="73" t="s">
        <v>265</v>
      </c>
      <c r="D36" s="71">
        <v>293</v>
      </c>
      <c r="E36" s="72">
        <v>3.5000000000000003E-2</v>
      </c>
      <c r="F36" s="29"/>
    </row>
    <row r="37" spans="1:6" ht="14.45" customHeight="1">
      <c r="A37" s="29"/>
      <c r="B37" s="124" t="s">
        <v>61</v>
      </c>
      <c r="C37" s="57" t="s">
        <v>140</v>
      </c>
      <c r="D37" s="68">
        <v>45</v>
      </c>
      <c r="E37" s="69">
        <v>5.0000000000000001E-3</v>
      </c>
      <c r="F37" s="29"/>
    </row>
    <row r="38" spans="1:6" ht="14.45" customHeight="1">
      <c r="A38" s="29"/>
      <c r="B38" s="124"/>
      <c r="C38" s="57" t="s">
        <v>141</v>
      </c>
      <c r="D38" s="68">
        <v>42</v>
      </c>
      <c r="E38" s="69">
        <v>5.0000000000000001E-3</v>
      </c>
      <c r="F38" s="29"/>
    </row>
    <row r="39" spans="1:6" ht="14.45" customHeight="1">
      <c r="A39" s="29"/>
      <c r="B39" s="124"/>
      <c r="C39" s="73" t="s">
        <v>265</v>
      </c>
      <c r="D39" s="71">
        <v>87</v>
      </c>
      <c r="E39" s="72">
        <v>0.01</v>
      </c>
      <c r="F39" s="29"/>
    </row>
    <row r="40" spans="1:6" ht="14.45" customHeight="1">
      <c r="A40" s="29"/>
      <c r="B40" s="124" t="s">
        <v>56</v>
      </c>
      <c r="C40" s="57" t="s">
        <v>140</v>
      </c>
      <c r="D40" s="68">
        <v>94</v>
      </c>
      <c r="E40" s="69">
        <v>1.0999999999999999E-2</v>
      </c>
      <c r="F40" s="29"/>
    </row>
    <row r="41" spans="1:6" ht="14.45" customHeight="1">
      <c r="A41" s="29"/>
      <c r="B41" s="124"/>
      <c r="C41" s="57" t="s">
        <v>141</v>
      </c>
      <c r="D41" s="68">
        <v>163</v>
      </c>
      <c r="E41" s="69">
        <v>1.9E-2</v>
      </c>
      <c r="F41" s="29"/>
    </row>
    <row r="42" spans="1:6" ht="14.45" customHeight="1">
      <c r="A42" s="29"/>
      <c r="B42" s="124"/>
      <c r="C42" s="73" t="s">
        <v>265</v>
      </c>
      <c r="D42" s="71">
        <v>257</v>
      </c>
      <c r="E42" s="72">
        <v>3.1E-2</v>
      </c>
      <c r="F42" s="29"/>
    </row>
    <row r="43" spans="1:6" ht="14.45" customHeight="1">
      <c r="A43" s="29"/>
      <c r="B43" s="124" t="s">
        <v>74</v>
      </c>
      <c r="C43" s="57" t="s">
        <v>140</v>
      </c>
      <c r="D43" s="68">
        <v>37</v>
      </c>
      <c r="E43" s="69">
        <v>4.0000000000000001E-3</v>
      </c>
      <c r="F43" s="29"/>
    </row>
    <row r="44" spans="1:6" ht="14.45" customHeight="1">
      <c r="A44" s="29"/>
      <c r="B44" s="124"/>
      <c r="C44" s="57" t="s">
        <v>141</v>
      </c>
      <c r="D44" s="68">
        <v>33</v>
      </c>
      <c r="E44" s="69">
        <v>4.0000000000000001E-3</v>
      </c>
      <c r="F44" s="29"/>
    </row>
    <row r="45" spans="1:6" ht="14.45" customHeight="1">
      <c r="A45" s="29"/>
      <c r="B45" s="124"/>
      <c r="C45" s="73" t="s">
        <v>265</v>
      </c>
      <c r="D45" s="71">
        <v>70</v>
      </c>
      <c r="E45" s="72">
        <v>8.0000000000000002E-3</v>
      </c>
      <c r="F45" s="29"/>
    </row>
    <row r="46" spans="1:6" ht="14.45" customHeight="1">
      <c r="A46" s="29"/>
      <c r="B46" s="124" t="s">
        <v>94</v>
      </c>
      <c r="C46" s="57" t="s">
        <v>141</v>
      </c>
      <c r="D46" s="68">
        <v>2</v>
      </c>
      <c r="E46" s="69">
        <v>0</v>
      </c>
      <c r="F46" s="29"/>
    </row>
    <row r="47" spans="1:6" ht="14.45" customHeight="1">
      <c r="A47" s="29"/>
      <c r="B47" s="124"/>
      <c r="C47" s="73" t="s">
        <v>265</v>
      </c>
      <c r="D47" s="71">
        <v>2</v>
      </c>
      <c r="E47" s="72">
        <v>0</v>
      </c>
      <c r="F47" s="29"/>
    </row>
    <row r="48" spans="1:6" ht="14.45" customHeight="1">
      <c r="A48" s="29"/>
      <c r="B48" s="124"/>
      <c r="C48" s="57" t="s">
        <v>140</v>
      </c>
      <c r="D48" s="68">
        <v>4</v>
      </c>
      <c r="E48" s="69">
        <v>0</v>
      </c>
      <c r="F48" s="29"/>
    </row>
    <row r="49" spans="1:6" ht="14.45" customHeight="1">
      <c r="A49" s="29"/>
      <c r="B49" s="125" t="s">
        <v>263</v>
      </c>
      <c r="C49" s="57" t="s">
        <v>141</v>
      </c>
      <c r="D49" s="68">
        <v>2</v>
      </c>
      <c r="E49" s="69">
        <v>0</v>
      </c>
      <c r="F49" s="29"/>
    </row>
    <row r="50" spans="1:6" ht="14.45" customHeight="1">
      <c r="A50" s="29"/>
      <c r="B50" s="125"/>
      <c r="C50" s="73" t="s">
        <v>265</v>
      </c>
      <c r="D50" s="71">
        <v>6</v>
      </c>
      <c r="E50" s="72">
        <v>1E-3</v>
      </c>
      <c r="F50" s="29"/>
    </row>
    <row r="51" spans="1:6" ht="14.45" customHeight="1">
      <c r="A51" s="29"/>
      <c r="B51" s="124" t="s">
        <v>75</v>
      </c>
      <c r="C51" s="57" t="s">
        <v>140</v>
      </c>
      <c r="D51" s="68">
        <v>15</v>
      </c>
      <c r="E51" s="69">
        <v>2E-3</v>
      </c>
      <c r="F51" s="29"/>
    </row>
    <row r="52" spans="1:6" ht="14.45" customHeight="1">
      <c r="A52" s="29"/>
      <c r="B52" s="124"/>
      <c r="C52" s="57" t="s">
        <v>141</v>
      </c>
      <c r="D52" s="68">
        <v>23</v>
      </c>
      <c r="E52" s="69">
        <v>3.0000000000000001E-3</v>
      </c>
      <c r="F52" s="29"/>
    </row>
    <row r="53" spans="1:6" ht="14.45" customHeight="1">
      <c r="A53" s="29"/>
      <c r="B53" s="124"/>
      <c r="C53" s="73" t="s">
        <v>265</v>
      </c>
      <c r="D53" s="71">
        <v>38</v>
      </c>
      <c r="E53" s="72">
        <v>5.0000000000000001E-3</v>
      </c>
      <c r="F53" s="29"/>
    </row>
    <row r="54" spans="1:6" ht="14.45" customHeight="1">
      <c r="A54" s="29"/>
      <c r="B54" s="124" t="s">
        <v>47</v>
      </c>
      <c r="C54" s="57" t="s">
        <v>140</v>
      </c>
      <c r="D54" s="68">
        <v>316</v>
      </c>
      <c r="E54" s="69">
        <v>3.7999999999999999E-2</v>
      </c>
      <c r="F54" s="29"/>
    </row>
    <row r="55" spans="1:6" ht="14.45" customHeight="1">
      <c r="A55" s="29"/>
      <c r="B55" s="124"/>
      <c r="C55" s="57" t="s">
        <v>141</v>
      </c>
      <c r="D55" s="68">
        <v>334</v>
      </c>
      <c r="E55" s="69">
        <v>0.04</v>
      </c>
      <c r="F55" s="29"/>
    </row>
    <row r="56" spans="1:6" ht="14.45" customHeight="1">
      <c r="A56" s="29"/>
      <c r="B56" s="124"/>
      <c r="C56" s="73" t="s">
        <v>265</v>
      </c>
      <c r="D56" s="71">
        <v>650</v>
      </c>
      <c r="E56" s="72">
        <v>7.8E-2</v>
      </c>
      <c r="F56" s="29"/>
    </row>
    <row r="57" spans="1:6" ht="14.45" customHeight="1">
      <c r="A57" s="29"/>
      <c r="B57" s="124" t="s">
        <v>65</v>
      </c>
      <c r="C57" s="57" t="s">
        <v>140</v>
      </c>
      <c r="D57" s="68">
        <v>57</v>
      </c>
      <c r="E57" s="69">
        <v>7.0000000000000001E-3</v>
      </c>
      <c r="F57" s="29"/>
    </row>
    <row r="58" spans="1:6" ht="14.45" customHeight="1">
      <c r="A58" s="29"/>
      <c r="B58" s="124"/>
      <c r="C58" s="57" t="s">
        <v>141</v>
      </c>
      <c r="D58" s="68">
        <v>53</v>
      </c>
      <c r="E58" s="69">
        <v>6.0000000000000001E-3</v>
      </c>
      <c r="F58" s="29"/>
    </row>
    <row r="59" spans="1:6" ht="14.45" customHeight="1">
      <c r="A59" s="29"/>
      <c r="B59" s="124"/>
      <c r="C59" s="73" t="s">
        <v>265</v>
      </c>
      <c r="D59" s="71">
        <v>110</v>
      </c>
      <c r="E59" s="72">
        <v>1.2999999999999999E-2</v>
      </c>
      <c r="F59" s="29"/>
    </row>
    <row r="60" spans="1:6" ht="14.45" customHeight="1">
      <c r="A60" s="29"/>
      <c r="B60" s="124" t="s">
        <v>68</v>
      </c>
      <c r="C60" s="57" t="s">
        <v>140</v>
      </c>
      <c r="D60" s="68">
        <v>26</v>
      </c>
      <c r="E60" s="69">
        <v>3.0000000000000001E-3</v>
      </c>
      <c r="F60" s="29"/>
    </row>
    <row r="61" spans="1:6" ht="14.45" customHeight="1">
      <c r="A61" s="29"/>
      <c r="B61" s="124"/>
      <c r="C61" s="57" t="s">
        <v>141</v>
      </c>
      <c r="D61" s="68">
        <v>30</v>
      </c>
      <c r="E61" s="69">
        <v>4.0000000000000001E-3</v>
      </c>
      <c r="F61" s="29"/>
    </row>
    <row r="62" spans="1:6" ht="14.45" customHeight="1">
      <c r="A62" s="29"/>
      <c r="B62" s="124"/>
      <c r="C62" s="73" t="s">
        <v>265</v>
      </c>
      <c r="D62" s="71">
        <v>56</v>
      </c>
      <c r="E62" s="72">
        <v>7.0000000000000001E-3</v>
      </c>
      <c r="F62" s="29"/>
    </row>
    <row r="63" spans="1:6" ht="14.45" customHeight="1">
      <c r="A63" s="29"/>
      <c r="B63" s="124" t="s">
        <v>69</v>
      </c>
      <c r="C63" s="57" t="s">
        <v>140</v>
      </c>
      <c r="D63" s="68">
        <v>24</v>
      </c>
      <c r="E63" s="69">
        <v>3.0000000000000001E-3</v>
      </c>
      <c r="F63" s="29"/>
    </row>
    <row r="64" spans="1:6" ht="14.45" customHeight="1">
      <c r="A64" s="29"/>
      <c r="B64" s="124"/>
      <c r="C64" s="57" t="s">
        <v>141</v>
      </c>
      <c r="D64" s="68">
        <v>29</v>
      </c>
      <c r="E64" s="69">
        <v>3.0000000000000001E-3</v>
      </c>
      <c r="F64" s="29"/>
    </row>
    <row r="65" spans="1:6" ht="14.45" customHeight="1">
      <c r="A65" s="29"/>
      <c r="B65" s="124"/>
      <c r="C65" s="73" t="s">
        <v>265</v>
      </c>
      <c r="D65" s="71">
        <v>53</v>
      </c>
      <c r="E65" s="72">
        <v>6.0000000000000001E-3</v>
      </c>
      <c r="F65" s="29"/>
    </row>
    <row r="66" spans="1:6" ht="14.45" customHeight="1">
      <c r="A66" s="29"/>
      <c r="B66" s="124" t="s">
        <v>90</v>
      </c>
      <c r="C66" s="57" t="s">
        <v>140</v>
      </c>
      <c r="D66" s="68">
        <v>1</v>
      </c>
      <c r="E66" s="69">
        <v>0</v>
      </c>
      <c r="F66" s="29"/>
    </row>
    <row r="67" spans="1:6" ht="14.45" customHeight="1">
      <c r="A67" s="29"/>
      <c r="B67" s="124"/>
      <c r="C67" s="57" t="s">
        <v>141</v>
      </c>
      <c r="D67" s="68">
        <v>4</v>
      </c>
      <c r="E67" s="69">
        <v>0</v>
      </c>
      <c r="F67" s="29"/>
    </row>
    <row r="68" spans="1:6" ht="14.45" customHeight="1">
      <c r="A68" s="29"/>
      <c r="B68" s="124"/>
      <c r="C68" s="73" t="s">
        <v>265</v>
      </c>
      <c r="D68" s="71">
        <v>5</v>
      </c>
      <c r="E68" s="72">
        <v>1E-3</v>
      </c>
      <c r="F68" s="29"/>
    </row>
    <row r="69" spans="1:6" ht="14.45" customHeight="1">
      <c r="A69" s="29"/>
      <c r="B69" s="124" t="s">
        <v>49</v>
      </c>
      <c r="C69" s="57" t="s">
        <v>140</v>
      </c>
      <c r="D69" s="68">
        <v>218</v>
      </c>
      <c r="E69" s="69">
        <v>2.5999999999999999E-2</v>
      </c>
      <c r="F69" s="29"/>
    </row>
    <row r="70" spans="1:6" ht="14.45" customHeight="1">
      <c r="A70" s="29"/>
      <c r="B70" s="124"/>
      <c r="C70" s="57" t="s">
        <v>141</v>
      </c>
      <c r="D70" s="68">
        <v>236</v>
      </c>
      <c r="E70" s="69">
        <v>2.8000000000000001E-2</v>
      </c>
      <c r="F70" s="29"/>
    </row>
    <row r="71" spans="1:6" ht="14.45" customHeight="1">
      <c r="A71" s="29"/>
      <c r="B71" s="124"/>
      <c r="C71" s="73" t="s">
        <v>265</v>
      </c>
      <c r="D71" s="71">
        <v>454</v>
      </c>
      <c r="E71" s="72">
        <v>5.3999999999999999E-2</v>
      </c>
      <c r="F71" s="29"/>
    </row>
    <row r="72" spans="1:6" ht="14.45" customHeight="1">
      <c r="A72" s="29"/>
      <c r="B72" s="124" t="s">
        <v>70</v>
      </c>
      <c r="C72" s="57" t="s">
        <v>140</v>
      </c>
      <c r="D72" s="68">
        <v>29</v>
      </c>
      <c r="E72" s="69">
        <v>3.0000000000000001E-3</v>
      </c>
      <c r="F72" s="29"/>
    </row>
    <row r="73" spans="1:6" ht="14.45" customHeight="1">
      <c r="A73" s="29"/>
      <c r="B73" s="124"/>
      <c r="C73" s="57" t="s">
        <v>141</v>
      </c>
      <c r="D73" s="68">
        <v>33</v>
      </c>
      <c r="E73" s="69">
        <v>4.0000000000000001E-3</v>
      </c>
      <c r="F73" s="29"/>
    </row>
    <row r="74" spans="1:6" ht="14.45" customHeight="1">
      <c r="A74" s="29"/>
      <c r="B74" s="124"/>
      <c r="C74" s="73" t="s">
        <v>265</v>
      </c>
      <c r="D74" s="71">
        <v>62</v>
      </c>
      <c r="E74" s="72">
        <v>7.0000000000000001E-3</v>
      </c>
      <c r="F74" s="29"/>
    </row>
    <row r="75" spans="1:6" ht="14.45" customHeight="1">
      <c r="A75" s="29"/>
      <c r="B75" s="124" t="s">
        <v>46</v>
      </c>
      <c r="C75" s="57" t="s">
        <v>140</v>
      </c>
      <c r="D75" s="68">
        <v>974</v>
      </c>
      <c r="E75" s="69">
        <v>0.11600000000000001</v>
      </c>
      <c r="F75" s="29"/>
    </row>
    <row r="76" spans="1:6" ht="14.45" customHeight="1">
      <c r="A76" s="29"/>
      <c r="B76" s="124"/>
      <c r="C76" s="57" t="s">
        <v>141</v>
      </c>
      <c r="D76" s="68">
        <v>892</v>
      </c>
      <c r="E76" s="69">
        <v>0.106</v>
      </c>
      <c r="F76" s="29"/>
    </row>
    <row r="77" spans="1:6" ht="14.45" customHeight="1">
      <c r="A77" s="29"/>
      <c r="B77" s="124"/>
      <c r="C77" s="73" t="s">
        <v>265</v>
      </c>
      <c r="D77" s="71">
        <v>1866</v>
      </c>
      <c r="E77" s="72">
        <v>0.223</v>
      </c>
      <c r="F77" s="29"/>
    </row>
    <row r="78" spans="1:6" ht="14.45" customHeight="1">
      <c r="A78" s="29"/>
      <c r="B78" s="124" t="s">
        <v>81</v>
      </c>
      <c r="C78" s="57" t="s">
        <v>140</v>
      </c>
      <c r="D78" s="68">
        <v>12</v>
      </c>
      <c r="E78" s="69">
        <v>1E-3</v>
      </c>
      <c r="F78" s="29"/>
    </row>
    <row r="79" spans="1:6" ht="14.45" customHeight="1">
      <c r="A79" s="29"/>
      <c r="B79" s="124"/>
      <c r="C79" s="57" t="s">
        <v>141</v>
      </c>
      <c r="D79" s="68">
        <v>11</v>
      </c>
      <c r="E79" s="69">
        <v>1E-3</v>
      </c>
      <c r="F79" s="29"/>
    </row>
    <row r="80" spans="1:6" ht="14.45" customHeight="1">
      <c r="A80" s="29"/>
      <c r="B80" s="124"/>
      <c r="C80" s="73" t="s">
        <v>265</v>
      </c>
      <c r="D80" s="71">
        <v>23</v>
      </c>
      <c r="E80" s="72">
        <v>3.0000000000000001E-3</v>
      </c>
      <c r="F80" s="29"/>
    </row>
    <row r="81" spans="1:6" ht="14.45" customHeight="1">
      <c r="A81" s="29"/>
      <c r="B81" s="124" t="s">
        <v>82</v>
      </c>
      <c r="C81" s="57" t="s">
        <v>140</v>
      </c>
      <c r="D81" s="68">
        <v>10</v>
      </c>
      <c r="E81" s="69">
        <v>1E-3</v>
      </c>
      <c r="F81" s="29"/>
    </row>
    <row r="82" spans="1:6" ht="14.45" customHeight="1">
      <c r="A82" s="29"/>
      <c r="B82" s="124"/>
      <c r="C82" s="57" t="s">
        <v>141</v>
      </c>
      <c r="D82" s="68">
        <v>17</v>
      </c>
      <c r="E82" s="69">
        <v>2E-3</v>
      </c>
      <c r="F82" s="29"/>
    </row>
    <row r="83" spans="1:6" ht="14.45" customHeight="1">
      <c r="A83" s="29"/>
      <c r="B83" s="124"/>
      <c r="C83" s="73" t="s">
        <v>265</v>
      </c>
      <c r="D83" s="71">
        <v>27</v>
      </c>
      <c r="E83" s="72">
        <v>3.0000000000000001E-3</v>
      </c>
      <c r="F83" s="29"/>
    </row>
    <row r="84" spans="1:6" ht="14.45" customHeight="1">
      <c r="A84" s="29"/>
      <c r="B84" s="124" t="s">
        <v>77</v>
      </c>
      <c r="C84" s="57" t="s">
        <v>140</v>
      </c>
      <c r="D84" s="68">
        <v>8</v>
      </c>
      <c r="E84" s="69">
        <v>1E-3</v>
      </c>
      <c r="F84" s="29"/>
    </row>
    <row r="85" spans="1:6" ht="14.45" customHeight="1">
      <c r="A85" s="29"/>
      <c r="B85" s="124"/>
      <c r="C85" s="57" t="s">
        <v>141</v>
      </c>
      <c r="D85" s="68">
        <v>21</v>
      </c>
      <c r="E85" s="69">
        <v>3.0000000000000001E-3</v>
      </c>
      <c r="F85" s="29"/>
    </row>
    <row r="86" spans="1:6" ht="14.45" customHeight="1">
      <c r="A86" s="29"/>
      <c r="B86" s="124"/>
      <c r="C86" s="73" t="s">
        <v>265</v>
      </c>
      <c r="D86" s="71">
        <v>29</v>
      </c>
      <c r="E86" s="72">
        <v>3.0000000000000001E-3</v>
      </c>
      <c r="F86" s="29"/>
    </row>
    <row r="87" spans="1:6" ht="14.45" customHeight="1">
      <c r="A87" s="29"/>
      <c r="B87" s="124" t="s">
        <v>92</v>
      </c>
      <c r="C87" s="57" t="s">
        <v>140</v>
      </c>
      <c r="D87" s="68">
        <v>8</v>
      </c>
      <c r="E87" s="69">
        <v>1E-3</v>
      </c>
      <c r="F87" s="29"/>
    </row>
    <row r="88" spans="1:6" ht="14.45" customHeight="1">
      <c r="A88" s="29"/>
      <c r="B88" s="124"/>
      <c r="C88" s="57" t="s">
        <v>141</v>
      </c>
      <c r="D88" s="68">
        <v>3</v>
      </c>
      <c r="E88" s="69">
        <v>0</v>
      </c>
      <c r="F88" s="29"/>
    </row>
    <row r="89" spans="1:6" ht="14.45" customHeight="1">
      <c r="A89" s="29"/>
      <c r="B89" s="124"/>
      <c r="C89" s="73" t="s">
        <v>265</v>
      </c>
      <c r="D89" s="71">
        <v>11</v>
      </c>
      <c r="E89" s="72">
        <v>1E-3</v>
      </c>
      <c r="F89" s="29"/>
    </row>
    <row r="90" spans="1:6" ht="14.45" customHeight="1">
      <c r="A90" s="29"/>
      <c r="B90" s="124" t="s">
        <v>93</v>
      </c>
      <c r="C90" s="57" t="s">
        <v>140</v>
      </c>
      <c r="D90" s="68">
        <v>1</v>
      </c>
      <c r="E90" s="69">
        <v>0</v>
      </c>
      <c r="F90" s="29"/>
    </row>
    <row r="91" spans="1:6" ht="14.45" customHeight="1">
      <c r="A91" s="29"/>
      <c r="B91" s="124"/>
      <c r="C91" s="73" t="s">
        <v>265</v>
      </c>
      <c r="D91" s="71">
        <v>1</v>
      </c>
      <c r="E91" s="72">
        <v>0</v>
      </c>
      <c r="F91" s="29"/>
    </row>
    <row r="92" spans="1:6" ht="14.45" customHeight="1">
      <c r="A92" s="29"/>
      <c r="B92" s="124" t="s">
        <v>83</v>
      </c>
      <c r="C92" s="57" t="s">
        <v>140</v>
      </c>
      <c r="D92" s="68">
        <v>13</v>
      </c>
      <c r="E92" s="69">
        <v>2E-3</v>
      </c>
      <c r="F92" s="29"/>
    </row>
    <row r="93" spans="1:6" ht="14.45" customHeight="1">
      <c r="A93" s="29"/>
      <c r="B93" s="124"/>
      <c r="C93" s="57" t="s">
        <v>141</v>
      </c>
      <c r="D93" s="68">
        <v>14</v>
      </c>
      <c r="E93" s="69">
        <v>2E-3</v>
      </c>
      <c r="F93" s="29"/>
    </row>
    <row r="94" spans="1:6" ht="14.45" customHeight="1">
      <c r="A94" s="29"/>
      <c r="B94" s="124"/>
      <c r="C94" s="73" t="s">
        <v>265</v>
      </c>
      <c r="D94" s="71">
        <v>27</v>
      </c>
      <c r="E94" s="72">
        <v>3.0000000000000001E-3</v>
      </c>
      <c r="F94" s="29"/>
    </row>
    <row r="95" spans="1:6" ht="14.45" customHeight="1">
      <c r="A95" s="29"/>
      <c r="B95" s="124" t="s">
        <v>84</v>
      </c>
      <c r="C95" s="57" t="s">
        <v>140</v>
      </c>
      <c r="D95" s="68">
        <v>4</v>
      </c>
      <c r="E95" s="69">
        <v>0</v>
      </c>
      <c r="F95" s="29"/>
    </row>
    <row r="96" spans="1:6" ht="14.45" customHeight="1">
      <c r="A96" s="29"/>
      <c r="B96" s="124"/>
      <c r="C96" s="57" t="s">
        <v>141</v>
      </c>
      <c r="D96" s="68">
        <v>5</v>
      </c>
      <c r="E96" s="69">
        <v>1E-3</v>
      </c>
      <c r="F96" s="29"/>
    </row>
    <row r="97" spans="1:6" ht="14.45" customHeight="1">
      <c r="A97" s="29"/>
      <c r="B97" s="124"/>
      <c r="C97" s="73" t="s">
        <v>265</v>
      </c>
      <c r="D97" s="71">
        <v>9</v>
      </c>
      <c r="E97" s="72">
        <v>1E-3</v>
      </c>
      <c r="F97" s="29"/>
    </row>
    <row r="98" spans="1:6" ht="14.45" customHeight="1">
      <c r="A98" s="29"/>
      <c r="B98" s="124" t="s">
        <v>72</v>
      </c>
      <c r="C98" s="57" t="s">
        <v>140</v>
      </c>
      <c r="D98" s="68">
        <v>38</v>
      </c>
      <c r="E98" s="69">
        <v>5.0000000000000001E-3</v>
      </c>
      <c r="F98" s="29"/>
    </row>
    <row r="99" spans="1:6" ht="14.45" customHeight="1">
      <c r="A99" s="29"/>
      <c r="B99" s="124"/>
      <c r="C99" s="57" t="s">
        <v>141</v>
      </c>
      <c r="D99" s="68">
        <v>42</v>
      </c>
      <c r="E99" s="69">
        <v>5.0000000000000001E-3</v>
      </c>
      <c r="F99" s="29"/>
    </row>
    <row r="100" spans="1:6" ht="14.45" customHeight="1">
      <c r="A100" s="29"/>
      <c r="B100" s="124"/>
      <c r="C100" s="73" t="s">
        <v>265</v>
      </c>
      <c r="D100" s="71">
        <v>80</v>
      </c>
      <c r="E100" s="72">
        <v>0.01</v>
      </c>
      <c r="F100" s="29"/>
    </row>
    <row r="101" spans="1:6" ht="14.45" customHeight="1">
      <c r="A101" s="29"/>
      <c r="B101" s="124" t="s">
        <v>73</v>
      </c>
      <c r="C101" s="57" t="s">
        <v>140</v>
      </c>
      <c r="D101" s="68">
        <v>27</v>
      </c>
      <c r="E101" s="69">
        <v>3.0000000000000001E-3</v>
      </c>
      <c r="F101" s="29"/>
    </row>
    <row r="102" spans="1:6" ht="14.45" customHeight="1">
      <c r="A102" s="29"/>
      <c r="B102" s="124"/>
      <c r="C102" s="57" t="s">
        <v>141</v>
      </c>
      <c r="D102" s="68">
        <v>37</v>
      </c>
      <c r="E102" s="69">
        <v>4.0000000000000001E-3</v>
      </c>
      <c r="F102" s="29"/>
    </row>
    <row r="103" spans="1:6" ht="14.45" customHeight="1">
      <c r="A103" s="29"/>
      <c r="B103" s="124"/>
      <c r="C103" s="73" t="s">
        <v>265</v>
      </c>
      <c r="D103" s="71">
        <v>64</v>
      </c>
      <c r="E103" s="72">
        <v>8.0000000000000002E-3</v>
      </c>
      <c r="F103" s="29"/>
    </row>
    <row r="104" spans="1:6" ht="14.45" customHeight="1">
      <c r="A104" s="29"/>
      <c r="B104" s="124" t="s">
        <v>66</v>
      </c>
      <c r="C104" s="57" t="s">
        <v>140</v>
      </c>
      <c r="D104" s="68">
        <v>20</v>
      </c>
      <c r="E104" s="69">
        <v>2E-3</v>
      </c>
      <c r="F104" s="29"/>
    </row>
    <row r="105" spans="1:6" ht="14.45" customHeight="1">
      <c r="A105" s="29"/>
      <c r="B105" s="124"/>
      <c r="C105" s="57" t="s">
        <v>141</v>
      </c>
      <c r="D105" s="68">
        <v>36</v>
      </c>
      <c r="E105" s="69">
        <v>4.0000000000000001E-3</v>
      </c>
      <c r="F105" s="29"/>
    </row>
    <row r="106" spans="1:6" ht="14.45" customHeight="1">
      <c r="A106" s="29"/>
      <c r="B106" s="124"/>
      <c r="C106" s="73" t="s">
        <v>265</v>
      </c>
      <c r="D106" s="71">
        <v>56</v>
      </c>
      <c r="E106" s="72">
        <v>7.0000000000000001E-3</v>
      </c>
      <c r="F106" s="29"/>
    </row>
    <row r="107" spans="1:6" ht="14.45" customHeight="1">
      <c r="A107" s="29"/>
      <c r="B107" s="124" t="s">
        <v>67</v>
      </c>
      <c r="C107" s="57" t="s">
        <v>140</v>
      </c>
      <c r="D107" s="68">
        <v>52</v>
      </c>
      <c r="E107" s="69">
        <v>6.0000000000000001E-3</v>
      </c>
      <c r="F107" s="29"/>
    </row>
    <row r="108" spans="1:6" ht="14.45" customHeight="1">
      <c r="A108" s="29"/>
      <c r="B108" s="124"/>
      <c r="C108" s="57" t="s">
        <v>141</v>
      </c>
      <c r="D108" s="68">
        <v>56</v>
      </c>
      <c r="E108" s="69">
        <v>7.0000000000000001E-3</v>
      </c>
      <c r="F108" s="29"/>
    </row>
    <row r="109" spans="1:6" ht="14.45" customHeight="1">
      <c r="A109" s="29"/>
      <c r="B109" s="124"/>
      <c r="C109" s="73" t="s">
        <v>265</v>
      </c>
      <c r="D109" s="71">
        <v>108</v>
      </c>
      <c r="E109" s="72">
        <v>1.2999999999999999E-2</v>
      </c>
      <c r="F109" s="29"/>
    </row>
    <row r="110" spans="1:6" ht="14.45" customHeight="1">
      <c r="A110" s="29"/>
      <c r="B110" s="124" t="s">
        <v>55</v>
      </c>
      <c r="C110" s="57" t="s">
        <v>140</v>
      </c>
      <c r="D110" s="68">
        <v>94</v>
      </c>
      <c r="E110" s="69">
        <v>1.0999999999999999E-2</v>
      </c>
      <c r="F110" s="29"/>
    </row>
    <row r="111" spans="1:6" ht="14.45" customHeight="1">
      <c r="A111" s="29"/>
      <c r="B111" s="124"/>
      <c r="C111" s="57" t="s">
        <v>141</v>
      </c>
      <c r="D111" s="68">
        <v>112</v>
      </c>
      <c r="E111" s="69">
        <v>1.2999999999999999E-2</v>
      </c>
      <c r="F111" s="29"/>
    </row>
    <row r="112" spans="1:6" ht="14.45" customHeight="1">
      <c r="A112" s="29"/>
      <c r="B112" s="124"/>
      <c r="C112" s="57" t="s">
        <v>233</v>
      </c>
      <c r="D112" s="68">
        <v>1</v>
      </c>
      <c r="E112" s="69">
        <v>0</v>
      </c>
      <c r="F112" s="29"/>
    </row>
    <row r="113" spans="1:6" ht="14.45" customHeight="1">
      <c r="A113" s="29"/>
      <c r="B113" s="124"/>
      <c r="C113" s="73" t="s">
        <v>265</v>
      </c>
      <c r="D113" s="71">
        <v>207</v>
      </c>
      <c r="E113" s="72">
        <v>2.5000000000000001E-2</v>
      </c>
      <c r="F113" s="29"/>
    </row>
    <row r="114" spans="1:6" ht="14.45" customHeight="1">
      <c r="A114" s="29"/>
      <c r="B114" s="124" t="s">
        <v>63</v>
      </c>
      <c r="C114" s="57" t="s">
        <v>140</v>
      </c>
      <c r="D114" s="68">
        <v>48</v>
      </c>
      <c r="E114" s="69">
        <v>6.0000000000000001E-3</v>
      </c>
      <c r="F114" s="29"/>
    </row>
    <row r="115" spans="1:6" ht="14.45" customHeight="1">
      <c r="A115" s="29"/>
      <c r="B115" s="124"/>
      <c r="C115" s="57" t="s">
        <v>141</v>
      </c>
      <c r="D115" s="68">
        <v>75</v>
      </c>
      <c r="E115" s="69">
        <v>8.9999999999999993E-3</v>
      </c>
      <c r="F115" s="29"/>
    </row>
    <row r="116" spans="1:6" ht="14.45" customHeight="1">
      <c r="A116" s="29"/>
      <c r="B116" s="124"/>
      <c r="C116" s="73" t="s">
        <v>265</v>
      </c>
      <c r="D116" s="71">
        <v>123</v>
      </c>
      <c r="E116" s="72">
        <v>1.4999999999999999E-2</v>
      </c>
      <c r="F116" s="29"/>
    </row>
    <row r="117" spans="1:6" ht="14.45" customHeight="1">
      <c r="A117" s="29"/>
      <c r="B117" s="124" t="s">
        <v>95</v>
      </c>
      <c r="C117" s="57" t="s">
        <v>140</v>
      </c>
      <c r="D117" s="68">
        <v>2</v>
      </c>
      <c r="E117" s="69">
        <v>0</v>
      </c>
      <c r="F117" s="29"/>
    </row>
    <row r="118" spans="1:6" ht="14.45" customHeight="1">
      <c r="A118" s="29"/>
      <c r="B118" s="124"/>
      <c r="C118" s="57" t="s">
        <v>141</v>
      </c>
      <c r="D118" s="68">
        <v>3</v>
      </c>
      <c r="E118" s="69">
        <v>0</v>
      </c>
      <c r="F118" s="29"/>
    </row>
    <row r="119" spans="1:6" ht="14.45" customHeight="1">
      <c r="A119" s="29"/>
      <c r="B119" s="124"/>
      <c r="C119" s="73" t="s">
        <v>265</v>
      </c>
      <c r="D119" s="71">
        <v>5</v>
      </c>
      <c r="E119" s="72">
        <v>1E-3</v>
      </c>
      <c r="F119" s="29"/>
    </row>
    <row r="120" spans="1:6" ht="14.45" customHeight="1">
      <c r="A120" s="29"/>
      <c r="B120" s="124" t="s">
        <v>57</v>
      </c>
      <c r="C120" s="57" t="s">
        <v>140</v>
      </c>
      <c r="D120" s="68">
        <v>108</v>
      </c>
      <c r="E120" s="69">
        <v>1.2999999999999999E-2</v>
      </c>
      <c r="F120" s="29"/>
    </row>
    <row r="121" spans="1:6" ht="14.45" customHeight="1">
      <c r="A121" s="29"/>
      <c r="B121" s="124"/>
      <c r="C121" s="57" t="s">
        <v>141</v>
      </c>
      <c r="D121" s="68">
        <v>132</v>
      </c>
      <c r="E121" s="69">
        <v>1.6E-2</v>
      </c>
      <c r="F121" s="29"/>
    </row>
    <row r="122" spans="1:6" ht="14.45" customHeight="1">
      <c r="A122" s="29"/>
      <c r="B122" s="124"/>
      <c r="C122" s="73" t="s">
        <v>265</v>
      </c>
      <c r="D122" s="71">
        <v>240</v>
      </c>
      <c r="E122" s="72">
        <v>2.9000000000000001E-2</v>
      </c>
      <c r="F122" s="29"/>
    </row>
    <row r="123" spans="1:6" ht="14.45" customHeight="1">
      <c r="A123" s="29"/>
      <c r="B123" s="124" t="s">
        <v>50</v>
      </c>
      <c r="C123" s="57" t="s">
        <v>140</v>
      </c>
      <c r="D123" s="68">
        <v>184</v>
      </c>
      <c r="E123" s="69">
        <v>2.1999999999999999E-2</v>
      </c>
      <c r="F123" s="29"/>
    </row>
    <row r="124" spans="1:6" ht="14.45" customHeight="1">
      <c r="A124" s="29"/>
      <c r="B124" s="124"/>
      <c r="C124" s="57" t="s">
        <v>141</v>
      </c>
      <c r="D124" s="68">
        <v>213</v>
      </c>
      <c r="E124" s="69">
        <v>2.5000000000000001E-2</v>
      </c>
      <c r="F124" s="29"/>
    </row>
    <row r="125" spans="1:6" ht="14.45" customHeight="1">
      <c r="A125" s="29"/>
      <c r="B125" s="124"/>
      <c r="C125" s="73" t="s">
        <v>265</v>
      </c>
      <c r="D125" s="71">
        <v>397</v>
      </c>
      <c r="E125" s="72">
        <v>4.7E-2</v>
      </c>
      <c r="F125" s="29"/>
    </row>
    <row r="126" spans="1:6" ht="14.45" customHeight="1">
      <c r="A126" s="29"/>
      <c r="B126" s="124" t="s">
        <v>58</v>
      </c>
      <c r="C126" s="57" t="s">
        <v>140</v>
      </c>
      <c r="D126" s="68">
        <v>60</v>
      </c>
      <c r="E126" s="69">
        <v>7.0000000000000001E-3</v>
      </c>
      <c r="F126" s="29"/>
    </row>
    <row r="127" spans="1:6" ht="14.45" customHeight="1">
      <c r="A127" s="29"/>
      <c r="B127" s="124"/>
      <c r="C127" s="57" t="s">
        <v>141</v>
      </c>
      <c r="D127" s="68">
        <v>68</v>
      </c>
      <c r="E127" s="69">
        <v>8.0000000000000002E-3</v>
      </c>
      <c r="F127" s="29"/>
    </row>
    <row r="128" spans="1:6" ht="14.45" customHeight="1">
      <c r="A128" s="29"/>
      <c r="B128" s="124"/>
      <c r="C128" s="73" t="s">
        <v>265</v>
      </c>
      <c r="D128" s="71">
        <v>128</v>
      </c>
      <c r="E128" s="72">
        <v>1.4999999999999999E-2</v>
      </c>
      <c r="F128" s="29"/>
    </row>
    <row r="129" spans="1:6" ht="14.45" customHeight="1">
      <c r="A129" s="29"/>
      <c r="B129" s="124" t="s">
        <v>64</v>
      </c>
      <c r="C129" s="57" t="s">
        <v>140</v>
      </c>
      <c r="D129" s="68">
        <v>62</v>
      </c>
      <c r="E129" s="69">
        <v>7.0000000000000001E-3</v>
      </c>
      <c r="F129" s="29"/>
    </row>
    <row r="130" spans="1:6" ht="14.45" customHeight="1">
      <c r="A130" s="29"/>
      <c r="B130" s="124"/>
      <c r="C130" s="57" t="s">
        <v>141</v>
      </c>
      <c r="D130" s="68">
        <v>81</v>
      </c>
      <c r="E130" s="69">
        <v>0.01</v>
      </c>
      <c r="F130" s="29"/>
    </row>
    <row r="131" spans="1:6" ht="14.45" customHeight="1">
      <c r="A131" s="29"/>
      <c r="B131" s="124"/>
      <c r="C131" s="57" t="s">
        <v>233</v>
      </c>
      <c r="D131" s="68">
        <v>1</v>
      </c>
      <c r="E131" s="69">
        <v>0</v>
      </c>
      <c r="F131" s="29"/>
    </row>
    <row r="132" spans="1:6" ht="14.45" customHeight="1">
      <c r="A132" s="29"/>
      <c r="B132" s="124"/>
      <c r="C132" s="73" t="s">
        <v>265</v>
      </c>
      <c r="D132" s="71">
        <v>144</v>
      </c>
      <c r="E132" s="72">
        <v>1.7000000000000001E-2</v>
      </c>
      <c r="F132" s="29"/>
    </row>
    <row r="133" spans="1:6" ht="14.45" customHeight="1">
      <c r="A133" s="29"/>
      <c r="B133" s="124" t="s">
        <v>85</v>
      </c>
      <c r="C133" s="57" t="s">
        <v>140</v>
      </c>
      <c r="D133" s="68">
        <v>15</v>
      </c>
      <c r="E133" s="69">
        <v>2E-3</v>
      </c>
      <c r="F133" s="29"/>
    </row>
    <row r="134" spans="1:6" ht="14.45" customHeight="1">
      <c r="A134" s="29"/>
      <c r="B134" s="124"/>
      <c r="C134" s="57" t="s">
        <v>141</v>
      </c>
      <c r="D134" s="68">
        <v>15</v>
      </c>
      <c r="E134" s="69">
        <v>2E-3</v>
      </c>
      <c r="F134" s="29"/>
    </row>
    <row r="135" spans="1:6" ht="14.45" customHeight="1">
      <c r="A135" s="29"/>
      <c r="B135" s="124"/>
      <c r="C135" s="73" t="s">
        <v>265</v>
      </c>
      <c r="D135" s="71">
        <v>30</v>
      </c>
      <c r="E135" s="72">
        <v>4.0000000000000001E-3</v>
      </c>
      <c r="F135" s="29"/>
    </row>
    <row r="136" spans="1:6" ht="14.45" customHeight="1">
      <c r="A136" s="29"/>
      <c r="B136" s="124" t="s">
        <v>48</v>
      </c>
      <c r="C136" s="57" t="s">
        <v>140</v>
      </c>
      <c r="D136" s="68">
        <v>362</v>
      </c>
      <c r="E136" s="69">
        <v>4.2999999999999997E-2</v>
      </c>
      <c r="F136" s="29"/>
    </row>
    <row r="137" spans="1:6" ht="14.45" customHeight="1">
      <c r="A137" s="29"/>
      <c r="B137" s="124"/>
      <c r="C137" s="57" t="s">
        <v>141</v>
      </c>
      <c r="D137" s="68">
        <v>397</v>
      </c>
      <c r="E137" s="69">
        <v>4.7E-2</v>
      </c>
      <c r="F137" s="29"/>
    </row>
    <row r="138" spans="1:6" ht="14.45" customHeight="1">
      <c r="A138" s="29"/>
      <c r="B138" s="124"/>
      <c r="C138" s="73" t="s">
        <v>265</v>
      </c>
      <c r="D138" s="71">
        <v>759</v>
      </c>
      <c r="E138" s="72">
        <v>9.0999999999999998E-2</v>
      </c>
      <c r="F138" s="29"/>
    </row>
    <row r="139" spans="1:6" ht="14.45" customHeight="1">
      <c r="A139" s="29"/>
      <c r="B139" s="124" t="s">
        <v>53</v>
      </c>
      <c r="C139" s="57" t="s">
        <v>140</v>
      </c>
      <c r="D139" s="68">
        <v>191</v>
      </c>
      <c r="E139" s="69">
        <v>2.3E-2</v>
      </c>
      <c r="F139" s="29"/>
    </row>
    <row r="140" spans="1:6" ht="14.45" customHeight="1">
      <c r="A140" s="29"/>
      <c r="B140" s="124"/>
      <c r="C140" s="57" t="s">
        <v>141</v>
      </c>
      <c r="D140" s="68">
        <v>181</v>
      </c>
      <c r="E140" s="69">
        <v>2.1999999999999999E-2</v>
      </c>
      <c r="F140" s="29"/>
    </row>
    <row r="141" spans="1:6" ht="14.45" customHeight="1">
      <c r="A141" s="29"/>
      <c r="B141" s="124"/>
      <c r="C141" s="73" t="s">
        <v>265</v>
      </c>
      <c r="D141" s="71">
        <v>372</v>
      </c>
      <c r="E141" s="72">
        <v>4.3999999999999997E-2</v>
      </c>
      <c r="F141" s="29"/>
    </row>
    <row r="142" spans="1:6" ht="14.45" customHeight="1">
      <c r="A142" s="29"/>
      <c r="B142" s="124" t="s">
        <v>60</v>
      </c>
      <c r="C142" s="57" t="s">
        <v>140</v>
      </c>
      <c r="D142" s="68">
        <v>76</v>
      </c>
      <c r="E142" s="69">
        <v>8.9999999999999993E-3</v>
      </c>
      <c r="F142" s="29"/>
    </row>
    <row r="143" spans="1:6" ht="14.45" customHeight="1">
      <c r="A143" s="29"/>
      <c r="B143" s="124"/>
      <c r="C143" s="57" t="s">
        <v>141</v>
      </c>
      <c r="D143" s="68">
        <v>92</v>
      </c>
      <c r="E143" s="69">
        <v>1.0999999999999999E-2</v>
      </c>
      <c r="F143" s="29"/>
    </row>
    <row r="144" spans="1:6" ht="14.45" customHeight="1">
      <c r="A144" s="29"/>
      <c r="B144" s="124"/>
      <c r="C144" s="73" t="s">
        <v>265</v>
      </c>
      <c r="D144" s="71">
        <v>168</v>
      </c>
      <c r="E144" s="72">
        <v>0.02</v>
      </c>
      <c r="F144" s="29"/>
    </row>
    <row r="145" spans="1:6" ht="14.45" customHeight="1">
      <c r="A145" s="29"/>
      <c r="B145" s="124" t="s">
        <v>52</v>
      </c>
      <c r="C145" s="57" t="s">
        <v>140</v>
      </c>
      <c r="D145" s="68">
        <v>190</v>
      </c>
      <c r="E145" s="69">
        <v>2.3E-2</v>
      </c>
      <c r="F145" s="29"/>
    </row>
    <row r="146" spans="1:6" ht="14.45" customHeight="1">
      <c r="A146" s="29"/>
      <c r="B146" s="124"/>
      <c r="C146" s="57" t="s">
        <v>141</v>
      </c>
      <c r="D146" s="68">
        <v>249</v>
      </c>
      <c r="E146" s="69">
        <v>0.03</v>
      </c>
      <c r="F146" s="29"/>
    </row>
    <row r="147" spans="1:6" ht="14.45" customHeight="1">
      <c r="A147" s="29"/>
      <c r="B147" s="124"/>
      <c r="C147" s="57" t="s">
        <v>233</v>
      </c>
      <c r="D147" s="68">
        <v>1</v>
      </c>
      <c r="E147" s="69">
        <v>0</v>
      </c>
      <c r="F147" s="29"/>
    </row>
    <row r="148" spans="1:6" ht="14.45" customHeight="1">
      <c r="A148" s="29"/>
      <c r="B148" s="124"/>
      <c r="C148" s="73" t="s">
        <v>265</v>
      </c>
      <c r="D148" s="71">
        <v>440</v>
      </c>
      <c r="E148" s="72">
        <v>5.2999999999999999E-2</v>
      </c>
      <c r="F148" s="29"/>
    </row>
    <row r="149" spans="1:6" ht="14.45" customHeight="1">
      <c r="A149" s="29"/>
      <c r="B149" s="124" t="s">
        <v>51</v>
      </c>
      <c r="C149" s="57" t="s">
        <v>140</v>
      </c>
      <c r="D149" s="68">
        <v>213</v>
      </c>
      <c r="E149" s="69">
        <v>2.5000000000000001E-2</v>
      </c>
      <c r="F149" s="29"/>
    </row>
    <row r="150" spans="1:6" ht="14.45" customHeight="1">
      <c r="A150" s="29"/>
      <c r="B150" s="124"/>
      <c r="C150" s="57" t="s">
        <v>141</v>
      </c>
      <c r="D150" s="68">
        <v>191</v>
      </c>
      <c r="E150" s="69">
        <v>2.3E-2</v>
      </c>
      <c r="F150" s="29"/>
    </row>
    <row r="151" spans="1:6" ht="14.45" customHeight="1">
      <c r="A151" s="29"/>
      <c r="B151" s="124"/>
      <c r="C151" s="73" t="s">
        <v>265</v>
      </c>
      <c r="D151" s="71">
        <v>404</v>
      </c>
      <c r="E151" s="72">
        <v>4.8000000000000001E-2</v>
      </c>
      <c r="F151" s="29"/>
    </row>
    <row r="152" spans="1:6" ht="14.45" customHeight="1">
      <c r="A152" s="29"/>
      <c r="B152" s="124" t="s">
        <v>71</v>
      </c>
      <c r="C152" s="57" t="s">
        <v>140</v>
      </c>
      <c r="D152" s="68">
        <v>18</v>
      </c>
      <c r="E152" s="69">
        <v>2E-3</v>
      </c>
      <c r="F152" s="29"/>
    </row>
    <row r="153" spans="1:6" ht="14.45" customHeight="1">
      <c r="A153" s="29"/>
      <c r="B153" s="124"/>
      <c r="C153" s="57" t="s">
        <v>141</v>
      </c>
      <c r="D153" s="68">
        <v>30</v>
      </c>
      <c r="E153" s="69">
        <v>4.0000000000000001E-3</v>
      </c>
      <c r="F153" s="29"/>
    </row>
    <row r="154" spans="1:6" ht="14.45" customHeight="1">
      <c r="A154" s="29"/>
      <c r="B154" s="124"/>
      <c r="C154" s="73" t="s">
        <v>265</v>
      </c>
      <c r="D154" s="71">
        <v>48</v>
      </c>
      <c r="E154" s="72">
        <v>6.0000000000000001E-3</v>
      </c>
      <c r="F154" s="29"/>
    </row>
    <row r="155" spans="1:6" ht="14.45" customHeight="1">
      <c r="A155" s="29"/>
      <c r="B155" s="124" t="s">
        <v>79</v>
      </c>
      <c r="C155" s="57" t="s">
        <v>140</v>
      </c>
      <c r="D155" s="68">
        <v>18</v>
      </c>
      <c r="E155" s="69">
        <v>2E-3</v>
      </c>
      <c r="F155" s="29"/>
    </row>
    <row r="156" spans="1:6" ht="14.45" customHeight="1">
      <c r="A156" s="29"/>
      <c r="B156" s="124"/>
      <c r="C156" s="57" t="s">
        <v>141</v>
      </c>
      <c r="D156" s="68">
        <v>18</v>
      </c>
      <c r="E156" s="69">
        <v>2E-3</v>
      </c>
      <c r="F156" s="29"/>
    </row>
    <row r="157" spans="1:6" ht="14.45" customHeight="1">
      <c r="A157" s="29"/>
      <c r="B157" s="124"/>
      <c r="C157" s="73" t="s">
        <v>265</v>
      </c>
      <c r="D157" s="71">
        <v>36</v>
      </c>
      <c r="E157" s="72">
        <v>4.0000000000000001E-3</v>
      </c>
      <c r="F157" s="29"/>
    </row>
    <row r="158" spans="1:6" ht="14.45" customHeight="1">
      <c r="A158" s="29"/>
      <c r="B158" s="124" t="s">
        <v>78</v>
      </c>
      <c r="C158" s="57" t="s">
        <v>140</v>
      </c>
      <c r="D158" s="68">
        <v>21</v>
      </c>
      <c r="E158" s="69">
        <v>3.0000000000000001E-3</v>
      </c>
      <c r="F158" s="29"/>
    </row>
    <row r="159" spans="1:6" ht="14.45" customHeight="1">
      <c r="A159" s="29"/>
      <c r="B159" s="124"/>
      <c r="C159" s="57" t="s">
        <v>141</v>
      </c>
      <c r="D159" s="68">
        <v>24</v>
      </c>
      <c r="E159" s="69">
        <v>3.0000000000000001E-3</v>
      </c>
      <c r="F159" s="29"/>
    </row>
    <row r="160" spans="1:6" ht="14.45" customHeight="1">
      <c r="A160" s="29"/>
      <c r="B160" s="124"/>
      <c r="C160" s="73" t="s">
        <v>265</v>
      </c>
      <c r="D160" s="71">
        <v>45</v>
      </c>
      <c r="E160" s="72">
        <v>5.0000000000000001E-3</v>
      </c>
      <c r="F160" s="29"/>
    </row>
    <row r="161" spans="1:6" ht="14.45" customHeight="1">
      <c r="A161" s="29"/>
      <c r="B161" s="124" t="s">
        <v>87</v>
      </c>
      <c r="C161" s="57" t="s">
        <v>140</v>
      </c>
      <c r="D161" s="68">
        <v>6</v>
      </c>
      <c r="E161" s="69">
        <v>1E-3</v>
      </c>
      <c r="F161" s="29"/>
    </row>
    <row r="162" spans="1:6" ht="14.45" customHeight="1">
      <c r="A162" s="29"/>
      <c r="B162" s="124"/>
      <c r="C162" s="57" t="s">
        <v>141</v>
      </c>
      <c r="D162" s="68">
        <v>4</v>
      </c>
      <c r="E162" s="69">
        <v>0</v>
      </c>
      <c r="F162" s="29"/>
    </row>
    <row r="163" spans="1:6" ht="14.45" customHeight="1">
      <c r="A163" s="29"/>
      <c r="B163" s="124"/>
      <c r="C163" s="73" t="s">
        <v>265</v>
      </c>
      <c r="D163" s="71">
        <v>10</v>
      </c>
      <c r="E163" s="72">
        <v>1E-3</v>
      </c>
      <c r="F163" s="29"/>
    </row>
    <row r="164" spans="1:6" ht="14.45" customHeight="1">
      <c r="A164" s="29"/>
      <c r="B164" s="123" t="s">
        <v>268</v>
      </c>
      <c r="C164" s="123"/>
      <c r="D164" s="74">
        <v>8379</v>
      </c>
      <c r="E164" s="75">
        <v>1</v>
      </c>
      <c r="F164" s="29"/>
    </row>
    <row r="165" spans="1:6" ht="14.45" customHeight="1">
      <c r="A165" s="29"/>
      <c r="B165" s="35"/>
      <c r="C165" s="42"/>
      <c r="D165" s="53"/>
      <c r="E165" s="42"/>
      <c r="F165" s="29"/>
    </row>
    <row r="166" spans="1:6" ht="14.45" customHeight="1">
      <c r="A166" s="29"/>
      <c r="B166" s="35" t="s">
        <v>232</v>
      </c>
      <c r="C166" s="36"/>
      <c r="D166" s="53"/>
      <c r="E166" s="42"/>
      <c r="F166" s="29"/>
    </row>
    <row r="167" spans="1:6" ht="12.75">
      <c r="A167" s="29"/>
      <c r="B167" s="36" t="s">
        <v>18</v>
      </c>
      <c r="C167" s="37"/>
      <c r="D167" s="53"/>
      <c r="E167" s="42"/>
      <c r="F167" s="29"/>
    </row>
    <row r="168" spans="1:6" ht="12.75">
      <c r="A168" s="29"/>
      <c r="B168" s="37" t="s">
        <v>45</v>
      </c>
      <c r="C168" s="35"/>
      <c r="D168" s="53"/>
      <c r="E168" s="42"/>
      <c r="F168" s="29"/>
    </row>
    <row r="169" spans="1:6" ht="12.75">
      <c r="A169" s="29"/>
      <c r="B169" s="35" t="s">
        <v>17</v>
      </c>
      <c r="C169" s="35"/>
      <c r="D169" s="53"/>
      <c r="E169" s="42"/>
      <c r="F169" s="29"/>
    </row>
    <row r="170" spans="1:6" ht="16.5">
      <c r="A170" s="29"/>
      <c r="B170" s="35" t="s">
        <v>266</v>
      </c>
      <c r="C170" s="34"/>
      <c r="D170" s="53"/>
      <c r="E170" s="42"/>
      <c r="F170" s="29"/>
    </row>
    <row r="171" spans="1:6" ht="12.75">
      <c r="A171" s="29"/>
      <c r="B171" s="42"/>
      <c r="C171" s="42"/>
      <c r="D171" s="53"/>
      <c r="E171" s="42"/>
      <c r="F171" s="29"/>
    </row>
  </sheetData>
  <mergeCells count="52">
    <mergeCell ref="B49:B50"/>
    <mergeCell ref="B51:B53"/>
    <mergeCell ref="B54:B56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63:B65"/>
    <mergeCell ref="B66:B68"/>
    <mergeCell ref="B69:B71"/>
    <mergeCell ref="B57:B59"/>
    <mergeCell ref="B60:B62"/>
    <mergeCell ref="B78:B80"/>
    <mergeCell ref="B81:B83"/>
    <mergeCell ref="B84:B86"/>
    <mergeCell ref="B72:B74"/>
    <mergeCell ref="B75:B77"/>
    <mergeCell ref="B95:B97"/>
    <mergeCell ref="B98:B100"/>
    <mergeCell ref="B87:B89"/>
    <mergeCell ref="B90:B91"/>
    <mergeCell ref="B92:B94"/>
    <mergeCell ref="B110:B113"/>
    <mergeCell ref="B114:B116"/>
    <mergeCell ref="B117:B119"/>
    <mergeCell ref="B101:B103"/>
    <mergeCell ref="B104:B106"/>
    <mergeCell ref="B107:B109"/>
    <mergeCell ref="B164:C164"/>
    <mergeCell ref="B158:B160"/>
    <mergeCell ref="B161:B163"/>
    <mergeCell ref="B120:B122"/>
    <mergeCell ref="B123:B125"/>
    <mergeCell ref="B126:B128"/>
    <mergeCell ref="B129:B132"/>
    <mergeCell ref="B133:B135"/>
    <mergeCell ref="B136:B138"/>
    <mergeCell ref="B139:B141"/>
    <mergeCell ref="B142:B144"/>
    <mergeCell ref="B145:B148"/>
    <mergeCell ref="B149:B151"/>
    <mergeCell ref="B152:B154"/>
    <mergeCell ref="B155:B15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7"/>
  <sheetViews>
    <sheetView showGridLines="0" view="pageBreakPreview" topLeftCell="A143" zoomScaleNormal="100" zoomScaleSheetLayoutView="100" workbookViewId="0">
      <selection activeCell="C73" sqref="C73"/>
    </sheetView>
  </sheetViews>
  <sheetFormatPr baseColWidth="10" defaultColWidth="11.42578125" defaultRowHeight="11.25"/>
  <cols>
    <col min="1" max="1" width="5.7109375" style="15" customWidth="1"/>
    <col min="2" max="3" width="25.7109375" style="20" customWidth="1"/>
    <col min="4" max="4" width="15.7109375" style="24" customWidth="1"/>
    <col min="5" max="5" width="15.7109375" style="20" customWidth="1"/>
    <col min="6" max="6" width="2.42578125" style="15" customWidth="1"/>
    <col min="7" max="16384" width="11.42578125" style="15"/>
  </cols>
  <sheetData>
    <row r="1" spans="1:6" s="13" customFormat="1" ht="15">
      <c r="B1" s="20"/>
      <c r="C1" s="20"/>
    </row>
    <row r="2" spans="1:6" s="20" customFormat="1">
      <c r="B2" s="26"/>
    </row>
    <row r="3" spans="1:6" ht="15" customHeight="1">
      <c r="B3" s="27"/>
      <c r="C3" s="17"/>
      <c r="D3" s="15"/>
      <c r="F3" s="20"/>
    </row>
    <row r="4" spans="1:6" ht="30" customHeight="1">
      <c r="B4" s="27"/>
      <c r="C4" s="17"/>
      <c r="D4" s="15"/>
      <c r="F4" s="20"/>
    </row>
    <row r="5" spans="1:6" ht="15" customHeight="1">
      <c r="B5" s="27"/>
      <c r="C5" s="17"/>
      <c r="D5" s="15"/>
      <c r="F5" s="20"/>
    </row>
    <row r="6" spans="1:6" s="20" customFormat="1">
      <c r="B6" s="23"/>
      <c r="C6" s="22"/>
    </row>
    <row r="7" spans="1:6" s="20" customFormat="1">
      <c r="B7" s="26"/>
    </row>
    <row r="8" spans="1:6" s="13" customFormat="1" ht="15" customHeight="1">
      <c r="A8" s="34"/>
      <c r="B8" s="107" t="s">
        <v>39</v>
      </c>
      <c r="C8" s="107"/>
      <c r="D8" s="107"/>
      <c r="E8" s="107"/>
      <c r="F8" s="34"/>
    </row>
    <row r="9" spans="1:6" s="13" customFormat="1" ht="15" customHeight="1">
      <c r="A9" s="34"/>
      <c r="B9" s="107"/>
      <c r="C9" s="107"/>
      <c r="D9" s="107"/>
      <c r="E9" s="107"/>
      <c r="F9" s="50"/>
    </row>
    <row r="10" spans="1:6" s="13" customFormat="1" ht="15" customHeight="1">
      <c r="A10" s="34"/>
      <c r="B10" s="107"/>
      <c r="C10" s="107"/>
      <c r="D10" s="107"/>
      <c r="E10" s="107"/>
      <c r="F10" s="34"/>
    </row>
    <row r="11" spans="1:6" s="13" customFormat="1" ht="15" customHeight="1">
      <c r="A11" s="34"/>
      <c r="B11" s="51"/>
      <c r="C11" s="51"/>
      <c r="D11" s="51"/>
      <c r="E11" s="51"/>
      <c r="F11" s="34"/>
    </row>
    <row r="12" spans="1:6" s="13" customFormat="1" ht="36.950000000000003" customHeight="1">
      <c r="A12" s="34"/>
      <c r="B12" s="94" t="s">
        <v>25</v>
      </c>
      <c r="C12" s="94" t="s">
        <v>29</v>
      </c>
      <c r="D12" s="94" t="s">
        <v>20</v>
      </c>
      <c r="E12" s="94" t="s">
        <v>19</v>
      </c>
      <c r="F12" s="34"/>
    </row>
    <row r="13" spans="1:6" ht="14.45" customHeight="1">
      <c r="A13" s="29"/>
      <c r="B13" s="108" t="s">
        <v>96</v>
      </c>
      <c r="C13" s="57" t="s">
        <v>140</v>
      </c>
      <c r="D13" s="58">
        <v>6</v>
      </c>
      <c r="E13" s="59">
        <v>7.16075904046E-4</v>
      </c>
      <c r="F13" s="54"/>
    </row>
    <row r="14" spans="1:6" ht="14.45" customHeight="1">
      <c r="A14" s="29"/>
      <c r="B14" s="109"/>
      <c r="C14" s="57" t="s">
        <v>141</v>
      </c>
      <c r="D14" s="58">
        <v>11</v>
      </c>
      <c r="E14" s="59">
        <v>1.312805824084E-3</v>
      </c>
      <c r="F14" s="54"/>
    </row>
    <row r="15" spans="1:6" ht="14.45" customHeight="1">
      <c r="A15" s="29"/>
      <c r="B15" s="110"/>
      <c r="C15" s="95" t="s">
        <v>265</v>
      </c>
      <c r="D15" s="78">
        <v>17</v>
      </c>
      <c r="E15" s="79">
        <v>2.02888172813E-3</v>
      </c>
      <c r="F15" s="55"/>
    </row>
    <row r="16" spans="1:6" ht="14.45" customHeight="1">
      <c r="A16" s="29"/>
      <c r="B16" s="108" t="s">
        <v>97</v>
      </c>
      <c r="C16" s="57" t="s">
        <v>140</v>
      </c>
      <c r="D16" s="58">
        <v>1</v>
      </c>
      <c r="E16" s="59">
        <v>1.19345984008E-4</v>
      </c>
      <c r="F16" s="56"/>
    </row>
    <row r="17" spans="1:6" ht="14.45" customHeight="1">
      <c r="A17" s="29"/>
      <c r="B17" s="109"/>
      <c r="C17" s="57" t="s">
        <v>141</v>
      </c>
      <c r="D17" s="58">
        <v>1</v>
      </c>
      <c r="E17" s="59">
        <v>1.19345984008E-4</v>
      </c>
      <c r="F17" s="56"/>
    </row>
    <row r="18" spans="1:6" ht="14.45" customHeight="1">
      <c r="A18" s="29"/>
      <c r="B18" s="110"/>
      <c r="C18" s="95" t="s">
        <v>265</v>
      </c>
      <c r="D18" s="78">
        <v>2</v>
      </c>
      <c r="E18" s="79">
        <v>2.3869196801499999E-4</v>
      </c>
      <c r="F18" s="55"/>
    </row>
    <row r="19" spans="1:6" ht="14.45" customHeight="1">
      <c r="A19" s="29"/>
      <c r="B19" s="108" t="s">
        <v>98</v>
      </c>
      <c r="C19" s="57" t="s">
        <v>140</v>
      </c>
      <c r="D19" s="58">
        <v>114</v>
      </c>
      <c r="E19" s="59">
        <v>1.3605442176870999E-2</v>
      </c>
      <c r="F19" s="56"/>
    </row>
    <row r="20" spans="1:6" ht="14.45" customHeight="1">
      <c r="A20" s="29"/>
      <c r="B20" s="109"/>
      <c r="C20" s="57" t="s">
        <v>141</v>
      </c>
      <c r="D20" s="58">
        <v>130</v>
      </c>
      <c r="E20" s="59">
        <v>1.5514977920993E-2</v>
      </c>
      <c r="F20" s="56"/>
    </row>
    <row r="21" spans="1:6" ht="14.45" customHeight="1">
      <c r="A21" s="29"/>
      <c r="B21" s="109"/>
      <c r="C21" s="57" t="s">
        <v>233</v>
      </c>
      <c r="D21" s="58">
        <v>1</v>
      </c>
      <c r="E21" s="59">
        <v>1.19345984008E-4</v>
      </c>
      <c r="F21" s="56"/>
    </row>
    <row r="22" spans="1:6" ht="14.45" customHeight="1">
      <c r="A22" s="29"/>
      <c r="B22" s="110"/>
      <c r="C22" s="95" t="s">
        <v>265</v>
      </c>
      <c r="D22" s="78">
        <v>245</v>
      </c>
      <c r="E22" s="79">
        <v>2.9239766081871E-2</v>
      </c>
      <c r="F22" s="55"/>
    </row>
    <row r="23" spans="1:6" ht="14.45" customHeight="1">
      <c r="A23" s="29"/>
      <c r="B23" s="108" t="s">
        <v>99</v>
      </c>
      <c r="C23" s="57" t="s">
        <v>140</v>
      </c>
      <c r="D23" s="58">
        <v>16</v>
      </c>
      <c r="E23" s="59">
        <v>1.9095357441220001E-3</v>
      </c>
      <c r="F23" s="56"/>
    </row>
    <row r="24" spans="1:6" ht="14.45" customHeight="1">
      <c r="A24" s="29"/>
      <c r="B24" s="109"/>
      <c r="C24" s="57" t="s">
        <v>141</v>
      </c>
      <c r="D24" s="58">
        <v>25</v>
      </c>
      <c r="E24" s="59">
        <v>2.9836496001909999E-3</v>
      </c>
      <c r="F24" s="56"/>
    </row>
    <row r="25" spans="1:6" ht="14.45" customHeight="1">
      <c r="A25" s="29"/>
      <c r="B25" s="110"/>
      <c r="C25" s="95" t="s">
        <v>265</v>
      </c>
      <c r="D25" s="78">
        <v>41</v>
      </c>
      <c r="E25" s="79">
        <v>4.8931853443130004E-3</v>
      </c>
      <c r="F25" s="55"/>
    </row>
    <row r="26" spans="1:6" ht="14.45" customHeight="1">
      <c r="A26" s="29"/>
      <c r="B26" s="108" t="s">
        <v>100</v>
      </c>
      <c r="C26" s="57" t="s">
        <v>140</v>
      </c>
      <c r="D26" s="58">
        <v>2539</v>
      </c>
      <c r="E26" s="59">
        <v>0.30301945339539299</v>
      </c>
      <c r="F26" s="56"/>
    </row>
    <row r="27" spans="1:6" ht="14.45" customHeight="1">
      <c r="A27" s="29"/>
      <c r="B27" s="109"/>
      <c r="C27" s="57" t="s">
        <v>141</v>
      </c>
      <c r="D27" s="58">
        <v>2579</v>
      </c>
      <c r="E27" s="59">
        <v>0.307793292755699</v>
      </c>
      <c r="F27" s="56"/>
    </row>
    <row r="28" spans="1:6" ht="14.45" customHeight="1">
      <c r="A28" s="29"/>
      <c r="B28" s="109"/>
      <c r="C28" s="57" t="s">
        <v>233</v>
      </c>
      <c r="D28" s="58">
        <v>1</v>
      </c>
      <c r="E28" s="59">
        <v>1.19345984008E-4</v>
      </c>
      <c r="F28" s="56"/>
    </row>
    <row r="29" spans="1:6" ht="14.45" customHeight="1">
      <c r="A29" s="29"/>
      <c r="B29" s="110"/>
      <c r="C29" s="95" t="s">
        <v>265</v>
      </c>
      <c r="D29" s="78">
        <v>5119</v>
      </c>
      <c r="E29" s="79">
        <v>0.61093209213510002</v>
      </c>
      <c r="F29" s="55"/>
    </row>
    <row r="30" spans="1:6" ht="14.45" customHeight="1">
      <c r="A30" s="29"/>
      <c r="B30" s="108" t="s">
        <v>101</v>
      </c>
      <c r="C30" s="57" t="s">
        <v>140</v>
      </c>
      <c r="D30" s="58">
        <v>97</v>
      </c>
      <c r="E30" s="59">
        <v>1.1576560448741001E-2</v>
      </c>
      <c r="F30" s="56"/>
    </row>
    <row r="31" spans="1:6" ht="14.45" customHeight="1">
      <c r="A31" s="29"/>
      <c r="B31" s="109"/>
      <c r="C31" s="57" t="s">
        <v>141</v>
      </c>
      <c r="D31" s="58">
        <v>163</v>
      </c>
      <c r="E31" s="59">
        <v>1.9453395393245001E-2</v>
      </c>
      <c r="F31" s="56"/>
    </row>
    <row r="32" spans="1:6" ht="14.45" customHeight="1">
      <c r="A32" s="29"/>
      <c r="B32" s="110"/>
      <c r="C32" s="95" t="s">
        <v>265</v>
      </c>
      <c r="D32" s="78">
        <v>260</v>
      </c>
      <c r="E32" s="79">
        <v>3.1029955841986E-2</v>
      </c>
      <c r="F32" s="55"/>
    </row>
    <row r="33" spans="1:6" ht="14.45" customHeight="1">
      <c r="A33" s="29"/>
      <c r="B33" s="108" t="s">
        <v>102</v>
      </c>
      <c r="C33" s="57" t="s">
        <v>140</v>
      </c>
      <c r="D33" s="58">
        <v>1</v>
      </c>
      <c r="E33" s="59">
        <v>1.19345984008E-4</v>
      </c>
      <c r="F33" s="56"/>
    </row>
    <row r="34" spans="1:6" ht="14.45" customHeight="1">
      <c r="A34" s="29"/>
      <c r="B34" s="109"/>
      <c r="C34" s="57" t="s">
        <v>141</v>
      </c>
      <c r="D34" s="58">
        <v>2</v>
      </c>
      <c r="E34" s="59">
        <v>2.3869196801499999E-4</v>
      </c>
      <c r="F34" s="56"/>
    </row>
    <row r="35" spans="1:6" ht="14.45" customHeight="1">
      <c r="A35" s="29"/>
      <c r="B35" s="110"/>
      <c r="C35" s="95" t="s">
        <v>265</v>
      </c>
      <c r="D35" s="78">
        <v>3</v>
      </c>
      <c r="E35" s="79">
        <v>3.58037952023E-4</v>
      </c>
      <c r="F35" s="55"/>
    </row>
    <row r="36" spans="1:6" ht="14.45" customHeight="1">
      <c r="A36" s="29"/>
      <c r="B36" s="108" t="s">
        <v>103</v>
      </c>
      <c r="C36" s="57" t="s">
        <v>140</v>
      </c>
      <c r="D36" s="58">
        <v>3</v>
      </c>
      <c r="E36" s="59">
        <v>3.58037952023E-4</v>
      </c>
      <c r="F36" s="56"/>
    </row>
    <row r="37" spans="1:6" ht="14.45" customHeight="1">
      <c r="A37" s="29"/>
      <c r="B37" s="109"/>
      <c r="C37" s="57" t="s">
        <v>141</v>
      </c>
      <c r="D37" s="58">
        <v>6</v>
      </c>
      <c r="E37" s="59">
        <v>7.16075904046E-4</v>
      </c>
      <c r="F37" s="56"/>
    </row>
    <row r="38" spans="1:6" ht="14.45" customHeight="1">
      <c r="A38" s="29"/>
      <c r="B38" s="110"/>
      <c r="C38" s="95" t="s">
        <v>265</v>
      </c>
      <c r="D38" s="78">
        <v>9</v>
      </c>
      <c r="E38" s="79">
        <v>1.074113856069E-3</v>
      </c>
      <c r="F38" s="55"/>
    </row>
    <row r="39" spans="1:6" ht="14.45" customHeight="1">
      <c r="A39" s="29"/>
      <c r="B39" s="108" t="s">
        <v>104</v>
      </c>
      <c r="C39" s="57" t="s">
        <v>140</v>
      </c>
      <c r="D39" s="58">
        <v>29</v>
      </c>
      <c r="E39" s="59">
        <v>3.461033536222E-3</v>
      </c>
      <c r="F39" s="56"/>
    </row>
    <row r="40" spans="1:6" ht="14.45" customHeight="1">
      <c r="A40" s="29"/>
      <c r="B40" s="109"/>
      <c r="C40" s="57" t="s">
        <v>141</v>
      </c>
      <c r="D40" s="58">
        <v>52</v>
      </c>
      <c r="E40" s="59">
        <v>6.2059911683969996E-3</v>
      </c>
      <c r="F40" s="56"/>
    </row>
    <row r="41" spans="1:6" ht="14.45" customHeight="1">
      <c r="A41" s="29"/>
      <c r="B41" s="110"/>
      <c r="C41" s="95" t="s">
        <v>265</v>
      </c>
      <c r="D41" s="78">
        <v>81</v>
      </c>
      <c r="E41" s="79">
        <v>9.6670247046190001E-3</v>
      </c>
      <c r="F41" s="55"/>
    </row>
    <row r="42" spans="1:6" ht="14.45" customHeight="1">
      <c r="A42" s="29"/>
      <c r="B42" s="108" t="s">
        <v>105</v>
      </c>
      <c r="C42" s="57" t="s">
        <v>140</v>
      </c>
      <c r="D42" s="58">
        <v>43</v>
      </c>
      <c r="E42" s="59">
        <v>5.1318773123280002E-3</v>
      </c>
      <c r="F42" s="56"/>
    </row>
    <row r="43" spans="1:6" ht="14.45" customHeight="1">
      <c r="A43" s="29"/>
      <c r="B43" s="109"/>
      <c r="C43" s="57" t="s">
        <v>141</v>
      </c>
      <c r="D43" s="58">
        <v>46</v>
      </c>
      <c r="E43" s="59">
        <v>5.489915264351E-3</v>
      </c>
      <c r="F43" s="56"/>
    </row>
    <row r="44" spans="1:6" ht="14.45" customHeight="1">
      <c r="A44" s="29"/>
      <c r="B44" s="110"/>
      <c r="C44" s="95" t="s">
        <v>265</v>
      </c>
      <c r="D44" s="78">
        <v>89</v>
      </c>
      <c r="E44" s="79">
        <v>1.062179257668E-2</v>
      </c>
      <c r="F44" s="55"/>
    </row>
    <row r="45" spans="1:6" ht="14.45" customHeight="1">
      <c r="A45" s="29"/>
      <c r="B45" s="108" t="s">
        <v>106</v>
      </c>
      <c r="C45" s="57" t="s">
        <v>140</v>
      </c>
      <c r="D45" s="58">
        <v>1</v>
      </c>
      <c r="E45" s="59">
        <v>1.19345984008E-4</v>
      </c>
      <c r="F45" s="56"/>
    </row>
    <row r="46" spans="1:6" ht="14.45" customHeight="1">
      <c r="A46" s="29"/>
      <c r="B46" s="109"/>
      <c r="C46" s="57" t="s">
        <v>141</v>
      </c>
      <c r="D46" s="58">
        <v>4</v>
      </c>
      <c r="E46" s="59">
        <v>4.77383936031E-4</v>
      </c>
      <c r="F46" s="56"/>
    </row>
    <row r="47" spans="1:6" ht="14.45" customHeight="1">
      <c r="A47" s="29"/>
      <c r="B47" s="110"/>
      <c r="C47" s="95" t="s">
        <v>265</v>
      </c>
      <c r="D47" s="78">
        <v>5</v>
      </c>
      <c r="E47" s="79">
        <v>5.9672992003800005E-4</v>
      </c>
      <c r="F47" s="55"/>
    </row>
    <row r="48" spans="1:6" ht="14.45" customHeight="1">
      <c r="A48" s="29"/>
      <c r="B48" s="108" t="s">
        <v>107</v>
      </c>
      <c r="C48" s="57" t="s">
        <v>140</v>
      </c>
      <c r="D48" s="58">
        <v>43</v>
      </c>
      <c r="E48" s="59">
        <v>5.1318773123280002E-3</v>
      </c>
      <c r="F48" s="56"/>
    </row>
    <row r="49" spans="1:6" ht="14.45" customHeight="1">
      <c r="A49" s="29"/>
      <c r="B49" s="109"/>
      <c r="C49" s="57" t="s">
        <v>141</v>
      </c>
      <c r="D49" s="58">
        <v>71</v>
      </c>
      <c r="E49" s="59">
        <v>8.4735648645419999E-3</v>
      </c>
      <c r="F49" s="56"/>
    </row>
    <row r="50" spans="1:6" ht="14.45" customHeight="1">
      <c r="A50" s="29"/>
      <c r="B50" s="110"/>
      <c r="C50" s="95" t="s">
        <v>265</v>
      </c>
      <c r="D50" s="78">
        <v>114</v>
      </c>
      <c r="E50" s="79">
        <v>1.3605442176870999E-2</v>
      </c>
      <c r="F50" s="55"/>
    </row>
    <row r="51" spans="1:6" ht="14.45" customHeight="1">
      <c r="A51" s="29"/>
      <c r="B51" s="108" t="s">
        <v>108</v>
      </c>
      <c r="C51" s="57" t="s">
        <v>140</v>
      </c>
      <c r="D51" s="58">
        <v>87</v>
      </c>
      <c r="E51" s="59">
        <v>1.0383100608665E-2</v>
      </c>
      <c r="F51" s="56"/>
    </row>
    <row r="52" spans="1:6" ht="14.45" customHeight="1">
      <c r="A52" s="29"/>
      <c r="B52" s="109"/>
      <c r="C52" s="57" t="s">
        <v>141</v>
      </c>
      <c r="D52" s="58">
        <v>125</v>
      </c>
      <c r="E52" s="59">
        <v>1.4918248000955E-2</v>
      </c>
      <c r="F52" s="56"/>
    </row>
    <row r="53" spans="1:6" ht="14.45" customHeight="1">
      <c r="A53" s="29"/>
      <c r="B53" s="110"/>
      <c r="C53" s="95" t="s">
        <v>265</v>
      </c>
      <c r="D53" s="78">
        <v>212</v>
      </c>
      <c r="E53" s="79">
        <v>2.5301348609618999E-2</v>
      </c>
      <c r="F53" s="55"/>
    </row>
    <row r="54" spans="1:6" ht="14.45" customHeight="1">
      <c r="A54" s="29"/>
      <c r="B54" s="108" t="s">
        <v>109</v>
      </c>
      <c r="C54" s="57" t="s">
        <v>140</v>
      </c>
      <c r="D54" s="58">
        <v>24</v>
      </c>
      <c r="E54" s="59">
        <v>2.8643036161829999E-3</v>
      </c>
      <c r="F54" s="56"/>
    </row>
    <row r="55" spans="1:6" ht="14.45" customHeight="1">
      <c r="A55" s="29"/>
      <c r="B55" s="109"/>
      <c r="C55" s="57" t="s">
        <v>141</v>
      </c>
      <c r="D55" s="58">
        <v>40</v>
      </c>
      <c r="E55" s="59">
        <v>4.7738393603059997E-3</v>
      </c>
      <c r="F55" s="56"/>
    </row>
    <row r="56" spans="1:6" ht="14.45" customHeight="1">
      <c r="A56" s="29"/>
      <c r="B56" s="110"/>
      <c r="C56" s="95" t="s">
        <v>265</v>
      </c>
      <c r="D56" s="78">
        <v>64</v>
      </c>
      <c r="E56" s="79">
        <v>7.6381429764889996E-3</v>
      </c>
      <c r="F56" s="55"/>
    </row>
    <row r="57" spans="1:6" ht="14.45" customHeight="1">
      <c r="A57" s="29"/>
      <c r="B57" s="108" t="s">
        <v>110</v>
      </c>
      <c r="C57" s="57" t="s">
        <v>140</v>
      </c>
      <c r="D57" s="58">
        <v>13</v>
      </c>
      <c r="E57" s="59">
        <v>1.5514977920990001E-3</v>
      </c>
      <c r="F57" s="56"/>
    </row>
    <row r="58" spans="1:6" ht="14.45" customHeight="1">
      <c r="A58" s="29"/>
      <c r="B58" s="109"/>
      <c r="C58" s="57" t="s">
        <v>141</v>
      </c>
      <c r="D58" s="58">
        <v>18</v>
      </c>
      <c r="E58" s="59">
        <v>2.1482277121369999E-3</v>
      </c>
      <c r="F58" s="56"/>
    </row>
    <row r="59" spans="1:6" ht="14.45" customHeight="1">
      <c r="A59" s="29"/>
      <c r="B59" s="110"/>
      <c r="C59" s="95" t="s">
        <v>265</v>
      </c>
      <c r="D59" s="78">
        <v>31</v>
      </c>
      <c r="E59" s="79">
        <v>3.6997255042369999E-3</v>
      </c>
      <c r="F59" s="55"/>
    </row>
    <row r="60" spans="1:6" ht="14.45" customHeight="1">
      <c r="A60" s="29"/>
      <c r="B60" s="108" t="s">
        <v>111</v>
      </c>
      <c r="C60" s="57" t="s">
        <v>140</v>
      </c>
      <c r="D60" s="58">
        <v>16</v>
      </c>
      <c r="E60" s="59">
        <v>1.9095357441220001E-3</v>
      </c>
      <c r="F60" s="56"/>
    </row>
    <row r="61" spans="1:6" ht="14.45" customHeight="1">
      <c r="A61" s="29"/>
      <c r="B61" s="109"/>
      <c r="C61" s="57" t="s">
        <v>141</v>
      </c>
      <c r="D61" s="58">
        <v>23</v>
      </c>
      <c r="E61" s="59">
        <v>2.744957632176E-3</v>
      </c>
      <c r="F61" s="56"/>
    </row>
    <row r="62" spans="1:6" ht="14.45" customHeight="1">
      <c r="A62" s="29"/>
      <c r="B62" s="110"/>
      <c r="C62" s="95" t="s">
        <v>265</v>
      </c>
      <c r="D62" s="78">
        <v>39</v>
      </c>
      <c r="E62" s="79">
        <v>4.6544933762979997E-3</v>
      </c>
      <c r="F62" s="55"/>
    </row>
    <row r="63" spans="1:6" ht="14.45" customHeight="1">
      <c r="A63" s="29"/>
      <c r="B63" s="108" t="s">
        <v>112</v>
      </c>
      <c r="C63" s="57" t="s">
        <v>140</v>
      </c>
      <c r="D63" s="58">
        <v>24</v>
      </c>
      <c r="E63" s="59">
        <v>2.8643036161829999E-3</v>
      </c>
      <c r="F63" s="56"/>
    </row>
    <row r="64" spans="1:6" ht="14.45" customHeight="1">
      <c r="A64" s="29"/>
      <c r="B64" s="109"/>
      <c r="C64" s="57" t="s">
        <v>141</v>
      </c>
      <c r="D64" s="58">
        <v>31</v>
      </c>
      <c r="E64" s="59">
        <v>3.6997255042369999E-3</v>
      </c>
      <c r="F64" s="56"/>
    </row>
    <row r="65" spans="1:6" ht="14.45" customHeight="1">
      <c r="A65" s="29"/>
      <c r="B65" s="110"/>
      <c r="C65" s="95" t="s">
        <v>265</v>
      </c>
      <c r="D65" s="78">
        <v>55</v>
      </c>
      <c r="E65" s="79">
        <v>6.5640291204200002E-3</v>
      </c>
      <c r="F65" s="55"/>
    </row>
    <row r="66" spans="1:6" ht="14.45" customHeight="1">
      <c r="A66" s="29"/>
      <c r="B66" s="108" t="s">
        <v>113</v>
      </c>
      <c r="C66" s="57" t="s">
        <v>140</v>
      </c>
      <c r="D66" s="58">
        <v>6</v>
      </c>
      <c r="E66" s="59">
        <v>7.16075904046E-4</v>
      </c>
      <c r="F66" s="56"/>
    </row>
    <row r="67" spans="1:6" ht="14.45" customHeight="1">
      <c r="A67" s="29"/>
      <c r="B67" s="109"/>
      <c r="C67" s="57" t="s">
        <v>141</v>
      </c>
      <c r="D67" s="58">
        <v>11</v>
      </c>
      <c r="E67" s="59">
        <v>1.312805824084E-3</v>
      </c>
      <c r="F67" s="56"/>
    </row>
    <row r="68" spans="1:6" ht="14.45" customHeight="1">
      <c r="A68" s="29"/>
      <c r="B68" s="110"/>
      <c r="C68" s="95" t="s">
        <v>265</v>
      </c>
      <c r="D68" s="78">
        <v>17</v>
      </c>
      <c r="E68" s="79">
        <v>2.02888172813E-3</v>
      </c>
      <c r="F68" s="55"/>
    </row>
    <row r="69" spans="1:6" ht="14.45" customHeight="1">
      <c r="A69" s="29"/>
      <c r="B69" s="108" t="s">
        <v>114</v>
      </c>
      <c r="C69" s="57" t="s">
        <v>141</v>
      </c>
      <c r="D69" s="58">
        <v>3</v>
      </c>
      <c r="E69" s="59">
        <v>3.58037952023E-4</v>
      </c>
      <c r="F69" s="56"/>
    </row>
    <row r="70" spans="1:6" ht="14.45" customHeight="1">
      <c r="A70" s="29"/>
      <c r="B70" s="110"/>
      <c r="C70" s="95" t="s">
        <v>265</v>
      </c>
      <c r="D70" s="78">
        <v>3</v>
      </c>
      <c r="E70" s="79">
        <v>3.58037952023E-4</v>
      </c>
      <c r="F70" s="55"/>
    </row>
    <row r="71" spans="1:6" ht="14.45" customHeight="1">
      <c r="A71" s="29"/>
      <c r="B71" s="108" t="s">
        <v>115</v>
      </c>
      <c r="C71" s="57" t="s">
        <v>140</v>
      </c>
      <c r="D71" s="58">
        <v>1</v>
      </c>
      <c r="E71" s="59">
        <v>1.19345984008E-4</v>
      </c>
      <c r="F71" s="56"/>
    </row>
    <row r="72" spans="1:6" ht="14.45" customHeight="1">
      <c r="A72" s="29"/>
      <c r="B72" s="109"/>
      <c r="C72" s="57" t="s">
        <v>141</v>
      </c>
      <c r="D72" s="58">
        <v>1</v>
      </c>
      <c r="E72" s="59">
        <v>1.19345984008E-4</v>
      </c>
      <c r="F72" s="56"/>
    </row>
    <row r="73" spans="1:6" ht="14.45" customHeight="1">
      <c r="A73" s="29"/>
      <c r="B73" s="110"/>
      <c r="C73" s="95" t="s">
        <v>265</v>
      </c>
      <c r="D73" s="78">
        <v>2</v>
      </c>
      <c r="E73" s="79">
        <v>2.3869196801499999E-4</v>
      </c>
      <c r="F73" s="55"/>
    </row>
    <row r="74" spans="1:6" ht="14.45" customHeight="1">
      <c r="A74" s="29"/>
      <c r="B74" s="108" t="s">
        <v>116</v>
      </c>
      <c r="C74" s="57" t="s">
        <v>140</v>
      </c>
      <c r="D74" s="58">
        <v>23</v>
      </c>
      <c r="E74" s="59">
        <v>2.744957632176E-3</v>
      </c>
      <c r="F74" s="56"/>
    </row>
    <row r="75" spans="1:6" ht="14.45" customHeight="1">
      <c r="A75" s="29"/>
      <c r="B75" s="109"/>
      <c r="C75" s="57" t="s">
        <v>141</v>
      </c>
      <c r="D75" s="58">
        <v>16</v>
      </c>
      <c r="E75" s="59">
        <v>1.9095357441220001E-3</v>
      </c>
      <c r="F75" s="56"/>
    </row>
    <row r="76" spans="1:6" ht="14.45" customHeight="1">
      <c r="A76" s="29"/>
      <c r="B76" s="110"/>
      <c r="C76" s="95" t="s">
        <v>265</v>
      </c>
      <c r="D76" s="78">
        <v>39</v>
      </c>
      <c r="E76" s="79">
        <v>4.6544933762979997E-3</v>
      </c>
      <c r="F76" s="55"/>
    </row>
    <row r="77" spans="1:6" ht="14.45" customHeight="1">
      <c r="A77" s="29"/>
      <c r="B77" s="108" t="s">
        <v>117</v>
      </c>
      <c r="C77" s="57" t="s">
        <v>140</v>
      </c>
      <c r="D77" s="58">
        <v>56</v>
      </c>
      <c r="E77" s="59">
        <v>6.6833751044280002E-3</v>
      </c>
      <c r="F77" s="56"/>
    </row>
    <row r="78" spans="1:6" ht="14.45" customHeight="1">
      <c r="A78" s="29"/>
      <c r="B78" s="109"/>
      <c r="C78" s="57" t="s">
        <v>141</v>
      </c>
      <c r="D78" s="58">
        <v>65</v>
      </c>
      <c r="E78" s="59">
        <v>7.7574889604960003E-3</v>
      </c>
      <c r="F78" s="56"/>
    </row>
    <row r="79" spans="1:6" ht="14.45" customHeight="1">
      <c r="A79" s="29"/>
      <c r="B79" s="110"/>
      <c r="C79" s="95" t="s">
        <v>265</v>
      </c>
      <c r="D79" s="78">
        <v>121</v>
      </c>
      <c r="E79" s="79">
        <v>1.4440864064924E-2</v>
      </c>
      <c r="F79" s="55"/>
    </row>
    <row r="80" spans="1:6" ht="14.45" customHeight="1">
      <c r="A80" s="29"/>
      <c r="B80" s="108" t="s">
        <v>118</v>
      </c>
      <c r="C80" s="57" t="s">
        <v>140</v>
      </c>
      <c r="D80" s="58">
        <v>6</v>
      </c>
      <c r="E80" s="59">
        <v>7.16075904046E-4</v>
      </c>
      <c r="F80" s="56"/>
    </row>
    <row r="81" spans="1:6" ht="14.45" customHeight="1">
      <c r="A81" s="29"/>
      <c r="B81" s="109"/>
      <c r="C81" s="57" t="s">
        <v>141</v>
      </c>
      <c r="D81" s="58">
        <v>2</v>
      </c>
      <c r="E81" s="59">
        <v>2.3869196801499999E-4</v>
      </c>
      <c r="F81" s="56"/>
    </row>
    <row r="82" spans="1:6" ht="14.45" customHeight="1">
      <c r="A82" s="29"/>
      <c r="B82" s="110"/>
      <c r="C82" s="95" t="s">
        <v>265</v>
      </c>
      <c r="D82" s="78">
        <v>8</v>
      </c>
      <c r="E82" s="79">
        <v>9.5476787206100005E-4</v>
      </c>
      <c r="F82" s="55"/>
    </row>
    <row r="83" spans="1:6" ht="14.45" customHeight="1">
      <c r="A83" s="29"/>
      <c r="B83" s="108" t="s">
        <v>119</v>
      </c>
      <c r="C83" s="57" t="s">
        <v>140</v>
      </c>
      <c r="D83" s="58">
        <v>10</v>
      </c>
      <c r="E83" s="59">
        <v>1.1934598400760001E-3</v>
      </c>
      <c r="F83" s="56"/>
    </row>
    <row r="84" spans="1:6" ht="14.45" customHeight="1">
      <c r="A84" s="29"/>
      <c r="B84" s="109"/>
      <c r="C84" s="57" t="s">
        <v>141</v>
      </c>
      <c r="D84" s="58">
        <v>8</v>
      </c>
      <c r="E84" s="59">
        <v>9.5476787206100005E-4</v>
      </c>
      <c r="F84" s="56"/>
    </row>
    <row r="85" spans="1:6" ht="14.45" customHeight="1">
      <c r="A85" s="29"/>
      <c r="B85" s="110"/>
      <c r="C85" s="95" t="s">
        <v>265</v>
      </c>
      <c r="D85" s="78">
        <v>18</v>
      </c>
      <c r="E85" s="79">
        <v>2.1482277121369999E-3</v>
      </c>
      <c r="F85" s="55"/>
    </row>
    <row r="86" spans="1:6" ht="14.45" customHeight="1">
      <c r="A86" s="29"/>
      <c r="B86" s="108" t="s">
        <v>120</v>
      </c>
      <c r="C86" s="57" t="s">
        <v>141</v>
      </c>
      <c r="D86" s="58">
        <v>2</v>
      </c>
      <c r="E86" s="59">
        <v>2.3869196801499999E-4</v>
      </c>
      <c r="F86" s="56"/>
    </row>
    <row r="87" spans="1:6" ht="14.45" customHeight="1">
      <c r="A87" s="29"/>
      <c r="B87" s="110"/>
      <c r="C87" s="95" t="s">
        <v>265</v>
      </c>
      <c r="D87" s="78">
        <v>2</v>
      </c>
      <c r="E87" s="79">
        <v>2.3869196801499999E-4</v>
      </c>
      <c r="F87" s="55"/>
    </row>
    <row r="88" spans="1:6" ht="14.45" customHeight="1">
      <c r="A88" s="29"/>
      <c r="B88" s="108" t="s">
        <v>121</v>
      </c>
      <c r="C88" s="57" t="s">
        <v>140</v>
      </c>
      <c r="D88" s="58">
        <v>18</v>
      </c>
      <c r="E88" s="59">
        <v>2.1482277121369999E-3</v>
      </c>
      <c r="F88" s="56"/>
    </row>
    <row r="89" spans="1:6" ht="14.45" customHeight="1">
      <c r="A89" s="29"/>
      <c r="B89" s="109"/>
      <c r="C89" s="57" t="s">
        <v>141</v>
      </c>
      <c r="D89" s="58">
        <v>23</v>
      </c>
      <c r="E89" s="59">
        <v>2.744957632176E-3</v>
      </c>
      <c r="F89" s="56"/>
    </row>
    <row r="90" spans="1:6" ht="14.45" customHeight="1">
      <c r="A90" s="29"/>
      <c r="B90" s="110"/>
      <c r="C90" s="95" t="s">
        <v>265</v>
      </c>
      <c r="D90" s="78">
        <v>41</v>
      </c>
      <c r="E90" s="79">
        <v>4.8931853443130004E-3</v>
      </c>
      <c r="F90" s="55"/>
    </row>
    <row r="91" spans="1:6" ht="14.45" customHeight="1">
      <c r="A91" s="29"/>
      <c r="B91" s="108" t="s">
        <v>122</v>
      </c>
      <c r="C91" s="57" t="s">
        <v>140</v>
      </c>
      <c r="D91" s="58">
        <v>247</v>
      </c>
      <c r="E91" s="59">
        <v>2.9478458049887E-2</v>
      </c>
      <c r="F91" s="56"/>
    </row>
    <row r="92" spans="1:6" ht="14.45" customHeight="1">
      <c r="A92" s="29"/>
      <c r="B92" s="109"/>
      <c r="C92" s="57" t="s">
        <v>141</v>
      </c>
      <c r="D92" s="58">
        <v>272</v>
      </c>
      <c r="E92" s="59">
        <v>3.2462107650078002E-2</v>
      </c>
      <c r="F92" s="56"/>
    </row>
    <row r="93" spans="1:6" ht="14.45" customHeight="1">
      <c r="A93" s="29"/>
      <c r="B93" s="110"/>
      <c r="C93" s="95" t="s">
        <v>265</v>
      </c>
      <c r="D93" s="78">
        <v>519</v>
      </c>
      <c r="E93" s="79">
        <v>6.1940565699963999E-2</v>
      </c>
      <c r="F93" s="55"/>
    </row>
    <row r="94" spans="1:6" ht="14.45" customHeight="1">
      <c r="A94" s="29"/>
      <c r="B94" s="108" t="s">
        <v>123</v>
      </c>
      <c r="C94" s="57" t="s">
        <v>140</v>
      </c>
      <c r="D94" s="58">
        <v>11</v>
      </c>
      <c r="E94" s="59">
        <v>1.312805824084E-3</v>
      </c>
      <c r="F94" s="56"/>
    </row>
    <row r="95" spans="1:6" ht="14.45" customHeight="1">
      <c r="A95" s="29"/>
      <c r="B95" s="109"/>
      <c r="C95" s="57" t="s">
        <v>141</v>
      </c>
      <c r="D95" s="58">
        <v>8</v>
      </c>
      <c r="E95" s="59">
        <v>9.5476787206100005E-4</v>
      </c>
      <c r="F95" s="56"/>
    </row>
    <row r="96" spans="1:6" ht="14.45" customHeight="1">
      <c r="A96" s="29"/>
      <c r="B96" s="110"/>
      <c r="C96" s="95" t="s">
        <v>265</v>
      </c>
      <c r="D96" s="78">
        <v>19</v>
      </c>
      <c r="E96" s="79">
        <v>2.2675736961449999E-3</v>
      </c>
      <c r="F96" s="55"/>
    </row>
    <row r="97" spans="1:6" ht="14.45" customHeight="1">
      <c r="A97" s="29"/>
      <c r="B97" s="108" t="s">
        <v>124</v>
      </c>
      <c r="C97" s="57" t="s">
        <v>140</v>
      </c>
      <c r="D97" s="58">
        <v>7</v>
      </c>
      <c r="E97" s="59">
        <v>8.3542188805299999E-4</v>
      </c>
      <c r="F97" s="56"/>
    </row>
    <row r="98" spans="1:6" ht="14.45" customHeight="1">
      <c r="A98" s="29"/>
      <c r="B98" s="109"/>
      <c r="C98" s="57" t="s">
        <v>141</v>
      </c>
      <c r="D98" s="58">
        <v>10</v>
      </c>
      <c r="E98" s="59">
        <v>1.1934598400760001E-3</v>
      </c>
      <c r="F98" s="56"/>
    </row>
    <row r="99" spans="1:6" ht="14.45" customHeight="1">
      <c r="A99" s="29"/>
      <c r="B99" s="110"/>
      <c r="C99" s="95" t="s">
        <v>265</v>
      </c>
      <c r="D99" s="78">
        <v>17</v>
      </c>
      <c r="E99" s="79">
        <v>2.02888172813E-3</v>
      </c>
      <c r="F99" s="55"/>
    </row>
    <row r="100" spans="1:6" ht="14.45" customHeight="1">
      <c r="A100" s="29"/>
      <c r="B100" s="108" t="s">
        <v>125</v>
      </c>
      <c r="C100" s="57" t="s">
        <v>140</v>
      </c>
      <c r="D100" s="58">
        <v>4</v>
      </c>
      <c r="E100" s="59">
        <v>4.77383936031E-4</v>
      </c>
      <c r="F100" s="56"/>
    </row>
    <row r="101" spans="1:6" ht="14.45" customHeight="1">
      <c r="A101" s="29"/>
      <c r="B101" s="109"/>
      <c r="C101" s="57" t="s">
        <v>141</v>
      </c>
      <c r="D101" s="58">
        <v>8</v>
      </c>
      <c r="E101" s="59">
        <v>9.5476787206100005E-4</v>
      </c>
      <c r="F101" s="56"/>
    </row>
    <row r="102" spans="1:6" ht="14.45" customHeight="1">
      <c r="A102" s="29"/>
      <c r="B102" s="110"/>
      <c r="C102" s="95" t="s">
        <v>265</v>
      </c>
      <c r="D102" s="78">
        <v>12</v>
      </c>
      <c r="E102" s="79">
        <v>1.432151808092E-3</v>
      </c>
      <c r="F102" s="55"/>
    </row>
    <row r="103" spans="1:6" ht="14.45" customHeight="1">
      <c r="A103" s="29"/>
      <c r="B103" s="108" t="s">
        <v>126</v>
      </c>
      <c r="C103" s="57" t="s">
        <v>140</v>
      </c>
      <c r="D103" s="58">
        <v>70</v>
      </c>
      <c r="E103" s="59">
        <v>8.3542188805349991E-3</v>
      </c>
      <c r="F103" s="56"/>
    </row>
    <row r="104" spans="1:6" ht="14.45" customHeight="1">
      <c r="A104" s="29"/>
      <c r="B104" s="109"/>
      <c r="C104" s="57" t="s">
        <v>141</v>
      </c>
      <c r="D104" s="58">
        <v>89</v>
      </c>
      <c r="E104" s="59">
        <v>1.062179257668E-2</v>
      </c>
      <c r="F104" s="56"/>
    </row>
    <row r="105" spans="1:6" ht="14.45" customHeight="1">
      <c r="A105" s="29"/>
      <c r="B105" s="110"/>
      <c r="C105" s="95" t="s">
        <v>265</v>
      </c>
      <c r="D105" s="78">
        <v>159</v>
      </c>
      <c r="E105" s="79">
        <v>1.8976011457214E-2</v>
      </c>
      <c r="F105" s="55"/>
    </row>
    <row r="106" spans="1:6" ht="14.45" customHeight="1">
      <c r="A106" s="29"/>
      <c r="B106" s="108" t="s">
        <v>127</v>
      </c>
      <c r="C106" s="57" t="s">
        <v>140</v>
      </c>
      <c r="D106" s="58">
        <v>1</v>
      </c>
      <c r="E106" s="59">
        <v>1.19345984008E-4</v>
      </c>
      <c r="F106" s="56"/>
    </row>
    <row r="107" spans="1:6" ht="14.45" customHeight="1">
      <c r="A107" s="29"/>
      <c r="B107" s="109"/>
      <c r="C107" s="57" t="s">
        <v>141</v>
      </c>
      <c r="D107" s="58">
        <v>1</v>
      </c>
      <c r="E107" s="59">
        <v>1.19345984008E-4</v>
      </c>
      <c r="F107" s="56"/>
    </row>
    <row r="108" spans="1:6" ht="14.45" customHeight="1">
      <c r="A108" s="29"/>
      <c r="B108" s="110"/>
      <c r="C108" s="95" t="s">
        <v>265</v>
      </c>
      <c r="D108" s="78">
        <v>2</v>
      </c>
      <c r="E108" s="79">
        <v>2.3869196801499999E-4</v>
      </c>
      <c r="F108" s="55"/>
    </row>
    <row r="109" spans="1:6" ht="14.45" customHeight="1">
      <c r="A109" s="29"/>
      <c r="B109" s="108" t="s">
        <v>128</v>
      </c>
      <c r="C109" s="57" t="s">
        <v>140</v>
      </c>
      <c r="D109" s="58">
        <v>17</v>
      </c>
      <c r="E109" s="59">
        <v>2.02888172813E-3</v>
      </c>
      <c r="F109" s="56"/>
    </row>
    <row r="110" spans="1:6" ht="14.45" customHeight="1">
      <c r="A110" s="29"/>
      <c r="B110" s="109"/>
      <c r="C110" s="57" t="s">
        <v>141</v>
      </c>
      <c r="D110" s="58">
        <v>22</v>
      </c>
      <c r="E110" s="59">
        <v>2.6256116481680001E-3</v>
      </c>
      <c r="F110" s="56"/>
    </row>
    <row r="111" spans="1:6" ht="14.45" customHeight="1">
      <c r="A111" s="29"/>
      <c r="B111" s="110"/>
      <c r="C111" s="95" t="s">
        <v>265</v>
      </c>
      <c r="D111" s="78">
        <v>39</v>
      </c>
      <c r="E111" s="79">
        <v>4.6544933762979997E-3</v>
      </c>
      <c r="F111" s="55"/>
    </row>
    <row r="112" spans="1:6" ht="14.45" customHeight="1">
      <c r="A112" s="29"/>
      <c r="B112" s="108" t="s">
        <v>129</v>
      </c>
      <c r="C112" s="57" t="s">
        <v>140</v>
      </c>
      <c r="D112" s="58">
        <v>32</v>
      </c>
      <c r="E112" s="59">
        <v>3.8190714882440002E-3</v>
      </c>
      <c r="F112" s="56"/>
    </row>
    <row r="113" spans="1:6" ht="14.45" customHeight="1">
      <c r="A113" s="29"/>
      <c r="B113" s="109"/>
      <c r="C113" s="57" t="s">
        <v>141</v>
      </c>
      <c r="D113" s="58">
        <v>38</v>
      </c>
      <c r="E113" s="59">
        <v>4.5351473922899998E-3</v>
      </c>
      <c r="F113" s="56"/>
    </row>
    <row r="114" spans="1:6" ht="14.45" customHeight="1">
      <c r="A114" s="29"/>
      <c r="B114" s="110"/>
      <c r="C114" s="95" t="s">
        <v>265</v>
      </c>
      <c r="D114" s="78">
        <v>70</v>
      </c>
      <c r="E114" s="79">
        <v>8.3542188805349991E-3</v>
      </c>
      <c r="F114" s="55"/>
    </row>
    <row r="115" spans="1:6" ht="14.45" customHeight="1">
      <c r="A115" s="29"/>
      <c r="B115" s="108" t="s">
        <v>130</v>
      </c>
      <c r="C115" s="57" t="s">
        <v>140</v>
      </c>
      <c r="D115" s="58">
        <v>42</v>
      </c>
      <c r="E115" s="59">
        <v>5.0125313283210004E-3</v>
      </c>
      <c r="F115" s="56"/>
    </row>
    <row r="116" spans="1:6" ht="14.45" customHeight="1">
      <c r="A116" s="29"/>
      <c r="B116" s="109"/>
      <c r="C116" s="57" t="s">
        <v>141</v>
      </c>
      <c r="D116" s="58">
        <v>64</v>
      </c>
      <c r="E116" s="59">
        <v>7.6381429764889996E-3</v>
      </c>
      <c r="F116" s="56"/>
    </row>
    <row r="117" spans="1:6" ht="14.45" customHeight="1">
      <c r="A117" s="29"/>
      <c r="B117" s="110"/>
      <c r="C117" s="95" t="s">
        <v>265</v>
      </c>
      <c r="D117" s="78">
        <v>106</v>
      </c>
      <c r="E117" s="79">
        <v>1.2650674304810001E-2</v>
      </c>
      <c r="F117" s="55"/>
    </row>
    <row r="118" spans="1:6" ht="14.45" customHeight="1">
      <c r="A118" s="29"/>
      <c r="B118" s="108" t="s">
        <v>131</v>
      </c>
      <c r="C118" s="57" t="s">
        <v>140</v>
      </c>
      <c r="D118" s="58">
        <v>9</v>
      </c>
      <c r="E118" s="59">
        <v>1.074113856069E-3</v>
      </c>
      <c r="F118" s="56"/>
    </row>
    <row r="119" spans="1:6" ht="14.45" customHeight="1">
      <c r="A119" s="29"/>
      <c r="B119" s="109"/>
      <c r="C119" s="57" t="s">
        <v>141</v>
      </c>
      <c r="D119" s="58">
        <v>11</v>
      </c>
      <c r="E119" s="59">
        <v>1.312805824084E-3</v>
      </c>
      <c r="F119" s="56"/>
    </row>
    <row r="120" spans="1:6" ht="14.45" customHeight="1">
      <c r="A120" s="29"/>
      <c r="B120" s="110"/>
      <c r="C120" s="95" t="s">
        <v>265</v>
      </c>
      <c r="D120" s="78">
        <v>20</v>
      </c>
      <c r="E120" s="79">
        <v>2.3869196801529998E-3</v>
      </c>
      <c r="F120" s="55"/>
    </row>
    <row r="121" spans="1:6" ht="14.45" customHeight="1">
      <c r="A121" s="29"/>
      <c r="B121" s="108" t="s">
        <v>234</v>
      </c>
      <c r="C121" s="57" t="s">
        <v>141</v>
      </c>
      <c r="D121" s="58">
        <v>2</v>
      </c>
      <c r="E121" s="59">
        <v>2.3869196801499999E-4</v>
      </c>
      <c r="F121" s="56"/>
    </row>
    <row r="122" spans="1:6" ht="14.45" customHeight="1">
      <c r="A122" s="29"/>
      <c r="B122" s="110"/>
      <c r="C122" s="95" t="s">
        <v>265</v>
      </c>
      <c r="D122" s="78">
        <v>2</v>
      </c>
      <c r="E122" s="79">
        <v>2.3869196801499999E-4</v>
      </c>
      <c r="F122" s="55"/>
    </row>
    <row r="123" spans="1:6" ht="14.45" customHeight="1">
      <c r="A123" s="29"/>
      <c r="B123" s="108" t="s">
        <v>132</v>
      </c>
      <c r="C123" s="57" t="s">
        <v>140</v>
      </c>
      <c r="D123" s="58">
        <v>23</v>
      </c>
      <c r="E123" s="59">
        <v>2.744957632176E-3</v>
      </c>
      <c r="F123" s="56"/>
    </row>
    <row r="124" spans="1:6" ht="14.45" customHeight="1">
      <c r="A124" s="29"/>
      <c r="B124" s="109"/>
      <c r="C124" s="57" t="s">
        <v>141</v>
      </c>
      <c r="D124" s="58">
        <v>26</v>
      </c>
      <c r="E124" s="59">
        <v>3.1029955841989998E-3</v>
      </c>
      <c r="F124" s="56"/>
    </row>
    <row r="125" spans="1:6" ht="14.45" customHeight="1">
      <c r="A125" s="29"/>
      <c r="B125" s="110"/>
      <c r="C125" s="95" t="s">
        <v>265</v>
      </c>
      <c r="D125" s="78">
        <v>49</v>
      </c>
      <c r="E125" s="79">
        <v>5.8479532163739998E-3</v>
      </c>
      <c r="F125" s="55"/>
    </row>
    <row r="126" spans="1:6" ht="14.45" customHeight="1">
      <c r="A126" s="29"/>
      <c r="B126" s="108" t="s">
        <v>133</v>
      </c>
      <c r="C126" s="57" t="s">
        <v>140</v>
      </c>
      <c r="D126" s="58">
        <v>2</v>
      </c>
      <c r="E126" s="59">
        <v>2.3869196801499999E-4</v>
      </c>
      <c r="F126" s="56"/>
    </row>
    <row r="127" spans="1:6" ht="14.45" customHeight="1">
      <c r="A127" s="29"/>
      <c r="B127" s="109"/>
      <c r="C127" s="57" t="s">
        <v>141</v>
      </c>
      <c r="D127" s="58">
        <v>2</v>
      </c>
      <c r="E127" s="59">
        <v>2.3869196801499999E-4</v>
      </c>
      <c r="F127" s="56"/>
    </row>
    <row r="128" spans="1:6" ht="14.45" customHeight="1">
      <c r="A128" s="29"/>
      <c r="B128" s="110"/>
      <c r="C128" s="95" t="s">
        <v>265</v>
      </c>
      <c r="D128" s="78">
        <v>4</v>
      </c>
      <c r="E128" s="79">
        <v>4.77383936031E-4</v>
      </c>
      <c r="F128" s="55"/>
    </row>
    <row r="129" spans="1:6" ht="14.45" customHeight="1">
      <c r="A129" s="29"/>
      <c r="B129" s="108" t="s">
        <v>134</v>
      </c>
      <c r="C129" s="57" t="s">
        <v>140</v>
      </c>
      <c r="D129" s="58">
        <v>31</v>
      </c>
      <c r="E129" s="59">
        <v>3.6997255042369999E-3</v>
      </c>
      <c r="F129" s="56"/>
    </row>
    <row r="130" spans="1:6" ht="14.45" customHeight="1">
      <c r="A130" s="29"/>
      <c r="B130" s="109"/>
      <c r="C130" s="57" t="s">
        <v>141</v>
      </c>
      <c r="D130" s="58">
        <v>26</v>
      </c>
      <c r="E130" s="59">
        <v>3.1029955841989998E-3</v>
      </c>
      <c r="F130" s="56"/>
    </row>
    <row r="131" spans="1:6" ht="14.45" customHeight="1">
      <c r="A131" s="29"/>
      <c r="B131" s="110"/>
      <c r="C131" s="95" t="s">
        <v>265</v>
      </c>
      <c r="D131" s="78">
        <v>57</v>
      </c>
      <c r="E131" s="79">
        <v>6.8027210884350001E-3</v>
      </c>
      <c r="F131" s="55"/>
    </row>
    <row r="132" spans="1:6" ht="14.45" customHeight="1">
      <c r="A132" s="29"/>
      <c r="B132" s="108" t="s">
        <v>135</v>
      </c>
      <c r="C132" s="57" t="s">
        <v>140</v>
      </c>
      <c r="D132" s="58">
        <v>161</v>
      </c>
      <c r="E132" s="59">
        <v>1.921470342523E-2</v>
      </c>
      <c r="F132" s="56"/>
    </row>
    <row r="133" spans="1:6" ht="14.45" customHeight="1">
      <c r="A133" s="29"/>
      <c r="B133" s="109"/>
      <c r="C133" s="57" t="s">
        <v>141</v>
      </c>
      <c r="D133" s="58">
        <v>156</v>
      </c>
      <c r="E133" s="59">
        <v>1.8617973505191999E-2</v>
      </c>
      <c r="F133" s="56"/>
    </row>
    <row r="134" spans="1:6" ht="14.45" customHeight="1">
      <c r="A134" s="29"/>
      <c r="B134" s="110"/>
      <c r="C134" s="95" t="s">
        <v>265</v>
      </c>
      <c r="D134" s="78">
        <v>317</v>
      </c>
      <c r="E134" s="79">
        <v>3.7832676930421E-2</v>
      </c>
      <c r="F134" s="55"/>
    </row>
    <row r="135" spans="1:6" ht="14.45" customHeight="1">
      <c r="A135" s="29"/>
      <c r="B135" s="108" t="s">
        <v>136</v>
      </c>
      <c r="C135" s="57" t="s">
        <v>140</v>
      </c>
      <c r="D135" s="58">
        <v>68</v>
      </c>
      <c r="E135" s="59">
        <v>8.1155269125189992E-3</v>
      </c>
      <c r="F135" s="56"/>
    </row>
    <row r="136" spans="1:6" ht="14.45" customHeight="1">
      <c r="A136" s="29"/>
      <c r="B136" s="109"/>
      <c r="C136" s="57" t="s">
        <v>141</v>
      </c>
      <c r="D136" s="58">
        <v>84</v>
      </c>
      <c r="E136" s="59">
        <v>1.0025062656642001E-2</v>
      </c>
      <c r="F136" s="56"/>
    </row>
    <row r="137" spans="1:6" ht="14.45" customHeight="1">
      <c r="A137" s="29"/>
      <c r="B137" s="109"/>
      <c r="C137" s="57" t="s">
        <v>233</v>
      </c>
      <c r="D137" s="58">
        <v>1</v>
      </c>
      <c r="E137" s="59">
        <v>1.19345984008E-4</v>
      </c>
      <c r="F137" s="56"/>
    </row>
    <row r="138" spans="1:6" ht="14.45" customHeight="1">
      <c r="A138" s="29"/>
      <c r="B138" s="110"/>
      <c r="C138" s="95" t="s">
        <v>265</v>
      </c>
      <c r="D138" s="78">
        <v>153</v>
      </c>
      <c r="E138" s="79">
        <v>1.8259935553169002E-2</v>
      </c>
      <c r="F138" s="55"/>
    </row>
    <row r="139" spans="1:6" ht="14.45" customHeight="1">
      <c r="A139" s="29"/>
      <c r="B139" s="108" t="s">
        <v>137</v>
      </c>
      <c r="C139" s="57" t="s">
        <v>140</v>
      </c>
      <c r="D139" s="58">
        <v>24</v>
      </c>
      <c r="E139" s="59">
        <v>2.8643036161829999E-3</v>
      </c>
      <c r="F139" s="56"/>
    </row>
    <row r="140" spans="1:6" ht="14.45" customHeight="1">
      <c r="A140" s="29"/>
      <c r="B140" s="109"/>
      <c r="C140" s="57" t="s">
        <v>141</v>
      </c>
      <c r="D140" s="58">
        <v>25</v>
      </c>
      <c r="E140" s="59">
        <v>2.9836496001909999E-3</v>
      </c>
      <c r="F140" s="56"/>
    </row>
    <row r="141" spans="1:6" ht="14.45" customHeight="1">
      <c r="A141" s="29"/>
      <c r="B141" s="110"/>
      <c r="C141" s="95" t="s">
        <v>265</v>
      </c>
      <c r="D141" s="78">
        <v>49</v>
      </c>
      <c r="E141" s="79">
        <v>5.8479532163739998E-3</v>
      </c>
      <c r="F141" s="55"/>
    </row>
    <row r="142" spans="1:6" ht="14.45" customHeight="1">
      <c r="A142" s="29"/>
      <c r="B142" s="108" t="s">
        <v>78</v>
      </c>
      <c r="C142" s="57" t="s">
        <v>140</v>
      </c>
      <c r="D142" s="58">
        <v>36</v>
      </c>
      <c r="E142" s="59">
        <v>4.2964554242749999E-3</v>
      </c>
      <c r="F142" s="56"/>
    </row>
    <row r="143" spans="1:6" ht="14.45" customHeight="1">
      <c r="A143" s="29"/>
      <c r="B143" s="109"/>
      <c r="C143" s="57" t="s">
        <v>141</v>
      </c>
      <c r="D143" s="58">
        <v>61</v>
      </c>
      <c r="E143" s="59">
        <v>7.2801050244659998E-3</v>
      </c>
      <c r="F143" s="56"/>
    </row>
    <row r="144" spans="1:6" ht="14.45" customHeight="1">
      <c r="A144" s="29"/>
      <c r="B144" s="110"/>
      <c r="C144" s="95" t="s">
        <v>265</v>
      </c>
      <c r="D144" s="78">
        <v>97</v>
      </c>
      <c r="E144" s="79">
        <v>1.1576560448741001E-2</v>
      </c>
      <c r="F144" s="55"/>
    </row>
    <row r="145" spans="1:6" ht="14.45" customHeight="1">
      <c r="A145" s="29"/>
      <c r="B145" s="108" t="s">
        <v>138</v>
      </c>
      <c r="C145" s="57" t="s">
        <v>140</v>
      </c>
      <c r="D145" s="58">
        <v>13</v>
      </c>
      <c r="E145" s="59">
        <v>1.5514977920990001E-3</v>
      </c>
      <c r="F145" s="56"/>
    </row>
    <row r="146" spans="1:6" ht="14.45" customHeight="1">
      <c r="A146" s="29"/>
      <c r="B146" s="109"/>
      <c r="C146" s="57" t="s">
        <v>141</v>
      </c>
      <c r="D146" s="58">
        <v>28</v>
      </c>
      <c r="E146" s="59">
        <v>3.3416875522140001E-3</v>
      </c>
      <c r="F146" s="56"/>
    </row>
    <row r="147" spans="1:6" ht="14.45" customHeight="1">
      <c r="A147" s="29"/>
      <c r="B147" s="110"/>
      <c r="C147" s="95" t="s">
        <v>265</v>
      </c>
      <c r="D147" s="78">
        <v>41</v>
      </c>
      <c r="E147" s="79">
        <v>4.8931853443130004E-3</v>
      </c>
      <c r="F147" s="55"/>
    </row>
    <row r="148" spans="1:6" ht="14.45" customHeight="1">
      <c r="A148" s="29"/>
      <c r="B148" s="108" t="s">
        <v>139</v>
      </c>
      <c r="C148" s="57" t="s">
        <v>140</v>
      </c>
      <c r="D148" s="58">
        <v>4</v>
      </c>
      <c r="E148" s="59">
        <v>4.77383936031E-4</v>
      </c>
      <c r="F148" s="56"/>
    </row>
    <row r="149" spans="1:6" ht="14.45" customHeight="1">
      <c r="A149" s="29"/>
      <c r="B149" s="109"/>
      <c r="C149" s="57" t="s">
        <v>141</v>
      </c>
      <c r="D149" s="58">
        <v>6</v>
      </c>
      <c r="E149" s="59">
        <v>7.16075904046E-4</v>
      </c>
      <c r="F149" s="56"/>
    </row>
    <row r="150" spans="1:6" ht="14.45" customHeight="1">
      <c r="A150" s="29"/>
      <c r="B150" s="110"/>
      <c r="C150" s="95" t="s">
        <v>265</v>
      </c>
      <c r="D150" s="78">
        <v>10</v>
      </c>
      <c r="E150" s="79">
        <v>1.1934598400760001E-3</v>
      </c>
      <c r="F150" s="55"/>
    </row>
    <row r="151" spans="1:6" ht="14.45" customHeight="1">
      <c r="A151" s="29"/>
      <c r="B151" s="80" t="s">
        <v>269</v>
      </c>
      <c r="C151" s="60"/>
      <c r="D151" s="61">
        <v>8379</v>
      </c>
      <c r="E151" s="62">
        <v>1</v>
      </c>
      <c r="F151" s="55"/>
    </row>
    <row r="152" spans="1:6" ht="14.45" customHeight="1">
      <c r="A152" s="29"/>
      <c r="B152" s="35"/>
      <c r="C152" s="42"/>
      <c r="D152" s="53"/>
      <c r="E152" s="42"/>
      <c r="F152" s="29"/>
    </row>
    <row r="153" spans="1:6" ht="12.75">
      <c r="A153" s="29"/>
      <c r="B153" s="35" t="s">
        <v>232</v>
      </c>
      <c r="C153" s="42"/>
      <c r="D153" s="53"/>
      <c r="E153" s="42"/>
      <c r="F153" s="29"/>
    </row>
    <row r="154" spans="1:6" ht="12.75">
      <c r="A154" s="29"/>
      <c r="B154" s="36" t="s">
        <v>18</v>
      </c>
      <c r="C154" s="42"/>
      <c r="D154" s="53"/>
      <c r="E154" s="42"/>
      <c r="F154" s="29"/>
    </row>
    <row r="155" spans="1:6" ht="12.75">
      <c r="A155" s="29"/>
      <c r="B155" s="37" t="s">
        <v>45</v>
      </c>
      <c r="C155" s="42"/>
      <c r="D155" s="53"/>
      <c r="E155" s="42"/>
      <c r="F155" s="29"/>
    </row>
    <row r="156" spans="1:6" ht="12.75">
      <c r="A156" s="29"/>
      <c r="B156" s="35" t="s">
        <v>17</v>
      </c>
      <c r="C156" s="42"/>
      <c r="D156" s="53"/>
      <c r="E156" s="42"/>
      <c r="F156" s="29"/>
    </row>
    <row r="157" spans="1:6" ht="12.75">
      <c r="A157" s="29"/>
      <c r="B157" s="35" t="s">
        <v>266</v>
      </c>
      <c r="C157" s="42"/>
      <c r="D157" s="53"/>
      <c r="E157" s="42"/>
      <c r="F157" s="29"/>
    </row>
  </sheetData>
  <mergeCells count="47">
    <mergeCell ref="B148:B150"/>
    <mergeCell ref="B132:B134"/>
    <mergeCell ref="B135:B138"/>
    <mergeCell ref="B139:B141"/>
    <mergeCell ref="B142:B144"/>
    <mergeCell ref="B145:B147"/>
    <mergeCell ref="B118:B120"/>
    <mergeCell ref="B121:B122"/>
    <mergeCell ref="B123:B125"/>
    <mergeCell ref="B126:B128"/>
    <mergeCell ref="B129:B131"/>
    <mergeCell ref="B103:B105"/>
    <mergeCell ref="B106:B108"/>
    <mergeCell ref="B109:B111"/>
    <mergeCell ref="B112:B114"/>
    <mergeCell ref="B115:B117"/>
    <mergeCell ref="B88:B90"/>
    <mergeCell ref="B91:B93"/>
    <mergeCell ref="B94:B96"/>
    <mergeCell ref="B97:B99"/>
    <mergeCell ref="B100:B102"/>
    <mergeCell ref="B74:B76"/>
    <mergeCell ref="B77:B79"/>
    <mergeCell ref="B80:B82"/>
    <mergeCell ref="B83:B85"/>
    <mergeCell ref="B86:B87"/>
    <mergeCell ref="B71:B73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0"/>
    <mergeCell ref="B26:B29"/>
    <mergeCell ref="B30:B32"/>
    <mergeCell ref="B33:B35"/>
    <mergeCell ref="B36:B38"/>
    <mergeCell ref="B39:B41"/>
    <mergeCell ref="B8:E10"/>
    <mergeCell ref="B13:B15"/>
    <mergeCell ref="B16:B18"/>
    <mergeCell ref="B19:B22"/>
    <mergeCell ref="B23:B2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39"/>
  <sheetViews>
    <sheetView showGridLines="0" view="pageBreakPreview" topLeftCell="A18" zoomScaleNormal="100" zoomScaleSheetLayoutView="100" workbookViewId="0">
      <selection activeCell="B29" sqref="B29:B32"/>
    </sheetView>
  </sheetViews>
  <sheetFormatPr baseColWidth="10" defaultColWidth="11.42578125" defaultRowHeight="11.25"/>
  <cols>
    <col min="1" max="1" width="5.7109375" style="15" customWidth="1"/>
    <col min="2" max="2" width="15.7109375" style="20" bestFit="1" customWidth="1"/>
    <col min="3" max="3" width="19.5703125" style="20" bestFit="1" customWidth="1"/>
    <col min="4" max="4" width="14.5703125" style="24" bestFit="1" customWidth="1"/>
    <col min="5" max="5" width="22" style="24" bestFit="1" customWidth="1"/>
    <col min="6" max="6" width="20.140625" style="20" bestFit="1" customWidth="1"/>
    <col min="7" max="7" width="4.28515625" style="15" customWidth="1"/>
    <col min="8" max="16384" width="11.42578125" style="15"/>
  </cols>
  <sheetData>
    <row r="1" spans="1:7" s="13" customFormat="1" ht="15">
      <c r="B1" s="20"/>
      <c r="C1" s="20"/>
    </row>
    <row r="2" spans="1:7" s="20" customFormat="1">
      <c r="B2" s="26"/>
    </row>
    <row r="3" spans="1:7" ht="15" customHeight="1">
      <c r="B3" s="27"/>
      <c r="C3" s="17"/>
      <c r="D3" s="15"/>
      <c r="E3" s="15"/>
      <c r="G3" s="20"/>
    </row>
    <row r="4" spans="1:7" ht="30" customHeight="1">
      <c r="B4" s="27"/>
      <c r="C4" s="17"/>
      <c r="D4" s="15"/>
      <c r="E4" s="15"/>
      <c r="G4" s="20"/>
    </row>
    <row r="5" spans="1:7" ht="15" customHeight="1">
      <c r="B5" s="27"/>
      <c r="C5" s="17"/>
      <c r="D5" s="15"/>
      <c r="E5" s="15"/>
      <c r="G5" s="20"/>
    </row>
    <row r="6" spans="1:7" s="20" customFormat="1">
      <c r="B6" s="23"/>
      <c r="C6" s="22"/>
    </row>
    <row r="7" spans="1:7" s="20" customFormat="1">
      <c r="B7" s="26"/>
    </row>
    <row r="8" spans="1:7" s="13" customFormat="1" ht="15" customHeight="1">
      <c r="A8" s="34"/>
      <c r="B8" s="107" t="s">
        <v>230</v>
      </c>
      <c r="C8" s="107"/>
      <c r="D8" s="107"/>
      <c r="E8" s="107"/>
      <c r="F8" s="107"/>
      <c r="G8" s="34"/>
    </row>
    <row r="9" spans="1:7" s="13" customFormat="1" ht="15" customHeight="1">
      <c r="A9" s="34"/>
      <c r="B9" s="107"/>
      <c r="C9" s="107"/>
      <c r="D9" s="107"/>
      <c r="E9" s="107"/>
      <c r="F9" s="107"/>
      <c r="G9" s="50"/>
    </row>
    <row r="10" spans="1:7" s="13" customFormat="1" ht="15" customHeight="1">
      <c r="A10" s="34"/>
      <c r="B10" s="107"/>
      <c r="C10" s="107"/>
      <c r="D10" s="107"/>
      <c r="E10" s="107"/>
      <c r="F10" s="107"/>
      <c r="G10" s="34"/>
    </row>
    <row r="11" spans="1:7" s="13" customFormat="1" ht="15" customHeight="1">
      <c r="A11" s="34"/>
      <c r="B11" s="51"/>
      <c r="C11" s="51"/>
      <c r="D11" s="51"/>
      <c r="E11" s="51"/>
      <c r="F11" s="51"/>
      <c r="G11" s="34"/>
    </row>
    <row r="12" spans="1:7" s="13" customFormat="1" ht="36.950000000000003" customHeight="1">
      <c r="A12" s="34"/>
      <c r="B12" s="94" t="s">
        <v>29</v>
      </c>
      <c r="C12" s="94" t="s">
        <v>32</v>
      </c>
      <c r="D12" s="94" t="s">
        <v>20</v>
      </c>
      <c r="E12" s="94" t="s">
        <v>31</v>
      </c>
      <c r="F12" s="94" t="s">
        <v>30</v>
      </c>
      <c r="G12" s="34"/>
    </row>
    <row r="13" spans="1:7" ht="14.45" customHeight="1">
      <c r="A13" s="29"/>
      <c r="B13" s="128" t="s">
        <v>251</v>
      </c>
      <c r="C13" s="127" t="s">
        <v>190</v>
      </c>
      <c r="D13" s="127"/>
      <c r="E13" s="58">
        <v>4</v>
      </c>
      <c r="F13" s="59">
        <v>4.77383936031E-4</v>
      </c>
      <c r="G13" s="29"/>
    </row>
    <row r="14" spans="1:7" ht="14.45" customHeight="1">
      <c r="A14" s="29"/>
      <c r="B14" s="129"/>
      <c r="C14" s="127" t="s">
        <v>184</v>
      </c>
      <c r="D14" s="127"/>
      <c r="E14" s="58">
        <v>325</v>
      </c>
      <c r="F14" s="59">
        <v>3.8787444802482002E-2</v>
      </c>
      <c r="G14" s="29"/>
    </row>
    <row r="15" spans="1:7" ht="14.45" customHeight="1">
      <c r="A15" s="29"/>
      <c r="B15" s="129"/>
      <c r="C15" s="127" t="s">
        <v>185</v>
      </c>
      <c r="D15" s="127"/>
      <c r="E15" s="58">
        <v>660</v>
      </c>
      <c r="F15" s="59">
        <v>7.8768349445041005E-2</v>
      </c>
      <c r="G15" s="29"/>
    </row>
    <row r="16" spans="1:7" ht="14.45" customHeight="1">
      <c r="A16" s="29"/>
      <c r="B16" s="129"/>
      <c r="C16" s="127" t="s">
        <v>186</v>
      </c>
      <c r="D16" s="127"/>
      <c r="E16" s="58">
        <v>1388</v>
      </c>
      <c r="F16" s="59">
        <v>0.165652225802602</v>
      </c>
      <c r="G16" s="29"/>
    </row>
    <row r="17" spans="1:7" ht="14.45" customHeight="1">
      <c r="A17" s="29"/>
      <c r="B17" s="129"/>
      <c r="C17" s="127" t="s">
        <v>187</v>
      </c>
      <c r="D17" s="127"/>
      <c r="E17" s="58">
        <v>1411</v>
      </c>
      <c r="F17" s="59">
        <v>0.168397183434777</v>
      </c>
      <c r="G17" s="29"/>
    </row>
    <row r="18" spans="1:7" ht="14.45" customHeight="1">
      <c r="A18" s="29"/>
      <c r="B18" s="129"/>
      <c r="C18" s="127" t="s">
        <v>188</v>
      </c>
      <c r="D18" s="127"/>
      <c r="E18" s="58">
        <v>152</v>
      </c>
      <c r="F18" s="59">
        <v>1.8140589569161002E-2</v>
      </c>
      <c r="G18" s="29"/>
    </row>
    <row r="19" spans="1:7" ht="14.45" customHeight="1">
      <c r="A19" s="29"/>
      <c r="B19" s="129"/>
      <c r="C19" s="127" t="s">
        <v>189</v>
      </c>
      <c r="D19" s="127"/>
      <c r="E19" s="58">
        <v>39</v>
      </c>
      <c r="F19" s="59">
        <v>4.6544933762979997E-3</v>
      </c>
      <c r="G19" s="29"/>
    </row>
    <row r="20" spans="1:7" ht="14.45" customHeight="1">
      <c r="A20" s="29"/>
      <c r="B20" s="130"/>
      <c r="C20" s="97"/>
      <c r="D20" s="97"/>
      <c r="E20" s="96">
        <v>3979</v>
      </c>
      <c r="F20" s="77">
        <v>0.474877670366392</v>
      </c>
      <c r="G20" s="29"/>
    </row>
    <row r="21" spans="1:7" ht="14.45" customHeight="1">
      <c r="A21" s="29"/>
      <c r="B21" s="128" t="s">
        <v>252</v>
      </c>
      <c r="C21" s="127" t="s">
        <v>190</v>
      </c>
      <c r="D21" s="127"/>
      <c r="E21" s="58">
        <v>5</v>
      </c>
      <c r="F21" s="59">
        <v>5.9672992003800005E-4</v>
      </c>
      <c r="G21" s="29"/>
    </row>
    <row r="22" spans="1:7" ht="14.45" customHeight="1">
      <c r="A22" s="29"/>
      <c r="B22" s="129"/>
      <c r="C22" s="127" t="s">
        <v>184</v>
      </c>
      <c r="D22" s="127"/>
      <c r="E22" s="58">
        <v>568</v>
      </c>
      <c r="F22" s="59">
        <v>6.7788518916337998E-2</v>
      </c>
      <c r="G22" s="29"/>
    </row>
    <row r="23" spans="1:7" ht="14.45" customHeight="1">
      <c r="A23" s="29"/>
      <c r="B23" s="129"/>
      <c r="C23" s="127" t="s">
        <v>185</v>
      </c>
      <c r="D23" s="127"/>
      <c r="E23" s="58">
        <v>997</v>
      </c>
      <c r="F23" s="59">
        <v>0.118987946055615</v>
      </c>
      <c r="G23" s="29"/>
    </row>
    <row r="24" spans="1:7" ht="14.45" customHeight="1">
      <c r="A24" s="29"/>
      <c r="B24" s="129"/>
      <c r="C24" s="127" t="s">
        <v>186</v>
      </c>
      <c r="D24" s="127"/>
      <c r="E24" s="58">
        <v>1399</v>
      </c>
      <c r="F24" s="59">
        <v>0.16696503162668599</v>
      </c>
      <c r="G24" s="29"/>
    </row>
    <row r="25" spans="1:7" ht="14.45" customHeight="1">
      <c r="A25" s="29"/>
      <c r="B25" s="129"/>
      <c r="C25" s="127" t="s">
        <v>187</v>
      </c>
      <c r="D25" s="127"/>
      <c r="E25" s="58">
        <v>1270</v>
      </c>
      <c r="F25" s="59">
        <v>0.15156939968970001</v>
      </c>
      <c r="G25" s="29"/>
    </row>
    <row r="26" spans="1:7" ht="14.45" customHeight="1">
      <c r="A26" s="29"/>
      <c r="B26" s="129"/>
      <c r="C26" s="127" t="s">
        <v>188</v>
      </c>
      <c r="D26" s="127"/>
      <c r="E26" s="58">
        <v>138</v>
      </c>
      <c r="F26" s="59">
        <v>1.6469745793053998E-2</v>
      </c>
      <c r="G26" s="29"/>
    </row>
    <row r="27" spans="1:7" ht="14.45" customHeight="1">
      <c r="A27" s="29"/>
      <c r="B27" s="129"/>
      <c r="C27" s="127" t="s">
        <v>189</v>
      </c>
      <c r="D27" s="127"/>
      <c r="E27" s="58">
        <v>20</v>
      </c>
      <c r="F27" s="59">
        <v>2.3869196801529998E-3</v>
      </c>
      <c r="G27" s="29"/>
    </row>
    <row r="28" spans="1:7" ht="14.45" customHeight="1">
      <c r="A28" s="29"/>
      <c r="B28" s="130"/>
      <c r="C28" s="97"/>
      <c r="D28" s="97"/>
      <c r="E28" s="96">
        <v>4397</v>
      </c>
      <c r="F28" s="77">
        <v>0.524764291681585</v>
      </c>
      <c r="G28" s="29"/>
    </row>
    <row r="29" spans="1:7" ht="14.45" customHeight="1">
      <c r="A29" s="29"/>
      <c r="B29" s="128" t="s">
        <v>253</v>
      </c>
      <c r="C29" s="127" t="s">
        <v>184</v>
      </c>
      <c r="D29" s="127"/>
      <c r="E29" s="58">
        <v>1</v>
      </c>
      <c r="F29" s="59">
        <v>1.19345984008E-4</v>
      </c>
      <c r="G29" s="29"/>
    </row>
    <row r="30" spans="1:7" ht="14.45" customHeight="1">
      <c r="A30" s="29"/>
      <c r="B30" s="129"/>
      <c r="C30" s="127" t="s">
        <v>185</v>
      </c>
      <c r="D30" s="127"/>
      <c r="E30" s="58">
        <v>1</v>
      </c>
      <c r="F30" s="59">
        <v>1.19345984008E-4</v>
      </c>
      <c r="G30" s="29"/>
    </row>
    <row r="31" spans="1:7" ht="14.45" customHeight="1">
      <c r="A31" s="29"/>
      <c r="B31" s="129"/>
      <c r="C31" s="127" t="s">
        <v>186</v>
      </c>
      <c r="D31" s="127"/>
      <c r="E31" s="58">
        <v>1</v>
      </c>
      <c r="F31" s="59">
        <v>1.19345984008E-4</v>
      </c>
      <c r="G31" s="29"/>
    </row>
    <row r="32" spans="1:7" ht="14.45" customHeight="1">
      <c r="A32" s="29"/>
      <c r="B32" s="130"/>
      <c r="C32" s="97"/>
      <c r="D32" s="97"/>
      <c r="E32" s="96">
        <v>3</v>
      </c>
      <c r="F32" s="77">
        <v>3.58037952023E-4</v>
      </c>
      <c r="G32" s="29"/>
    </row>
    <row r="33" spans="1:7" ht="14.45" customHeight="1">
      <c r="A33" s="29"/>
      <c r="B33" s="126" t="s">
        <v>269</v>
      </c>
      <c r="C33" s="126"/>
      <c r="D33" s="126"/>
      <c r="E33" s="61">
        <v>8379</v>
      </c>
      <c r="F33" s="62">
        <v>1</v>
      </c>
      <c r="G33" s="29"/>
    </row>
    <row r="34" spans="1:7" ht="12.75">
      <c r="A34" s="29"/>
      <c r="B34" s="42"/>
      <c r="C34" s="42"/>
      <c r="D34" s="53"/>
      <c r="E34" s="53"/>
      <c r="F34" s="42"/>
      <c r="G34" s="29"/>
    </row>
    <row r="35" spans="1:7" ht="12.75">
      <c r="A35" s="29"/>
      <c r="B35" s="35" t="s">
        <v>232</v>
      </c>
      <c r="C35" s="42"/>
      <c r="D35" s="53"/>
      <c r="E35" s="53"/>
      <c r="F35" s="42"/>
      <c r="G35" s="29"/>
    </row>
    <row r="36" spans="1:7" ht="12.75">
      <c r="A36" s="29"/>
      <c r="B36" s="36" t="s">
        <v>18</v>
      </c>
      <c r="C36" s="42"/>
      <c r="D36" s="53"/>
      <c r="E36" s="53"/>
      <c r="F36" s="42"/>
      <c r="G36" s="29"/>
    </row>
    <row r="37" spans="1:7" ht="12.75">
      <c r="A37" s="29"/>
      <c r="B37" s="37" t="s">
        <v>45</v>
      </c>
      <c r="C37" s="42"/>
      <c r="D37" s="53"/>
      <c r="E37" s="53"/>
      <c r="F37" s="42"/>
      <c r="G37" s="29"/>
    </row>
    <row r="38" spans="1:7" ht="12.75">
      <c r="A38" s="29"/>
      <c r="B38" s="35" t="s">
        <v>17</v>
      </c>
      <c r="C38" s="42"/>
      <c r="D38" s="53"/>
      <c r="E38" s="53"/>
      <c r="F38" s="42"/>
      <c r="G38" s="29"/>
    </row>
    <row r="39" spans="1:7" ht="12.75">
      <c r="A39" s="29"/>
      <c r="B39" s="35" t="s">
        <v>270</v>
      </c>
      <c r="C39" s="42"/>
      <c r="D39" s="53"/>
      <c r="E39" s="53"/>
      <c r="F39" s="42"/>
      <c r="G39" s="29"/>
    </row>
  </sheetData>
  <mergeCells count="22">
    <mergeCell ref="C25:D25"/>
    <mergeCell ref="C26:D26"/>
    <mergeCell ref="C27:D27"/>
    <mergeCell ref="B13:B20"/>
    <mergeCell ref="B21:B28"/>
    <mergeCell ref="B8:F10"/>
    <mergeCell ref="C13:D13"/>
    <mergeCell ref="C14:D14"/>
    <mergeCell ref="C15:D15"/>
    <mergeCell ref="C16:D16"/>
    <mergeCell ref="C17:D17"/>
    <mergeCell ref="C18:D18"/>
    <mergeCell ref="C19:D19"/>
    <mergeCell ref="C21:D21"/>
    <mergeCell ref="C22:D22"/>
    <mergeCell ref="C23:D23"/>
    <mergeCell ref="C24:D24"/>
    <mergeCell ref="B33:D33"/>
    <mergeCell ref="C29:D29"/>
    <mergeCell ref="C30:D30"/>
    <mergeCell ref="C31:D31"/>
    <mergeCell ref="B29:B32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65"/>
  <sheetViews>
    <sheetView showGridLines="0" view="pageBreakPreview" topLeftCell="A53" zoomScaleNormal="100" zoomScaleSheetLayoutView="100" workbookViewId="0">
      <selection activeCell="B62" sqref="B62"/>
    </sheetView>
  </sheetViews>
  <sheetFormatPr baseColWidth="10" defaultColWidth="11.42578125" defaultRowHeight="15"/>
  <cols>
    <col min="1" max="1" width="9.28515625" style="13" customWidth="1"/>
    <col min="2" max="2" width="49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15" customFormat="1" ht="15" customHeight="1">
      <c r="C1" s="17"/>
    </row>
    <row r="2" spans="1:4" s="15" customFormat="1" ht="15" customHeight="1">
      <c r="C2" s="17"/>
    </row>
    <row r="3" spans="1:4" s="15" customFormat="1" ht="15" customHeight="1">
      <c r="C3" s="17"/>
    </row>
    <row r="4" spans="1:4" s="15" customFormat="1" ht="30" customHeight="1">
      <c r="C4" s="17"/>
      <c r="D4" s="16"/>
    </row>
    <row r="5" spans="1:4" s="15" customFormat="1" ht="15" customHeight="1">
      <c r="C5" s="17"/>
      <c r="D5" s="16"/>
    </row>
    <row r="6" spans="1:4" s="15" customFormat="1" ht="15" customHeight="1">
      <c r="C6" s="17"/>
      <c r="D6" s="16"/>
    </row>
    <row r="7" spans="1:4" s="15" customFormat="1" ht="15" customHeight="1">
      <c r="A7" s="29"/>
      <c r="B7" s="107" t="s">
        <v>231</v>
      </c>
      <c r="C7" s="107"/>
      <c r="D7" s="107"/>
    </row>
    <row r="8" spans="1:4" s="15" customFormat="1" ht="15" customHeight="1">
      <c r="A8" s="29"/>
      <c r="B8" s="107"/>
      <c r="C8" s="107"/>
      <c r="D8" s="107"/>
    </row>
    <row r="9" spans="1:4" s="15" customFormat="1" ht="33" customHeight="1">
      <c r="A9" s="29"/>
      <c r="B9" s="107"/>
      <c r="C9" s="107"/>
      <c r="D9" s="107"/>
    </row>
    <row r="10" spans="1:4" s="15" customFormat="1" ht="11.1" customHeight="1">
      <c r="A10" s="29"/>
      <c r="B10" s="30"/>
      <c r="C10" s="30"/>
      <c r="D10" s="30"/>
    </row>
    <row r="11" spans="1:4" s="15" customFormat="1" ht="33" customHeight="1">
      <c r="A11" s="29"/>
      <c r="B11" s="31" t="s">
        <v>33</v>
      </c>
      <c r="C11" s="32" t="s">
        <v>20</v>
      </c>
      <c r="D11" s="33" t="s">
        <v>19</v>
      </c>
    </row>
    <row r="12" spans="1:4" ht="16.5">
      <c r="A12" s="34"/>
      <c r="B12" s="57" t="s">
        <v>191</v>
      </c>
      <c r="C12" s="76">
        <v>4616</v>
      </c>
      <c r="D12" s="69">
        <v>0.55100000000000005</v>
      </c>
    </row>
    <row r="13" spans="1:4" ht="16.5">
      <c r="A13" s="34"/>
      <c r="B13" s="57" t="s">
        <v>192</v>
      </c>
      <c r="C13" s="76">
        <v>2259</v>
      </c>
      <c r="D13" s="69">
        <v>0.27</v>
      </c>
    </row>
    <row r="14" spans="1:4" ht="16.5">
      <c r="A14" s="34"/>
      <c r="B14" s="57" t="s">
        <v>193</v>
      </c>
      <c r="C14" s="68">
        <v>283</v>
      </c>
      <c r="D14" s="69">
        <v>3.4000000000000002E-2</v>
      </c>
    </row>
    <row r="15" spans="1:4" ht="16.5">
      <c r="A15" s="34"/>
      <c r="B15" s="57" t="s">
        <v>195</v>
      </c>
      <c r="C15" s="68">
        <v>198</v>
      </c>
      <c r="D15" s="69">
        <v>2.4E-2</v>
      </c>
    </row>
    <row r="16" spans="1:4" ht="16.5">
      <c r="A16" s="34"/>
      <c r="B16" s="57" t="s">
        <v>194</v>
      </c>
      <c r="C16" s="68">
        <v>169</v>
      </c>
      <c r="D16" s="69">
        <v>0.02</v>
      </c>
    </row>
    <row r="17" spans="1:4" ht="16.5">
      <c r="A17" s="34"/>
      <c r="B17" s="57" t="s">
        <v>196</v>
      </c>
      <c r="C17" s="68">
        <v>151</v>
      </c>
      <c r="D17" s="69">
        <v>1.7999999999999999E-2</v>
      </c>
    </row>
    <row r="18" spans="1:4" ht="16.5">
      <c r="A18" s="34"/>
      <c r="B18" s="57" t="s">
        <v>197</v>
      </c>
      <c r="C18" s="68">
        <v>121</v>
      </c>
      <c r="D18" s="69">
        <v>1.4E-2</v>
      </c>
    </row>
    <row r="19" spans="1:4" ht="16.5">
      <c r="A19" s="34"/>
      <c r="B19" s="57" t="s">
        <v>198</v>
      </c>
      <c r="C19" s="68">
        <v>103</v>
      </c>
      <c r="D19" s="69">
        <v>1.2E-2</v>
      </c>
    </row>
    <row r="20" spans="1:4" ht="16.5">
      <c r="A20" s="34"/>
      <c r="B20" s="57" t="s">
        <v>199</v>
      </c>
      <c r="C20" s="68">
        <v>68</v>
      </c>
      <c r="D20" s="69">
        <v>8.0000000000000002E-3</v>
      </c>
    </row>
    <row r="21" spans="1:4" ht="16.5">
      <c r="A21" s="34"/>
      <c r="B21" s="57" t="s">
        <v>202</v>
      </c>
      <c r="C21" s="68">
        <v>45</v>
      </c>
      <c r="D21" s="69">
        <v>5.0000000000000001E-3</v>
      </c>
    </row>
    <row r="22" spans="1:4" ht="16.5">
      <c r="A22" s="34"/>
      <c r="B22" s="57" t="s">
        <v>205</v>
      </c>
      <c r="C22" s="68">
        <v>40</v>
      </c>
      <c r="D22" s="69">
        <v>5.0000000000000001E-3</v>
      </c>
    </row>
    <row r="23" spans="1:4" ht="16.5">
      <c r="A23" s="34"/>
      <c r="B23" s="57" t="s">
        <v>200</v>
      </c>
      <c r="C23" s="68">
        <v>38</v>
      </c>
      <c r="D23" s="69">
        <v>5.0000000000000001E-3</v>
      </c>
    </row>
    <row r="24" spans="1:4" ht="16.5">
      <c r="A24" s="34"/>
      <c r="B24" s="57" t="s">
        <v>204</v>
      </c>
      <c r="C24" s="68">
        <v>30</v>
      </c>
      <c r="D24" s="69">
        <v>4.0000000000000001E-3</v>
      </c>
    </row>
    <row r="25" spans="1:4" ht="16.5">
      <c r="A25" s="34"/>
      <c r="B25" s="57" t="s">
        <v>207</v>
      </c>
      <c r="C25" s="68">
        <v>25</v>
      </c>
      <c r="D25" s="69">
        <v>3.0000000000000001E-3</v>
      </c>
    </row>
    <row r="26" spans="1:4" ht="16.5">
      <c r="A26" s="34"/>
      <c r="B26" s="57" t="s">
        <v>201</v>
      </c>
      <c r="C26" s="68">
        <v>23</v>
      </c>
      <c r="D26" s="69">
        <v>3.0000000000000001E-3</v>
      </c>
    </row>
    <row r="27" spans="1:4" ht="16.5">
      <c r="A27" s="34"/>
      <c r="B27" s="57" t="s">
        <v>203</v>
      </c>
      <c r="C27" s="68">
        <v>23</v>
      </c>
      <c r="D27" s="69">
        <v>3.0000000000000001E-3</v>
      </c>
    </row>
    <row r="28" spans="1:4" ht="16.5">
      <c r="A28" s="34"/>
      <c r="B28" s="57" t="s">
        <v>210</v>
      </c>
      <c r="C28" s="68">
        <v>21</v>
      </c>
      <c r="D28" s="69">
        <v>3.0000000000000001E-3</v>
      </c>
    </row>
    <row r="29" spans="1:4" ht="16.5">
      <c r="A29" s="34"/>
      <c r="B29" s="57" t="s">
        <v>209</v>
      </c>
      <c r="C29" s="68">
        <v>19</v>
      </c>
      <c r="D29" s="69">
        <v>2E-3</v>
      </c>
    </row>
    <row r="30" spans="1:4" ht="16.5">
      <c r="A30" s="34"/>
      <c r="B30" s="57" t="s">
        <v>206</v>
      </c>
      <c r="C30" s="68">
        <v>19</v>
      </c>
      <c r="D30" s="69">
        <v>2E-3</v>
      </c>
    </row>
    <row r="31" spans="1:4" ht="16.5">
      <c r="A31" s="34"/>
      <c r="B31" s="57" t="s">
        <v>212</v>
      </c>
      <c r="C31" s="68">
        <v>18</v>
      </c>
      <c r="D31" s="69">
        <v>2E-3</v>
      </c>
    </row>
    <row r="32" spans="1:4" ht="16.5">
      <c r="A32" s="34"/>
      <c r="B32" s="57" t="s">
        <v>211</v>
      </c>
      <c r="C32" s="68">
        <v>17</v>
      </c>
      <c r="D32" s="69">
        <v>2E-3</v>
      </c>
    </row>
    <row r="33" spans="1:4" ht="16.5">
      <c r="A33" s="34"/>
      <c r="B33" s="57" t="s">
        <v>217</v>
      </c>
      <c r="C33" s="68">
        <v>15</v>
      </c>
      <c r="D33" s="69">
        <v>2E-3</v>
      </c>
    </row>
    <row r="34" spans="1:4" ht="16.5">
      <c r="A34" s="34"/>
      <c r="B34" s="57" t="s">
        <v>208</v>
      </c>
      <c r="C34" s="68">
        <v>11</v>
      </c>
      <c r="D34" s="69">
        <v>1E-3</v>
      </c>
    </row>
    <row r="35" spans="1:4" ht="16.5">
      <c r="A35" s="34"/>
      <c r="B35" s="57" t="s">
        <v>216</v>
      </c>
      <c r="C35" s="68">
        <v>7</v>
      </c>
      <c r="D35" s="69">
        <v>1E-3</v>
      </c>
    </row>
    <row r="36" spans="1:4" ht="16.5">
      <c r="A36" s="34"/>
      <c r="B36" s="57" t="s">
        <v>229</v>
      </c>
      <c r="C36" s="68">
        <v>7</v>
      </c>
      <c r="D36" s="69">
        <v>1E-3</v>
      </c>
    </row>
    <row r="37" spans="1:4" ht="16.5">
      <c r="A37" s="34"/>
      <c r="B37" s="57" t="s">
        <v>215</v>
      </c>
      <c r="C37" s="68">
        <v>6</v>
      </c>
      <c r="D37" s="69">
        <v>1E-3</v>
      </c>
    </row>
    <row r="38" spans="1:4" ht="16.5">
      <c r="A38" s="34"/>
      <c r="B38" s="57" t="s">
        <v>219</v>
      </c>
      <c r="C38" s="68">
        <v>5</v>
      </c>
      <c r="D38" s="69">
        <v>1E-3</v>
      </c>
    </row>
    <row r="39" spans="1:4" ht="16.5">
      <c r="A39" s="34"/>
      <c r="B39" s="57" t="s">
        <v>228</v>
      </c>
      <c r="C39" s="68">
        <v>5</v>
      </c>
      <c r="D39" s="69">
        <v>1E-3</v>
      </c>
    </row>
    <row r="40" spans="1:4" ht="16.5">
      <c r="A40" s="34"/>
      <c r="B40" s="57" t="s">
        <v>213</v>
      </c>
      <c r="C40" s="68">
        <v>5</v>
      </c>
      <c r="D40" s="69">
        <v>1E-3</v>
      </c>
    </row>
    <row r="41" spans="1:4" ht="16.5">
      <c r="A41" s="34"/>
      <c r="B41" s="57" t="s">
        <v>218</v>
      </c>
      <c r="C41" s="68">
        <v>3</v>
      </c>
      <c r="D41" s="69">
        <v>0</v>
      </c>
    </row>
    <row r="42" spans="1:4" ht="16.5">
      <c r="A42" s="34"/>
      <c r="B42" s="57" t="s">
        <v>214</v>
      </c>
      <c r="C42" s="68">
        <v>3</v>
      </c>
      <c r="D42" s="69">
        <v>0</v>
      </c>
    </row>
    <row r="43" spans="1:4" ht="16.5">
      <c r="A43" s="34"/>
      <c r="B43" s="57" t="s">
        <v>255</v>
      </c>
      <c r="C43" s="68">
        <v>3</v>
      </c>
      <c r="D43" s="69">
        <v>0</v>
      </c>
    </row>
    <row r="44" spans="1:4" ht="16.5">
      <c r="A44" s="34"/>
      <c r="B44" s="57" t="s">
        <v>220</v>
      </c>
      <c r="C44" s="68">
        <v>2</v>
      </c>
      <c r="D44" s="69">
        <v>0</v>
      </c>
    </row>
    <row r="45" spans="1:4" ht="16.5">
      <c r="A45" s="34"/>
      <c r="B45" s="57" t="s">
        <v>221</v>
      </c>
      <c r="C45" s="68">
        <v>2</v>
      </c>
      <c r="D45" s="69">
        <v>0</v>
      </c>
    </row>
    <row r="46" spans="1:4" ht="16.5">
      <c r="A46" s="34"/>
      <c r="B46" s="57" t="s">
        <v>224</v>
      </c>
      <c r="C46" s="68">
        <v>2</v>
      </c>
      <c r="D46" s="69">
        <v>0</v>
      </c>
    </row>
    <row r="47" spans="1:4" ht="16.5">
      <c r="A47" s="34"/>
      <c r="B47" s="57" t="s">
        <v>249</v>
      </c>
      <c r="C47" s="68">
        <v>2</v>
      </c>
      <c r="D47" s="69">
        <v>0</v>
      </c>
    </row>
    <row r="48" spans="1:4" ht="16.5">
      <c r="A48" s="34"/>
      <c r="B48" s="57" t="s">
        <v>225</v>
      </c>
      <c r="C48" s="68">
        <v>2</v>
      </c>
      <c r="D48" s="69">
        <v>0</v>
      </c>
    </row>
    <row r="49" spans="1:4" ht="16.5">
      <c r="A49" s="34"/>
      <c r="B49" s="57" t="s">
        <v>226</v>
      </c>
      <c r="C49" s="68">
        <v>2</v>
      </c>
      <c r="D49" s="69">
        <v>0</v>
      </c>
    </row>
    <row r="50" spans="1:4" ht="16.5">
      <c r="A50" s="34"/>
      <c r="B50" s="57" t="s">
        <v>222</v>
      </c>
      <c r="C50" s="68">
        <v>2</v>
      </c>
      <c r="D50" s="69">
        <v>0</v>
      </c>
    </row>
    <row r="51" spans="1:4" ht="16.5">
      <c r="A51" s="34"/>
      <c r="B51" s="57" t="s">
        <v>223</v>
      </c>
      <c r="C51" s="68">
        <v>1</v>
      </c>
      <c r="D51" s="69">
        <v>0</v>
      </c>
    </row>
    <row r="52" spans="1:4" ht="16.5">
      <c r="A52" s="34"/>
      <c r="B52" s="57" t="s">
        <v>256</v>
      </c>
      <c r="C52" s="68">
        <v>1</v>
      </c>
      <c r="D52" s="69">
        <v>0</v>
      </c>
    </row>
    <row r="53" spans="1:4" ht="16.5">
      <c r="A53" s="34"/>
      <c r="B53" s="57" t="s">
        <v>257</v>
      </c>
      <c r="C53" s="68">
        <v>1</v>
      </c>
      <c r="D53" s="69">
        <v>0</v>
      </c>
    </row>
    <row r="54" spans="1:4" ht="16.5">
      <c r="A54" s="34"/>
      <c r="B54" s="57" t="s">
        <v>258</v>
      </c>
      <c r="C54" s="68">
        <v>1</v>
      </c>
      <c r="D54" s="69">
        <v>0</v>
      </c>
    </row>
    <row r="55" spans="1:4" ht="16.5">
      <c r="A55" s="34"/>
      <c r="B55" s="57" t="s">
        <v>259</v>
      </c>
      <c r="C55" s="68">
        <v>1</v>
      </c>
      <c r="D55" s="69">
        <v>0</v>
      </c>
    </row>
    <row r="56" spans="1:4" ht="16.5">
      <c r="A56" s="34"/>
      <c r="B56" s="57" t="s">
        <v>260</v>
      </c>
      <c r="C56" s="68">
        <v>1</v>
      </c>
      <c r="D56" s="69">
        <v>0</v>
      </c>
    </row>
    <row r="57" spans="1:4" ht="16.5">
      <c r="A57" s="34"/>
      <c r="B57" s="57" t="s">
        <v>261</v>
      </c>
      <c r="C57" s="68">
        <v>1</v>
      </c>
      <c r="D57" s="69">
        <v>0</v>
      </c>
    </row>
    <row r="58" spans="1:4" ht="16.5">
      <c r="A58" s="34"/>
      <c r="B58" s="57" t="s">
        <v>262</v>
      </c>
      <c r="C58" s="68">
        <v>1</v>
      </c>
      <c r="D58" s="69">
        <v>0</v>
      </c>
    </row>
    <row r="59" spans="1:4" ht="16.5">
      <c r="A59" s="34"/>
      <c r="B59" s="57" t="s">
        <v>227</v>
      </c>
      <c r="C59" s="68">
        <v>1</v>
      </c>
      <c r="D59" s="69">
        <v>0</v>
      </c>
    </row>
    <row r="60" spans="1:4" ht="16.5">
      <c r="A60" s="34"/>
      <c r="B60" s="60" t="s">
        <v>265</v>
      </c>
      <c r="C60" s="40">
        <v>8379</v>
      </c>
      <c r="D60" s="75">
        <v>1</v>
      </c>
    </row>
    <row r="61" spans="1:4" ht="16.5">
      <c r="A61" s="34"/>
      <c r="B61" s="35" t="s">
        <v>232</v>
      </c>
      <c r="C61" s="38"/>
      <c r="D61" s="34"/>
    </row>
    <row r="62" spans="1:4" ht="16.5">
      <c r="A62" s="34"/>
      <c r="B62" s="36" t="s">
        <v>18</v>
      </c>
      <c r="C62" s="38"/>
      <c r="D62" s="34"/>
    </row>
    <row r="63" spans="1:4" ht="16.5">
      <c r="A63" s="34"/>
      <c r="B63" s="37" t="s">
        <v>45</v>
      </c>
      <c r="C63" s="38"/>
      <c r="D63" s="34"/>
    </row>
    <row r="64" spans="1:4" ht="16.5">
      <c r="A64" s="34"/>
      <c r="B64" s="35" t="s">
        <v>17</v>
      </c>
      <c r="C64" s="38"/>
      <c r="D64" s="34"/>
    </row>
    <row r="65" spans="1:4" ht="16.5">
      <c r="A65" s="34"/>
      <c r="B65" s="35" t="s">
        <v>266</v>
      </c>
      <c r="C65" s="38"/>
      <c r="D65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26</vt:i4>
      </vt:variant>
    </vt:vector>
  </HeadingPairs>
  <TitlesOfParts>
    <vt:vector size="41" baseType="lpstr">
      <vt:lpstr>Índice</vt:lpstr>
      <vt:lpstr>Nayarit_EdoUsa</vt:lpstr>
      <vt:lpstr>Nayarit_Cons</vt:lpstr>
      <vt:lpstr>NayaritXCons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Nayarit_GENERO_EUA</vt:lpstr>
      <vt:lpstr>Nayarit_Gen_Edad</vt:lpstr>
      <vt:lpstr>Nayarit_ocup_gral</vt:lpstr>
      <vt:lpstr>Nayarit_Cons!Área_de_impresión</vt:lpstr>
      <vt:lpstr>Nayarit_EdoMun!Área_de_impresión</vt:lpstr>
      <vt:lpstr>Nayarit_educ_gral!Área_de_impresión</vt:lpstr>
      <vt:lpstr>Nayarit_EducCons!Área_de_impresión</vt:lpstr>
      <vt:lpstr>Nayarit_Gen_Edad!Área_de_impresión</vt:lpstr>
      <vt:lpstr>Nayarit_GENERO!Área_de_impresión</vt:lpstr>
      <vt:lpstr>Nayarit_GENERO_EUA!Área_de_impresión</vt:lpstr>
      <vt:lpstr>Nayarit_MUNICIPIO!Área_de_impresión</vt:lpstr>
      <vt:lpstr>Nayarit_NivelE_Cons!Área_de_impresión</vt:lpstr>
      <vt:lpstr>Nayarit_ocup_gral!Área_de_impresión</vt:lpstr>
      <vt:lpstr>Nayarit_USAMuni!Área_de_impresión</vt:lpstr>
      <vt:lpstr>NayaritXCons!Área_de_impresión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Nayarit_GENERO_EUA!Títulos_a_imprimir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  <vt:lpstr>NayaritXCons!Títulos_a_imprimir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2020-06-03T21:20:59Z</dcterms:created>
  <dcterms:modified xsi:type="dcterms:W3CDTF">2025-08-22T16:52:35Z</dcterms:modified>
</cp:coreProperties>
</file>