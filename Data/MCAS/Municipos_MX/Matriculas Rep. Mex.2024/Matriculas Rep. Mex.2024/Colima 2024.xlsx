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4\República Mexicana\FINALES_RM\"/>
    </mc:Choice>
  </mc:AlternateContent>
  <xr:revisionPtr revIDLastSave="0" documentId="13_ncr:1_{A40C7B25-E5BB-4D55-8489-567DF100243A}" xr6:coauthVersionLast="47" xr6:coauthVersionMax="47" xr10:uidLastSave="{00000000-0000-0000-0000-000000000000}"/>
  <bookViews>
    <workbookView xWindow="-110" yWindow="-110" windowWidth="19420" windowHeight="10420" tabRatio="841" firstSheet="8" activeTab="14" xr2:uid="{00000000-000D-0000-FFFF-FFFF00000000}"/>
  </bookViews>
  <sheets>
    <sheet name="Índice" sheetId="1" r:id="rId1"/>
    <sheet name="Colima_EdoUsa" sheetId="2" r:id="rId2"/>
    <sheet name="Colima_Cons" sheetId="15" r:id="rId3"/>
    <sheet name="ColimaXCons" sheetId="16" r:id="rId4"/>
    <sheet name="Colima_EdoMun" sheetId="5" r:id="rId5"/>
    <sheet name="Colima_USAMuni" sheetId="6" r:id="rId6"/>
    <sheet name="Colima_MUNICIPIO" sheetId="7" r:id="rId7"/>
    <sheet name="Colima_educ_gral" sheetId="8" r:id="rId8"/>
    <sheet name="Colima_NivelE_Cons" sheetId="9" r:id="rId9"/>
    <sheet name="Colima_EducCons" sheetId="10" r:id="rId10"/>
    <sheet name="Colima_GenGral" sheetId="11" r:id="rId11"/>
    <sheet name="Colima_GENERO" sheetId="12" r:id="rId12"/>
    <sheet name="Colima_GENERO_EUA" sheetId="17" r:id="rId13"/>
    <sheet name="Colima_Gen_Edad" sheetId="13" r:id="rId14"/>
    <sheet name="Colima_ocup_gral" sheetId="14" r:id="rId15"/>
  </sheets>
  <definedNames>
    <definedName name="_xlnm._FilterDatabase" localSheetId="2" hidden="1">Colima_Cons!$B$11:$D$11</definedName>
    <definedName name="_xlnm._FilterDatabase" localSheetId="4" hidden="1">Colima_EdoMun!$B$11:$D$11</definedName>
    <definedName name="_xlnm._FilterDatabase" localSheetId="1" hidden="1">Colima_EdoUsa!$B$11:$D$11</definedName>
    <definedName name="_xlnm._FilterDatabase" localSheetId="7" hidden="1">Colima_educ_gral!$B$11:$D$11</definedName>
    <definedName name="_xlnm._FilterDatabase" localSheetId="9" hidden="1">Colima_EducCons!$B$9:$E$551</definedName>
    <definedName name="_xlnm._FilterDatabase" localSheetId="11" hidden="1">Colima_GENERO!$B$12:$E$152</definedName>
    <definedName name="_xlnm._FilterDatabase" localSheetId="12" hidden="1">Colima_GENERO_EUA!$B$12:$E$132</definedName>
    <definedName name="_xlnm._FilterDatabase" localSheetId="10" hidden="1">Colima_GenGral!$B$11:$D$11</definedName>
    <definedName name="_xlnm._FilterDatabase" localSheetId="6" hidden="1">Colima_MUNICIPIO!$B$9:$E$371</definedName>
    <definedName name="_xlnm._FilterDatabase" localSheetId="8" hidden="1">Colima_NivelE_Cons!$B$9:$E$366</definedName>
    <definedName name="_xlnm._FilterDatabase" localSheetId="14" hidden="1">Colima_ocup_gral!$B$11:$D$11</definedName>
    <definedName name="_xlnm._FilterDatabase" localSheetId="5" hidden="1">Colima_USAMuni!$B$9:$E$276</definedName>
    <definedName name="_xlnm._FilterDatabase" localSheetId="3" hidden="1">ColimaXCons!$B$11:$D$12</definedName>
    <definedName name="_xlnm.Print_Area" localSheetId="2">Colima_Cons!$A$1:$F$65</definedName>
    <definedName name="_xlnm.Print_Area" localSheetId="4">Colima_EdoMun!$A$1:$F$29</definedName>
    <definedName name="_xlnm.Print_Area" localSheetId="1">Colima_EdoUsa!$A$1:$F$60</definedName>
    <definedName name="_xlnm.Print_Area" localSheetId="7">Colima_educ_gral!$A$1:$F$43</definedName>
    <definedName name="_xlnm.Print_Area" localSheetId="9">Colima_EducCons!$A$1:$E$557</definedName>
    <definedName name="_xlnm.Print_Area" localSheetId="13">Colima_Gen_Edad!$A$1:$G$37</definedName>
    <definedName name="_xlnm.Print_Area" localSheetId="12">Colima_GENERO_EUA!$A$1:$G$139</definedName>
    <definedName name="_xlnm.Print_Area" localSheetId="10">Colima_GenGral!$A$1:$F$20</definedName>
    <definedName name="_xlnm.Print_Area" localSheetId="6">Colima_MUNICIPIO!$A$1:$E$377</definedName>
    <definedName name="_xlnm.Print_Area" localSheetId="8">Colima_NivelE_Cons!$A$1:$E$373</definedName>
    <definedName name="_xlnm.Print_Area" localSheetId="14">Colima_ocup_gral!$A$1:$E$59</definedName>
    <definedName name="_xlnm.Print_Area" localSheetId="5">Colima_USAMuni!$A$1:$E$282</definedName>
    <definedName name="_xlnm.Print_Area" localSheetId="3">ColimaXCons!$A$1:$F$29</definedName>
    <definedName name="_xlnm.Print_Titles" localSheetId="2">Colima_Cons!$1:$11</definedName>
    <definedName name="_xlnm.Print_Titles" localSheetId="4">Colima_EdoMun!$1:$11</definedName>
    <definedName name="_xlnm.Print_Titles" localSheetId="1">Colima_EdoUsa!$1:$11</definedName>
    <definedName name="_xlnm.Print_Titles" localSheetId="7">Colima_educ_gral!$1:$11</definedName>
    <definedName name="_xlnm.Print_Titles" localSheetId="9">Colima_EducCons!$1:$9</definedName>
    <definedName name="_xlnm.Print_Titles" localSheetId="13">Colima_Gen_Edad!$1:$12</definedName>
    <definedName name="_xlnm.Print_Titles" localSheetId="11">Colima_GENERO!$1:$12</definedName>
    <definedName name="_xlnm.Print_Titles" localSheetId="12">Colima_GENERO_EUA!$1:$12</definedName>
    <definedName name="_xlnm.Print_Titles" localSheetId="10">Colima_GenGral!$1:$11</definedName>
    <definedName name="_xlnm.Print_Titles" localSheetId="6">Colima_MUNICIPIO!$1:$9</definedName>
    <definedName name="_xlnm.Print_Titles" localSheetId="8">Colima_NivelE_Cons!$1:$9</definedName>
    <definedName name="_xlnm.Print_Titles" localSheetId="14">Colima_ocup_gral!$1:$11</definedName>
    <definedName name="_xlnm.Print_Titles" localSheetId="5">Colima_USAMuni!$1:$9</definedName>
    <definedName name="_xlnm.Print_Titles" localSheetId="3">ColimaXCons!$1:$11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9" i="13" l="1"/>
  <c r="E28" i="13"/>
  <c r="E27" i="13"/>
  <c r="E26" i="13"/>
  <c r="E25" i="13"/>
  <c r="E24" i="13"/>
  <c r="E23" i="13"/>
  <c r="E22" i="13"/>
  <c r="E20" i="13"/>
  <c r="E19" i="13"/>
  <c r="E18" i="13"/>
  <c r="E17" i="13"/>
  <c r="E16" i="13"/>
  <c r="E15" i="13"/>
  <c r="E14" i="13"/>
  <c r="E13" i="13"/>
  <c r="F31" i="13"/>
  <c r="F30" i="13"/>
  <c r="F29" i="13"/>
  <c r="F28" i="13"/>
  <c r="F27" i="13"/>
  <c r="F26" i="13"/>
  <c r="F25" i="13"/>
  <c r="F24" i="13"/>
  <c r="F23" i="13"/>
  <c r="F22" i="13"/>
  <c r="F21" i="13"/>
  <c r="F20" i="13"/>
  <c r="F19" i="13"/>
  <c r="F18" i="13"/>
  <c r="F17" i="13"/>
  <c r="F16" i="13"/>
  <c r="F15" i="13"/>
  <c r="F14" i="13"/>
  <c r="F13" i="13"/>
  <c r="C22" i="16"/>
  <c r="D22" i="16" l="1"/>
</calcChain>
</file>

<file path=xl/sharedStrings.xml><?xml version="1.0" encoding="utf-8"?>
<sst xmlns="http://schemas.openxmlformats.org/spreadsheetml/2006/main" count="2394" uniqueCount="311">
  <si>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</si>
  <si>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</si>
  <si>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</si>
  <si>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</si>
  <si>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</si>
  <si>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</si>
  <si>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</si>
  <si>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</si>
  <si>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</si>
  <si>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</si>
  <si>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</si>
  <si>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</si>
  <si>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</si>
  <si>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</si>
  <si>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6. Por estructura de Edad</t>
  </si>
  <si>
    <t>7. Por Ocupación</t>
  </si>
  <si>
    <t xml:space="preserve">Secretaría de Relaciones Exteriores </t>
  </si>
  <si>
    <t>Fuente: Expedición de Matrículas Consulares de Alta Seguridad en los Consulados de México en E.E.U.U.</t>
  </si>
  <si>
    <t>Porcentaje de Matrículas</t>
  </si>
  <si>
    <t>Número de Matrículas</t>
  </si>
  <si>
    <t xml:space="preserve">Estado </t>
  </si>
  <si>
    <t>Consulado</t>
  </si>
  <si>
    <t>Municipio de origen</t>
  </si>
  <si>
    <t>Municipio de Origen</t>
  </si>
  <si>
    <t>Estado</t>
  </si>
  <si>
    <t>Número de matrículas</t>
  </si>
  <si>
    <t>Nivel de Estudios</t>
  </si>
  <si>
    <t>Nivel</t>
  </si>
  <si>
    <t>Género</t>
  </si>
  <si>
    <t>Porcentaje con respecto al total de Matrículas</t>
  </si>
  <si>
    <t>Porcentaje con respecto al Género</t>
  </si>
  <si>
    <t>Edad Cumplida</t>
  </si>
  <si>
    <t>Ocupación</t>
  </si>
  <si>
    <t>5.2 Por Circunscripción Consular</t>
  </si>
  <si>
    <t>5.3 Por Estados de la Unión Americana</t>
  </si>
  <si>
    <t>MATRÍCULAS CONSULARES DE ALTA SEGURIDAD EXPEDIDAS A ORIGINARIOS DE COLIMA EN LOS CONSULADOS DE MÉXICO EN EE.UU.</t>
  </si>
  <si>
    <t>MATRÍCULAS CONSULARES EXPEDIDAS A ORIGINARIOS DE COLIMA POR GÉNERO EN EE.UU</t>
  </si>
  <si>
    <t>MATRÍCULAS CONSULARES EXPEDIDAS EN EE.UU. A ORIGINARIOS DE COLIMA POR NIVEL DE EDUCACIÓN</t>
  </si>
  <si>
    <t>MATRÍCULAS CONSULARES EXPEDIDAS A ORIGINARIOS DE COLIMA POR GÉNERO Y CONSULADO</t>
  </si>
  <si>
    <t>MATRÍCULAS CONSULARES EXPEDIDAS A ORIGINARIOS DE COLIMA POR GÉNERO Y POR ESTADO DE LA UNIÓN AMERICANA</t>
  </si>
  <si>
    <t>MATRÍCULAS CONSULARES DE ALTA SEGURIDAD EXPEDIDAS POR MUNICIPIO A ORIGINARIOS DEL ESTADO DE COLIMA EN LOS CONSULADOS DE MÉXICO EN EE.UU.</t>
  </si>
  <si>
    <t>MATRÍCULAS CONSULARES DE ALTA SEGURIDAD EXPEDIDAS A ORIGINARIOS DE COLIMA POR ESTADO DE LA UNIÓN AMERICANA</t>
  </si>
  <si>
    <t>LOS 10 CONSULADOS  DE MÉXICO EN EE.UU., CON MAYOR NÚMERO DE EXPEDICIÓN DE  MATRÍCULAS CONSULARES DE ALTA SEGURIDAD A ORIGINARIOS DE COLIMA</t>
  </si>
  <si>
    <t>TOTAL TOP 10</t>
  </si>
  <si>
    <t>TOTAL GENERAL</t>
  </si>
  <si>
    <t>Elaborado por: Análisis de Información, Instituto de Mexicanas y Mexicanos en el Exterior</t>
  </si>
  <si>
    <t>LOS ANGELES</t>
  </si>
  <si>
    <t>FRESNO</t>
  </si>
  <si>
    <t>SAN BERNARDINO</t>
  </si>
  <si>
    <t>SACRAMENTO</t>
  </si>
  <si>
    <t>LAS VEGAS</t>
  </si>
  <si>
    <t>CHICAGO</t>
  </si>
  <si>
    <t>SAN JOSE</t>
  </si>
  <si>
    <t>SANTA ANA</t>
  </si>
  <si>
    <t>DALLAS</t>
  </si>
  <si>
    <t>BOISE</t>
  </si>
  <si>
    <t>HOUSTON</t>
  </si>
  <si>
    <t>PHOENIX</t>
  </si>
  <si>
    <t>PORTLAND</t>
  </si>
  <si>
    <t>SAN DIEGO</t>
  </si>
  <si>
    <t>OXNARD</t>
  </si>
  <si>
    <t>SAN FRANCISCO</t>
  </si>
  <si>
    <t>RALEIGH</t>
  </si>
  <si>
    <t>DENVER</t>
  </si>
  <si>
    <t>KANSAS CITY</t>
  </si>
  <si>
    <t>SEATTLE</t>
  </si>
  <si>
    <t>ATLANTA</t>
  </si>
  <si>
    <t>LITTLE ROCK</t>
  </si>
  <si>
    <t>SALT LAKE CITY</t>
  </si>
  <si>
    <t>AUSTIN</t>
  </si>
  <si>
    <t>MIAMI</t>
  </si>
  <si>
    <t>ORLANDO</t>
  </si>
  <si>
    <t>OKLAHOMA CITY</t>
  </si>
  <si>
    <t>SAN ANTONIO</t>
  </si>
  <si>
    <t>INDIANAPOLIS</t>
  </si>
  <si>
    <t>OMAHA</t>
  </si>
  <si>
    <t>DETROIT</t>
  </si>
  <si>
    <t>MCALLEN</t>
  </si>
  <si>
    <t>SAINT PAUL</t>
  </si>
  <si>
    <t>BOSTON</t>
  </si>
  <si>
    <t>WASHINGTON</t>
  </si>
  <si>
    <t>FILADELFIA</t>
  </si>
  <si>
    <t>MILWAUKEE</t>
  </si>
  <si>
    <t>LAREDO</t>
  </si>
  <si>
    <t>TUCSON</t>
  </si>
  <si>
    <t>EL PASO</t>
  </si>
  <si>
    <t>NUEVA YORK</t>
  </si>
  <si>
    <t>NUEVA ORLEANS</t>
  </si>
  <si>
    <t>YUMA</t>
  </si>
  <si>
    <t>BROWNSVILLE</t>
  </si>
  <si>
    <t>CALEXICO</t>
  </si>
  <si>
    <t>ALBUQUERQUE</t>
  </si>
  <si>
    <t>NEW BRUNSWICK</t>
  </si>
  <si>
    <t>ALABAMA</t>
  </si>
  <si>
    <t>ARIZONA</t>
  </si>
  <si>
    <t>ARKANSAS</t>
  </si>
  <si>
    <t>CALIFORNIA</t>
  </si>
  <si>
    <t>COLORADO</t>
  </si>
  <si>
    <t>FLORIDA</t>
  </si>
  <si>
    <t>GEORGIA</t>
  </si>
  <si>
    <t>IDAHO</t>
  </si>
  <si>
    <t>ILLINOIS</t>
  </si>
  <si>
    <t>INDIANA</t>
  </si>
  <si>
    <t>IOWA</t>
  </si>
  <si>
    <t>KANSAS</t>
  </si>
  <si>
    <t>KENTUCKY</t>
  </si>
  <si>
    <t>LOUISIANA</t>
  </si>
  <si>
    <t>MICHIGAN</t>
  </si>
  <si>
    <t>MINNESOTA</t>
  </si>
  <si>
    <t>MISSISSIPPI</t>
  </si>
  <si>
    <t>MISSOURI</t>
  </si>
  <si>
    <t>NEBRASKA</t>
  </si>
  <si>
    <t>NEVADA</t>
  </si>
  <si>
    <t>NEW JERSEY</t>
  </si>
  <si>
    <t>NEW MEXICO</t>
  </si>
  <si>
    <t>NEW YORK</t>
  </si>
  <si>
    <t>NORTH CAROLINA</t>
  </si>
  <si>
    <t>OHIO</t>
  </si>
  <si>
    <t>OKLAHOMA</t>
  </si>
  <si>
    <t>OREGON</t>
  </si>
  <si>
    <t>PENNSYLVANIA</t>
  </si>
  <si>
    <t>SOUTH CAROLINA</t>
  </si>
  <si>
    <t>TEXAS</t>
  </si>
  <si>
    <t>UTAH</t>
  </si>
  <si>
    <t>VIRGINIA</t>
  </si>
  <si>
    <t>WEST VIRGINIA</t>
  </si>
  <si>
    <t>WISCONSIN</t>
  </si>
  <si>
    <t>WYOMING</t>
  </si>
  <si>
    <t>FEMENINO</t>
  </si>
  <si>
    <t>MASCULINO</t>
  </si>
  <si>
    <t>ARMERÍA</t>
  </si>
  <si>
    <t>COLIMA</t>
  </si>
  <si>
    <t>MANZANILLO</t>
  </si>
  <si>
    <t>TECOMÁN</t>
  </si>
  <si>
    <t>VILLA DE ÁLVAREZ</t>
  </si>
  <si>
    <t>COQUIMATLÁN</t>
  </si>
  <si>
    <t>CUAUHTÉMOC</t>
  </si>
  <si>
    <t>COMALA</t>
  </si>
  <si>
    <t>IXTLAHUACÁN</t>
  </si>
  <si>
    <t>MINATITLÁN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</si>
  <si>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</si>
  <si>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</si>
  <si>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</si>
  <si>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</si>
  <si>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</si>
  <si>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</si>
  <si>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</si>
  <si>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</si>
  <si>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</si>
  <si>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</si>
  <si>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</si>
  <si>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</si>
  <si>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</si>
  <si>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</si>
  <si>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</si>
  <si>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</si>
  <si>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</si>
  <si>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3er. AÑO DE PROFESIONAL</t>
  </si>
  <si>
    <t>4o. AÑO DE PROFESIONAL</t>
  </si>
  <si>
    <t>PROFESIONAL PASANTE</t>
  </si>
  <si>
    <t>PROFESIONAL TITULADO</t>
  </si>
  <si>
    <t>POSGRADO [MAESTRIA]</t>
  </si>
  <si>
    <t>POSGRADO [DOCTORADO]</t>
  </si>
  <si>
    <t>ENTRE 11 Y 17 AÑOS</t>
  </si>
  <si>
    <t>ENTRE 18 Y 28 AÑOS</t>
  </si>
  <si>
    <t>ENTRE 29 Y 39 AÑOS</t>
  </si>
  <si>
    <t>ENTRE 40 Y 49 AÑOS</t>
  </si>
  <si>
    <t>ENTRE 50 Y 65 AÑOS</t>
  </si>
  <si>
    <t>ENTRE 66 Y 75 AÑOS</t>
  </si>
  <si>
    <t>MAS DE 75 AÑOS</t>
  </si>
  <si>
    <t>HOGAR</t>
  </si>
  <si>
    <t>ESTUDIANTE</t>
  </si>
  <si>
    <t>CHOFER</t>
  </si>
  <si>
    <t>PROFESIONISTA</t>
  </si>
  <si>
    <t>SIN ESPECIFICAR</t>
  </si>
  <si>
    <t>DESEMPLEADO</t>
  </si>
  <si>
    <t>CARPINTERO/TAPICERO</t>
  </si>
  <si>
    <t>DISCAPACITADO</t>
  </si>
  <si>
    <t>SOLDADOR</t>
  </si>
  <si>
    <t>AEROCOMERCIAL, TRAB. DE LA INDUSTRIA</t>
  </si>
  <si>
    <t>MENORES DE EDAD</t>
  </si>
  <si>
    <t>MATRÍCULAS CONSULARES EXPEDIDAS A ORIGINARIOS DE COLIMA POR GÉNERO Y EDAD                     EN EE.UU.</t>
  </si>
  <si>
    <t>MATRÍCULAS CONSULARES EXPEDIDAS EN EE.UU. ORIGINARIOS DE COLIMA POR PERFIL OCUPACIONAL</t>
  </si>
  <si>
    <t>Tamaño de la muestra: 808,027</t>
  </si>
  <si>
    <t>Connecticut</t>
  </si>
  <si>
    <t>CONNECTICUT</t>
  </si>
  <si>
    <t xml:space="preserve">CONNECTICUT </t>
  </si>
  <si>
    <t>Arizona</t>
  </si>
  <si>
    <t>Louisiana</t>
  </si>
  <si>
    <t>New Hampshire</t>
  </si>
  <si>
    <t>Oklahoma</t>
  </si>
  <si>
    <t>Washington</t>
  </si>
  <si>
    <t>West Virginia</t>
  </si>
  <si>
    <t>Wyoming</t>
  </si>
  <si>
    <t xml:space="preserve">MASCULINO </t>
  </si>
  <si>
    <t xml:space="preserve">COLORADO  </t>
  </si>
  <si>
    <t xml:space="preserve">ALABAMA   </t>
  </si>
  <si>
    <t xml:space="preserve">ARIZONA   </t>
  </si>
  <si>
    <t xml:space="preserve">ARKANSAS  </t>
  </si>
  <si>
    <t xml:space="preserve">CONNECTICUT   </t>
  </si>
  <si>
    <t xml:space="preserve">DELAWARE  </t>
  </si>
  <si>
    <t xml:space="preserve">FLORIDA  </t>
  </si>
  <si>
    <t xml:space="preserve">GEORGIA  </t>
  </si>
  <si>
    <t xml:space="preserve">IDAHO  </t>
  </si>
  <si>
    <t xml:space="preserve">ILLINOIS   </t>
  </si>
  <si>
    <t xml:space="preserve">INDIANA  </t>
  </si>
  <si>
    <t xml:space="preserve">IOWA  </t>
  </si>
  <si>
    <t xml:space="preserve">KANSAS  </t>
  </si>
  <si>
    <t xml:space="preserve">KENTUCKY  </t>
  </si>
  <si>
    <t xml:space="preserve">LOUISIANA  </t>
  </si>
  <si>
    <t xml:space="preserve">MASSACHUSETTS  </t>
  </si>
  <si>
    <t xml:space="preserve">MICHIGAN  </t>
  </si>
  <si>
    <t xml:space="preserve">MINNESOTA  </t>
  </si>
  <si>
    <t xml:space="preserve">MISSISSIPPI  </t>
  </si>
  <si>
    <t xml:space="preserve">MISSOURI  </t>
  </si>
  <si>
    <t xml:space="preserve">MONTANA  </t>
  </si>
  <si>
    <t xml:space="preserve">NEBRASKA  </t>
  </si>
  <si>
    <t xml:space="preserve">NEVADA  </t>
  </si>
  <si>
    <t xml:space="preserve">NEW HAMPSHIRE  </t>
  </si>
  <si>
    <t xml:space="preserve">NEW JERSEY  </t>
  </si>
  <si>
    <t xml:space="preserve">NEW MEXICO  </t>
  </si>
  <si>
    <t xml:space="preserve">NEW YORK  </t>
  </si>
  <si>
    <t xml:space="preserve">NORTH CAROLINA  </t>
  </si>
  <si>
    <t xml:space="preserve">OHIO  </t>
  </si>
  <si>
    <t xml:space="preserve">OKLAHOMA  </t>
  </si>
  <si>
    <t xml:space="preserve">OREGON  </t>
  </si>
  <si>
    <t xml:space="preserve">PENNSYLVANIA  </t>
  </si>
  <si>
    <t xml:space="preserve">SOUTH CAROLINA  </t>
  </si>
  <si>
    <t xml:space="preserve">TENNESSEE  </t>
  </si>
  <si>
    <t xml:space="preserve">TEXAS  </t>
  </si>
  <si>
    <t xml:space="preserve">UTHA  </t>
  </si>
  <si>
    <t xml:space="preserve">VIRGINIA  </t>
  </si>
  <si>
    <t xml:space="preserve">WASHINGTON   </t>
  </si>
  <si>
    <t xml:space="preserve">WEST VIRGINIA  </t>
  </si>
  <si>
    <t xml:space="preserve">WISCONSIN  </t>
  </si>
  <si>
    <t xml:space="preserve">WYOMING  </t>
  </si>
  <si>
    <t xml:space="preserve">CALIFORNIA  </t>
  </si>
  <si>
    <t>ARMERIA</t>
  </si>
  <si>
    <t>VILLA DE ALVAREZ</t>
  </si>
  <si>
    <t>IXTLAHUACAN</t>
  </si>
  <si>
    <t xml:space="preserve">MINATITLÁN </t>
  </si>
  <si>
    <t>DESCONOCIDO</t>
  </si>
  <si>
    <t xml:space="preserve">NEVADA   </t>
  </si>
  <si>
    <t xml:space="preserve">ILLINOIS  </t>
  </si>
  <si>
    <t xml:space="preserve">UTAH  </t>
  </si>
  <si>
    <t xml:space="preserve">ARIZONA  </t>
  </si>
  <si>
    <t xml:space="preserve">TENNESSEE </t>
  </si>
  <si>
    <t>IOVA</t>
  </si>
  <si>
    <t xml:space="preserve">CONNECTICUT  </t>
  </si>
  <si>
    <t xml:space="preserve">ALABAMA  </t>
  </si>
  <si>
    <t xml:space="preserve">MONTANA   </t>
  </si>
  <si>
    <t>KINDERGARTEN</t>
  </si>
  <si>
    <t xml:space="preserve">CALIFORNIA </t>
  </si>
  <si>
    <t xml:space="preserve">KANSAS </t>
  </si>
  <si>
    <t xml:space="preserve">NORTH CAROLINA </t>
  </si>
  <si>
    <t xml:space="preserve">WASHINGTON </t>
  </si>
  <si>
    <t xml:space="preserve">NEW YORK </t>
  </si>
  <si>
    <t xml:space="preserve">SOUTH CAROLINA </t>
  </si>
  <si>
    <t>TENESSEE</t>
  </si>
  <si>
    <t>MONTANA</t>
  </si>
  <si>
    <t>MASSACHUSETTS</t>
  </si>
  <si>
    <t xml:space="preserve">WYOMING </t>
  </si>
  <si>
    <t>PENSSYLVANIA</t>
  </si>
  <si>
    <t>DELAWARE</t>
  </si>
  <si>
    <t>MASSACHUTSETTS</t>
  </si>
  <si>
    <t>ENTRE 00 Y 10 AÑOS</t>
  </si>
  <si>
    <t xml:space="preserve">MASCULINO  </t>
  </si>
  <si>
    <t xml:space="preserve">FEMENINO  </t>
  </si>
  <si>
    <t>EMPLEADO (A)</t>
  </si>
  <si>
    <t>AGROPECUARIO, TRAB. DE LA INDUSTRIA</t>
  </si>
  <si>
    <t xml:space="preserve">CONSTRUCCIÓN, TRAB. DE LA IND. DE LA </t>
  </si>
  <si>
    <t>OBRERO (A)</t>
  </si>
  <si>
    <t xml:space="preserve">ALIMENTOS Y BEBIDAS, ESP. EN PREPARACIÓN DE </t>
  </si>
  <si>
    <t>JARDINERO (A)</t>
  </si>
  <si>
    <t xml:space="preserve">JUBILADO (A) PENSIONADO (A) </t>
  </si>
  <si>
    <t>PINTOR (A)</t>
  </si>
  <si>
    <t xml:space="preserve">LIMPIEZA, EMPLEADO DE </t>
  </si>
  <si>
    <t>EMPRESARIO (A)</t>
  </si>
  <si>
    <t>MECANICO (A)</t>
  </si>
  <si>
    <t>VENDEDOR (A)</t>
  </si>
  <si>
    <t>CARNICERO (A)</t>
  </si>
  <si>
    <t>MESERO (A)</t>
  </si>
  <si>
    <t xml:space="preserve">CAJERO (A) COBRADOR (A) </t>
  </si>
  <si>
    <t xml:space="preserve">COMERCIANTE </t>
  </si>
  <si>
    <t>INGENIERO (A)</t>
  </si>
  <si>
    <t>OPERARIO (A)</t>
  </si>
  <si>
    <t>TRABAJADOR (A) DOMESTICO (A)</t>
  </si>
  <si>
    <t xml:space="preserve">TECNICO (A) EN MANTENIMIENTO </t>
  </si>
  <si>
    <t xml:space="preserve">BELLEZA, PROFESIONAL DE SERVICIOS DE </t>
  </si>
  <si>
    <t xml:space="preserve">ENFERMERO (A) TRAB. DE APOYO EN SALUD </t>
  </si>
  <si>
    <t>GERENTE/DIRECTOR (A)</t>
  </si>
  <si>
    <t xml:space="preserve">MENORES DE EDAD </t>
  </si>
  <si>
    <t xml:space="preserve">PROFESOR (A) </t>
  </si>
  <si>
    <t>SIPERVISOR (A)</t>
  </si>
  <si>
    <t>ADMINISTRADOR (A) CONTADOR (A)</t>
  </si>
  <si>
    <t>ARTESANO (A)</t>
  </si>
  <si>
    <t>MINISTRO (A) RELIGIOSO (A)</t>
  </si>
  <si>
    <t>MISIONERO (A)</t>
  </si>
  <si>
    <t>PROFESIONAL TECNICO</t>
  </si>
  <si>
    <t xml:space="preserve">EMENINO </t>
  </si>
  <si>
    <t xml:space="preserve">FEMENINO </t>
  </si>
  <si>
    <t xml:space="preserve">VILLA DE ÁLVAREZ </t>
  </si>
  <si>
    <t xml:space="preserve">TENNESSE </t>
  </si>
  <si>
    <t>MINNESOTTA</t>
  </si>
  <si>
    <t>NEW HAPSHIRE</t>
  </si>
  <si>
    <t xml:space="preserve"> TOTAL </t>
  </si>
  <si>
    <t>Junio de 2025</t>
  </si>
  <si>
    <t xml:space="preserve">TOTAL </t>
  </si>
  <si>
    <t>TOTAL</t>
  </si>
  <si>
    <t xml:space="preserve"> TOTAL</t>
  </si>
  <si>
    <t>Matrículas consulares expedidas a originarios de Colima en el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</si>
</sst>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.0%"/>
    <numFmt numFmtId="165" formatCode="#,###"/>
  </numFmts>
  <fonts count="30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theme="1"/>
      <name val="Soberana Sans"/>
      <family val="3"/>
    </font>
    <font>
      <b/>
      <sz val="11"/>
      <name val="Arial Narrow"/>
      <family val="2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sz val="9"/>
      <name val="Montserrat"/>
    </font>
    <font>
      <sz val="8"/>
      <color theme="1"/>
      <name val="Noto Sans"/>
      <family val="2"/>
    </font>
    <font>
      <sz val="10"/>
      <color theme="1"/>
      <name val="Noto Sans"/>
      <family val="2"/>
    </font>
    <font>
      <sz val="11"/>
      <color theme="1"/>
      <name val="Noto Sans"/>
      <family val="2"/>
    </font>
    <font>
      <b/>
      <sz val="9"/>
      <color theme="0"/>
      <name val="Noto Sans"/>
      <family val="2"/>
    </font>
    <font>
      <sz val="7"/>
      <color indexed="8"/>
      <name val="Noto Sans"/>
      <family val="2"/>
    </font>
    <font>
      <sz val="11"/>
      <name val="Noto Sans"/>
      <family val="2"/>
    </font>
    <font>
      <b/>
      <sz val="9"/>
      <color indexed="9"/>
      <name val="Noto Sans"/>
      <family val="2"/>
    </font>
    <font>
      <b/>
      <sz val="11"/>
      <name val="Noto Sans"/>
      <family val="2"/>
    </font>
    <font>
      <sz val="10.5"/>
      <color theme="1"/>
      <name val="Noto Sans"/>
      <family val="2"/>
    </font>
    <font>
      <sz val="10"/>
      <name val="Noto Sans"/>
      <family val="2"/>
    </font>
    <font>
      <b/>
      <sz val="9"/>
      <color rgb="FFFFFFFF"/>
      <name val="Noto Sans"/>
      <family val="2"/>
    </font>
    <font>
      <sz val="9"/>
      <color theme="1"/>
      <name val="Noto Sans"/>
      <family val="2"/>
    </font>
    <font>
      <sz val="9"/>
      <color rgb="FF000000"/>
      <name val="Noto Sans"/>
      <family val="2"/>
    </font>
    <font>
      <sz val="7"/>
      <color theme="1"/>
      <name val="Noto Sans"/>
      <family val="2"/>
    </font>
  </fonts>
  <fills count="8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</cellStyleXfs>
  <cellXfs count="95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ill="1"/>
    <xf numFmtId="3" fontId="0" fillId="3" borderId="0" xfId="0" applyNumberFormat="1" applyFill="1"/>
    <xf numFmtId="0" fontId="6" fillId="3" borderId="0" xfId="0" applyFont="1" applyFill="1"/>
    <xf numFmtId="0" fontId="7" fillId="0" borderId="0" xfId="0" applyFont="1"/>
    <xf numFmtId="3" fontId="7" fillId="0" borderId="0" xfId="0" applyNumberFormat="1" applyFont="1"/>
    <xf numFmtId="1" fontId="7" fillId="0" borderId="0" xfId="0" applyNumberFormat="1" applyFont="1"/>
    <xf numFmtId="0" fontId="8" fillId="3" borderId="0" xfId="0" applyFont="1" applyFill="1"/>
    <xf numFmtId="0" fontId="9" fillId="3" borderId="0" xfId="0" applyFont="1" applyFill="1"/>
    <xf numFmtId="0" fontId="10" fillId="3" borderId="0" xfId="0" applyFont="1" applyFill="1"/>
    <xf numFmtId="0" fontId="7" fillId="3" borderId="0" xfId="0" applyFont="1" applyFill="1"/>
    <xf numFmtId="0" fontId="11" fillId="3" borderId="0" xfId="0" applyFont="1" applyFill="1"/>
    <xf numFmtId="0" fontId="10" fillId="3" borderId="0" xfId="0" applyFont="1" applyFill="1" applyAlignment="1">
      <alignment vertical="center"/>
    </xf>
    <xf numFmtId="3" fontId="7" fillId="3" borderId="0" xfId="0" applyNumberFormat="1" applyFont="1" applyFill="1"/>
    <xf numFmtId="1" fontId="7" fillId="3" borderId="0" xfId="0" applyNumberFormat="1" applyFont="1" applyFill="1"/>
    <xf numFmtId="0" fontId="7" fillId="3" borderId="0" xfId="0" applyFont="1" applyFill="1" applyAlignment="1">
      <alignment vertical="center"/>
    </xf>
    <xf numFmtId="0" fontId="7" fillId="0" borderId="0" xfId="0" applyFont="1" applyAlignment="1">
      <alignment vertical="center"/>
    </xf>
    <xf numFmtId="0" fontId="13" fillId="0" borderId="4" xfId="0" applyFont="1" applyBorder="1"/>
    <xf numFmtId="0" fontId="15" fillId="3" borderId="0" xfId="0" applyFont="1" applyFill="1"/>
    <xf numFmtId="0" fontId="5" fillId="0" borderId="0" xfId="0" applyFont="1"/>
    <xf numFmtId="0" fontId="16" fillId="0" borderId="0" xfId="0" applyFont="1"/>
    <xf numFmtId="0" fontId="18" fillId="0" borderId="0" xfId="0" applyFont="1" applyAlignment="1">
      <alignment horizontal="center" vertical="center" wrapText="1"/>
    </xf>
    <xf numFmtId="0" fontId="19" fillId="2" borderId="11" xfId="0" applyFont="1" applyFill="1" applyBorder="1" applyAlignment="1">
      <alignment horizontal="center" vertical="center" wrapText="1"/>
    </xf>
    <xf numFmtId="1" fontId="19" fillId="2" borderId="10" xfId="0" applyNumberFormat="1" applyFont="1" applyFill="1" applyBorder="1" applyAlignment="1">
      <alignment horizontal="center" vertical="center" wrapText="1"/>
    </xf>
    <xf numFmtId="0" fontId="19" fillId="2" borderId="10" xfId="0" applyFont="1" applyFill="1" applyBorder="1" applyAlignment="1">
      <alignment horizontal="center" vertical="center" wrapText="1"/>
    </xf>
    <xf numFmtId="0" fontId="18" fillId="3" borderId="0" xfId="0" applyFont="1" applyFill="1"/>
    <xf numFmtId="0" fontId="20" fillId="3" borderId="0" xfId="0" applyFont="1" applyFill="1"/>
    <xf numFmtId="3" fontId="18" fillId="3" borderId="0" xfId="0" applyNumberFormat="1" applyFont="1" applyFill="1"/>
    <xf numFmtId="0" fontId="21" fillId="3" borderId="0" xfId="0" applyFont="1" applyFill="1"/>
    <xf numFmtId="0" fontId="20" fillId="3" borderId="0" xfId="0" applyFont="1" applyFill="1" applyAlignment="1">
      <alignment vertical="center"/>
    </xf>
    <xf numFmtId="0" fontId="20" fillId="3" borderId="0" xfId="0" applyFont="1" applyFill="1" applyAlignment="1">
      <alignment vertical="top"/>
    </xf>
    <xf numFmtId="49" fontId="19" fillId="4" borderId="9" xfId="0" applyNumberFormat="1" applyFont="1" applyFill="1" applyBorder="1" applyAlignment="1">
      <alignment vertical="center" wrapText="1"/>
    </xf>
    <xf numFmtId="0" fontId="16" fillId="3" borderId="0" xfId="0" applyFont="1" applyFill="1"/>
    <xf numFmtId="0" fontId="16" fillId="3" borderId="0" xfId="0" applyFont="1" applyFill="1" applyAlignment="1">
      <alignment vertical="center"/>
    </xf>
    <xf numFmtId="0" fontId="22" fillId="2" borderId="10" xfId="3" applyFont="1" applyFill="1" applyBorder="1" applyAlignment="1">
      <alignment horizontal="center" vertical="center" wrapText="1"/>
    </xf>
    <xf numFmtId="0" fontId="19" fillId="2" borderId="10" xfId="3" applyFont="1" applyFill="1" applyBorder="1" applyAlignment="1">
      <alignment horizontal="center" vertical="center" wrapText="1"/>
    </xf>
    <xf numFmtId="1" fontId="22" fillId="2" borderId="10" xfId="3" applyNumberFormat="1" applyFont="1" applyFill="1" applyBorder="1" applyAlignment="1">
      <alignment horizontal="center" vertical="center" wrapText="1"/>
    </xf>
    <xf numFmtId="0" fontId="23" fillId="3" borderId="0" xfId="0" applyFont="1" applyFill="1"/>
    <xf numFmtId="0" fontId="25" fillId="3" borderId="0" xfId="0" applyFont="1" applyFill="1"/>
    <xf numFmtId="0" fontId="25" fillId="3" borderId="12" xfId="0" applyFont="1" applyFill="1" applyBorder="1" applyAlignment="1">
      <alignment horizontal="center" vertical="distributed"/>
    </xf>
    <xf numFmtId="3" fontId="16" fillId="3" borderId="0" xfId="0" applyNumberFormat="1" applyFont="1" applyFill="1"/>
    <xf numFmtId="0" fontId="26" fillId="5" borderId="10" xfId="3" applyFont="1" applyFill="1" applyBorder="1" applyAlignment="1">
      <alignment horizontal="center" vertical="center" wrapText="1"/>
    </xf>
    <xf numFmtId="49" fontId="27" fillId="0" borderId="9" xfId="0" applyNumberFormat="1" applyFont="1" applyBorder="1" applyAlignment="1">
      <alignment vertical="top" wrapText="1"/>
    </xf>
    <xf numFmtId="165" fontId="28" fillId="6" borderId="9" xfId="0" applyNumberFormat="1" applyFont="1" applyFill="1" applyBorder="1" applyAlignment="1">
      <alignment horizontal="right" vertical="top" wrapText="1"/>
    </xf>
    <xf numFmtId="164" fontId="28" fillId="6" borderId="9" xfId="0" applyNumberFormat="1" applyFont="1" applyFill="1" applyBorder="1" applyAlignment="1">
      <alignment horizontal="right" vertical="top" wrapText="1"/>
    </xf>
    <xf numFmtId="49" fontId="19" fillId="4" borderId="9" xfId="0" applyNumberFormat="1" applyFont="1" applyFill="1" applyBorder="1" applyAlignment="1">
      <alignment vertical="top" wrapText="1"/>
    </xf>
    <xf numFmtId="165" fontId="19" fillId="4" borderId="9" xfId="0" applyNumberFormat="1" applyFont="1" applyFill="1" applyBorder="1" applyAlignment="1">
      <alignment horizontal="right" vertical="top" wrapText="1"/>
    </xf>
    <xf numFmtId="164" fontId="19" fillId="4" borderId="9" xfId="0" applyNumberFormat="1" applyFont="1" applyFill="1" applyBorder="1" applyAlignment="1">
      <alignment horizontal="right" vertical="top" wrapText="1"/>
    </xf>
    <xf numFmtId="3" fontId="29" fillId="3" borderId="0" xfId="0" applyNumberFormat="1" applyFont="1" applyFill="1"/>
    <xf numFmtId="0" fontId="29" fillId="3" borderId="0" xfId="0" applyFont="1" applyFill="1"/>
    <xf numFmtId="0" fontId="27" fillId="3" borderId="9" xfId="0" applyFont="1" applyFill="1" applyBorder="1"/>
    <xf numFmtId="49" fontId="19" fillId="7" borderId="9" xfId="0" applyNumberFormat="1" applyFont="1" applyFill="1" applyBorder="1" applyAlignment="1">
      <alignment vertical="center" wrapText="1"/>
    </xf>
    <xf numFmtId="3" fontId="19" fillId="7" borderId="9" xfId="0" applyNumberFormat="1" applyFont="1" applyFill="1" applyBorder="1" applyAlignment="1">
      <alignment horizontal="right" vertical="center" wrapText="1"/>
    </xf>
    <xf numFmtId="164" fontId="19" fillId="7" borderId="9" xfId="0" applyNumberFormat="1" applyFont="1" applyFill="1" applyBorder="1" applyAlignment="1">
      <alignment horizontal="right" vertical="center" wrapText="1"/>
    </xf>
    <xf numFmtId="165" fontId="19" fillId="7" borderId="9" xfId="0" applyNumberFormat="1" applyFont="1" applyFill="1" applyBorder="1" applyAlignment="1">
      <alignment horizontal="right" vertical="top" wrapText="1"/>
    </xf>
    <xf numFmtId="49" fontId="19" fillId="7" borderId="9" xfId="0" applyNumberFormat="1" applyFont="1" applyFill="1" applyBorder="1" applyAlignment="1">
      <alignment vertical="top" wrapText="1"/>
    </xf>
    <xf numFmtId="164" fontId="19" fillId="7" borderId="9" xfId="0" applyNumberFormat="1" applyFont="1" applyFill="1" applyBorder="1" applyAlignment="1">
      <alignment horizontal="right" vertical="top" wrapText="1"/>
    </xf>
    <xf numFmtId="0" fontId="20" fillId="0" borderId="0" xfId="0" applyFont="1" applyAlignment="1">
      <alignment horizontal="justify" vertical="center"/>
    </xf>
    <xf numFmtId="0" fontId="20" fillId="0" borderId="0" xfId="0" applyFont="1" applyAlignment="1">
      <alignment vertical="top"/>
    </xf>
    <xf numFmtId="0" fontId="14" fillId="0" borderId="4" xfId="1" applyFont="1" applyBorder="1" applyAlignment="1">
      <alignment horizontal="left"/>
    </xf>
    <xf numFmtId="0" fontId="14" fillId="0" borderId="0" xfId="1" applyFont="1" applyBorder="1" applyAlignment="1">
      <alignment horizontal="left"/>
    </xf>
    <xf numFmtId="0" fontId="12" fillId="2" borderId="1" xfId="0" applyFont="1" applyFill="1" applyBorder="1" applyAlignment="1">
      <alignment horizontal="center" wrapText="1"/>
    </xf>
    <xf numFmtId="0" fontId="12" fillId="2" borderId="2" xfId="0" applyFont="1" applyFill="1" applyBorder="1" applyAlignment="1">
      <alignment horizontal="center" wrapText="1"/>
    </xf>
    <xf numFmtId="0" fontId="12" fillId="2" borderId="3" xfId="0" applyFont="1" applyFill="1" applyBorder="1" applyAlignment="1">
      <alignment horizontal="center" wrapText="1"/>
    </xf>
    <xf numFmtId="0" fontId="13" fillId="0" borderId="4" xfId="0" applyFont="1" applyBorder="1" applyAlignment="1">
      <alignment horizontal="left" wrapText="1"/>
    </xf>
    <xf numFmtId="0" fontId="13" fillId="0" borderId="0" xfId="0" applyFont="1" applyAlignment="1">
      <alignment horizontal="left" wrapText="1"/>
    </xf>
    <xf numFmtId="0" fontId="13" fillId="0" borderId="5" xfId="0" applyFont="1" applyBorder="1" applyAlignment="1">
      <alignment horizontal="left" wrapText="1"/>
    </xf>
    <xf numFmtId="0" fontId="14" fillId="0" borderId="5" xfId="1" applyFont="1" applyBorder="1" applyAlignment="1">
      <alignment horizontal="left"/>
    </xf>
    <xf numFmtId="0" fontId="17" fillId="0" borderId="0" xfId="0" applyFont="1" applyAlignment="1">
      <alignment horizontal="center" vertical="center" wrapText="1"/>
    </xf>
    <xf numFmtId="49" fontId="27" fillId="0" borderId="10" xfId="0" applyNumberFormat="1" applyFont="1" applyBorder="1" applyAlignment="1">
      <alignment horizontal="center" vertical="center" wrapText="1"/>
    </xf>
    <xf numFmtId="49" fontId="27" fillId="0" borderId="14" xfId="0" applyNumberFormat="1" applyFont="1" applyBorder="1" applyAlignment="1">
      <alignment horizontal="center" vertical="center" wrapText="1"/>
    </xf>
    <xf numFmtId="49" fontId="27" fillId="0" borderId="13" xfId="0" applyNumberFormat="1" applyFont="1" applyBorder="1" applyAlignment="1">
      <alignment horizontal="center" vertical="center" wrapText="1"/>
    </xf>
    <xf numFmtId="49" fontId="19" fillId="4" borderId="15" xfId="0" applyNumberFormat="1" applyFont="1" applyFill="1" applyBorder="1" applyAlignment="1">
      <alignment horizontal="center" vertical="top" wrapText="1"/>
    </xf>
    <xf numFmtId="49" fontId="19" fillId="4" borderId="16" xfId="0" applyNumberFormat="1" applyFont="1" applyFill="1" applyBorder="1" applyAlignment="1">
      <alignment horizontal="center" vertical="top" wrapText="1"/>
    </xf>
    <xf numFmtId="0" fontId="18" fillId="3" borderId="0" xfId="0" applyFont="1" applyFill="1" applyAlignment="1">
      <alignment horizontal="center" wrapText="1"/>
    </xf>
    <xf numFmtId="0" fontId="28" fillId="0" borderId="10" xfId="0" applyFont="1" applyBorder="1" applyAlignment="1">
      <alignment horizontal="center" vertical="center" wrapText="1"/>
    </xf>
    <xf numFmtId="0" fontId="28" fillId="0" borderId="13" xfId="0" applyFont="1" applyBorder="1" applyAlignment="1">
      <alignment horizontal="center" vertical="center" wrapText="1"/>
    </xf>
    <xf numFmtId="0" fontId="28" fillId="0" borderId="14" xfId="0" applyFont="1" applyBorder="1" applyAlignment="1">
      <alignment horizontal="center" vertical="center" wrapText="1"/>
    </xf>
    <xf numFmtId="0" fontId="19" fillId="4" borderId="15" xfId="0" applyFont="1" applyFill="1" applyBorder="1" applyAlignment="1">
      <alignment horizontal="center" vertical="center" wrapText="1"/>
    </xf>
    <xf numFmtId="0" fontId="19" fillId="4" borderId="16" xfId="0" applyFont="1" applyFill="1" applyBorder="1" applyAlignment="1">
      <alignment horizontal="center" vertical="center" wrapText="1"/>
    </xf>
    <xf numFmtId="0" fontId="24" fillId="0" borderId="0" xfId="0" applyFont="1" applyAlignment="1">
      <alignment horizontal="center" vertical="center" wrapText="1"/>
    </xf>
    <xf numFmtId="49" fontId="19" fillId="4" borderId="15" xfId="0" applyNumberFormat="1" applyFont="1" applyFill="1" applyBorder="1" applyAlignment="1">
      <alignment horizontal="left" vertical="top" wrapText="1"/>
    </xf>
    <xf numFmtId="49" fontId="19" fillId="4" borderId="16" xfId="0" applyNumberFormat="1" applyFont="1" applyFill="1" applyBorder="1" applyAlignment="1">
      <alignment horizontal="left" vertical="top" wrapText="1"/>
    </xf>
  </cellXfs>
  <cellStyles count="4">
    <cellStyle name="Hipervínculo" xfId="1" builtinId="8"/>
    <cellStyle name="Normal" xfId="0" builtinId="0"/>
    <cellStyle name="Normal 2" xfId="2" xr:uid="{00000000-0005-0000-0000-000002000000}"/>
    <cellStyle name="Normal_Hoja1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336549</xdr:colOff>
      <xdr:row>1</xdr:row>
      <xdr:rowOff>184046</xdr:rowOff>
    </xdr:from>
    <xdr:to>
      <xdr:col>3</xdr:col>
      <xdr:colOff>848646</xdr:colOff>
      <xdr:row>2</xdr:row>
      <xdr:rowOff>184047</xdr:rowOff>
    </xdr:to>
    <xdr:sp macro="" textlink="">
      <xdr:nvSpPr>
        <xdr:cNvPr id="2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3822699" y="717446"/>
          <a:ext cx="512097" cy="20955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176696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57151" y="193261"/>
          <a:ext cx="5403849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COLIMA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257175</xdr:colOff>
      <xdr:row>7</xdr:row>
      <xdr:rowOff>152400</xdr:rowOff>
    </xdr:from>
    <xdr:to>
      <xdr:col>5</xdr:col>
      <xdr:colOff>150147</xdr:colOff>
      <xdr:row>8</xdr:row>
      <xdr:rowOff>146255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4686300" y="16764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117616</xdr:colOff>
      <xdr:row>1</xdr:row>
      <xdr:rowOff>143152</xdr:rowOff>
    </xdr:from>
    <xdr:to>
      <xdr:col>1</xdr:col>
      <xdr:colOff>1117741</xdr:colOff>
      <xdr:row>2</xdr:row>
      <xdr:rowOff>174529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9209B869-E75D-48AF-8601-B8A43B07C4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616" y="333652"/>
          <a:ext cx="1619250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115129</xdr:colOff>
      <xdr:row>1</xdr:row>
      <xdr:rowOff>2761</xdr:rowOff>
    </xdr:from>
    <xdr:to>
      <xdr:col>4</xdr:col>
      <xdr:colOff>555349</xdr:colOff>
      <xdr:row>3</xdr:row>
      <xdr:rowOff>90196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9C1D4B4D-D0EB-486F-BB42-F55D356C83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54607" y="193261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204305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57151" y="193261"/>
          <a:ext cx="5431458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COLIMA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228600</xdr:colOff>
      <xdr:row>8</xdr:row>
      <xdr:rowOff>0</xdr:rowOff>
    </xdr:from>
    <xdr:to>
      <xdr:col>5</xdr:col>
      <xdr:colOff>121572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4657725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158200</xdr:colOff>
      <xdr:row>1</xdr:row>
      <xdr:rowOff>170485</xdr:rowOff>
    </xdr:from>
    <xdr:to>
      <xdr:col>1</xdr:col>
      <xdr:colOff>1158325</xdr:colOff>
      <xdr:row>3</xdr:row>
      <xdr:rowOff>11362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F6F56A7-44A3-4AE6-9D28-2FBE9C554A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8200" y="360985"/>
          <a:ext cx="1619250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262560</xdr:colOff>
      <xdr:row>1</xdr:row>
      <xdr:rowOff>132384</xdr:rowOff>
    </xdr:from>
    <xdr:to>
      <xdr:col>5</xdr:col>
      <xdr:colOff>81584</xdr:colOff>
      <xdr:row>3</xdr:row>
      <xdr:rowOff>219819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4FA420E6-4BF1-4A8A-A1E8-EAC07C183F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91685" y="322884"/>
          <a:ext cx="438149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193261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57151" y="193261"/>
          <a:ext cx="5420414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COLIMA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228600</xdr:colOff>
      <xdr:row>8</xdr:row>
      <xdr:rowOff>0</xdr:rowOff>
    </xdr:from>
    <xdr:to>
      <xdr:col>5</xdr:col>
      <xdr:colOff>121572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4657725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139150</xdr:colOff>
      <xdr:row>1</xdr:row>
      <xdr:rowOff>151435</xdr:rowOff>
    </xdr:from>
    <xdr:to>
      <xdr:col>1</xdr:col>
      <xdr:colOff>1139275</xdr:colOff>
      <xdr:row>2</xdr:row>
      <xdr:rowOff>182812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31EC0B1B-0DE8-4FCF-AE65-039627E6F0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150" y="341935"/>
          <a:ext cx="1619250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148260</xdr:colOff>
      <xdr:row>1</xdr:row>
      <xdr:rowOff>60739</xdr:rowOff>
    </xdr:from>
    <xdr:to>
      <xdr:col>4</xdr:col>
      <xdr:colOff>588480</xdr:colOff>
      <xdr:row>3</xdr:row>
      <xdr:rowOff>148174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7AE8F01-56E5-4BFD-9D73-8983688E81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87738" y="251239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57152</xdr:colOff>
      <xdr:row>1</xdr:row>
      <xdr:rowOff>0</xdr:rowOff>
    </xdr:from>
    <xdr:to>
      <xdr:col>5</xdr:col>
      <xdr:colOff>149088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/>
      </xdr:nvSpPr>
      <xdr:spPr>
        <a:xfrm>
          <a:off x="57152" y="193261"/>
          <a:ext cx="5757240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COLIMA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190500</xdr:colOff>
      <xdr:row>7</xdr:row>
      <xdr:rowOff>171450</xdr:rowOff>
    </xdr:from>
    <xdr:to>
      <xdr:col>5</xdr:col>
      <xdr:colOff>83472</xdr:colOff>
      <xdr:row>8</xdr:row>
      <xdr:rowOff>165305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4619625" y="169545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203342</xdr:colOff>
      <xdr:row>1</xdr:row>
      <xdr:rowOff>126586</xdr:rowOff>
    </xdr:from>
    <xdr:to>
      <xdr:col>1</xdr:col>
      <xdr:colOff>1203467</xdr:colOff>
      <xdr:row>2</xdr:row>
      <xdr:rowOff>157963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E7E2BDDE-EA1F-49B6-A6C9-2DE7A9BF6A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3342" y="317086"/>
          <a:ext cx="1619250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123413</xdr:colOff>
      <xdr:row>1</xdr:row>
      <xdr:rowOff>35891</xdr:rowOff>
    </xdr:from>
    <xdr:to>
      <xdr:col>4</xdr:col>
      <xdr:colOff>563633</xdr:colOff>
      <xdr:row>3</xdr:row>
      <xdr:rowOff>123326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5048300D-F85A-44A7-83F8-9C725F6C4A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27326" y="226391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COLIMA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POR MUNICIPIO A ORIGINARIOS DEL ESTADO DE COLIMA POR ESTADO EN EE.UU.</a:t>
          </a:r>
        </a:p>
      </xdr:txBody>
    </xdr:sp>
    <xdr:clientData/>
  </xdr:twoCellAnchor>
  <xdr:twoCellAnchor>
    <xdr:from>
      <xdr:col>4</xdr:col>
      <xdr:colOff>433551</xdr:colOff>
      <xdr:row>7</xdr:row>
      <xdr:rowOff>78827</xdr:rowOff>
    </xdr:from>
    <xdr:to>
      <xdr:col>4</xdr:col>
      <xdr:colOff>945648</xdr:colOff>
      <xdr:row>7</xdr:row>
      <xdr:rowOff>263182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/>
      </xdr:nvSpPr>
      <xdr:spPr>
        <a:xfrm>
          <a:off x="5071241" y="1819603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110938</xdr:colOff>
      <xdr:row>1</xdr:row>
      <xdr:rowOff>80446</xdr:rowOff>
    </xdr:from>
    <xdr:to>
      <xdr:col>2</xdr:col>
      <xdr:colOff>208259</xdr:colOff>
      <xdr:row>2</xdr:row>
      <xdr:rowOff>111823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8AA41D9E-6B91-43CB-AE1B-B7BFF5EDDE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8173" y="237328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491937</xdr:colOff>
      <xdr:row>1</xdr:row>
      <xdr:rowOff>58034</xdr:rowOff>
    </xdr:from>
    <xdr:to>
      <xdr:col>4</xdr:col>
      <xdr:colOff>932157</xdr:colOff>
      <xdr:row>3</xdr:row>
      <xdr:rowOff>145469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ECF49229-2229-4913-9950-B0B3A94CB9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31172" y="214916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COLIMA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POR MUNICIPIO A ORIGINARIOS DEL ESTADO DE COLIMA EN LOS CONSULADOS DE MÉXICO EN EE.UU.</a:t>
          </a:r>
        </a:p>
      </xdr:txBody>
    </xdr:sp>
    <xdr:clientData/>
  </xdr:twoCellAnchor>
  <xdr:twoCellAnchor>
    <xdr:from>
      <xdr:col>4</xdr:col>
      <xdr:colOff>499241</xdr:colOff>
      <xdr:row>7</xdr:row>
      <xdr:rowOff>131379</xdr:rowOff>
    </xdr:from>
    <xdr:to>
      <xdr:col>4</xdr:col>
      <xdr:colOff>1011338</xdr:colOff>
      <xdr:row>7</xdr:row>
      <xdr:rowOff>315734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/>
      </xdr:nvSpPr>
      <xdr:spPr>
        <a:xfrm>
          <a:off x="5136931" y="187215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98953</xdr:colOff>
      <xdr:row>1</xdr:row>
      <xdr:rowOff>146202</xdr:rowOff>
    </xdr:from>
    <xdr:to>
      <xdr:col>2</xdr:col>
      <xdr:colOff>198920</xdr:colOff>
      <xdr:row>2</xdr:row>
      <xdr:rowOff>176256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3203B836-DF3D-4E20-AD68-6058F5D9CB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2453" y="294369"/>
          <a:ext cx="1623967" cy="22055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457464</xdr:colOff>
      <xdr:row>0</xdr:row>
      <xdr:rowOff>132972</xdr:rowOff>
    </xdr:from>
    <xdr:to>
      <xdr:col>4</xdr:col>
      <xdr:colOff>897684</xdr:colOff>
      <xdr:row>3</xdr:row>
      <xdr:rowOff>65626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4D54A305-02B2-4D0B-B50D-8BF968199E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94287" y="132972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93869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 txBox="1"/>
      </xdr:nvSpPr>
      <xdr:spPr>
        <a:xfrm>
          <a:off x="57151" y="193261"/>
          <a:ext cx="6226588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COLIMA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SpPr/>
      </xdr:nvSpPr>
      <xdr:spPr>
        <a:xfrm>
          <a:off x="4429125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186775</xdr:colOff>
      <xdr:row>1</xdr:row>
      <xdr:rowOff>141910</xdr:rowOff>
    </xdr:from>
    <xdr:to>
      <xdr:col>1</xdr:col>
      <xdr:colOff>1186900</xdr:colOff>
      <xdr:row>2</xdr:row>
      <xdr:rowOff>173287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A1E02FC7-7707-446F-ACBA-464BE3C740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6775" y="332410"/>
          <a:ext cx="1619250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60463</xdr:colOff>
      <xdr:row>1</xdr:row>
      <xdr:rowOff>158474</xdr:rowOff>
    </xdr:from>
    <xdr:to>
      <xdr:col>4</xdr:col>
      <xdr:colOff>500683</xdr:colOff>
      <xdr:row>3</xdr:row>
      <xdr:rowOff>245909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E4A941F0-3B8D-4BB2-A28D-21FA66183B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6363" y="348974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COLIMA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A ORIGINARIOS DEL ESTADO DE COLIMA POR NIVEL DE EDUCACIÓN Y ESTADO EN EE.UU.</a:t>
          </a:r>
        </a:p>
      </xdr:txBody>
    </xdr:sp>
    <xdr:clientData/>
  </xdr:twoCellAnchor>
  <xdr:twoCellAnchor>
    <xdr:from>
      <xdr:col>4</xdr:col>
      <xdr:colOff>575235</xdr:colOff>
      <xdr:row>7</xdr:row>
      <xdr:rowOff>59765</xdr:rowOff>
    </xdr:from>
    <xdr:to>
      <xdr:col>4</xdr:col>
      <xdr:colOff>1087332</xdr:colOff>
      <xdr:row>7</xdr:row>
      <xdr:rowOff>244120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SpPr/>
      </xdr:nvSpPr>
      <xdr:spPr>
        <a:xfrm>
          <a:off x="5423647" y="1807883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99732</xdr:colOff>
      <xdr:row>1</xdr:row>
      <xdr:rowOff>69240</xdr:rowOff>
    </xdr:from>
    <xdr:to>
      <xdr:col>2</xdr:col>
      <xdr:colOff>197053</xdr:colOff>
      <xdr:row>2</xdr:row>
      <xdr:rowOff>100617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68E91BA3-7662-4313-A953-86519E2736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6967" y="226122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503144</xdr:colOff>
      <xdr:row>1</xdr:row>
      <xdr:rowOff>58034</xdr:rowOff>
    </xdr:from>
    <xdr:to>
      <xdr:col>4</xdr:col>
      <xdr:colOff>943364</xdr:colOff>
      <xdr:row>3</xdr:row>
      <xdr:rowOff>145469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55C8FE65-F975-4835-A7C5-EAC3F10A27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42379" y="214916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COLIMA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A ORIGINARIOS DEL ESTADO DE COLIMA POR CONSULADO Y NIVEL DE EDUCACIÓN EN EE.UU.</a:t>
          </a:r>
        </a:p>
      </xdr:txBody>
    </xdr:sp>
    <xdr:clientData/>
  </xdr:twoCellAnchor>
  <xdr:twoCellAnchor>
    <xdr:from>
      <xdr:col>4</xdr:col>
      <xdr:colOff>440121</xdr:colOff>
      <xdr:row>7</xdr:row>
      <xdr:rowOff>151086</xdr:rowOff>
    </xdr:from>
    <xdr:to>
      <xdr:col>4</xdr:col>
      <xdr:colOff>952218</xdr:colOff>
      <xdr:row>7</xdr:row>
      <xdr:rowOff>335441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/>
      </xdr:nvSpPr>
      <xdr:spPr>
        <a:xfrm>
          <a:off x="5077811" y="1891862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99732</xdr:colOff>
      <xdr:row>1</xdr:row>
      <xdr:rowOff>69240</xdr:rowOff>
    </xdr:from>
    <xdr:to>
      <xdr:col>2</xdr:col>
      <xdr:colOff>197053</xdr:colOff>
      <xdr:row>2</xdr:row>
      <xdr:rowOff>100617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2F0E1EB-C830-46CA-878B-4114198FBE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6967" y="226122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469526</xdr:colOff>
      <xdr:row>1</xdr:row>
      <xdr:rowOff>46828</xdr:rowOff>
    </xdr:from>
    <xdr:to>
      <xdr:col>4</xdr:col>
      <xdr:colOff>909746</xdr:colOff>
      <xdr:row>3</xdr:row>
      <xdr:rowOff>134263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815FDEE1-C710-499B-B7F9-1A633AFBF1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08761" y="203710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57152</xdr:colOff>
      <xdr:row>1</xdr:row>
      <xdr:rowOff>0</xdr:rowOff>
    </xdr:from>
    <xdr:to>
      <xdr:col>5</xdr:col>
      <xdr:colOff>193262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 txBox="1"/>
      </xdr:nvSpPr>
      <xdr:spPr>
        <a:xfrm>
          <a:off x="57152" y="193261"/>
          <a:ext cx="5420414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COLIMA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219075</xdr:colOff>
      <xdr:row>8</xdr:row>
      <xdr:rowOff>123825</xdr:rowOff>
    </xdr:from>
    <xdr:to>
      <xdr:col>5</xdr:col>
      <xdr:colOff>112047</xdr:colOff>
      <xdr:row>8</xdr:row>
      <xdr:rowOff>308180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SpPr/>
      </xdr:nvSpPr>
      <xdr:spPr>
        <a:xfrm>
          <a:off x="4648200" y="183832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206559</xdr:colOff>
      <xdr:row>1</xdr:row>
      <xdr:rowOff>159495</xdr:rowOff>
    </xdr:from>
    <xdr:to>
      <xdr:col>1</xdr:col>
      <xdr:colOff>1206684</xdr:colOff>
      <xdr:row>3</xdr:row>
      <xdr:rowOff>372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7B699148-CA3B-4F45-8C34-972AD0160D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6559" y="349995"/>
          <a:ext cx="1622913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279126</xdr:colOff>
      <xdr:row>1</xdr:row>
      <xdr:rowOff>119546</xdr:rowOff>
    </xdr:from>
    <xdr:to>
      <xdr:col>5</xdr:col>
      <xdr:colOff>71646</xdr:colOff>
      <xdr:row>3</xdr:row>
      <xdr:rowOff>206981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E22C5319-F01B-4CAD-940A-A03CA9C982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20976" y="310046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COLIMA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5</xdr:col>
      <xdr:colOff>123712</xdr:colOff>
      <xdr:row>8</xdr:row>
      <xdr:rowOff>151946</xdr:rowOff>
    </xdr:from>
    <xdr:to>
      <xdr:col>6</xdr:col>
      <xdr:colOff>254167</xdr:colOff>
      <xdr:row>9</xdr:row>
      <xdr:rowOff>151946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SpPr/>
      </xdr:nvSpPr>
      <xdr:spPr>
        <a:xfrm>
          <a:off x="5997462" y="1675946"/>
          <a:ext cx="530505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161925</xdr:colOff>
      <xdr:row>1</xdr:row>
      <xdr:rowOff>125829</xdr:rowOff>
    </xdr:from>
    <xdr:to>
      <xdr:col>2</xdr:col>
      <xdr:colOff>68746</xdr:colOff>
      <xdr:row>3</xdr:row>
      <xdr:rowOff>14331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7227E46E-8DAD-4D04-B8BA-0F7031BD3B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2925" y="316329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587022</xdr:colOff>
      <xdr:row>1</xdr:row>
      <xdr:rowOff>51746</xdr:rowOff>
    </xdr:from>
    <xdr:to>
      <xdr:col>4</xdr:col>
      <xdr:colOff>1027242</xdr:colOff>
      <xdr:row>3</xdr:row>
      <xdr:rowOff>186806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AB35E5B3-8A51-484F-8EEE-B133D15045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70689" y="235190"/>
          <a:ext cx="440220" cy="4525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COLIMA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1057162</xdr:colOff>
      <xdr:row>8</xdr:row>
      <xdr:rowOff>126546</xdr:rowOff>
    </xdr:from>
    <xdr:to>
      <xdr:col>6</xdr:col>
      <xdr:colOff>89067</xdr:colOff>
      <xdr:row>9</xdr:row>
      <xdr:rowOff>126546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SpPr/>
      </xdr:nvSpPr>
      <xdr:spPr>
        <a:xfrm>
          <a:off x="5489462" y="1650546"/>
          <a:ext cx="530505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142875</xdr:colOff>
      <xdr:row>2</xdr:row>
      <xdr:rowOff>2004</xdr:rowOff>
    </xdr:from>
    <xdr:to>
      <xdr:col>2</xdr:col>
      <xdr:colOff>240196</xdr:colOff>
      <xdr:row>3</xdr:row>
      <xdr:rowOff>33381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3EBD7EC3-6396-447E-9BFE-076CC649F9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3875" y="335379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457200</xdr:colOff>
      <xdr:row>1</xdr:row>
      <xdr:rowOff>68679</xdr:rowOff>
    </xdr:from>
    <xdr:to>
      <xdr:col>4</xdr:col>
      <xdr:colOff>897420</xdr:colOff>
      <xdr:row>3</xdr:row>
      <xdr:rowOff>203739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7E43F327-C2D1-408B-B54C-9739D0F9FD4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86300" y="259179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COLIMA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5</xdr:col>
      <xdr:colOff>680931</xdr:colOff>
      <xdr:row>9</xdr:row>
      <xdr:rowOff>2920</xdr:rowOff>
    </xdr:from>
    <xdr:to>
      <xdr:col>6</xdr:col>
      <xdr:colOff>226066</xdr:colOff>
      <xdr:row>10</xdr:row>
      <xdr:rowOff>45427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SpPr/>
      </xdr:nvSpPr>
      <xdr:spPr>
        <a:xfrm>
          <a:off x="6294331" y="1717420"/>
          <a:ext cx="643685" cy="23300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193399</xdr:colOff>
      <xdr:row>1</xdr:row>
      <xdr:rowOff>96426</xdr:rowOff>
    </xdr:from>
    <xdr:to>
      <xdr:col>2</xdr:col>
      <xdr:colOff>547895</xdr:colOff>
      <xdr:row>2</xdr:row>
      <xdr:rowOff>175428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38B896D5-1B40-4A36-A48B-4BEA46A069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4399" y="286926"/>
          <a:ext cx="1621735" cy="2198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276225</xdr:colOff>
      <xdr:row>1</xdr:row>
      <xdr:rowOff>2004</xdr:rowOff>
    </xdr:from>
    <xdr:to>
      <xdr:col>5</xdr:col>
      <xdr:colOff>716445</xdr:colOff>
      <xdr:row>3</xdr:row>
      <xdr:rowOff>137064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7E4D43E3-478A-4201-B196-6AF06091C5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29275" y="192504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57152</xdr:colOff>
      <xdr:row>1</xdr:row>
      <xdr:rowOff>0</xdr:rowOff>
    </xdr:from>
    <xdr:to>
      <xdr:col>4</xdr:col>
      <xdr:colOff>590827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 txBox="1"/>
      </xdr:nvSpPr>
      <xdr:spPr>
        <a:xfrm>
          <a:off x="57152" y="193261"/>
          <a:ext cx="6690414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COLIMA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3</xdr:col>
      <xdr:colOff>1202082</xdr:colOff>
      <xdr:row>8</xdr:row>
      <xdr:rowOff>49696</xdr:rowOff>
    </xdr:from>
    <xdr:to>
      <xdr:col>4</xdr:col>
      <xdr:colOff>504229</xdr:colOff>
      <xdr:row>8</xdr:row>
      <xdr:rowOff>234051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E00-000005000000}"/>
            </a:ext>
          </a:extLst>
        </xdr:cNvPr>
        <xdr:cNvSpPr/>
      </xdr:nvSpPr>
      <xdr:spPr>
        <a:xfrm>
          <a:off x="6121952" y="1783522"/>
          <a:ext cx="539016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178125</xdr:colOff>
      <xdr:row>1</xdr:row>
      <xdr:rowOff>177893</xdr:rowOff>
    </xdr:from>
    <xdr:to>
      <xdr:col>1</xdr:col>
      <xdr:colOff>1178250</xdr:colOff>
      <xdr:row>3</xdr:row>
      <xdr:rowOff>18770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A65919ED-35EC-4BF1-AFD8-3FC4892D6F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8125" y="368393"/>
          <a:ext cx="1619250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1125608</xdr:colOff>
      <xdr:row>1</xdr:row>
      <xdr:rowOff>19326</xdr:rowOff>
    </xdr:from>
    <xdr:to>
      <xdr:col>4</xdr:col>
      <xdr:colOff>381415</xdr:colOff>
      <xdr:row>3</xdr:row>
      <xdr:rowOff>106761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34AA0C85-DADA-468B-B836-F7FAD480A5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30130" y="209826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D29"/>
  <sheetViews>
    <sheetView showGridLines="0" view="pageBreakPreview" zoomScaleNormal="100" zoomScaleSheetLayoutView="100" workbookViewId="0">
      <selection sqref="A1:D1"/>
    </sheetView>
  </sheetViews>
  <sheetFormatPr baseColWidth="10" defaultColWidth="11.453125" defaultRowHeight="16.5"/>
  <cols>
    <col min="1" max="1" width="5.1796875" style="1" customWidth="1"/>
    <col min="2" max="2" width="20" style="1" customWidth="1"/>
    <col min="3" max="3" width="24.7265625" style="1" customWidth="1"/>
    <col min="4" max="4" width="20.453125" style="1" customWidth="1"/>
    <col min="5" max="16384" width="11.453125" style="1"/>
  </cols>
  <sheetData>
    <row r="1" spans="1:4" ht="42" customHeight="1" thickBot="1">
      <c r="A1" s="73" t="s">
        <v>310</v>
      </c>
      <c r="B1" s="74"/>
      <c r="C1" s="74"/>
      <c r="D1" s="75"/>
    </row>
    <row r="2" spans="1:4">
      <c r="A2" s="2"/>
      <c r="B2" s="3"/>
      <c r="C2" s="3"/>
      <c r="D2" s="4"/>
    </row>
    <row r="3" spans="1:4">
      <c r="A3" s="76" t="s">
        <v>0</v>
      </c>
      <c r="B3" s="77"/>
      <c r="C3" s="77"/>
      <c r="D3" s="78"/>
    </row>
    <row r="4" spans="1:4">
      <c r="A4" s="76"/>
      <c r="B4" s="77"/>
      <c r="C4" s="77"/>
      <c r="D4" s="78"/>
    </row>
    <row r="5" spans="1:4">
      <c r="A5" s="5"/>
      <c r="B5" s="6"/>
      <c r="C5" s="6"/>
      <c r="D5" s="7"/>
    </row>
    <row r="6" spans="1:4" ht="18.5">
      <c r="A6" s="71" t="s">
        <v>1</v>
      </c>
      <c r="B6" s="72"/>
      <c r="C6" s="72"/>
      <c r="D6" s="79"/>
    </row>
    <row r="7" spans="1:4">
      <c r="A7" s="8"/>
      <c r="D7" s="9"/>
    </row>
    <row r="8" spans="1:4" ht="18.5">
      <c r="A8" s="71" t="s">
        <v>2</v>
      </c>
      <c r="B8" s="72"/>
      <c r="C8" s="72"/>
      <c r="D8" s="79"/>
    </row>
    <row r="9" spans="1:4" ht="18.5">
      <c r="A9" s="8"/>
      <c r="B9" s="71" t="s">
        <v>3</v>
      </c>
      <c r="C9" s="72"/>
      <c r="D9" s="72"/>
    </row>
    <row r="10" spans="1:4">
      <c r="A10" s="8"/>
      <c r="D10" s="9"/>
    </row>
    <row r="11" spans="1:4" ht="18.5">
      <c r="A11" s="29" t="s">
        <v>4</v>
      </c>
      <c r="D11" s="9"/>
    </row>
    <row r="12" spans="1:4" ht="18.5">
      <c r="A12" s="8"/>
      <c r="B12" s="71" t="s">
        <v>5</v>
      </c>
      <c r="C12" s="72"/>
      <c r="D12" s="72"/>
    </row>
    <row r="13" spans="1:4" ht="18.5">
      <c r="A13" s="8"/>
      <c r="B13" s="71" t="s">
        <v>6</v>
      </c>
      <c r="C13" s="72"/>
      <c r="D13" s="72"/>
    </row>
    <row r="14" spans="1:4" ht="18.5">
      <c r="A14" s="8"/>
      <c r="B14" s="71" t="s">
        <v>7</v>
      </c>
      <c r="C14" s="72"/>
      <c r="D14" s="72"/>
    </row>
    <row r="15" spans="1:4">
      <c r="A15" s="8"/>
      <c r="D15" s="9"/>
    </row>
    <row r="16" spans="1:4" ht="18.5">
      <c r="A16" s="29" t="s">
        <v>8</v>
      </c>
      <c r="D16" s="9"/>
    </row>
    <row r="17" spans="1:4" ht="18.5">
      <c r="A17" s="8"/>
      <c r="B17" s="71" t="s">
        <v>9</v>
      </c>
      <c r="C17" s="72"/>
      <c r="D17" s="72"/>
    </row>
    <row r="18" spans="1:4" ht="18.5">
      <c r="A18" s="8"/>
      <c r="B18" s="71" t="s">
        <v>10</v>
      </c>
      <c r="C18" s="72"/>
      <c r="D18" s="72"/>
    </row>
    <row r="19" spans="1:4" ht="18.5">
      <c r="A19" s="8"/>
      <c r="B19" s="71" t="s">
        <v>11</v>
      </c>
      <c r="C19" s="72"/>
      <c r="D19" s="72"/>
    </row>
    <row r="20" spans="1:4">
      <c r="A20" s="8"/>
      <c r="D20" s="9"/>
    </row>
    <row r="21" spans="1:4" ht="18.5">
      <c r="A21" s="29" t="s">
        <v>12</v>
      </c>
      <c r="D21" s="9"/>
    </row>
    <row r="22" spans="1:4" ht="18.5">
      <c r="A22" s="8"/>
      <c r="B22" s="71" t="s">
        <v>13</v>
      </c>
      <c r="C22" s="72"/>
      <c r="D22" s="72"/>
    </row>
    <row r="23" spans="1:4" ht="18.5">
      <c r="A23" s="8"/>
      <c r="B23" s="71" t="s">
        <v>33</v>
      </c>
      <c r="C23" s="72"/>
      <c r="D23" s="72"/>
    </row>
    <row r="24" spans="1:4" ht="18.5">
      <c r="A24" s="8"/>
      <c r="B24" s="71" t="s">
        <v>34</v>
      </c>
      <c r="C24" s="72"/>
      <c r="D24" s="72"/>
    </row>
    <row r="25" spans="1:4">
      <c r="A25" s="8"/>
      <c r="D25" s="9"/>
    </row>
    <row r="26" spans="1:4" ht="18.5">
      <c r="A26" s="71" t="s">
        <v>14</v>
      </c>
      <c r="B26" s="72"/>
      <c r="C26" s="72"/>
      <c r="D26" s="79"/>
    </row>
    <row r="27" spans="1:4">
      <c r="A27" s="8"/>
      <c r="D27" s="9"/>
    </row>
    <row r="28" spans="1:4" ht="18.5">
      <c r="A28" s="71" t="s">
        <v>15</v>
      </c>
      <c r="B28" s="72"/>
      <c r="C28" s="72"/>
      <c r="D28" s="79"/>
    </row>
    <row r="29" spans="1:4" ht="17" thickBot="1">
      <c r="A29" s="10"/>
      <c r="B29" s="11"/>
      <c r="C29" s="11"/>
      <c r="D29" s="12"/>
    </row>
  </sheetData>
  <mergeCells count="16">
    <mergeCell ref="B23:D23"/>
    <mergeCell ref="A26:D26"/>
    <mergeCell ref="A28:D28"/>
    <mergeCell ref="B13:D13"/>
    <mergeCell ref="B14:D14"/>
    <mergeCell ref="B17:D17"/>
    <mergeCell ref="B18:D18"/>
    <mergeCell ref="B19:D19"/>
    <mergeCell ref="B22:D22"/>
    <mergeCell ref="B24:D24"/>
    <mergeCell ref="B12:D12"/>
    <mergeCell ref="A1:D1"/>
    <mergeCell ref="A3:D4"/>
    <mergeCell ref="A6:D6"/>
    <mergeCell ref="A8:D8"/>
    <mergeCell ref="B9:D9"/>
  </mergeCells>
  <hyperlinks>
    <hyperlink ref="A6" location="Aguascalientes_EdoUsa!A1" display="1. Por Estados de USA" xr:uid="{00000000-0004-0000-0000-000000000000}"/>
    <hyperlink ref="A8" location="Aguascalientes_Cons_2018!A1" display="2. Por Circunscripción Consular" xr:uid="{00000000-0004-0000-0000-000001000000}"/>
    <hyperlink ref="B9" location="AguascalientesXCons2018!A1" display="2.1 Top ten por circunscripción consular" xr:uid="{00000000-0004-0000-0000-000002000000}"/>
    <hyperlink ref="B12" location="Aguascalientes_EdoMun!A1" display="3.1 Municipio general" xr:uid="{00000000-0004-0000-0000-000003000000}"/>
    <hyperlink ref="B13" location="Aguascalientes_USAMuni2016!A1" display="3.2 Por Estado de USA" xr:uid="{00000000-0004-0000-0000-000004000000}"/>
    <hyperlink ref="B14" location="Aguascalientes_MUNICIPIO!A1" display="3.3 Por Circunscripción Consular" xr:uid="{00000000-0004-0000-0000-000005000000}"/>
    <hyperlink ref="B17" location="Aguascalientes_educ_gral!A1" display="4.1 Educación general" xr:uid="{00000000-0004-0000-0000-000006000000}"/>
    <hyperlink ref="B18" location="Aguascalientes_NivelE_Cons!A1" display="4.2 Por Estado de USA" xr:uid="{00000000-0004-0000-0000-000007000000}"/>
    <hyperlink ref="B19" location="Aguascalientes_EducCons!A1" display="4.3 Por Circunscripción Consular" xr:uid="{00000000-0004-0000-0000-000008000000}"/>
    <hyperlink ref="B22" location="Aguascalientes_GenGral!A1" display="5.1 Género General" xr:uid="{00000000-0004-0000-0000-000009000000}"/>
    <hyperlink ref="B23" location="Aguascalientes_GENERO!A1" display="5.3 Por Circunscripción Consular" xr:uid="{00000000-0004-0000-0000-00000A000000}"/>
    <hyperlink ref="A26" location="Aguascalientes_Gen_Edad!A1" display="6. Por estructura de Edad" xr:uid="{00000000-0004-0000-0000-00000B000000}"/>
    <hyperlink ref="A28" location="Aguascalientes_ocup_gral!A1" display="7. Por Ocupación" xr:uid="{00000000-0004-0000-0000-00000C000000}"/>
    <hyperlink ref="B13:D13" location="Colima_USAMuni!A1" display="3.2 Por Estado de USA" xr:uid="{00000000-0004-0000-0000-00000D000000}"/>
    <hyperlink ref="A8:D8" location="Colima_Cons!A1" display="2. Por Circunscripción Consular" xr:uid="{00000000-0004-0000-0000-00000E000000}"/>
    <hyperlink ref="B9:D9" location="ColimaXCons!A1" display="2.1 Top ten por circunscripción consular" xr:uid="{00000000-0004-0000-0000-00000F000000}"/>
    <hyperlink ref="A6:D6" location="Colima_EdoUsa!A1" display="1. Por Estados de USA" xr:uid="{00000000-0004-0000-0000-000010000000}"/>
    <hyperlink ref="B12:D12" location="Colima_EdoMun!A1" display="3.1 Municipio general" xr:uid="{00000000-0004-0000-0000-000011000000}"/>
    <hyperlink ref="B14:D14" location="Colima_MUNICIPIO!A1" display="3.3 Por Circunscripción Consular" xr:uid="{00000000-0004-0000-0000-000012000000}"/>
    <hyperlink ref="B17:D17" location="Colima_educ_gral!A1" display="4.1 Educación general" xr:uid="{00000000-0004-0000-0000-000013000000}"/>
    <hyperlink ref="B18:D18" location="Colima_NivelE_Cons!A1" display="4.2 Por Estado de USA" xr:uid="{00000000-0004-0000-0000-000014000000}"/>
    <hyperlink ref="B19:D19" location="Colima_EducCons!A1" display="4.3 Por Circunscripción Consular" xr:uid="{00000000-0004-0000-0000-000015000000}"/>
    <hyperlink ref="B22:D22" location="Colima_GenGral!A1" display="5.1 Género General" xr:uid="{00000000-0004-0000-0000-000016000000}"/>
    <hyperlink ref="B23:D23" location="Colima_GENERO!A1" display="5.2 Por Circunscripción Consular" xr:uid="{00000000-0004-0000-0000-000017000000}"/>
    <hyperlink ref="A26:D26" location="Colima_Gen_Edad!A1" display="6. Por estructura de Edad" xr:uid="{00000000-0004-0000-0000-000018000000}"/>
    <hyperlink ref="A28:D28" location="Colima_ocup_gral!A1" display="7. Por Ocupación" xr:uid="{00000000-0004-0000-0000-000019000000}"/>
    <hyperlink ref="B24" location="Colima_GENERO_EUA!A1" display="5.3 Por Estados de la Unión Americana" xr:uid="{00000000-0004-0000-0000-00001A000000}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>
    <tabColor rgb="FFFF0000"/>
  </sheetPr>
  <dimension ref="A1:F60"/>
  <sheetViews>
    <sheetView showGridLines="0" view="pageBreakPreview" zoomScaleNormal="100" zoomScaleSheetLayoutView="100" workbookViewId="0">
      <selection activeCell="H47" sqref="H47"/>
    </sheetView>
  </sheetViews>
  <sheetFormatPr baseColWidth="10" defaultColWidth="11.453125" defaultRowHeight="14.5"/>
  <cols>
    <col min="1" max="1" width="9.26953125" style="13" customWidth="1"/>
    <col min="2" max="2" width="21.7265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3.453125" style="13" customWidth="1"/>
    <col min="7" max="16384" width="11.453125" style="13"/>
  </cols>
  <sheetData>
    <row r="1" spans="1:6" s="16" customFormat="1" ht="15" customHeight="1">
      <c r="C1" s="18"/>
    </row>
    <row r="2" spans="1:6" s="16" customFormat="1" ht="15" customHeight="1">
      <c r="C2" s="18"/>
    </row>
    <row r="3" spans="1:6" s="16" customFormat="1" ht="15" customHeight="1">
      <c r="C3" s="18"/>
    </row>
    <row r="4" spans="1:6" s="16" customFormat="1" ht="30" customHeight="1">
      <c r="C4" s="18"/>
      <c r="D4" s="17"/>
    </row>
    <row r="5" spans="1:6" s="16" customFormat="1" ht="15" customHeight="1">
      <c r="C5" s="18"/>
      <c r="D5" s="17"/>
    </row>
    <row r="6" spans="1:6" s="16" customFormat="1" ht="15" customHeight="1">
      <c r="C6" s="18"/>
      <c r="D6" s="17"/>
    </row>
    <row r="7" spans="1:6" s="16" customFormat="1" ht="15" customHeight="1">
      <c r="A7" s="32"/>
      <c r="B7" s="80" t="s">
        <v>41</v>
      </c>
      <c r="C7" s="80"/>
      <c r="D7" s="80"/>
      <c r="E7" s="32"/>
      <c r="F7" s="32"/>
    </row>
    <row r="8" spans="1:6" s="16" customFormat="1" ht="15" customHeight="1">
      <c r="A8" s="32"/>
      <c r="B8" s="80"/>
      <c r="C8" s="80"/>
      <c r="D8" s="80"/>
      <c r="E8" s="32"/>
      <c r="F8" s="32"/>
    </row>
    <row r="9" spans="1:6" s="16" customFormat="1" ht="33" customHeight="1">
      <c r="A9" s="32"/>
      <c r="B9" s="80"/>
      <c r="C9" s="80"/>
      <c r="D9" s="80"/>
      <c r="E9" s="32"/>
      <c r="F9" s="32"/>
    </row>
    <row r="10" spans="1:6" s="16" customFormat="1" ht="4.5" customHeight="1">
      <c r="A10" s="32"/>
      <c r="B10" s="33"/>
      <c r="C10" s="33"/>
      <c r="D10" s="33"/>
      <c r="E10" s="32"/>
      <c r="F10" s="32"/>
    </row>
    <row r="11" spans="1:6" s="16" customFormat="1" ht="33" customHeight="1">
      <c r="A11" s="32"/>
      <c r="B11" s="34" t="s">
        <v>20</v>
      </c>
      <c r="C11" s="35" t="s">
        <v>19</v>
      </c>
      <c r="D11" s="36" t="s">
        <v>18</v>
      </c>
      <c r="E11" s="32"/>
      <c r="F11" s="32"/>
    </row>
    <row r="12" spans="1:6" ht="14.5" customHeight="1">
      <c r="A12" s="37"/>
      <c r="B12" s="54" t="s">
        <v>96</v>
      </c>
      <c r="C12" s="55">
        <v>2341</v>
      </c>
      <c r="D12" s="56">
        <v>0.62963959117805302</v>
      </c>
      <c r="E12" s="37"/>
      <c r="F12" s="37"/>
    </row>
    <row r="13" spans="1:6" ht="14.5" customHeight="1">
      <c r="A13" s="37"/>
      <c r="B13" s="54" t="s">
        <v>122</v>
      </c>
      <c r="C13" s="55">
        <v>279</v>
      </c>
      <c r="D13" s="56">
        <v>7.5040344271114001E-2</v>
      </c>
      <c r="E13" s="37"/>
      <c r="F13" s="37"/>
    </row>
    <row r="14" spans="1:6" ht="14.5" customHeight="1">
      <c r="A14" s="37"/>
      <c r="B14" s="54" t="s">
        <v>112</v>
      </c>
      <c r="C14" s="55">
        <v>219</v>
      </c>
      <c r="D14" s="56">
        <v>5.8902635825713E-2</v>
      </c>
      <c r="E14" s="37"/>
      <c r="F14" s="37"/>
    </row>
    <row r="15" spans="1:6" ht="14.5" customHeight="1">
      <c r="A15" s="37"/>
      <c r="B15" s="54" t="s">
        <v>101</v>
      </c>
      <c r="C15" s="55">
        <v>122</v>
      </c>
      <c r="D15" s="56">
        <v>3.2813340505647999E-2</v>
      </c>
      <c r="E15" s="37"/>
      <c r="F15" s="37"/>
    </row>
    <row r="16" spans="1:6" ht="14.5" customHeight="1">
      <c r="A16" s="37"/>
      <c r="B16" s="54" t="s">
        <v>80</v>
      </c>
      <c r="C16" s="55">
        <v>114</v>
      </c>
      <c r="D16" s="56">
        <v>3.0661646046260999E-2</v>
      </c>
      <c r="E16" s="37"/>
      <c r="F16" s="37"/>
    </row>
    <row r="17" spans="1:6" ht="14.5" customHeight="1">
      <c r="A17" s="37"/>
      <c r="B17" s="54" t="s">
        <v>94</v>
      </c>
      <c r="C17" s="55">
        <v>74</v>
      </c>
      <c r="D17" s="56">
        <v>1.9903173749327999E-2</v>
      </c>
      <c r="E17" s="37"/>
      <c r="F17" s="37"/>
    </row>
    <row r="18" spans="1:6" ht="14.5" customHeight="1">
      <c r="A18" s="37"/>
      <c r="B18" s="54" t="s">
        <v>123</v>
      </c>
      <c r="C18" s="55">
        <v>51</v>
      </c>
      <c r="D18" s="56">
        <v>1.3717052178591E-2</v>
      </c>
      <c r="E18" s="37"/>
      <c r="F18" s="37"/>
    </row>
    <row r="19" spans="1:6" ht="14.5" customHeight="1">
      <c r="A19" s="37"/>
      <c r="B19" s="54" t="s">
        <v>102</v>
      </c>
      <c r="C19" s="55">
        <v>43</v>
      </c>
      <c r="D19" s="56">
        <v>1.1565357719204E-2</v>
      </c>
      <c r="E19" s="37"/>
      <c r="F19" s="37"/>
    </row>
    <row r="20" spans="1:6" ht="14.5" customHeight="1">
      <c r="A20" s="37"/>
      <c r="B20" s="54" t="s">
        <v>100</v>
      </c>
      <c r="C20" s="55">
        <v>42</v>
      </c>
      <c r="D20" s="56">
        <v>1.1296395911781E-2</v>
      </c>
      <c r="E20" s="37"/>
      <c r="F20" s="37"/>
    </row>
    <row r="21" spans="1:6" ht="14.5" customHeight="1">
      <c r="A21" s="37"/>
      <c r="B21" s="54" t="s">
        <v>102</v>
      </c>
      <c r="C21" s="55">
        <v>41</v>
      </c>
      <c r="D21" s="56">
        <v>1.1027434104357E-2</v>
      </c>
      <c r="E21" s="37"/>
      <c r="F21" s="37"/>
    </row>
    <row r="22" spans="1:6" ht="14.5" customHeight="1">
      <c r="A22" s="37"/>
      <c r="B22" s="54" t="s">
        <v>119</v>
      </c>
      <c r="C22" s="55">
        <v>40</v>
      </c>
      <c r="D22" s="56">
        <v>1.0758472296934E-2</v>
      </c>
      <c r="E22" s="37"/>
      <c r="F22" s="37"/>
    </row>
    <row r="23" spans="1:6" ht="14.5" customHeight="1">
      <c r="A23" s="37"/>
      <c r="B23" s="54" t="s">
        <v>118</v>
      </c>
      <c r="C23" s="55">
        <v>34</v>
      </c>
      <c r="D23" s="56">
        <v>9.1447014523940006E-3</v>
      </c>
      <c r="E23" s="37"/>
      <c r="F23" s="37"/>
    </row>
    <row r="24" spans="1:6" ht="14.5" customHeight="1">
      <c r="A24" s="37"/>
      <c r="B24" s="54" t="s">
        <v>98</v>
      </c>
      <c r="C24" s="55">
        <v>32</v>
      </c>
      <c r="D24" s="56">
        <v>8.606777837547E-3</v>
      </c>
      <c r="E24" s="37"/>
      <c r="F24" s="37"/>
    </row>
    <row r="25" spans="1:6" ht="14.5" customHeight="1">
      <c r="A25" s="37"/>
      <c r="B25" s="54" t="s">
        <v>99</v>
      </c>
      <c r="C25" s="55">
        <v>31</v>
      </c>
      <c r="D25" s="56">
        <v>8.3378160301240001E-3</v>
      </c>
      <c r="E25" s="37"/>
      <c r="F25" s="37"/>
    </row>
    <row r="26" spans="1:6" ht="14.5" customHeight="1">
      <c r="A26" s="37"/>
      <c r="B26" s="54" t="s">
        <v>110</v>
      </c>
      <c r="C26" s="55">
        <v>31</v>
      </c>
      <c r="D26" s="56">
        <v>8.3378160301240001E-3</v>
      </c>
      <c r="E26" s="37"/>
      <c r="F26" s="37"/>
    </row>
    <row r="27" spans="1:6" ht="14.5" customHeight="1">
      <c r="A27" s="37"/>
      <c r="B27" s="54" t="s">
        <v>116</v>
      </c>
      <c r="C27" s="55">
        <v>21</v>
      </c>
      <c r="D27" s="56">
        <v>5.6481979558899997E-3</v>
      </c>
      <c r="E27" s="37"/>
      <c r="F27" s="37"/>
    </row>
    <row r="28" spans="1:6" ht="14.5" customHeight="1">
      <c r="A28" s="37"/>
      <c r="B28" s="54" t="s">
        <v>111</v>
      </c>
      <c r="C28" s="55">
        <v>20</v>
      </c>
      <c r="D28" s="56">
        <v>5.3792361484669999E-3</v>
      </c>
      <c r="E28" s="37"/>
      <c r="F28" s="37"/>
    </row>
    <row r="29" spans="1:6" ht="14.5" customHeight="1">
      <c r="A29" s="37"/>
      <c r="B29" s="54" t="s">
        <v>104</v>
      </c>
      <c r="C29" s="55">
        <v>18</v>
      </c>
      <c r="D29" s="56">
        <v>4.8413125336200001E-3</v>
      </c>
      <c r="E29" s="37"/>
      <c r="F29" s="37"/>
    </row>
    <row r="30" spans="1:6" ht="14.5" customHeight="1">
      <c r="A30" s="37"/>
      <c r="B30" s="54" t="s">
        <v>117</v>
      </c>
      <c r="C30" s="55">
        <v>17</v>
      </c>
      <c r="D30" s="56">
        <v>4.5723507261970003E-3</v>
      </c>
      <c r="E30" s="37"/>
      <c r="F30" s="37"/>
    </row>
    <row r="31" spans="1:6" ht="14.5" customHeight="1">
      <c r="A31" s="37"/>
      <c r="B31" s="54" t="s">
        <v>95</v>
      </c>
      <c r="C31" s="55">
        <v>16</v>
      </c>
      <c r="D31" s="56">
        <v>4.3033889187739996E-3</v>
      </c>
      <c r="E31" s="37"/>
      <c r="F31" s="37"/>
    </row>
    <row r="32" spans="1:6" ht="14.5" customHeight="1">
      <c r="A32" s="37"/>
      <c r="B32" s="54" t="s">
        <v>107</v>
      </c>
      <c r="C32" s="55">
        <v>15</v>
      </c>
      <c r="D32" s="56">
        <v>4.0344271113499997E-3</v>
      </c>
      <c r="E32" s="37"/>
      <c r="F32" s="37"/>
    </row>
    <row r="33" spans="1:6" ht="14.5" customHeight="1">
      <c r="A33" s="37"/>
      <c r="B33" s="54" t="s">
        <v>105</v>
      </c>
      <c r="C33" s="55">
        <v>12</v>
      </c>
      <c r="D33" s="56">
        <v>3.2275416890800001E-3</v>
      </c>
      <c r="E33" s="37"/>
      <c r="F33" s="37"/>
    </row>
    <row r="34" spans="1:6" ht="14.5" customHeight="1">
      <c r="A34" s="37"/>
      <c r="B34" s="54" t="s">
        <v>121</v>
      </c>
      <c r="C34" s="55">
        <v>12</v>
      </c>
      <c r="D34" s="56">
        <v>3.2275416890800001E-3</v>
      </c>
      <c r="E34" s="37"/>
      <c r="F34" s="37"/>
    </row>
    <row r="35" spans="1:6" ht="14.5" customHeight="1">
      <c r="A35" s="37"/>
      <c r="B35" s="54" t="s">
        <v>302</v>
      </c>
      <c r="C35" s="55">
        <v>12</v>
      </c>
      <c r="D35" s="56">
        <v>3.2275416890800001E-3</v>
      </c>
      <c r="E35" s="37"/>
      <c r="F35" s="37"/>
    </row>
    <row r="36" spans="1:6" ht="14.5" customHeight="1">
      <c r="A36" s="37"/>
      <c r="B36" s="54" t="s">
        <v>126</v>
      </c>
      <c r="C36" s="55">
        <v>12</v>
      </c>
      <c r="D36" s="56">
        <v>3.2275416890800001E-3</v>
      </c>
      <c r="E36" s="37"/>
      <c r="F36" s="37"/>
    </row>
    <row r="37" spans="1:6" ht="14.5" customHeight="1">
      <c r="A37" s="37"/>
      <c r="B37" s="54" t="s">
        <v>103</v>
      </c>
      <c r="C37" s="55">
        <v>8</v>
      </c>
      <c r="D37" s="56">
        <v>2.1516944593869998E-3</v>
      </c>
      <c r="E37" s="37"/>
      <c r="F37" s="37"/>
    </row>
    <row r="38" spans="1:6" ht="14.5" customHeight="1">
      <c r="A38" s="37"/>
      <c r="B38" s="54" t="s">
        <v>114</v>
      </c>
      <c r="C38" s="55">
        <v>8</v>
      </c>
      <c r="D38" s="56">
        <v>2.1516944593869998E-3</v>
      </c>
      <c r="E38" s="37"/>
      <c r="F38" s="37"/>
    </row>
    <row r="39" spans="1:6" ht="14.5" customHeight="1">
      <c r="A39" s="37"/>
      <c r="B39" s="54" t="s">
        <v>124</v>
      </c>
      <c r="C39" s="55">
        <v>8</v>
      </c>
      <c r="D39" s="56">
        <v>2.1516944593869998E-3</v>
      </c>
      <c r="E39" s="37"/>
      <c r="F39" s="37"/>
    </row>
    <row r="40" spans="1:6" ht="14.5" customHeight="1">
      <c r="A40" s="37"/>
      <c r="B40" s="54" t="s">
        <v>185</v>
      </c>
      <c r="C40" s="55">
        <v>6</v>
      </c>
      <c r="D40" s="56">
        <v>1.61377084454E-3</v>
      </c>
      <c r="E40" s="37"/>
      <c r="F40" s="37"/>
    </row>
    <row r="41" spans="1:6" ht="14.5" customHeight="1">
      <c r="A41" s="37"/>
      <c r="B41" s="54" t="s">
        <v>303</v>
      </c>
      <c r="C41" s="55">
        <v>6</v>
      </c>
      <c r="D41" s="56">
        <v>1.61377084454E-3</v>
      </c>
      <c r="E41" s="37"/>
      <c r="F41" s="37"/>
    </row>
    <row r="42" spans="1:6" ht="14.5" customHeight="1">
      <c r="A42" s="37"/>
      <c r="B42" s="54" t="s">
        <v>93</v>
      </c>
      <c r="C42" s="55">
        <v>5</v>
      </c>
      <c r="D42" s="56">
        <v>1.344809037117E-3</v>
      </c>
      <c r="E42" s="37"/>
      <c r="F42" s="37"/>
    </row>
    <row r="43" spans="1:6" ht="14.5" customHeight="1">
      <c r="A43" s="37"/>
      <c r="B43" s="54" t="s">
        <v>109</v>
      </c>
      <c r="C43" s="55">
        <v>5</v>
      </c>
      <c r="D43" s="56">
        <v>1.344809037117E-3</v>
      </c>
      <c r="E43" s="37"/>
      <c r="F43" s="37"/>
    </row>
    <row r="44" spans="1:6" ht="14.5" customHeight="1">
      <c r="A44" s="37"/>
      <c r="B44" s="54" t="s">
        <v>113</v>
      </c>
      <c r="C44" s="55">
        <v>5</v>
      </c>
      <c r="D44" s="56">
        <v>1.344809037117E-3</v>
      </c>
      <c r="E44" s="37"/>
      <c r="F44" s="37"/>
    </row>
    <row r="45" spans="1:6" ht="14.5" customHeight="1">
      <c r="A45" s="37"/>
      <c r="B45" s="54" t="s">
        <v>115</v>
      </c>
      <c r="C45" s="55">
        <v>5</v>
      </c>
      <c r="D45" s="56">
        <v>1.344809037117E-3</v>
      </c>
      <c r="E45" s="37"/>
      <c r="F45" s="37"/>
    </row>
    <row r="46" spans="1:6" ht="14.5" customHeight="1">
      <c r="A46" s="37"/>
      <c r="B46" s="54" t="s">
        <v>127</v>
      </c>
      <c r="C46" s="55">
        <v>4</v>
      </c>
      <c r="D46" s="56">
        <v>1.0758472296930001E-3</v>
      </c>
      <c r="E46" s="37"/>
      <c r="F46" s="37"/>
    </row>
    <row r="47" spans="1:6" ht="14.5" customHeight="1">
      <c r="A47" s="37"/>
      <c r="B47" s="54" t="s">
        <v>264</v>
      </c>
      <c r="C47" s="55">
        <v>2</v>
      </c>
      <c r="D47" s="56">
        <v>5.3792361484699997E-4</v>
      </c>
      <c r="E47" s="37"/>
      <c r="F47" s="37"/>
    </row>
    <row r="48" spans="1:6" ht="14.5" customHeight="1">
      <c r="A48" s="37"/>
      <c r="B48" s="54" t="s">
        <v>259</v>
      </c>
      <c r="C48" s="55">
        <v>2</v>
      </c>
      <c r="D48" s="56">
        <v>5.3792361484699997E-4</v>
      </c>
      <c r="E48" s="37"/>
      <c r="F48" s="37"/>
    </row>
    <row r="49" spans="1:6" ht="14.5" customHeight="1">
      <c r="A49" s="37"/>
      <c r="B49" s="54" t="s">
        <v>263</v>
      </c>
      <c r="C49" s="55">
        <v>1</v>
      </c>
      <c r="D49" s="56">
        <v>2.68961807423E-4</v>
      </c>
      <c r="E49" s="37"/>
      <c r="F49" s="37"/>
    </row>
    <row r="50" spans="1:6" ht="14.5" customHeight="1">
      <c r="A50" s="37"/>
      <c r="B50" s="54" t="s">
        <v>106</v>
      </c>
      <c r="C50" s="55">
        <v>1</v>
      </c>
      <c r="D50" s="56">
        <v>2.68961807423E-4</v>
      </c>
      <c r="E50" s="37"/>
      <c r="F50" s="37"/>
    </row>
    <row r="51" spans="1:6" ht="14.5" customHeight="1">
      <c r="A51" s="37"/>
      <c r="B51" s="54" t="s">
        <v>304</v>
      </c>
      <c r="C51" s="55">
        <v>1</v>
      </c>
      <c r="D51" s="56">
        <v>2.68961807423E-4</v>
      </c>
      <c r="E51" s="37"/>
      <c r="F51" s="37"/>
    </row>
    <row r="52" spans="1:6" ht="14.5" customHeight="1">
      <c r="A52" s="37"/>
      <c r="B52" s="54" t="s">
        <v>120</v>
      </c>
      <c r="C52" s="55">
        <v>1</v>
      </c>
      <c r="D52" s="56">
        <v>2.68961807423E-4</v>
      </c>
      <c r="E52" s="37"/>
      <c r="F52" s="37"/>
    </row>
    <row r="53" spans="1:6" ht="14.5" customHeight="1">
      <c r="A53" s="37"/>
      <c r="B53" s="54" t="s">
        <v>125</v>
      </c>
      <c r="C53" s="55">
        <v>1</v>
      </c>
      <c r="D53" s="56">
        <v>2.68961807423E-4</v>
      </c>
      <c r="E53" s="37"/>
      <c r="F53" s="37"/>
    </row>
    <row r="54" spans="1:6" ht="14.5" customHeight="1">
      <c r="A54" s="37"/>
      <c r="B54" s="57" t="s">
        <v>305</v>
      </c>
      <c r="C54" s="58">
        <v>3718</v>
      </c>
      <c r="D54" s="59">
        <v>1</v>
      </c>
      <c r="E54" s="37"/>
      <c r="F54" s="37"/>
    </row>
    <row r="55" spans="1:6" ht="14.5" customHeight="1">
      <c r="A55" s="37"/>
      <c r="B55" s="38"/>
      <c r="C55" s="39"/>
      <c r="D55" s="37"/>
      <c r="E55" s="37"/>
      <c r="F55" s="37"/>
    </row>
    <row r="56" spans="1:6" ht="14.5" customHeight="1">
      <c r="B56" s="38" t="s">
        <v>183</v>
      </c>
      <c r="C56" s="39"/>
      <c r="D56" s="37"/>
      <c r="E56" s="37"/>
      <c r="F56" s="37"/>
    </row>
    <row r="57" spans="1:6" ht="14.5" customHeight="1">
      <c r="B57" s="41" t="s">
        <v>17</v>
      </c>
      <c r="C57" s="39"/>
      <c r="D57" s="37"/>
      <c r="E57" s="37"/>
      <c r="F57" s="37"/>
    </row>
    <row r="58" spans="1:6" ht="14.5" customHeight="1">
      <c r="B58" s="42" t="s">
        <v>45</v>
      </c>
      <c r="C58" s="39"/>
      <c r="D58" s="37"/>
      <c r="E58" s="37"/>
      <c r="F58" s="37"/>
    </row>
    <row r="59" spans="1:6" ht="14.5" customHeight="1">
      <c r="B59" s="38" t="s">
        <v>16</v>
      </c>
      <c r="C59" s="39"/>
      <c r="D59" s="37"/>
      <c r="E59" s="37"/>
      <c r="F59" s="37"/>
    </row>
    <row r="60" spans="1:6" ht="16.5">
      <c r="B60" s="38" t="s">
        <v>306</v>
      </c>
      <c r="C60" s="39"/>
      <c r="D60" s="37"/>
      <c r="E60" s="37"/>
      <c r="F60" s="3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59" fitToWidth="0" fitToHeight="0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>
    <tabColor rgb="FFFFC000"/>
  </sheetPr>
  <dimension ref="A1:F65"/>
  <sheetViews>
    <sheetView showGridLines="0" view="pageBreakPreview" topLeftCell="A3" zoomScaleNormal="100" zoomScaleSheetLayoutView="100" workbookViewId="0">
      <selection activeCell="B57" sqref="B57"/>
    </sheetView>
  </sheetViews>
  <sheetFormatPr baseColWidth="10" defaultColWidth="11.453125" defaultRowHeight="14.5"/>
  <cols>
    <col min="1" max="1" width="9.26953125" style="13" customWidth="1"/>
    <col min="2" max="2" width="21.7265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4.1796875" style="13" customWidth="1"/>
    <col min="7" max="16384" width="11.453125" style="13"/>
  </cols>
  <sheetData>
    <row r="1" spans="1:6" s="16" customFormat="1" ht="15" customHeight="1">
      <c r="C1" s="18"/>
    </row>
    <row r="2" spans="1:6" s="16" customFormat="1" ht="15" customHeight="1">
      <c r="C2" s="18"/>
    </row>
    <row r="3" spans="1:6" s="16" customFormat="1" ht="15" customHeight="1">
      <c r="C3" s="18"/>
    </row>
    <row r="4" spans="1:6" s="16" customFormat="1" ht="30" customHeight="1">
      <c r="C4" s="18"/>
      <c r="D4" s="17"/>
    </row>
    <row r="5" spans="1:6" s="16" customFormat="1" ht="15" customHeight="1">
      <c r="C5" s="18"/>
      <c r="D5" s="17"/>
    </row>
    <row r="6" spans="1:6" s="16" customFormat="1" ht="15" customHeight="1">
      <c r="C6" s="18"/>
      <c r="D6" s="17"/>
    </row>
    <row r="7" spans="1:6" s="16" customFormat="1" ht="15" customHeight="1">
      <c r="A7" s="32"/>
      <c r="B7" s="80" t="s">
        <v>35</v>
      </c>
      <c r="C7" s="80"/>
      <c r="D7" s="80"/>
      <c r="E7" s="32"/>
      <c r="F7" s="32"/>
    </row>
    <row r="8" spans="1:6" s="16" customFormat="1" ht="15" customHeight="1">
      <c r="A8" s="32"/>
      <c r="B8" s="80"/>
      <c r="C8" s="80"/>
      <c r="D8" s="80"/>
      <c r="E8" s="32"/>
      <c r="F8" s="32"/>
    </row>
    <row r="9" spans="1:6" s="16" customFormat="1" ht="33" customHeight="1">
      <c r="A9" s="32"/>
      <c r="B9" s="80"/>
      <c r="C9" s="80"/>
      <c r="D9" s="80"/>
      <c r="E9" s="32"/>
      <c r="F9" s="32"/>
    </row>
    <row r="10" spans="1:6" s="16" customFormat="1" ht="4.5" customHeight="1">
      <c r="A10" s="32"/>
      <c r="B10" s="33"/>
      <c r="C10" s="33"/>
      <c r="D10" s="33"/>
      <c r="E10" s="32"/>
      <c r="F10" s="32"/>
    </row>
    <row r="11" spans="1:6" s="16" customFormat="1" ht="33" customHeight="1">
      <c r="A11" s="32"/>
      <c r="B11" s="34" t="s">
        <v>21</v>
      </c>
      <c r="C11" s="35" t="s">
        <v>19</v>
      </c>
      <c r="D11" s="36" t="s">
        <v>18</v>
      </c>
      <c r="E11" s="32"/>
      <c r="F11" s="32"/>
    </row>
    <row r="12" spans="1:6" ht="14.5" customHeight="1">
      <c r="A12" s="37"/>
      <c r="B12" s="54" t="s">
        <v>46</v>
      </c>
      <c r="C12" s="55">
        <v>801</v>
      </c>
      <c r="D12" s="56">
        <v>0.21543840774610001</v>
      </c>
      <c r="E12" s="37"/>
      <c r="F12" s="37"/>
    </row>
    <row r="13" spans="1:6" ht="14.5" customHeight="1">
      <c r="A13" s="37"/>
      <c r="B13" s="54" t="s">
        <v>47</v>
      </c>
      <c r="C13" s="55">
        <v>580</v>
      </c>
      <c r="D13" s="56">
        <v>0.155997848305541</v>
      </c>
      <c r="E13" s="37"/>
      <c r="F13" s="37"/>
    </row>
    <row r="14" spans="1:6" ht="14.5" customHeight="1">
      <c r="A14" s="37"/>
      <c r="B14" s="54" t="s">
        <v>48</v>
      </c>
      <c r="C14" s="55">
        <v>232</v>
      </c>
      <c r="D14" s="56">
        <v>6.2399139322216003E-2</v>
      </c>
      <c r="E14" s="37"/>
      <c r="F14" s="37"/>
    </row>
    <row r="15" spans="1:6" ht="14.5" customHeight="1">
      <c r="A15" s="37"/>
      <c r="B15" s="54" t="s">
        <v>49</v>
      </c>
      <c r="C15" s="55">
        <v>217</v>
      </c>
      <c r="D15" s="56">
        <v>5.8364712210865997E-2</v>
      </c>
      <c r="E15" s="37"/>
      <c r="F15" s="37"/>
    </row>
    <row r="16" spans="1:6" ht="14.5" customHeight="1">
      <c r="A16" s="37"/>
      <c r="B16" s="54" t="s">
        <v>50</v>
      </c>
      <c r="C16" s="55">
        <v>188</v>
      </c>
      <c r="D16" s="56">
        <v>5.0564819795589001E-2</v>
      </c>
      <c r="E16" s="37"/>
      <c r="F16" s="37"/>
    </row>
    <row r="17" spans="1:6" ht="14.5" customHeight="1">
      <c r="A17" s="37"/>
      <c r="B17" s="54" t="s">
        <v>52</v>
      </c>
      <c r="C17" s="55">
        <v>171</v>
      </c>
      <c r="D17" s="56">
        <v>4.5992469069392E-2</v>
      </c>
      <c r="E17" s="37"/>
      <c r="F17" s="37"/>
    </row>
    <row r="18" spans="1:6" ht="14.5" customHeight="1">
      <c r="A18" s="37"/>
      <c r="B18" s="54" t="s">
        <v>51</v>
      </c>
      <c r="C18" s="55">
        <v>159</v>
      </c>
      <c r="D18" s="56">
        <v>4.2764927380311998E-2</v>
      </c>
      <c r="E18" s="37"/>
      <c r="F18" s="37"/>
    </row>
    <row r="19" spans="1:6" ht="14.5" customHeight="1">
      <c r="A19" s="37"/>
      <c r="B19" s="54" t="s">
        <v>53</v>
      </c>
      <c r="C19" s="55">
        <v>156</v>
      </c>
      <c r="D19" s="56">
        <v>4.1958041958042001E-2</v>
      </c>
      <c r="E19" s="37"/>
      <c r="F19" s="37"/>
    </row>
    <row r="20" spans="1:6" ht="14.5" customHeight="1">
      <c r="A20" s="37"/>
      <c r="B20" s="54" t="s">
        <v>54</v>
      </c>
      <c r="C20" s="55">
        <v>114</v>
      </c>
      <c r="D20" s="56">
        <v>3.0661646046260999E-2</v>
      </c>
      <c r="E20" s="37"/>
      <c r="F20" s="37"/>
    </row>
    <row r="21" spans="1:6" ht="14.5" customHeight="1">
      <c r="A21" s="37"/>
      <c r="B21" s="54" t="s">
        <v>55</v>
      </c>
      <c r="C21" s="55">
        <v>95</v>
      </c>
      <c r="D21" s="56">
        <v>2.5551371705217998E-2</v>
      </c>
      <c r="E21" s="37"/>
      <c r="F21" s="37"/>
    </row>
    <row r="22" spans="1:6" ht="14.5" customHeight="1">
      <c r="A22" s="37"/>
      <c r="B22" s="54" t="s">
        <v>56</v>
      </c>
      <c r="C22" s="55">
        <v>92</v>
      </c>
      <c r="D22" s="56">
        <v>2.4744486282948001E-2</v>
      </c>
      <c r="E22" s="37"/>
      <c r="F22" s="37"/>
    </row>
    <row r="23" spans="1:6" ht="14.5" customHeight="1">
      <c r="A23" s="37"/>
      <c r="B23" s="54" t="s">
        <v>59</v>
      </c>
      <c r="C23" s="55">
        <v>76</v>
      </c>
      <c r="D23" s="56">
        <v>2.0441097364173998E-2</v>
      </c>
      <c r="E23" s="37"/>
      <c r="F23" s="37"/>
    </row>
    <row r="24" spans="1:6" ht="14.5" customHeight="1">
      <c r="A24" s="37"/>
      <c r="B24" s="54" t="s">
        <v>57</v>
      </c>
      <c r="C24" s="55">
        <v>68</v>
      </c>
      <c r="D24" s="56">
        <v>1.8289402904788001E-2</v>
      </c>
      <c r="E24" s="37"/>
      <c r="F24" s="37"/>
    </row>
    <row r="25" spans="1:6" ht="14.5" customHeight="1">
      <c r="A25" s="37"/>
      <c r="B25" s="54" t="s">
        <v>61</v>
      </c>
      <c r="C25" s="55">
        <v>66</v>
      </c>
      <c r="D25" s="56">
        <v>1.7751479289940999E-2</v>
      </c>
      <c r="E25" s="37"/>
      <c r="F25" s="37"/>
    </row>
    <row r="26" spans="1:6" ht="14.5" customHeight="1">
      <c r="A26" s="37"/>
      <c r="B26" s="54" t="s">
        <v>58</v>
      </c>
      <c r="C26" s="55">
        <v>61</v>
      </c>
      <c r="D26" s="56">
        <v>1.6406670252824E-2</v>
      </c>
      <c r="E26" s="37"/>
      <c r="F26" s="37"/>
    </row>
    <row r="27" spans="1:6" ht="14.5" customHeight="1">
      <c r="A27" s="37"/>
      <c r="B27" s="54" t="s">
        <v>60</v>
      </c>
      <c r="C27" s="55">
        <v>55</v>
      </c>
      <c r="D27" s="56">
        <v>1.4792899408284E-2</v>
      </c>
      <c r="E27" s="37"/>
      <c r="F27" s="37"/>
    </row>
    <row r="28" spans="1:6" ht="14.5" customHeight="1">
      <c r="A28" s="37"/>
      <c r="B28" s="54" t="s">
        <v>68</v>
      </c>
      <c r="C28" s="55">
        <v>50</v>
      </c>
      <c r="D28" s="56">
        <v>1.3448090371166999E-2</v>
      </c>
      <c r="E28" s="37"/>
      <c r="F28" s="37"/>
    </row>
    <row r="29" spans="1:6" ht="14.5" customHeight="1">
      <c r="A29" s="37"/>
      <c r="B29" s="54" t="s">
        <v>64</v>
      </c>
      <c r="C29" s="55">
        <v>48</v>
      </c>
      <c r="D29" s="56">
        <v>1.2910166756321E-2</v>
      </c>
      <c r="E29" s="37"/>
      <c r="F29" s="37"/>
    </row>
    <row r="30" spans="1:6" ht="14.5" customHeight="1">
      <c r="A30" s="37"/>
      <c r="B30" s="54" t="s">
        <v>65</v>
      </c>
      <c r="C30" s="55">
        <v>46</v>
      </c>
      <c r="D30" s="56">
        <v>1.2372243141474001E-2</v>
      </c>
      <c r="E30" s="37"/>
      <c r="F30" s="37"/>
    </row>
    <row r="31" spans="1:6" ht="14.5" customHeight="1">
      <c r="A31" s="37"/>
      <c r="B31" s="54" t="s">
        <v>63</v>
      </c>
      <c r="C31" s="55">
        <v>43</v>
      </c>
      <c r="D31" s="56">
        <v>1.1565357719204E-2</v>
      </c>
      <c r="E31" s="37"/>
      <c r="F31" s="37"/>
    </row>
    <row r="32" spans="1:6" ht="14.5" customHeight="1">
      <c r="A32" s="37"/>
      <c r="B32" s="54" t="s">
        <v>72</v>
      </c>
      <c r="C32" s="55">
        <v>36</v>
      </c>
      <c r="D32" s="56">
        <v>9.6826250672400003E-3</v>
      </c>
      <c r="E32" s="37"/>
      <c r="F32" s="37"/>
    </row>
    <row r="33" spans="1:6" ht="14.5" customHeight="1">
      <c r="A33" s="37"/>
      <c r="B33" s="54" t="s">
        <v>62</v>
      </c>
      <c r="C33" s="55">
        <v>35</v>
      </c>
      <c r="D33" s="56">
        <v>9.4136632598170004E-3</v>
      </c>
      <c r="E33" s="37"/>
      <c r="F33" s="37"/>
    </row>
    <row r="34" spans="1:6" ht="14.5" customHeight="1">
      <c r="A34" s="37"/>
      <c r="B34" s="54" t="s">
        <v>76</v>
      </c>
      <c r="C34" s="55">
        <v>31</v>
      </c>
      <c r="D34" s="56">
        <v>8.3378160301240001E-3</v>
      </c>
      <c r="E34" s="37"/>
      <c r="F34" s="37"/>
    </row>
    <row r="35" spans="1:6" ht="14.5" customHeight="1">
      <c r="A35" s="37"/>
      <c r="B35" s="54" t="s">
        <v>66</v>
      </c>
      <c r="C35" s="55">
        <v>30</v>
      </c>
      <c r="D35" s="56">
        <v>8.0688542226999994E-3</v>
      </c>
      <c r="E35" s="37"/>
      <c r="F35" s="37"/>
    </row>
    <row r="36" spans="1:6" ht="14.5" customHeight="1">
      <c r="A36" s="37"/>
      <c r="B36" s="54" t="s">
        <v>67</v>
      </c>
      <c r="C36" s="55">
        <v>26</v>
      </c>
      <c r="D36" s="56">
        <v>6.9930069930069999E-3</v>
      </c>
      <c r="E36" s="37"/>
      <c r="F36" s="37"/>
    </row>
    <row r="37" spans="1:6" ht="14.5" customHeight="1">
      <c r="A37" s="37"/>
      <c r="B37" s="54" t="s">
        <v>77</v>
      </c>
      <c r="C37" s="55">
        <v>24</v>
      </c>
      <c r="D37" s="56">
        <v>6.4550833781600002E-3</v>
      </c>
      <c r="E37" s="37"/>
      <c r="F37" s="37"/>
    </row>
    <row r="38" spans="1:6" ht="14.5" customHeight="1">
      <c r="A38" s="37"/>
      <c r="B38" s="54" t="s">
        <v>75</v>
      </c>
      <c r="C38" s="55">
        <v>24</v>
      </c>
      <c r="D38" s="56">
        <v>6.4550833781600002E-3</v>
      </c>
      <c r="E38" s="37"/>
      <c r="F38" s="37"/>
    </row>
    <row r="39" spans="1:6" ht="14.5" customHeight="1">
      <c r="A39" s="37"/>
      <c r="B39" s="54" t="s">
        <v>74</v>
      </c>
      <c r="C39" s="55">
        <v>21</v>
      </c>
      <c r="D39" s="56">
        <v>5.6481979558899997E-3</v>
      </c>
      <c r="E39" s="37"/>
      <c r="F39" s="37"/>
    </row>
    <row r="40" spans="1:6" ht="14.5" customHeight="1">
      <c r="A40" s="37"/>
      <c r="B40" s="54" t="s">
        <v>70</v>
      </c>
      <c r="C40" s="55">
        <v>20</v>
      </c>
      <c r="D40" s="56">
        <v>5.3792361484669999E-3</v>
      </c>
      <c r="E40" s="37"/>
      <c r="F40" s="37"/>
    </row>
    <row r="41" spans="1:6" ht="14.5" customHeight="1">
      <c r="A41" s="37"/>
      <c r="B41" s="54" t="s">
        <v>73</v>
      </c>
      <c r="C41" s="55">
        <v>20</v>
      </c>
      <c r="D41" s="56">
        <v>5.3792361484669999E-3</v>
      </c>
      <c r="E41" s="37"/>
      <c r="F41" s="37"/>
    </row>
    <row r="42" spans="1:6" ht="14.5" customHeight="1">
      <c r="A42" s="37"/>
      <c r="B42" s="54" t="s">
        <v>69</v>
      </c>
      <c r="C42" s="55">
        <v>19</v>
      </c>
      <c r="D42" s="56">
        <v>5.1102743410440001E-3</v>
      </c>
      <c r="E42" s="37"/>
      <c r="F42" s="37"/>
    </row>
    <row r="43" spans="1:6" ht="14.5" customHeight="1">
      <c r="A43" s="37"/>
      <c r="B43" s="54" t="s">
        <v>71</v>
      </c>
      <c r="C43" s="55">
        <v>13</v>
      </c>
      <c r="D43" s="56">
        <v>3.4965034965029999E-3</v>
      </c>
      <c r="E43" s="37"/>
      <c r="F43" s="37"/>
    </row>
    <row r="44" spans="1:6" ht="14.5" customHeight="1">
      <c r="A44" s="37"/>
      <c r="B44" s="54" t="s">
        <v>84</v>
      </c>
      <c r="C44" s="55">
        <v>12</v>
      </c>
      <c r="D44" s="56">
        <v>3.2275416890800001E-3</v>
      </c>
      <c r="E44" s="37"/>
      <c r="F44" s="37"/>
    </row>
    <row r="45" spans="1:6" ht="14.5" customHeight="1">
      <c r="A45" s="37"/>
      <c r="B45" s="54" t="s">
        <v>82</v>
      </c>
      <c r="C45" s="55">
        <v>11</v>
      </c>
      <c r="D45" s="56">
        <v>2.9585798816569998E-3</v>
      </c>
      <c r="E45" s="37"/>
      <c r="F45" s="37"/>
    </row>
    <row r="46" spans="1:6" ht="14.5" customHeight="1">
      <c r="A46" s="37"/>
      <c r="B46" s="54" t="s">
        <v>87</v>
      </c>
      <c r="C46" s="55">
        <v>10</v>
      </c>
      <c r="D46" s="56">
        <v>2.6896180742329999E-3</v>
      </c>
      <c r="E46" s="37"/>
      <c r="F46" s="37"/>
    </row>
    <row r="47" spans="1:6" ht="14.5" customHeight="1">
      <c r="A47" s="37"/>
      <c r="B47" s="54" t="s">
        <v>80</v>
      </c>
      <c r="C47" s="55">
        <v>9</v>
      </c>
      <c r="D47" s="56">
        <v>2.4206562668100001E-3</v>
      </c>
      <c r="E47" s="37"/>
      <c r="F47" s="37"/>
    </row>
    <row r="48" spans="1:6" ht="14.5" customHeight="1">
      <c r="A48" s="37"/>
      <c r="B48" s="54" t="s">
        <v>90</v>
      </c>
      <c r="C48" s="55">
        <v>8</v>
      </c>
      <c r="D48" s="56">
        <v>2.1516944593869998E-3</v>
      </c>
      <c r="E48" s="37"/>
      <c r="F48" s="37"/>
    </row>
    <row r="49" spans="1:6" ht="14.5" customHeight="1">
      <c r="A49" s="37"/>
      <c r="B49" s="54" t="s">
        <v>79</v>
      </c>
      <c r="C49" s="55">
        <v>7</v>
      </c>
      <c r="D49" s="56">
        <v>1.8827326519630001E-3</v>
      </c>
      <c r="E49" s="37"/>
      <c r="F49" s="37"/>
    </row>
    <row r="50" spans="1:6" ht="14.5" customHeight="1">
      <c r="A50" s="37"/>
      <c r="B50" s="54" t="s">
        <v>85</v>
      </c>
      <c r="C50" s="55">
        <v>7</v>
      </c>
      <c r="D50" s="56">
        <v>1.8827326519630001E-3</v>
      </c>
      <c r="E50" s="37"/>
      <c r="F50" s="37"/>
    </row>
    <row r="51" spans="1:6" ht="14.5" customHeight="1">
      <c r="A51" s="37"/>
      <c r="B51" s="54" t="s">
        <v>86</v>
      </c>
      <c r="C51" s="55">
        <v>7</v>
      </c>
      <c r="D51" s="56">
        <v>1.8827326519630001E-3</v>
      </c>
      <c r="E51" s="37"/>
      <c r="F51" s="37"/>
    </row>
    <row r="52" spans="1:6" ht="14.5" customHeight="1">
      <c r="A52" s="37"/>
      <c r="B52" s="54" t="s">
        <v>78</v>
      </c>
      <c r="C52" s="55">
        <v>7</v>
      </c>
      <c r="D52" s="56">
        <v>1.8827326519630001E-3</v>
      </c>
      <c r="E52" s="37"/>
      <c r="F52" s="37"/>
    </row>
    <row r="53" spans="1:6" ht="14.5" customHeight="1">
      <c r="A53" s="37"/>
      <c r="B53" s="54" t="s">
        <v>91</v>
      </c>
      <c r="C53" s="55">
        <v>6</v>
      </c>
      <c r="D53" s="56">
        <v>1.61377084454E-3</v>
      </c>
      <c r="E53" s="37"/>
      <c r="F53" s="37"/>
    </row>
    <row r="54" spans="1:6" ht="14.5" customHeight="1">
      <c r="A54" s="37"/>
      <c r="B54" s="54" t="s">
        <v>81</v>
      </c>
      <c r="C54" s="55">
        <v>5</v>
      </c>
      <c r="D54" s="56">
        <v>1.344809037117E-3</v>
      </c>
      <c r="E54" s="37"/>
      <c r="F54" s="37"/>
    </row>
    <row r="55" spans="1:6" ht="14.5" customHeight="1">
      <c r="A55" s="37"/>
      <c r="B55" s="54" t="s">
        <v>83</v>
      </c>
      <c r="C55" s="55">
        <v>5</v>
      </c>
      <c r="D55" s="56">
        <v>1.344809037117E-3</v>
      </c>
      <c r="E55" s="37"/>
      <c r="F55" s="37"/>
    </row>
    <row r="56" spans="1:6" ht="14.5" customHeight="1">
      <c r="A56" s="37"/>
      <c r="B56" s="54" t="s">
        <v>92</v>
      </c>
      <c r="C56" s="55">
        <v>3</v>
      </c>
      <c r="D56" s="56">
        <v>8.0688542227000002E-4</v>
      </c>
      <c r="E56" s="37"/>
      <c r="F56" s="37"/>
    </row>
    <row r="57" spans="1:6" ht="14.5" customHeight="1">
      <c r="A57" s="37"/>
      <c r="B57" s="54" t="s">
        <v>89</v>
      </c>
      <c r="C57" s="55">
        <v>2</v>
      </c>
      <c r="D57" s="56">
        <v>5.3792361484699997E-4</v>
      </c>
      <c r="E57" s="37"/>
      <c r="F57" s="37"/>
    </row>
    <row r="58" spans="1:6" ht="14.5" customHeight="1">
      <c r="A58" s="37"/>
      <c r="B58" s="54" t="s">
        <v>88</v>
      </c>
      <c r="C58" s="55">
        <v>2</v>
      </c>
      <c r="D58" s="56">
        <v>5.3792361484699997E-4</v>
      </c>
      <c r="E58" s="37"/>
      <c r="F58" s="37"/>
    </row>
    <row r="59" spans="1:6" ht="14.5" customHeight="1">
      <c r="A59" s="37"/>
      <c r="B59" s="57" t="s">
        <v>308</v>
      </c>
      <c r="C59" s="58">
        <v>3718</v>
      </c>
      <c r="D59" s="59">
        <v>1</v>
      </c>
      <c r="E59" s="37"/>
      <c r="F59" s="37"/>
    </row>
    <row r="60" spans="1:6" ht="14.5" customHeight="1">
      <c r="A60" s="37"/>
      <c r="B60" s="41"/>
      <c r="C60" s="39"/>
      <c r="D60" s="37"/>
      <c r="E60" s="37"/>
      <c r="F60" s="37"/>
    </row>
    <row r="61" spans="1:6" ht="14.5" customHeight="1">
      <c r="B61" s="38" t="s">
        <v>183</v>
      </c>
      <c r="C61" s="60"/>
      <c r="D61" s="61"/>
      <c r="E61" s="37"/>
      <c r="F61" s="37"/>
    </row>
    <row r="62" spans="1:6" ht="14.5" customHeight="1">
      <c r="B62" s="41" t="s">
        <v>17</v>
      </c>
      <c r="C62" s="60"/>
      <c r="D62" s="61"/>
      <c r="E62" s="37"/>
      <c r="F62" s="37"/>
    </row>
    <row r="63" spans="1:6" ht="14.5" customHeight="1">
      <c r="B63" s="42" t="s">
        <v>45</v>
      </c>
      <c r="C63" s="60"/>
      <c r="D63" s="61"/>
      <c r="E63" s="37"/>
      <c r="F63" s="37"/>
    </row>
    <row r="64" spans="1:6" ht="14.5" customHeight="1">
      <c r="B64" s="38" t="s">
        <v>16</v>
      </c>
      <c r="C64" s="60"/>
      <c r="D64" s="61"/>
      <c r="E64" s="37"/>
      <c r="F64" s="37"/>
    </row>
    <row r="65" spans="2:6" ht="14.5" customHeight="1">
      <c r="B65" s="38" t="s">
        <v>306</v>
      </c>
      <c r="C65" s="60"/>
      <c r="D65" s="61"/>
      <c r="E65" s="37"/>
      <c r="F65" s="3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rgb="FFFFC000"/>
  </sheetPr>
  <dimension ref="A1:J30"/>
  <sheetViews>
    <sheetView showGridLines="0" view="pageBreakPreview" topLeftCell="A11" zoomScaleNormal="100" zoomScaleSheetLayoutView="100" workbookViewId="0">
      <selection activeCell="B15" sqref="B15"/>
    </sheetView>
  </sheetViews>
  <sheetFormatPr baseColWidth="10" defaultColWidth="11.453125" defaultRowHeight="14.5"/>
  <cols>
    <col min="1" max="1" width="9.26953125" style="13" customWidth="1"/>
    <col min="2" max="2" width="21.7265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4.1796875" style="13" customWidth="1"/>
    <col min="7" max="16384" width="11.453125" style="13"/>
  </cols>
  <sheetData>
    <row r="1" spans="1:10" s="16" customFormat="1" ht="15" customHeight="1">
      <c r="C1" s="18"/>
    </row>
    <row r="2" spans="1:10" s="16" customFormat="1" ht="15" customHeight="1">
      <c r="C2" s="18"/>
    </row>
    <row r="3" spans="1:10" s="16" customFormat="1" ht="15" customHeight="1">
      <c r="C3" s="18"/>
    </row>
    <row r="4" spans="1:10" s="16" customFormat="1" ht="30" customHeight="1">
      <c r="C4" s="18"/>
      <c r="D4" s="17"/>
    </row>
    <row r="5" spans="1:10" s="16" customFormat="1" ht="15" customHeight="1">
      <c r="C5" s="18"/>
      <c r="D5" s="17"/>
    </row>
    <row r="6" spans="1:10" s="16" customFormat="1" ht="15" customHeight="1">
      <c r="C6" s="18"/>
      <c r="D6" s="17"/>
    </row>
    <row r="7" spans="1:10" s="16" customFormat="1" ht="15" customHeight="1">
      <c r="A7" s="32"/>
      <c r="B7" s="80" t="s">
        <v>42</v>
      </c>
      <c r="C7" s="80"/>
      <c r="D7" s="80"/>
      <c r="E7" s="32"/>
      <c r="F7" s="32"/>
    </row>
    <row r="8" spans="1:10" s="16" customFormat="1" ht="15" customHeight="1">
      <c r="A8" s="32"/>
      <c r="B8" s="80"/>
      <c r="C8" s="80"/>
      <c r="D8" s="80"/>
      <c r="E8" s="32"/>
      <c r="F8" s="32"/>
    </row>
    <row r="9" spans="1:10" s="16" customFormat="1" ht="33" customHeight="1">
      <c r="A9" s="32"/>
      <c r="B9" s="80"/>
      <c r="C9" s="80"/>
      <c r="D9" s="80"/>
      <c r="E9" s="32"/>
      <c r="F9" s="32"/>
    </row>
    <row r="10" spans="1:10" s="16" customFormat="1" ht="4.5" customHeight="1">
      <c r="A10" s="32"/>
      <c r="B10" s="33"/>
      <c r="C10" s="33"/>
      <c r="D10" s="33"/>
      <c r="E10" s="32"/>
      <c r="F10" s="32"/>
    </row>
    <row r="11" spans="1:10" s="16" customFormat="1" ht="33" customHeight="1">
      <c r="A11" s="32"/>
      <c r="B11" s="36" t="s">
        <v>21</v>
      </c>
      <c r="C11" s="35" t="s">
        <v>19</v>
      </c>
      <c r="D11" s="36" t="s">
        <v>18</v>
      </c>
      <c r="E11" s="32"/>
      <c r="F11" s="32"/>
    </row>
    <row r="12" spans="1:10" ht="14.5" customHeight="1">
      <c r="A12" s="37"/>
      <c r="B12" s="54" t="s">
        <v>46</v>
      </c>
      <c r="C12" s="55">
        <v>801</v>
      </c>
      <c r="D12" s="56">
        <v>0.21543840774610001</v>
      </c>
      <c r="E12" s="37"/>
      <c r="F12" s="37"/>
      <c r="I12" s="16"/>
      <c r="J12" s="16"/>
    </row>
    <row r="13" spans="1:10" ht="14.5" customHeight="1">
      <c r="A13" s="37"/>
      <c r="B13" s="54" t="s">
        <v>47</v>
      </c>
      <c r="C13" s="55">
        <v>580</v>
      </c>
      <c r="D13" s="56">
        <v>0.155997848305541</v>
      </c>
      <c r="E13" s="37"/>
      <c r="F13" s="37"/>
      <c r="I13" s="16"/>
      <c r="J13" s="16"/>
    </row>
    <row r="14" spans="1:10" s="15" customFormat="1" ht="14.5" customHeight="1">
      <c r="A14" s="37"/>
      <c r="B14" s="54" t="s">
        <v>48</v>
      </c>
      <c r="C14" s="55">
        <v>232</v>
      </c>
      <c r="D14" s="56">
        <v>6.2399139322216003E-2</v>
      </c>
      <c r="E14" s="37"/>
      <c r="F14" s="37"/>
      <c r="I14" s="16"/>
      <c r="J14" s="16"/>
    </row>
    <row r="15" spans="1:10" s="15" customFormat="1" ht="14.5" customHeight="1">
      <c r="A15" s="37"/>
      <c r="B15" s="54" t="s">
        <v>49</v>
      </c>
      <c r="C15" s="55">
        <v>217</v>
      </c>
      <c r="D15" s="56">
        <v>5.8364712210865997E-2</v>
      </c>
      <c r="E15" s="37"/>
      <c r="F15" s="37"/>
      <c r="I15" s="16"/>
      <c r="J15" s="16"/>
    </row>
    <row r="16" spans="1:10" ht="14.5" customHeight="1">
      <c r="A16" s="37"/>
      <c r="B16" s="54" t="s">
        <v>50</v>
      </c>
      <c r="C16" s="55">
        <v>188</v>
      </c>
      <c r="D16" s="56">
        <v>5.0564819795589001E-2</v>
      </c>
      <c r="E16" s="37"/>
      <c r="F16" s="37"/>
      <c r="I16" s="16"/>
      <c r="J16" s="16"/>
    </row>
    <row r="17" spans="1:10" ht="14.5" customHeight="1">
      <c r="A17" s="37"/>
      <c r="B17" s="54" t="s">
        <v>52</v>
      </c>
      <c r="C17" s="55">
        <v>171</v>
      </c>
      <c r="D17" s="56">
        <v>4.5992469069392E-2</v>
      </c>
      <c r="E17" s="37"/>
      <c r="F17" s="37"/>
      <c r="I17" s="16"/>
      <c r="J17" s="16"/>
    </row>
    <row r="18" spans="1:10" ht="14.5" customHeight="1">
      <c r="A18" s="37"/>
      <c r="B18" s="54" t="s">
        <v>51</v>
      </c>
      <c r="C18" s="55">
        <v>159</v>
      </c>
      <c r="D18" s="56">
        <v>4.2764927380311998E-2</v>
      </c>
      <c r="E18" s="37"/>
      <c r="F18" s="37"/>
      <c r="I18" s="16"/>
      <c r="J18" s="16"/>
    </row>
    <row r="19" spans="1:10" ht="14.5" customHeight="1">
      <c r="A19" s="37"/>
      <c r="B19" s="54" t="s">
        <v>53</v>
      </c>
      <c r="C19" s="55">
        <v>156</v>
      </c>
      <c r="D19" s="56">
        <v>4.1958041958042001E-2</v>
      </c>
      <c r="E19" s="37"/>
      <c r="F19" s="37"/>
      <c r="I19" s="16"/>
      <c r="J19" s="16"/>
    </row>
    <row r="20" spans="1:10" ht="14.5" customHeight="1">
      <c r="A20" s="37"/>
      <c r="B20" s="54" t="s">
        <v>54</v>
      </c>
      <c r="C20" s="55">
        <v>114</v>
      </c>
      <c r="D20" s="56">
        <v>3.0661646046260999E-2</v>
      </c>
      <c r="E20" s="37"/>
      <c r="F20" s="37"/>
      <c r="I20" s="16"/>
      <c r="J20" s="16"/>
    </row>
    <row r="21" spans="1:10" ht="14.5" customHeight="1">
      <c r="A21" s="37"/>
      <c r="B21" s="54" t="s">
        <v>55</v>
      </c>
      <c r="C21" s="55">
        <v>95</v>
      </c>
      <c r="D21" s="56">
        <v>2.5551371705217998E-2</v>
      </c>
      <c r="E21" s="37"/>
      <c r="F21" s="37"/>
      <c r="I21" s="16"/>
      <c r="J21" s="16"/>
    </row>
    <row r="22" spans="1:10" ht="14.5" customHeight="1">
      <c r="A22" s="37"/>
      <c r="B22" s="63" t="s">
        <v>43</v>
      </c>
      <c r="C22" s="64">
        <f>SUM(C12:C21)</f>
        <v>2713</v>
      </c>
      <c r="D22" s="65">
        <f t="shared" ref="D22" si="0">C22/$C$22</f>
        <v>1</v>
      </c>
      <c r="E22" s="37"/>
      <c r="F22" s="37"/>
    </row>
    <row r="23" spans="1:10" ht="14.5" customHeight="1">
      <c r="A23" s="37"/>
      <c r="B23" s="43" t="s">
        <v>44</v>
      </c>
      <c r="C23" s="58">
        <v>3718</v>
      </c>
      <c r="D23" s="62"/>
      <c r="E23" s="37"/>
      <c r="F23" s="37"/>
    </row>
    <row r="24" spans="1:10" ht="16.5">
      <c r="A24" s="37"/>
      <c r="B24" s="38"/>
      <c r="C24" s="37"/>
      <c r="D24" s="37"/>
      <c r="E24" s="37"/>
      <c r="F24" s="37"/>
    </row>
    <row r="25" spans="1:10" ht="16.5">
      <c r="B25" s="38" t="s">
        <v>183</v>
      </c>
      <c r="C25" s="61"/>
      <c r="D25" s="61"/>
      <c r="E25" s="61"/>
      <c r="F25" s="37"/>
    </row>
    <row r="26" spans="1:10" ht="16.5">
      <c r="B26" s="41" t="s">
        <v>17</v>
      </c>
      <c r="C26" s="61"/>
      <c r="D26" s="61"/>
      <c r="E26" s="61"/>
      <c r="F26" s="37"/>
    </row>
    <row r="27" spans="1:10" ht="16.5">
      <c r="B27" s="42" t="s">
        <v>45</v>
      </c>
      <c r="C27" s="61"/>
      <c r="D27" s="61"/>
      <c r="E27" s="61"/>
      <c r="F27" s="37"/>
    </row>
    <row r="28" spans="1:10" ht="16.5">
      <c r="B28" s="38" t="s">
        <v>16</v>
      </c>
      <c r="C28" s="61"/>
      <c r="D28" s="61"/>
      <c r="E28" s="61"/>
      <c r="F28" s="37"/>
    </row>
    <row r="29" spans="1:10" ht="16.5">
      <c r="B29" s="38" t="s">
        <v>306</v>
      </c>
      <c r="C29" s="60"/>
      <c r="D29" s="61"/>
      <c r="E29" s="61"/>
      <c r="F29" s="37"/>
    </row>
    <row r="30" spans="1:10">
      <c r="A30" s="20"/>
      <c r="B30" s="20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rgb="FFFFFF00"/>
  </sheetPr>
  <dimension ref="A1:F31"/>
  <sheetViews>
    <sheetView showGridLines="0" view="pageBreakPreview" topLeftCell="A18" zoomScaleNormal="100" zoomScaleSheetLayoutView="100" workbookViewId="0">
      <selection activeCell="D11" sqref="D11"/>
    </sheetView>
  </sheetViews>
  <sheetFormatPr baseColWidth="10" defaultColWidth="11.453125" defaultRowHeight="14.5"/>
  <cols>
    <col min="1" max="1" width="9.26953125" style="13" customWidth="1"/>
    <col min="2" max="2" width="27.179687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3" style="13" customWidth="1"/>
    <col min="7" max="16384" width="11.453125" style="13"/>
  </cols>
  <sheetData>
    <row r="1" spans="1:6" s="16" customFormat="1" ht="15" customHeight="1">
      <c r="C1" s="18"/>
    </row>
    <row r="2" spans="1:6" s="16" customFormat="1" ht="15" customHeight="1">
      <c r="C2" s="18"/>
    </row>
    <row r="3" spans="1:6" s="16" customFormat="1" ht="15" customHeight="1">
      <c r="C3" s="18"/>
    </row>
    <row r="4" spans="1:6" s="16" customFormat="1" ht="30" customHeight="1">
      <c r="C4" s="18"/>
      <c r="D4" s="17"/>
    </row>
    <row r="5" spans="1:6" s="16" customFormat="1" ht="15" customHeight="1">
      <c r="C5" s="18"/>
      <c r="D5" s="17"/>
    </row>
    <row r="6" spans="1:6" s="16" customFormat="1" ht="15" customHeight="1">
      <c r="C6" s="18"/>
      <c r="D6" s="17"/>
    </row>
    <row r="7" spans="1:6" s="16" customFormat="1" ht="15" customHeight="1">
      <c r="A7" s="32"/>
      <c r="B7" s="80" t="s">
        <v>40</v>
      </c>
      <c r="C7" s="80"/>
      <c r="D7" s="80"/>
      <c r="E7" s="32"/>
      <c r="F7" s="32"/>
    </row>
    <row r="8" spans="1:6" s="16" customFormat="1" ht="15" customHeight="1">
      <c r="A8" s="32"/>
      <c r="B8" s="80"/>
      <c r="C8" s="80"/>
      <c r="D8" s="80"/>
      <c r="E8" s="32"/>
      <c r="F8" s="32"/>
    </row>
    <row r="9" spans="1:6" s="16" customFormat="1" ht="33" customHeight="1">
      <c r="A9" s="32"/>
      <c r="B9" s="80"/>
      <c r="C9" s="80"/>
      <c r="D9" s="80"/>
      <c r="E9" s="32"/>
      <c r="F9" s="32"/>
    </row>
    <row r="10" spans="1:6" s="16" customFormat="1" ht="4.5" customHeight="1">
      <c r="A10" s="32"/>
      <c r="B10" s="33"/>
      <c r="C10" s="33"/>
      <c r="D10" s="33"/>
      <c r="E10" s="32"/>
      <c r="F10" s="32"/>
    </row>
    <row r="11" spans="1:6" s="16" customFormat="1" ht="33" customHeight="1">
      <c r="A11" s="32"/>
      <c r="B11" s="34" t="s">
        <v>22</v>
      </c>
      <c r="C11" s="35" t="s">
        <v>19</v>
      </c>
      <c r="D11" s="36" t="s">
        <v>18</v>
      </c>
      <c r="E11" s="32"/>
      <c r="F11" s="32"/>
    </row>
    <row r="12" spans="1:6" ht="14.5" customHeight="1">
      <c r="A12" s="37"/>
      <c r="B12" s="54" t="s">
        <v>131</v>
      </c>
      <c r="C12" s="55">
        <v>1075</v>
      </c>
      <c r="D12" s="56">
        <v>0.28913394298009698</v>
      </c>
      <c r="E12" s="37"/>
      <c r="F12" s="37"/>
    </row>
    <row r="13" spans="1:6" ht="14.5" customHeight="1">
      <c r="A13" s="37"/>
      <c r="B13" s="54" t="s">
        <v>133</v>
      </c>
      <c r="C13" s="55">
        <v>994</v>
      </c>
      <c r="D13" s="56">
        <v>0.26734803657880601</v>
      </c>
      <c r="E13" s="37"/>
      <c r="F13" s="37"/>
    </row>
    <row r="14" spans="1:6" ht="14.5" customHeight="1">
      <c r="A14" s="37"/>
      <c r="B14" s="54" t="s">
        <v>132</v>
      </c>
      <c r="C14" s="55">
        <v>698</v>
      </c>
      <c r="D14" s="56">
        <v>0.18773534158149499</v>
      </c>
      <c r="E14" s="37"/>
      <c r="F14" s="37"/>
    </row>
    <row r="15" spans="1:6" ht="14.5" customHeight="1">
      <c r="A15" s="37"/>
      <c r="B15" s="54" t="s">
        <v>130</v>
      </c>
      <c r="C15" s="55">
        <v>189</v>
      </c>
      <c r="D15" s="56">
        <v>5.0833781603012003E-2</v>
      </c>
      <c r="E15" s="37"/>
      <c r="F15" s="37"/>
    </row>
    <row r="16" spans="1:6" ht="14.5" customHeight="1">
      <c r="A16" s="37"/>
      <c r="B16" s="54" t="s">
        <v>134</v>
      </c>
      <c r="C16" s="55">
        <v>182</v>
      </c>
      <c r="D16" s="56">
        <v>4.8951048951049E-2</v>
      </c>
      <c r="E16" s="37"/>
      <c r="F16" s="37"/>
    </row>
    <row r="17" spans="1:6" ht="14.5" customHeight="1">
      <c r="A17" s="37"/>
      <c r="B17" s="54" t="s">
        <v>135</v>
      </c>
      <c r="C17" s="55">
        <v>161</v>
      </c>
      <c r="D17" s="56">
        <v>4.3302850995159001E-2</v>
      </c>
      <c r="E17" s="37"/>
      <c r="F17" s="37"/>
    </row>
    <row r="18" spans="1:6" ht="14.5" customHeight="1">
      <c r="A18" s="37"/>
      <c r="B18" s="54" t="s">
        <v>136</v>
      </c>
      <c r="C18" s="55">
        <v>139</v>
      </c>
      <c r="D18" s="56">
        <v>3.7385691231845E-2</v>
      </c>
      <c r="E18" s="37"/>
      <c r="F18" s="37"/>
    </row>
    <row r="19" spans="1:6" ht="14.5" customHeight="1">
      <c r="A19" s="37"/>
      <c r="B19" s="54" t="s">
        <v>137</v>
      </c>
      <c r="C19" s="55">
        <v>107</v>
      </c>
      <c r="D19" s="56">
        <v>2.8778913394298E-2</v>
      </c>
      <c r="E19" s="37"/>
      <c r="F19" s="37"/>
    </row>
    <row r="20" spans="1:6" ht="14.5" customHeight="1">
      <c r="A20" s="37"/>
      <c r="B20" s="54" t="s">
        <v>138</v>
      </c>
      <c r="C20" s="55">
        <v>78</v>
      </c>
      <c r="D20" s="56">
        <v>2.0979020979021001E-2</v>
      </c>
      <c r="E20" s="37"/>
      <c r="F20" s="37"/>
    </row>
    <row r="21" spans="1:6" ht="14.5" customHeight="1">
      <c r="A21" s="37"/>
      <c r="B21" s="54" t="s">
        <v>139</v>
      </c>
      <c r="C21" s="55">
        <v>75</v>
      </c>
      <c r="D21" s="56">
        <v>2.0172135556751E-2</v>
      </c>
      <c r="E21" s="37"/>
      <c r="F21" s="37"/>
    </row>
    <row r="22" spans="1:6" ht="14.5" customHeight="1">
      <c r="A22" s="37"/>
      <c r="B22" s="54" t="s">
        <v>241</v>
      </c>
      <c r="C22" s="55">
        <v>20</v>
      </c>
      <c r="D22" s="56">
        <v>5.3792361484669999E-3</v>
      </c>
      <c r="E22" s="37"/>
      <c r="F22" s="37"/>
    </row>
    <row r="23" spans="1:6" ht="16.5">
      <c r="A23" s="37"/>
      <c r="B23" s="57" t="s">
        <v>307</v>
      </c>
      <c r="C23" s="58">
        <v>3718</v>
      </c>
      <c r="D23" s="59">
        <v>1</v>
      </c>
      <c r="E23" s="37"/>
      <c r="F23" s="37"/>
    </row>
    <row r="24" spans="1:6" ht="16.5">
      <c r="A24" s="37"/>
      <c r="B24" s="41"/>
      <c r="C24" s="39"/>
      <c r="D24" s="37"/>
      <c r="E24" s="37"/>
      <c r="F24" s="37"/>
    </row>
    <row r="25" spans="1:6" ht="16.5">
      <c r="B25" s="38" t="s">
        <v>183</v>
      </c>
      <c r="C25" s="60"/>
      <c r="D25" s="61"/>
      <c r="E25" s="37"/>
      <c r="F25" s="37"/>
    </row>
    <row r="26" spans="1:6" ht="16.5">
      <c r="B26" s="41" t="s">
        <v>17</v>
      </c>
      <c r="C26" s="60"/>
      <c r="D26" s="61"/>
      <c r="E26" s="37"/>
      <c r="F26" s="37"/>
    </row>
    <row r="27" spans="1:6" ht="16.5">
      <c r="B27" s="42" t="s">
        <v>45</v>
      </c>
      <c r="C27" s="60"/>
      <c r="D27" s="61"/>
      <c r="E27" s="37"/>
      <c r="F27" s="37"/>
    </row>
    <row r="28" spans="1:6" ht="16.5">
      <c r="B28" s="38" t="s">
        <v>16</v>
      </c>
      <c r="C28" s="61"/>
      <c r="D28" s="61"/>
      <c r="E28" s="37"/>
      <c r="F28" s="37"/>
    </row>
    <row r="29" spans="1:6" ht="16.5">
      <c r="B29" s="38" t="s">
        <v>306</v>
      </c>
      <c r="C29" s="61"/>
      <c r="D29" s="61"/>
      <c r="E29" s="37"/>
      <c r="F29" s="37"/>
    </row>
    <row r="30" spans="1:6" ht="16.5">
      <c r="A30" s="32"/>
      <c r="B30" s="44"/>
      <c r="C30" s="39"/>
      <c r="D30" s="37"/>
      <c r="E30" s="37"/>
      <c r="F30" s="37"/>
    </row>
    <row r="31" spans="1:6" ht="16.5">
      <c r="A31" s="32"/>
      <c r="B31" s="44"/>
      <c r="C31" s="39"/>
      <c r="D31" s="37"/>
      <c r="E31" s="37"/>
      <c r="F31" s="3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6">
    <tabColor rgb="FFFFFF00"/>
  </sheetPr>
  <dimension ref="A1:E283"/>
  <sheetViews>
    <sheetView showGridLines="0" view="pageBreakPreview" topLeftCell="A268" zoomScaleNormal="100" zoomScaleSheetLayoutView="100" workbookViewId="0">
      <selection activeCell="E9" sqref="E9"/>
    </sheetView>
  </sheetViews>
  <sheetFormatPr baseColWidth="10" defaultColWidth="35" defaultRowHeight="15" customHeight="1"/>
  <cols>
    <col min="1" max="1" width="1" style="19" customWidth="1"/>
    <col min="2" max="2" width="22.81640625" style="20" customWidth="1"/>
    <col min="3" max="3" width="31.453125" style="20" customWidth="1"/>
    <col min="4" max="4" width="14.26953125" style="20" customWidth="1"/>
    <col min="5" max="5" width="16.81640625" style="20" customWidth="1"/>
    <col min="6" max="16384" width="35" style="19"/>
  </cols>
  <sheetData>
    <row r="1" spans="1:5" s="22" customFormat="1" ht="12" customHeight="1">
      <c r="B1" s="24"/>
      <c r="C1" s="21"/>
      <c r="D1" s="21"/>
      <c r="E1" s="21"/>
    </row>
    <row r="2" spans="1:5" s="22" customFormat="1" ht="15" customHeight="1">
      <c r="C2" s="26"/>
    </row>
    <row r="3" spans="1:5" s="22" customFormat="1" ht="15" customHeight="1">
      <c r="C3" s="26"/>
    </row>
    <row r="4" spans="1:5" s="22" customFormat="1" ht="30" customHeight="1">
      <c r="C4" s="26"/>
      <c r="D4" s="25"/>
    </row>
    <row r="5" spans="1:5" s="22" customFormat="1" ht="15" customHeight="1">
      <c r="C5" s="26"/>
      <c r="D5" s="25"/>
    </row>
    <row r="6" spans="1:5" s="22" customFormat="1" ht="24" customHeight="1">
      <c r="B6" s="45"/>
      <c r="C6" s="44"/>
      <c r="D6" s="44"/>
      <c r="E6" s="44"/>
    </row>
    <row r="7" spans="1:5" s="22" customFormat="1" ht="26.25" customHeight="1">
      <c r="A7" s="23"/>
      <c r="B7" s="86"/>
      <c r="C7" s="86"/>
      <c r="D7" s="86"/>
      <c r="E7" s="86"/>
    </row>
    <row r="8" spans="1:5" s="22" customFormat="1" ht="33" customHeight="1">
      <c r="A8" s="23"/>
      <c r="B8" s="86"/>
      <c r="C8" s="86"/>
      <c r="D8" s="86"/>
      <c r="E8" s="86"/>
    </row>
    <row r="9" spans="1:5" s="16" customFormat="1" ht="40.5" customHeight="1">
      <c r="A9" s="31"/>
      <c r="B9" s="46" t="s">
        <v>24</v>
      </c>
      <c r="C9" s="47" t="s">
        <v>23</v>
      </c>
      <c r="D9" s="48" t="s">
        <v>19</v>
      </c>
      <c r="E9" s="46" t="s">
        <v>18</v>
      </c>
    </row>
    <row r="10" spans="1:5" ht="15" customHeight="1">
      <c r="A10" s="30"/>
      <c r="B10" s="81" t="s">
        <v>236</v>
      </c>
      <c r="C10" s="54" t="s">
        <v>131</v>
      </c>
      <c r="D10" s="55">
        <v>666</v>
      </c>
      <c r="E10" s="56">
        <v>0.179128563743948</v>
      </c>
    </row>
    <row r="11" spans="1:5" ht="15" customHeight="1">
      <c r="A11" s="30"/>
      <c r="B11" s="83"/>
      <c r="C11" s="54" t="s">
        <v>133</v>
      </c>
      <c r="D11" s="55">
        <v>624</v>
      </c>
      <c r="E11" s="56">
        <v>0.16783216783216801</v>
      </c>
    </row>
    <row r="12" spans="1:5" ht="15" customHeight="1">
      <c r="A12" s="30"/>
      <c r="B12" s="83"/>
      <c r="C12" s="54" t="s">
        <v>132</v>
      </c>
      <c r="D12" s="55">
        <v>402</v>
      </c>
      <c r="E12" s="56">
        <v>0.10812264658418499</v>
      </c>
    </row>
    <row r="13" spans="1:5" ht="15" customHeight="1">
      <c r="A13" s="30"/>
      <c r="B13" s="83"/>
      <c r="C13" s="54" t="s">
        <v>237</v>
      </c>
      <c r="D13" s="55">
        <v>134</v>
      </c>
      <c r="E13" s="56">
        <v>3.6040882194728001E-2</v>
      </c>
    </row>
    <row r="14" spans="1:5" ht="15" customHeight="1">
      <c r="A14" s="30"/>
      <c r="B14" s="83"/>
      <c r="C14" s="54" t="s">
        <v>135</v>
      </c>
      <c r="D14" s="55">
        <v>128</v>
      </c>
      <c r="E14" s="56">
        <v>3.4427111350188E-2</v>
      </c>
    </row>
    <row r="15" spans="1:5" ht="15" customHeight="1">
      <c r="A15" s="30"/>
      <c r="B15" s="83"/>
      <c r="C15" s="54" t="s">
        <v>136</v>
      </c>
      <c r="D15" s="55">
        <v>109</v>
      </c>
      <c r="E15" s="56">
        <v>2.9316837009144999E-2</v>
      </c>
    </row>
    <row r="16" spans="1:5" ht="15" customHeight="1">
      <c r="A16" s="30"/>
      <c r="B16" s="83"/>
      <c r="C16" s="54" t="s">
        <v>238</v>
      </c>
      <c r="D16" s="55">
        <v>101</v>
      </c>
      <c r="E16" s="56">
        <v>2.7165142549757999E-2</v>
      </c>
    </row>
    <row r="17" spans="1:5" ht="15" customHeight="1">
      <c r="A17" s="30"/>
      <c r="B17" s="83"/>
      <c r="C17" s="54" t="s">
        <v>137</v>
      </c>
      <c r="D17" s="55">
        <v>81</v>
      </c>
      <c r="E17" s="56">
        <v>2.1785906401291001E-2</v>
      </c>
    </row>
    <row r="18" spans="1:5" ht="15" customHeight="1">
      <c r="A18" s="30"/>
      <c r="B18" s="83"/>
      <c r="C18" s="54" t="s">
        <v>239</v>
      </c>
      <c r="D18" s="55">
        <v>48</v>
      </c>
      <c r="E18" s="56">
        <v>1.2910166756321E-2</v>
      </c>
    </row>
    <row r="19" spans="1:5" ht="15" customHeight="1">
      <c r="A19" s="30"/>
      <c r="B19" s="83"/>
      <c r="C19" s="54" t="s">
        <v>240</v>
      </c>
      <c r="D19" s="55">
        <v>42</v>
      </c>
      <c r="E19" s="56">
        <v>1.1296395911781E-2</v>
      </c>
    </row>
    <row r="20" spans="1:5" ht="15" customHeight="1">
      <c r="A20" s="30"/>
      <c r="B20" s="83"/>
      <c r="C20" s="54" t="s">
        <v>241</v>
      </c>
      <c r="D20" s="55">
        <v>6</v>
      </c>
      <c r="E20" s="56">
        <v>1.61377084454E-3</v>
      </c>
    </row>
    <row r="21" spans="1:5" ht="15" customHeight="1">
      <c r="A21" s="30"/>
      <c r="B21" s="82"/>
      <c r="C21" s="67" t="s">
        <v>308</v>
      </c>
      <c r="D21" s="66">
        <v>2341</v>
      </c>
      <c r="E21" s="68">
        <v>0.62963959117805302</v>
      </c>
    </row>
    <row r="22" spans="1:5" ht="15" customHeight="1">
      <c r="A22" s="30"/>
      <c r="B22" s="81" t="s">
        <v>229</v>
      </c>
      <c r="C22" s="54" t="s">
        <v>131</v>
      </c>
      <c r="D22" s="55">
        <v>96</v>
      </c>
      <c r="E22" s="56">
        <v>2.5820333512641E-2</v>
      </c>
    </row>
    <row r="23" spans="1:5" ht="15" customHeight="1">
      <c r="A23" s="30"/>
      <c r="B23" s="83"/>
      <c r="C23" s="54" t="s">
        <v>133</v>
      </c>
      <c r="D23" s="55">
        <v>73</v>
      </c>
      <c r="E23" s="56">
        <v>1.9634211941904001E-2</v>
      </c>
    </row>
    <row r="24" spans="1:5" ht="15" customHeight="1">
      <c r="A24" s="30"/>
      <c r="B24" s="83"/>
      <c r="C24" s="54" t="s">
        <v>132</v>
      </c>
      <c r="D24" s="55">
        <v>71</v>
      </c>
      <c r="E24" s="56">
        <v>1.9096288327058002E-2</v>
      </c>
    </row>
    <row r="25" spans="1:5" ht="15" customHeight="1">
      <c r="A25" s="30"/>
      <c r="B25" s="83"/>
      <c r="C25" s="54" t="s">
        <v>238</v>
      </c>
      <c r="D25" s="55">
        <v>11</v>
      </c>
      <c r="E25" s="56">
        <v>2.9585798816569998E-3</v>
      </c>
    </row>
    <row r="26" spans="1:5" ht="15" customHeight="1">
      <c r="A26" s="30"/>
      <c r="B26" s="83"/>
      <c r="C26" s="54" t="s">
        <v>135</v>
      </c>
      <c r="D26" s="55">
        <v>7</v>
      </c>
      <c r="E26" s="56">
        <v>1.8827326519630001E-3</v>
      </c>
    </row>
    <row r="27" spans="1:5" ht="15" customHeight="1">
      <c r="A27" s="30"/>
      <c r="B27" s="83"/>
      <c r="C27" s="54" t="s">
        <v>237</v>
      </c>
      <c r="D27" s="55">
        <v>6</v>
      </c>
      <c r="E27" s="56">
        <v>1.61377084454E-3</v>
      </c>
    </row>
    <row r="28" spans="1:5" ht="15" customHeight="1">
      <c r="A28" s="30"/>
      <c r="B28" s="83"/>
      <c r="C28" s="54" t="s">
        <v>239</v>
      </c>
      <c r="D28" s="55">
        <v>4</v>
      </c>
      <c r="E28" s="56">
        <v>1.0758472296930001E-3</v>
      </c>
    </row>
    <row r="29" spans="1:5" ht="15" customHeight="1">
      <c r="A29" s="30"/>
      <c r="B29" s="83"/>
      <c r="C29" s="54" t="s">
        <v>240</v>
      </c>
      <c r="D29" s="55">
        <v>4</v>
      </c>
      <c r="E29" s="56">
        <v>1.0758472296930001E-3</v>
      </c>
    </row>
    <row r="30" spans="1:5" ht="15" customHeight="1">
      <c r="A30" s="30"/>
      <c r="B30" s="83"/>
      <c r="C30" s="54" t="s">
        <v>136</v>
      </c>
      <c r="D30" s="55">
        <v>3</v>
      </c>
      <c r="E30" s="56">
        <v>8.0688542227000002E-4</v>
      </c>
    </row>
    <row r="31" spans="1:5" ht="15" customHeight="1">
      <c r="A31" s="30"/>
      <c r="B31" s="83"/>
      <c r="C31" s="54" t="s">
        <v>137</v>
      </c>
      <c r="D31" s="55">
        <v>2</v>
      </c>
      <c r="E31" s="56">
        <v>5.3792361484699997E-4</v>
      </c>
    </row>
    <row r="32" spans="1:5" ht="15" customHeight="1">
      <c r="A32" s="30"/>
      <c r="B32" s="83"/>
      <c r="C32" s="54" t="s">
        <v>241</v>
      </c>
      <c r="D32" s="55">
        <v>2</v>
      </c>
      <c r="E32" s="56">
        <v>5.3792361484699997E-4</v>
      </c>
    </row>
    <row r="33" spans="1:5" ht="15" customHeight="1">
      <c r="A33" s="30"/>
      <c r="B33" s="82"/>
      <c r="C33" s="67" t="s">
        <v>308</v>
      </c>
      <c r="D33" s="66">
        <v>279</v>
      </c>
      <c r="E33" s="68">
        <v>7.5040344271114001E-2</v>
      </c>
    </row>
    <row r="34" spans="1:5" ht="15" customHeight="1">
      <c r="A34" s="30"/>
      <c r="B34" s="81" t="s">
        <v>242</v>
      </c>
      <c r="C34" s="54" t="s">
        <v>131</v>
      </c>
      <c r="D34" s="55">
        <v>65</v>
      </c>
      <c r="E34" s="56">
        <v>1.7482517482517002E-2</v>
      </c>
    </row>
    <row r="35" spans="1:5" ht="15" customHeight="1">
      <c r="A35" s="30"/>
      <c r="B35" s="83"/>
      <c r="C35" s="54" t="s">
        <v>132</v>
      </c>
      <c r="D35" s="55">
        <v>42</v>
      </c>
      <c r="E35" s="56">
        <v>1.1296395911781E-2</v>
      </c>
    </row>
    <row r="36" spans="1:5" ht="15" customHeight="1">
      <c r="A36" s="30"/>
      <c r="B36" s="83"/>
      <c r="C36" s="54" t="s">
        <v>238</v>
      </c>
      <c r="D36" s="55">
        <v>29</v>
      </c>
      <c r="E36" s="56">
        <v>7.7998924152770004E-3</v>
      </c>
    </row>
    <row r="37" spans="1:5" ht="15" customHeight="1">
      <c r="A37" s="30"/>
      <c r="B37" s="83"/>
      <c r="C37" s="54" t="s">
        <v>133</v>
      </c>
      <c r="D37" s="55">
        <v>25</v>
      </c>
      <c r="E37" s="56">
        <v>6.7240451855840001E-3</v>
      </c>
    </row>
    <row r="38" spans="1:5" ht="15" customHeight="1">
      <c r="A38" s="30"/>
      <c r="B38" s="83"/>
      <c r="C38" s="54" t="s">
        <v>240</v>
      </c>
      <c r="D38" s="55">
        <v>17</v>
      </c>
      <c r="E38" s="56">
        <v>4.5723507261970003E-3</v>
      </c>
    </row>
    <row r="39" spans="1:5" ht="15" customHeight="1">
      <c r="A39" s="30"/>
      <c r="B39" s="83"/>
      <c r="C39" s="54" t="s">
        <v>136</v>
      </c>
      <c r="D39" s="55">
        <v>11</v>
      </c>
      <c r="E39" s="56">
        <v>2.9585798816569998E-3</v>
      </c>
    </row>
    <row r="40" spans="1:5" ht="15" customHeight="1">
      <c r="A40" s="30"/>
      <c r="B40" s="83"/>
      <c r="C40" s="54" t="s">
        <v>237</v>
      </c>
      <c r="D40" s="55">
        <v>9</v>
      </c>
      <c r="E40" s="56">
        <v>2.4206562668100001E-3</v>
      </c>
    </row>
    <row r="41" spans="1:5" ht="15" customHeight="1">
      <c r="A41" s="30"/>
      <c r="B41" s="83"/>
      <c r="C41" s="54" t="s">
        <v>241</v>
      </c>
      <c r="D41" s="55">
        <v>8</v>
      </c>
      <c r="E41" s="56">
        <v>2.1516944593869998E-3</v>
      </c>
    </row>
    <row r="42" spans="1:5" ht="15" customHeight="1">
      <c r="A42" s="30"/>
      <c r="B42" s="83"/>
      <c r="C42" s="54" t="s">
        <v>239</v>
      </c>
      <c r="D42" s="55">
        <v>5</v>
      </c>
      <c r="E42" s="56">
        <v>1.344809037117E-3</v>
      </c>
    </row>
    <row r="43" spans="1:5" ht="15" customHeight="1">
      <c r="A43" s="30"/>
      <c r="B43" s="83"/>
      <c r="C43" s="54" t="s">
        <v>137</v>
      </c>
      <c r="D43" s="55">
        <v>4</v>
      </c>
      <c r="E43" s="56">
        <v>1.0758472296930001E-3</v>
      </c>
    </row>
    <row r="44" spans="1:5" ht="15" customHeight="1">
      <c r="A44" s="30"/>
      <c r="B44" s="83"/>
      <c r="C44" s="54" t="s">
        <v>135</v>
      </c>
      <c r="D44" s="55">
        <v>4</v>
      </c>
      <c r="E44" s="56">
        <v>1.0758472296930001E-3</v>
      </c>
    </row>
    <row r="45" spans="1:5" ht="15" customHeight="1">
      <c r="A45" s="30"/>
      <c r="B45" s="82"/>
      <c r="C45" s="67" t="s">
        <v>308</v>
      </c>
      <c r="D45" s="66">
        <v>219</v>
      </c>
      <c r="E45" s="68">
        <v>5.8902635825713E-2</v>
      </c>
    </row>
    <row r="46" spans="1:5" ht="15" customHeight="1">
      <c r="A46" s="30"/>
      <c r="B46" s="81" t="s">
        <v>243</v>
      </c>
      <c r="C46" s="54" t="s">
        <v>132</v>
      </c>
      <c r="D46" s="55">
        <v>43</v>
      </c>
      <c r="E46" s="56">
        <v>1.1565357719204E-2</v>
      </c>
    </row>
    <row r="47" spans="1:5" ht="15" customHeight="1">
      <c r="A47" s="30"/>
      <c r="B47" s="83"/>
      <c r="C47" s="54" t="s">
        <v>133</v>
      </c>
      <c r="D47" s="55">
        <v>36</v>
      </c>
      <c r="E47" s="56">
        <v>9.6826250672400003E-3</v>
      </c>
    </row>
    <row r="48" spans="1:5" ht="15" customHeight="1">
      <c r="A48" s="30"/>
      <c r="B48" s="83"/>
      <c r="C48" s="54" t="s">
        <v>131</v>
      </c>
      <c r="D48" s="55">
        <v>22</v>
      </c>
      <c r="E48" s="56">
        <v>5.9171597633139996E-3</v>
      </c>
    </row>
    <row r="49" spans="1:5" ht="15" customHeight="1">
      <c r="A49" s="30"/>
      <c r="B49" s="83"/>
      <c r="C49" s="54" t="s">
        <v>237</v>
      </c>
      <c r="D49" s="55">
        <v>7</v>
      </c>
      <c r="E49" s="56">
        <v>1.8827326519630001E-3</v>
      </c>
    </row>
    <row r="50" spans="1:5" ht="15" customHeight="1">
      <c r="A50" s="30"/>
      <c r="B50" s="83"/>
      <c r="C50" s="54" t="s">
        <v>238</v>
      </c>
      <c r="D50" s="55">
        <v>6</v>
      </c>
      <c r="E50" s="56">
        <v>1.61377084454E-3</v>
      </c>
    </row>
    <row r="51" spans="1:5" ht="15" customHeight="1">
      <c r="A51" s="30"/>
      <c r="B51" s="83"/>
      <c r="C51" s="54" t="s">
        <v>137</v>
      </c>
      <c r="D51" s="55">
        <v>2</v>
      </c>
      <c r="E51" s="56">
        <v>5.3792361484699997E-4</v>
      </c>
    </row>
    <row r="52" spans="1:5" ht="15" customHeight="1">
      <c r="A52" s="30"/>
      <c r="B52" s="83"/>
      <c r="C52" s="54" t="s">
        <v>135</v>
      </c>
      <c r="D52" s="55">
        <v>2</v>
      </c>
      <c r="E52" s="56">
        <v>5.3792361484699997E-4</v>
      </c>
    </row>
    <row r="53" spans="1:5" ht="15" customHeight="1">
      <c r="A53" s="30"/>
      <c r="B53" s="83"/>
      <c r="C53" s="54" t="s">
        <v>239</v>
      </c>
      <c r="D53" s="55">
        <v>2</v>
      </c>
      <c r="E53" s="56">
        <v>5.3792361484699997E-4</v>
      </c>
    </row>
    <row r="54" spans="1:5" ht="15" customHeight="1">
      <c r="A54" s="30"/>
      <c r="B54" s="83"/>
      <c r="C54" s="54" t="s">
        <v>240</v>
      </c>
      <c r="D54" s="55">
        <v>2</v>
      </c>
      <c r="E54" s="56">
        <v>5.3792361484699997E-4</v>
      </c>
    </row>
    <row r="55" spans="1:5" ht="15" customHeight="1">
      <c r="A55" s="30"/>
      <c r="B55" s="82"/>
      <c r="C55" s="67" t="s">
        <v>308</v>
      </c>
      <c r="D55" s="66">
        <v>122</v>
      </c>
      <c r="E55" s="68">
        <v>3.2813340505647999E-2</v>
      </c>
    </row>
    <row r="56" spans="1:5" ht="15" customHeight="1">
      <c r="A56" s="30"/>
      <c r="B56" s="81" t="s">
        <v>232</v>
      </c>
      <c r="C56" s="54" t="s">
        <v>133</v>
      </c>
      <c r="D56" s="55">
        <v>46</v>
      </c>
      <c r="E56" s="56">
        <v>1.2372243141474001E-2</v>
      </c>
    </row>
    <row r="57" spans="1:5" ht="15" customHeight="1">
      <c r="A57" s="30"/>
      <c r="B57" s="83"/>
      <c r="C57" s="54" t="s">
        <v>131</v>
      </c>
      <c r="D57" s="55">
        <v>24</v>
      </c>
      <c r="E57" s="56">
        <v>6.4550833781600002E-3</v>
      </c>
    </row>
    <row r="58" spans="1:5" ht="15" customHeight="1">
      <c r="A58" s="30"/>
      <c r="B58" s="83"/>
      <c r="C58" s="54" t="s">
        <v>132</v>
      </c>
      <c r="D58" s="55">
        <v>18</v>
      </c>
      <c r="E58" s="56">
        <v>4.8413125336200001E-3</v>
      </c>
    </row>
    <row r="59" spans="1:5" ht="15" customHeight="1">
      <c r="A59" s="30"/>
      <c r="B59" s="83"/>
      <c r="C59" s="54" t="s">
        <v>137</v>
      </c>
      <c r="D59" s="55">
        <v>8</v>
      </c>
      <c r="E59" s="56">
        <v>2.1516944593869998E-3</v>
      </c>
    </row>
    <row r="60" spans="1:5" ht="15" customHeight="1">
      <c r="A60" s="30"/>
      <c r="B60" s="83"/>
      <c r="C60" s="54" t="s">
        <v>237</v>
      </c>
      <c r="D60" s="55">
        <v>5</v>
      </c>
      <c r="E60" s="56">
        <v>1.344809037117E-3</v>
      </c>
    </row>
    <row r="61" spans="1:5" ht="15" customHeight="1">
      <c r="A61" s="30"/>
      <c r="B61" s="83"/>
      <c r="C61" s="54" t="s">
        <v>238</v>
      </c>
      <c r="D61" s="55">
        <v>5</v>
      </c>
      <c r="E61" s="56">
        <v>1.344809037117E-3</v>
      </c>
    </row>
    <row r="62" spans="1:5" ht="15" customHeight="1">
      <c r="A62" s="30"/>
      <c r="B62" s="83"/>
      <c r="C62" s="54" t="s">
        <v>239</v>
      </c>
      <c r="D62" s="55">
        <v>4</v>
      </c>
      <c r="E62" s="56">
        <v>1.0758472296930001E-3</v>
      </c>
    </row>
    <row r="63" spans="1:5" ht="15" customHeight="1">
      <c r="A63" s="30"/>
      <c r="B63" s="83"/>
      <c r="C63" s="54" t="s">
        <v>135</v>
      </c>
      <c r="D63" s="55">
        <v>2</v>
      </c>
      <c r="E63" s="56">
        <v>5.3792361484699997E-4</v>
      </c>
    </row>
    <row r="64" spans="1:5" ht="15" customHeight="1">
      <c r="A64" s="30"/>
      <c r="B64" s="83"/>
      <c r="C64" s="54" t="s">
        <v>136</v>
      </c>
      <c r="D64" s="55">
        <v>2</v>
      </c>
      <c r="E64" s="56">
        <v>5.3792361484699997E-4</v>
      </c>
    </row>
    <row r="65" spans="1:5" ht="15" customHeight="1">
      <c r="A65" s="30"/>
      <c r="B65" s="82"/>
      <c r="C65" s="67" t="s">
        <v>308</v>
      </c>
      <c r="D65" s="66">
        <v>114</v>
      </c>
      <c r="E65" s="68">
        <v>3.0661646046260999E-2</v>
      </c>
    </row>
    <row r="66" spans="1:5" ht="15" customHeight="1">
      <c r="A66" s="30"/>
      <c r="B66" s="81" t="s">
        <v>245</v>
      </c>
      <c r="C66" s="54" t="s">
        <v>131</v>
      </c>
      <c r="D66" s="55">
        <v>26</v>
      </c>
      <c r="E66" s="56">
        <v>6.9930069930069999E-3</v>
      </c>
    </row>
    <row r="67" spans="1:5" ht="15" customHeight="1">
      <c r="A67" s="30"/>
      <c r="B67" s="83"/>
      <c r="C67" s="54" t="s">
        <v>133</v>
      </c>
      <c r="D67" s="55">
        <v>24</v>
      </c>
      <c r="E67" s="56">
        <v>6.4550833781600002E-3</v>
      </c>
    </row>
    <row r="68" spans="1:5" ht="15" customHeight="1">
      <c r="A68" s="30"/>
      <c r="B68" s="83"/>
      <c r="C68" s="54" t="s">
        <v>132</v>
      </c>
      <c r="D68" s="55">
        <v>18</v>
      </c>
      <c r="E68" s="56">
        <v>4.8413125336200001E-3</v>
      </c>
    </row>
    <row r="69" spans="1:5" ht="15" customHeight="1">
      <c r="A69" s="30"/>
      <c r="B69" s="83"/>
      <c r="C69" s="54" t="s">
        <v>237</v>
      </c>
      <c r="D69" s="55">
        <v>2</v>
      </c>
      <c r="E69" s="56">
        <v>5.3792361484699997E-4</v>
      </c>
    </row>
    <row r="70" spans="1:5" ht="15" customHeight="1">
      <c r="A70" s="30"/>
      <c r="B70" s="83"/>
      <c r="C70" s="54" t="s">
        <v>238</v>
      </c>
      <c r="D70" s="55">
        <v>2</v>
      </c>
      <c r="E70" s="56">
        <v>5.3792361484699997E-4</v>
      </c>
    </row>
    <row r="71" spans="1:5" ht="15" customHeight="1">
      <c r="A71" s="30"/>
      <c r="B71" s="83"/>
      <c r="C71" s="54" t="s">
        <v>135</v>
      </c>
      <c r="D71" s="55">
        <v>1</v>
      </c>
      <c r="E71" s="56">
        <v>2.68961807423E-4</v>
      </c>
    </row>
    <row r="72" spans="1:5" ht="15" customHeight="1">
      <c r="A72" s="30"/>
      <c r="B72" s="83"/>
      <c r="C72" s="54" t="s">
        <v>239</v>
      </c>
      <c r="D72" s="55">
        <v>1</v>
      </c>
      <c r="E72" s="56">
        <v>2.68961807423E-4</v>
      </c>
    </row>
    <row r="73" spans="1:5" ht="15" customHeight="1">
      <c r="A73" s="30"/>
      <c r="B73" s="82"/>
      <c r="C73" s="67" t="s">
        <v>308</v>
      </c>
      <c r="D73" s="66">
        <v>74</v>
      </c>
      <c r="E73" s="68">
        <v>1.9903173749327999E-2</v>
      </c>
    </row>
    <row r="74" spans="1:5" ht="15" customHeight="1">
      <c r="A74" s="30"/>
      <c r="B74" s="81" t="s">
        <v>244</v>
      </c>
      <c r="C74" s="54" t="s">
        <v>132</v>
      </c>
      <c r="D74" s="55">
        <v>17</v>
      </c>
      <c r="E74" s="56">
        <v>4.5723507261970003E-3</v>
      </c>
    </row>
    <row r="75" spans="1:5" ht="15" customHeight="1">
      <c r="A75" s="30"/>
      <c r="B75" s="83"/>
      <c r="C75" s="54" t="s">
        <v>131</v>
      </c>
      <c r="D75" s="55">
        <v>16</v>
      </c>
      <c r="E75" s="56">
        <v>4.3033889187739996E-3</v>
      </c>
    </row>
    <row r="76" spans="1:5" ht="15" customHeight="1">
      <c r="A76" s="30"/>
      <c r="B76" s="83"/>
      <c r="C76" s="54" t="s">
        <v>133</v>
      </c>
      <c r="D76" s="55">
        <v>11</v>
      </c>
      <c r="E76" s="56">
        <v>2.9585798816569998E-3</v>
      </c>
    </row>
    <row r="77" spans="1:5" ht="15" customHeight="1">
      <c r="A77" s="30"/>
      <c r="B77" s="83"/>
      <c r="C77" s="54" t="s">
        <v>135</v>
      </c>
      <c r="D77" s="55">
        <v>2</v>
      </c>
      <c r="E77" s="56">
        <v>5.3792361484699997E-4</v>
      </c>
    </row>
    <row r="78" spans="1:5" ht="15" customHeight="1">
      <c r="A78" s="30"/>
      <c r="B78" s="83"/>
      <c r="C78" s="54" t="s">
        <v>238</v>
      </c>
      <c r="D78" s="55">
        <v>2</v>
      </c>
      <c r="E78" s="56">
        <v>5.3792361484699997E-4</v>
      </c>
    </row>
    <row r="79" spans="1:5" ht="15" customHeight="1">
      <c r="A79" s="30"/>
      <c r="B79" s="83"/>
      <c r="C79" s="54" t="s">
        <v>237</v>
      </c>
      <c r="D79" s="55">
        <v>1</v>
      </c>
      <c r="E79" s="56">
        <v>2.68961807423E-4</v>
      </c>
    </row>
    <row r="80" spans="1:5" ht="15" customHeight="1">
      <c r="A80" s="30"/>
      <c r="B80" s="83"/>
      <c r="C80" s="54" t="s">
        <v>137</v>
      </c>
      <c r="D80" s="55">
        <v>1</v>
      </c>
      <c r="E80" s="56">
        <v>2.68961807423E-4</v>
      </c>
    </row>
    <row r="81" spans="1:5" ht="15" customHeight="1">
      <c r="A81" s="30"/>
      <c r="B81" s="83"/>
      <c r="C81" s="54" t="s">
        <v>136</v>
      </c>
      <c r="D81" s="55">
        <v>1</v>
      </c>
      <c r="E81" s="56">
        <v>2.68961807423E-4</v>
      </c>
    </row>
    <row r="82" spans="1:5" ht="15" customHeight="1">
      <c r="A82" s="30"/>
      <c r="B82" s="82"/>
      <c r="C82" s="67" t="s">
        <v>308</v>
      </c>
      <c r="D82" s="66">
        <v>51</v>
      </c>
      <c r="E82" s="68">
        <v>1.3717052178591E-2</v>
      </c>
    </row>
    <row r="83" spans="1:5" ht="15" customHeight="1">
      <c r="A83" s="30"/>
      <c r="B83" s="81" t="s">
        <v>205</v>
      </c>
      <c r="C83" s="54" t="s">
        <v>131</v>
      </c>
      <c r="D83" s="55">
        <v>18</v>
      </c>
      <c r="E83" s="56">
        <v>4.8413125336200001E-3</v>
      </c>
    </row>
    <row r="84" spans="1:5" ht="15" customHeight="1">
      <c r="A84" s="30"/>
      <c r="B84" s="83"/>
      <c r="C84" s="54" t="s">
        <v>132</v>
      </c>
      <c r="D84" s="55">
        <v>7</v>
      </c>
      <c r="E84" s="56">
        <v>1.8827326519630001E-3</v>
      </c>
    </row>
    <row r="85" spans="1:5" ht="15" customHeight="1">
      <c r="A85" s="30"/>
      <c r="B85" s="83"/>
      <c r="C85" s="54" t="s">
        <v>133</v>
      </c>
      <c r="D85" s="55">
        <v>7</v>
      </c>
      <c r="E85" s="56">
        <v>1.8827326519630001E-3</v>
      </c>
    </row>
    <row r="86" spans="1:5" ht="15" customHeight="1">
      <c r="A86" s="30"/>
      <c r="B86" s="83"/>
      <c r="C86" s="54" t="s">
        <v>135</v>
      </c>
      <c r="D86" s="55">
        <v>5</v>
      </c>
      <c r="E86" s="56">
        <v>1.344809037117E-3</v>
      </c>
    </row>
    <row r="87" spans="1:5" ht="15" customHeight="1">
      <c r="A87" s="30"/>
      <c r="B87" s="83"/>
      <c r="C87" s="54" t="s">
        <v>240</v>
      </c>
      <c r="D87" s="55">
        <v>4</v>
      </c>
      <c r="E87" s="56">
        <v>1.0758472296930001E-3</v>
      </c>
    </row>
    <row r="88" spans="1:5" ht="15" customHeight="1">
      <c r="A88" s="30"/>
      <c r="B88" s="83"/>
      <c r="C88" s="54" t="s">
        <v>238</v>
      </c>
      <c r="D88" s="55">
        <v>2</v>
      </c>
      <c r="E88" s="56">
        <v>5.3792361484699997E-4</v>
      </c>
    </row>
    <row r="89" spans="1:5" ht="15" customHeight="1">
      <c r="A89" s="30"/>
      <c r="B89" s="82"/>
      <c r="C89" s="67" t="s">
        <v>308</v>
      </c>
      <c r="D89" s="66">
        <v>43</v>
      </c>
      <c r="E89" s="68">
        <v>1.1565357719204E-2</v>
      </c>
    </row>
    <row r="90" spans="1:5" ht="15" customHeight="1">
      <c r="A90" s="30"/>
      <c r="B90" s="81" t="s">
        <v>203</v>
      </c>
      <c r="C90" s="54" t="s">
        <v>131</v>
      </c>
      <c r="D90" s="55">
        <v>16</v>
      </c>
      <c r="E90" s="56">
        <v>4.3033889187739996E-3</v>
      </c>
    </row>
    <row r="91" spans="1:5" ht="15" customHeight="1">
      <c r="A91" s="30"/>
      <c r="B91" s="83"/>
      <c r="C91" s="54" t="s">
        <v>133</v>
      </c>
      <c r="D91" s="55">
        <v>15</v>
      </c>
      <c r="E91" s="56">
        <v>4.0344271113499997E-3</v>
      </c>
    </row>
    <row r="92" spans="1:5" ht="15" customHeight="1">
      <c r="A92" s="30"/>
      <c r="B92" s="83"/>
      <c r="C92" s="54" t="s">
        <v>132</v>
      </c>
      <c r="D92" s="55">
        <v>8</v>
      </c>
      <c r="E92" s="56">
        <v>2.1516944593869998E-3</v>
      </c>
    </row>
    <row r="93" spans="1:5" ht="15" customHeight="1">
      <c r="A93" s="30"/>
      <c r="B93" s="83"/>
      <c r="C93" s="54" t="s">
        <v>240</v>
      </c>
      <c r="D93" s="55">
        <v>2</v>
      </c>
      <c r="E93" s="56">
        <v>5.3792361484699997E-4</v>
      </c>
    </row>
    <row r="94" spans="1:5" ht="15" customHeight="1">
      <c r="A94" s="30"/>
      <c r="B94" s="83"/>
      <c r="C94" s="54" t="s">
        <v>238</v>
      </c>
      <c r="D94" s="55">
        <v>1</v>
      </c>
      <c r="E94" s="56">
        <v>2.68961807423E-4</v>
      </c>
    </row>
    <row r="95" spans="1:5" ht="15" customHeight="1">
      <c r="A95" s="30"/>
      <c r="B95" s="82"/>
      <c r="C95" s="67" t="s">
        <v>308</v>
      </c>
      <c r="D95" s="66">
        <v>42</v>
      </c>
      <c r="E95" s="68">
        <v>1.1296395911781E-2</v>
      </c>
    </row>
    <row r="96" spans="1:5" ht="15" customHeight="1">
      <c r="A96" s="30"/>
      <c r="B96" s="81" t="s">
        <v>195</v>
      </c>
      <c r="C96" s="54" t="s">
        <v>131</v>
      </c>
      <c r="D96" s="55">
        <v>11</v>
      </c>
      <c r="E96" s="56">
        <v>2.9585798816569998E-3</v>
      </c>
    </row>
    <row r="97" spans="1:5" ht="15" customHeight="1">
      <c r="A97" s="30"/>
      <c r="B97" s="83"/>
      <c r="C97" s="54" t="s">
        <v>132</v>
      </c>
      <c r="D97" s="55">
        <v>11</v>
      </c>
      <c r="E97" s="56">
        <v>2.9585798816569998E-3</v>
      </c>
    </row>
    <row r="98" spans="1:5" ht="15" customHeight="1">
      <c r="A98" s="30"/>
      <c r="B98" s="83"/>
      <c r="C98" s="54" t="s">
        <v>133</v>
      </c>
      <c r="D98" s="55">
        <v>6</v>
      </c>
      <c r="E98" s="56">
        <v>1.61377084454E-3</v>
      </c>
    </row>
    <row r="99" spans="1:5" ht="15" customHeight="1">
      <c r="A99" s="30"/>
      <c r="B99" s="83"/>
      <c r="C99" s="54" t="s">
        <v>136</v>
      </c>
      <c r="D99" s="55">
        <v>4</v>
      </c>
      <c r="E99" s="56">
        <v>1.0758472296930001E-3</v>
      </c>
    </row>
    <row r="100" spans="1:5" ht="15" customHeight="1">
      <c r="A100" s="30"/>
      <c r="B100" s="83"/>
      <c r="C100" s="54" t="s">
        <v>241</v>
      </c>
      <c r="D100" s="55">
        <v>2</v>
      </c>
      <c r="E100" s="56">
        <v>5.3792361484699997E-4</v>
      </c>
    </row>
    <row r="101" spans="1:5" ht="15" customHeight="1">
      <c r="A101" s="30"/>
      <c r="B101" s="83"/>
      <c r="C101" s="54" t="s">
        <v>238</v>
      </c>
      <c r="D101" s="55">
        <v>2</v>
      </c>
      <c r="E101" s="56">
        <v>5.3792361484699997E-4</v>
      </c>
    </row>
    <row r="102" spans="1:5" ht="15" customHeight="1">
      <c r="A102" s="30"/>
      <c r="B102" s="83"/>
      <c r="C102" s="54" t="s">
        <v>237</v>
      </c>
      <c r="D102" s="55">
        <v>1</v>
      </c>
      <c r="E102" s="56">
        <v>2.68961807423E-4</v>
      </c>
    </row>
    <row r="103" spans="1:5" ht="15" customHeight="1">
      <c r="A103" s="30"/>
      <c r="B103" s="83"/>
      <c r="C103" s="54" t="s">
        <v>137</v>
      </c>
      <c r="D103" s="55">
        <v>1</v>
      </c>
      <c r="E103" s="56">
        <v>2.68961807423E-4</v>
      </c>
    </row>
    <row r="104" spans="1:5" ht="15" customHeight="1">
      <c r="A104" s="30"/>
      <c r="B104" s="83"/>
      <c r="C104" s="54" t="s">
        <v>135</v>
      </c>
      <c r="D104" s="55">
        <v>1</v>
      </c>
      <c r="E104" s="56">
        <v>2.68961807423E-4</v>
      </c>
    </row>
    <row r="105" spans="1:5" ht="15" customHeight="1">
      <c r="A105" s="30"/>
      <c r="B105" s="83"/>
      <c r="C105" s="54" t="s">
        <v>239</v>
      </c>
      <c r="D105" s="55">
        <v>1</v>
      </c>
      <c r="E105" s="56">
        <v>2.68961807423E-4</v>
      </c>
    </row>
    <row r="106" spans="1:5" ht="15" customHeight="1">
      <c r="A106" s="30"/>
      <c r="B106" s="83"/>
      <c r="C106" s="54" t="s">
        <v>240</v>
      </c>
      <c r="D106" s="55">
        <v>1</v>
      </c>
      <c r="E106" s="56">
        <v>2.68961807423E-4</v>
      </c>
    </row>
    <row r="107" spans="1:5" ht="15" customHeight="1">
      <c r="A107" s="30"/>
      <c r="B107" s="82"/>
      <c r="C107" s="67" t="s">
        <v>308</v>
      </c>
      <c r="D107" s="66">
        <v>41</v>
      </c>
      <c r="E107" s="68">
        <v>1.1027434104357E-2</v>
      </c>
    </row>
    <row r="108" spans="1:5" ht="15" customHeight="1">
      <c r="A108" s="30"/>
      <c r="B108" s="81" t="s">
        <v>225</v>
      </c>
      <c r="C108" s="54" t="s">
        <v>133</v>
      </c>
      <c r="D108" s="55">
        <v>15</v>
      </c>
      <c r="E108" s="56">
        <v>4.0344271113499997E-3</v>
      </c>
    </row>
    <row r="109" spans="1:5" ht="15" customHeight="1">
      <c r="A109" s="30"/>
      <c r="B109" s="83"/>
      <c r="C109" s="54" t="s">
        <v>131</v>
      </c>
      <c r="D109" s="55">
        <v>10</v>
      </c>
      <c r="E109" s="56">
        <v>2.6896180742329999E-3</v>
      </c>
    </row>
    <row r="110" spans="1:5" ht="15" customHeight="1">
      <c r="A110" s="30"/>
      <c r="B110" s="83"/>
      <c r="C110" s="54" t="s">
        <v>132</v>
      </c>
      <c r="D110" s="55">
        <v>5</v>
      </c>
      <c r="E110" s="56">
        <v>1.344809037117E-3</v>
      </c>
    </row>
    <row r="111" spans="1:5" ht="15" customHeight="1">
      <c r="A111" s="30"/>
      <c r="B111" s="83"/>
      <c r="C111" s="54" t="s">
        <v>238</v>
      </c>
      <c r="D111" s="55">
        <v>5</v>
      </c>
      <c r="E111" s="56">
        <v>1.344809037117E-3</v>
      </c>
    </row>
    <row r="112" spans="1:5" ht="15" customHeight="1">
      <c r="A112" s="30"/>
      <c r="B112" s="83"/>
      <c r="C112" s="54" t="s">
        <v>137</v>
      </c>
      <c r="D112" s="55">
        <v>2</v>
      </c>
      <c r="E112" s="56">
        <v>5.3792361484699997E-4</v>
      </c>
    </row>
    <row r="113" spans="1:5" ht="15" customHeight="1">
      <c r="A113" s="30"/>
      <c r="B113" s="83"/>
      <c r="C113" s="54" t="s">
        <v>135</v>
      </c>
      <c r="D113" s="55">
        <v>2</v>
      </c>
      <c r="E113" s="56">
        <v>5.3792361484699997E-4</v>
      </c>
    </row>
    <row r="114" spans="1:5" ht="15" customHeight="1">
      <c r="A114" s="30"/>
      <c r="B114" s="83"/>
      <c r="C114" s="54" t="s">
        <v>136</v>
      </c>
      <c r="D114" s="55">
        <v>1</v>
      </c>
      <c r="E114" s="56">
        <v>2.68961807423E-4</v>
      </c>
    </row>
    <row r="115" spans="1:5" ht="15" customHeight="1">
      <c r="A115" s="30"/>
      <c r="B115" s="82"/>
      <c r="C115" s="67" t="s">
        <v>308</v>
      </c>
      <c r="D115" s="66">
        <v>40</v>
      </c>
      <c r="E115" s="68">
        <v>1.0758472296934E-2</v>
      </c>
    </row>
    <row r="116" spans="1:5" ht="15" customHeight="1">
      <c r="A116" s="30"/>
      <c r="B116" s="81" t="s">
        <v>224</v>
      </c>
      <c r="C116" s="54" t="s">
        <v>131</v>
      </c>
      <c r="D116" s="55">
        <v>12</v>
      </c>
      <c r="E116" s="56">
        <v>3.2275416890800001E-3</v>
      </c>
    </row>
    <row r="117" spans="1:5" ht="15" customHeight="1">
      <c r="A117" s="30"/>
      <c r="B117" s="83"/>
      <c r="C117" s="54" t="s">
        <v>133</v>
      </c>
      <c r="D117" s="55">
        <v>6</v>
      </c>
      <c r="E117" s="56">
        <v>1.61377084454E-3</v>
      </c>
    </row>
    <row r="118" spans="1:5" ht="15" customHeight="1">
      <c r="A118" s="30"/>
      <c r="B118" s="83"/>
      <c r="C118" s="54" t="s">
        <v>238</v>
      </c>
      <c r="D118" s="55">
        <v>4</v>
      </c>
      <c r="E118" s="56">
        <v>1.0758472296930001E-3</v>
      </c>
    </row>
    <row r="119" spans="1:5" ht="15" customHeight="1">
      <c r="A119" s="30"/>
      <c r="B119" s="83"/>
      <c r="C119" s="54" t="s">
        <v>132</v>
      </c>
      <c r="D119" s="55">
        <v>3</v>
      </c>
      <c r="E119" s="56">
        <v>8.0688542227000002E-4</v>
      </c>
    </row>
    <row r="120" spans="1:5" ht="15" customHeight="1">
      <c r="A120" s="30"/>
      <c r="B120" s="83"/>
      <c r="C120" s="54" t="s">
        <v>137</v>
      </c>
      <c r="D120" s="55">
        <v>2</v>
      </c>
      <c r="E120" s="56">
        <v>5.3792361484699997E-4</v>
      </c>
    </row>
    <row r="121" spans="1:5" ht="15" customHeight="1">
      <c r="A121" s="30"/>
      <c r="B121" s="83"/>
      <c r="C121" s="54" t="s">
        <v>135</v>
      </c>
      <c r="D121" s="55">
        <v>2</v>
      </c>
      <c r="E121" s="56">
        <v>5.3792361484699997E-4</v>
      </c>
    </row>
    <row r="122" spans="1:5" ht="15" customHeight="1">
      <c r="A122" s="30"/>
      <c r="B122" s="83"/>
      <c r="C122" s="54" t="s">
        <v>239</v>
      </c>
      <c r="D122" s="55">
        <v>2</v>
      </c>
      <c r="E122" s="56">
        <v>5.3792361484699997E-4</v>
      </c>
    </row>
    <row r="123" spans="1:5" ht="15" customHeight="1">
      <c r="A123" s="30"/>
      <c r="B123" s="83"/>
      <c r="C123" s="54" t="s">
        <v>237</v>
      </c>
      <c r="D123" s="55">
        <v>1</v>
      </c>
      <c r="E123" s="56">
        <v>2.68961807423E-4</v>
      </c>
    </row>
    <row r="124" spans="1:5" ht="15" customHeight="1">
      <c r="A124" s="30"/>
      <c r="B124" s="83"/>
      <c r="C124" s="54" t="s">
        <v>136</v>
      </c>
      <c r="D124" s="55">
        <v>1</v>
      </c>
      <c r="E124" s="56">
        <v>2.68961807423E-4</v>
      </c>
    </row>
    <row r="125" spans="1:5" ht="15" customHeight="1">
      <c r="A125" s="30"/>
      <c r="B125" s="83"/>
      <c r="C125" s="54" t="s">
        <v>240</v>
      </c>
      <c r="D125" s="55">
        <v>1</v>
      </c>
      <c r="E125" s="56">
        <v>2.68961807423E-4</v>
      </c>
    </row>
    <row r="126" spans="1:5" ht="15" customHeight="1">
      <c r="A126" s="30"/>
      <c r="B126" s="82"/>
      <c r="C126" s="67" t="s">
        <v>308</v>
      </c>
      <c r="D126" s="66">
        <v>34</v>
      </c>
      <c r="E126" s="68">
        <v>9.1447014523940006E-3</v>
      </c>
    </row>
    <row r="127" spans="1:5" ht="15" customHeight="1">
      <c r="A127" s="30"/>
      <c r="B127" s="81" t="s">
        <v>201</v>
      </c>
      <c r="C127" s="54" t="s">
        <v>133</v>
      </c>
      <c r="D127" s="55">
        <v>14</v>
      </c>
      <c r="E127" s="56">
        <v>3.7654653039269998E-3</v>
      </c>
    </row>
    <row r="128" spans="1:5" ht="15" customHeight="1">
      <c r="A128" s="30"/>
      <c r="B128" s="83"/>
      <c r="C128" s="54" t="s">
        <v>132</v>
      </c>
      <c r="D128" s="55">
        <v>7</v>
      </c>
      <c r="E128" s="56">
        <v>1.8827326519630001E-3</v>
      </c>
    </row>
    <row r="129" spans="1:5" ht="15" customHeight="1">
      <c r="A129" s="30"/>
      <c r="B129" s="83"/>
      <c r="C129" s="54" t="s">
        <v>131</v>
      </c>
      <c r="D129" s="55">
        <v>6</v>
      </c>
      <c r="E129" s="56">
        <v>1.61377084454E-3</v>
      </c>
    </row>
    <row r="130" spans="1:5" ht="15" customHeight="1">
      <c r="A130" s="30"/>
      <c r="B130" s="83"/>
      <c r="C130" s="54" t="s">
        <v>136</v>
      </c>
      <c r="D130" s="55">
        <v>2</v>
      </c>
      <c r="E130" s="56">
        <v>5.3792361484699997E-4</v>
      </c>
    </row>
    <row r="131" spans="1:5" ht="15" customHeight="1">
      <c r="A131" s="30"/>
      <c r="B131" s="83"/>
      <c r="C131" s="54" t="s">
        <v>135</v>
      </c>
      <c r="D131" s="55">
        <v>1</v>
      </c>
      <c r="E131" s="56">
        <v>2.68961807423E-4</v>
      </c>
    </row>
    <row r="132" spans="1:5" ht="15" customHeight="1">
      <c r="A132" s="30"/>
      <c r="B132" s="83"/>
      <c r="C132" s="54" t="s">
        <v>241</v>
      </c>
      <c r="D132" s="55">
        <v>1</v>
      </c>
      <c r="E132" s="56">
        <v>2.68961807423E-4</v>
      </c>
    </row>
    <row r="133" spans="1:5" ht="15" customHeight="1">
      <c r="A133" s="30"/>
      <c r="B133" s="83"/>
      <c r="C133" s="54" t="s">
        <v>239</v>
      </c>
      <c r="D133" s="55">
        <v>1</v>
      </c>
      <c r="E133" s="56">
        <v>2.68961807423E-4</v>
      </c>
    </row>
    <row r="134" spans="1:5" ht="15" customHeight="1">
      <c r="A134" s="30"/>
      <c r="B134" s="82"/>
      <c r="C134" s="67" t="s">
        <v>308</v>
      </c>
      <c r="D134" s="66">
        <v>32</v>
      </c>
      <c r="E134" s="68">
        <v>8.606777837547E-3</v>
      </c>
    </row>
    <row r="135" spans="1:5" ht="15" customHeight="1">
      <c r="A135" s="30"/>
      <c r="B135" s="81" t="s">
        <v>202</v>
      </c>
      <c r="C135" s="54" t="s">
        <v>131</v>
      </c>
      <c r="D135" s="55">
        <v>9</v>
      </c>
      <c r="E135" s="56">
        <v>2.4206562668100001E-3</v>
      </c>
    </row>
    <row r="136" spans="1:5" ht="15" customHeight="1">
      <c r="A136" s="30"/>
      <c r="B136" s="83"/>
      <c r="C136" s="54" t="s">
        <v>132</v>
      </c>
      <c r="D136" s="55">
        <v>9</v>
      </c>
      <c r="E136" s="56">
        <v>2.4206562668100001E-3</v>
      </c>
    </row>
    <row r="137" spans="1:5" ht="15" customHeight="1">
      <c r="A137" s="30"/>
      <c r="B137" s="83"/>
      <c r="C137" s="54" t="s">
        <v>133</v>
      </c>
      <c r="D137" s="55">
        <v>7</v>
      </c>
      <c r="E137" s="56">
        <v>1.8827326519630001E-3</v>
      </c>
    </row>
    <row r="138" spans="1:5" ht="15" customHeight="1">
      <c r="A138" s="30"/>
      <c r="B138" s="83"/>
      <c r="C138" s="54" t="s">
        <v>237</v>
      </c>
      <c r="D138" s="55">
        <v>2</v>
      </c>
      <c r="E138" s="56">
        <v>5.3792361484699997E-4</v>
      </c>
    </row>
    <row r="139" spans="1:5" ht="15" customHeight="1">
      <c r="A139" s="30"/>
      <c r="B139" s="83"/>
      <c r="C139" s="54" t="s">
        <v>238</v>
      </c>
      <c r="D139" s="55">
        <v>2</v>
      </c>
      <c r="E139" s="56">
        <v>5.3792361484699997E-4</v>
      </c>
    </row>
    <row r="140" spans="1:5" ht="15" customHeight="1">
      <c r="A140" s="30"/>
      <c r="B140" s="83"/>
      <c r="C140" s="54" t="s">
        <v>135</v>
      </c>
      <c r="D140" s="55">
        <v>1</v>
      </c>
      <c r="E140" s="56">
        <v>2.68961807423E-4</v>
      </c>
    </row>
    <row r="141" spans="1:5" ht="15" customHeight="1">
      <c r="A141" s="30"/>
      <c r="B141" s="83"/>
      <c r="C141" s="54" t="s">
        <v>136</v>
      </c>
      <c r="D141" s="55">
        <v>1</v>
      </c>
      <c r="E141" s="56">
        <v>2.68961807423E-4</v>
      </c>
    </row>
    <row r="142" spans="1:5" ht="15" customHeight="1">
      <c r="A142" s="30"/>
      <c r="B142" s="82"/>
      <c r="C142" s="67" t="s">
        <v>308</v>
      </c>
      <c r="D142" s="66">
        <v>31</v>
      </c>
      <c r="E142" s="68">
        <v>8.3378160301240001E-3</v>
      </c>
    </row>
    <row r="143" spans="1:5" ht="15" customHeight="1">
      <c r="A143" s="30"/>
      <c r="B143" s="81" t="s">
        <v>214</v>
      </c>
      <c r="C143" s="54" t="s">
        <v>133</v>
      </c>
      <c r="D143" s="55">
        <v>11</v>
      </c>
      <c r="E143" s="56">
        <v>2.9585798816569998E-3</v>
      </c>
    </row>
    <row r="144" spans="1:5" ht="15" customHeight="1">
      <c r="A144" s="30"/>
      <c r="B144" s="83"/>
      <c r="C144" s="54" t="s">
        <v>237</v>
      </c>
      <c r="D144" s="55">
        <v>9</v>
      </c>
      <c r="E144" s="56">
        <v>2.4206562668100001E-3</v>
      </c>
    </row>
    <row r="145" spans="1:5" ht="15" customHeight="1">
      <c r="A145" s="30"/>
      <c r="B145" s="83"/>
      <c r="C145" s="54" t="s">
        <v>131</v>
      </c>
      <c r="D145" s="55">
        <v>5</v>
      </c>
      <c r="E145" s="56">
        <v>1.344809037117E-3</v>
      </c>
    </row>
    <row r="146" spans="1:5" ht="15" customHeight="1">
      <c r="A146" s="30"/>
      <c r="B146" s="83"/>
      <c r="C146" s="54" t="s">
        <v>238</v>
      </c>
      <c r="D146" s="55">
        <v>2</v>
      </c>
      <c r="E146" s="56">
        <v>5.3792361484699997E-4</v>
      </c>
    </row>
    <row r="147" spans="1:5" ht="15" customHeight="1">
      <c r="A147" s="30"/>
      <c r="B147" s="83"/>
      <c r="C147" s="54" t="s">
        <v>137</v>
      </c>
      <c r="D147" s="55">
        <v>1</v>
      </c>
      <c r="E147" s="56">
        <v>2.68961807423E-4</v>
      </c>
    </row>
    <row r="148" spans="1:5" ht="15" customHeight="1">
      <c r="A148" s="30"/>
      <c r="B148" s="83"/>
      <c r="C148" s="54" t="s">
        <v>136</v>
      </c>
      <c r="D148" s="55">
        <v>1</v>
      </c>
      <c r="E148" s="56">
        <v>2.68961807423E-4</v>
      </c>
    </row>
    <row r="149" spans="1:5" ht="15" customHeight="1">
      <c r="A149" s="30"/>
      <c r="B149" s="83"/>
      <c r="C149" s="54" t="s">
        <v>239</v>
      </c>
      <c r="D149" s="55">
        <v>1</v>
      </c>
      <c r="E149" s="56">
        <v>2.68961807423E-4</v>
      </c>
    </row>
    <row r="150" spans="1:5" ht="15" customHeight="1">
      <c r="A150" s="30"/>
      <c r="B150" s="83"/>
      <c r="C150" s="54" t="s">
        <v>132</v>
      </c>
      <c r="D150" s="55">
        <v>1</v>
      </c>
      <c r="E150" s="56">
        <v>2.68961807423E-4</v>
      </c>
    </row>
    <row r="151" spans="1:5" ht="15" customHeight="1">
      <c r="A151" s="30"/>
      <c r="B151" s="82"/>
      <c r="C151" s="67" t="s">
        <v>308</v>
      </c>
      <c r="D151" s="66">
        <v>31</v>
      </c>
      <c r="E151" s="68">
        <v>8.3378160301240001E-3</v>
      </c>
    </row>
    <row r="152" spans="1:5" ht="15" customHeight="1">
      <c r="A152" s="30"/>
      <c r="B152" s="81" t="s">
        <v>222</v>
      </c>
      <c r="C152" s="54" t="s">
        <v>131</v>
      </c>
      <c r="D152" s="55">
        <v>10</v>
      </c>
      <c r="E152" s="56">
        <v>2.6896180742329999E-3</v>
      </c>
    </row>
    <row r="153" spans="1:5" ht="15" customHeight="1">
      <c r="A153" s="30"/>
      <c r="B153" s="83"/>
      <c r="C153" s="54" t="s">
        <v>132</v>
      </c>
      <c r="D153" s="55">
        <v>5</v>
      </c>
      <c r="E153" s="56">
        <v>1.344809037117E-3</v>
      </c>
    </row>
    <row r="154" spans="1:5" ht="15" customHeight="1">
      <c r="A154" s="30"/>
      <c r="B154" s="83"/>
      <c r="C154" s="54" t="s">
        <v>133</v>
      </c>
      <c r="D154" s="55">
        <v>3</v>
      </c>
      <c r="E154" s="56">
        <v>8.0688542227000002E-4</v>
      </c>
    </row>
    <row r="155" spans="1:5" ht="15" customHeight="1">
      <c r="A155" s="30"/>
      <c r="B155" s="83"/>
      <c r="C155" s="54" t="s">
        <v>237</v>
      </c>
      <c r="D155" s="55">
        <v>1</v>
      </c>
      <c r="E155" s="56">
        <v>2.68961807423E-4</v>
      </c>
    </row>
    <row r="156" spans="1:5" ht="15" customHeight="1">
      <c r="A156" s="30"/>
      <c r="B156" s="83"/>
      <c r="C156" s="54" t="s">
        <v>239</v>
      </c>
      <c r="D156" s="55">
        <v>1</v>
      </c>
      <c r="E156" s="56">
        <v>2.68961807423E-4</v>
      </c>
    </row>
    <row r="157" spans="1:5" ht="15" customHeight="1">
      <c r="A157" s="30"/>
      <c r="B157" s="83"/>
      <c r="C157" s="54" t="s">
        <v>238</v>
      </c>
      <c r="D157" s="55">
        <v>1</v>
      </c>
      <c r="E157" s="56">
        <v>2.68961807423E-4</v>
      </c>
    </row>
    <row r="158" spans="1:5" ht="15" customHeight="1">
      <c r="A158" s="30"/>
      <c r="B158" s="82"/>
      <c r="C158" s="67" t="s">
        <v>308</v>
      </c>
      <c r="D158" s="66">
        <v>21</v>
      </c>
      <c r="E158" s="68">
        <v>5.6481979558899997E-3</v>
      </c>
    </row>
    <row r="159" spans="1:5" ht="15" customHeight="1">
      <c r="A159" s="30"/>
      <c r="B159" s="81" t="s">
        <v>216</v>
      </c>
      <c r="C159" s="54" t="s">
        <v>133</v>
      </c>
      <c r="D159" s="55">
        <v>7</v>
      </c>
      <c r="E159" s="56">
        <v>1.8827326519630001E-3</v>
      </c>
    </row>
    <row r="160" spans="1:5" ht="15" customHeight="1">
      <c r="A160" s="30"/>
      <c r="B160" s="83"/>
      <c r="C160" s="54" t="s">
        <v>131</v>
      </c>
      <c r="D160" s="55">
        <v>4</v>
      </c>
      <c r="E160" s="56">
        <v>1.0758472296930001E-3</v>
      </c>
    </row>
    <row r="161" spans="1:5" ht="15" customHeight="1">
      <c r="A161" s="30"/>
      <c r="B161" s="83"/>
      <c r="C161" s="54" t="s">
        <v>132</v>
      </c>
      <c r="D161" s="55">
        <v>4</v>
      </c>
      <c r="E161" s="56">
        <v>1.0758472296930001E-3</v>
      </c>
    </row>
    <row r="162" spans="1:5" ht="15" customHeight="1">
      <c r="A162" s="30"/>
      <c r="B162" s="83"/>
      <c r="C162" s="54" t="s">
        <v>135</v>
      </c>
      <c r="D162" s="55">
        <v>2</v>
      </c>
      <c r="E162" s="56">
        <v>5.3792361484699997E-4</v>
      </c>
    </row>
    <row r="163" spans="1:5" ht="15" customHeight="1">
      <c r="A163" s="30"/>
      <c r="B163" s="83"/>
      <c r="C163" s="54" t="s">
        <v>237</v>
      </c>
      <c r="D163" s="55">
        <v>1</v>
      </c>
      <c r="E163" s="56">
        <v>2.68961807423E-4</v>
      </c>
    </row>
    <row r="164" spans="1:5" ht="15" customHeight="1">
      <c r="A164" s="30"/>
      <c r="B164" s="83"/>
      <c r="C164" s="54" t="s">
        <v>136</v>
      </c>
      <c r="D164" s="55">
        <v>1</v>
      </c>
      <c r="E164" s="56">
        <v>2.68961807423E-4</v>
      </c>
    </row>
    <row r="165" spans="1:5" ht="15" customHeight="1">
      <c r="A165" s="30"/>
      <c r="B165" s="83"/>
      <c r="C165" s="54" t="s">
        <v>239</v>
      </c>
      <c r="D165" s="55">
        <v>1</v>
      </c>
      <c r="E165" s="56">
        <v>2.68961807423E-4</v>
      </c>
    </row>
    <row r="166" spans="1:5" ht="15" customHeight="1">
      <c r="A166" s="30"/>
      <c r="B166" s="82"/>
      <c r="C166" s="67" t="s">
        <v>308</v>
      </c>
      <c r="D166" s="66">
        <v>20</v>
      </c>
      <c r="E166" s="68">
        <v>5.3792361484669999E-3</v>
      </c>
    </row>
    <row r="167" spans="1:5" ht="15" customHeight="1">
      <c r="A167" s="30"/>
      <c r="B167" s="81" t="s">
        <v>207</v>
      </c>
      <c r="C167" s="54" t="s">
        <v>133</v>
      </c>
      <c r="D167" s="55">
        <v>8</v>
      </c>
      <c r="E167" s="56">
        <v>2.1516944593869998E-3</v>
      </c>
    </row>
    <row r="168" spans="1:5" ht="15" customHeight="1">
      <c r="A168" s="30"/>
      <c r="B168" s="83"/>
      <c r="C168" s="54" t="s">
        <v>131</v>
      </c>
      <c r="D168" s="55">
        <v>5</v>
      </c>
      <c r="E168" s="56">
        <v>1.344809037117E-3</v>
      </c>
    </row>
    <row r="169" spans="1:5" ht="15" customHeight="1">
      <c r="A169" s="30"/>
      <c r="B169" s="83"/>
      <c r="C169" s="54" t="s">
        <v>237</v>
      </c>
      <c r="D169" s="55">
        <v>1</v>
      </c>
      <c r="E169" s="56">
        <v>2.68961807423E-4</v>
      </c>
    </row>
    <row r="170" spans="1:5" ht="15" customHeight="1">
      <c r="A170" s="30"/>
      <c r="B170" s="83"/>
      <c r="C170" s="54" t="s">
        <v>239</v>
      </c>
      <c r="D170" s="55">
        <v>1</v>
      </c>
      <c r="E170" s="56">
        <v>2.68961807423E-4</v>
      </c>
    </row>
    <row r="171" spans="1:5" ht="15" customHeight="1">
      <c r="A171" s="30"/>
      <c r="B171" s="83"/>
      <c r="C171" s="54" t="s">
        <v>132</v>
      </c>
      <c r="D171" s="55">
        <v>1</v>
      </c>
      <c r="E171" s="56">
        <v>2.68961807423E-4</v>
      </c>
    </row>
    <row r="172" spans="1:5" ht="15" customHeight="1">
      <c r="A172" s="30"/>
      <c r="B172" s="83"/>
      <c r="C172" s="54" t="s">
        <v>240</v>
      </c>
      <c r="D172" s="55">
        <v>1</v>
      </c>
      <c r="E172" s="56">
        <v>2.68961807423E-4</v>
      </c>
    </row>
    <row r="173" spans="1:5" ht="15" customHeight="1">
      <c r="A173" s="30"/>
      <c r="B173" s="83"/>
      <c r="C173" s="54" t="s">
        <v>238</v>
      </c>
      <c r="D173" s="55">
        <v>1</v>
      </c>
      <c r="E173" s="56">
        <v>2.68961807423E-4</v>
      </c>
    </row>
    <row r="174" spans="1:5" ht="15" customHeight="1">
      <c r="A174" s="30"/>
      <c r="B174" s="82"/>
      <c r="C174" s="67" t="s">
        <v>308</v>
      </c>
      <c r="D174" s="66">
        <v>18</v>
      </c>
      <c r="E174" s="68">
        <v>4.8413125336200001E-3</v>
      </c>
    </row>
    <row r="175" spans="1:5" ht="15" customHeight="1">
      <c r="A175" s="30"/>
      <c r="B175" s="81" t="s">
        <v>223</v>
      </c>
      <c r="C175" s="54" t="s">
        <v>131</v>
      </c>
      <c r="D175" s="55">
        <v>7</v>
      </c>
      <c r="E175" s="56">
        <v>1.8827326519630001E-3</v>
      </c>
    </row>
    <row r="176" spans="1:5" ht="15" customHeight="1">
      <c r="A176" s="30"/>
      <c r="B176" s="83"/>
      <c r="C176" s="54" t="s">
        <v>132</v>
      </c>
      <c r="D176" s="55">
        <v>6</v>
      </c>
      <c r="E176" s="56">
        <v>1.61377084454E-3</v>
      </c>
    </row>
    <row r="177" spans="1:5" ht="15" customHeight="1">
      <c r="A177" s="30"/>
      <c r="B177" s="83"/>
      <c r="C177" s="54" t="s">
        <v>133</v>
      </c>
      <c r="D177" s="55">
        <v>3</v>
      </c>
      <c r="E177" s="56">
        <v>8.0688542227000002E-4</v>
      </c>
    </row>
    <row r="178" spans="1:5" ht="15" customHeight="1">
      <c r="A178" s="30"/>
      <c r="B178" s="83"/>
      <c r="C178" s="54" t="s">
        <v>238</v>
      </c>
      <c r="D178" s="55">
        <v>1</v>
      </c>
      <c r="E178" s="56">
        <v>2.68961807423E-4</v>
      </c>
    </row>
    <row r="179" spans="1:5" ht="15" customHeight="1">
      <c r="A179" s="30"/>
      <c r="B179" s="82"/>
      <c r="C179" s="67" t="s">
        <v>308</v>
      </c>
      <c r="D179" s="66">
        <v>17</v>
      </c>
      <c r="E179" s="68">
        <v>4.5723507261970003E-3</v>
      </c>
    </row>
    <row r="180" spans="1:5" ht="15" customHeight="1">
      <c r="A180" s="30"/>
      <c r="B180" s="81" t="s">
        <v>198</v>
      </c>
      <c r="C180" s="54" t="s">
        <v>131</v>
      </c>
      <c r="D180" s="55">
        <v>7</v>
      </c>
      <c r="E180" s="56">
        <v>1.8827326519630001E-3</v>
      </c>
    </row>
    <row r="181" spans="1:5" ht="15" customHeight="1">
      <c r="A181" s="30"/>
      <c r="B181" s="83"/>
      <c r="C181" s="54" t="s">
        <v>133</v>
      </c>
      <c r="D181" s="55">
        <v>5</v>
      </c>
      <c r="E181" s="56">
        <v>1.344809037117E-3</v>
      </c>
    </row>
    <row r="182" spans="1:5" ht="15" customHeight="1">
      <c r="A182" s="30"/>
      <c r="B182" s="83"/>
      <c r="C182" s="54" t="s">
        <v>237</v>
      </c>
      <c r="D182" s="55">
        <v>2</v>
      </c>
      <c r="E182" s="56">
        <v>5.3792361484699997E-4</v>
      </c>
    </row>
    <row r="183" spans="1:5" ht="15" customHeight="1">
      <c r="A183" s="30"/>
      <c r="B183" s="83"/>
      <c r="C183" s="54" t="s">
        <v>239</v>
      </c>
      <c r="D183" s="55">
        <v>2</v>
      </c>
      <c r="E183" s="56">
        <v>5.3792361484699997E-4</v>
      </c>
    </row>
    <row r="184" spans="1:5" ht="15" customHeight="1">
      <c r="A184" s="30"/>
      <c r="B184" s="82"/>
      <c r="C184" s="67" t="s">
        <v>308</v>
      </c>
      <c r="D184" s="66">
        <v>16</v>
      </c>
      <c r="E184" s="68">
        <v>4.3033889187739996E-3</v>
      </c>
    </row>
    <row r="185" spans="1:5" ht="15" customHeight="1">
      <c r="A185" s="30"/>
      <c r="B185" s="81" t="s">
        <v>211</v>
      </c>
      <c r="C185" s="54" t="s">
        <v>133</v>
      </c>
      <c r="D185" s="55">
        <v>7</v>
      </c>
      <c r="E185" s="56">
        <v>1.8827326519630001E-3</v>
      </c>
    </row>
    <row r="186" spans="1:5" ht="15" customHeight="1">
      <c r="A186" s="30"/>
      <c r="B186" s="83"/>
      <c r="C186" s="54" t="s">
        <v>131</v>
      </c>
      <c r="D186" s="55">
        <v>3</v>
      </c>
      <c r="E186" s="56">
        <v>8.0688542227000002E-4</v>
      </c>
    </row>
    <row r="187" spans="1:5" ht="15" customHeight="1">
      <c r="A187" s="30"/>
      <c r="B187" s="83"/>
      <c r="C187" s="54" t="s">
        <v>238</v>
      </c>
      <c r="D187" s="55">
        <v>2</v>
      </c>
      <c r="E187" s="56">
        <v>5.3792361484699997E-4</v>
      </c>
    </row>
    <row r="188" spans="1:5" ht="15" customHeight="1">
      <c r="A188" s="30"/>
      <c r="B188" s="83"/>
      <c r="C188" s="54" t="s">
        <v>237</v>
      </c>
      <c r="D188" s="55">
        <v>1</v>
      </c>
      <c r="E188" s="56">
        <v>2.68961807423E-4</v>
      </c>
    </row>
    <row r="189" spans="1:5" ht="15" customHeight="1">
      <c r="A189" s="30"/>
      <c r="B189" s="83"/>
      <c r="C189" s="54" t="s">
        <v>239</v>
      </c>
      <c r="D189" s="55">
        <v>1</v>
      </c>
      <c r="E189" s="56">
        <v>2.68961807423E-4</v>
      </c>
    </row>
    <row r="190" spans="1:5" ht="15" customHeight="1">
      <c r="A190" s="30"/>
      <c r="B190" s="83"/>
      <c r="C190" s="54" t="s">
        <v>132</v>
      </c>
      <c r="D190" s="55">
        <v>1</v>
      </c>
      <c r="E190" s="56">
        <v>2.68961807423E-4</v>
      </c>
    </row>
    <row r="191" spans="1:5" ht="15" customHeight="1">
      <c r="A191" s="30"/>
      <c r="B191" s="82"/>
      <c r="C191" s="67" t="s">
        <v>308</v>
      </c>
      <c r="D191" s="66">
        <v>15</v>
      </c>
      <c r="E191" s="68">
        <v>4.0344271113499997E-3</v>
      </c>
    </row>
    <row r="192" spans="1:5" ht="15" customHeight="1">
      <c r="A192" s="30"/>
      <c r="B192" s="81" t="s">
        <v>208</v>
      </c>
      <c r="C192" s="54" t="s">
        <v>131</v>
      </c>
      <c r="D192" s="55">
        <v>4</v>
      </c>
      <c r="E192" s="56">
        <v>1.0758472296930001E-3</v>
      </c>
    </row>
    <row r="193" spans="1:5" ht="15" customHeight="1">
      <c r="A193" s="30"/>
      <c r="B193" s="83"/>
      <c r="C193" s="54" t="s">
        <v>133</v>
      </c>
      <c r="D193" s="55">
        <v>4</v>
      </c>
      <c r="E193" s="56">
        <v>1.0758472296930001E-3</v>
      </c>
    </row>
    <row r="194" spans="1:5" ht="15" customHeight="1">
      <c r="A194" s="30"/>
      <c r="B194" s="83"/>
      <c r="C194" s="54" t="s">
        <v>132</v>
      </c>
      <c r="D194" s="55">
        <v>3</v>
      </c>
      <c r="E194" s="56">
        <v>8.0688542227000002E-4</v>
      </c>
    </row>
    <row r="195" spans="1:5" ht="15" customHeight="1">
      <c r="A195" s="30"/>
      <c r="B195" s="83"/>
      <c r="C195" s="54" t="s">
        <v>237</v>
      </c>
      <c r="D195" s="55">
        <v>1</v>
      </c>
      <c r="E195" s="56">
        <v>2.68961807423E-4</v>
      </c>
    </row>
    <row r="196" spans="1:5" ht="15" customHeight="1">
      <c r="A196" s="30"/>
      <c r="B196" s="82"/>
      <c r="C196" s="67" t="s">
        <v>308</v>
      </c>
      <c r="D196" s="66">
        <v>12</v>
      </c>
      <c r="E196" s="68">
        <v>3.2275416890800001E-3</v>
      </c>
    </row>
    <row r="197" spans="1:5" ht="15" customHeight="1">
      <c r="A197" s="30"/>
      <c r="B197" s="81" t="s">
        <v>227</v>
      </c>
      <c r="C197" s="54" t="s">
        <v>133</v>
      </c>
      <c r="D197" s="55">
        <v>4</v>
      </c>
      <c r="E197" s="56">
        <v>1.0758472296930001E-3</v>
      </c>
    </row>
    <row r="198" spans="1:5" ht="15" customHeight="1">
      <c r="A198" s="30"/>
      <c r="B198" s="83"/>
      <c r="C198" s="54" t="s">
        <v>131</v>
      </c>
      <c r="D198" s="55">
        <v>3</v>
      </c>
      <c r="E198" s="56">
        <v>8.0688542227000002E-4</v>
      </c>
    </row>
    <row r="199" spans="1:5" ht="15" customHeight="1">
      <c r="A199" s="30"/>
      <c r="B199" s="83"/>
      <c r="C199" s="54" t="s">
        <v>237</v>
      </c>
      <c r="D199" s="55">
        <v>1</v>
      </c>
      <c r="E199" s="56">
        <v>2.68961807423E-4</v>
      </c>
    </row>
    <row r="200" spans="1:5" ht="15" customHeight="1">
      <c r="A200" s="30"/>
      <c r="B200" s="83"/>
      <c r="C200" s="54" t="s">
        <v>137</v>
      </c>
      <c r="D200" s="55">
        <v>1</v>
      </c>
      <c r="E200" s="56">
        <v>2.68961807423E-4</v>
      </c>
    </row>
    <row r="201" spans="1:5" ht="15" customHeight="1">
      <c r="A201" s="30"/>
      <c r="B201" s="83"/>
      <c r="C201" s="54" t="s">
        <v>135</v>
      </c>
      <c r="D201" s="55">
        <v>1</v>
      </c>
      <c r="E201" s="56">
        <v>2.68961807423E-4</v>
      </c>
    </row>
    <row r="202" spans="1:5" ht="15" customHeight="1">
      <c r="A202" s="30"/>
      <c r="B202" s="83"/>
      <c r="C202" s="54" t="s">
        <v>132</v>
      </c>
      <c r="D202" s="55">
        <v>1</v>
      </c>
      <c r="E202" s="56">
        <v>2.68961807423E-4</v>
      </c>
    </row>
    <row r="203" spans="1:5" ht="15" customHeight="1">
      <c r="A203" s="30"/>
      <c r="B203" s="83"/>
      <c r="C203" s="54" t="s">
        <v>238</v>
      </c>
      <c r="D203" s="55">
        <v>1</v>
      </c>
      <c r="E203" s="56">
        <v>2.68961807423E-4</v>
      </c>
    </row>
    <row r="204" spans="1:5" ht="15" customHeight="1">
      <c r="A204" s="30"/>
      <c r="B204" s="82"/>
      <c r="C204" s="67" t="s">
        <v>308</v>
      </c>
      <c r="D204" s="66">
        <v>12</v>
      </c>
      <c r="E204" s="68">
        <v>3.2275416890800001E-3</v>
      </c>
    </row>
    <row r="205" spans="1:5" ht="15" customHeight="1">
      <c r="A205" s="30"/>
      <c r="B205" s="81" t="s">
        <v>246</v>
      </c>
      <c r="C205" s="54" t="s">
        <v>131</v>
      </c>
      <c r="D205" s="55">
        <v>4</v>
      </c>
      <c r="E205" s="56">
        <v>1.0758472296930001E-3</v>
      </c>
    </row>
    <row r="206" spans="1:5" ht="15" customHeight="1">
      <c r="A206" s="30"/>
      <c r="B206" s="83"/>
      <c r="C206" s="54" t="s">
        <v>133</v>
      </c>
      <c r="D206" s="55">
        <v>3</v>
      </c>
      <c r="E206" s="56">
        <v>8.0688542227000002E-4</v>
      </c>
    </row>
    <row r="207" spans="1:5" ht="15" customHeight="1">
      <c r="A207" s="30"/>
      <c r="B207" s="83"/>
      <c r="C207" s="54" t="s">
        <v>137</v>
      </c>
      <c r="D207" s="55">
        <v>2</v>
      </c>
      <c r="E207" s="56">
        <v>5.3792361484699997E-4</v>
      </c>
    </row>
    <row r="208" spans="1:5" ht="15" customHeight="1">
      <c r="A208" s="30"/>
      <c r="B208" s="83"/>
      <c r="C208" s="54" t="s">
        <v>237</v>
      </c>
      <c r="D208" s="55">
        <v>1</v>
      </c>
      <c r="E208" s="56">
        <v>2.68961807423E-4</v>
      </c>
    </row>
    <row r="209" spans="1:5" ht="15" customHeight="1">
      <c r="A209" s="30"/>
      <c r="B209" s="83"/>
      <c r="C209" s="54" t="s">
        <v>136</v>
      </c>
      <c r="D209" s="55">
        <v>1</v>
      </c>
      <c r="E209" s="56">
        <v>2.68961807423E-4</v>
      </c>
    </row>
    <row r="210" spans="1:5" ht="15" customHeight="1">
      <c r="A210" s="30"/>
      <c r="B210" s="83"/>
      <c r="C210" s="54" t="s">
        <v>132</v>
      </c>
      <c r="D210" s="55">
        <v>1</v>
      </c>
      <c r="E210" s="56">
        <v>2.68961807423E-4</v>
      </c>
    </row>
    <row r="211" spans="1:5" ht="15" customHeight="1">
      <c r="A211" s="30"/>
      <c r="B211" s="82"/>
      <c r="C211" s="67" t="s">
        <v>308</v>
      </c>
      <c r="D211" s="66">
        <v>12</v>
      </c>
      <c r="E211" s="68">
        <v>3.2275416890800001E-3</v>
      </c>
    </row>
    <row r="212" spans="1:5" ht="15" customHeight="1">
      <c r="A212" s="30"/>
      <c r="B212" s="81" t="s">
        <v>234</v>
      </c>
      <c r="C212" s="54" t="s">
        <v>133</v>
      </c>
      <c r="D212" s="55">
        <v>6</v>
      </c>
      <c r="E212" s="56">
        <v>1.61377084454E-3</v>
      </c>
    </row>
    <row r="213" spans="1:5" ht="15" customHeight="1">
      <c r="A213" s="30"/>
      <c r="B213" s="83"/>
      <c r="C213" s="54" t="s">
        <v>131</v>
      </c>
      <c r="D213" s="55">
        <v>2</v>
      </c>
      <c r="E213" s="56">
        <v>5.3792361484699997E-4</v>
      </c>
    </row>
    <row r="214" spans="1:5" ht="15" customHeight="1">
      <c r="A214" s="30"/>
      <c r="B214" s="83"/>
      <c r="C214" s="54" t="s">
        <v>132</v>
      </c>
      <c r="D214" s="55">
        <v>2</v>
      </c>
      <c r="E214" s="56">
        <v>5.3792361484699997E-4</v>
      </c>
    </row>
    <row r="215" spans="1:5" ht="15" customHeight="1">
      <c r="A215" s="30"/>
      <c r="B215" s="83"/>
      <c r="C215" s="54" t="s">
        <v>241</v>
      </c>
      <c r="D215" s="55">
        <v>1</v>
      </c>
      <c r="E215" s="56">
        <v>2.68961807423E-4</v>
      </c>
    </row>
    <row r="216" spans="1:5" ht="15" customHeight="1">
      <c r="A216" s="30"/>
      <c r="B216" s="83"/>
      <c r="C216" s="54" t="s">
        <v>240</v>
      </c>
      <c r="D216" s="55">
        <v>1</v>
      </c>
      <c r="E216" s="56">
        <v>2.68961807423E-4</v>
      </c>
    </row>
    <row r="217" spans="1:5" ht="15" customHeight="1">
      <c r="A217" s="30"/>
      <c r="B217" s="82"/>
      <c r="C217" s="67" t="s">
        <v>308</v>
      </c>
      <c r="D217" s="66">
        <v>12</v>
      </c>
      <c r="E217" s="68">
        <v>3.2275416890800001E-3</v>
      </c>
    </row>
    <row r="218" spans="1:5" ht="15" customHeight="1">
      <c r="A218" s="30"/>
      <c r="B218" s="81" t="s">
        <v>247</v>
      </c>
      <c r="C218" s="54" t="s">
        <v>133</v>
      </c>
      <c r="D218" s="55">
        <v>3</v>
      </c>
      <c r="E218" s="56">
        <v>8.0688542227000002E-4</v>
      </c>
    </row>
    <row r="219" spans="1:5" ht="15" customHeight="1">
      <c r="A219" s="30"/>
      <c r="B219" s="83"/>
      <c r="C219" s="54" t="s">
        <v>131</v>
      </c>
      <c r="D219" s="55">
        <v>2</v>
      </c>
      <c r="E219" s="56">
        <v>5.3792361484699997E-4</v>
      </c>
    </row>
    <row r="220" spans="1:5" ht="15" customHeight="1">
      <c r="A220" s="30"/>
      <c r="B220" s="83"/>
      <c r="C220" s="54" t="s">
        <v>239</v>
      </c>
      <c r="D220" s="55">
        <v>1</v>
      </c>
      <c r="E220" s="56">
        <v>2.68961807423E-4</v>
      </c>
    </row>
    <row r="221" spans="1:5" ht="15" customHeight="1">
      <c r="A221" s="30"/>
      <c r="B221" s="83"/>
      <c r="C221" s="54" t="s">
        <v>132</v>
      </c>
      <c r="D221" s="55">
        <v>1</v>
      </c>
      <c r="E221" s="56">
        <v>2.68961807423E-4</v>
      </c>
    </row>
    <row r="222" spans="1:5" ht="15" customHeight="1">
      <c r="A222" s="30"/>
      <c r="B222" s="83"/>
      <c r="C222" s="54" t="s">
        <v>238</v>
      </c>
      <c r="D222" s="55">
        <v>1</v>
      </c>
      <c r="E222" s="56">
        <v>2.68961807423E-4</v>
      </c>
    </row>
    <row r="223" spans="1:5" ht="15" customHeight="1">
      <c r="A223" s="30"/>
      <c r="B223" s="82"/>
      <c r="C223" s="67" t="s">
        <v>308</v>
      </c>
      <c r="D223" s="66">
        <v>8</v>
      </c>
      <c r="E223" s="68">
        <v>2.1516944593869998E-3</v>
      </c>
    </row>
    <row r="224" spans="1:5" ht="15" customHeight="1">
      <c r="A224" s="30"/>
      <c r="B224" s="81" t="s">
        <v>220</v>
      </c>
      <c r="C224" s="54" t="s">
        <v>131</v>
      </c>
      <c r="D224" s="55">
        <v>3</v>
      </c>
      <c r="E224" s="56">
        <v>8.0688542227000002E-4</v>
      </c>
    </row>
    <row r="225" spans="1:5" ht="15" customHeight="1">
      <c r="A225" s="30"/>
      <c r="B225" s="83"/>
      <c r="C225" s="54" t="s">
        <v>133</v>
      </c>
      <c r="D225" s="55">
        <v>2</v>
      </c>
      <c r="E225" s="56">
        <v>5.3792361484699997E-4</v>
      </c>
    </row>
    <row r="226" spans="1:5" ht="15" customHeight="1">
      <c r="A226" s="30"/>
      <c r="B226" s="83"/>
      <c r="C226" s="54" t="s">
        <v>239</v>
      </c>
      <c r="D226" s="55">
        <v>1</v>
      </c>
      <c r="E226" s="56">
        <v>2.68961807423E-4</v>
      </c>
    </row>
    <row r="227" spans="1:5" ht="15" customHeight="1">
      <c r="A227" s="30"/>
      <c r="B227" s="83"/>
      <c r="C227" s="54" t="s">
        <v>132</v>
      </c>
      <c r="D227" s="55">
        <v>1</v>
      </c>
      <c r="E227" s="56">
        <v>2.68961807423E-4</v>
      </c>
    </row>
    <row r="228" spans="1:5" ht="15" customHeight="1">
      <c r="A228" s="30"/>
      <c r="B228" s="83"/>
      <c r="C228" s="54" t="s">
        <v>238</v>
      </c>
      <c r="D228" s="55">
        <v>1</v>
      </c>
      <c r="E228" s="56">
        <v>2.68961807423E-4</v>
      </c>
    </row>
    <row r="229" spans="1:5" ht="15" customHeight="1">
      <c r="A229" s="30"/>
      <c r="B229" s="82"/>
      <c r="C229" s="67" t="s">
        <v>308</v>
      </c>
      <c r="D229" s="66">
        <v>8</v>
      </c>
      <c r="E229" s="68">
        <v>2.1516944593869998E-3</v>
      </c>
    </row>
    <row r="230" spans="1:5" ht="15" customHeight="1">
      <c r="A230" s="30"/>
      <c r="B230" s="81" t="s">
        <v>231</v>
      </c>
      <c r="C230" s="54" t="s">
        <v>131</v>
      </c>
      <c r="D230" s="55">
        <v>3</v>
      </c>
      <c r="E230" s="56">
        <v>8.0688542227000002E-4</v>
      </c>
    </row>
    <row r="231" spans="1:5" ht="15" customHeight="1">
      <c r="A231" s="30"/>
      <c r="B231" s="83"/>
      <c r="C231" s="54" t="s">
        <v>133</v>
      </c>
      <c r="D231" s="55">
        <v>2</v>
      </c>
      <c r="E231" s="56">
        <v>5.3792361484699997E-4</v>
      </c>
    </row>
    <row r="232" spans="1:5" ht="15" customHeight="1">
      <c r="A232" s="30"/>
      <c r="B232" s="83"/>
      <c r="C232" s="54" t="s">
        <v>237</v>
      </c>
      <c r="D232" s="55">
        <v>1</v>
      </c>
      <c r="E232" s="56">
        <v>2.68961807423E-4</v>
      </c>
    </row>
    <row r="233" spans="1:5" ht="15" customHeight="1">
      <c r="A233" s="30"/>
      <c r="B233" s="83"/>
      <c r="C233" s="54" t="s">
        <v>239</v>
      </c>
      <c r="D233" s="55">
        <v>1</v>
      </c>
      <c r="E233" s="56">
        <v>2.68961807423E-4</v>
      </c>
    </row>
    <row r="234" spans="1:5" ht="15" customHeight="1">
      <c r="A234" s="30"/>
      <c r="B234" s="83"/>
      <c r="C234" s="54" t="s">
        <v>132</v>
      </c>
      <c r="D234" s="55">
        <v>1</v>
      </c>
      <c r="E234" s="56">
        <v>2.68961807423E-4</v>
      </c>
    </row>
    <row r="235" spans="1:5" ht="15" customHeight="1">
      <c r="A235" s="30"/>
      <c r="B235" s="82"/>
      <c r="C235" s="67" t="s">
        <v>308</v>
      </c>
      <c r="D235" s="66">
        <v>8</v>
      </c>
      <c r="E235" s="68">
        <v>2.1516944593869998E-3</v>
      </c>
    </row>
    <row r="236" spans="1:5" ht="15" customHeight="1">
      <c r="A236" s="30"/>
      <c r="B236" s="81" t="s">
        <v>248</v>
      </c>
      <c r="C236" s="54" t="s">
        <v>133</v>
      </c>
      <c r="D236" s="55">
        <v>4</v>
      </c>
      <c r="E236" s="56">
        <v>1.0758472296930001E-3</v>
      </c>
    </row>
    <row r="237" spans="1:5" ht="15" customHeight="1">
      <c r="A237" s="30"/>
      <c r="B237" s="83"/>
      <c r="C237" s="54" t="s">
        <v>237</v>
      </c>
      <c r="D237" s="55">
        <v>1</v>
      </c>
      <c r="E237" s="56">
        <v>2.68961807423E-4</v>
      </c>
    </row>
    <row r="238" spans="1:5" ht="15" customHeight="1">
      <c r="A238" s="30"/>
      <c r="B238" s="83"/>
      <c r="C238" s="54" t="s">
        <v>132</v>
      </c>
      <c r="D238" s="55">
        <v>1</v>
      </c>
      <c r="E238" s="56">
        <v>2.68961807423E-4</v>
      </c>
    </row>
    <row r="239" spans="1:5" ht="15" customHeight="1">
      <c r="A239" s="30"/>
      <c r="B239" s="82"/>
      <c r="C239" s="67" t="s">
        <v>308</v>
      </c>
      <c r="D239" s="66">
        <v>6</v>
      </c>
      <c r="E239" s="68">
        <v>1.61377084454E-3</v>
      </c>
    </row>
    <row r="240" spans="1:5" ht="15" customHeight="1">
      <c r="A240" s="30"/>
      <c r="B240" s="81" t="s">
        <v>212</v>
      </c>
      <c r="C240" s="54" t="s">
        <v>131</v>
      </c>
      <c r="D240" s="55">
        <v>3</v>
      </c>
      <c r="E240" s="56">
        <v>8.0688542227000002E-4</v>
      </c>
    </row>
    <row r="241" spans="1:5" ht="15" customHeight="1">
      <c r="A241" s="30"/>
      <c r="B241" s="83"/>
      <c r="C241" s="54" t="s">
        <v>132</v>
      </c>
      <c r="D241" s="55">
        <v>2</v>
      </c>
      <c r="E241" s="56">
        <v>5.3792361484699997E-4</v>
      </c>
    </row>
    <row r="242" spans="1:5" ht="15" customHeight="1">
      <c r="A242" s="30"/>
      <c r="B242" s="83"/>
      <c r="C242" s="54" t="s">
        <v>133</v>
      </c>
      <c r="D242" s="55">
        <v>1</v>
      </c>
      <c r="E242" s="56">
        <v>2.68961807423E-4</v>
      </c>
    </row>
    <row r="243" spans="1:5" ht="15" customHeight="1">
      <c r="A243" s="30"/>
      <c r="B243" s="82"/>
      <c r="C243" s="67" t="s">
        <v>308</v>
      </c>
      <c r="D243" s="66">
        <v>6</v>
      </c>
      <c r="E243" s="68">
        <v>1.61377084454E-3</v>
      </c>
    </row>
    <row r="244" spans="1:5" ht="15" customHeight="1">
      <c r="A244" s="30"/>
      <c r="B244" s="81" t="s">
        <v>249</v>
      </c>
      <c r="C244" s="54" t="s">
        <v>133</v>
      </c>
      <c r="D244" s="55">
        <v>2</v>
      </c>
      <c r="E244" s="56">
        <v>5.3792361484699997E-4</v>
      </c>
    </row>
    <row r="245" spans="1:5" ht="15" customHeight="1">
      <c r="A245" s="30"/>
      <c r="B245" s="83"/>
      <c r="C245" s="54" t="s">
        <v>237</v>
      </c>
      <c r="D245" s="55">
        <v>1</v>
      </c>
      <c r="E245" s="56">
        <v>2.68961807423E-4</v>
      </c>
    </row>
    <row r="246" spans="1:5" ht="15" customHeight="1">
      <c r="A246" s="30"/>
      <c r="B246" s="83"/>
      <c r="C246" s="54" t="s">
        <v>131</v>
      </c>
      <c r="D246" s="55">
        <v>1</v>
      </c>
      <c r="E246" s="56">
        <v>2.68961807423E-4</v>
      </c>
    </row>
    <row r="247" spans="1:5" ht="15" customHeight="1">
      <c r="A247" s="30"/>
      <c r="B247" s="83"/>
      <c r="C247" s="54" t="s">
        <v>136</v>
      </c>
      <c r="D247" s="55">
        <v>1</v>
      </c>
      <c r="E247" s="56">
        <v>2.68961807423E-4</v>
      </c>
    </row>
    <row r="248" spans="1:5" ht="15" customHeight="1">
      <c r="A248" s="30"/>
      <c r="B248" s="82"/>
      <c r="C248" s="67" t="s">
        <v>308</v>
      </c>
      <c r="D248" s="66">
        <v>5</v>
      </c>
      <c r="E248" s="68">
        <v>1.344809037117E-3</v>
      </c>
    </row>
    <row r="249" spans="1:5" ht="15" customHeight="1">
      <c r="A249" s="30"/>
      <c r="B249" s="81" t="s">
        <v>213</v>
      </c>
      <c r="C249" s="54" t="s">
        <v>133</v>
      </c>
      <c r="D249" s="55">
        <v>3</v>
      </c>
      <c r="E249" s="56">
        <v>8.0688542227000002E-4</v>
      </c>
    </row>
    <row r="250" spans="1:5" ht="15" customHeight="1">
      <c r="A250" s="30"/>
      <c r="B250" s="83"/>
      <c r="C250" s="54" t="s">
        <v>131</v>
      </c>
      <c r="D250" s="55">
        <v>2</v>
      </c>
      <c r="E250" s="56">
        <v>5.3792361484699997E-4</v>
      </c>
    </row>
    <row r="251" spans="1:5" ht="15" customHeight="1">
      <c r="A251" s="30"/>
      <c r="B251" s="82"/>
      <c r="C251" s="67" t="s">
        <v>308</v>
      </c>
      <c r="D251" s="66">
        <v>5</v>
      </c>
      <c r="E251" s="68">
        <v>1.344809037117E-3</v>
      </c>
    </row>
    <row r="252" spans="1:5" ht="15" customHeight="1">
      <c r="A252" s="30"/>
      <c r="B252" s="81" t="s">
        <v>219</v>
      </c>
      <c r="C252" s="54" t="s">
        <v>133</v>
      </c>
      <c r="D252" s="55">
        <v>3</v>
      </c>
      <c r="E252" s="56">
        <v>8.0688542227000002E-4</v>
      </c>
    </row>
    <row r="253" spans="1:5" ht="15" customHeight="1">
      <c r="A253" s="30"/>
      <c r="B253" s="83"/>
      <c r="C253" s="54" t="s">
        <v>131</v>
      </c>
      <c r="D253" s="55">
        <v>1</v>
      </c>
      <c r="E253" s="56">
        <v>2.68961807423E-4</v>
      </c>
    </row>
    <row r="254" spans="1:5" ht="15" customHeight="1">
      <c r="A254" s="30"/>
      <c r="B254" s="83"/>
      <c r="C254" s="54" t="s">
        <v>132</v>
      </c>
      <c r="D254" s="55">
        <v>1</v>
      </c>
      <c r="E254" s="56">
        <v>2.68961807423E-4</v>
      </c>
    </row>
    <row r="255" spans="1:5" ht="15" customHeight="1">
      <c r="A255" s="30"/>
      <c r="B255" s="82"/>
      <c r="C255" s="67" t="s">
        <v>308</v>
      </c>
      <c r="D255" s="66">
        <v>5</v>
      </c>
      <c r="E255" s="68">
        <v>1.344809037117E-3</v>
      </c>
    </row>
    <row r="256" spans="1:5" ht="15" customHeight="1">
      <c r="A256" s="30"/>
      <c r="B256" s="81" t="s">
        <v>221</v>
      </c>
      <c r="C256" s="54" t="s">
        <v>133</v>
      </c>
      <c r="D256" s="55">
        <v>3</v>
      </c>
      <c r="E256" s="56">
        <v>8.0688542227000002E-4</v>
      </c>
    </row>
    <row r="257" spans="1:5" ht="15" customHeight="1">
      <c r="A257" s="30"/>
      <c r="B257" s="83"/>
      <c r="C257" s="54" t="s">
        <v>132</v>
      </c>
      <c r="D257" s="55">
        <v>2</v>
      </c>
      <c r="E257" s="56">
        <v>5.3792361484699997E-4</v>
      </c>
    </row>
    <row r="258" spans="1:5" ht="15" customHeight="1">
      <c r="B258" s="82"/>
      <c r="C258" s="67" t="s">
        <v>308</v>
      </c>
      <c r="D258" s="66">
        <v>5</v>
      </c>
      <c r="E258" s="68">
        <v>1.344809037117E-3</v>
      </c>
    </row>
    <row r="259" spans="1:5" ht="15" customHeight="1">
      <c r="B259" s="81" t="s">
        <v>235</v>
      </c>
      <c r="C259" s="54" t="s">
        <v>131</v>
      </c>
      <c r="D259" s="55">
        <v>4</v>
      </c>
      <c r="E259" s="56">
        <v>1.0758472296930001E-3</v>
      </c>
    </row>
    <row r="260" spans="1:5" ht="15" customHeight="1">
      <c r="B260" s="82"/>
      <c r="C260" s="67" t="s">
        <v>308</v>
      </c>
      <c r="D260" s="66">
        <v>4</v>
      </c>
      <c r="E260" s="68">
        <v>1.0758472296930001E-3</v>
      </c>
    </row>
    <row r="261" spans="1:5" ht="15" customHeight="1">
      <c r="B261" s="81" t="s">
        <v>210</v>
      </c>
      <c r="C261" s="54" t="s">
        <v>131</v>
      </c>
      <c r="D261" s="55">
        <v>1</v>
      </c>
      <c r="E261" s="56">
        <v>2.68961807423E-4</v>
      </c>
    </row>
    <row r="262" spans="1:5" ht="15" customHeight="1">
      <c r="B262" s="83"/>
      <c r="C262" s="54" t="s">
        <v>132</v>
      </c>
      <c r="D262" s="55">
        <v>1</v>
      </c>
      <c r="E262" s="56">
        <v>2.68961807423E-4</v>
      </c>
    </row>
    <row r="263" spans="1:5" ht="15" customHeight="1">
      <c r="B263" s="82"/>
      <c r="C263" s="67" t="s">
        <v>308</v>
      </c>
      <c r="D263" s="66">
        <v>2</v>
      </c>
      <c r="E263" s="68">
        <v>5.3792361484699997E-4</v>
      </c>
    </row>
    <row r="264" spans="1:5" ht="15" customHeight="1">
      <c r="B264" s="81" t="s">
        <v>250</v>
      </c>
      <c r="C264" s="54" t="s">
        <v>131</v>
      </c>
      <c r="D264" s="55">
        <v>2</v>
      </c>
      <c r="E264" s="56">
        <v>5.3792361484699997E-4</v>
      </c>
    </row>
    <row r="265" spans="1:5" ht="15" customHeight="1">
      <c r="B265" s="82"/>
      <c r="C265" s="67" t="s">
        <v>308</v>
      </c>
      <c r="D265" s="66">
        <v>2</v>
      </c>
      <c r="E265" s="68">
        <v>5.3792361484699997E-4</v>
      </c>
    </row>
    <row r="266" spans="1:5" ht="15" customHeight="1">
      <c r="B266" s="81" t="s">
        <v>200</v>
      </c>
      <c r="C266" s="54" t="s">
        <v>131</v>
      </c>
      <c r="D266" s="55">
        <v>1</v>
      </c>
      <c r="E266" s="56">
        <v>2.68961807423E-4</v>
      </c>
    </row>
    <row r="267" spans="1:5" ht="15" customHeight="1">
      <c r="B267" s="82"/>
      <c r="C267" s="67" t="s">
        <v>308</v>
      </c>
      <c r="D267" s="66">
        <v>1</v>
      </c>
      <c r="E267" s="68">
        <v>2.68961807423E-4</v>
      </c>
    </row>
    <row r="268" spans="1:5" ht="15" customHeight="1">
      <c r="B268" s="81" t="s">
        <v>209</v>
      </c>
      <c r="C268" s="54" t="s">
        <v>133</v>
      </c>
      <c r="D268" s="55">
        <v>1</v>
      </c>
      <c r="E268" s="56">
        <v>2.68961807423E-4</v>
      </c>
    </row>
    <row r="269" spans="1:5" ht="15" customHeight="1">
      <c r="B269" s="82"/>
      <c r="C269" s="67" t="s">
        <v>308</v>
      </c>
      <c r="D269" s="66">
        <v>1</v>
      </c>
      <c r="E269" s="68">
        <v>2.68961807423E-4</v>
      </c>
    </row>
    <row r="270" spans="1:5" ht="15" customHeight="1">
      <c r="B270" s="81" t="s">
        <v>218</v>
      </c>
      <c r="C270" s="54" t="s">
        <v>132</v>
      </c>
      <c r="D270" s="55">
        <v>1</v>
      </c>
      <c r="E270" s="56">
        <v>2.68961807423E-4</v>
      </c>
    </row>
    <row r="271" spans="1:5" ht="15" customHeight="1">
      <c r="B271" s="82"/>
      <c r="C271" s="67" t="s">
        <v>308</v>
      </c>
      <c r="D271" s="66">
        <v>1</v>
      </c>
      <c r="E271" s="68">
        <v>2.68961807423E-4</v>
      </c>
    </row>
    <row r="272" spans="1:5" ht="15" customHeight="1">
      <c r="B272" s="81" t="s">
        <v>226</v>
      </c>
      <c r="C272" s="54" t="s">
        <v>131</v>
      </c>
      <c r="D272" s="55">
        <v>1</v>
      </c>
      <c r="E272" s="56">
        <v>2.68961807423E-4</v>
      </c>
    </row>
    <row r="273" spans="2:5" ht="15" customHeight="1">
      <c r="B273" s="82"/>
      <c r="C273" s="67" t="s">
        <v>308</v>
      </c>
      <c r="D273" s="66">
        <v>1</v>
      </c>
      <c r="E273" s="68">
        <v>2.68961807423E-4</v>
      </c>
    </row>
    <row r="274" spans="2:5" ht="15" customHeight="1">
      <c r="B274" s="81" t="s">
        <v>233</v>
      </c>
      <c r="C274" s="54" t="s">
        <v>132</v>
      </c>
      <c r="D274" s="55">
        <v>1</v>
      </c>
      <c r="E274" s="56">
        <v>2.68961807423E-4</v>
      </c>
    </row>
    <row r="275" spans="2:5" ht="15" customHeight="1">
      <c r="B275" s="82"/>
      <c r="C275" s="67" t="s">
        <v>308</v>
      </c>
      <c r="D275" s="66">
        <v>1</v>
      </c>
      <c r="E275" s="68">
        <v>2.68961807423E-4</v>
      </c>
    </row>
    <row r="276" spans="2:5" ht="15" customHeight="1">
      <c r="B276" s="84" t="s">
        <v>308</v>
      </c>
      <c r="C276" s="85"/>
      <c r="D276" s="58">
        <v>3718</v>
      </c>
      <c r="E276" s="59">
        <v>1</v>
      </c>
    </row>
    <row r="277" spans="2:5" ht="15" customHeight="1">
      <c r="B277" s="40"/>
      <c r="C277" s="40"/>
      <c r="D277" s="40"/>
      <c r="E277" s="40"/>
    </row>
    <row r="278" spans="2:5" ht="15" customHeight="1">
      <c r="B278" s="38" t="s">
        <v>183</v>
      </c>
      <c r="C278" s="40"/>
      <c r="D278" s="40"/>
      <c r="E278" s="40"/>
    </row>
    <row r="279" spans="2:5" ht="15" customHeight="1">
      <c r="B279" s="41" t="s">
        <v>17</v>
      </c>
      <c r="C279" s="40"/>
      <c r="D279" s="40"/>
      <c r="E279" s="40"/>
    </row>
    <row r="280" spans="2:5" ht="15" customHeight="1">
      <c r="B280" s="42" t="s">
        <v>45</v>
      </c>
      <c r="C280" s="40"/>
      <c r="D280" s="40"/>
      <c r="E280" s="40"/>
    </row>
    <row r="281" spans="2:5" ht="15" customHeight="1">
      <c r="B281" s="38" t="s">
        <v>16</v>
      </c>
      <c r="C281" s="40"/>
      <c r="D281" s="40"/>
      <c r="E281" s="40"/>
    </row>
    <row r="282" spans="2:5" ht="15" customHeight="1">
      <c r="B282" s="38" t="s">
        <v>306</v>
      </c>
      <c r="C282" s="40"/>
      <c r="D282" s="40"/>
      <c r="E282" s="40"/>
    </row>
    <row r="283" spans="2:5" ht="15" customHeight="1">
      <c r="B283" s="40"/>
      <c r="C283" s="40"/>
      <c r="D283" s="40"/>
      <c r="E283" s="40"/>
    </row>
  </sheetData>
  <mergeCells count="44">
    <mergeCell ref="B276:C276"/>
    <mergeCell ref="B7:E8"/>
    <mergeCell ref="B10:B21"/>
    <mergeCell ref="B22:B33"/>
    <mergeCell ref="B34:B45"/>
    <mergeCell ref="B46:B55"/>
    <mergeCell ref="B56:B65"/>
    <mergeCell ref="B66:B73"/>
    <mergeCell ref="B74:B82"/>
    <mergeCell ref="B83:B89"/>
    <mergeCell ref="B90:B95"/>
    <mergeCell ref="B96:B107"/>
    <mergeCell ref="B108:B115"/>
    <mergeCell ref="B116:B126"/>
    <mergeCell ref="B127:B134"/>
    <mergeCell ref="B135:B142"/>
    <mergeCell ref="B143:B151"/>
    <mergeCell ref="B152:B158"/>
    <mergeCell ref="B159:B166"/>
    <mergeCell ref="B167:B174"/>
    <mergeCell ref="B175:B179"/>
    <mergeCell ref="B180:B184"/>
    <mergeCell ref="B185:B191"/>
    <mergeCell ref="B192:B196"/>
    <mergeCell ref="B197:B204"/>
    <mergeCell ref="B205:B211"/>
    <mergeCell ref="B212:B217"/>
    <mergeCell ref="B218:B223"/>
    <mergeCell ref="B224:B229"/>
    <mergeCell ref="B230:B235"/>
    <mergeCell ref="B236:B239"/>
    <mergeCell ref="B240:B243"/>
    <mergeCell ref="B244:B248"/>
    <mergeCell ref="B249:B251"/>
    <mergeCell ref="B252:B255"/>
    <mergeCell ref="B256:B258"/>
    <mergeCell ref="B270:B271"/>
    <mergeCell ref="B272:B273"/>
    <mergeCell ref="B274:B275"/>
    <mergeCell ref="B259:B260"/>
    <mergeCell ref="B261:B263"/>
    <mergeCell ref="B264:B265"/>
    <mergeCell ref="B266:B267"/>
    <mergeCell ref="B268:B26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7">
    <tabColor rgb="FFFFFF00"/>
  </sheetPr>
  <dimension ref="A1:E377"/>
  <sheetViews>
    <sheetView showGridLines="0" view="pageBreakPreview" topLeftCell="A355" zoomScale="90" zoomScaleNormal="100" zoomScaleSheetLayoutView="90" workbookViewId="0">
      <selection activeCell="B371" sqref="B371:C371"/>
    </sheetView>
  </sheetViews>
  <sheetFormatPr baseColWidth="10" defaultColWidth="35" defaultRowHeight="15" customHeight="1"/>
  <cols>
    <col min="1" max="1" width="1" style="19" customWidth="1"/>
    <col min="2" max="2" width="22.81640625" style="20" customWidth="1"/>
    <col min="3" max="3" width="31.453125" style="20" customWidth="1"/>
    <col min="4" max="4" width="14.26953125" style="20" customWidth="1"/>
    <col min="5" max="5" width="16.81640625" style="20" customWidth="1"/>
    <col min="6" max="16384" width="35" style="19"/>
  </cols>
  <sheetData>
    <row r="1" spans="1:5" s="22" customFormat="1" ht="12" customHeight="1">
      <c r="B1" s="24"/>
      <c r="C1" s="21"/>
      <c r="D1" s="21"/>
      <c r="E1" s="21"/>
    </row>
    <row r="2" spans="1:5" s="22" customFormat="1" ht="15" customHeight="1">
      <c r="C2" s="26"/>
    </row>
    <row r="3" spans="1:5" s="22" customFormat="1" ht="15" customHeight="1">
      <c r="C3" s="26"/>
    </row>
    <row r="4" spans="1:5" s="22" customFormat="1" ht="30" customHeight="1">
      <c r="C4" s="26"/>
      <c r="D4" s="25"/>
    </row>
    <row r="5" spans="1:5" s="22" customFormat="1" ht="15" customHeight="1">
      <c r="C5" s="26"/>
      <c r="D5" s="25"/>
    </row>
    <row r="6" spans="1:5" s="22" customFormat="1" ht="24" customHeight="1">
      <c r="B6" s="45"/>
      <c r="C6" s="44"/>
      <c r="D6" s="44"/>
      <c r="E6" s="44"/>
    </row>
    <row r="7" spans="1:5" s="22" customFormat="1" ht="26.25" customHeight="1">
      <c r="A7" s="23"/>
      <c r="B7" s="86"/>
      <c r="C7" s="86"/>
      <c r="D7" s="86"/>
      <c r="E7" s="86"/>
    </row>
    <row r="8" spans="1:5" s="22" customFormat="1" ht="33" customHeight="1">
      <c r="A8" s="23"/>
      <c r="B8" s="86"/>
      <c r="C8" s="86"/>
      <c r="D8" s="86"/>
      <c r="E8" s="86"/>
    </row>
    <row r="9" spans="1:5" s="16" customFormat="1" ht="40.5" customHeight="1">
      <c r="B9" s="46" t="s">
        <v>21</v>
      </c>
      <c r="C9" s="47" t="s">
        <v>23</v>
      </c>
      <c r="D9" s="48" t="s">
        <v>19</v>
      </c>
      <c r="E9" s="46" t="s">
        <v>18</v>
      </c>
    </row>
    <row r="10" spans="1:5" s="30" customFormat="1" ht="14">
      <c r="B10" s="81" t="s">
        <v>91</v>
      </c>
      <c r="C10" s="54" t="s">
        <v>131</v>
      </c>
      <c r="D10" s="55">
        <v>1</v>
      </c>
      <c r="E10" s="56">
        <v>2.68961807423E-4</v>
      </c>
    </row>
    <row r="11" spans="1:5" s="30" customFormat="1" ht="14">
      <c r="B11" s="83"/>
      <c r="C11" s="54" t="s">
        <v>137</v>
      </c>
      <c r="D11" s="55">
        <v>1</v>
      </c>
      <c r="E11" s="56">
        <v>2.68961807423E-4</v>
      </c>
    </row>
    <row r="12" spans="1:5" s="30" customFormat="1" ht="14">
      <c r="B12" s="83"/>
      <c r="C12" s="54" t="s">
        <v>135</v>
      </c>
      <c r="D12" s="55">
        <v>1</v>
      </c>
      <c r="E12" s="56">
        <v>2.68961807423E-4</v>
      </c>
    </row>
    <row r="13" spans="1:5" s="30" customFormat="1" ht="14">
      <c r="B13" s="83"/>
      <c r="C13" s="54" t="s">
        <v>132</v>
      </c>
      <c r="D13" s="55">
        <v>1</v>
      </c>
      <c r="E13" s="56">
        <v>2.68961807423E-4</v>
      </c>
    </row>
    <row r="14" spans="1:5" s="30" customFormat="1" ht="14">
      <c r="B14" s="83"/>
      <c r="C14" s="54" t="s">
        <v>133</v>
      </c>
      <c r="D14" s="55">
        <v>1</v>
      </c>
      <c r="E14" s="56">
        <v>2.68961807423E-4</v>
      </c>
    </row>
    <row r="15" spans="1:5" s="30" customFormat="1" ht="14">
      <c r="B15" s="83"/>
      <c r="C15" s="54" t="s">
        <v>301</v>
      </c>
      <c r="D15" s="55">
        <v>1</v>
      </c>
      <c r="E15" s="56">
        <v>2.68961807423E-4</v>
      </c>
    </row>
    <row r="16" spans="1:5" s="30" customFormat="1" ht="14">
      <c r="B16" s="82"/>
      <c r="C16" s="67" t="s">
        <v>308</v>
      </c>
      <c r="D16" s="66">
        <v>6</v>
      </c>
      <c r="E16" s="68">
        <v>1.61377084454E-3</v>
      </c>
    </row>
    <row r="17" spans="2:5" s="30" customFormat="1" ht="14">
      <c r="B17" s="81" t="s">
        <v>66</v>
      </c>
      <c r="C17" s="54" t="s">
        <v>130</v>
      </c>
      <c r="D17" s="55">
        <v>3</v>
      </c>
      <c r="E17" s="56">
        <v>8.0688542227000002E-4</v>
      </c>
    </row>
    <row r="18" spans="2:5" s="30" customFormat="1" ht="14">
      <c r="B18" s="83"/>
      <c r="C18" s="54" t="s">
        <v>131</v>
      </c>
      <c r="D18" s="55">
        <v>9</v>
      </c>
      <c r="E18" s="56">
        <v>2.4206562668100001E-3</v>
      </c>
    </row>
    <row r="19" spans="2:5" s="30" customFormat="1" ht="14">
      <c r="B19" s="83"/>
      <c r="C19" s="54" t="s">
        <v>135</v>
      </c>
      <c r="D19" s="55">
        <v>1</v>
      </c>
      <c r="E19" s="56">
        <v>2.68961807423E-4</v>
      </c>
    </row>
    <row r="20" spans="2:5" s="30" customFormat="1" ht="14">
      <c r="B20" s="83"/>
      <c r="C20" s="54" t="s">
        <v>136</v>
      </c>
      <c r="D20" s="55">
        <v>1</v>
      </c>
      <c r="E20" s="56">
        <v>2.68961807423E-4</v>
      </c>
    </row>
    <row r="21" spans="2:5" s="30" customFormat="1" ht="14">
      <c r="B21" s="83"/>
      <c r="C21" s="54" t="s">
        <v>132</v>
      </c>
      <c r="D21" s="55">
        <v>7</v>
      </c>
      <c r="E21" s="56">
        <v>1.8827326519630001E-3</v>
      </c>
    </row>
    <row r="22" spans="2:5" s="30" customFormat="1" ht="14">
      <c r="B22" s="83"/>
      <c r="C22" s="54" t="s">
        <v>133</v>
      </c>
      <c r="D22" s="55">
        <v>7</v>
      </c>
      <c r="E22" s="56">
        <v>1.8827326519630001E-3</v>
      </c>
    </row>
    <row r="23" spans="2:5" s="30" customFormat="1" ht="14">
      <c r="B23" s="83"/>
      <c r="C23" s="54" t="s">
        <v>301</v>
      </c>
      <c r="D23" s="55">
        <v>2</v>
      </c>
      <c r="E23" s="56">
        <v>5.3792361484699997E-4</v>
      </c>
    </row>
    <row r="24" spans="2:5" s="30" customFormat="1" ht="14">
      <c r="B24" s="82"/>
      <c r="C24" s="67" t="s">
        <v>308</v>
      </c>
      <c r="D24" s="66">
        <v>30</v>
      </c>
      <c r="E24" s="68">
        <v>8.0688542226999994E-3</v>
      </c>
    </row>
    <row r="25" spans="2:5" s="30" customFormat="1" ht="14">
      <c r="B25" s="81" t="s">
        <v>69</v>
      </c>
      <c r="C25" s="54" t="s">
        <v>130</v>
      </c>
      <c r="D25" s="55">
        <v>1</v>
      </c>
      <c r="E25" s="56">
        <v>2.68961807423E-4</v>
      </c>
    </row>
    <row r="26" spans="2:5" s="30" customFormat="1" ht="14">
      <c r="B26" s="83"/>
      <c r="C26" s="54" t="s">
        <v>131</v>
      </c>
      <c r="D26" s="55">
        <v>6</v>
      </c>
      <c r="E26" s="56">
        <v>1.61377084454E-3</v>
      </c>
    </row>
    <row r="27" spans="2:5" s="30" customFormat="1" ht="14">
      <c r="B27" s="83"/>
      <c r="C27" s="54" t="s">
        <v>135</v>
      </c>
      <c r="D27" s="55">
        <v>3</v>
      </c>
      <c r="E27" s="56">
        <v>8.0688542227000002E-4</v>
      </c>
    </row>
    <row r="28" spans="2:5" s="30" customFormat="1" ht="14">
      <c r="B28" s="83"/>
      <c r="C28" s="54" t="s">
        <v>241</v>
      </c>
      <c r="D28" s="55">
        <v>1</v>
      </c>
      <c r="E28" s="56">
        <v>2.68961807423E-4</v>
      </c>
    </row>
    <row r="29" spans="2:5" s="30" customFormat="1" ht="14">
      <c r="B29" s="83"/>
      <c r="C29" s="54" t="s">
        <v>132</v>
      </c>
      <c r="D29" s="55">
        <v>3</v>
      </c>
      <c r="E29" s="56">
        <v>8.0688542227000002E-4</v>
      </c>
    </row>
    <row r="30" spans="2:5" s="30" customFormat="1" ht="14">
      <c r="B30" s="83"/>
      <c r="C30" s="54" t="s">
        <v>133</v>
      </c>
      <c r="D30" s="55">
        <v>4</v>
      </c>
      <c r="E30" s="56">
        <v>1.0758472296930001E-3</v>
      </c>
    </row>
    <row r="31" spans="2:5" s="30" customFormat="1" ht="14">
      <c r="B31" s="83"/>
      <c r="C31" s="54" t="s">
        <v>301</v>
      </c>
      <c r="D31" s="55">
        <v>1</v>
      </c>
      <c r="E31" s="56">
        <v>2.68961807423E-4</v>
      </c>
    </row>
    <row r="32" spans="2:5" s="30" customFormat="1" ht="14">
      <c r="B32" s="82"/>
      <c r="C32" s="67" t="s">
        <v>308</v>
      </c>
      <c r="D32" s="66">
        <v>19</v>
      </c>
      <c r="E32" s="68">
        <v>5.1102743410440001E-3</v>
      </c>
    </row>
    <row r="33" spans="2:5" s="30" customFormat="1" ht="14">
      <c r="B33" s="81" t="s">
        <v>55</v>
      </c>
      <c r="C33" s="54" t="s">
        <v>130</v>
      </c>
      <c r="D33" s="55">
        <v>3</v>
      </c>
      <c r="E33" s="56">
        <v>8.0688542227000002E-4</v>
      </c>
    </row>
    <row r="34" spans="2:5" s="30" customFormat="1" ht="14">
      <c r="B34" s="83"/>
      <c r="C34" s="54" t="s">
        <v>131</v>
      </c>
      <c r="D34" s="55">
        <v>28</v>
      </c>
      <c r="E34" s="56">
        <v>7.5309306078539997E-3</v>
      </c>
    </row>
    <row r="35" spans="2:5" s="30" customFormat="1" ht="14">
      <c r="B35" s="83"/>
      <c r="C35" s="54" t="s">
        <v>137</v>
      </c>
      <c r="D35" s="55">
        <v>2</v>
      </c>
      <c r="E35" s="56">
        <v>5.3792361484699997E-4</v>
      </c>
    </row>
    <row r="36" spans="2:5" s="30" customFormat="1" ht="14">
      <c r="B36" s="83"/>
      <c r="C36" s="54" t="s">
        <v>135</v>
      </c>
      <c r="D36" s="55">
        <v>1</v>
      </c>
      <c r="E36" s="56">
        <v>2.68961807423E-4</v>
      </c>
    </row>
    <row r="37" spans="2:5" s="30" customFormat="1" ht="14">
      <c r="B37" s="83"/>
      <c r="C37" s="54" t="s">
        <v>136</v>
      </c>
      <c r="D37" s="55">
        <v>1</v>
      </c>
      <c r="E37" s="56">
        <v>2.68961807423E-4</v>
      </c>
    </row>
    <row r="38" spans="2:5" s="30" customFormat="1" ht="14">
      <c r="B38" s="83"/>
      <c r="C38" s="54" t="s">
        <v>138</v>
      </c>
      <c r="D38" s="55">
        <v>1</v>
      </c>
      <c r="E38" s="56">
        <v>2.68961807423E-4</v>
      </c>
    </row>
    <row r="39" spans="2:5" s="30" customFormat="1" ht="14">
      <c r="B39" s="83"/>
      <c r="C39" s="54" t="s">
        <v>132</v>
      </c>
      <c r="D39" s="55">
        <v>21</v>
      </c>
      <c r="E39" s="56">
        <v>5.6481979558899997E-3</v>
      </c>
    </row>
    <row r="40" spans="2:5" s="30" customFormat="1" ht="14">
      <c r="B40" s="83"/>
      <c r="C40" s="54" t="s">
        <v>240</v>
      </c>
      <c r="D40" s="55">
        <v>2</v>
      </c>
      <c r="E40" s="56">
        <v>5.3792361484699997E-4</v>
      </c>
    </row>
    <row r="41" spans="2:5" s="30" customFormat="1" ht="14">
      <c r="B41" s="83"/>
      <c r="C41" s="54" t="s">
        <v>133</v>
      </c>
      <c r="D41" s="55">
        <v>32</v>
      </c>
      <c r="E41" s="56">
        <v>8.606777837547E-3</v>
      </c>
    </row>
    <row r="42" spans="2:5" s="30" customFormat="1" ht="14">
      <c r="B42" s="83"/>
      <c r="C42" s="54" t="s">
        <v>301</v>
      </c>
      <c r="D42" s="55">
        <v>4</v>
      </c>
      <c r="E42" s="56">
        <v>1.0758472296930001E-3</v>
      </c>
    </row>
    <row r="43" spans="2:5" s="30" customFormat="1" ht="14">
      <c r="B43" s="82"/>
      <c r="C43" s="67" t="s">
        <v>308</v>
      </c>
      <c r="D43" s="66">
        <v>95</v>
      </c>
      <c r="E43" s="68">
        <v>2.5551371705217998E-2</v>
      </c>
    </row>
    <row r="44" spans="2:5" s="30" customFormat="1" ht="14">
      <c r="B44" s="81" t="s">
        <v>79</v>
      </c>
      <c r="C44" s="54" t="s">
        <v>131</v>
      </c>
      <c r="D44" s="55">
        <v>1</v>
      </c>
      <c r="E44" s="56">
        <v>2.68961807423E-4</v>
      </c>
    </row>
    <row r="45" spans="2:5" s="30" customFormat="1" ht="14">
      <c r="B45" s="83"/>
      <c r="C45" s="54" t="s">
        <v>132</v>
      </c>
      <c r="D45" s="55">
        <v>2</v>
      </c>
      <c r="E45" s="56">
        <v>5.3792361484699997E-4</v>
      </c>
    </row>
    <row r="46" spans="2:5" s="30" customFormat="1" ht="14">
      <c r="B46" s="83"/>
      <c r="C46" s="54" t="s">
        <v>133</v>
      </c>
      <c r="D46" s="55">
        <v>4</v>
      </c>
      <c r="E46" s="56">
        <v>1.0758472296930001E-3</v>
      </c>
    </row>
    <row r="47" spans="2:5" s="30" customFormat="1" ht="14">
      <c r="B47" s="82"/>
      <c r="C47" s="67" t="s">
        <v>308</v>
      </c>
      <c r="D47" s="66">
        <v>7</v>
      </c>
      <c r="E47" s="68">
        <v>1.8827326519630001E-3</v>
      </c>
    </row>
    <row r="48" spans="2:5" s="30" customFormat="1" ht="14">
      <c r="B48" s="81" t="s">
        <v>89</v>
      </c>
      <c r="C48" s="54" t="s">
        <v>131</v>
      </c>
      <c r="D48" s="55">
        <v>1</v>
      </c>
      <c r="E48" s="56">
        <v>2.68961807423E-4</v>
      </c>
    </row>
    <row r="49" spans="2:5" s="30" customFormat="1" ht="14">
      <c r="B49" s="83"/>
      <c r="C49" s="54" t="s">
        <v>132</v>
      </c>
      <c r="D49" s="55">
        <v>1</v>
      </c>
      <c r="E49" s="56">
        <v>2.68961807423E-4</v>
      </c>
    </row>
    <row r="50" spans="2:5" s="30" customFormat="1" ht="14">
      <c r="B50" s="82"/>
      <c r="C50" s="67" t="s">
        <v>308</v>
      </c>
      <c r="D50" s="66">
        <v>2</v>
      </c>
      <c r="E50" s="68">
        <v>5.3792361484699997E-4</v>
      </c>
    </row>
    <row r="51" spans="2:5" s="30" customFormat="1" ht="14">
      <c r="B51" s="81" t="s">
        <v>90</v>
      </c>
      <c r="C51" s="54" t="s">
        <v>130</v>
      </c>
      <c r="D51" s="55">
        <v>2</v>
      </c>
      <c r="E51" s="56">
        <v>5.3792361484699997E-4</v>
      </c>
    </row>
    <row r="52" spans="2:5" s="30" customFormat="1" ht="14">
      <c r="B52" s="83"/>
      <c r="C52" s="54" t="s">
        <v>131</v>
      </c>
      <c r="D52" s="55">
        <v>2</v>
      </c>
      <c r="E52" s="56">
        <v>5.3792361484699997E-4</v>
      </c>
    </row>
    <row r="53" spans="2:5" s="30" customFormat="1" ht="14">
      <c r="B53" s="83"/>
      <c r="C53" s="54" t="s">
        <v>136</v>
      </c>
      <c r="D53" s="55">
        <v>1</v>
      </c>
      <c r="E53" s="56">
        <v>2.68961807423E-4</v>
      </c>
    </row>
    <row r="54" spans="2:5" s="30" customFormat="1" ht="14">
      <c r="B54" s="83"/>
      <c r="C54" s="54" t="s">
        <v>132</v>
      </c>
      <c r="D54" s="55">
        <v>3</v>
      </c>
      <c r="E54" s="56">
        <v>8.0688542227000002E-4</v>
      </c>
    </row>
    <row r="55" spans="2:5" s="30" customFormat="1" ht="14">
      <c r="B55" s="82"/>
      <c r="C55" s="67" t="s">
        <v>308</v>
      </c>
      <c r="D55" s="66">
        <v>8</v>
      </c>
      <c r="E55" s="68">
        <v>2.1516944593869998E-3</v>
      </c>
    </row>
    <row r="56" spans="2:5" s="30" customFormat="1" ht="14">
      <c r="B56" s="81" t="s">
        <v>51</v>
      </c>
      <c r="C56" s="54" t="s">
        <v>130</v>
      </c>
      <c r="D56" s="55">
        <v>8</v>
      </c>
      <c r="E56" s="56">
        <v>2.1516944593869998E-3</v>
      </c>
    </row>
    <row r="57" spans="2:5" s="30" customFormat="1" ht="14">
      <c r="B57" s="83"/>
      <c r="C57" s="54" t="s">
        <v>131</v>
      </c>
      <c r="D57" s="55">
        <v>34</v>
      </c>
      <c r="E57" s="56">
        <v>9.1447014523940006E-3</v>
      </c>
    </row>
    <row r="58" spans="2:5" s="30" customFormat="1" ht="14">
      <c r="B58" s="83"/>
      <c r="C58" s="54" t="s">
        <v>137</v>
      </c>
      <c r="D58" s="55">
        <v>2</v>
      </c>
      <c r="E58" s="56">
        <v>5.3792361484699997E-4</v>
      </c>
    </row>
    <row r="59" spans="2:5" s="30" customFormat="1" ht="14">
      <c r="B59" s="83"/>
      <c r="C59" s="54" t="s">
        <v>135</v>
      </c>
      <c r="D59" s="55">
        <v>6</v>
      </c>
      <c r="E59" s="56">
        <v>1.61377084454E-3</v>
      </c>
    </row>
    <row r="60" spans="2:5" s="30" customFormat="1" ht="14">
      <c r="B60" s="83"/>
      <c r="C60" s="54" t="s">
        <v>138</v>
      </c>
      <c r="D60" s="55">
        <v>2</v>
      </c>
      <c r="E60" s="56">
        <v>5.3792361484699997E-4</v>
      </c>
    </row>
    <row r="61" spans="2:5" s="30" customFormat="1" ht="14">
      <c r="B61" s="83"/>
      <c r="C61" s="54" t="s">
        <v>132</v>
      </c>
      <c r="D61" s="55">
        <v>49</v>
      </c>
      <c r="E61" s="56">
        <v>1.3179128563743999E-2</v>
      </c>
    </row>
    <row r="62" spans="2:5" s="30" customFormat="1" ht="14">
      <c r="B62" s="83"/>
      <c r="C62" s="54" t="s">
        <v>240</v>
      </c>
      <c r="D62" s="55">
        <v>6</v>
      </c>
      <c r="E62" s="56">
        <v>1.61377084454E-3</v>
      </c>
    </row>
    <row r="63" spans="2:5" s="30" customFormat="1" ht="14">
      <c r="B63" s="83"/>
      <c r="C63" s="54" t="s">
        <v>133</v>
      </c>
      <c r="D63" s="55">
        <v>44</v>
      </c>
      <c r="E63" s="56">
        <v>1.1834319526627E-2</v>
      </c>
    </row>
    <row r="64" spans="2:5" s="30" customFormat="1" ht="14">
      <c r="B64" s="83"/>
      <c r="C64" s="54" t="s">
        <v>301</v>
      </c>
      <c r="D64" s="55">
        <v>8</v>
      </c>
      <c r="E64" s="56">
        <v>2.1516944593869998E-3</v>
      </c>
    </row>
    <row r="65" spans="2:5" s="30" customFormat="1" ht="14">
      <c r="B65" s="82"/>
      <c r="C65" s="67" t="s">
        <v>308</v>
      </c>
      <c r="D65" s="66">
        <v>159</v>
      </c>
      <c r="E65" s="68">
        <v>4.2764927380311998E-2</v>
      </c>
    </row>
    <row r="66" spans="2:5" s="30" customFormat="1" ht="14">
      <c r="B66" s="81" t="s">
        <v>54</v>
      </c>
      <c r="C66" s="54" t="s">
        <v>130</v>
      </c>
      <c r="D66" s="55">
        <v>2</v>
      </c>
      <c r="E66" s="56">
        <v>5.3792361484699997E-4</v>
      </c>
    </row>
    <row r="67" spans="2:5" s="30" customFormat="1" ht="14">
      <c r="B67" s="83"/>
      <c r="C67" s="54" t="s">
        <v>131</v>
      </c>
      <c r="D67" s="55">
        <v>31</v>
      </c>
      <c r="E67" s="56">
        <v>8.3378160301240001E-3</v>
      </c>
    </row>
    <row r="68" spans="2:5" s="30" customFormat="1" ht="14">
      <c r="B68" s="83"/>
      <c r="C68" s="54" t="s">
        <v>137</v>
      </c>
      <c r="D68" s="55">
        <v>1</v>
      </c>
      <c r="E68" s="56">
        <v>2.68961807423E-4</v>
      </c>
    </row>
    <row r="69" spans="2:5" s="30" customFormat="1" ht="14">
      <c r="B69" s="83"/>
      <c r="C69" s="54" t="s">
        <v>136</v>
      </c>
      <c r="D69" s="55">
        <v>2</v>
      </c>
      <c r="E69" s="56">
        <v>5.3792361484699997E-4</v>
      </c>
    </row>
    <row r="70" spans="2:5" s="30" customFormat="1" ht="14">
      <c r="B70" s="83"/>
      <c r="C70" s="54" t="s">
        <v>241</v>
      </c>
      <c r="D70" s="55">
        <v>1</v>
      </c>
      <c r="E70" s="56">
        <v>2.68961807423E-4</v>
      </c>
    </row>
    <row r="71" spans="2:5" s="30" customFormat="1" ht="14">
      <c r="B71" s="83"/>
      <c r="C71" s="54" t="s">
        <v>138</v>
      </c>
      <c r="D71" s="55">
        <v>2</v>
      </c>
      <c r="E71" s="56">
        <v>5.3792361484699997E-4</v>
      </c>
    </row>
    <row r="72" spans="2:5" s="30" customFormat="1" ht="14">
      <c r="B72" s="83"/>
      <c r="C72" s="54" t="s">
        <v>132</v>
      </c>
      <c r="D72" s="55">
        <v>41</v>
      </c>
      <c r="E72" s="56">
        <v>1.1027434104357E-2</v>
      </c>
    </row>
    <row r="73" spans="2:5" s="30" customFormat="1" ht="14">
      <c r="B73" s="83"/>
      <c r="C73" s="54" t="s">
        <v>240</v>
      </c>
      <c r="D73" s="55">
        <v>1</v>
      </c>
      <c r="E73" s="56">
        <v>2.68961807423E-4</v>
      </c>
    </row>
    <row r="74" spans="2:5" s="30" customFormat="1" ht="14">
      <c r="B74" s="83"/>
      <c r="C74" s="54" t="s">
        <v>133</v>
      </c>
      <c r="D74" s="55">
        <v>29</v>
      </c>
      <c r="E74" s="56">
        <v>7.7998924152770004E-3</v>
      </c>
    </row>
    <row r="75" spans="2:5" s="30" customFormat="1" ht="14">
      <c r="B75" s="83"/>
      <c r="C75" s="54" t="s">
        <v>301</v>
      </c>
      <c r="D75" s="55">
        <v>4</v>
      </c>
      <c r="E75" s="56">
        <v>1.0758472296930001E-3</v>
      </c>
    </row>
    <row r="76" spans="2:5" s="30" customFormat="1" ht="14">
      <c r="B76" s="82"/>
      <c r="C76" s="67" t="s">
        <v>308</v>
      </c>
      <c r="D76" s="66">
        <v>114</v>
      </c>
      <c r="E76" s="68">
        <v>3.0661646046260999E-2</v>
      </c>
    </row>
    <row r="77" spans="2:5" s="30" customFormat="1" ht="14">
      <c r="B77" s="81" t="s">
        <v>63</v>
      </c>
      <c r="C77" s="54" t="s">
        <v>130</v>
      </c>
      <c r="D77" s="55">
        <v>2</v>
      </c>
      <c r="E77" s="56">
        <v>5.3792361484699997E-4</v>
      </c>
    </row>
    <row r="78" spans="2:5" s="30" customFormat="1" ht="14">
      <c r="B78" s="83"/>
      <c r="C78" s="54" t="s">
        <v>131</v>
      </c>
      <c r="D78" s="55">
        <v>12</v>
      </c>
      <c r="E78" s="56">
        <v>3.2275416890800001E-3</v>
      </c>
    </row>
    <row r="79" spans="2:5" s="30" customFormat="1" ht="14">
      <c r="B79" s="83"/>
      <c r="C79" s="54" t="s">
        <v>135</v>
      </c>
      <c r="D79" s="55">
        <v>1</v>
      </c>
      <c r="E79" s="56">
        <v>2.68961807423E-4</v>
      </c>
    </row>
    <row r="80" spans="2:5" s="30" customFormat="1" ht="14">
      <c r="B80" s="83"/>
      <c r="C80" s="54" t="s">
        <v>136</v>
      </c>
      <c r="D80" s="55">
        <v>4</v>
      </c>
      <c r="E80" s="56">
        <v>1.0758472296930001E-3</v>
      </c>
    </row>
    <row r="81" spans="2:5" s="30" customFormat="1" ht="14">
      <c r="B81" s="83"/>
      <c r="C81" s="54" t="s">
        <v>241</v>
      </c>
      <c r="D81" s="55">
        <v>2</v>
      </c>
      <c r="E81" s="56">
        <v>5.3792361484699997E-4</v>
      </c>
    </row>
    <row r="82" spans="2:5" s="30" customFormat="1" ht="14">
      <c r="B82" s="83"/>
      <c r="C82" s="54" t="s">
        <v>138</v>
      </c>
      <c r="D82" s="55">
        <v>2</v>
      </c>
      <c r="E82" s="56">
        <v>5.3792361484699997E-4</v>
      </c>
    </row>
    <row r="83" spans="2:5" s="30" customFormat="1" ht="14">
      <c r="B83" s="83"/>
      <c r="C83" s="54" t="s">
        <v>132</v>
      </c>
      <c r="D83" s="55">
        <v>11</v>
      </c>
      <c r="E83" s="56">
        <v>2.9585798816569998E-3</v>
      </c>
    </row>
    <row r="84" spans="2:5" s="30" customFormat="1" ht="14">
      <c r="B84" s="83"/>
      <c r="C84" s="54" t="s">
        <v>240</v>
      </c>
      <c r="D84" s="55">
        <v>1</v>
      </c>
      <c r="E84" s="56">
        <v>2.68961807423E-4</v>
      </c>
    </row>
    <row r="85" spans="2:5" s="30" customFormat="1" ht="14">
      <c r="B85" s="83"/>
      <c r="C85" s="54" t="s">
        <v>133</v>
      </c>
      <c r="D85" s="55">
        <v>6</v>
      </c>
      <c r="E85" s="56">
        <v>1.61377084454E-3</v>
      </c>
    </row>
    <row r="86" spans="2:5" s="30" customFormat="1" ht="14">
      <c r="B86" s="83"/>
      <c r="C86" s="54" t="s">
        <v>301</v>
      </c>
      <c r="D86" s="55">
        <v>2</v>
      </c>
      <c r="E86" s="56">
        <v>5.3792361484699997E-4</v>
      </c>
    </row>
    <row r="87" spans="2:5" s="30" customFormat="1" ht="14">
      <c r="B87" s="82"/>
      <c r="C87" s="67" t="s">
        <v>308</v>
      </c>
      <c r="D87" s="66">
        <v>43</v>
      </c>
      <c r="E87" s="68">
        <v>1.1565357719204E-2</v>
      </c>
    </row>
    <row r="88" spans="2:5" s="30" customFormat="1" ht="14">
      <c r="B88" s="81" t="s">
        <v>76</v>
      </c>
      <c r="C88" s="54" t="s">
        <v>130</v>
      </c>
      <c r="D88" s="55">
        <v>1</v>
      </c>
      <c r="E88" s="56">
        <v>2.68961807423E-4</v>
      </c>
    </row>
    <row r="89" spans="2:5" s="30" customFormat="1" ht="14">
      <c r="B89" s="83"/>
      <c r="C89" s="54" t="s">
        <v>131</v>
      </c>
      <c r="D89" s="55">
        <v>9</v>
      </c>
      <c r="E89" s="56">
        <v>2.4206562668100001E-3</v>
      </c>
    </row>
    <row r="90" spans="2:5" s="30" customFormat="1" ht="14">
      <c r="B90" s="83"/>
      <c r="C90" s="54" t="s">
        <v>138</v>
      </c>
      <c r="D90" s="55">
        <v>1</v>
      </c>
      <c r="E90" s="56">
        <v>2.68961807423E-4</v>
      </c>
    </row>
    <row r="91" spans="2:5" s="30" customFormat="1" ht="14">
      <c r="B91" s="83"/>
      <c r="C91" s="54" t="s">
        <v>132</v>
      </c>
      <c r="D91" s="55">
        <v>6</v>
      </c>
      <c r="E91" s="56">
        <v>1.61377084454E-3</v>
      </c>
    </row>
    <row r="92" spans="2:5" s="30" customFormat="1" ht="14">
      <c r="B92" s="83"/>
      <c r="C92" s="54" t="s">
        <v>133</v>
      </c>
      <c r="D92" s="55">
        <v>11</v>
      </c>
      <c r="E92" s="56">
        <v>2.9585798816569998E-3</v>
      </c>
    </row>
    <row r="93" spans="2:5" s="30" customFormat="1" ht="14">
      <c r="B93" s="83"/>
      <c r="C93" s="54" t="s">
        <v>301</v>
      </c>
      <c r="D93" s="55">
        <v>3</v>
      </c>
      <c r="E93" s="56">
        <v>8.0688542227000002E-4</v>
      </c>
    </row>
    <row r="94" spans="2:5" s="30" customFormat="1" ht="14">
      <c r="B94" s="82"/>
      <c r="C94" s="67" t="s">
        <v>308</v>
      </c>
      <c r="D94" s="66">
        <v>31</v>
      </c>
      <c r="E94" s="68">
        <v>8.3378160301240001E-3</v>
      </c>
    </row>
    <row r="95" spans="2:5" s="30" customFormat="1" ht="14">
      <c r="B95" s="81" t="s">
        <v>85</v>
      </c>
      <c r="C95" s="54" t="s">
        <v>131</v>
      </c>
      <c r="D95" s="55">
        <v>2</v>
      </c>
      <c r="E95" s="56">
        <v>5.3792361484699997E-4</v>
      </c>
    </row>
    <row r="96" spans="2:5" s="30" customFormat="1" ht="14">
      <c r="B96" s="83"/>
      <c r="C96" s="54" t="s">
        <v>138</v>
      </c>
      <c r="D96" s="55">
        <v>1</v>
      </c>
      <c r="E96" s="56">
        <v>2.68961807423E-4</v>
      </c>
    </row>
    <row r="97" spans="2:5" s="30" customFormat="1" ht="14">
      <c r="B97" s="83"/>
      <c r="C97" s="54" t="s">
        <v>133</v>
      </c>
      <c r="D97" s="55">
        <v>4</v>
      </c>
      <c r="E97" s="56">
        <v>1.0758472296930001E-3</v>
      </c>
    </row>
    <row r="98" spans="2:5" s="30" customFormat="1" ht="14">
      <c r="B98" s="82"/>
      <c r="C98" s="67" t="s">
        <v>308</v>
      </c>
      <c r="D98" s="66">
        <v>7</v>
      </c>
      <c r="E98" s="68">
        <v>1.8827326519630001E-3</v>
      </c>
    </row>
    <row r="99" spans="2:5" s="30" customFormat="1" ht="14">
      <c r="B99" s="81" t="s">
        <v>81</v>
      </c>
      <c r="C99" s="54" t="s">
        <v>131</v>
      </c>
      <c r="D99" s="55">
        <v>4</v>
      </c>
      <c r="E99" s="56">
        <v>1.0758472296930001E-3</v>
      </c>
    </row>
    <row r="100" spans="2:5" s="30" customFormat="1" ht="14">
      <c r="B100" s="83"/>
      <c r="C100" s="54" t="s">
        <v>133</v>
      </c>
      <c r="D100" s="55">
        <v>1</v>
      </c>
      <c r="E100" s="56">
        <v>2.68961807423E-4</v>
      </c>
    </row>
    <row r="101" spans="2:5" s="30" customFormat="1" ht="14">
      <c r="B101" s="82"/>
      <c r="C101" s="67" t="s">
        <v>308</v>
      </c>
      <c r="D101" s="66">
        <v>5</v>
      </c>
      <c r="E101" s="68">
        <v>1.344809037117E-3</v>
      </c>
    </row>
    <row r="102" spans="2:5" s="30" customFormat="1" ht="14">
      <c r="B102" s="81" t="s">
        <v>47</v>
      </c>
      <c r="C102" s="54" t="s">
        <v>130</v>
      </c>
      <c r="D102" s="55">
        <v>29</v>
      </c>
      <c r="E102" s="56">
        <v>7.7998924152770004E-3</v>
      </c>
    </row>
    <row r="103" spans="2:5" s="30" customFormat="1" ht="14">
      <c r="B103" s="83"/>
      <c r="C103" s="54" t="s">
        <v>131</v>
      </c>
      <c r="D103" s="55">
        <v>150</v>
      </c>
      <c r="E103" s="56">
        <v>4.0344271113502E-2</v>
      </c>
    </row>
    <row r="104" spans="2:5" s="30" customFormat="1" ht="14">
      <c r="B104" s="83"/>
      <c r="C104" s="54" t="s">
        <v>137</v>
      </c>
      <c r="D104" s="55">
        <v>12</v>
      </c>
      <c r="E104" s="56">
        <v>3.2275416890800001E-3</v>
      </c>
    </row>
    <row r="105" spans="2:5" s="30" customFormat="1" ht="14">
      <c r="B105" s="83"/>
      <c r="C105" s="54" t="s">
        <v>135</v>
      </c>
      <c r="D105" s="55">
        <v>51</v>
      </c>
      <c r="E105" s="56">
        <v>1.3717052178591E-2</v>
      </c>
    </row>
    <row r="106" spans="2:5" s="30" customFormat="1" ht="14">
      <c r="B106" s="83"/>
      <c r="C106" s="54" t="s">
        <v>136</v>
      </c>
      <c r="D106" s="55">
        <v>23</v>
      </c>
      <c r="E106" s="56">
        <v>6.1861215707370003E-3</v>
      </c>
    </row>
    <row r="107" spans="2:5" s="30" customFormat="1" ht="14">
      <c r="B107" s="83"/>
      <c r="C107" s="54" t="s">
        <v>138</v>
      </c>
      <c r="D107" s="55">
        <v>11</v>
      </c>
      <c r="E107" s="56">
        <v>2.9585798816569998E-3</v>
      </c>
    </row>
    <row r="108" spans="2:5" s="30" customFormat="1" ht="14">
      <c r="B108" s="83"/>
      <c r="C108" s="54" t="s">
        <v>132</v>
      </c>
      <c r="D108" s="55">
        <v>89</v>
      </c>
      <c r="E108" s="56">
        <v>2.3937600860678001E-2</v>
      </c>
    </row>
    <row r="109" spans="2:5" s="30" customFormat="1" ht="14">
      <c r="B109" s="83"/>
      <c r="C109" s="54" t="s">
        <v>240</v>
      </c>
      <c r="D109" s="55">
        <v>8</v>
      </c>
      <c r="E109" s="56">
        <v>2.1516944593869998E-3</v>
      </c>
    </row>
    <row r="110" spans="2:5" s="30" customFormat="1" ht="14">
      <c r="B110" s="83"/>
      <c r="C110" s="54" t="s">
        <v>133</v>
      </c>
      <c r="D110" s="55">
        <v>187</v>
      </c>
      <c r="E110" s="56">
        <v>5.0295857988166E-2</v>
      </c>
    </row>
    <row r="111" spans="2:5" s="30" customFormat="1" ht="14">
      <c r="B111" s="83"/>
      <c r="C111" s="54" t="s">
        <v>301</v>
      </c>
      <c r="D111" s="55">
        <v>20</v>
      </c>
      <c r="E111" s="56">
        <v>5.3792361484669999E-3</v>
      </c>
    </row>
    <row r="112" spans="2:5" s="30" customFormat="1" ht="14">
      <c r="B112" s="82"/>
      <c r="C112" s="67" t="s">
        <v>308</v>
      </c>
      <c r="D112" s="66">
        <v>580</v>
      </c>
      <c r="E112" s="68">
        <v>0.155997848305541</v>
      </c>
    </row>
    <row r="113" spans="2:5" s="30" customFormat="1" ht="14">
      <c r="B113" s="81" t="s">
        <v>56</v>
      </c>
      <c r="C113" s="54" t="s">
        <v>130</v>
      </c>
      <c r="D113" s="55">
        <v>3</v>
      </c>
      <c r="E113" s="56">
        <v>8.0688542227000002E-4</v>
      </c>
    </row>
    <row r="114" spans="2:5" s="30" customFormat="1" ht="14">
      <c r="B114" s="83"/>
      <c r="C114" s="54" t="s">
        <v>131</v>
      </c>
      <c r="D114" s="55">
        <v>36</v>
      </c>
      <c r="E114" s="56">
        <v>9.6826250672400003E-3</v>
      </c>
    </row>
    <row r="115" spans="2:5" s="30" customFormat="1" ht="14">
      <c r="B115" s="83"/>
      <c r="C115" s="54" t="s">
        <v>136</v>
      </c>
      <c r="D115" s="55">
        <v>1</v>
      </c>
      <c r="E115" s="56">
        <v>2.68961807423E-4</v>
      </c>
    </row>
    <row r="116" spans="2:5" s="30" customFormat="1" ht="14">
      <c r="B116" s="83"/>
      <c r="C116" s="54" t="s">
        <v>138</v>
      </c>
      <c r="D116" s="55">
        <v>2</v>
      </c>
      <c r="E116" s="56">
        <v>5.3792361484699997E-4</v>
      </c>
    </row>
    <row r="117" spans="2:5" s="30" customFormat="1" ht="14">
      <c r="B117" s="83"/>
      <c r="C117" s="54" t="s">
        <v>132</v>
      </c>
      <c r="D117" s="55">
        <v>18</v>
      </c>
      <c r="E117" s="56">
        <v>4.8413125336200001E-3</v>
      </c>
    </row>
    <row r="118" spans="2:5" s="30" customFormat="1" ht="14">
      <c r="B118" s="83"/>
      <c r="C118" s="54" t="s">
        <v>240</v>
      </c>
      <c r="D118" s="55">
        <v>3</v>
      </c>
      <c r="E118" s="56">
        <v>8.0688542227000002E-4</v>
      </c>
    </row>
    <row r="119" spans="2:5" s="30" customFormat="1" ht="14">
      <c r="B119" s="83"/>
      <c r="C119" s="54" t="s">
        <v>133</v>
      </c>
      <c r="D119" s="55">
        <v>26</v>
      </c>
      <c r="E119" s="56">
        <v>6.9930069930069999E-3</v>
      </c>
    </row>
    <row r="120" spans="2:5" s="30" customFormat="1" ht="14">
      <c r="B120" s="83"/>
      <c r="C120" s="54" t="s">
        <v>301</v>
      </c>
      <c r="D120" s="55">
        <v>3</v>
      </c>
      <c r="E120" s="56">
        <v>8.0688542227000002E-4</v>
      </c>
    </row>
    <row r="121" spans="2:5" s="30" customFormat="1" ht="14">
      <c r="B121" s="82"/>
      <c r="C121" s="67" t="s">
        <v>308</v>
      </c>
      <c r="D121" s="66">
        <v>92</v>
      </c>
      <c r="E121" s="68">
        <v>2.4744486282948001E-2</v>
      </c>
    </row>
    <row r="122" spans="2:5" s="30" customFormat="1" ht="14">
      <c r="B122" s="81" t="s">
        <v>74</v>
      </c>
      <c r="C122" s="54" t="s">
        <v>131</v>
      </c>
      <c r="D122" s="55">
        <v>10</v>
      </c>
      <c r="E122" s="56">
        <v>2.6896180742329999E-3</v>
      </c>
    </row>
    <row r="123" spans="2:5" s="30" customFormat="1" ht="14">
      <c r="B123" s="83"/>
      <c r="C123" s="54" t="s">
        <v>135</v>
      </c>
      <c r="D123" s="55">
        <v>1</v>
      </c>
      <c r="E123" s="56">
        <v>2.68961807423E-4</v>
      </c>
    </row>
    <row r="124" spans="2:5" s="30" customFormat="1" ht="14">
      <c r="B124" s="83"/>
      <c r="C124" s="54" t="s">
        <v>132</v>
      </c>
      <c r="D124" s="55">
        <v>7</v>
      </c>
      <c r="E124" s="56">
        <v>1.8827326519630001E-3</v>
      </c>
    </row>
    <row r="125" spans="2:5" s="30" customFormat="1" ht="14">
      <c r="B125" s="83"/>
      <c r="C125" s="54" t="s">
        <v>133</v>
      </c>
      <c r="D125" s="55">
        <v>3</v>
      </c>
      <c r="E125" s="56">
        <v>8.0688542227000002E-4</v>
      </c>
    </row>
    <row r="126" spans="2:5" s="30" customFormat="1" ht="14">
      <c r="B126" s="82"/>
      <c r="C126" s="67" t="s">
        <v>308</v>
      </c>
      <c r="D126" s="66">
        <v>21</v>
      </c>
      <c r="E126" s="68">
        <v>5.6481979558899997E-3</v>
      </c>
    </row>
    <row r="127" spans="2:5" s="30" customFormat="1" ht="14">
      <c r="B127" s="81" t="s">
        <v>64</v>
      </c>
      <c r="C127" s="54" t="s">
        <v>130</v>
      </c>
      <c r="D127" s="55">
        <v>10</v>
      </c>
      <c r="E127" s="56">
        <v>2.6896180742329999E-3</v>
      </c>
    </row>
    <row r="128" spans="2:5" s="30" customFormat="1" ht="14">
      <c r="B128" s="83"/>
      <c r="C128" s="54" t="s">
        <v>131</v>
      </c>
      <c r="D128" s="55">
        <v>10</v>
      </c>
      <c r="E128" s="56">
        <v>2.6896180742329999E-3</v>
      </c>
    </row>
    <row r="129" spans="2:5" s="30" customFormat="1" ht="14">
      <c r="B129" s="83"/>
      <c r="C129" s="54" t="s">
        <v>137</v>
      </c>
      <c r="D129" s="55">
        <v>1</v>
      </c>
      <c r="E129" s="56">
        <v>2.68961807423E-4</v>
      </c>
    </row>
    <row r="130" spans="2:5" s="30" customFormat="1" ht="14">
      <c r="B130" s="83"/>
      <c r="C130" s="54" t="s">
        <v>136</v>
      </c>
      <c r="D130" s="55">
        <v>1</v>
      </c>
      <c r="E130" s="56">
        <v>2.68961807423E-4</v>
      </c>
    </row>
    <row r="131" spans="2:5" s="30" customFormat="1" ht="14">
      <c r="B131" s="83"/>
      <c r="C131" s="54" t="s">
        <v>138</v>
      </c>
      <c r="D131" s="55">
        <v>2</v>
      </c>
      <c r="E131" s="56">
        <v>5.3792361484699997E-4</v>
      </c>
    </row>
    <row r="132" spans="2:5" s="30" customFormat="1" ht="14">
      <c r="B132" s="83"/>
      <c r="C132" s="54" t="s">
        <v>132</v>
      </c>
      <c r="D132" s="55">
        <v>2</v>
      </c>
      <c r="E132" s="56">
        <v>5.3792361484699997E-4</v>
      </c>
    </row>
    <row r="133" spans="2:5" s="30" customFormat="1" ht="14">
      <c r="B133" s="83"/>
      <c r="C133" s="54" t="s">
        <v>240</v>
      </c>
      <c r="D133" s="55">
        <v>1</v>
      </c>
      <c r="E133" s="56">
        <v>2.68961807423E-4</v>
      </c>
    </row>
    <row r="134" spans="2:5" s="30" customFormat="1" ht="14">
      <c r="B134" s="83"/>
      <c r="C134" s="54" t="s">
        <v>133</v>
      </c>
      <c r="D134" s="55">
        <v>18</v>
      </c>
      <c r="E134" s="56">
        <v>4.8413125336200001E-3</v>
      </c>
    </row>
    <row r="135" spans="2:5" s="30" customFormat="1" ht="14">
      <c r="B135" s="83"/>
      <c r="C135" s="54" t="s">
        <v>301</v>
      </c>
      <c r="D135" s="55">
        <v>3</v>
      </c>
      <c r="E135" s="56">
        <v>8.0688542227000002E-4</v>
      </c>
    </row>
    <row r="136" spans="2:5" s="30" customFormat="1" ht="14">
      <c r="B136" s="82"/>
      <c r="C136" s="67" t="s">
        <v>308</v>
      </c>
      <c r="D136" s="66">
        <v>48</v>
      </c>
      <c r="E136" s="68">
        <v>1.2910166756321E-2</v>
      </c>
    </row>
    <row r="137" spans="2:5" s="30" customFormat="1" ht="14">
      <c r="B137" s="81" t="s">
        <v>83</v>
      </c>
      <c r="C137" s="54" t="s">
        <v>132</v>
      </c>
      <c r="D137" s="55">
        <v>3</v>
      </c>
      <c r="E137" s="56">
        <v>8.0688542227000002E-4</v>
      </c>
    </row>
    <row r="138" spans="2:5" s="30" customFormat="1" ht="14">
      <c r="B138" s="83"/>
      <c r="C138" s="54" t="s">
        <v>133</v>
      </c>
      <c r="D138" s="55">
        <v>2</v>
      </c>
      <c r="E138" s="56">
        <v>5.3792361484699997E-4</v>
      </c>
    </row>
    <row r="139" spans="2:5" s="30" customFormat="1" ht="14">
      <c r="B139" s="82"/>
      <c r="C139" s="67" t="s">
        <v>308</v>
      </c>
      <c r="D139" s="66">
        <v>5</v>
      </c>
      <c r="E139" s="68">
        <v>1.344809037117E-3</v>
      </c>
    </row>
    <row r="140" spans="2:5" s="30" customFormat="1" ht="14">
      <c r="B140" s="81" t="s">
        <v>50</v>
      </c>
      <c r="C140" s="54" t="s">
        <v>130</v>
      </c>
      <c r="D140" s="55">
        <v>7</v>
      </c>
      <c r="E140" s="56">
        <v>1.8827326519630001E-3</v>
      </c>
    </row>
    <row r="141" spans="2:5" s="30" customFormat="1" ht="14">
      <c r="B141" s="83"/>
      <c r="C141" s="54" t="s">
        <v>131</v>
      </c>
      <c r="D141" s="55">
        <v>49</v>
      </c>
      <c r="E141" s="56">
        <v>1.3179128563743999E-2</v>
      </c>
    </row>
    <row r="142" spans="2:5" s="30" customFormat="1" ht="14">
      <c r="B142" s="83"/>
      <c r="C142" s="54" t="s">
        <v>137</v>
      </c>
      <c r="D142" s="55">
        <v>4</v>
      </c>
      <c r="E142" s="56">
        <v>1.0758472296930001E-3</v>
      </c>
    </row>
    <row r="143" spans="2:5" s="30" customFormat="1" ht="14">
      <c r="B143" s="83"/>
      <c r="C143" s="54" t="s">
        <v>135</v>
      </c>
      <c r="D143" s="55">
        <v>4</v>
      </c>
      <c r="E143" s="56">
        <v>1.0758472296930001E-3</v>
      </c>
    </row>
    <row r="144" spans="2:5" s="30" customFormat="1" ht="14">
      <c r="B144" s="83"/>
      <c r="C144" s="54" t="s">
        <v>136</v>
      </c>
      <c r="D144" s="55">
        <v>8</v>
      </c>
      <c r="E144" s="56">
        <v>2.1516944593869998E-3</v>
      </c>
    </row>
    <row r="145" spans="2:5" s="30" customFormat="1" ht="14">
      <c r="B145" s="83"/>
      <c r="C145" s="54" t="s">
        <v>241</v>
      </c>
      <c r="D145" s="55">
        <v>8</v>
      </c>
      <c r="E145" s="56">
        <v>2.1516944593869998E-3</v>
      </c>
    </row>
    <row r="146" spans="2:5" s="30" customFormat="1" ht="14">
      <c r="B146" s="83"/>
      <c r="C146" s="54" t="s">
        <v>138</v>
      </c>
      <c r="D146" s="55">
        <v>4</v>
      </c>
      <c r="E146" s="56">
        <v>1.0758472296930001E-3</v>
      </c>
    </row>
    <row r="147" spans="2:5" s="30" customFormat="1" ht="14">
      <c r="B147" s="83"/>
      <c r="C147" s="54" t="s">
        <v>132</v>
      </c>
      <c r="D147" s="55">
        <v>39</v>
      </c>
      <c r="E147" s="56">
        <v>1.0489510489510001E-2</v>
      </c>
    </row>
    <row r="148" spans="2:5" s="30" customFormat="1" ht="14">
      <c r="B148" s="83"/>
      <c r="C148" s="54" t="s">
        <v>240</v>
      </c>
      <c r="D148" s="55">
        <v>16</v>
      </c>
      <c r="E148" s="56">
        <v>4.3033889187739996E-3</v>
      </c>
    </row>
    <row r="149" spans="2:5" s="30" customFormat="1" ht="14">
      <c r="B149" s="83"/>
      <c r="C149" s="54" t="s">
        <v>133</v>
      </c>
      <c r="D149" s="55">
        <v>24</v>
      </c>
      <c r="E149" s="56">
        <v>6.4550833781600002E-3</v>
      </c>
    </row>
    <row r="150" spans="2:5" s="30" customFormat="1" ht="14">
      <c r="B150" s="83"/>
      <c r="C150" s="54" t="s">
        <v>301</v>
      </c>
      <c r="D150" s="55">
        <v>25</v>
      </c>
      <c r="E150" s="56">
        <v>6.7240451855840001E-3</v>
      </c>
    </row>
    <row r="151" spans="2:5" s="30" customFormat="1" ht="14">
      <c r="B151" s="82"/>
      <c r="C151" s="67" t="s">
        <v>308</v>
      </c>
      <c r="D151" s="66">
        <v>188</v>
      </c>
      <c r="E151" s="68">
        <v>5.0564819795589001E-2</v>
      </c>
    </row>
    <row r="152" spans="2:5" s="30" customFormat="1" ht="14">
      <c r="B152" s="81" t="s">
        <v>67</v>
      </c>
      <c r="C152" s="54" t="s">
        <v>130</v>
      </c>
      <c r="D152" s="55">
        <v>3</v>
      </c>
      <c r="E152" s="56">
        <v>8.0688542227000002E-4</v>
      </c>
    </row>
    <row r="153" spans="2:5" s="30" customFormat="1" ht="14">
      <c r="B153" s="83"/>
      <c r="C153" s="54" t="s">
        <v>131</v>
      </c>
      <c r="D153" s="55">
        <v>12</v>
      </c>
      <c r="E153" s="56">
        <v>3.2275416890800001E-3</v>
      </c>
    </row>
    <row r="154" spans="2:5" s="30" customFormat="1" ht="14">
      <c r="B154" s="83"/>
      <c r="C154" s="54" t="s">
        <v>137</v>
      </c>
      <c r="D154" s="55">
        <v>1</v>
      </c>
      <c r="E154" s="56">
        <v>2.68961807423E-4</v>
      </c>
    </row>
    <row r="155" spans="2:5" s="30" customFormat="1" ht="14">
      <c r="B155" s="83"/>
      <c r="C155" s="54" t="s">
        <v>136</v>
      </c>
      <c r="D155" s="55">
        <v>1</v>
      </c>
      <c r="E155" s="56">
        <v>2.68961807423E-4</v>
      </c>
    </row>
    <row r="156" spans="2:5" s="30" customFormat="1" ht="14">
      <c r="B156" s="83"/>
      <c r="C156" s="54" t="s">
        <v>138</v>
      </c>
      <c r="D156" s="55">
        <v>1</v>
      </c>
      <c r="E156" s="56">
        <v>2.68961807423E-4</v>
      </c>
    </row>
    <row r="157" spans="2:5" s="30" customFormat="1" ht="14">
      <c r="B157" s="83"/>
      <c r="C157" s="54" t="s">
        <v>132</v>
      </c>
      <c r="D157" s="55">
        <v>1</v>
      </c>
      <c r="E157" s="56">
        <v>2.68961807423E-4</v>
      </c>
    </row>
    <row r="158" spans="2:5" s="30" customFormat="1" ht="14">
      <c r="B158" s="83"/>
      <c r="C158" s="54" t="s">
        <v>133</v>
      </c>
      <c r="D158" s="55">
        <v>7</v>
      </c>
      <c r="E158" s="56">
        <v>1.8827326519630001E-3</v>
      </c>
    </row>
    <row r="159" spans="2:5" s="30" customFormat="1" ht="14">
      <c r="B159" s="82"/>
      <c r="C159" s="67" t="s">
        <v>308</v>
      </c>
      <c r="D159" s="66">
        <v>26</v>
      </c>
      <c r="E159" s="68">
        <v>6.9930069930069999E-3</v>
      </c>
    </row>
    <row r="160" spans="2:5" s="30" customFormat="1" ht="14">
      <c r="B160" s="81" t="s">
        <v>46</v>
      </c>
      <c r="C160" s="54" t="s">
        <v>130</v>
      </c>
      <c r="D160" s="55">
        <v>46</v>
      </c>
      <c r="E160" s="56">
        <v>1.2372243141474001E-2</v>
      </c>
    </row>
    <row r="161" spans="2:5" s="30" customFormat="1" ht="14">
      <c r="B161" s="83"/>
      <c r="C161" s="54" t="s">
        <v>131</v>
      </c>
      <c r="D161" s="55">
        <v>243</v>
      </c>
      <c r="E161" s="56">
        <v>6.5357719203872996E-2</v>
      </c>
    </row>
    <row r="162" spans="2:5" s="30" customFormat="1" ht="14">
      <c r="B162" s="83"/>
      <c r="C162" s="54" t="s">
        <v>137</v>
      </c>
      <c r="D162" s="55">
        <v>37</v>
      </c>
      <c r="E162" s="56">
        <v>9.9515868746639993E-3</v>
      </c>
    </row>
    <row r="163" spans="2:5" s="30" customFormat="1" ht="14">
      <c r="B163" s="83"/>
      <c r="C163" s="54" t="s">
        <v>135</v>
      </c>
      <c r="D163" s="55">
        <v>42</v>
      </c>
      <c r="E163" s="56">
        <v>1.1296395911781E-2</v>
      </c>
    </row>
    <row r="164" spans="2:5" s="30" customFormat="1" ht="14">
      <c r="B164" s="83"/>
      <c r="C164" s="54" t="s">
        <v>136</v>
      </c>
      <c r="D164" s="55">
        <v>38</v>
      </c>
      <c r="E164" s="56">
        <v>1.0220548682086999E-2</v>
      </c>
    </row>
    <row r="165" spans="2:5" s="30" customFormat="1" ht="14">
      <c r="B165" s="83"/>
      <c r="C165" s="54" t="s">
        <v>241</v>
      </c>
      <c r="D165" s="55">
        <v>1</v>
      </c>
      <c r="E165" s="56">
        <v>2.68961807423E-4</v>
      </c>
    </row>
    <row r="166" spans="2:5" s="30" customFormat="1" ht="14">
      <c r="B166" s="83"/>
      <c r="C166" s="54" t="s">
        <v>138</v>
      </c>
      <c r="D166" s="55">
        <v>17</v>
      </c>
      <c r="E166" s="56">
        <v>4.5723507261970003E-3</v>
      </c>
    </row>
    <row r="167" spans="2:5" s="30" customFormat="1" ht="14">
      <c r="B167" s="83"/>
      <c r="C167" s="54" t="s">
        <v>132</v>
      </c>
      <c r="D167" s="55">
        <v>122</v>
      </c>
      <c r="E167" s="56">
        <v>3.2813340505647999E-2</v>
      </c>
    </row>
    <row r="168" spans="2:5" s="30" customFormat="1" ht="14">
      <c r="B168" s="83"/>
      <c r="C168" s="54" t="s">
        <v>240</v>
      </c>
      <c r="D168" s="55">
        <v>10</v>
      </c>
      <c r="E168" s="56">
        <v>2.6896180742329999E-3</v>
      </c>
    </row>
    <row r="169" spans="2:5" s="30" customFormat="1" ht="14">
      <c r="B169" s="83"/>
      <c r="C169" s="54" t="s">
        <v>133</v>
      </c>
      <c r="D169" s="55">
        <v>204</v>
      </c>
      <c r="E169" s="56">
        <v>5.4868208714363001E-2</v>
      </c>
    </row>
    <row r="170" spans="2:5" s="30" customFormat="1" ht="14">
      <c r="B170" s="83"/>
      <c r="C170" s="54" t="s">
        <v>301</v>
      </c>
      <c r="D170" s="55">
        <v>41</v>
      </c>
      <c r="E170" s="56">
        <v>1.1027434104357E-2</v>
      </c>
    </row>
    <row r="171" spans="2:5" s="30" customFormat="1" ht="14">
      <c r="B171" s="82"/>
      <c r="C171" s="67" t="s">
        <v>308</v>
      </c>
      <c r="D171" s="66">
        <v>801</v>
      </c>
      <c r="E171" s="68">
        <v>0.21543840774610001</v>
      </c>
    </row>
    <row r="172" spans="2:5" s="30" customFormat="1" ht="14">
      <c r="B172" s="81" t="s">
        <v>77</v>
      </c>
      <c r="C172" s="54" t="s">
        <v>131</v>
      </c>
      <c r="D172" s="55">
        <v>12</v>
      </c>
      <c r="E172" s="56">
        <v>3.2275416890800001E-3</v>
      </c>
    </row>
    <row r="173" spans="2:5" s="30" customFormat="1" ht="14">
      <c r="B173" s="83"/>
      <c r="C173" s="54" t="s">
        <v>137</v>
      </c>
      <c r="D173" s="55">
        <v>1</v>
      </c>
      <c r="E173" s="56">
        <v>2.68961807423E-4</v>
      </c>
    </row>
    <row r="174" spans="2:5" s="30" customFormat="1" ht="14">
      <c r="B174" s="83"/>
      <c r="C174" s="54" t="s">
        <v>135</v>
      </c>
      <c r="D174" s="55">
        <v>3</v>
      </c>
      <c r="E174" s="56">
        <v>8.0688542227000002E-4</v>
      </c>
    </row>
    <row r="175" spans="2:5" s="30" customFormat="1" ht="14">
      <c r="B175" s="83"/>
      <c r="C175" s="54" t="s">
        <v>136</v>
      </c>
      <c r="D175" s="55">
        <v>1</v>
      </c>
      <c r="E175" s="56">
        <v>2.68961807423E-4</v>
      </c>
    </row>
    <row r="176" spans="2:5" s="30" customFormat="1" ht="14">
      <c r="B176" s="83"/>
      <c r="C176" s="54" t="s">
        <v>132</v>
      </c>
      <c r="D176" s="55">
        <v>3</v>
      </c>
      <c r="E176" s="56">
        <v>8.0688542227000002E-4</v>
      </c>
    </row>
    <row r="177" spans="2:5" s="30" customFormat="1" ht="14">
      <c r="B177" s="83"/>
      <c r="C177" s="54" t="s">
        <v>133</v>
      </c>
      <c r="D177" s="55">
        <v>4</v>
      </c>
      <c r="E177" s="56">
        <v>1.0758472296930001E-3</v>
      </c>
    </row>
    <row r="178" spans="2:5" s="30" customFormat="1" ht="14">
      <c r="B178" s="82"/>
      <c r="C178" s="67" t="s">
        <v>308</v>
      </c>
      <c r="D178" s="66">
        <v>24</v>
      </c>
      <c r="E178" s="68">
        <v>6.4550833781600002E-3</v>
      </c>
    </row>
    <row r="179" spans="2:5" s="30" customFormat="1" ht="14">
      <c r="B179" s="81" t="s">
        <v>70</v>
      </c>
      <c r="C179" s="54" t="s">
        <v>131</v>
      </c>
      <c r="D179" s="55">
        <v>4</v>
      </c>
      <c r="E179" s="56">
        <v>1.0758472296930001E-3</v>
      </c>
    </row>
    <row r="180" spans="2:5" s="30" customFormat="1" ht="14">
      <c r="B180" s="83"/>
      <c r="C180" s="54" t="s">
        <v>135</v>
      </c>
      <c r="D180" s="55">
        <v>1</v>
      </c>
      <c r="E180" s="56">
        <v>2.68961807423E-4</v>
      </c>
    </row>
    <row r="181" spans="2:5" s="30" customFormat="1" ht="14">
      <c r="B181" s="83"/>
      <c r="C181" s="54" t="s">
        <v>136</v>
      </c>
      <c r="D181" s="55">
        <v>1</v>
      </c>
      <c r="E181" s="56">
        <v>2.68961807423E-4</v>
      </c>
    </row>
    <row r="182" spans="2:5" s="30" customFormat="1" ht="14">
      <c r="B182" s="83"/>
      <c r="C182" s="54" t="s">
        <v>241</v>
      </c>
      <c r="D182" s="55">
        <v>1</v>
      </c>
      <c r="E182" s="56">
        <v>2.68961807423E-4</v>
      </c>
    </row>
    <row r="183" spans="2:5" s="30" customFormat="1" ht="14">
      <c r="B183" s="83"/>
      <c r="C183" s="54" t="s">
        <v>132</v>
      </c>
      <c r="D183" s="55">
        <v>5</v>
      </c>
      <c r="E183" s="56">
        <v>1.344809037117E-3</v>
      </c>
    </row>
    <row r="184" spans="2:5" s="30" customFormat="1" ht="14">
      <c r="B184" s="83"/>
      <c r="C184" s="54" t="s">
        <v>133</v>
      </c>
      <c r="D184" s="55">
        <v>8</v>
      </c>
      <c r="E184" s="56">
        <v>2.1516944593869998E-3</v>
      </c>
    </row>
    <row r="185" spans="2:5" s="30" customFormat="1" ht="14">
      <c r="B185" s="82"/>
      <c r="C185" s="67" t="s">
        <v>308</v>
      </c>
      <c r="D185" s="66">
        <v>20</v>
      </c>
      <c r="E185" s="68">
        <v>5.3792361484669999E-3</v>
      </c>
    </row>
    <row r="186" spans="2:5" s="30" customFormat="1" ht="14">
      <c r="B186" s="81" t="s">
        <v>82</v>
      </c>
      <c r="C186" s="54" t="s">
        <v>131</v>
      </c>
      <c r="D186" s="55">
        <v>3</v>
      </c>
      <c r="E186" s="56">
        <v>8.0688542227000002E-4</v>
      </c>
    </row>
    <row r="187" spans="2:5" s="30" customFormat="1" ht="14">
      <c r="B187" s="83"/>
      <c r="C187" s="54" t="s">
        <v>241</v>
      </c>
      <c r="D187" s="55">
        <v>1</v>
      </c>
      <c r="E187" s="56">
        <v>2.68961807423E-4</v>
      </c>
    </row>
    <row r="188" spans="2:5" s="30" customFormat="1" ht="14">
      <c r="B188" s="83"/>
      <c r="C188" s="54" t="s">
        <v>132</v>
      </c>
      <c r="D188" s="55">
        <v>1</v>
      </c>
      <c r="E188" s="56">
        <v>2.68961807423E-4</v>
      </c>
    </row>
    <row r="189" spans="2:5" s="30" customFormat="1" ht="14">
      <c r="B189" s="83"/>
      <c r="C189" s="54" t="s">
        <v>240</v>
      </c>
      <c r="D189" s="55">
        <v>1</v>
      </c>
      <c r="E189" s="56">
        <v>2.68961807423E-4</v>
      </c>
    </row>
    <row r="190" spans="2:5" s="30" customFormat="1" ht="14">
      <c r="B190" s="83"/>
      <c r="C190" s="54" t="s">
        <v>133</v>
      </c>
      <c r="D190" s="55">
        <v>5</v>
      </c>
      <c r="E190" s="56">
        <v>1.344809037117E-3</v>
      </c>
    </row>
    <row r="191" spans="2:5" s="30" customFormat="1" ht="14">
      <c r="B191" s="82"/>
      <c r="C191" s="67" t="s">
        <v>308</v>
      </c>
      <c r="D191" s="66">
        <v>11</v>
      </c>
      <c r="E191" s="68">
        <v>2.9585798816569998E-3</v>
      </c>
    </row>
    <row r="192" spans="2:5" s="30" customFormat="1" ht="14">
      <c r="B192" s="81" t="s">
        <v>92</v>
      </c>
      <c r="C192" s="54" t="s">
        <v>132</v>
      </c>
      <c r="D192" s="55">
        <v>1</v>
      </c>
      <c r="E192" s="56">
        <v>2.68961807423E-4</v>
      </c>
    </row>
    <row r="193" spans="2:5" s="30" customFormat="1" ht="14">
      <c r="B193" s="83"/>
      <c r="C193" s="54" t="s">
        <v>133</v>
      </c>
      <c r="D193" s="55">
        <v>2</v>
      </c>
      <c r="E193" s="56">
        <v>5.3792361484699997E-4</v>
      </c>
    </row>
    <row r="194" spans="2:5" s="30" customFormat="1" ht="14">
      <c r="B194" s="82"/>
      <c r="C194" s="67" t="s">
        <v>308</v>
      </c>
      <c r="D194" s="66">
        <v>3</v>
      </c>
      <c r="E194" s="68">
        <v>8.0688542227000002E-4</v>
      </c>
    </row>
    <row r="195" spans="2:5" s="30" customFormat="1" ht="14">
      <c r="B195" s="81" t="s">
        <v>87</v>
      </c>
      <c r="C195" s="54" t="s">
        <v>131</v>
      </c>
      <c r="D195" s="55">
        <v>3</v>
      </c>
      <c r="E195" s="56">
        <v>8.0688542227000002E-4</v>
      </c>
    </row>
    <row r="196" spans="2:5" s="30" customFormat="1" ht="14">
      <c r="B196" s="83"/>
      <c r="C196" s="54" t="s">
        <v>136</v>
      </c>
      <c r="D196" s="55">
        <v>1</v>
      </c>
      <c r="E196" s="56">
        <v>2.68961807423E-4</v>
      </c>
    </row>
    <row r="197" spans="2:5" s="30" customFormat="1" ht="14">
      <c r="B197" s="83"/>
      <c r="C197" s="54" t="s">
        <v>133</v>
      </c>
      <c r="D197" s="55">
        <v>6</v>
      </c>
      <c r="E197" s="56">
        <v>1.61377084454E-3</v>
      </c>
    </row>
    <row r="198" spans="2:5" s="30" customFormat="1" ht="14">
      <c r="B198" s="82"/>
      <c r="C198" s="67" t="s">
        <v>308</v>
      </c>
      <c r="D198" s="66">
        <v>10</v>
      </c>
      <c r="E198" s="68">
        <v>2.6896180742329999E-3</v>
      </c>
    </row>
    <row r="199" spans="2:5" s="30" customFormat="1" ht="14">
      <c r="B199" s="81" t="s">
        <v>86</v>
      </c>
      <c r="C199" s="54" t="s">
        <v>130</v>
      </c>
      <c r="D199" s="55">
        <v>1</v>
      </c>
      <c r="E199" s="56">
        <v>2.68961807423E-4</v>
      </c>
    </row>
    <row r="200" spans="2:5" s="30" customFormat="1" ht="14">
      <c r="B200" s="83"/>
      <c r="C200" s="54" t="s">
        <v>132</v>
      </c>
      <c r="D200" s="55">
        <v>3</v>
      </c>
      <c r="E200" s="56">
        <v>8.0688542227000002E-4</v>
      </c>
    </row>
    <row r="201" spans="2:5" s="30" customFormat="1" ht="14">
      <c r="B201" s="83"/>
      <c r="C201" s="54" t="s">
        <v>133</v>
      </c>
      <c r="D201" s="55">
        <v>3</v>
      </c>
      <c r="E201" s="56">
        <v>8.0688542227000002E-4</v>
      </c>
    </row>
    <row r="202" spans="2:5" s="30" customFormat="1" ht="14">
      <c r="B202" s="82"/>
      <c r="C202" s="67" t="s">
        <v>308</v>
      </c>
      <c r="D202" s="66">
        <v>7</v>
      </c>
      <c r="E202" s="68">
        <v>1.8827326519630001E-3</v>
      </c>
    </row>
    <row r="203" spans="2:5" s="30" customFormat="1" ht="14">
      <c r="B203" s="81" t="s">
        <v>72</v>
      </c>
      <c r="C203" s="54" t="s">
        <v>130</v>
      </c>
      <c r="D203" s="55">
        <v>1</v>
      </c>
      <c r="E203" s="56">
        <v>2.68961807423E-4</v>
      </c>
    </row>
    <row r="204" spans="2:5" s="30" customFormat="1" ht="14">
      <c r="B204" s="83"/>
      <c r="C204" s="54" t="s">
        <v>131</v>
      </c>
      <c r="D204" s="55">
        <v>12</v>
      </c>
      <c r="E204" s="56">
        <v>3.2275416890800001E-3</v>
      </c>
    </row>
    <row r="205" spans="2:5" s="30" customFormat="1" ht="14">
      <c r="B205" s="83"/>
      <c r="C205" s="54" t="s">
        <v>137</v>
      </c>
      <c r="D205" s="55">
        <v>2</v>
      </c>
      <c r="E205" s="56">
        <v>5.3792361484699997E-4</v>
      </c>
    </row>
    <row r="206" spans="2:5" s="30" customFormat="1" ht="14">
      <c r="B206" s="83"/>
      <c r="C206" s="54" t="s">
        <v>135</v>
      </c>
      <c r="D206" s="55">
        <v>2</v>
      </c>
      <c r="E206" s="56">
        <v>5.3792361484699997E-4</v>
      </c>
    </row>
    <row r="207" spans="2:5" s="30" customFormat="1" ht="14">
      <c r="B207" s="83"/>
      <c r="C207" s="54" t="s">
        <v>136</v>
      </c>
      <c r="D207" s="55">
        <v>1</v>
      </c>
      <c r="E207" s="56">
        <v>2.68961807423E-4</v>
      </c>
    </row>
    <row r="208" spans="2:5" s="30" customFormat="1" ht="14">
      <c r="B208" s="83"/>
      <c r="C208" s="54" t="s">
        <v>138</v>
      </c>
      <c r="D208" s="55">
        <v>2</v>
      </c>
      <c r="E208" s="56">
        <v>5.3792361484699997E-4</v>
      </c>
    </row>
    <row r="209" spans="2:5" s="30" customFormat="1" ht="14">
      <c r="B209" s="83"/>
      <c r="C209" s="54" t="s">
        <v>132</v>
      </c>
      <c r="D209" s="55">
        <v>4</v>
      </c>
      <c r="E209" s="56">
        <v>1.0758472296930001E-3</v>
      </c>
    </row>
    <row r="210" spans="2:5" s="30" customFormat="1" ht="14">
      <c r="B210" s="83"/>
      <c r="C210" s="54" t="s">
        <v>240</v>
      </c>
      <c r="D210" s="55">
        <v>1</v>
      </c>
      <c r="E210" s="56">
        <v>2.68961807423E-4</v>
      </c>
    </row>
    <row r="211" spans="2:5" s="30" customFormat="1" ht="14">
      <c r="B211" s="83"/>
      <c r="C211" s="54" t="s">
        <v>133</v>
      </c>
      <c r="D211" s="55">
        <v>7</v>
      </c>
      <c r="E211" s="56">
        <v>1.8827326519630001E-3</v>
      </c>
    </row>
    <row r="212" spans="2:5" s="30" customFormat="1" ht="14">
      <c r="B212" s="83"/>
      <c r="C212" s="54" t="s">
        <v>301</v>
      </c>
      <c r="D212" s="55">
        <v>4</v>
      </c>
      <c r="E212" s="56">
        <v>1.0758472296930001E-3</v>
      </c>
    </row>
    <row r="213" spans="2:5" s="30" customFormat="1" ht="14">
      <c r="B213" s="82"/>
      <c r="C213" s="67" t="s">
        <v>308</v>
      </c>
      <c r="D213" s="66">
        <v>36</v>
      </c>
      <c r="E213" s="68">
        <v>9.6826250672400003E-3</v>
      </c>
    </row>
    <row r="214" spans="2:5" s="30" customFormat="1" ht="14">
      <c r="B214" s="81" t="s">
        <v>75</v>
      </c>
      <c r="C214" s="54" t="s">
        <v>130</v>
      </c>
      <c r="D214" s="55">
        <v>1</v>
      </c>
      <c r="E214" s="56">
        <v>2.68961807423E-4</v>
      </c>
    </row>
    <row r="215" spans="2:5" s="30" customFormat="1" ht="14">
      <c r="B215" s="83"/>
      <c r="C215" s="54" t="s">
        <v>131</v>
      </c>
      <c r="D215" s="55">
        <v>4</v>
      </c>
      <c r="E215" s="56">
        <v>1.0758472296930001E-3</v>
      </c>
    </row>
    <row r="216" spans="2:5" s="30" customFormat="1" ht="14">
      <c r="B216" s="83"/>
      <c r="C216" s="54" t="s">
        <v>135</v>
      </c>
      <c r="D216" s="55">
        <v>2</v>
      </c>
      <c r="E216" s="56">
        <v>5.3792361484699997E-4</v>
      </c>
    </row>
    <row r="217" spans="2:5" s="30" customFormat="1" ht="14">
      <c r="B217" s="83"/>
      <c r="C217" s="54" t="s">
        <v>136</v>
      </c>
      <c r="D217" s="55">
        <v>1</v>
      </c>
      <c r="E217" s="56">
        <v>2.68961807423E-4</v>
      </c>
    </row>
    <row r="218" spans="2:5" s="30" customFormat="1" ht="14">
      <c r="B218" s="83"/>
      <c r="C218" s="54" t="s">
        <v>138</v>
      </c>
      <c r="D218" s="55">
        <v>1</v>
      </c>
      <c r="E218" s="56">
        <v>2.68961807423E-4</v>
      </c>
    </row>
    <row r="219" spans="2:5" s="30" customFormat="1" ht="14">
      <c r="B219" s="83"/>
      <c r="C219" s="54" t="s">
        <v>132</v>
      </c>
      <c r="D219" s="55">
        <v>4</v>
      </c>
      <c r="E219" s="56">
        <v>1.0758472296930001E-3</v>
      </c>
    </row>
    <row r="220" spans="2:5" s="30" customFormat="1" ht="14">
      <c r="B220" s="83"/>
      <c r="C220" s="54" t="s">
        <v>133</v>
      </c>
      <c r="D220" s="55">
        <v>10</v>
      </c>
      <c r="E220" s="56">
        <v>2.6896180742329999E-3</v>
      </c>
    </row>
    <row r="221" spans="2:5" s="30" customFormat="1" ht="14">
      <c r="B221" s="83"/>
      <c r="C221" s="54" t="s">
        <v>301</v>
      </c>
      <c r="D221" s="55">
        <v>1</v>
      </c>
      <c r="E221" s="56">
        <v>2.68961807423E-4</v>
      </c>
    </row>
    <row r="222" spans="2:5" s="30" customFormat="1" ht="14">
      <c r="B222" s="82"/>
      <c r="C222" s="67" t="s">
        <v>308</v>
      </c>
      <c r="D222" s="66">
        <v>24</v>
      </c>
      <c r="E222" s="68">
        <v>6.4550833781600002E-3</v>
      </c>
    </row>
    <row r="223" spans="2:5" s="30" customFormat="1" ht="14">
      <c r="B223" s="81" t="s">
        <v>71</v>
      </c>
      <c r="C223" s="54" t="s">
        <v>131</v>
      </c>
      <c r="D223" s="55">
        <v>2</v>
      </c>
      <c r="E223" s="56">
        <v>5.3792361484699997E-4</v>
      </c>
    </row>
    <row r="224" spans="2:5" s="30" customFormat="1" ht="14">
      <c r="B224" s="83"/>
      <c r="C224" s="54" t="s">
        <v>136</v>
      </c>
      <c r="D224" s="55">
        <v>1</v>
      </c>
      <c r="E224" s="56">
        <v>2.68961807423E-4</v>
      </c>
    </row>
    <row r="225" spans="2:5" s="30" customFormat="1" ht="14">
      <c r="B225" s="83"/>
      <c r="C225" s="54" t="s">
        <v>138</v>
      </c>
      <c r="D225" s="55">
        <v>1</v>
      </c>
      <c r="E225" s="56">
        <v>2.68961807423E-4</v>
      </c>
    </row>
    <row r="226" spans="2:5" s="30" customFormat="1" ht="14">
      <c r="B226" s="83"/>
      <c r="C226" s="54" t="s">
        <v>132</v>
      </c>
      <c r="D226" s="55">
        <v>3</v>
      </c>
      <c r="E226" s="56">
        <v>8.0688542227000002E-4</v>
      </c>
    </row>
    <row r="227" spans="2:5" s="30" customFormat="1" ht="14">
      <c r="B227" s="83"/>
      <c r="C227" s="54" t="s">
        <v>133</v>
      </c>
      <c r="D227" s="55">
        <v>6</v>
      </c>
      <c r="E227" s="56">
        <v>1.61377084454E-3</v>
      </c>
    </row>
    <row r="228" spans="2:5" s="30" customFormat="1" ht="14">
      <c r="B228" s="82"/>
      <c r="C228" s="67" t="s">
        <v>308</v>
      </c>
      <c r="D228" s="66">
        <v>13</v>
      </c>
      <c r="E228" s="68">
        <v>3.4965034965029999E-3</v>
      </c>
    </row>
    <row r="229" spans="2:5" s="30" customFormat="1" ht="14">
      <c r="B229" s="81" t="s">
        <v>60</v>
      </c>
      <c r="C229" s="54" t="s">
        <v>130</v>
      </c>
      <c r="D229" s="55">
        <v>1</v>
      </c>
      <c r="E229" s="56">
        <v>2.68961807423E-4</v>
      </c>
    </row>
    <row r="230" spans="2:5" s="30" customFormat="1" ht="14">
      <c r="B230" s="83"/>
      <c r="C230" s="54" t="s">
        <v>131</v>
      </c>
      <c r="D230" s="55">
        <v>22</v>
      </c>
      <c r="E230" s="56">
        <v>5.9171597633139996E-3</v>
      </c>
    </row>
    <row r="231" spans="2:5" s="30" customFormat="1" ht="14">
      <c r="B231" s="83"/>
      <c r="C231" s="54" t="s">
        <v>137</v>
      </c>
      <c r="D231" s="55">
        <v>5</v>
      </c>
      <c r="E231" s="56">
        <v>1.344809037117E-3</v>
      </c>
    </row>
    <row r="232" spans="2:5" s="30" customFormat="1" ht="14">
      <c r="B232" s="83"/>
      <c r="C232" s="54" t="s">
        <v>135</v>
      </c>
      <c r="D232" s="55">
        <v>2</v>
      </c>
      <c r="E232" s="56">
        <v>5.3792361484699997E-4</v>
      </c>
    </row>
    <row r="233" spans="2:5" s="30" customFormat="1" ht="14">
      <c r="B233" s="83"/>
      <c r="C233" s="54" t="s">
        <v>136</v>
      </c>
      <c r="D233" s="55">
        <v>4</v>
      </c>
      <c r="E233" s="56">
        <v>1.0758472296930001E-3</v>
      </c>
    </row>
    <row r="234" spans="2:5" s="30" customFormat="1" ht="14">
      <c r="B234" s="83"/>
      <c r="C234" s="54" t="s">
        <v>138</v>
      </c>
      <c r="D234" s="55">
        <v>2</v>
      </c>
      <c r="E234" s="56">
        <v>5.3792361484699997E-4</v>
      </c>
    </row>
    <row r="235" spans="2:5" s="30" customFormat="1" ht="14">
      <c r="B235" s="83"/>
      <c r="C235" s="54" t="s">
        <v>132</v>
      </c>
      <c r="D235" s="55">
        <v>4</v>
      </c>
      <c r="E235" s="56">
        <v>1.0758472296930001E-3</v>
      </c>
    </row>
    <row r="236" spans="2:5" s="30" customFormat="1" ht="14">
      <c r="B236" s="83"/>
      <c r="C236" s="54" t="s">
        <v>133</v>
      </c>
      <c r="D236" s="55">
        <v>12</v>
      </c>
      <c r="E236" s="56">
        <v>3.2275416890800001E-3</v>
      </c>
    </row>
    <row r="237" spans="2:5" s="30" customFormat="1" ht="14">
      <c r="B237" s="83"/>
      <c r="C237" s="54" t="s">
        <v>301</v>
      </c>
      <c r="D237" s="55">
        <v>3</v>
      </c>
      <c r="E237" s="56">
        <v>8.0688542227000002E-4</v>
      </c>
    </row>
    <row r="238" spans="2:5" s="30" customFormat="1" ht="14">
      <c r="B238" s="82"/>
      <c r="C238" s="67" t="s">
        <v>308</v>
      </c>
      <c r="D238" s="66">
        <v>55</v>
      </c>
      <c r="E238" s="68">
        <v>1.4792899408284E-2</v>
      </c>
    </row>
    <row r="239" spans="2:5" s="30" customFormat="1" ht="14">
      <c r="B239" s="81" t="s">
        <v>57</v>
      </c>
      <c r="C239" s="54" t="s">
        <v>130</v>
      </c>
      <c r="D239" s="55">
        <v>3</v>
      </c>
      <c r="E239" s="56">
        <v>8.0688542227000002E-4</v>
      </c>
    </row>
    <row r="240" spans="2:5" s="30" customFormat="1" ht="14">
      <c r="B240" s="83"/>
      <c r="C240" s="54" t="s">
        <v>131</v>
      </c>
      <c r="D240" s="55">
        <v>23</v>
      </c>
      <c r="E240" s="56">
        <v>6.1861215707370003E-3</v>
      </c>
    </row>
    <row r="241" spans="2:5" s="30" customFormat="1" ht="14">
      <c r="B241" s="83"/>
      <c r="C241" s="54" t="s">
        <v>135</v>
      </c>
      <c r="D241" s="55">
        <v>1</v>
      </c>
      <c r="E241" s="56">
        <v>2.68961807423E-4</v>
      </c>
    </row>
    <row r="242" spans="2:5" s="30" customFormat="1" ht="14">
      <c r="B242" s="83"/>
      <c r="C242" s="54" t="s">
        <v>138</v>
      </c>
      <c r="D242" s="55">
        <v>1</v>
      </c>
      <c r="E242" s="56">
        <v>2.68961807423E-4</v>
      </c>
    </row>
    <row r="243" spans="2:5" s="30" customFormat="1" ht="14">
      <c r="B243" s="83"/>
      <c r="C243" s="54" t="s">
        <v>132</v>
      </c>
      <c r="D243" s="55">
        <v>13</v>
      </c>
      <c r="E243" s="56">
        <v>3.4965034965029999E-3</v>
      </c>
    </row>
    <row r="244" spans="2:5" s="30" customFormat="1" ht="14">
      <c r="B244" s="83"/>
      <c r="C244" s="54" t="s">
        <v>133</v>
      </c>
      <c r="D244" s="55">
        <v>25</v>
      </c>
      <c r="E244" s="56">
        <v>6.7240451855840001E-3</v>
      </c>
    </row>
    <row r="245" spans="2:5" s="30" customFormat="1" ht="14">
      <c r="B245" s="83"/>
      <c r="C245" s="54" t="s">
        <v>301</v>
      </c>
      <c r="D245" s="55">
        <v>2</v>
      </c>
      <c r="E245" s="56">
        <v>5.3792361484699997E-4</v>
      </c>
    </row>
    <row r="246" spans="2:5" s="30" customFormat="1" ht="14">
      <c r="B246" s="82"/>
      <c r="C246" s="67" t="s">
        <v>308</v>
      </c>
      <c r="D246" s="66">
        <v>68</v>
      </c>
      <c r="E246" s="68">
        <v>1.8289402904788001E-2</v>
      </c>
    </row>
    <row r="247" spans="2:5" s="30" customFormat="1" ht="14">
      <c r="B247" s="81" t="s">
        <v>58</v>
      </c>
      <c r="C247" s="54" t="s">
        <v>131</v>
      </c>
      <c r="D247" s="55">
        <v>15</v>
      </c>
      <c r="E247" s="56">
        <v>4.0344271113499997E-3</v>
      </c>
    </row>
    <row r="248" spans="2:5" s="30" customFormat="1" ht="14">
      <c r="B248" s="83"/>
      <c r="C248" s="54" t="s">
        <v>137</v>
      </c>
      <c r="D248" s="55">
        <v>4</v>
      </c>
      <c r="E248" s="56">
        <v>1.0758472296930001E-3</v>
      </c>
    </row>
    <row r="249" spans="2:5" s="30" customFormat="1" ht="14">
      <c r="B249" s="83"/>
      <c r="C249" s="54" t="s">
        <v>135</v>
      </c>
      <c r="D249" s="55">
        <v>2</v>
      </c>
      <c r="E249" s="56">
        <v>5.3792361484699997E-4</v>
      </c>
    </row>
    <row r="250" spans="2:5" s="30" customFormat="1" ht="14">
      <c r="B250" s="83"/>
      <c r="C250" s="54" t="s">
        <v>136</v>
      </c>
      <c r="D250" s="55">
        <v>1</v>
      </c>
      <c r="E250" s="56">
        <v>2.68961807423E-4</v>
      </c>
    </row>
    <row r="251" spans="2:5" s="30" customFormat="1" ht="14">
      <c r="B251" s="83"/>
      <c r="C251" s="54" t="s">
        <v>132</v>
      </c>
      <c r="D251" s="55">
        <v>7</v>
      </c>
      <c r="E251" s="56">
        <v>1.8827326519630001E-3</v>
      </c>
    </row>
    <row r="252" spans="2:5" s="30" customFormat="1" ht="14">
      <c r="B252" s="83"/>
      <c r="C252" s="54" t="s">
        <v>133</v>
      </c>
      <c r="D252" s="55">
        <v>25</v>
      </c>
      <c r="E252" s="56">
        <v>6.7240451855840001E-3</v>
      </c>
    </row>
    <row r="253" spans="2:5" s="30" customFormat="1" ht="14">
      <c r="B253" s="83"/>
      <c r="C253" s="54" t="s">
        <v>301</v>
      </c>
      <c r="D253" s="55">
        <v>7</v>
      </c>
      <c r="E253" s="56">
        <v>1.8827326519630001E-3</v>
      </c>
    </row>
    <row r="254" spans="2:5" s="30" customFormat="1" ht="14">
      <c r="B254" s="82"/>
      <c r="C254" s="67" t="s">
        <v>308</v>
      </c>
      <c r="D254" s="66">
        <v>61</v>
      </c>
      <c r="E254" s="68">
        <v>1.6406670252824E-2</v>
      </c>
    </row>
    <row r="255" spans="2:5" s="30" customFormat="1" ht="14">
      <c r="B255" s="81" t="s">
        <v>62</v>
      </c>
      <c r="C255" s="54" t="s">
        <v>130</v>
      </c>
      <c r="D255" s="55">
        <v>2</v>
      </c>
      <c r="E255" s="56">
        <v>5.3792361484699997E-4</v>
      </c>
    </row>
    <row r="256" spans="2:5" s="30" customFormat="1" ht="14">
      <c r="B256" s="83"/>
      <c r="C256" s="54" t="s">
        <v>131</v>
      </c>
      <c r="D256" s="55">
        <v>12</v>
      </c>
      <c r="E256" s="56">
        <v>3.2275416890800001E-3</v>
      </c>
    </row>
    <row r="257" spans="2:5" s="30" customFormat="1" ht="14">
      <c r="B257" s="83"/>
      <c r="C257" s="54" t="s">
        <v>137</v>
      </c>
      <c r="D257" s="55">
        <v>2</v>
      </c>
      <c r="E257" s="56">
        <v>5.3792361484699997E-4</v>
      </c>
    </row>
    <row r="258" spans="2:5" s="30" customFormat="1" ht="14">
      <c r="B258" s="83"/>
      <c r="C258" s="54" t="s">
        <v>135</v>
      </c>
      <c r="D258" s="55">
        <v>1</v>
      </c>
      <c r="E258" s="56">
        <v>2.68961807423E-4</v>
      </c>
    </row>
    <row r="259" spans="2:5" s="30" customFormat="1" ht="14">
      <c r="B259" s="83"/>
      <c r="C259" s="54" t="s">
        <v>138</v>
      </c>
      <c r="D259" s="55">
        <v>1</v>
      </c>
      <c r="E259" s="56">
        <v>2.68961807423E-4</v>
      </c>
    </row>
    <row r="260" spans="2:5" s="30" customFormat="1" ht="14">
      <c r="B260" s="83"/>
      <c r="C260" s="54" t="s">
        <v>132</v>
      </c>
      <c r="D260" s="55">
        <v>7</v>
      </c>
      <c r="E260" s="56">
        <v>1.8827326519630001E-3</v>
      </c>
    </row>
    <row r="261" spans="2:5" s="30" customFormat="1" ht="14">
      <c r="B261" s="83"/>
      <c r="C261" s="54" t="s">
        <v>133</v>
      </c>
      <c r="D261" s="55">
        <v>8</v>
      </c>
      <c r="E261" s="56">
        <v>2.1516944593869998E-3</v>
      </c>
    </row>
    <row r="262" spans="2:5" s="30" customFormat="1" ht="14">
      <c r="B262" s="83"/>
      <c r="C262" s="54" t="s">
        <v>301</v>
      </c>
      <c r="D262" s="55">
        <v>2</v>
      </c>
      <c r="E262" s="56">
        <v>5.3792361484699997E-4</v>
      </c>
    </row>
    <row r="263" spans="2:5" s="30" customFormat="1" ht="14">
      <c r="B263" s="82"/>
      <c r="C263" s="67" t="s">
        <v>308</v>
      </c>
      <c r="D263" s="66">
        <v>35</v>
      </c>
      <c r="E263" s="68">
        <v>9.4136632598170004E-3</v>
      </c>
    </row>
    <row r="264" spans="2:5" s="30" customFormat="1" ht="14">
      <c r="B264" s="81" t="s">
        <v>49</v>
      </c>
      <c r="C264" s="54" t="s">
        <v>130</v>
      </c>
      <c r="D264" s="55">
        <v>19</v>
      </c>
      <c r="E264" s="56">
        <v>5.1102743410440001E-3</v>
      </c>
    </row>
    <row r="265" spans="2:5" s="30" customFormat="1" ht="14">
      <c r="B265" s="83"/>
      <c r="C265" s="54" t="s">
        <v>131</v>
      </c>
      <c r="D265" s="55">
        <v>64</v>
      </c>
      <c r="E265" s="56">
        <v>1.7213555675094E-2</v>
      </c>
    </row>
    <row r="266" spans="2:5" s="30" customFormat="1" ht="14">
      <c r="B266" s="83"/>
      <c r="C266" s="54" t="s">
        <v>137</v>
      </c>
      <c r="D266" s="55">
        <v>7</v>
      </c>
      <c r="E266" s="56">
        <v>1.8827326519630001E-3</v>
      </c>
    </row>
    <row r="267" spans="2:5" s="30" customFormat="1" ht="14">
      <c r="B267" s="83"/>
      <c r="C267" s="54" t="s">
        <v>135</v>
      </c>
      <c r="D267" s="55">
        <v>3</v>
      </c>
      <c r="E267" s="56">
        <v>8.0688542227000002E-4</v>
      </c>
    </row>
    <row r="268" spans="2:5" s="30" customFormat="1" ht="14">
      <c r="B268" s="83"/>
      <c r="C268" s="54" t="s">
        <v>136</v>
      </c>
      <c r="D268" s="55">
        <v>12</v>
      </c>
      <c r="E268" s="56">
        <v>3.2275416890800001E-3</v>
      </c>
    </row>
    <row r="269" spans="2:5" s="30" customFormat="1" ht="14">
      <c r="B269" s="83"/>
      <c r="C269" s="54" t="s">
        <v>241</v>
      </c>
      <c r="D269" s="55">
        <v>1</v>
      </c>
      <c r="E269" s="56">
        <v>2.68961807423E-4</v>
      </c>
    </row>
    <row r="270" spans="2:5" s="30" customFormat="1" ht="14">
      <c r="B270" s="83"/>
      <c r="C270" s="54" t="s">
        <v>138</v>
      </c>
      <c r="D270" s="55">
        <v>7</v>
      </c>
      <c r="E270" s="56">
        <v>1.8827326519630001E-3</v>
      </c>
    </row>
    <row r="271" spans="2:5" s="30" customFormat="1" ht="14">
      <c r="B271" s="83"/>
      <c r="C271" s="54" t="s">
        <v>132</v>
      </c>
      <c r="D271" s="55">
        <v>34</v>
      </c>
      <c r="E271" s="56">
        <v>9.1447014523940006E-3</v>
      </c>
    </row>
    <row r="272" spans="2:5" s="30" customFormat="1" ht="14">
      <c r="B272" s="83"/>
      <c r="C272" s="54" t="s">
        <v>240</v>
      </c>
      <c r="D272" s="55">
        <v>6</v>
      </c>
      <c r="E272" s="56">
        <v>1.61377084454E-3</v>
      </c>
    </row>
    <row r="273" spans="2:5" s="30" customFormat="1" ht="14">
      <c r="B273" s="83"/>
      <c r="C273" s="54" t="s">
        <v>133</v>
      </c>
      <c r="D273" s="55">
        <v>55</v>
      </c>
      <c r="E273" s="56">
        <v>1.4792899408284E-2</v>
      </c>
    </row>
    <row r="274" spans="2:5" s="30" customFormat="1" ht="14">
      <c r="B274" s="83"/>
      <c r="C274" s="54" t="s">
        <v>301</v>
      </c>
      <c r="D274" s="55">
        <v>9</v>
      </c>
      <c r="E274" s="56">
        <v>2.4206562668100001E-3</v>
      </c>
    </row>
    <row r="275" spans="2:5" s="30" customFormat="1" ht="14">
      <c r="B275" s="82"/>
      <c r="C275" s="67" t="s">
        <v>308</v>
      </c>
      <c r="D275" s="66">
        <v>217</v>
      </c>
      <c r="E275" s="68">
        <v>5.8364712210865997E-2</v>
      </c>
    </row>
    <row r="276" spans="2:5" s="30" customFormat="1" ht="14">
      <c r="B276" s="81" t="s">
        <v>78</v>
      </c>
      <c r="C276" s="54" t="s">
        <v>131</v>
      </c>
      <c r="D276" s="55">
        <v>4</v>
      </c>
      <c r="E276" s="56">
        <v>1.0758472296930001E-3</v>
      </c>
    </row>
    <row r="277" spans="2:5" s="30" customFormat="1" ht="14">
      <c r="B277" s="83"/>
      <c r="C277" s="54" t="s">
        <v>132</v>
      </c>
      <c r="D277" s="55">
        <v>2</v>
      </c>
      <c r="E277" s="56">
        <v>5.3792361484699997E-4</v>
      </c>
    </row>
    <row r="278" spans="2:5" s="30" customFormat="1" ht="14">
      <c r="B278" s="83"/>
      <c r="C278" s="54" t="s">
        <v>133</v>
      </c>
      <c r="D278" s="55">
        <v>1</v>
      </c>
      <c r="E278" s="56">
        <v>2.68961807423E-4</v>
      </c>
    </row>
    <row r="279" spans="2:5" s="30" customFormat="1" ht="14">
      <c r="B279" s="82"/>
      <c r="C279" s="67" t="s">
        <v>308</v>
      </c>
      <c r="D279" s="66">
        <v>7</v>
      </c>
      <c r="E279" s="68">
        <v>1.8827326519630001E-3</v>
      </c>
    </row>
    <row r="280" spans="2:5" s="30" customFormat="1" ht="14">
      <c r="B280" s="81" t="s">
        <v>68</v>
      </c>
      <c r="C280" s="54" t="s">
        <v>130</v>
      </c>
      <c r="D280" s="55">
        <v>1</v>
      </c>
      <c r="E280" s="56">
        <v>2.68961807423E-4</v>
      </c>
    </row>
    <row r="281" spans="2:5" s="30" customFormat="1" ht="14">
      <c r="B281" s="83"/>
      <c r="C281" s="54" t="s">
        <v>131</v>
      </c>
      <c r="D281" s="55">
        <v>18</v>
      </c>
      <c r="E281" s="56">
        <v>4.8413125336200001E-3</v>
      </c>
    </row>
    <row r="282" spans="2:5" s="30" customFormat="1" ht="14">
      <c r="B282" s="83"/>
      <c r="C282" s="54" t="s">
        <v>137</v>
      </c>
      <c r="D282" s="55">
        <v>1</v>
      </c>
      <c r="E282" s="56">
        <v>2.68961807423E-4</v>
      </c>
    </row>
    <row r="283" spans="2:5" s="30" customFormat="1" ht="14">
      <c r="B283" s="83"/>
      <c r="C283" s="54" t="s">
        <v>135</v>
      </c>
      <c r="D283" s="55">
        <v>2</v>
      </c>
      <c r="E283" s="56">
        <v>5.3792361484699997E-4</v>
      </c>
    </row>
    <row r="284" spans="2:5" s="30" customFormat="1" ht="14">
      <c r="B284" s="83"/>
      <c r="C284" s="54" t="s">
        <v>136</v>
      </c>
      <c r="D284" s="55">
        <v>1</v>
      </c>
      <c r="E284" s="56">
        <v>2.68961807423E-4</v>
      </c>
    </row>
    <row r="285" spans="2:5" s="30" customFormat="1" ht="14">
      <c r="B285" s="83"/>
      <c r="C285" s="54" t="s">
        <v>132</v>
      </c>
      <c r="D285" s="55">
        <v>16</v>
      </c>
      <c r="E285" s="56">
        <v>4.3033889187739996E-3</v>
      </c>
    </row>
    <row r="286" spans="2:5" s="30" customFormat="1" ht="14">
      <c r="B286" s="83"/>
      <c r="C286" s="54" t="s">
        <v>133</v>
      </c>
      <c r="D286" s="55">
        <v>9</v>
      </c>
      <c r="E286" s="56">
        <v>2.4206562668100001E-3</v>
      </c>
    </row>
    <row r="287" spans="2:5" s="30" customFormat="1" ht="14">
      <c r="B287" s="83"/>
      <c r="C287" s="54" t="s">
        <v>301</v>
      </c>
      <c r="D287" s="55">
        <v>2</v>
      </c>
      <c r="E287" s="56">
        <v>5.3792361484699997E-4</v>
      </c>
    </row>
    <row r="288" spans="2:5" s="30" customFormat="1" ht="14">
      <c r="B288" s="82"/>
      <c r="C288" s="67" t="s">
        <v>308</v>
      </c>
      <c r="D288" s="66">
        <v>50</v>
      </c>
      <c r="E288" s="68">
        <v>1.3448090371166999E-2</v>
      </c>
    </row>
    <row r="289" spans="2:5" s="30" customFormat="1" ht="14">
      <c r="B289" s="81" t="s">
        <v>73</v>
      </c>
      <c r="C289" s="54" t="s">
        <v>131</v>
      </c>
      <c r="D289" s="55">
        <v>11</v>
      </c>
      <c r="E289" s="56">
        <v>2.9585798816569998E-3</v>
      </c>
    </row>
    <row r="290" spans="2:5" s="30" customFormat="1" ht="14">
      <c r="B290" s="83"/>
      <c r="C290" s="54" t="s">
        <v>138</v>
      </c>
      <c r="D290" s="55">
        <v>1</v>
      </c>
      <c r="E290" s="56">
        <v>2.68961807423E-4</v>
      </c>
    </row>
    <row r="291" spans="2:5" s="30" customFormat="1" ht="14">
      <c r="B291" s="83"/>
      <c r="C291" s="54" t="s">
        <v>133</v>
      </c>
      <c r="D291" s="55">
        <v>5</v>
      </c>
      <c r="E291" s="56">
        <v>1.344809037117E-3</v>
      </c>
    </row>
    <row r="292" spans="2:5" s="30" customFormat="1" ht="14">
      <c r="B292" s="83"/>
      <c r="C292" s="54" t="s">
        <v>301</v>
      </c>
      <c r="D292" s="55">
        <v>3</v>
      </c>
      <c r="E292" s="56">
        <v>8.0688542227000002E-4</v>
      </c>
    </row>
    <row r="293" spans="2:5" s="30" customFormat="1" ht="14">
      <c r="B293" s="82"/>
      <c r="C293" s="67" t="s">
        <v>308</v>
      </c>
      <c r="D293" s="66">
        <v>20</v>
      </c>
      <c r="E293" s="68">
        <v>5.3792361484669999E-3</v>
      </c>
    </row>
    <row r="294" spans="2:5" s="30" customFormat="1" ht="14">
      <c r="B294" s="81" t="s">
        <v>48</v>
      </c>
      <c r="C294" s="54" t="s">
        <v>130</v>
      </c>
      <c r="D294" s="55">
        <v>24</v>
      </c>
      <c r="E294" s="56">
        <v>6.4550833781600002E-3</v>
      </c>
    </row>
    <row r="295" spans="2:5" s="30" customFormat="1" ht="14">
      <c r="B295" s="83"/>
      <c r="C295" s="54" t="s">
        <v>131</v>
      </c>
      <c r="D295" s="55">
        <v>71</v>
      </c>
      <c r="E295" s="56">
        <v>1.9096288327058002E-2</v>
      </c>
    </row>
    <row r="296" spans="2:5" s="30" customFormat="1" ht="14">
      <c r="B296" s="83"/>
      <c r="C296" s="54" t="s">
        <v>137</v>
      </c>
      <c r="D296" s="55">
        <v>7</v>
      </c>
      <c r="E296" s="56">
        <v>1.8827326519630001E-3</v>
      </c>
    </row>
    <row r="297" spans="2:5" s="30" customFormat="1" ht="14">
      <c r="B297" s="83"/>
      <c r="C297" s="54" t="s">
        <v>135</v>
      </c>
      <c r="D297" s="55">
        <v>10</v>
      </c>
      <c r="E297" s="56">
        <v>2.6896180742329999E-3</v>
      </c>
    </row>
    <row r="298" spans="2:5" s="30" customFormat="1" ht="14">
      <c r="B298" s="83"/>
      <c r="C298" s="54" t="s">
        <v>136</v>
      </c>
      <c r="D298" s="55">
        <v>14</v>
      </c>
      <c r="E298" s="56">
        <v>3.7654653039269998E-3</v>
      </c>
    </row>
    <row r="299" spans="2:5" s="30" customFormat="1" ht="14">
      <c r="B299" s="83"/>
      <c r="C299" s="54" t="s">
        <v>138</v>
      </c>
      <c r="D299" s="55">
        <v>4</v>
      </c>
      <c r="E299" s="56">
        <v>1.0758472296930001E-3</v>
      </c>
    </row>
    <row r="300" spans="2:5" s="30" customFormat="1" ht="14">
      <c r="B300" s="83"/>
      <c r="C300" s="54" t="s">
        <v>132</v>
      </c>
      <c r="D300" s="55">
        <v>43</v>
      </c>
      <c r="E300" s="56">
        <v>1.1565357719204E-2</v>
      </c>
    </row>
    <row r="301" spans="2:5" s="30" customFormat="1" ht="14">
      <c r="B301" s="83"/>
      <c r="C301" s="54" t="s">
        <v>240</v>
      </c>
      <c r="D301" s="55">
        <v>2</v>
      </c>
      <c r="E301" s="56">
        <v>5.3792361484699997E-4</v>
      </c>
    </row>
    <row r="302" spans="2:5" s="30" customFormat="1" ht="14">
      <c r="B302" s="83"/>
      <c r="C302" s="54" t="s">
        <v>133</v>
      </c>
      <c r="D302" s="55">
        <v>49</v>
      </c>
      <c r="E302" s="56">
        <v>1.3179128563743999E-2</v>
      </c>
    </row>
    <row r="303" spans="2:5" s="30" customFormat="1" ht="14">
      <c r="B303" s="83"/>
      <c r="C303" s="54" t="s">
        <v>301</v>
      </c>
      <c r="D303" s="55">
        <v>8</v>
      </c>
      <c r="E303" s="56">
        <v>2.1516944593869998E-3</v>
      </c>
    </row>
    <row r="304" spans="2:5" s="30" customFormat="1" ht="14">
      <c r="B304" s="82"/>
      <c r="C304" s="67" t="s">
        <v>308</v>
      </c>
      <c r="D304" s="66">
        <v>232</v>
      </c>
      <c r="E304" s="68">
        <v>6.2399139322216003E-2</v>
      </c>
    </row>
    <row r="305" spans="2:5" s="30" customFormat="1" ht="14">
      <c r="B305" s="81" t="s">
        <v>59</v>
      </c>
      <c r="C305" s="54" t="s">
        <v>130</v>
      </c>
      <c r="D305" s="55">
        <v>5</v>
      </c>
      <c r="E305" s="56">
        <v>1.344809037117E-3</v>
      </c>
    </row>
    <row r="306" spans="2:5" s="30" customFormat="1" ht="14">
      <c r="B306" s="83"/>
      <c r="C306" s="54" t="s">
        <v>131</v>
      </c>
      <c r="D306" s="55">
        <v>22</v>
      </c>
      <c r="E306" s="56">
        <v>5.9171597633139996E-3</v>
      </c>
    </row>
    <row r="307" spans="2:5" s="30" customFormat="1" ht="14">
      <c r="B307" s="83"/>
      <c r="C307" s="54" t="s">
        <v>137</v>
      </c>
      <c r="D307" s="55">
        <v>1</v>
      </c>
      <c r="E307" s="56">
        <v>2.68961807423E-4</v>
      </c>
    </row>
    <row r="308" spans="2:5" s="30" customFormat="1" ht="14">
      <c r="B308" s="83"/>
      <c r="C308" s="54" t="s">
        <v>135</v>
      </c>
      <c r="D308" s="55">
        <v>3</v>
      </c>
      <c r="E308" s="56">
        <v>8.0688542227000002E-4</v>
      </c>
    </row>
    <row r="309" spans="2:5" s="30" customFormat="1" ht="14">
      <c r="B309" s="83"/>
      <c r="C309" s="54" t="s">
        <v>136</v>
      </c>
      <c r="D309" s="55">
        <v>3</v>
      </c>
      <c r="E309" s="56">
        <v>8.0688542227000002E-4</v>
      </c>
    </row>
    <row r="310" spans="2:5" s="30" customFormat="1" ht="14">
      <c r="B310" s="83"/>
      <c r="C310" s="54" t="s">
        <v>138</v>
      </c>
      <c r="D310" s="55">
        <v>3</v>
      </c>
      <c r="E310" s="56">
        <v>8.0688542227000002E-4</v>
      </c>
    </row>
    <row r="311" spans="2:5" s="30" customFormat="1" ht="14">
      <c r="B311" s="83"/>
      <c r="C311" s="54" t="s">
        <v>132</v>
      </c>
      <c r="D311" s="55">
        <v>14</v>
      </c>
      <c r="E311" s="56">
        <v>3.7654653039269998E-3</v>
      </c>
    </row>
    <row r="312" spans="2:5" s="30" customFormat="1" ht="14">
      <c r="B312" s="83"/>
      <c r="C312" s="54" t="s">
        <v>240</v>
      </c>
      <c r="D312" s="55">
        <v>4</v>
      </c>
      <c r="E312" s="56">
        <v>1.0758472296930001E-3</v>
      </c>
    </row>
    <row r="313" spans="2:5" s="30" customFormat="1" ht="14">
      <c r="B313" s="83"/>
      <c r="C313" s="54" t="s">
        <v>133</v>
      </c>
      <c r="D313" s="55">
        <v>20</v>
      </c>
      <c r="E313" s="56">
        <v>5.3792361484669999E-3</v>
      </c>
    </row>
    <row r="314" spans="2:5" s="30" customFormat="1" ht="14">
      <c r="B314" s="83"/>
      <c r="C314" s="54" t="s">
        <v>301</v>
      </c>
      <c r="D314" s="55">
        <v>1</v>
      </c>
      <c r="E314" s="56">
        <v>2.68961807423E-4</v>
      </c>
    </row>
    <row r="315" spans="2:5" s="30" customFormat="1" ht="14">
      <c r="B315" s="82"/>
      <c r="C315" s="67" t="s">
        <v>308</v>
      </c>
      <c r="D315" s="66">
        <v>76</v>
      </c>
      <c r="E315" s="68">
        <v>2.0441097364173998E-2</v>
      </c>
    </row>
    <row r="316" spans="2:5" s="30" customFormat="1" ht="14">
      <c r="B316" s="81" t="s">
        <v>61</v>
      </c>
      <c r="C316" s="54" t="s">
        <v>131</v>
      </c>
      <c r="D316" s="55">
        <v>14</v>
      </c>
      <c r="E316" s="56">
        <v>3.7654653039269998E-3</v>
      </c>
    </row>
    <row r="317" spans="2:5" s="30" customFormat="1" ht="14">
      <c r="B317" s="83"/>
      <c r="C317" s="54" t="s">
        <v>137</v>
      </c>
      <c r="D317" s="55">
        <v>2</v>
      </c>
      <c r="E317" s="56">
        <v>5.3792361484699997E-4</v>
      </c>
    </row>
    <row r="318" spans="2:5" s="30" customFormat="1" ht="14">
      <c r="B318" s="83"/>
      <c r="C318" s="54" t="s">
        <v>135</v>
      </c>
      <c r="D318" s="55">
        <v>2</v>
      </c>
      <c r="E318" s="56">
        <v>5.3792361484699997E-4</v>
      </c>
    </row>
    <row r="319" spans="2:5" s="30" customFormat="1" ht="14">
      <c r="B319" s="83"/>
      <c r="C319" s="54" t="s">
        <v>136</v>
      </c>
      <c r="D319" s="55">
        <v>2</v>
      </c>
      <c r="E319" s="56">
        <v>5.3792361484699997E-4</v>
      </c>
    </row>
    <row r="320" spans="2:5" s="30" customFormat="1" ht="14">
      <c r="B320" s="83"/>
      <c r="C320" s="54" t="s">
        <v>241</v>
      </c>
      <c r="D320" s="55">
        <v>2</v>
      </c>
      <c r="E320" s="56">
        <v>5.3792361484699997E-4</v>
      </c>
    </row>
    <row r="321" spans="2:5" s="30" customFormat="1" ht="14">
      <c r="B321" s="83"/>
      <c r="C321" s="54" t="s">
        <v>138</v>
      </c>
      <c r="D321" s="55">
        <v>1</v>
      </c>
      <c r="E321" s="56">
        <v>2.68961807423E-4</v>
      </c>
    </row>
    <row r="322" spans="2:5" s="30" customFormat="1" ht="14">
      <c r="B322" s="83"/>
      <c r="C322" s="54" t="s">
        <v>132</v>
      </c>
      <c r="D322" s="55">
        <v>8</v>
      </c>
      <c r="E322" s="56">
        <v>2.1516944593869998E-3</v>
      </c>
    </row>
    <row r="323" spans="2:5" s="30" customFormat="1" ht="14">
      <c r="B323" s="83"/>
      <c r="C323" s="54" t="s">
        <v>133</v>
      </c>
      <c r="D323" s="55">
        <v>32</v>
      </c>
      <c r="E323" s="56">
        <v>8.606777837547E-3</v>
      </c>
    </row>
    <row r="324" spans="2:5" s="30" customFormat="1" ht="14">
      <c r="B324" s="83"/>
      <c r="C324" s="54" t="s">
        <v>301</v>
      </c>
      <c r="D324" s="55">
        <v>3</v>
      </c>
      <c r="E324" s="56">
        <v>8.0688542227000002E-4</v>
      </c>
    </row>
    <row r="325" spans="2:5" s="30" customFormat="1" ht="14">
      <c r="B325" s="82"/>
      <c r="C325" s="67" t="s">
        <v>308</v>
      </c>
      <c r="D325" s="66">
        <v>66</v>
      </c>
      <c r="E325" s="68">
        <v>1.7751479289940999E-2</v>
      </c>
    </row>
    <row r="326" spans="2:5" s="30" customFormat="1" ht="14">
      <c r="B326" s="81" t="s">
        <v>52</v>
      </c>
      <c r="C326" s="54" t="s">
        <v>130</v>
      </c>
      <c r="D326" s="55">
        <v>3</v>
      </c>
      <c r="E326" s="56">
        <v>8.0688542227000002E-4</v>
      </c>
    </row>
    <row r="327" spans="2:5" s="30" customFormat="1" ht="14">
      <c r="B327" s="83"/>
      <c r="C327" s="54" t="s">
        <v>131</v>
      </c>
      <c r="D327" s="55">
        <v>46</v>
      </c>
      <c r="E327" s="56">
        <v>1.2372243141474001E-2</v>
      </c>
    </row>
    <row r="328" spans="2:5" s="30" customFormat="1" ht="14">
      <c r="B328" s="83"/>
      <c r="C328" s="54" t="s">
        <v>137</v>
      </c>
      <c r="D328" s="55">
        <v>1</v>
      </c>
      <c r="E328" s="56">
        <v>2.68961807423E-4</v>
      </c>
    </row>
    <row r="329" spans="2:5" s="30" customFormat="1" ht="14">
      <c r="B329" s="83"/>
      <c r="C329" s="54" t="s">
        <v>135</v>
      </c>
      <c r="D329" s="55">
        <v>9</v>
      </c>
      <c r="E329" s="56">
        <v>2.4206562668100001E-3</v>
      </c>
    </row>
    <row r="330" spans="2:5" s="30" customFormat="1" ht="14">
      <c r="B330" s="83"/>
      <c r="C330" s="54" t="s">
        <v>136</v>
      </c>
      <c r="D330" s="55">
        <v>5</v>
      </c>
      <c r="E330" s="56">
        <v>1.344809037117E-3</v>
      </c>
    </row>
    <row r="331" spans="2:5" s="30" customFormat="1" ht="14">
      <c r="B331" s="83"/>
      <c r="C331" s="54" t="s">
        <v>138</v>
      </c>
      <c r="D331" s="55">
        <v>3</v>
      </c>
      <c r="E331" s="56">
        <v>8.0688542227000002E-4</v>
      </c>
    </row>
    <row r="332" spans="2:5" s="30" customFormat="1" ht="14">
      <c r="B332" s="83"/>
      <c r="C332" s="54" t="s">
        <v>132</v>
      </c>
      <c r="D332" s="55">
        <v>42</v>
      </c>
      <c r="E332" s="56">
        <v>1.1296395911781E-2</v>
      </c>
    </row>
    <row r="333" spans="2:5" s="30" customFormat="1" ht="14">
      <c r="B333" s="83"/>
      <c r="C333" s="54" t="s">
        <v>240</v>
      </c>
      <c r="D333" s="55">
        <v>13</v>
      </c>
      <c r="E333" s="56">
        <v>3.4965034965029999E-3</v>
      </c>
    </row>
    <row r="334" spans="2:5" s="30" customFormat="1" ht="14">
      <c r="B334" s="83"/>
      <c r="C334" s="54" t="s">
        <v>133</v>
      </c>
      <c r="D334" s="55">
        <v>36</v>
      </c>
      <c r="E334" s="56">
        <v>9.6826250672400003E-3</v>
      </c>
    </row>
    <row r="335" spans="2:5" s="30" customFormat="1" ht="14">
      <c r="B335" s="83"/>
      <c r="C335" s="54" t="s">
        <v>301</v>
      </c>
      <c r="D335" s="55">
        <v>13</v>
      </c>
      <c r="E335" s="56">
        <v>3.4965034965029999E-3</v>
      </c>
    </row>
    <row r="336" spans="2:5" s="30" customFormat="1" ht="14">
      <c r="B336" s="82"/>
      <c r="C336" s="67" t="s">
        <v>308</v>
      </c>
      <c r="D336" s="66">
        <v>171</v>
      </c>
      <c r="E336" s="68">
        <v>4.5992469069392E-2</v>
      </c>
    </row>
    <row r="337" spans="2:5" s="30" customFormat="1" ht="14">
      <c r="B337" s="81" t="s">
        <v>53</v>
      </c>
      <c r="C337" s="54" t="s">
        <v>130</v>
      </c>
      <c r="D337" s="55">
        <v>6</v>
      </c>
      <c r="E337" s="56">
        <v>1.61377084454E-3</v>
      </c>
    </row>
    <row r="338" spans="2:5" s="30" customFormat="1" ht="14">
      <c r="B338" s="83"/>
      <c r="C338" s="54" t="s">
        <v>131</v>
      </c>
      <c r="D338" s="55">
        <v>42</v>
      </c>
      <c r="E338" s="56">
        <v>1.1296395911781E-2</v>
      </c>
    </row>
    <row r="339" spans="2:5" s="30" customFormat="1" ht="14">
      <c r="B339" s="83"/>
      <c r="C339" s="54" t="s">
        <v>137</v>
      </c>
      <c r="D339" s="55">
        <v>9</v>
      </c>
      <c r="E339" s="56">
        <v>2.4206562668100001E-3</v>
      </c>
    </row>
    <row r="340" spans="2:5" s="30" customFormat="1" ht="14">
      <c r="B340" s="83"/>
      <c r="C340" s="54" t="s">
        <v>135</v>
      </c>
      <c r="D340" s="55">
        <v>6</v>
      </c>
      <c r="E340" s="56">
        <v>1.61377084454E-3</v>
      </c>
    </row>
    <row r="341" spans="2:5" s="30" customFormat="1" ht="14">
      <c r="B341" s="83"/>
      <c r="C341" s="54" t="s">
        <v>136</v>
      </c>
      <c r="D341" s="55">
        <v>9</v>
      </c>
      <c r="E341" s="56">
        <v>2.4206562668100001E-3</v>
      </c>
    </row>
    <row r="342" spans="2:5" s="30" customFormat="1" ht="14">
      <c r="B342" s="83"/>
      <c r="C342" s="54" t="s">
        <v>241</v>
      </c>
      <c r="D342" s="55">
        <v>2</v>
      </c>
      <c r="E342" s="56">
        <v>5.3792361484699997E-4</v>
      </c>
    </row>
    <row r="343" spans="2:5" s="30" customFormat="1" ht="14">
      <c r="B343" s="83"/>
      <c r="C343" s="54" t="s">
        <v>138</v>
      </c>
      <c r="D343" s="55">
        <v>2</v>
      </c>
      <c r="E343" s="56">
        <v>5.3792361484699997E-4</v>
      </c>
    </row>
    <row r="344" spans="2:5" s="30" customFormat="1" ht="14">
      <c r="B344" s="83"/>
      <c r="C344" s="54" t="s">
        <v>132</v>
      </c>
      <c r="D344" s="55">
        <v>45</v>
      </c>
      <c r="E344" s="56">
        <v>1.2103281334051001E-2</v>
      </c>
    </row>
    <row r="345" spans="2:5" s="30" customFormat="1" ht="14">
      <c r="B345" s="83"/>
      <c r="C345" s="54" t="s">
        <v>133</v>
      </c>
      <c r="D345" s="55">
        <v>29</v>
      </c>
      <c r="E345" s="56">
        <v>7.7998924152770004E-3</v>
      </c>
    </row>
    <row r="346" spans="2:5" s="30" customFormat="1" ht="14">
      <c r="B346" s="83"/>
      <c r="C346" s="54" t="s">
        <v>301</v>
      </c>
      <c r="D346" s="55">
        <v>6</v>
      </c>
      <c r="E346" s="56">
        <v>1.61377084454E-3</v>
      </c>
    </row>
    <row r="347" spans="2:5" ht="14.5">
      <c r="B347" s="82"/>
      <c r="C347" s="67" t="s">
        <v>308</v>
      </c>
      <c r="D347" s="66">
        <v>156</v>
      </c>
      <c r="E347" s="68">
        <v>4.1958041958042001E-2</v>
      </c>
    </row>
    <row r="348" spans="2:5" ht="14.5">
      <c r="B348" s="81" t="s">
        <v>65</v>
      </c>
      <c r="C348" s="54" t="s">
        <v>130</v>
      </c>
      <c r="D348" s="55">
        <v>1</v>
      </c>
      <c r="E348" s="56">
        <v>2.68961807423E-4</v>
      </c>
    </row>
    <row r="349" spans="2:5" ht="14.5">
      <c r="B349" s="83"/>
      <c r="C349" s="54" t="s">
        <v>131</v>
      </c>
      <c r="D349" s="55">
        <v>12</v>
      </c>
      <c r="E349" s="56">
        <v>3.2275416890800001E-3</v>
      </c>
    </row>
    <row r="350" spans="2:5" ht="15" customHeight="1">
      <c r="B350" s="83"/>
      <c r="C350" s="54" t="s">
        <v>137</v>
      </c>
      <c r="D350" s="55">
        <v>4</v>
      </c>
      <c r="E350" s="56">
        <v>1.0758472296930001E-3</v>
      </c>
    </row>
    <row r="351" spans="2:5" ht="15" customHeight="1">
      <c r="B351" s="83"/>
      <c r="C351" s="54" t="s">
        <v>135</v>
      </c>
      <c r="D351" s="55">
        <v>1</v>
      </c>
      <c r="E351" s="56">
        <v>2.68961807423E-4</v>
      </c>
    </row>
    <row r="352" spans="2:5" ht="15" customHeight="1">
      <c r="B352" s="83"/>
      <c r="C352" s="54" t="s">
        <v>136</v>
      </c>
      <c r="D352" s="55">
        <v>1</v>
      </c>
      <c r="E352" s="56">
        <v>2.68961807423E-4</v>
      </c>
    </row>
    <row r="353" spans="2:5" ht="15" customHeight="1">
      <c r="B353" s="83"/>
      <c r="C353" s="54" t="s">
        <v>138</v>
      </c>
      <c r="D353" s="55">
        <v>2</v>
      </c>
      <c r="E353" s="56">
        <v>5.3792361484699997E-4</v>
      </c>
    </row>
    <row r="354" spans="2:5" ht="15" customHeight="1">
      <c r="B354" s="83"/>
      <c r="C354" s="54" t="s">
        <v>132</v>
      </c>
      <c r="D354" s="55">
        <v>5</v>
      </c>
      <c r="E354" s="56">
        <v>1.344809037117E-3</v>
      </c>
    </row>
    <row r="355" spans="2:5" ht="15" customHeight="1">
      <c r="B355" s="83"/>
      <c r="C355" s="54" t="s">
        <v>133</v>
      </c>
      <c r="D355" s="55">
        <v>19</v>
      </c>
      <c r="E355" s="56">
        <v>5.1102743410440001E-3</v>
      </c>
    </row>
    <row r="356" spans="2:5" ht="15" customHeight="1">
      <c r="B356" s="83"/>
      <c r="C356" s="54" t="s">
        <v>301</v>
      </c>
      <c r="D356" s="55">
        <v>1</v>
      </c>
      <c r="E356" s="56">
        <v>2.68961807423E-4</v>
      </c>
    </row>
    <row r="357" spans="2:5" ht="15" customHeight="1">
      <c r="B357" s="82"/>
      <c r="C357" s="67" t="s">
        <v>308</v>
      </c>
      <c r="D357" s="66">
        <v>46</v>
      </c>
      <c r="E357" s="68">
        <v>1.2372243141474001E-2</v>
      </c>
    </row>
    <row r="358" spans="2:5" ht="15" customHeight="1">
      <c r="B358" s="81" t="s">
        <v>84</v>
      </c>
      <c r="C358" s="54" t="s">
        <v>131</v>
      </c>
      <c r="D358" s="55">
        <v>5</v>
      </c>
      <c r="E358" s="56">
        <v>1.344809037117E-3</v>
      </c>
    </row>
    <row r="359" spans="2:5" ht="15" customHeight="1">
      <c r="B359" s="83"/>
      <c r="C359" s="54" t="s">
        <v>132</v>
      </c>
      <c r="D359" s="55">
        <v>5</v>
      </c>
      <c r="E359" s="56">
        <v>1.344809037117E-3</v>
      </c>
    </row>
    <row r="360" spans="2:5" ht="15" customHeight="1">
      <c r="B360" s="83"/>
      <c r="C360" s="54" t="s">
        <v>133</v>
      </c>
      <c r="D360" s="55">
        <v>2</v>
      </c>
      <c r="E360" s="56">
        <v>5.3792361484699997E-4</v>
      </c>
    </row>
    <row r="361" spans="2:5" ht="15" customHeight="1">
      <c r="B361" s="82"/>
      <c r="C361" s="67" t="s">
        <v>308</v>
      </c>
      <c r="D361" s="66">
        <v>12</v>
      </c>
      <c r="E361" s="68">
        <v>3.2275416890800001E-3</v>
      </c>
    </row>
    <row r="362" spans="2:5" ht="15" customHeight="1">
      <c r="B362" s="81" t="s">
        <v>80</v>
      </c>
      <c r="C362" s="54" t="s">
        <v>130</v>
      </c>
      <c r="D362" s="55">
        <v>1</v>
      </c>
      <c r="E362" s="56">
        <v>2.68961807423E-4</v>
      </c>
    </row>
    <row r="363" spans="2:5" ht="15" customHeight="1">
      <c r="B363" s="83"/>
      <c r="C363" s="54" t="s">
        <v>131</v>
      </c>
      <c r="D363" s="55">
        <v>3</v>
      </c>
      <c r="E363" s="56">
        <v>8.0688542227000002E-4</v>
      </c>
    </row>
    <row r="364" spans="2:5" ht="15" customHeight="1">
      <c r="B364" s="83"/>
      <c r="C364" s="54" t="s">
        <v>138</v>
      </c>
      <c r="D364" s="55">
        <v>1</v>
      </c>
      <c r="E364" s="56">
        <v>2.68961807423E-4</v>
      </c>
    </row>
    <row r="365" spans="2:5" ht="15" customHeight="1">
      <c r="B365" s="83"/>
      <c r="C365" s="54" t="s">
        <v>132</v>
      </c>
      <c r="D365" s="55">
        <v>2</v>
      </c>
      <c r="E365" s="56">
        <v>5.3792361484699997E-4</v>
      </c>
    </row>
    <row r="366" spans="2:5" ht="15" customHeight="1">
      <c r="B366" s="83"/>
      <c r="C366" s="54" t="s">
        <v>133</v>
      </c>
      <c r="D366" s="55">
        <v>2</v>
      </c>
      <c r="E366" s="56">
        <v>5.3792361484699997E-4</v>
      </c>
    </row>
    <row r="367" spans="2:5" ht="15" customHeight="1">
      <c r="B367" s="82"/>
      <c r="C367" s="67" t="s">
        <v>308</v>
      </c>
      <c r="D367" s="66">
        <v>9</v>
      </c>
      <c r="E367" s="68">
        <v>2.4206562668100001E-3</v>
      </c>
    </row>
    <row r="368" spans="2:5" ht="15" customHeight="1">
      <c r="B368" s="81" t="s">
        <v>88</v>
      </c>
      <c r="C368" s="54" t="s">
        <v>131</v>
      </c>
      <c r="D368" s="55">
        <v>1</v>
      </c>
      <c r="E368" s="56">
        <v>2.68961807423E-4</v>
      </c>
    </row>
    <row r="369" spans="2:5" ht="15" customHeight="1">
      <c r="B369" s="83"/>
      <c r="C369" s="54" t="s">
        <v>132</v>
      </c>
      <c r="D369" s="55">
        <v>1</v>
      </c>
      <c r="E369" s="56">
        <v>2.68961807423E-4</v>
      </c>
    </row>
    <row r="370" spans="2:5" ht="15" customHeight="1">
      <c r="B370" s="82"/>
      <c r="C370" s="67" t="s">
        <v>308</v>
      </c>
      <c r="D370" s="66">
        <v>2</v>
      </c>
      <c r="E370" s="68">
        <v>5.3792361484699997E-4</v>
      </c>
    </row>
    <row r="371" spans="2:5" ht="15" customHeight="1">
      <c r="B371" s="93" t="s">
        <v>307</v>
      </c>
      <c r="C371" s="94"/>
      <c r="D371" s="58">
        <v>3718</v>
      </c>
      <c r="E371" s="59">
        <v>1</v>
      </c>
    </row>
    <row r="372" spans="2:5" ht="15" customHeight="1">
      <c r="B372" s="40"/>
      <c r="C372" s="40"/>
      <c r="D372" s="40"/>
      <c r="E372" s="40"/>
    </row>
    <row r="373" spans="2:5" ht="15" customHeight="1">
      <c r="B373" s="38" t="s">
        <v>183</v>
      </c>
      <c r="C373" s="40"/>
      <c r="D373" s="40"/>
      <c r="E373" s="40"/>
    </row>
    <row r="374" spans="2:5" ht="15" customHeight="1">
      <c r="B374" s="41" t="s">
        <v>17</v>
      </c>
      <c r="C374" s="40"/>
      <c r="D374" s="40"/>
      <c r="E374" s="40"/>
    </row>
    <row r="375" spans="2:5" ht="15" customHeight="1">
      <c r="B375" s="42" t="s">
        <v>45</v>
      </c>
      <c r="C375" s="40"/>
      <c r="D375" s="40"/>
      <c r="E375" s="40"/>
    </row>
    <row r="376" spans="2:5" ht="15" customHeight="1">
      <c r="B376" s="38" t="s">
        <v>16</v>
      </c>
      <c r="C376" s="40"/>
      <c r="D376" s="40"/>
      <c r="E376" s="40"/>
    </row>
    <row r="377" spans="2:5" ht="15" customHeight="1">
      <c r="B377" s="38" t="s">
        <v>306</v>
      </c>
    </row>
  </sheetData>
  <mergeCells count="49">
    <mergeCell ref="B371:C371"/>
    <mergeCell ref="B7:E8"/>
    <mergeCell ref="B10:B16"/>
    <mergeCell ref="B17:B24"/>
    <mergeCell ref="B25:B32"/>
    <mergeCell ref="B33:B43"/>
    <mergeCell ref="B44:B47"/>
    <mergeCell ref="B48:B50"/>
    <mergeCell ref="B51:B55"/>
    <mergeCell ref="B56:B65"/>
    <mergeCell ref="B66:B76"/>
    <mergeCell ref="B77:B87"/>
    <mergeCell ref="B88:B94"/>
    <mergeCell ref="B95:B98"/>
    <mergeCell ref="B99:B101"/>
    <mergeCell ref="B102:B112"/>
    <mergeCell ref="B113:B121"/>
    <mergeCell ref="B122:B126"/>
    <mergeCell ref="B127:B136"/>
    <mergeCell ref="B137:B139"/>
    <mergeCell ref="B140:B151"/>
    <mergeCell ref="B152:B159"/>
    <mergeCell ref="B160:B171"/>
    <mergeCell ref="B172:B178"/>
    <mergeCell ref="B179:B185"/>
    <mergeCell ref="B186:B191"/>
    <mergeCell ref="B192:B194"/>
    <mergeCell ref="B195:B198"/>
    <mergeCell ref="B199:B202"/>
    <mergeCell ref="B203:B213"/>
    <mergeCell ref="B214:B222"/>
    <mergeCell ref="B223:B228"/>
    <mergeCell ref="B229:B238"/>
    <mergeCell ref="B239:B246"/>
    <mergeCell ref="B247:B254"/>
    <mergeCell ref="B255:B263"/>
    <mergeCell ref="B264:B275"/>
    <mergeCell ref="B276:B279"/>
    <mergeCell ref="B280:B288"/>
    <mergeCell ref="B289:B293"/>
    <mergeCell ref="B294:B304"/>
    <mergeCell ref="B358:B361"/>
    <mergeCell ref="B362:B367"/>
    <mergeCell ref="B368:B370"/>
    <mergeCell ref="B305:B315"/>
    <mergeCell ref="B316:B325"/>
    <mergeCell ref="B326:B336"/>
    <mergeCell ref="B337:B347"/>
    <mergeCell ref="B348:B357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68" orientation="portrait" r:id="rId1"/>
  <rowBreaks count="1" manualBreakCount="1">
    <brk id="303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8">
    <tabColor rgb="FF92D050"/>
  </sheetPr>
  <dimension ref="A1:F73"/>
  <sheetViews>
    <sheetView showGridLines="0" view="pageBreakPreview" topLeftCell="A27" zoomScaleNormal="100" zoomScaleSheetLayoutView="100" workbookViewId="0">
      <selection activeCell="D14" sqref="D14"/>
    </sheetView>
  </sheetViews>
  <sheetFormatPr baseColWidth="10" defaultColWidth="11.453125" defaultRowHeight="14.5"/>
  <cols>
    <col min="1" max="1" width="9.26953125" style="13" customWidth="1"/>
    <col min="2" max="2" width="34.7265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1.81640625" style="13" customWidth="1"/>
    <col min="7" max="8" width="11.453125" style="13"/>
    <col min="9" max="9" width="22.7265625" style="13" customWidth="1"/>
    <col min="10" max="16384" width="11.453125" style="13"/>
  </cols>
  <sheetData>
    <row r="1" spans="1:6" s="16" customFormat="1" ht="15" customHeight="1">
      <c r="C1" s="18"/>
    </row>
    <row r="2" spans="1:6" s="16" customFormat="1" ht="15" customHeight="1">
      <c r="C2" s="18"/>
    </row>
    <row r="3" spans="1:6" s="16" customFormat="1" ht="15" customHeight="1">
      <c r="C3" s="18"/>
    </row>
    <row r="4" spans="1:6" s="16" customFormat="1" ht="30" customHeight="1">
      <c r="C4" s="18"/>
      <c r="D4" s="17"/>
    </row>
    <row r="5" spans="1:6" s="16" customFormat="1" ht="15" customHeight="1">
      <c r="C5" s="18"/>
      <c r="D5" s="17"/>
    </row>
    <row r="6" spans="1:6" s="16" customFormat="1" ht="15" customHeight="1">
      <c r="C6" s="18"/>
      <c r="D6" s="17"/>
    </row>
    <row r="7" spans="1:6" s="16" customFormat="1" ht="15" customHeight="1">
      <c r="A7" s="32"/>
      <c r="B7" s="80" t="s">
        <v>37</v>
      </c>
      <c r="C7" s="80"/>
      <c r="D7" s="80"/>
      <c r="E7" s="32"/>
      <c r="F7" s="32"/>
    </row>
    <row r="8" spans="1:6" s="16" customFormat="1" ht="15" customHeight="1">
      <c r="A8" s="32"/>
      <c r="B8" s="80"/>
      <c r="C8" s="80"/>
      <c r="D8" s="80"/>
      <c r="E8" s="32"/>
      <c r="F8" s="32"/>
    </row>
    <row r="9" spans="1:6" s="16" customFormat="1" ht="33" customHeight="1">
      <c r="A9" s="32"/>
      <c r="B9" s="80"/>
      <c r="C9" s="80"/>
      <c r="D9" s="80"/>
      <c r="E9" s="32"/>
      <c r="F9" s="32"/>
    </row>
    <row r="10" spans="1:6" s="16" customFormat="1" ht="4.5" customHeight="1">
      <c r="A10" s="32"/>
      <c r="B10" s="33"/>
      <c r="C10" s="33"/>
      <c r="D10" s="33"/>
      <c r="E10" s="32"/>
      <c r="F10" s="32"/>
    </row>
    <row r="11" spans="1:6" s="16" customFormat="1" ht="33" customHeight="1">
      <c r="A11" s="32"/>
      <c r="B11" s="34" t="s">
        <v>26</v>
      </c>
      <c r="C11" s="35" t="s">
        <v>25</v>
      </c>
      <c r="D11" s="36" t="s">
        <v>18</v>
      </c>
      <c r="E11" s="32"/>
      <c r="F11" s="32"/>
    </row>
    <row r="12" spans="1:6" ht="14.5" customHeight="1">
      <c r="A12" s="44"/>
      <c r="B12" s="54" t="s">
        <v>140</v>
      </c>
      <c r="C12" s="55">
        <v>52</v>
      </c>
      <c r="D12" s="56">
        <v>1.3986013986014E-2</v>
      </c>
      <c r="E12" s="37"/>
      <c r="F12" s="37"/>
    </row>
    <row r="13" spans="1:6" ht="14.5" customHeight="1">
      <c r="A13" s="44"/>
      <c r="B13" s="54" t="s">
        <v>251</v>
      </c>
      <c r="C13" s="55">
        <v>1</v>
      </c>
      <c r="D13" s="56">
        <v>2.68961807423E-4</v>
      </c>
      <c r="E13" s="37"/>
      <c r="F13" s="37"/>
    </row>
    <row r="14" spans="1:6" s="15" customFormat="1" ht="14.5" customHeight="1">
      <c r="A14" s="37"/>
      <c r="B14" s="54" t="s">
        <v>141</v>
      </c>
      <c r="C14" s="55">
        <v>18</v>
      </c>
      <c r="D14" s="56">
        <v>4.8413125336200001E-3</v>
      </c>
      <c r="E14" s="37"/>
      <c r="F14" s="37"/>
    </row>
    <row r="15" spans="1:6" s="15" customFormat="1" ht="14.5" customHeight="1">
      <c r="A15" s="37"/>
      <c r="B15" s="54" t="s">
        <v>142</v>
      </c>
      <c r="C15" s="55">
        <v>39</v>
      </c>
      <c r="D15" s="56">
        <v>1.0489510489510001E-2</v>
      </c>
      <c r="E15" s="37"/>
      <c r="F15" s="37"/>
    </row>
    <row r="16" spans="1:6" ht="14.5" customHeight="1">
      <c r="A16" s="37"/>
      <c r="B16" s="54" t="s">
        <v>143</v>
      </c>
      <c r="C16" s="55">
        <v>59</v>
      </c>
      <c r="D16" s="56">
        <v>1.5868746637977001E-2</v>
      </c>
      <c r="E16" s="37"/>
      <c r="F16" s="37"/>
    </row>
    <row r="17" spans="1:6" ht="14.5" customHeight="1">
      <c r="A17" s="37"/>
      <c r="B17" s="54" t="s">
        <v>144</v>
      </c>
      <c r="C17" s="55">
        <v>48</v>
      </c>
      <c r="D17" s="56">
        <v>1.2910166756321E-2</v>
      </c>
      <c r="E17" s="37"/>
      <c r="F17" s="37"/>
    </row>
    <row r="18" spans="1:6" ht="14.5" customHeight="1">
      <c r="A18" s="37"/>
      <c r="B18" s="54" t="s">
        <v>145</v>
      </c>
      <c r="C18" s="55">
        <v>67</v>
      </c>
      <c r="D18" s="56">
        <v>1.8020441097364E-2</v>
      </c>
      <c r="E18" s="37"/>
      <c r="F18" s="37"/>
    </row>
    <row r="19" spans="1:6" ht="14.5" customHeight="1">
      <c r="A19" s="37"/>
      <c r="B19" s="54" t="s">
        <v>146</v>
      </c>
      <c r="C19" s="55">
        <v>286</v>
      </c>
      <c r="D19" s="56">
        <v>7.6923076923076997E-2</v>
      </c>
      <c r="E19" s="37"/>
      <c r="F19" s="37"/>
    </row>
    <row r="20" spans="1:6" ht="14.5" customHeight="1">
      <c r="A20" s="37"/>
      <c r="B20" s="54" t="s">
        <v>147</v>
      </c>
      <c r="C20" s="55">
        <v>450</v>
      </c>
      <c r="D20" s="56">
        <v>0.121032813340506</v>
      </c>
      <c r="E20" s="37"/>
      <c r="F20" s="37"/>
    </row>
    <row r="21" spans="1:6" ht="14.5" customHeight="1">
      <c r="A21" s="37"/>
      <c r="B21" s="54" t="s">
        <v>148</v>
      </c>
      <c r="C21" s="55">
        <v>42</v>
      </c>
      <c r="D21" s="56">
        <v>1.1296395911781E-2</v>
      </c>
      <c r="E21" s="37"/>
      <c r="F21" s="37"/>
    </row>
    <row r="22" spans="1:6" ht="14.5" customHeight="1">
      <c r="A22" s="37"/>
      <c r="B22" s="54" t="s">
        <v>149</v>
      </c>
      <c r="C22" s="55">
        <v>88</v>
      </c>
      <c r="D22" s="56">
        <v>2.3668639053254E-2</v>
      </c>
      <c r="E22" s="37"/>
      <c r="F22" s="37"/>
    </row>
    <row r="23" spans="1:6" ht="14.5" customHeight="1">
      <c r="A23" s="37"/>
      <c r="B23" s="54" t="s">
        <v>150</v>
      </c>
      <c r="C23" s="55">
        <v>169</v>
      </c>
      <c r="D23" s="56">
        <v>4.5454545454544998E-2</v>
      </c>
      <c r="E23" s="37"/>
      <c r="F23" s="37"/>
    </row>
    <row r="24" spans="1:6" ht="14.5" customHeight="1">
      <c r="A24" s="37"/>
      <c r="B24" s="54" t="s">
        <v>151</v>
      </c>
      <c r="C24" s="55">
        <v>1038</v>
      </c>
      <c r="D24" s="56">
        <v>0.27918235610543302</v>
      </c>
      <c r="E24" s="37"/>
      <c r="F24" s="37"/>
    </row>
    <row r="25" spans="1:6" ht="14.5" customHeight="1">
      <c r="A25" s="37"/>
      <c r="B25" s="54" t="s">
        <v>152</v>
      </c>
      <c r="C25" s="55">
        <v>75</v>
      </c>
      <c r="D25" s="56">
        <v>2.0172135556751E-2</v>
      </c>
      <c r="E25" s="37"/>
      <c r="F25" s="37"/>
    </row>
    <row r="26" spans="1:6" ht="14.5" customHeight="1">
      <c r="A26" s="37"/>
      <c r="B26" s="54" t="s">
        <v>153</v>
      </c>
      <c r="C26" s="55">
        <v>253</v>
      </c>
      <c r="D26" s="56">
        <v>6.8047337278106995E-2</v>
      </c>
      <c r="E26" s="37"/>
      <c r="F26" s="37"/>
    </row>
    <row r="27" spans="1:6" ht="14.5" customHeight="1">
      <c r="A27" s="37"/>
      <c r="B27" s="54" t="s">
        <v>154</v>
      </c>
      <c r="C27" s="55">
        <v>777</v>
      </c>
      <c r="D27" s="56">
        <v>0.20898332436794001</v>
      </c>
      <c r="E27" s="37"/>
      <c r="F27" s="37"/>
    </row>
    <row r="28" spans="1:6" ht="14.5" customHeight="1">
      <c r="A28" s="37"/>
      <c r="B28" s="54" t="s">
        <v>155</v>
      </c>
      <c r="C28" s="55">
        <v>19</v>
      </c>
      <c r="D28" s="56">
        <v>5.1102743410440001E-3</v>
      </c>
      <c r="E28" s="37"/>
      <c r="F28" s="37"/>
    </row>
    <row r="29" spans="1:6" ht="14.5" customHeight="1">
      <c r="A29" s="37"/>
      <c r="B29" s="54" t="s">
        <v>156</v>
      </c>
      <c r="C29" s="55">
        <v>16</v>
      </c>
      <c r="D29" s="56">
        <v>4.3033889187739996E-3</v>
      </c>
      <c r="E29" s="37"/>
      <c r="F29" s="37"/>
    </row>
    <row r="30" spans="1:6" ht="14.5" customHeight="1">
      <c r="A30" s="37"/>
      <c r="B30" s="54" t="s">
        <v>157</v>
      </c>
      <c r="C30" s="55">
        <v>9</v>
      </c>
      <c r="D30" s="56">
        <v>2.4206562668100001E-3</v>
      </c>
      <c r="E30" s="37"/>
      <c r="F30" s="37"/>
    </row>
    <row r="31" spans="1:6" ht="14.5" customHeight="1">
      <c r="A31" s="37"/>
      <c r="B31" s="54" t="s">
        <v>158</v>
      </c>
      <c r="C31" s="55">
        <v>6</v>
      </c>
      <c r="D31" s="56">
        <v>1.61377084454E-3</v>
      </c>
      <c r="E31" s="37"/>
      <c r="F31" s="37"/>
    </row>
    <row r="32" spans="1:6" ht="14.5" customHeight="1">
      <c r="A32" s="37"/>
      <c r="B32" s="54" t="s">
        <v>159</v>
      </c>
      <c r="C32" s="55">
        <v>42</v>
      </c>
      <c r="D32" s="56">
        <v>1.1296395911781E-2</v>
      </c>
      <c r="E32" s="37"/>
      <c r="F32" s="37"/>
    </row>
    <row r="33" spans="1:6" ht="14.5" customHeight="1">
      <c r="A33" s="37"/>
      <c r="B33" s="54" t="s">
        <v>160</v>
      </c>
      <c r="C33" s="55">
        <v>154</v>
      </c>
      <c r="D33" s="56">
        <v>4.1420118343194999E-2</v>
      </c>
      <c r="E33" s="37"/>
      <c r="F33" s="37"/>
    </row>
    <row r="34" spans="1:6" ht="14.5" customHeight="1">
      <c r="A34" s="37"/>
      <c r="B34" s="54" t="s">
        <v>180</v>
      </c>
      <c r="C34" s="55">
        <v>2</v>
      </c>
      <c r="D34" s="56">
        <v>5.3792361484699997E-4</v>
      </c>
      <c r="E34" s="37"/>
      <c r="F34" s="37"/>
    </row>
    <row r="35" spans="1:6" ht="14.5" customHeight="1">
      <c r="A35" s="37"/>
      <c r="B35" s="54" t="s">
        <v>161</v>
      </c>
      <c r="C35" s="55">
        <v>7</v>
      </c>
      <c r="D35" s="56">
        <v>1.8827326519630001E-3</v>
      </c>
      <c r="E35" s="37"/>
      <c r="F35" s="37"/>
    </row>
    <row r="36" spans="1:6" ht="14.5" customHeight="1">
      <c r="A36" s="37"/>
      <c r="B36" s="54" t="s">
        <v>162</v>
      </c>
      <c r="C36" s="55">
        <v>1</v>
      </c>
      <c r="D36" s="56">
        <v>2.68961807423E-4</v>
      </c>
      <c r="E36" s="37"/>
      <c r="F36" s="37"/>
    </row>
    <row r="37" spans="1:6" ht="14.5" customHeight="1">
      <c r="A37" s="37"/>
      <c r="B37" s="57" t="s">
        <v>305</v>
      </c>
      <c r="C37" s="58">
        <v>3718</v>
      </c>
      <c r="D37" s="59">
        <v>1</v>
      </c>
      <c r="E37" s="37"/>
      <c r="F37" s="37"/>
    </row>
    <row r="38" spans="1:6" ht="14.5" customHeight="1">
      <c r="A38" s="37"/>
      <c r="B38" s="41"/>
      <c r="C38" s="39"/>
      <c r="D38" s="37"/>
      <c r="E38" s="37"/>
      <c r="F38" s="37"/>
    </row>
    <row r="39" spans="1:6" ht="14.5" customHeight="1">
      <c r="B39" s="38" t="s">
        <v>183</v>
      </c>
      <c r="C39" s="39"/>
      <c r="D39" s="37"/>
      <c r="E39" s="37"/>
      <c r="F39" s="37"/>
    </row>
    <row r="40" spans="1:6" ht="14.5" customHeight="1">
      <c r="B40" s="41" t="s">
        <v>17</v>
      </c>
      <c r="C40" s="39"/>
      <c r="D40" s="37"/>
      <c r="E40" s="37"/>
      <c r="F40" s="37"/>
    </row>
    <row r="41" spans="1:6" ht="14.5" customHeight="1">
      <c r="B41" s="42" t="s">
        <v>45</v>
      </c>
      <c r="C41" s="39"/>
      <c r="D41" s="37"/>
      <c r="E41" s="37"/>
      <c r="F41" s="37"/>
    </row>
    <row r="42" spans="1:6" ht="16.5">
      <c r="B42" s="38" t="s">
        <v>16</v>
      </c>
      <c r="C42" s="39"/>
      <c r="D42" s="37"/>
      <c r="E42" s="37"/>
      <c r="F42" s="37"/>
    </row>
    <row r="43" spans="1:6" ht="16.5">
      <c r="B43" s="38" t="s">
        <v>306</v>
      </c>
      <c r="C43" s="39"/>
      <c r="D43" s="37"/>
      <c r="E43" s="37"/>
      <c r="F43" s="37"/>
    </row>
    <row r="44" spans="1:6" ht="16.5">
      <c r="A44" s="37"/>
      <c r="B44" s="37"/>
      <c r="C44" s="39"/>
      <c r="D44" s="37"/>
      <c r="E44" s="37"/>
      <c r="F44" s="37"/>
    </row>
    <row r="48" spans="1:6">
      <c r="C48" s="13"/>
    </row>
    <row r="49" spans="3:3">
      <c r="C49" s="13"/>
    </row>
    <row r="50" spans="3:3">
      <c r="C50" s="13"/>
    </row>
    <row r="51" spans="3:3">
      <c r="C51" s="13"/>
    </row>
    <row r="52" spans="3:3">
      <c r="C52" s="13"/>
    </row>
    <row r="53" spans="3:3">
      <c r="C53" s="13"/>
    </row>
    <row r="54" spans="3:3">
      <c r="C54" s="13"/>
    </row>
    <row r="55" spans="3:3">
      <c r="C55" s="13"/>
    </row>
    <row r="56" spans="3:3">
      <c r="C56" s="13"/>
    </row>
    <row r="57" spans="3:3">
      <c r="C57" s="13"/>
    </row>
    <row r="58" spans="3:3">
      <c r="C58" s="13"/>
    </row>
    <row r="59" spans="3:3">
      <c r="C59" s="13"/>
    </row>
    <row r="60" spans="3:3">
      <c r="C60" s="13"/>
    </row>
    <row r="61" spans="3:3">
      <c r="C61" s="13"/>
    </row>
    <row r="62" spans="3:3">
      <c r="C62" s="13"/>
    </row>
    <row r="63" spans="3:3">
      <c r="C63" s="13"/>
    </row>
    <row r="64" spans="3:3">
      <c r="C64" s="13"/>
    </row>
    <row r="65" spans="3:3">
      <c r="C65" s="13"/>
    </row>
    <row r="66" spans="3:3">
      <c r="C66" s="13"/>
    </row>
    <row r="67" spans="3:3">
      <c r="C67" s="13"/>
    </row>
    <row r="68" spans="3:3">
      <c r="C68" s="13"/>
    </row>
    <row r="69" spans="3:3">
      <c r="C69" s="13"/>
    </row>
    <row r="70" spans="3:3">
      <c r="C70" s="13"/>
    </row>
    <row r="71" spans="3:3">
      <c r="C71" s="13"/>
    </row>
    <row r="72" spans="3:3">
      <c r="C72" s="13"/>
    </row>
    <row r="73" spans="3:3">
      <c r="C73" s="1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9">
    <tabColor rgb="FF92D050"/>
  </sheetPr>
  <dimension ref="A1:E374"/>
  <sheetViews>
    <sheetView showGridLines="0" view="pageBreakPreview" topLeftCell="A355" zoomScaleNormal="100" zoomScaleSheetLayoutView="100" workbookViewId="0">
      <selection activeCell="B368" sqref="B368"/>
    </sheetView>
  </sheetViews>
  <sheetFormatPr baseColWidth="10" defaultColWidth="35" defaultRowHeight="15" customHeight="1"/>
  <cols>
    <col min="1" max="1" width="1" style="19" customWidth="1"/>
    <col min="2" max="2" width="22.81640625" style="20" customWidth="1"/>
    <col min="3" max="3" width="31.453125" style="20" customWidth="1"/>
    <col min="4" max="4" width="14.26953125" style="20" customWidth="1"/>
    <col min="5" max="5" width="16.81640625" style="20" customWidth="1"/>
    <col min="6" max="6" width="32.54296875" style="19" customWidth="1"/>
    <col min="7" max="16384" width="35" style="19"/>
  </cols>
  <sheetData>
    <row r="1" spans="1:5" s="22" customFormat="1" ht="12" customHeight="1">
      <c r="B1" s="24"/>
      <c r="C1" s="21"/>
      <c r="D1" s="21"/>
      <c r="E1" s="21"/>
    </row>
    <row r="2" spans="1:5" s="22" customFormat="1" ht="15" customHeight="1">
      <c r="C2" s="26"/>
    </row>
    <row r="3" spans="1:5" s="22" customFormat="1" ht="15" customHeight="1">
      <c r="C3" s="26"/>
    </row>
    <row r="4" spans="1:5" s="22" customFormat="1" ht="30" customHeight="1">
      <c r="C4" s="26"/>
      <c r="D4" s="25"/>
    </row>
    <row r="5" spans="1:5" s="22" customFormat="1" ht="15" customHeight="1">
      <c r="C5" s="26"/>
      <c r="D5" s="25"/>
    </row>
    <row r="6" spans="1:5" s="22" customFormat="1" ht="24" customHeight="1">
      <c r="A6" s="44"/>
      <c r="B6" s="45"/>
      <c r="C6" s="44"/>
      <c r="D6" s="44"/>
      <c r="E6" s="44"/>
    </row>
    <row r="7" spans="1:5" s="22" customFormat="1" ht="26.25" customHeight="1">
      <c r="A7" s="49"/>
      <c r="B7" s="86"/>
      <c r="C7" s="86"/>
      <c r="D7" s="86"/>
      <c r="E7" s="86"/>
    </row>
    <row r="8" spans="1:5" s="22" customFormat="1" ht="33" customHeight="1">
      <c r="A8" s="49"/>
      <c r="B8" s="86"/>
      <c r="C8" s="86"/>
      <c r="D8" s="86"/>
      <c r="E8" s="86"/>
    </row>
    <row r="9" spans="1:5" s="16" customFormat="1" ht="40.5" customHeight="1">
      <c r="A9" s="32"/>
      <c r="B9" s="46" t="s">
        <v>27</v>
      </c>
      <c r="C9" s="47" t="s">
        <v>24</v>
      </c>
      <c r="D9" s="48" t="s">
        <v>19</v>
      </c>
      <c r="E9" s="46" t="s">
        <v>18</v>
      </c>
    </row>
    <row r="10" spans="1:5" ht="14.5" customHeight="1">
      <c r="A10" s="40"/>
      <c r="B10" s="81" t="s">
        <v>140</v>
      </c>
      <c r="C10" s="54" t="s">
        <v>93</v>
      </c>
      <c r="D10" s="55">
        <v>1</v>
      </c>
      <c r="E10" s="56">
        <v>2.68961807423E-4</v>
      </c>
    </row>
    <row r="11" spans="1:5" ht="14.5" customHeight="1">
      <c r="A11" s="40"/>
      <c r="B11" s="83"/>
      <c r="C11" s="54" t="s">
        <v>252</v>
      </c>
      <c r="D11" s="55">
        <v>46</v>
      </c>
      <c r="E11" s="56">
        <v>1.2372243141474001E-2</v>
      </c>
    </row>
    <row r="12" spans="1:5" ht="14.5" customHeight="1">
      <c r="A12" s="40"/>
      <c r="B12" s="83"/>
      <c r="C12" s="54" t="s">
        <v>98</v>
      </c>
      <c r="D12" s="55">
        <v>1</v>
      </c>
      <c r="E12" s="56">
        <v>2.68961807423E-4</v>
      </c>
    </row>
    <row r="13" spans="1:5" ht="14.5" customHeight="1">
      <c r="A13" s="40"/>
      <c r="B13" s="83"/>
      <c r="C13" s="54" t="s">
        <v>100</v>
      </c>
      <c r="D13" s="55">
        <v>1</v>
      </c>
      <c r="E13" s="56">
        <v>2.68961807423E-4</v>
      </c>
    </row>
    <row r="14" spans="1:5" ht="14.5" customHeight="1">
      <c r="A14" s="40"/>
      <c r="B14" s="83"/>
      <c r="C14" s="54" t="s">
        <v>111</v>
      </c>
      <c r="D14" s="55">
        <v>1</v>
      </c>
      <c r="E14" s="56">
        <v>2.68961807423E-4</v>
      </c>
    </row>
    <row r="15" spans="1:5" ht="14.5" customHeight="1">
      <c r="A15" s="40"/>
      <c r="B15" s="83"/>
      <c r="C15" s="54" t="s">
        <v>113</v>
      </c>
      <c r="D15" s="55">
        <v>1</v>
      </c>
      <c r="E15" s="56">
        <v>2.68961807423E-4</v>
      </c>
    </row>
    <row r="16" spans="1:5" ht="14.5" customHeight="1">
      <c r="A16" s="40"/>
      <c r="B16" s="83"/>
      <c r="C16" s="54" t="s">
        <v>122</v>
      </c>
      <c r="D16" s="55">
        <v>1</v>
      </c>
      <c r="E16" s="56">
        <v>2.68961807423E-4</v>
      </c>
    </row>
    <row r="17" spans="1:5" ht="14.5" customHeight="1">
      <c r="A17" s="40"/>
      <c r="B17" s="82"/>
      <c r="C17" s="67" t="s">
        <v>308</v>
      </c>
      <c r="D17" s="66">
        <v>52</v>
      </c>
      <c r="E17" s="68">
        <v>1.3986013986014E-2</v>
      </c>
    </row>
    <row r="18" spans="1:5" ht="14.5" customHeight="1">
      <c r="A18" s="40"/>
      <c r="B18" s="81" t="s">
        <v>251</v>
      </c>
      <c r="C18" s="54" t="s">
        <v>252</v>
      </c>
      <c r="D18" s="55">
        <v>1</v>
      </c>
      <c r="E18" s="56">
        <v>2.68961807423E-4</v>
      </c>
    </row>
    <row r="19" spans="1:5" ht="14.5" customHeight="1">
      <c r="A19" s="40"/>
      <c r="B19" s="82"/>
      <c r="C19" s="67" t="s">
        <v>308</v>
      </c>
      <c r="D19" s="66">
        <v>1</v>
      </c>
      <c r="E19" s="68">
        <v>2.68961807423E-4</v>
      </c>
    </row>
    <row r="20" spans="1:5" ht="14.5" customHeight="1">
      <c r="A20" s="40"/>
      <c r="B20" s="81" t="s">
        <v>141</v>
      </c>
      <c r="C20" s="54" t="s">
        <v>252</v>
      </c>
      <c r="D20" s="55">
        <v>15</v>
      </c>
      <c r="E20" s="56">
        <v>4.0344271113499997E-3</v>
      </c>
    </row>
    <row r="21" spans="1:5" ht="14.5" customHeight="1">
      <c r="A21" s="40"/>
      <c r="B21" s="83"/>
      <c r="C21" s="54" t="s">
        <v>253</v>
      </c>
      <c r="D21" s="55">
        <v>1</v>
      </c>
      <c r="E21" s="56">
        <v>2.68961807423E-4</v>
      </c>
    </row>
    <row r="22" spans="1:5" ht="14.5" customHeight="1">
      <c r="A22" s="40"/>
      <c r="B22" s="83"/>
      <c r="C22" s="54" t="s">
        <v>122</v>
      </c>
      <c r="D22" s="55">
        <v>2</v>
      </c>
      <c r="E22" s="56">
        <v>5.3792361484699997E-4</v>
      </c>
    </row>
    <row r="23" spans="1:5" ht="14.5" customHeight="1">
      <c r="A23" s="40"/>
      <c r="B23" s="82"/>
      <c r="C23" s="67" t="s">
        <v>308</v>
      </c>
      <c r="D23" s="66">
        <v>18</v>
      </c>
      <c r="E23" s="68">
        <v>4.8413125336200001E-3</v>
      </c>
    </row>
    <row r="24" spans="1:5" ht="14.5" customHeight="1">
      <c r="A24" s="40"/>
      <c r="B24" s="81" t="s">
        <v>142</v>
      </c>
      <c r="C24" s="54" t="s">
        <v>94</v>
      </c>
      <c r="D24" s="55">
        <v>2</v>
      </c>
      <c r="E24" s="56">
        <v>5.3792361484699997E-4</v>
      </c>
    </row>
    <row r="25" spans="1:5" ht="14.5" customHeight="1">
      <c r="A25" s="40"/>
      <c r="B25" s="83"/>
      <c r="C25" s="54" t="s">
        <v>252</v>
      </c>
      <c r="D25" s="55">
        <v>25</v>
      </c>
      <c r="E25" s="56">
        <v>6.7240451855840001E-3</v>
      </c>
    </row>
    <row r="26" spans="1:5" ht="14.5" customHeight="1">
      <c r="A26" s="40"/>
      <c r="B26" s="83"/>
      <c r="C26" s="54" t="s">
        <v>98</v>
      </c>
      <c r="D26" s="55">
        <v>3</v>
      </c>
      <c r="E26" s="56">
        <v>8.0688542227000002E-4</v>
      </c>
    </row>
    <row r="27" spans="1:5" ht="14.5" customHeight="1">
      <c r="A27" s="40"/>
      <c r="B27" s="83"/>
      <c r="C27" s="54" t="s">
        <v>100</v>
      </c>
      <c r="D27" s="55">
        <v>1</v>
      </c>
      <c r="E27" s="56">
        <v>2.68961807423E-4</v>
      </c>
    </row>
    <row r="28" spans="1:5" ht="14.5" customHeight="1">
      <c r="A28" s="40"/>
      <c r="B28" s="83"/>
      <c r="C28" s="54" t="s">
        <v>101</v>
      </c>
      <c r="D28" s="55">
        <v>1</v>
      </c>
      <c r="E28" s="56">
        <v>2.68961807423E-4</v>
      </c>
    </row>
    <row r="29" spans="1:5" ht="14.5" customHeight="1">
      <c r="A29" s="40"/>
      <c r="B29" s="83"/>
      <c r="C29" s="54" t="s">
        <v>253</v>
      </c>
      <c r="D29" s="55">
        <v>1</v>
      </c>
      <c r="E29" s="56">
        <v>2.68961807423E-4</v>
      </c>
    </row>
    <row r="30" spans="1:5" ht="14.5" customHeight="1">
      <c r="A30" s="40"/>
      <c r="B30" s="83"/>
      <c r="C30" s="54" t="s">
        <v>112</v>
      </c>
      <c r="D30" s="55">
        <v>1</v>
      </c>
      <c r="E30" s="56">
        <v>2.68961807423E-4</v>
      </c>
    </row>
    <row r="31" spans="1:5" ht="14.5" customHeight="1">
      <c r="A31" s="40"/>
      <c r="B31" s="83"/>
      <c r="C31" s="54" t="s">
        <v>254</v>
      </c>
      <c r="D31" s="55">
        <v>1</v>
      </c>
      <c r="E31" s="56">
        <v>2.68961807423E-4</v>
      </c>
    </row>
    <row r="32" spans="1:5" ht="14.5" customHeight="1">
      <c r="A32" s="40"/>
      <c r="B32" s="83"/>
      <c r="C32" s="54" t="s">
        <v>119</v>
      </c>
      <c r="D32" s="55">
        <v>1</v>
      </c>
      <c r="E32" s="56">
        <v>2.68961807423E-4</v>
      </c>
    </row>
    <row r="33" spans="1:5" ht="14.5" customHeight="1">
      <c r="A33" s="40"/>
      <c r="B33" s="83"/>
      <c r="C33" s="54" t="s">
        <v>122</v>
      </c>
      <c r="D33" s="55">
        <v>2</v>
      </c>
      <c r="E33" s="56">
        <v>5.3792361484699997E-4</v>
      </c>
    </row>
    <row r="34" spans="1:5" ht="14.5" customHeight="1">
      <c r="A34" s="40"/>
      <c r="B34" s="83"/>
      <c r="C34" s="54" t="s">
        <v>123</v>
      </c>
      <c r="D34" s="55">
        <v>1</v>
      </c>
      <c r="E34" s="56">
        <v>2.68961807423E-4</v>
      </c>
    </row>
    <row r="35" spans="1:5" ht="14.5" customHeight="1">
      <c r="A35" s="40"/>
      <c r="B35" s="82"/>
      <c r="C35" s="67" t="s">
        <v>308</v>
      </c>
      <c r="D35" s="66">
        <v>39</v>
      </c>
      <c r="E35" s="68">
        <v>1.0489510489510001E-2</v>
      </c>
    </row>
    <row r="36" spans="1:5" ht="14.5" customHeight="1">
      <c r="A36" s="40"/>
      <c r="B36" s="81" t="s">
        <v>143</v>
      </c>
      <c r="C36" s="54" t="s">
        <v>94</v>
      </c>
      <c r="D36" s="55">
        <v>3</v>
      </c>
      <c r="E36" s="56">
        <v>8.0688542227000002E-4</v>
      </c>
    </row>
    <row r="37" spans="1:5" ht="14.5" customHeight="1">
      <c r="A37" s="40"/>
      <c r="B37" s="83"/>
      <c r="C37" s="54" t="s">
        <v>252</v>
      </c>
      <c r="D37" s="55">
        <v>42</v>
      </c>
      <c r="E37" s="56">
        <v>1.1296395911781E-2</v>
      </c>
    </row>
    <row r="38" spans="1:5" ht="14.5" customHeight="1">
      <c r="A38" s="40"/>
      <c r="B38" s="83"/>
      <c r="C38" s="54" t="s">
        <v>98</v>
      </c>
      <c r="D38" s="55">
        <v>1</v>
      </c>
      <c r="E38" s="56">
        <v>2.68961807423E-4</v>
      </c>
    </row>
    <row r="39" spans="1:5" ht="14.5" customHeight="1">
      <c r="A39" s="40"/>
      <c r="B39" s="83"/>
      <c r="C39" s="54" t="s">
        <v>99</v>
      </c>
      <c r="D39" s="55">
        <v>1</v>
      </c>
      <c r="E39" s="56">
        <v>2.68961807423E-4</v>
      </c>
    </row>
    <row r="40" spans="1:5" ht="14.5" customHeight="1">
      <c r="A40" s="40"/>
      <c r="B40" s="83"/>
      <c r="C40" s="54" t="s">
        <v>100</v>
      </c>
      <c r="D40" s="55">
        <v>1</v>
      </c>
      <c r="E40" s="56">
        <v>2.68961807423E-4</v>
      </c>
    </row>
    <row r="41" spans="1:5" ht="14.5" customHeight="1">
      <c r="A41" s="40"/>
      <c r="B41" s="83"/>
      <c r="C41" s="54" t="s">
        <v>110</v>
      </c>
      <c r="D41" s="55">
        <v>1</v>
      </c>
      <c r="E41" s="56">
        <v>2.68961807423E-4</v>
      </c>
    </row>
    <row r="42" spans="1:5" ht="14.5" customHeight="1">
      <c r="A42" s="40"/>
      <c r="B42" s="83"/>
      <c r="C42" s="54" t="s">
        <v>112</v>
      </c>
      <c r="D42" s="55">
        <v>3</v>
      </c>
      <c r="E42" s="56">
        <v>8.0688542227000002E-4</v>
      </c>
    </row>
    <row r="43" spans="1:5" ht="14.5" customHeight="1">
      <c r="A43" s="40"/>
      <c r="B43" s="83"/>
      <c r="C43" s="54" t="s">
        <v>256</v>
      </c>
      <c r="D43" s="55">
        <v>1</v>
      </c>
      <c r="E43" s="56">
        <v>2.68961807423E-4</v>
      </c>
    </row>
    <row r="44" spans="1:5" ht="14.5" customHeight="1">
      <c r="A44" s="40"/>
      <c r="B44" s="83"/>
      <c r="C44" s="54" t="s">
        <v>119</v>
      </c>
      <c r="D44" s="55">
        <v>1</v>
      </c>
      <c r="E44" s="56">
        <v>2.68961807423E-4</v>
      </c>
    </row>
    <row r="45" spans="1:5" ht="14.5" customHeight="1">
      <c r="A45" s="40"/>
      <c r="B45" s="83"/>
      <c r="C45" s="54" t="s">
        <v>122</v>
      </c>
      <c r="D45" s="55">
        <v>3</v>
      </c>
      <c r="E45" s="56">
        <v>8.0688542227000002E-4</v>
      </c>
    </row>
    <row r="46" spans="1:5" ht="14.5" customHeight="1">
      <c r="A46" s="40"/>
      <c r="B46" s="83"/>
      <c r="C46" s="54" t="s">
        <v>123</v>
      </c>
      <c r="D46" s="55">
        <v>1</v>
      </c>
      <c r="E46" s="56">
        <v>2.68961807423E-4</v>
      </c>
    </row>
    <row r="47" spans="1:5" ht="14.5" customHeight="1">
      <c r="A47" s="40"/>
      <c r="B47" s="83"/>
      <c r="C47" s="54" t="s">
        <v>255</v>
      </c>
      <c r="D47" s="55">
        <v>1</v>
      </c>
      <c r="E47" s="56">
        <v>2.68961807423E-4</v>
      </c>
    </row>
    <row r="48" spans="1:5" ht="14.5" customHeight="1">
      <c r="A48" s="40"/>
      <c r="B48" s="82"/>
      <c r="C48" s="67" t="s">
        <v>308</v>
      </c>
      <c r="D48" s="66">
        <v>59</v>
      </c>
      <c r="E48" s="68">
        <v>1.5868746637977001E-2</v>
      </c>
    </row>
    <row r="49" spans="1:5" ht="14.5" customHeight="1">
      <c r="A49" s="40"/>
      <c r="B49" s="81" t="s">
        <v>144</v>
      </c>
      <c r="C49" s="54" t="s">
        <v>252</v>
      </c>
      <c r="D49" s="55">
        <v>30</v>
      </c>
      <c r="E49" s="56">
        <v>8.0688542226999994E-3</v>
      </c>
    </row>
    <row r="50" spans="1:5" ht="14.5" customHeight="1">
      <c r="A50" s="40"/>
      <c r="B50" s="83"/>
      <c r="C50" s="54" t="s">
        <v>99</v>
      </c>
      <c r="D50" s="55">
        <v>1</v>
      </c>
      <c r="E50" s="56">
        <v>2.68961807423E-4</v>
      </c>
    </row>
    <row r="51" spans="1:5" ht="14.5" customHeight="1">
      <c r="A51" s="40"/>
      <c r="B51" s="83"/>
      <c r="C51" s="54" t="s">
        <v>101</v>
      </c>
      <c r="D51" s="55">
        <v>2</v>
      </c>
      <c r="E51" s="56">
        <v>5.3792361484699997E-4</v>
      </c>
    </row>
    <row r="52" spans="1:5" ht="14.5" customHeight="1">
      <c r="A52" s="40"/>
      <c r="B52" s="83"/>
      <c r="C52" s="54" t="s">
        <v>103</v>
      </c>
      <c r="D52" s="55">
        <v>2</v>
      </c>
      <c r="E52" s="56">
        <v>5.3792361484699997E-4</v>
      </c>
    </row>
    <row r="53" spans="1:5" ht="14.5" customHeight="1">
      <c r="A53" s="40"/>
      <c r="B53" s="83"/>
      <c r="C53" s="54" t="s">
        <v>108</v>
      </c>
      <c r="D53" s="55">
        <v>1</v>
      </c>
      <c r="E53" s="56">
        <v>2.68961807423E-4</v>
      </c>
    </row>
    <row r="54" spans="1:5" ht="14.5" customHeight="1">
      <c r="A54" s="40"/>
      <c r="B54" s="83"/>
      <c r="C54" s="54" t="s">
        <v>110</v>
      </c>
      <c r="D54" s="55">
        <v>1</v>
      </c>
      <c r="E54" s="56">
        <v>2.68961807423E-4</v>
      </c>
    </row>
    <row r="55" spans="1:5" ht="14.5" customHeight="1">
      <c r="A55" s="40"/>
      <c r="B55" s="83"/>
      <c r="C55" s="54" t="s">
        <v>111</v>
      </c>
      <c r="D55" s="55">
        <v>1</v>
      </c>
      <c r="E55" s="56">
        <v>2.68961807423E-4</v>
      </c>
    </row>
    <row r="56" spans="1:5" ht="14.5" customHeight="1">
      <c r="A56" s="40"/>
      <c r="B56" s="83"/>
      <c r="C56" s="54" t="s">
        <v>112</v>
      </c>
      <c r="D56" s="55">
        <v>1</v>
      </c>
      <c r="E56" s="56">
        <v>2.68961807423E-4</v>
      </c>
    </row>
    <row r="57" spans="1:5" ht="14.5" customHeight="1">
      <c r="A57" s="40"/>
      <c r="B57" s="83"/>
      <c r="C57" s="54" t="s">
        <v>254</v>
      </c>
      <c r="D57" s="55">
        <v>1</v>
      </c>
      <c r="E57" s="56">
        <v>2.68961807423E-4</v>
      </c>
    </row>
    <row r="58" spans="1:5" ht="14.5" customHeight="1">
      <c r="A58" s="40"/>
      <c r="B58" s="83"/>
      <c r="C58" s="54" t="s">
        <v>119</v>
      </c>
      <c r="D58" s="55">
        <v>1</v>
      </c>
      <c r="E58" s="56">
        <v>2.68961807423E-4</v>
      </c>
    </row>
    <row r="59" spans="1:5" ht="14.5" customHeight="1">
      <c r="A59" s="40"/>
      <c r="B59" s="83"/>
      <c r="C59" s="54" t="s">
        <v>123</v>
      </c>
      <c r="D59" s="55">
        <v>1</v>
      </c>
      <c r="E59" s="56">
        <v>2.68961807423E-4</v>
      </c>
    </row>
    <row r="60" spans="1:5" ht="14.5" customHeight="1">
      <c r="A60" s="40"/>
      <c r="B60" s="83"/>
      <c r="C60" s="54" t="s">
        <v>255</v>
      </c>
      <c r="D60" s="55">
        <v>6</v>
      </c>
      <c r="E60" s="56">
        <v>1.61377084454E-3</v>
      </c>
    </row>
    <row r="61" spans="1:5" ht="14.5" customHeight="1">
      <c r="A61" s="40"/>
      <c r="B61" s="82"/>
      <c r="C61" s="67" t="s">
        <v>308</v>
      </c>
      <c r="D61" s="66">
        <v>48</v>
      </c>
      <c r="E61" s="68">
        <v>1.2910166756321E-2</v>
      </c>
    </row>
    <row r="62" spans="1:5" ht="14.5" customHeight="1">
      <c r="A62" s="40"/>
      <c r="B62" s="81" t="s">
        <v>145</v>
      </c>
      <c r="C62" s="54" t="s">
        <v>94</v>
      </c>
      <c r="D62" s="55">
        <v>2</v>
      </c>
      <c r="E62" s="56">
        <v>5.3792361484699997E-4</v>
      </c>
    </row>
    <row r="63" spans="1:5" ht="14.5" customHeight="1">
      <c r="A63" s="40"/>
      <c r="B63" s="83"/>
      <c r="C63" s="54" t="s">
        <v>252</v>
      </c>
      <c r="D63" s="55">
        <v>45</v>
      </c>
      <c r="E63" s="56">
        <v>1.2103281334051001E-2</v>
      </c>
    </row>
    <row r="64" spans="1:5" ht="14.5" customHeight="1">
      <c r="A64" s="40"/>
      <c r="B64" s="83"/>
      <c r="C64" s="54" t="s">
        <v>98</v>
      </c>
      <c r="D64" s="55">
        <v>1</v>
      </c>
      <c r="E64" s="56">
        <v>2.68961807423E-4</v>
      </c>
    </row>
    <row r="65" spans="1:5" ht="14.5" customHeight="1">
      <c r="A65" s="40"/>
      <c r="B65" s="83"/>
      <c r="C65" s="54" t="s">
        <v>100</v>
      </c>
      <c r="D65" s="55">
        <v>1</v>
      </c>
      <c r="E65" s="56">
        <v>2.68961807423E-4</v>
      </c>
    </row>
    <row r="66" spans="1:5" ht="14.5" customHeight="1">
      <c r="A66" s="40"/>
      <c r="B66" s="83"/>
      <c r="C66" s="54" t="s">
        <v>107</v>
      </c>
      <c r="D66" s="55">
        <v>1</v>
      </c>
      <c r="E66" s="56">
        <v>2.68961807423E-4</v>
      </c>
    </row>
    <row r="67" spans="1:5" ht="14.5" customHeight="1">
      <c r="A67" s="40"/>
      <c r="B67" s="83"/>
      <c r="C67" s="54" t="s">
        <v>110</v>
      </c>
      <c r="D67" s="55">
        <v>3</v>
      </c>
      <c r="E67" s="56">
        <v>8.0688542227000002E-4</v>
      </c>
    </row>
    <row r="68" spans="1:5" ht="14.5" customHeight="1">
      <c r="A68" s="40"/>
      <c r="B68" s="83"/>
      <c r="C68" s="54" t="s">
        <v>112</v>
      </c>
      <c r="D68" s="55">
        <v>2</v>
      </c>
      <c r="E68" s="56">
        <v>5.3792361484699997E-4</v>
      </c>
    </row>
    <row r="69" spans="1:5" ht="14.5" customHeight="1">
      <c r="A69" s="40"/>
      <c r="B69" s="83"/>
      <c r="C69" s="54" t="s">
        <v>190</v>
      </c>
      <c r="D69" s="55">
        <v>4</v>
      </c>
      <c r="E69" s="56">
        <v>1.0758472296930001E-3</v>
      </c>
    </row>
    <row r="70" spans="1:5" ht="14.5" customHeight="1">
      <c r="A70" s="40"/>
      <c r="B70" s="83"/>
      <c r="C70" s="54" t="s">
        <v>119</v>
      </c>
      <c r="D70" s="55">
        <v>1</v>
      </c>
      <c r="E70" s="56">
        <v>2.68961807423E-4</v>
      </c>
    </row>
    <row r="71" spans="1:5" ht="14.5" customHeight="1">
      <c r="A71" s="40"/>
      <c r="B71" s="83"/>
      <c r="C71" s="54" t="s">
        <v>122</v>
      </c>
      <c r="D71" s="55">
        <v>4</v>
      </c>
      <c r="E71" s="56">
        <v>1.0758472296930001E-3</v>
      </c>
    </row>
    <row r="72" spans="1:5" ht="14.5" customHeight="1">
      <c r="A72" s="40"/>
      <c r="B72" s="83"/>
      <c r="C72" s="54" t="s">
        <v>255</v>
      </c>
      <c r="D72" s="55">
        <v>3</v>
      </c>
      <c r="E72" s="56">
        <v>8.0688542227000002E-4</v>
      </c>
    </row>
    <row r="73" spans="1:5" ht="14.5" customHeight="1">
      <c r="A73" s="40"/>
      <c r="B73" s="82"/>
      <c r="C73" s="67" t="s">
        <v>308</v>
      </c>
      <c r="D73" s="66">
        <v>67</v>
      </c>
      <c r="E73" s="68">
        <v>1.8020441097364E-2</v>
      </c>
    </row>
    <row r="74" spans="1:5" ht="14.5" customHeight="1">
      <c r="A74" s="40"/>
      <c r="B74" s="81" t="s">
        <v>146</v>
      </c>
      <c r="C74" s="54" t="s">
        <v>94</v>
      </c>
      <c r="D74" s="55">
        <v>1</v>
      </c>
      <c r="E74" s="56">
        <v>2.68961807423E-4</v>
      </c>
    </row>
    <row r="75" spans="1:5" ht="14.5" customHeight="1">
      <c r="A75" s="40"/>
      <c r="B75" s="83"/>
      <c r="C75" s="54" t="s">
        <v>95</v>
      </c>
      <c r="D75" s="55">
        <v>1</v>
      </c>
      <c r="E75" s="56">
        <v>2.68961807423E-4</v>
      </c>
    </row>
    <row r="76" spans="1:5" ht="14.5" customHeight="1">
      <c r="A76" s="40"/>
      <c r="B76" s="83"/>
      <c r="C76" s="54" t="s">
        <v>252</v>
      </c>
      <c r="D76" s="55">
        <v>208</v>
      </c>
      <c r="E76" s="56">
        <v>5.5944055944056E-2</v>
      </c>
    </row>
    <row r="77" spans="1:5" ht="14.5" customHeight="1">
      <c r="A77" s="40"/>
      <c r="B77" s="83"/>
      <c r="C77" s="54" t="s">
        <v>97</v>
      </c>
      <c r="D77" s="55">
        <v>2</v>
      </c>
      <c r="E77" s="56">
        <v>5.3792361484699997E-4</v>
      </c>
    </row>
    <row r="78" spans="1:5" ht="14.5" customHeight="1">
      <c r="A78" s="40"/>
      <c r="B78" s="83"/>
      <c r="C78" s="54" t="s">
        <v>98</v>
      </c>
      <c r="D78" s="55">
        <v>3</v>
      </c>
      <c r="E78" s="56">
        <v>8.0688542227000002E-4</v>
      </c>
    </row>
    <row r="79" spans="1:5" ht="14.5" customHeight="1">
      <c r="A79" s="40"/>
      <c r="B79" s="83"/>
      <c r="C79" s="54" t="s">
        <v>100</v>
      </c>
      <c r="D79" s="55">
        <v>3</v>
      </c>
      <c r="E79" s="56">
        <v>8.0688542227000002E-4</v>
      </c>
    </row>
    <row r="80" spans="1:5" ht="14.5" customHeight="1">
      <c r="A80" s="40"/>
      <c r="B80" s="83"/>
      <c r="C80" s="54" t="s">
        <v>101</v>
      </c>
      <c r="D80" s="55">
        <v>8</v>
      </c>
      <c r="E80" s="56">
        <v>2.1516944593869998E-3</v>
      </c>
    </row>
    <row r="81" spans="1:5" ht="14.5" customHeight="1">
      <c r="A81" s="40"/>
      <c r="B81" s="83"/>
      <c r="C81" s="54" t="s">
        <v>102</v>
      </c>
      <c r="D81" s="55">
        <v>2</v>
      </c>
      <c r="E81" s="56">
        <v>5.3792361484699997E-4</v>
      </c>
    </row>
    <row r="82" spans="1:5" ht="14.5" customHeight="1">
      <c r="A82" s="40"/>
      <c r="B82" s="83"/>
      <c r="C82" s="54" t="s">
        <v>253</v>
      </c>
      <c r="D82" s="55">
        <v>2</v>
      </c>
      <c r="E82" s="56">
        <v>5.3792361484699997E-4</v>
      </c>
    </row>
    <row r="83" spans="1:5" ht="14.5" customHeight="1">
      <c r="A83" s="40"/>
      <c r="B83" s="83"/>
      <c r="C83" s="54" t="s">
        <v>105</v>
      </c>
      <c r="D83" s="55">
        <v>1</v>
      </c>
      <c r="E83" s="56">
        <v>2.68961807423E-4</v>
      </c>
    </row>
    <row r="84" spans="1:5" ht="14.5" customHeight="1">
      <c r="A84" s="40"/>
      <c r="B84" s="83"/>
      <c r="C84" s="54" t="s">
        <v>110</v>
      </c>
      <c r="D84" s="55">
        <v>3</v>
      </c>
      <c r="E84" s="56">
        <v>8.0688542227000002E-4</v>
      </c>
    </row>
    <row r="85" spans="1:5" ht="14.5" customHeight="1">
      <c r="A85" s="40"/>
      <c r="B85" s="83"/>
      <c r="C85" s="54" t="s">
        <v>112</v>
      </c>
      <c r="D85" s="55">
        <v>18</v>
      </c>
      <c r="E85" s="56">
        <v>4.8413125336200001E-3</v>
      </c>
    </row>
    <row r="86" spans="1:5" ht="14.5" customHeight="1">
      <c r="A86" s="40"/>
      <c r="B86" s="83"/>
      <c r="C86" s="54" t="s">
        <v>114</v>
      </c>
      <c r="D86" s="55">
        <v>2</v>
      </c>
      <c r="E86" s="56">
        <v>5.3792361484699997E-4</v>
      </c>
    </row>
    <row r="87" spans="1:5" ht="14.5" customHeight="1">
      <c r="A87" s="40"/>
      <c r="B87" s="83"/>
      <c r="C87" s="54" t="s">
        <v>256</v>
      </c>
      <c r="D87" s="55">
        <v>1</v>
      </c>
      <c r="E87" s="56">
        <v>2.68961807423E-4</v>
      </c>
    </row>
    <row r="88" spans="1:5" ht="14.5" customHeight="1">
      <c r="A88" s="40"/>
      <c r="B88" s="83"/>
      <c r="C88" s="54" t="s">
        <v>254</v>
      </c>
      <c r="D88" s="55">
        <v>2</v>
      </c>
      <c r="E88" s="56">
        <v>5.3792361484699997E-4</v>
      </c>
    </row>
    <row r="89" spans="1:5" ht="14.5" customHeight="1">
      <c r="A89" s="40"/>
      <c r="B89" s="83"/>
      <c r="C89" s="54" t="s">
        <v>119</v>
      </c>
      <c r="D89" s="55">
        <v>1</v>
      </c>
      <c r="E89" s="56">
        <v>2.68961807423E-4</v>
      </c>
    </row>
    <row r="90" spans="1:5" ht="14.5" customHeight="1">
      <c r="A90" s="40"/>
      <c r="B90" s="83"/>
      <c r="C90" s="54" t="s">
        <v>257</v>
      </c>
      <c r="D90" s="55">
        <v>1</v>
      </c>
      <c r="E90" s="56">
        <v>2.68961807423E-4</v>
      </c>
    </row>
    <row r="91" spans="1:5" ht="14.5" customHeight="1">
      <c r="A91" s="40"/>
      <c r="B91" s="83"/>
      <c r="C91" s="54" t="s">
        <v>258</v>
      </c>
      <c r="D91" s="55">
        <v>1</v>
      </c>
      <c r="E91" s="56">
        <v>2.68961807423E-4</v>
      </c>
    </row>
    <row r="92" spans="1:5" ht="14.5" customHeight="1">
      <c r="A92" s="40"/>
      <c r="B92" s="83"/>
      <c r="C92" s="54" t="s">
        <v>122</v>
      </c>
      <c r="D92" s="55">
        <v>15</v>
      </c>
      <c r="E92" s="56">
        <v>4.0344271113499997E-3</v>
      </c>
    </row>
    <row r="93" spans="1:5" ht="14.5" customHeight="1">
      <c r="A93" s="40"/>
      <c r="B93" s="83"/>
      <c r="C93" s="54" t="s">
        <v>123</v>
      </c>
      <c r="D93" s="55">
        <v>5</v>
      </c>
      <c r="E93" s="56">
        <v>1.344809037117E-3</v>
      </c>
    </row>
    <row r="94" spans="1:5" ht="14.5" customHeight="1">
      <c r="A94" s="40"/>
      <c r="B94" s="83"/>
      <c r="C94" s="54" t="s">
        <v>124</v>
      </c>
      <c r="D94" s="55">
        <v>1</v>
      </c>
      <c r="E94" s="56">
        <v>2.68961807423E-4</v>
      </c>
    </row>
    <row r="95" spans="1:5" ht="14.5" customHeight="1">
      <c r="A95" s="40"/>
      <c r="B95" s="83"/>
      <c r="C95" s="54" t="s">
        <v>255</v>
      </c>
      <c r="D95" s="55">
        <v>4</v>
      </c>
      <c r="E95" s="56">
        <v>1.0758472296930001E-3</v>
      </c>
    </row>
    <row r="96" spans="1:5" ht="14.5" customHeight="1">
      <c r="A96" s="40"/>
      <c r="B96" s="83"/>
      <c r="C96" s="54" t="s">
        <v>126</v>
      </c>
      <c r="D96" s="55">
        <v>1</v>
      </c>
      <c r="E96" s="56">
        <v>2.68961807423E-4</v>
      </c>
    </row>
    <row r="97" spans="1:5" ht="14.5" customHeight="1">
      <c r="A97" s="40"/>
      <c r="B97" s="82"/>
      <c r="C97" s="67" t="s">
        <v>308</v>
      </c>
      <c r="D97" s="66">
        <v>286</v>
      </c>
      <c r="E97" s="68">
        <v>7.6923076923076997E-2</v>
      </c>
    </row>
    <row r="98" spans="1:5" ht="14.5" customHeight="1">
      <c r="A98" s="40"/>
      <c r="B98" s="81" t="s">
        <v>147</v>
      </c>
      <c r="C98" s="54" t="s">
        <v>94</v>
      </c>
      <c r="D98" s="55">
        <v>6</v>
      </c>
      <c r="E98" s="56">
        <v>1.61377084454E-3</v>
      </c>
    </row>
    <row r="99" spans="1:5" ht="14.5" customHeight="1">
      <c r="A99" s="40"/>
      <c r="B99" s="83"/>
      <c r="C99" s="54" t="s">
        <v>95</v>
      </c>
      <c r="D99" s="55">
        <v>3</v>
      </c>
      <c r="E99" s="56">
        <v>8.0688542227000002E-4</v>
      </c>
    </row>
    <row r="100" spans="1:5" ht="14.5" customHeight="1">
      <c r="A100" s="40"/>
      <c r="B100" s="83"/>
      <c r="C100" s="54" t="s">
        <v>252</v>
      </c>
      <c r="D100" s="55">
        <v>293</v>
      </c>
      <c r="E100" s="56">
        <v>7.8805809575040006E-2</v>
      </c>
    </row>
    <row r="101" spans="1:5" ht="14.5" customHeight="1">
      <c r="A101" s="40"/>
      <c r="B101" s="83"/>
      <c r="C101" s="54" t="s">
        <v>97</v>
      </c>
      <c r="D101" s="55">
        <v>7</v>
      </c>
      <c r="E101" s="56">
        <v>1.8827326519630001E-3</v>
      </c>
    </row>
    <row r="102" spans="1:5" ht="14.5" customHeight="1">
      <c r="A102" s="40"/>
      <c r="B102" s="83"/>
      <c r="C102" s="54" t="s">
        <v>98</v>
      </c>
      <c r="D102" s="55">
        <v>2</v>
      </c>
      <c r="E102" s="56">
        <v>5.3792361484699997E-4</v>
      </c>
    </row>
    <row r="103" spans="1:5" ht="14.5" customHeight="1">
      <c r="A103" s="40"/>
      <c r="B103" s="83"/>
      <c r="C103" s="54" t="s">
        <v>99</v>
      </c>
      <c r="D103" s="55">
        <v>4</v>
      </c>
      <c r="E103" s="56">
        <v>1.0758472296930001E-3</v>
      </c>
    </row>
    <row r="104" spans="1:5" ht="14.5" customHeight="1">
      <c r="A104" s="40"/>
      <c r="B104" s="83"/>
      <c r="C104" s="54" t="s">
        <v>100</v>
      </c>
      <c r="D104" s="55">
        <v>7</v>
      </c>
      <c r="E104" s="56">
        <v>1.8827326519630001E-3</v>
      </c>
    </row>
    <row r="105" spans="1:5" ht="14.5" customHeight="1">
      <c r="A105" s="40"/>
      <c r="B105" s="83"/>
      <c r="C105" s="54" t="s">
        <v>101</v>
      </c>
      <c r="D105" s="55">
        <v>21</v>
      </c>
      <c r="E105" s="56">
        <v>5.6481979558899997E-3</v>
      </c>
    </row>
    <row r="106" spans="1:5" ht="14.5" customHeight="1">
      <c r="A106" s="40"/>
      <c r="B106" s="83"/>
      <c r="C106" s="54" t="s">
        <v>102</v>
      </c>
      <c r="D106" s="55">
        <v>7</v>
      </c>
      <c r="E106" s="56">
        <v>1.8827326519630001E-3</v>
      </c>
    </row>
    <row r="107" spans="1:5" ht="14.5" customHeight="1">
      <c r="A107" s="40"/>
      <c r="B107" s="83"/>
      <c r="C107" s="54" t="s">
        <v>103</v>
      </c>
      <c r="D107" s="55">
        <v>2</v>
      </c>
      <c r="E107" s="56">
        <v>5.3792361484699997E-4</v>
      </c>
    </row>
    <row r="108" spans="1:5" ht="14.5" customHeight="1">
      <c r="A108" s="40"/>
      <c r="B108" s="83"/>
      <c r="C108" s="54" t="s">
        <v>253</v>
      </c>
      <c r="D108" s="55">
        <v>2</v>
      </c>
      <c r="E108" s="56">
        <v>5.3792361484699997E-4</v>
      </c>
    </row>
    <row r="109" spans="1:5" ht="14.5" customHeight="1">
      <c r="A109" s="40"/>
      <c r="B109" s="83"/>
      <c r="C109" s="54" t="s">
        <v>105</v>
      </c>
      <c r="D109" s="55">
        <v>3</v>
      </c>
      <c r="E109" s="56">
        <v>8.0688542227000002E-4</v>
      </c>
    </row>
    <row r="110" spans="1:5" ht="14.5" customHeight="1">
      <c r="A110" s="40"/>
      <c r="B110" s="83"/>
      <c r="C110" s="54" t="s">
        <v>107</v>
      </c>
      <c r="D110" s="55">
        <v>4</v>
      </c>
      <c r="E110" s="56">
        <v>1.0758472296930001E-3</v>
      </c>
    </row>
    <row r="111" spans="1:5" ht="14.5" customHeight="1">
      <c r="A111" s="40"/>
      <c r="B111" s="83"/>
      <c r="C111" s="54" t="s">
        <v>108</v>
      </c>
      <c r="D111" s="55">
        <v>1</v>
      </c>
      <c r="E111" s="56">
        <v>2.68961807423E-4</v>
      </c>
    </row>
    <row r="112" spans="1:5" ht="14.5" customHeight="1">
      <c r="A112" s="40"/>
      <c r="B112" s="83"/>
      <c r="C112" s="54" t="s">
        <v>110</v>
      </c>
      <c r="D112" s="55">
        <v>1</v>
      </c>
      <c r="E112" s="56">
        <v>2.68961807423E-4</v>
      </c>
    </row>
    <row r="113" spans="1:5" ht="14.5" customHeight="1">
      <c r="A113" s="40"/>
      <c r="B113" s="83"/>
      <c r="C113" s="54" t="s">
        <v>111</v>
      </c>
      <c r="D113" s="55">
        <v>1</v>
      </c>
      <c r="E113" s="56">
        <v>2.68961807423E-4</v>
      </c>
    </row>
    <row r="114" spans="1:5" ht="14.5" customHeight="1">
      <c r="A114" s="40"/>
      <c r="B114" s="83"/>
      <c r="C114" s="54" t="s">
        <v>112</v>
      </c>
      <c r="D114" s="55">
        <v>19</v>
      </c>
      <c r="E114" s="56">
        <v>5.1102743410440001E-3</v>
      </c>
    </row>
    <row r="115" spans="1:5" ht="14.5" customHeight="1">
      <c r="A115" s="40"/>
      <c r="B115" s="83"/>
      <c r="C115" s="54" t="s">
        <v>256</v>
      </c>
      <c r="D115" s="55">
        <v>1</v>
      </c>
      <c r="E115" s="56">
        <v>2.68961807423E-4</v>
      </c>
    </row>
    <row r="116" spans="1:5" ht="14.5" customHeight="1">
      <c r="A116" s="40"/>
      <c r="B116" s="83"/>
      <c r="C116" s="54" t="s">
        <v>254</v>
      </c>
      <c r="D116" s="55">
        <v>3</v>
      </c>
      <c r="E116" s="56">
        <v>8.0688542227000002E-4</v>
      </c>
    </row>
    <row r="117" spans="1:5" ht="14.5" customHeight="1">
      <c r="A117" s="40"/>
      <c r="B117" s="83"/>
      <c r="C117" s="54" t="s">
        <v>118</v>
      </c>
      <c r="D117" s="55">
        <v>6</v>
      </c>
      <c r="E117" s="56">
        <v>1.61377084454E-3</v>
      </c>
    </row>
    <row r="118" spans="1:5" ht="14.5" customHeight="1">
      <c r="A118" s="40"/>
      <c r="B118" s="83"/>
      <c r="C118" s="54" t="s">
        <v>119</v>
      </c>
      <c r="D118" s="55">
        <v>5</v>
      </c>
      <c r="E118" s="56">
        <v>1.344809037117E-3</v>
      </c>
    </row>
    <row r="119" spans="1:5" ht="14.5" customHeight="1">
      <c r="A119" s="40"/>
      <c r="B119" s="83"/>
      <c r="C119" s="54" t="s">
        <v>257</v>
      </c>
      <c r="D119" s="55">
        <v>1</v>
      </c>
      <c r="E119" s="56">
        <v>2.68961807423E-4</v>
      </c>
    </row>
    <row r="120" spans="1:5" ht="14.5" customHeight="1">
      <c r="A120" s="40"/>
      <c r="B120" s="83"/>
      <c r="C120" s="54" t="s">
        <v>258</v>
      </c>
      <c r="D120" s="55">
        <v>3</v>
      </c>
      <c r="E120" s="56">
        <v>8.0688542227000002E-4</v>
      </c>
    </row>
    <row r="121" spans="1:5" ht="14.5" customHeight="1">
      <c r="A121" s="40"/>
      <c r="B121" s="83"/>
      <c r="C121" s="54" t="s">
        <v>122</v>
      </c>
      <c r="D121" s="55">
        <v>27</v>
      </c>
      <c r="E121" s="56">
        <v>7.2619688004299998E-3</v>
      </c>
    </row>
    <row r="122" spans="1:5" ht="14.5" customHeight="1">
      <c r="A122" s="40"/>
      <c r="B122" s="83"/>
      <c r="C122" s="54" t="s">
        <v>123</v>
      </c>
      <c r="D122" s="55">
        <v>1</v>
      </c>
      <c r="E122" s="56">
        <v>2.68961807423E-4</v>
      </c>
    </row>
    <row r="123" spans="1:5" ht="14.5" customHeight="1">
      <c r="A123" s="40"/>
      <c r="B123" s="83"/>
      <c r="C123" s="54" t="s">
        <v>124</v>
      </c>
      <c r="D123" s="55">
        <v>3</v>
      </c>
      <c r="E123" s="56">
        <v>8.0688542227000002E-4</v>
      </c>
    </row>
    <row r="124" spans="1:5" ht="14.5" customHeight="1">
      <c r="A124" s="40"/>
      <c r="B124" s="83"/>
      <c r="C124" s="54" t="s">
        <v>255</v>
      </c>
      <c r="D124" s="55">
        <v>12</v>
      </c>
      <c r="E124" s="56">
        <v>3.2275416890800001E-3</v>
      </c>
    </row>
    <row r="125" spans="1:5" ht="14.5" customHeight="1">
      <c r="A125" s="40"/>
      <c r="B125" s="83"/>
      <c r="C125" s="54" t="s">
        <v>126</v>
      </c>
      <c r="D125" s="55">
        <v>4</v>
      </c>
      <c r="E125" s="56">
        <v>1.0758472296930001E-3</v>
      </c>
    </row>
    <row r="126" spans="1:5" ht="14.5" customHeight="1">
      <c r="A126" s="40"/>
      <c r="B126" s="83"/>
      <c r="C126" s="54" t="s">
        <v>193</v>
      </c>
      <c r="D126" s="55">
        <v>1</v>
      </c>
      <c r="E126" s="56">
        <v>2.68961807423E-4</v>
      </c>
    </row>
    <row r="127" spans="1:5" ht="14.5" customHeight="1">
      <c r="A127" s="40"/>
      <c r="B127" s="82"/>
      <c r="C127" s="67" t="s">
        <v>308</v>
      </c>
      <c r="D127" s="66">
        <v>450</v>
      </c>
      <c r="E127" s="68">
        <v>0.121032813340506</v>
      </c>
    </row>
    <row r="128" spans="1:5" ht="14.5" customHeight="1">
      <c r="A128" s="40"/>
      <c r="B128" s="81" t="s">
        <v>148</v>
      </c>
      <c r="C128" s="54" t="s">
        <v>93</v>
      </c>
      <c r="D128" s="55">
        <v>1</v>
      </c>
      <c r="E128" s="56">
        <v>2.68961807423E-4</v>
      </c>
    </row>
    <row r="129" spans="1:5" ht="14.5" customHeight="1">
      <c r="A129" s="40"/>
      <c r="B129" s="83"/>
      <c r="C129" s="54" t="s">
        <v>94</v>
      </c>
      <c r="D129" s="55">
        <v>1</v>
      </c>
      <c r="E129" s="56">
        <v>2.68961807423E-4</v>
      </c>
    </row>
    <row r="130" spans="1:5" ht="14.5" customHeight="1">
      <c r="A130" s="40"/>
      <c r="B130" s="83"/>
      <c r="C130" s="54" t="s">
        <v>252</v>
      </c>
      <c r="D130" s="55">
        <v>21</v>
      </c>
      <c r="E130" s="56">
        <v>5.6481979558899997E-3</v>
      </c>
    </row>
    <row r="131" spans="1:5" ht="14.5" customHeight="1">
      <c r="A131" s="40"/>
      <c r="B131" s="83"/>
      <c r="C131" s="54" t="s">
        <v>97</v>
      </c>
      <c r="D131" s="55">
        <v>1</v>
      </c>
      <c r="E131" s="56">
        <v>2.68961807423E-4</v>
      </c>
    </row>
    <row r="132" spans="1:5" ht="14.5" customHeight="1">
      <c r="A132" s="40"/>
      <c r="B132" s="83"/>
      <c r="C132" s="54" t="s">
        <v>100</v>
      </c>
      <c r="D132" s="55">
        <v>1</v>
      </c>
      <c r="E132" s="56">
        <v>2.68961807423E-4</v>
      </c>
    </row>
    <row r="133" spans="1:5" ht="14.5" customHeight="1">
      <c r="A133" s="40"/>
      <c r="B133" s="83"/>
      <c r="C133" s="54" t="s">
        <v>101</v>
      </c>
      <c r="D133" s="55">
        <v>3</v>
      </c>
      <c r="E133" s="56">
        <v>8.0688542227000002E-4</v>
      </c>
    </row>
    <row r="134" spans="1:5" ht="14.5" customHeight="1">
      <c r="A134" s="40"/>
      <c r="B134" s="83"/>
      <c r="C134" s="54" t="s">
        <v>112</v>
      </c>
      <c r="D134" s="55">
        <v>4</v>
      </c>
      <c r="E134" s="56">
        <v>1.0758472296930001E-3</v>
      </c>
    </row>
    <row r="135" spans="1:5" ht="14.5" customHeight="1">
      <c r="A135" s="40"/>
      <c r="B135" s="83"/>
      <c r="C135" s="54" t="s">
        <v>113</v>
      </c>
      <c r="D135" s="55">
        <v>2</v>
      </c>
      <c r="E135" s="56">
        <v>5.3792361484699997E-4</v>
      </c>
    </row>
    <row r="136" spans="1:5" ht="14.5" customHeight="1">
      <c r="A136" s="40"/>
      <c r="B136" s="83"/>
      <c r="C136" s="54" t="s">
        <v>258</v>
      </c>
      <c r="D136" s="55">
        <v>1</v>
      </c>
      <c r="E136" s="56">
        <v>2.68961807423E-4</v>
      </c>
    </row>
    <row r="137" spans="1:5" ht="14.5" customHeight="1">
      <c r="A137" s="40"/>
      <c r="B137" s="83"/>
      <c r="C137" s="54" t="s">
        <v>122</v>
      </c>
      <c r="D137" s="55">
        <v>6</v>
      </c>
      <c r="E137" s="56">
        <v>1.61377084454E-3</v>
      </c>
    </row>
    <row r="138" spans="1:5" ht="14.5" customHeight="1">
      <c r="A138" s="40"/>
      <c r="B138" s="83"/>
      <c r="C138" s="54" t="s">
        <v>255</v>
      </c>
      <c r="D138" s="55">
        <v>1</v>
      </c>
      <c r="E138" s="56">
        <v>2.68961807423E-4</v>
      </c>
    </row>
    <row r="139" spans="1:5" ht="14.5" customHeight="1">
      <c r="A139" s="40"/>
      <c r="B139" s="82"/>
      <c r="C139" s="67" t="s">
        <v>308</v>
      </c>
      <c r="D139" s="66">
        <v>42</v>
      </c>
      <c r="E139" s="68">
        <v>1.1296395911781E-2</v>
      </c>
    </row>
    <row r="140" spans="1:5" ht="14.5" customHeight="1">
      <c r="A140" s="40"/>
      <c r="B140" s="81" t="s">
        <v>149</v>
      </c>
      <c r="C140" s="54" t="s">
        <v>94</v>
      </c>
      <c r="D140" s="55">
        <v>1</v>
      </c>
      <c r="E140" s="56">
        <v>2.68961807423E-4</v>
      </c>
    </row>
    <row r="141" spans="1:5" ht="14.5" customHeight="1">
      <c r="A141" s="40"/>
      <c r="B141" s="83"/>
      <c r="C141" s="54" t="s">
        <v>95</v>
      </c>
      <c r="D141" s="55">
        <v>1</v>
      </c>
      <c r="E141" s="56">
        <v>2.68961807423E-4</v>
      </c>
    </row>
    <row r="142" spans="1:5" ht="14.5" customHeight="1">
      <c r="A142" s="40"/>
      <c r="B142" s="83"/>
      <c r="C142" s="54" t="s">
        <v>252</v>
      </c>
      <c r="D142" s="55">
        <v>57</v>
      </c>
      <c r="E142" s="56">
        <v>1.5330823023130999E-2</v>
      </c>
    </row>
    <row r="143" spans="1:5" ht="14.5" customHeight="1">
      <c r="A143" s="40"/>
      <c r="B143" s="83"/>
      <c r="C143" s="54" t="s">
        <v>97</v>
      </c>
      <c r="D143" s="55">
        <v>3</v>
      </c>
      <c r="E143" s="56">
        <v>8.0688542227000002E-4</v>
      </c>
    </row>
    <row r="144" spans="1:5" ht="14.5" customHeight="1">
      <c r="A144" s="40"/>
      <c r="B144" s="83"/>
      <c r="C144" s="54" t="s">
        <v>185</v>
      </c>
      <c r="D144" s="55">
        <v>1</v>
      </c>
      <c r="E144" s="56">
        <v>2.68961807423E-4</v>
      </c>
    </row>
    <row r="145" spans="1:5" ht="14.5" customHeight="1">
      <c r="A145" s="40"/>
      <c r="B145" s="83"/>
      <c r="C145" s="54" t="s">
        <v>98</v>
      </c>
      <c r="D145" s="55">
        <v>1</v>
      </c>
      <c r="E145" s="56">
        <v>2.68961807423E-4</v>
      </c>
    </row>
    <row r="146" spans="1:5" ht="14.5" customHeight="1">
      <c r="A146" s="40"/>
      <c r="B146" s="83"/>
      <c r="C146" s="54" t="s">
        <v>101</v>
      </c>
      <c r="D146" s="55">
        <v>2</v>
      </c>
      <c r="E146" s="56">
        <v>5.3792361484699997E-4</v>
      </c>
    </row>
    <row r="147" spans="1:5" ht="14.5" customHeight="1">
      <c r="A147" s="40"/>
      <c r="B147" s="83"/>
      <c r="C147" s="54" t="s">
        <v>102</v>
      </c>
      <c r="D147" s="55">
        <v>1</v>
      </c>
      <c r="E147" s="56">
        <v>2.68961807423E-4</v>
      </c>
    </row>
    <row r="148" spans="1:5" ht="14.5" customHeight="1">
      <c r="A148" s="40"/>
      <c r="B148" s="83"/>
      <c r="C148" s="54" t="s">
        <v>110</v>
      </c>
      <c r="D148" s="55">
        <v>1</v>
      </c>
      <c r="E148" s="56">
        <v>2.68961807423E-4</v>
      </c>
    </row>
    <row r="149" spans="1:5" ht="14.5" customHeight="1">
      <c r="A149" s="40"/>
      <c r="B149" s="83"/>
      <c r="C149" s="54" t="s">
        <v>111</v>
      </c>
      <c r="D149" s="55">
        <v>1</v>
      </c>
      <c r="E149" s="56">
        <v>2.68961807423E-4</v>
      </c>
    </row>
    <row r="150" spans="1:5" ht="14.5" customHeight="1">
      <c r="A150" s="40"/>
      <c r="B150" s="83"/>
      <c r="C150" s="54" t="s">
        <v>112</v>
      </c>
      <c r="D150" s="55">
        <v>7</v>
      </c>
      <c r="E150" s="56">
        <v>1.8827326519630001E-3</v>
      </c>
    </row>
    <row r="151" spans="1:5" ht="14.5" customHeight="1">
      <c r="A151" s="40"/>
      <c r="B151" s="83"/>
      <c r="C151" s="54" t="s">
        <v>254</v>
      </c>
      <c r="D151" s="55">
        <v>1</v>
      </c>
      <c r="E151" s="56">
        <v>2.68961807423E-4</v>
      </c>
    </row>
    <row r="152" spans="1:5" ht="14.5" customHeight="1">
      <c r="A152" s="40"/>
      <c r="B152" s="83"/>
      <c r="C152" s="54" t="s">
        <v>117</v>
      </c>
      <c r="D152" s="55">
        <v>1</v>
      </c>
      <c r="E152" s="56">
        <v>2.68961807423E-4</v>
      </c>
    </row>
    <row r="153" spans="1:5" ht="14.5" customHeight="1">
      <c r="A153" s="40"/>
      <c r="B153" s="83"/>
      <c r="C153" s="54" t="s">
        <v>118</v>
      </c>
      <c r="D153" s="55">
        <v>2</v>
      </c>
      <c r="E153" s="56">
        <v>5.3792361484699997E-4</v>
      </c>
    </row>
    <row r="154" spans="1:5" ht="14.5" customHeight="1">
      <c r="A154" s="40"/>
      <c r="B154" s="83"/>
      <c r="C154" s="54" t="s">
        <v>122</v>
      </c>
      <c r="D154" s="55">
        <v>4</v>
      </c>
      <c r="E154" s="56">
        <v>1.0758472296930001E-3</v>
      </c>
    </row>
    <row r="155" spans="1:5" ht="14.5" customHeight="1">
      <c r="A155" s="40"/>
      <c r="B155" s="83"/>
      <c r="C155" s="54" t="s">
        <v>123</v>
      </c>
      <c r="D155" s="55">
        <v>2</v>
      </c>
      <c r="E155" s="56">
        <v>5.3792361484699997E-4</v>
      </c>
    </row>
    <row r="156" spans="1:5" ht="14.5" customHeight="1">
      <c r="A156" s="40"/>
      <c r="B156" s="83"/>
      <c r="C156" s="54" t="s">
        <v>255</v>
      </c>
      <c r="D156" s="55">
        <v>2</v>
      </c>
      <c r="E156" s="56">
        <v>5.3792361484699997E-4</v>
      </c>
    </row>
    <row r="157" spans="1:5" ht="14.5" customHeight="1">
      <c r="A157" s="40"/>
      <c r="B157" s="82"/>
      <c r="C157" s="67" t="s">
        <v>308</v>
      </c>
      <c r="D157" s="66">
        <v>88</v>
      </c>
      <c r="E157" s="68">
        <v>2.3668639053254E-2</v>
      </c>
    </row>
    <row r="158" spans="1:5" ht="14.5" customHeight="1">
      <c r="A158" s="40"/>
      <c r="B158" s="81" t="s">
        <v>150</v>
      </c>
      <c r="C158" s="54" t="s">
        <v>93</v>
      </c>
      <c r="D158" s="55">
        <v>1</v>
      </c>
      <c r="E158" s="56">
        <v>2.68961807423E-4</v>
      </c>
    </row>
    <row r="159" spans="1:5" ht="14.5" customHeight="1">
      <c r="A159" s="40"/>
      <c r="B159" s="83"/>
      <c r="C159" s="54" t="s">
        <v>94</v>
      </c>
      <c r="D159" s="55">
        <v>3</v>
      </c>
      <c r="E159" s="56">
        <v>8.0688542227000002E-4</v>
      </c>
    </row>
    <row r="160" spans="1:5" ht="14.5" customHeight="1">
      <c r="A160" s="40"/>
      <c r="B160" s="83"/>
      <c r="C160" s="54" t="s">
        <v>252</v>
      </c>
      <c r="D160" s="55">
        <v>108</v>
      </c>
      <c r="E160" s="56">
        <v>2.9047875201720998E-2</v>
      </c>
    </row>
    <row r="161" spans="1:5" ht="14.5" customHeight="1">
      <c r="A161" s="40"/>
      <c r="B161" s="83"/>
      <c r="C161" s="54" t="s">
        <v>97</v>
      </c>
      <c r="D161" s="55">
        <v>2</v>
      </c>
      <c r="E161" s="56">
        <v>5.3792361484699997E-4</v>
      </c>
    </row>
    <row r="162" spans="1:5" ht="14.5" customHeight="1">
      <c r="A162" s="40"/>
      <c r="B162" s="83"/>
      <c r="C162" s="54" t="s">
        <v>98</v>
      </c>
      <c r="D162" s="55">
        <v>3</v>
      </c>
      <c r="E162" s="56">
        <v>8.0688542227000002E-4</v>
      </c>
    </row>
    <row r="163" spans="1:5" ht="14.5" customHeight="1">
      <c r="A163" s="40"/>
      <c r="B163" s="83"/>
      <c r="C163" s="54" t="s">
        <v>101</v>
      </c>
      <c r="D163" s="55">
        <v>5</v>
      </c>
      <c r="E163" s="56">
        <v>1.344809037117E-3</v>
      </c>
    </row>
    <row r="164" spans="1:5" ht="14.5" customHeight="1">
      <c r="A164" s="40"/>
      <c r="B164" s="83"/>
      <c r="C164" s="54" t="s">
        <v>102</v>
      </c>
      <c r="D164" s="55">
        <v>3</v>
      </c>
      <c r="E164" s="56">
        <v>8.0688542227000002E-4</v>
      </c>
    </row>
    <row r="165" spans="1:5" ht="14.5" customHeight="1">
      <c r="A165" s="40"/>
      <c r="B165" s="83"/>
      <c r="C165" s="54" t="s">
        <v>107</v>
      </c>
      <c r="D165" s="55">
        <v>3</v>
      </c>
      <c r="E165" s="56">
        <v>8.0688542227000002E-4</v>
      </c>
    </row>
    <row r="166" spans="1:5" ht="14.5" customHeight="1">
      <c r="A166" s="40"/>
      <c r="B166" s="83"/>
      <c r="C166" s="54" t="s">
        <v>109</v>
      </c>
      <c r="D166" s="55">
        <v>1</v>
      </c>
      <c r="E166" s="56">
        <v>2.68961807423E-4</v>
      </c>
    </row>
    <row r="167" spans="1:5" ht="14.5" customHeight="1">
      <c r="A167" s="40"/>
      <c r="B167" s="83"/>
      <c r="C167" s="54" t="s">
        <v>111</v>
      </c>
      <c r="D167" s="55">
        <v>1</v>
      </c>
      <c r="E167" s="56">
        <v>2.68961807423E-4</v>
      </c>
    </row>
    <row r="168" spans="1:5" ht="14.5" customHeight="1">
      <c r="A168" s="40"/>
      <c r="B168" s="83"/>
      <c r="C168" s="54" t="s">
        <v>112</v>
      </c>
      <c r="D168" s="55">
        <v>11</v>
      </c>
      <c r="E168" s="56">
        <v>2.9585798816569998E-3</v>
      </c>
    </row>
    <row r="169" spans="1:5" ht="14.5" customHeight="1">
      <c r="A169" s="40"/>
      <c r="B169" s="83"/>
      <c r="C169" s="54" t="s">
        <v>254</v>
      </c>
      <c r="D169" s="55">
        <v>1</v>
      </c>
      <c r="E169" s="56">
        <v>2.68961807423E-4</v>
      </c>
    </row>
    <row r="170" spans="1:5" ht="14.5" customHeight="1">
      <c r="A170" s="40"/>
      <c r="B170" s="83"/>
      <c r="C170" s="54" t="s">
        <v>118</v>
      </c>
      <c r="D170" s="55">
        <v>1</v>
      </c>
      <c r="E170" s="56">
        <v>2.68961807423E-4</v>
      </c>
    </row>
    <row r="171" spans="1:5" ht="14.5" customHeight="1">
      <c r="A171" s="40"/>
      <c r="B171" s="83"/>
      <c r="C171" s="54" t="s">
        <v>119</v>
      </c>
      <c r="D171" s="55">
        <v>3</v>
      </c>
      <c r="E171" s="56">
        <v>8.0688542227000002E-4</v>
      </c>
    </row>
    <row r="172" spans="1:5" ht="14.5" customHeight="1">
      <c r="A172" s="40"/>
      <c r="B172" s="83"/>
      <c r="C172" s="54" t="s">
        <v>257</v>
      </c>
      <c r="D172" s="55">
        <v>2</v>
      </c>
      <c r="E172" s="56">
        <v>5.3792361484699997E-4</v>
      </c>
    </row>
    <row r="173" spans="1:5" ht="14.5" customHeight="1">
      <c r="A173" s="40"/>
      <c r="B173" s="83"/>
      <c r="C173" s="54" t="s">
        <v>258</v>
      </c>
      <c r="D173" s="55">
        <v>1</v>
      </c>
      <c r="E173" s="56">
        <v>2.68961807423E-4</v>
      </c>
    </row>
    <row r="174" spans="1:5" ht="14.5" customHeight="1">
      <c r="A174" s="40"/>
      <c r="B174" s="83"/>
      <c r="C174" s="54" t="s">
        <v>122</v>
      </c>
      <c r="D174" s="55">
        <v>8</v>
      </c>
      <c r="E174" s="56">
        <v>2.1516944593869998E-3</v>
      </c>
    </row>
    <row r="175" spans="1:5" ht="14.5" customHeight="1">
      <c r="A175" s="40"/>
      <c r="B175" s="83"/>
      <c r="C175" s="54" t="s">
        <v>123</v>
      </c>
      <c r="D175" s="55">
        <v>3</v>
      </c>
      <c r="E175" s="56">
        <v>8.0688542227000002E-4</v>
      </c>
    </row>
    <row r="176" spans="1:5" ht="14.5" customHeight="1">
      <c r="A176" s="40"/>
      <c r="B176" s="83"/>
      <c r="C176" s="54" t="s">
        <v>124</v>
      </c>
      <c r="D176" s="55">
        <v>1</v>
      </c>
      <c r="E176" s="56">
        <v>2.68961807423E-4</v>
      </c>
    </row>
    <row r="177" spans="1:5" ht="14.5" customHeight="1">
      <c r="A177" s="40"/>
      <c r="B177" s="83"/>
      <c r="C177" s="54" t="s">
        <v>255</v>
      </c>
      <c r="D177" s="55">
        <v>8</v>
      </c>
      <c r="E177" s="56">
        <v>2.1516944593869998E-3</v>
      </c>
    </row>
    <row r="178" spans="1:5" ht="14.5" customHeight="1">
      <c r="A178" s="40"/>
      <c r="B178" s="82"/>
      <c r="C178" s="67" t="s">
        <v>308</v>
      </c>
      <c r="D178" s="66">
        <v>169</v>
      </c>
      <c r="E178" s="68">
        <v>4.5454545454544998E-2</v>
      </c>
    </row>
    <row r="179" spans="1:5" ht="14.5" customHeight="1">
      <c r="A179" s="40"/>
      <c r="B179" s="81" t="s">
        <v>151</v>
      </c>
      <c r="C179" s="54" t="s">
        <v>93</v>
      </c>
      <c r="D179" s="55">
        <v>1</v>
      </c>
      <c r="E179" s="56">
        <v>2.68961807423E-4</v>
      </c>
    </row>
    <row r="180" spans="1:5" ht="14.5" customHeight="1">
      <c r="A180" s="40"/>
      <c r="B180" s="83"/>
      <c r="C180" s="54" t="s">
        <v>94</v>
      </c>
      <c r="D180" s="55">
        <v>17</v>
      </c>
      <c r="E180" s="56">
        <v>4.5723507261970003E-3</v>
      </c>
    </row>
    <row r="181" spans="1:5" ht="14.5" customHeight="1">
      <c r="A181" s="40"/>
      <c r="B181" s="83"/>
      <c r="C181" s="54" t="s">
        <v>95</v>
      </c>
      <c r="D181" s="55">
        <v>7</v>
      </c>
      <c r="E181" s="56">
        <v>1.8827326519630001E-3</v>
      </c>
    </row>
    <row r="182" spans="1:5" ht="14.5" customHeight="1">
      <c r="A182" s="40"/>
      <c r="B182" s="83"/>
      <c r="C182" s="54" t="s">
        <v>252</v>
      </c>
      <c r="D182" s="55">
        <v>633</v>
      </c>
      <c r="E182" s="56">
        <v>0.17025282409897799</v>
      </c>
    </row>
    <row r="183" spans="1:5" ht="14.5" customHeight="1">
      <c r="A183" s="40"/>
      <c r="B183" s="83"/>
      <c r="C183" s="54" t="s">
        <v>97</v>
      </c>
      <c r="D183" s="55">
        <v>14</v>
      </c>
      <c r="E183" s="56">
        <v>3.7654653039269998E-3</v>
      </c>
    </row>
    <row r="184" spans="1:5" ht="14.5" customHeight="1">
      <c r="A184" s="40"/>
      <c r="B184" s="83"/>
      <c r="C184" s="54" t="s">
        <v>186</v>
      </c>
      <c r="D184" s="55">
        <v>3</v>
      </c>
      <c r="E184" s="56">
        <v>8.0688542227000002E-4</v>
      </c>
    </row>
    <row r="185" spans="1:5" ht="14.5" customHeight="1">
      <c r="A185" s="40"/>
      <c r="B185" s="83"/>
      <c r="C185" s="54" t="s">
        <v>98</v>
      </c>
      <c r="D185" s="55">
        <v>9</v>
      </c>
      <c r="E185" s="56">
        <v>2.4206562668100001E-3</v>
      </c>
    </row>
    <row r="186" spans="1:5" ht="14.5" customHeight="1">
      <c r="A186" s="40"/>
      <c r="B186" s="83"/>
      <c r="C186" s="54" t="s">
        <v>99</v>
      </c>
      <c r="D186" s="55">
        <v>11</v>
      </c>
      <c r="E186" s="56">
        <v>2.9585798816569998E-3</v>
      </c>
    </row>
    <row r="187" spans="1:5" ht="14.5" customHeight="1">
      <c r="A187" s="40"/>
      <c r="B187" s="83"/>
      <c r="C187" s="54" t="s">
        <v>100</v>
      </c>
      <c r="D187" s="55">
        <v>12</v>
      </c>
      <c r="E187" s="56">
        <v>3.2275416890800001E-3</v>
      </c>
    </row>
    <row r="188" spans="1:5" ht="14.5" customHeight="1">
      <c r="A188" s="40"/>
      <c r="B188" s="83"/>
      <c r="C188" s="54" t="s">
        <v>101</v>
      </c>
      <c r="D188" s="55">
        <v>38</v>
      </c>
      <c r="E188" s="56">
        <v>1.0220548682086999E-2</v>
      </c>
    </row>
    <row r="189" spans="1:5" ht="14.5" customHeight="1">
      <c r="A189" s="40"/>
      <c r="B189" s="83"/>
      <c r="C189" s="54" t="s">
        <v>102</v>
      </c>
      <c r="D189" s="55">
        <v>11</v>
      </c>
      <c r="E189" s="56">
        <v>2.9585798816569998E-3</v>
      </c>
    </row>
    <row r="190" spans="1:5" ht="14.5" customHeight="1">
      <c r="A190" s="40"/>
      <c r="B190" s="83"/>
      <c r="C190" s="54" t="s">
        <v>103</v>
      </c>
      <c r="D190" s="55">
        <v>2</v>
      </c>
      <c r="E190" s="56">
        <v>5.3792361484699997E-4</v>
      </c>
    </row>
    <row r="191" spans="1:5" ht="14.5" customHeight="1">
      <c r="A191" s="40"/>
      <c r="B191" s="83"/>
      <c r="C191" s="54" t="s">
        <v>253</v>
      </c>
      <c r="D191" s="55">
        <v>5</v>
      </c>
      <c r="E191" s="56">
        <v>1.344809037117E-3</v>
      </c>
    </row>
    <row r="192" spans="1:5" ht="14.5" customHeight="1">
      <c r="A192" s="40"/>
      <c r="B192" s="83"/>
      <c r="C192" s="54" t="s">
        <v>105</v>
      </c>
      <c r="D192" s="55">
        <v>5</v>
      </c>
      <c r="E192" s="56">
        <v>1.344809037117E-3</v>
      </c>
    </row>
    <row r="193" spans="1:5" ht="14.5" customHeight="1">
      <c r="A193" s="40"/>
      <c r="B193" s="83"/>
      <c r="C193" s="54" t="s">
        <v>188</v>
      </c>
      <c r="D193" s="55">
        <v>1</v>
      </c>
      <c r="E193" s="56">
        <v>2.68961807423E-4</v>
      </c>
    </row>
    <row r="194" spans="1:5" ht="14.5" customHeight="1">
      <c r="A194" s="40"/>
      <c r="B194" s="83"/>
      <c r="C194" s="54" t="s">
        <v>264</v>
      </c>
      <c r="D194" s="55">
        <v>1</v>
      </c>
      <c r="E194" s="56">
        <v>2.68961807423E-4</v>
      </c>
    </row>
    <row r="195" spans="1:5" ht="14.5" customHeight="1">
      <c r="A195" s="40"/>
      <c r="B195" s="83"/>
      <c r="C195" s="54" t="s">
        <v>107</v>
      </c>
      <c r="D195" s="55">
        <v>3</v>
      </c>
      <c r="E195" s="56">
        <v>8.0688542227000002E-4</v>
      </c>
    </row>
    <row r="196" spans="1:5" ht="14.5" customHeight="1">
      <c r="A196" s="40"/>
      <c r="B196" s="83"/>
      <c r="C196" s="54" t="s">
        <v>108</v>
      </c>
      <c r="D196" s="55">
        <v>1</v>
      </c>
      <c r="E196" s="56">
        <v>2.68961807423E-4</v>
      </c>
    </row>
    <row r="197" spans="1:5" ht="14.5" customHeight="1">
      <c r="A197" s="40"/>
      <c r="B197" s="83"/>
      <c r="C197" s="54" t="s">
        <v>110</v>
      </c>
      <c r="D197" s="55">
        <v>9</v>
      </c>
      <c r="E197" s="56">
        <v>2.4206562668100001E-3</v>
      </c>
    </row>
    <row r="198" spans="1:5" ht="14.5" customHeight="1">
      <c r="A198" s="40"/>
      <c r="B198" s="83"/>
      <c r="C198" s="54" t="s">
        <v>111</v>
      </c>
      <c r="D198" s="55">
        <v>6</v>
      </c>
      <c r="E198" s="56">
        <v>1.61377084454E-3</v>
      </c>
    </row>
    <row r="199" spans="1:5" ht="14.5" customHeight="1">
      <c r="A199" s="40"/>
      <c r="B199" s="83"/>
      <c r="C199" s="54" t="s">
        <v>112</v>
      </c>
      <c r="D199" s="55">
        <v>73</v>
      </c>
      <c r="E199" s="56">
        <v>1.9634211941904001E-2</v>
      </c>
    </row>
    <row r="200" spans="1:5" ht="14.5" customHeight="1">
      <c r="A200" s="40"/>
      <c r="B200" s="83"/>
      <c r="C200" s="54" t="s">
        <v>189</v>
      </c>
      <c r="D200" s="55">
        <v>1</v>
      </c>
      <c r="E200" s="56">
        <v>2.68961807423E-4</v>
      </c>
    </row>
    <row r="201" spans="1:5" ht="14.5" customHeight="1">
      <c r="A201" s="40"/>
      <c r="B201" s="83"/>
      <c r="C201" s="54" t="s">
        <v>113</v>
      </c>
      <c r="D201" s="55">
        <v>1</v>
      </c>
      <c r="E201" s="56">
        <v>2.68961807423E-4</v>
      </c>
    </row>
    <row r="202" spans="1:5" ht="14.5" customHeight="1">
      <c r="A202" s="40"/>
      <c r="B202" s="83"/>
      <c r="C202" s="54" t="s">
        <v>114</v>
      </c>
      <c r="D202" s="55">
        <v>2</v>
      </c>
      <c r="E202" s="56">
        <v>5.3792361484699997E-4</v>
      </c>
    </row>
    <row r="203" spans="1:5" ht="14.5" customHeight="1">
      <c r="A203" s="40"/>
      <c r="B203" s="83"/>
      <c r="C203" s="54" t="s">
        <v>256</v>
      </c>
      <c r="D203" s="55">
        <v>2</v>
      </c>
      <c r="E203" s="56">
        <v>5.3792361484699997E-4</v>
      </c>
    </row>
    <row r="204" spans="1:5" ht="14.5" customHeight="1">
      <c r="A204" s="40"/>
      <c r="B204" s="83"/>
      <c r="C204" s="54" t="s">
        <v>254</v>
      </c>
      <c r="D204" s="55">
        <v>5</v>
      </c>
      <c r="E204" s="56">
        <v>1.344809037117E-3</v>
      </c>
    </row>
    <row r="205" spans="1:5" ht="14.5" customHeight="1">
      <c r="A205" s="40"/>
      <c r="B205" s="83"/>
      <c r="C205" s="54" t="s">
        <v>117</v>
      </c>
      <c r="D205" s="55">
        <v>5</v>
      </c>
      <c r="E205" s="56">
        <v>1.344809037117E-3</v>
      </c>
    </row>
    <row r="206" spans="1:5" ht="14.5" customHeight="1">
      <c r="A206" s="40"/>
      <c r="B206" s="83"/>
      <c r="C206" s="54" t="s">
        <v>118</v>
      </c>
      <c r="D206" s="55">
        <v>7</v>
      </c>
      <c r="E206" s="56">
        <v>1.8827326519630001E-3</v>
      </c>
    </row>
    <row r="207" spans="1:5" ht="14.5" customHeight="1">
      <c r="A207" s="40"/>
      <c r="B207" s="83"/>
      <c r="C207" s="54" t="s">
        <v>119</v>
      </c>
      <c r="D207" s="55">
        <v>15</v>
      </c>
      <c r="E207" s="56">
        <v>4.0344271113499997E-3</v>
      </c>
    </row>
    <row r="208" spans="1:5" ht="14.5" customHeight="1">
      <c r="A208" s="40"/>
      <c r="B208" s="83"/>
      <c r="C208" s="54" t="s">
        <v>257</v>
      </c>
      <c r="D208" s="55">
        <v>3</v>
      </c>
      <c r="E208" s="56">
        <v>8.0688542227000002E-4</v>
      </c>
    </row>
    <row r="209" spans="1:5" ht="14.5" customHeight="1">
      <c r="A209" s="40"/>
      <c r="B209" s="83"/>
      <c r="C209" s="54" t="s">
        <v>258</v>
      </c>
      <c r="D209" s="55">
        <v>1</v>
      </c>
      <c r="E209" s="56">
        <v>2.68961807423E-4</v>
      </c>
    </row>
    <row r="210" spans="1:5" ht="14.5" customHeight="1">
      <c r="A210" s="40"/>
      <c r="B210" s="83"/>
      <c r="C210" s="54" t="s">
        <v>122</v>
      </c>
      <c r="D210" s="55">
        <v>88</v>
      </c>
      <c r="E210" s="56">
        <v>2.3668639053254E-2</v>
      </c>
    </row>
    <row r="211" spans="1:5" ht="14.5" customHeight="1">
      <c r="A211" s="40"/>
      <c r="B211" s="83"/>
      <c r="C211" s="54" t="s">
        <v>123</v>
      </c>
      <c r="D211" s="55">
        <v>13</v>
      </c>
      <c r="E211" s="56">
        <v>3.4965034965029999E-3</v>
      </c>
    </row>
    <row r="212" spans="1:5" ht="14.5" customHeight="1">
      <c r="A212" s="40"/>
      <c r="B212" s="83"/>
      <c r="C212" s="54" t="s">
        <v>124</v>
      </c>
      <c r="D212" s="55">
        <v>1</v>
      </c>
      <c r="E212" s="56">
        <v>2.68961807423E-4</v>
      </c>
    </row>
    <row r="213" spans="1:5" ht="14.5" customHeight="1">
      <c r="A213" s="40"/>
      <c r="B213" s="83"/>
      <c r="C213" s="54" t="s">
        <v>191</v>
      </c>
      <c r="D213" s="55">
        <v>28</v>
      </c>
      <c r="E213" s="56">
        <v>7.5309306078539997E-3</v>
      </c>
    </row>
    <row r="214" spans="1:5" ht="14.5" customHeight="1">
      <c r="A214" s="40"/>
      <c r="B214" s="83"/>
      <c r="C214" s="54" t="s">
        <v>192</v>
      </c>
      <c r="D214" s="55">
        <v>1</v>
      </c>
      <c r="E214" s="56">
        <v>2.68961807423E-4</v>
      </c>
    </row>
    <row r="215" spans="1:5" ht="14.5" customHeight="1">
      <c r="A215" s="40"/>
      <c r="B215" s="83"/>
      <c r="C215" s="54" t="s">
        <v>126</v>
      </c>
      <c r="D215" s="55">
        <v>3</v>
      </c>
      <c r="E215" s="56">
        <v>8.0688542227000002E-4</v>
      </c>
    </row>
    <row r="216" spans="1:5" ht="14.5" customHeight="1">
      <c r="A216" s="40"/>
      <c r="B216" s="82"/>
      <c r="C216" s="67" t="s">
        <v>308</v>
      </c>
      <c r="D216" s="66">
        <v>1038</v>
      </c>
      <c r="E216" s="68">
        <v>0.27918235610543302</v>
      </c>
    </row>
    <row r="217" spans="1:5" ht="14.5" customHeight="1">
      <c r="A217" s="40"/>
      <c r="B217" s="81" t="s">
        <v>152</v>
      </c>
      <c r="C217" s="54" t="s">
        <v>252</v>
      </c>
      <c r="D217" s="55">
        <v>50</v>
      </c>
      <c r="E217" s="56">
        <v>1.3448090371166999E-2</v>
      </c>
    </row>
    <row r="218" spans="1:5" ht="14.5" customHeight="1">
      <c r="A218" s="40"/>
      <c r="B218" s="83"/>
      <c r="C218" s="54" t="s">
        <v>97</v>
      </c>
      <c r="D218" s="55">
        <v>1</v>
      </c>
      <c r="E218" s="56">
        <v>2.68961807423E-4</v>
      </c>
    </row>
    <row r="219" spans="1:5" ht="14.5" customHeight="1">
      <c r="A219" s="40"/>
      <c r="B219" s="83"/>
      <c r="C219" s="54" t="s">
        <v>99</v>
      </c>
      <c r="D219" s="55">
        <v>1</v>
      </c>
      <c r="E219" s="56">
        <v>2.68961807423E-4</v>
      </c>
    </row>
    <row r="220" spans="1:5" ht="14.5" customHeight="1">
      <c r="A220" s="40"/>
      <c r="B220" s="83"/>
      <c r="C220" s="54" t="s">
        <v>101</v>
      </c>
      <c r="D220" s="55">
        <v>3</v>
      </c>
      <c r="E220" s="56">
        <v>8.0688542227000002E-4</v>
      </c>
    </row>
    <row r="221" spans="1:5" ht="14.5" customHeight="1">
      <c r="A221" s="40"/>
      <c r="B221" s="83"/>
      <c r="C221" s="54" t="s">
        <v>108</v>
      </c>
      <c r="D221" s="55">
        <v>1</v>
      </c>
      <c r="E221" s="56">
        <v>2.68961807423E-4</v>
      </c>
    </row>
    <row r="222" spans="1:5" ht="14.5" customHeight="1">
      <c r="A222" s="40"/>
      <c r="B222" s="83"/>
      <c r="C222" s="54" t="s">
        <v>111</v>
      </c>
      <c r="D222" s="55">
        <v>1</v>
      </c>
      <c r="E222" s="56">
        <v>2.68961807423E-4</v>
      </c>
    </row>
    <row r="223" spans="1:5" ht="14.5" customHeight="1">
      <c r="A223" s="40"/>
      <c r="B223" s="83"/>
      <c r="C223" s="54" t="s">
        <v>112</v>
      </c>
      <c r="D223" s="55">
        <v>4</v>
      </c>
      <c r="E223" s="56">
        <v>1.0758472296930001E-3</v>
      </c>
    </row>
    <row r="224" spans="1:5" ht="14.5" customHeight="1">
      <c r="A224" s="40"/>
      <c r="B224" s="83"/>
      <c r="C224" s="54" t="s">
        <v>117</v>
      </c>
      <c r="D224" s="55">
        <v>3</v>
      </c>
      <c r="E224" s="56">
        <v>8.0688542227000002E-4</v>
      </c>
    </row>
    <row r="225" spans="1:5" ht="14.5" customHeight="1">
      <c r="A225" s="40"/>
      <c r="B225" s="83"/>
      <c r="C225" s="54" t="s">
        <v>119</v>
      </c>
      <c r="D225" s="55">
        <v>1</v>
      </c>
      <c r="E225" s="56">
        <v>2.68961807423E-4</v>
      </c>
    </row>
    <row r="226" spans="1:5" ht="14.5" customHeight="1">
      <c r="A226" s="40"/>
      <c r="B226" s="83"/>
      <c r="C226" s="54" t="s">
        <v>122</v>
      </c>
      <c r="D226" s="55">
        <v>5</v>
      </c>
      <c r="E226" s="56">
        <v>1.344809037117E-3</v>
      </c>
    </row>
    <row r="227" spans="1:5" ht="14.5" customHeight="1">
      <c r="A227" s="40"/>
      <c r="B227" s="83"/>
      <c r="C227" s="54" t="s">
        <v>123</v>
      </c>
      <c r="D227" s="55">
        <v>1</v>
      </c>
      <c r="E227" s="56">
        <v>2.68961807423E-4</v>
      </c>
    </row>
    <row r="228" spans="1:5" ht="14.5" customHeight="1">
      <c r="A228" s="40"/>
      <c r="B228" s="83"/>
      <c r="C228" s="54" t="s">
        <v>255</v>
      </c>
      <c r="D228" s="55">
        <v>4</v>
      </c>
      <c r="E228" s="56">
        <v>1.0758472296930001E-3</v>
      </c>
    </row>
    <row r="229" spans="1:5" ht="14.5" customHeight="1">
      <c r="A229" s="40"/>
      <c r="B229" s="82"/>
      <c r="C229" s="67" t="s">
        <v>308</v>
      </c>
      <c r="D229" s="66">
        <v>75</v>
      </c>
      <c r="E229" s="68">
        <v>2.0172135556751E-2</v>
      </c>
    </row>
    <row r="230" spans="1:5" ht="14.5" customHeight="1">
      <c r="A230" s="40"/>
      <c r="B230" s="81" t="s">
        <v>153</v>
      </c>
      <c r="C230" s="54" t="s">
        <v>94</v>
      </c>
      <c r="D230" s="55">
        <v>5</v>
      </c>
      <c r="E230" s="56">
        <v>1.344809037117E-3</v>
      </c>
    </row>
    <row r="231" spans="1:5" ht="14.5" customHeight="1">
      <c r="A231" s="40"/>
      <c r="B231" s="83"/>
      <c r="C231" s="54" t="s">
        <v>95</v>
      </c>
      <c r="D231" s="55">
        <v>1</v>
      </c>
      <c r="E231" s="56">
        <v>2.68961807423E-4</v>
      </c>
    </row>
    <row r="232" spans="1:5" ht="14.5" customHeight="1">
      <c r="A232" s="40"/>
      <c r="B232" s="83"/>
      <c r="C232" s="54" t="s">
        <v>252</v>
      </c>
      <c r="D232" s="55">
        <v>147</v>
      </c>
      <c r="E232" s="56">
        <v>3.9537385691231997E-2</v>
      </c>
    </row>
    <row r="233" spans="1:5" ht="14.5" customHeight="1">
      <c r="A233" s="40"/>
      <c r="B233" s="83"/>
      <c r="C233" s="54" t="s">
        <v>97</v>
      </c>
      <c r="D233" s="55">
        <v>3</v>
      </c>
      <c r="E233" s="56">
        <v>8.0688542227000002E-4</v>
      </c>
    </row>
    <row r="234" spans="1:5" ht="14.5" customHeight="1">
      <c r="A234" s="40"/>
      <c r="B234" s="83"/>
      <c r="C234" s="54" t="s">
        <v>263</v>
      </c>
      <c r="D234" s="55">
        <v>1</v>
      </c>
      <c r="E234" s="56">
        <v>2.68961807423E-4</v>
      </c>
    </row>
    <row r="235" spans="1:5" ht="14.5" customHeight="1">
      <c r="A235" s="40"/>
      <c r="B235" s="83"/>
      <c r="C235" s="54" t="s">
        <v>98</v>
      </c>
      <c r="D235" s="55">
        <v>4</v>
      </c>
      <c r="E235" s="56">
        <v>1.0758472296930001E-3</v>
      </c>
    </row>
    <row r="236" spans="1:5" ht="14.5" customHeight="1">
      <c r="A236" s="40"/>
      <c r="B236" s="83"/>
      <c r="C236" s="54" t="s">
        <v>99</v>
      </c>
      <c r="D236" s="55">
        <v>2</v>
      </c>
      <c r="E236" s="56">
        <v>5.3792361484699997E-4</v>
      </c>
    </row>
    <row r="237" spans="1:5" ht="14.5" customHeight="1">
      <c r="A237" s="40"/>
      <c r="B237" s="83"/>
      <c r="C237" s="54" t="s">
        <v>100</v>
      </c>
      <c r="D237" s="55">
        <v>2</v>
      </c>
      <c r="E237" s="56">
        <v>5.3792361484699997E-4</v>
      </c>
    </row>
    <row r="238" spans="1:5" ht="14.5" customHeight="1">
      <c r="A238" s="40"/>
      <c r="B238" s="83"/>
      <c r="C238" s="54" t="s">
        <v>101</v>
      </c>
      <c r="D238" s="55">
        <v>9</v>
      </c>
      <c r="E238" s="56">
        <v>2.4206562668100001E-3</v>
      </c>
    </row>
    <row r="239" spans="1:5" ht="14.5" customHeight="1">
      <c r="A239" s="40"/>
      <c r="B239" s="83"/>
      <c r="C239" s="54" t="s">
        <v>102</v>
      </c>
      <c r="D239" s="55">
        <v>6</v>
      </c>
      <c r="E239" s="56">
        <v>1.61377084454E-3</v>
      </c>
    </row>
    <row r="240" spans="1:5" ht="14.5" customHeight="1">
      <c r="A240" s="40"/>
      <c r="B240" s="83"/>
      <c r="C240" s="54" t="s">
        <v>253</v>
      </c>
      <c r="D240" s="55">
        <v>3</v>
      </c>
      <c r="E240" s="56">
        <v>8.0688542227000002E-4</v>
      </c>
    </row>
    <row r="241" spans="1:5" ht="14.5" customHeight="1">
      <c r="A241" s="40"/>
      <c r="B241" s="83"/>
      <c r="C241" s="54" t="s">
        <v>107</v>
      </c>
      <c r="D241" s="55">
        <v>2</v>
      </c>
      <c r="E241" s="56">
        <v>5.3792361484699997E-4</v>
      </c>
    </row>
    <row r="242" spans="1:5" ht="14.5" customHeight="1">
      <c r="A242" s="40"/>
      <c r="B242" s="83"/>
      <c r="C242" s="54" t="s">
        <v>110</v>
      </c>
      <c r="D242" s="55">
        <v>2</v>
      </c>
      <c r="E242" s="56">
        <v>5.3792361484699997E-4</v>
      </c>
    </row>
    <row r="243" spans="1:5" ht="14.5" customHeight="1">
      <c r="A243" s="40"/>
      <c r="B243" s="83"/>
      <c r="C243" s="54" t="s">
        <v>259</v>
      </c>
      <c r="D243" s="55">
        <v>1</v>
      </c>
      <c r="E243" s="56">
        <v>2.68961807423E-4</v>
      </c>
    </row>
    <row r="244" spans="1:5" ht="14.5" customHeight="1">
      <c r="A244" s="40"/>
      <c r="B244" s="83"/>
      <c r="C244" s="54" t="s">
        <v>111</v>
      </c>
      <c r="D244" s="55">
        <v>3</v>
      </c>
      <c r="E244" s="56">
        <v>8.0688542227000002E-4</v>
      </c>
    </row>
    <row r="245" spans="1:5" ht="14.5" customHeight="1">
      <c r="A245" s="40"/>
      <c r="B245" s="83"/>
      <c r="C245" s="54" t="s">
        <v>112</v>
      </c>
      <c r="D245" s="55">
        <v>20</v>
      </c>
      <c r="E245" s="56">
        <v>5.3792361484669999E-3</v>
      </c>
    </row>
    <row r="246" spans="1:5" ht="14.5" customHeight="1">
      <c r="A246" s="40"/>
      <c r="B246" s="83"/>
      <c r="C246" s="54" t="s">
        <v>117</v>
      </c>
      <c r="D246" s="55">
        <v>1</v>
      </c>
      <c r="E246" s="56">
        <v>2.68961807423E-4</v>
      </c>
    </row>
    <row r="247" spans="1:5" ht="14.5" customHeight="1">
      <c r="A247" s="40"/>
      <c r="B247" s="83"/>
      <c r="C247" s="54" t="s">
        <v>118</v>
      </c>
      <c r="D247" s="55">
        <v>6</v>
      </c>
      <c r="E247" s="56">
        <v>1.61377084454E-3</v>
      </c>
    </row>
    <row r="248" spans="1:5" ht="14.5" customHeight="1">
      <c r="A248" s="40"/>
      <c r="B248" s="83"/>
      <c r="C248" s="54" t="s">
        <v>119</v>
      </c>
      <c r="D248" s="55">
        <v>2</v>
      </c>
      <c r="E248" s="56">
        <v>5.3792361484699997E-4</v>
      </c>
    </row>
    <row r="249" spans="1:5" ht="14.5" customHeight="1">
      <c r="A249" s="40"/>
      <c r="B249" s="83"/>
      <c r="C249" s="54" t="s">
        <v>258</v>
      </c>
      <c r="D249" s="55">
        <v>2</v>
      </c>
      <c r="E249" s="56">
        <v>5.3792361484699997E-4</v>
      </c>
    </row>
    <row r="250" spans="1:5" ht="14.5" customHeight="1">
      <c r="A250" s="40"/>
      <c r="B250" s="83"/>
      <c r="C250" s="54" t="s">
        <v>122</v>
      </c>
      <c r="D250" s="55">
        <v>18</v>
      </c>
      <c r="E250" s="56">
        <v>4.8413125336200001E-3</v>
      </c>
    </row>
    <row r="251" spans="1:5" ht="14.5" customHeight="1">
      <c r="A251" s="40"/>
      <c r="B251" s="83"/>
      <c r="C251" s="54" t="s">
        <v>123</v>
      </c>
      <c r="D251" s="55">
        <v>3</v>
      </c>
      <c r="E251" s="56">
        <v>8.0688542227000002E-4</v>
      </c>
    </row>
    <row r="252" spans="1:5" ht="14.5" customHeight="1">
      <c r="A252" s="40"/>
      <c r="B252" s="83"/>
      <c r="C252" s="54" t="s">
        <v>124</v>
      </c>
      <c r="D252" s="55">
        <v>1</v>
      </c>
      <c r="E252" s="56">
        <v>2.68961807423E-4</v>
      </c>
    </row>
    <row r="253" spans="1:5" ht="14.5" customHeight="1">
      <c r="A253" s="40"/>
      <c r="B253" s="83"/>
      <c r="C253" s="54" t="s">
        <v>255</v>
      </c>
      <c r="D253" s="55">
        <v>6</v>
      </c>
      <c r="E253" s="56">
        <v>1.61377084454E-3</v>
      </c>
    </row>
    <row r="254" spans="1:5" ht="14.5" customHeight="1">
      <c r="A254" s="40"/>
      <c r="B254" s="83"/>
      <c r="C254" s="54" t="s">
        <v>126</v>
      </c>
      <c r="D254" s="55">
        <v>1</v>
      </c>
      <c r="E254" s="56">
        <v>2.68961807423E-4</v>
      </c>
    </row>
    <row r="255" spans="1:5" ht="14.5" customHeight="1">
      <c r="A255" s="40"/>
      <c r="B255" s="83"/>
      <c r="C255" s="54" t="s">
        <v>127</v>
      </c>
      <c r="D255" s="55">
        <v>2</v>
      </c>
      <c r="E255" s="56">
        <v>5.3792361484699997E-4</v>
      </c>
    </row>
    <row r="256" spans="1:5" ht="14.5" customHeight="1">
      <c r="A256" s="40"/>
      <c r="B256" s="82"/>
      <c r="C256" s="67" t="s">
        <v>308</v>
      </c>
      <c r="D256" s="66">
        <v>253</v>
      </c>
      <c r="E256" s="68">
        <v>6.8047337278106995E-2</v>
      </c>
    </row>
    <row r="257" spans="1:5" ht="14.5" customHeight="1">
      <c r="A257" s="40"/>
      <c r="B257" s="81" t="s">
        <v>154</v>
      </c>
      <c r="C257" s="54" t="s">
        <v>94</v>
      </c>
      <c r="D257" s="55">
        <v>27</v>
      </c>
      <c r="E257" s="56">
        <v>7.2619688004299998E-3</v>
      </c>
    </row>
    <row r="258" spans="1:5" ht="14.5" customHeight="1">
      <c r="A258" s="40"/>
      <c r="B258" s="83"/>
      <c r="C258" s="54" t="s">
        <v>95</v>
      </c>
      <c r="D258" s="55">
        <v>2</v>
      </c>
      <c r="E258" s="56">
        <v>5.3792361484699997E-4</v>
      </c>
    </row>
    <row r="259" spans="1:5" ht="14.5" customHeight="1">
      <c r="A259" s="40"/>
      <c r="B259" s="83"/>
      <c r="C259" s="54" t="s">
        <v>252</v>
      </c>
      <c r="D259" s="55">
        <v>469</v>
      </c>
      <c r="E259" s="56">
        <v>0.126143087681549</v>
      </c>
    </row>
    <row r="260" spans="1:5" ht="14.5" customHeight="1">
      <c r="A260" s="40"/>
      <c r="B260" s="83"/>
      <c r="C260" s="54" t="s">
        <v>97</v>
      </c>
      <c r="D260" s="55">
        <v>4</v>
      </c>
      <c r="E260" s="56">
        <v>1.0758472296930001E-3</v>
      </c>
    </row>
    <row r="261" spans="1:5" ht="14.5" customHeight="1">
      <c r="A261" s="40"/>
      <c r="B261" s="83"/>
      <c r="C261" s="54" t="s">
        <v>184</v>
      </c>
      <c r="D261" s="55">
        <v>1</v>
      </c>
      <c r="E261" s="56">
        <v>2.68961807423E-4</v>
      </c>
    </row>
    <row r="262" spans="1:5" ht="14.5" customHeight="1">
      <c r="A262" s="40"/>
      <c r="B262" s="83"/>
      <c r="C262" s="54" t="s">
        <v>98</v>
      </c>
      <c r="D262" s="55">
        <v>2</v>
      </c>
      <c r="E262" s="56">
        <v>5.3792361484699997E-4</v>
      </c>
    </row>
    <row r="263" spans="1:5" ht="14.5" customHeight="1">
      <c r="A263" s="40"/>
      <c r="B263" s="83"/>
      <c r="C263" s="54" t="s">
        <v>99</v>
      </c>
      <c r="D263" s="55">
        <v>10</v>
      </c>
      <c r="E263" s="56">
        <v>2.6896180742329999E-3</v>
      </c>
    </row>
    <row r="264" spans="1:5" ht="14.5" customHeight="1">
      <c r="A264" s="40"/>
      <c r="B264" s="83"/>
      <c r="C264" s="54" t="s">
        <v>100</v>
      </c>
      <c r="D264" s="55">
        <v>11</v>
      </c>
      <c r="E264" s="56">
        <v>2.9585798816569998E-3</v>
      </c>
    </row>
    <row r="265" spans="1:5" ht="14.5" customHeight="1">
      <c r="A265" s="40"/>
      <c r="B265" s="83"/>
      <c r="C265" s="54" t="s">
        <v>101</v>
      </c>
      <c r="D265" s="55">
        <v>27</v>
      </c>
      <c r="E265" s="56">
        <v>7.2619688004299998E-3</v>
      </c>
    </row>
    <row r="266" spans="1:5" ht="14.5" customHeight="1">
      <c r="A266" s="40"/>
      <c r="B266" s="83"/>
      <c r="C266" s="54" t="s">
        <v>102</v>
      </c>
      <c r="D266" s="55">
        <v>9</v>
      </c>
      <c r="E266" s="56">
        <v>2.4206562668100001E-3</v>
      </c>
    </row>
    <row r="267" spans="1:5" ht="14.5" customHeight="1">
      <c r="A267" s="40"/>
      <c r="B267" s="83"/>
      <c r="C267" s="54" t="s">
        <v>253</v>
      </c>
      <c r="D267" s="55">
        <v>1</v>
      </c>
      <c r="E267" s="56">
        <v>2.68961807423E-4</v>
      </c>
    </row>
    <row r="268" spans="1:5" ht="14.5" customHeight="1">
      <c r="A268" s="40"/>
      <c r="B268" s="83"/>
      <c r="C268" s="54" t="s">
        <v>105</v>
      </c>
      <c r="D268" s="55">
        <v>1</v>
      </c>
      <c r="E268" s="56">
        <v>2.68961807423E-4</v>
      </c>
    </row>
    <row r="269" spans="1:5" ht="14.5" customHeight="1">
      <c r="A269" s="40"/>
      <c r="B269" s="83"/>
      <c r="C269" s="54" t="s">
        <v>107</v>
      </c>
      <c r="D269" s="55">
        <v>2</v>
      </c>
      <c r="E269" s="56">
        <v>5.3792361484699997E-4</v>
      </c>
    </row>
    <row r="270" spans="1:5" ht="14.5" customHeight="1">
      <c r="A270" s="40"/>
      <c r="B270" s="83"/>
      <c r="C270" s="54" t="s">
        <v>108</v>
      </c>
      <c r="D270" s="55">
        <v>1</v>
      </c>
      <c r="E270" s="56">
        <v>2.68961807423E-4</v>
      </c>
    </row>
    <row r="271" spans="1:5" ht="14.5" customHeight="1">
      <c r="A271" s="40"/>
      <c r="B271" s="83"/>
      <c r="C271" s="54" t="s">
        <v>109</v>
      </c>
      <c r="D271" s="55">
        <v>4</v>
      </c>
      <c r="E271" s="56">
        <v>1.0758472296930001E-3</v>
      </c>
    </row>
    <row r="272" spans="1:5" ht="14.5" customHeight="1">
      <c r="A272" s="40"/>
      <c r="B272" s="83"/>
      <c r="C272" s="54" t="s">
        <v>110</v>
      </c>
      <c r="D272" s="55">
        <v>6</v>
      </c>
      <c r="E272" s="56">
        <v>1.61377084454E-3</v>
      </c>
    </row>
    <row r="273" spans="1:5" ht="14.5" customHeight="1">
      <c r="A273" s="40"/>
      <c r="B273" s="83"/>
      <c r="C273" s="54" t="s">
        <v>111</v>
      </c>
      <c r="D273" s="55">
        <v>3</v>
      </c>
      <c r="E273" s="56">
        <v>8.0688542227000002E-4</v>
      </c>
    </row>
    <row r="274" spans="1:5" ht="14.5" customHeight="1">
      <c r="A274" s="40"/>
      <c r="B274" s="83"/>
      <c r="C274" s="54" t="s">
        <v>112</v>
      </c>
      <c r="D274" s="55">
        <v>49</v>
      </c>
      <c r="E274" s="56">
        <v>1.3179128563743999E-2</v>
      </c>
    </row>
    <row r="275" spans="1:5" ht="14.5" customHeight="1">
      <c r="A275" s="40"/>
      <c r="B275" s="83"/>
      <c r="C275" s="54" t="s">
        <v>113</v>
      </c>
      <c r="D275" s="55">
        <v>1</v>
      </c>
      <c r="E275" s="56">
        <v>2.68961807423E-4</v>
      </c>
    </row>
    <row r="276" spans="1:5" ht="14.5" customHeight="1">
      <c r="A276" s="40"/>
      <c r="B276" s="83"/>
      <c r="C276" s="54" t="s">
        <v>114</v>
      </c>
      <c r="D276" s="55">
        <v>2</v>
      </c>
      <c r="E276" s="56">
        <v>5.3792361484699997E-4</v>
      </c>
    </row>
    <row r="277" spans="1:5" ht="14.5" customHeight="1">
      <c r="A277" s="40"/>
      <c r="B277" s="83"/>
      <c r="C277" s="54" t="s">
        <v>254</v>
      </c>
      <c r="D277" s="55">
        <v>2</v>
      </c>
      <c r="E277" s="56">
        <v>5.3792361484699997E-4</v>
      </c>
    </row>
    <row r="278" spans="1:5" ht="14.5" customHeight="1">
      <c r="A278" s="40"/>
      <c r="B278" s="83"/>
      <c r="C278" s="54" t="s">
        <v>117</v>
      </c>
      <c r="D278" s="55">
        <v>6</v>
      </c>
      <c r="E278" s="56">
        <v>1.61377084454E-3</v>
      </c>
    </row>
    <row r="279" spans="1:5" ht="14.5" customHeight="1">
      <c r="A279" s="40"/>
      <c r="B279" s="83"/>
      <c r="C279" s="54" t="s">
        <v>118</v>
      </c>
      <c r="D279" s="55">
        <v>5</v>
      </c>
      <c r="E279" s="56">
        <v>1.344809037117E-3</v>
      </c>
    </row>
    <row r="280" spans="1:5" ht="14.5" customHeight="1">
      <c r="A280" s="40"/>
      <c r="B280" s="83"/>
      <c r="C280" s="54" t="s">
        <v>119</v>
      </c>
      <c r="D280" s="55">
        <v>7</v>
      </c>
      <c r="E280" s="56">
        <v>1.8827326519630001E-3</v>
      </c>
    </row>
    <row r="281" spans="1:5" ht="14.5" customHeight="1">
      <c r="A281" s="40"/>
      <c r="B281" s="83"/>
      <c r="C281" s="54" t="s">
        <v>262</v>
      </c>
      <c r="D281" s="55">
        <v>1</v>
      </c>
      <c r="E281" s="56">
        <v>2.68961807423E-4</v>
      </c>
    </row>
    <row r="282" spans="1:5" ht="14.5" customHeight="1">
      <c r="A282" s="40"/>
      <c r="B282" s="83"/>
      <c r="C282" s="54" t="s">
        <v>257</v>
      </c>
      <c r="D282" s="55">
        <v>4</v>
      </c>
      <c r="E282" s="56">
        <v>1.0758472296930001E-3</v>
      </c>
    </row>
    <row r="283" spans="1:5" ht="14.5" customHeight="1">
      <c r="A283" s="40"/>
      <c r="B283" s="83"/>
      <c r="C283" s="54" t="s">
        <v>258</v>
      </c>
      <c r="D283" s="55">
        <v>2</v>
      </c>
      <c r="E283" s="56">
        <v>5.3792361484699997E-4</v>
      </c>
    </row>
    <row r="284" spans="1:5" ht="14.5" customHeight="1">
      <c r="A284" s="40"/>
      <c r="B284" s="83"/>
      <c r="C284" s="54" t="s">
        <v>122</v>
      </c>
      <c r="D284" s="55">
        <v>68</v>
      </c>
      <c r="E284" s="56">
        <v>1.8289402904788001E-2</v>
      </c>
    </row>
    <row r="285" spans="1:5" ht="14.5" customHeight="1">
      <c r="A285" s="40"/>
      <c r="B285" s="83"/>
      <c r="C285" s="54" t="s">
        <v>123</v>
      </c>
      <c r="D285" s="55">
        <v>14</v>
      </c>
      <c r="E285" s="56">
        <v>3.7654653039269998E-3</v>
      </c>
    </row>
    <row r="286" spans="1:5" ht="14.5" customHeight="1">
      <c r="A286" s="40"/>
      <c r="B286" s="83"/>
      <c r="C286" s="54" t="s">
        <v>124</v>
      </c>
      <c r="D286" s="55">
        <v>1</v>
      </c>
      <c r="E286" s="56">
        <v>2.68961807423E-4</v>
      </c>
    </row>
    <row r="287" spans="1:5" ht="14.5" customHeight="1">
      <c r="A287" s="40"/>
      <c r="B287" s="83"/>
      <c r="C287" s="54" t="s">
        <v>255</v>
      </c>
      <c r="D287" s="55">
        <v>34</v>
      </c>
      <c r="E287" s="56">
        <v>9.1447014523940006E-3</v>
      </c>
    </row>
    <row r="288" spans="1:5" ht="14.5" customHeight="1">
      <c r="A288" s="40"/>
      <c r="B288" s="83"/>
      <c r="C288" s="54" t="s">
        <v>261</v>
      </c>
      <c r="D288" s="55">
        <v>1</v>
      </c>
      <c r="E288" s="56">
        <v>2.68961807423E-4</v>
      </c>
    </row>
    <row r="289" spans="1:5" ht="14.5" customHeight="1">
      <c r="A289" s="40"/>
      <c r="B289" s="82"/>
      <c r="C289" s="67" t="s">
        <v>308</v>
      </c>
      <c r="D289" s="66">
        <v>777</v>
      </c>
      <c r="E289" s="68">
        <v>0.20898332436794001</v>
      </c>
    </row>
    <row r="290" spans="1:5" ht="14.5" customHeight="1">
      <c r="A290" s="40"/>
      <c r="B290" s="81" t="s">
        <v>155</v>
      </c>
      <c r="C290" s="54" t="s">
        <v>252</v>
      </c>
      <c r="D290" s="55">
        <v>8</v>
      </c>
      <c r="E290" s="56">
        <v>2.1516944593869998E-3</v>
      </c>
    </row>
    <row r="291" spans="1:5" ht="14.5" customHeight="1">
      <c r="A291" s="40"/>
      <c r="B291" s="83"/>
      <c r="C291" s="54" t="s">
        <v>186</v>
      </c>
      <c r="D291" s="55">
        <v>1</v>
      </c>
      <c r="E291" s="56">
        <v>2.68961807423E-4</v>
      </c>
    </row>
    <row r="292" spans="1:5" ht="14.5" customHeight="1">
      <c r="A292" s="40"/>
      <c r="B292" s="83"/>
      <c r="C292" s="54" t="s">
        <v>110</v>
      </c>
      <c r="D292" s="55">
        <v>1</v>
      </c>
      <c r="E292" s="56">
        <v>2.68961807423E-4</v>
      </c>
    </row>
    <row r="293" spans="1:5" ht="14.5" customHeight="1">
      <c r="A293" s="40"/>
      <c r="B293" s="83"/>
      <c r="C293" s="54" t="s">
        <v>112</v>
      </c>
      <c r="D293" s="55">
        <v>1</v>
      </c>
      <c r="E293" s="56">
        <v>2.68961807423E-4</v>
      </c>
    </row>
    <row r="294" spans="1:5" ht="14.5" customHeight="1">
      <c r="A294" s="40"/>
      <c r="B294" s="83"/>
      <c r="C294" s="54" t="s">
        <v>254</v>
      </c>
      <c r="D294" s="55">
        <v>1</v>
      </c>
      <c r="E294" s="56">
        <v>2.68961807423E-4</v>
      </c>
    </row>
    <row r="295" spans="1:5" ht="14.5" customHeight="1">
      <c r="A295" s="40"/>
      <c r="B295" s="83"/>
      <c r="C295" s="54" t="s">
        <v>118</v>
      </c>
      <c r="D295" s="55">
        <v>1</v>
      </c>
      <c r="E295" s="56">
        <v>2.68961807423E-4</v>
      </c>
    </row>
    <row r="296" spans="1:5" ht="14.5" customHeight="1">
      <c r="A296" s="40"/>
      <c r="B296" s="83"/>
      <c r="C296" s="54" t="s">
        <v>122</v>
      </c>
      <c r="D296" s="55">
        <v>4</v>
      </c>
      <c r="E296" s="56">
        <v>1.0758472296930001E-3</v>
      </c>
    </row>
    <row r="297" spans="1:5" ht="14.5" customHeight="1">
      <c r="A297" s="40"/>
      <c r="B297" s="83"/>
      <c r="C297" s="54" t="s">
        <v>255</v>
      </c>
      <c r="D297" s="55">
        <v>1</v>
      </c>
      <c r="E297" s="56">
        <v>2.68961807423E-4</v>
      </c>
    </row>
    <row r="298" spans="1:5" ht="14.5" customHeight="1">
      <c r="A298" s="40"/>
      <c r="B298" s="83"/>
      <c r="C298" s="54" t="s">
        <v>126</v>
      </c>
      <c r="D298" s="55">
        <v>1</v>
      </c>
      <c r="E298" s="56">
        <v>2.68961807423E-4</v>
      </c>
    </row>
    <row r="299" spans="1:5" ht="14.5" customHeight="1">
      <c r="A299" s="40"/>
      <c r="B299" s="82"/>
      <c r="C299" s="67" t="s">
        <v>308</v>
      </c>
      <c r="D299" s="66">
        <v>19</v>
      </c>
      <c r="E299" s="68">
        <v>5.1102743410440001E-3</v>
      </c>
    </row>
    <row r="300" spans="1:5" ht="14.5" customHeight="1">
      <c r="A300" s="40"/>
      <c r="B300" s="81" t="s">
        <v>156</v>
      </c>
      <c r="C300" s="54" t="s">
        <v>252</v>
      </c>
      <c r="D300" s="55">
        <v>12</v>
      </c>
      <c r="E300" s="56">
        <v>3.2275416890800001E-3</v>
      </c>
    </row>
    <row r="301" spans="1:5" ht="14.5" customHeight="1">
      <c r="A301" s="40"/>
      <c r="B301" s="83"/>
      <c r="C301" s="54" t="s">
        <v>97</v>
      </c>
      <c r="D301" s="55">
        <v>1</v>
      </c>
      <c r="E301" s="56">
        <v>2.68961807423E-4</v>
      </c>
    </row>
    <row r="302" spans="1:5" ht="14.5" customHeight="1">
      <c r="A302" s="40"/>
      <c r="B302" s="83"/>
      <c r="C302" s="54" t="s">
        <v>253</v>
      </c>
      <c r="D302" s="55">
        <v>1</v>
      </c>
      <c r="E302" s="56">
        <v>2.68961807423E-4</v>
      </c>
    </row>
    <row r="303" spans="1:5" ht="14.5" customHeight="1">
      <c r="A303" s="40"/>
      <c r="B303" s="83"/>
      <c r="C303" s="54" t="s">
        <v>118</v>
      </c>
      <c r="D303" s="55">
        <v>1</v>
      </c>
      <c r="E303" s="56">
        <v>2.68961807423E-4</v>
      </c>
    </row>
    <row r="304" spans="1:5" ht="14.5" customHeight="1">
      <c r="A304" s="40"/>
      <c r="B304" s="83"/>
      <c r="C304" s="54" t="s">
        <v>122</v>
      </c>
      <c r="D304" s="55">
        <v>1</v>
      </c>
      <c r="E304" s="56">
        <v>2.68961807423E-4</v>
      </c>
    </row>
    <row r="305" spans="1:5" ht="14.5" customHeight="1">
      <c r="A305" s="40"/>
      <c r="B305" s="82"/>
      <c r="C305" s="67" t="s">
        <v>308</v>
      </c>
      <c r="D305" s="66">
        <v>16</v>
      </c>
      <c r="E305" s="68">
        <v>4.3033889187739996E-3</v>
      </c>
    </row>
    <row r="306" spans="1:5" ht="14.5" customHeight="1">
      <c r="A306" s="40"/>
      <c r="B306" s="81" t="s">
        <v>157</v>
      </c>
      <c r="C306" s="54" t="s">
        <v>252</v>
      </c>
      <c r="D306" s="55">
        <v>5</v>
      </c>
      <c r="E306" s="56">
        <v>1.344809037117E-3</v>
      </c>
    </row>
    <row r="307" spans="1:5" ht="14.5" customHeight="1">
      <c r="A307" s="40"/>
      <c r="B307" s="83"/>
      <c r="C307" s="54" t="s">
        <v>97</v>
      </c>
      <c r="D307" s="55">
        <v>1</v>
      </c>
      <c r="E307" s="56">
        <v>2.68961807423E-4</v>
      </c>
    </row>
    <row r="308" spans="1:5" ht="14.5" customHeight="1">
      <c r="A308" s="40"/>
      <c r="B308" s="83"/>
      <c r="C308" s="54" t="s">
        <v>105</v>
      </c>
      <c r="D308" s="55">
        <v>1</v>
      </c>
      <c r="E308" s="56">
        <v>2.68961807423E-4</v>
      </c>
    </row>
    <row r="309" spans="1:5" ht="14.5" customHeight="1">
      <c r="A309" s="40"/>
      <c r="B309" s="83"/>
      <c r="C309" s="54" t="s">
        <v>119</v>
      </c>
      <c r="D309" s="55">
        <v>1</v>
      </c>
      <c r="E309" s="56">
        <v>2.68961807423E-4</v>
      </c>
    </row>
    <row r="310" spans="1:5" ht="14.5" customHeight="1">
      <c r="A310" s="40"/>
      <c r="B310" s="83"/>
      <c r="C310" s="54" t="s">
        <v>122</v>
      </c>
      <c r="D310" s="55">
        <v>1</v>
      </c>
      <c r="E310" s="56">
        <v>2.68961807423E-4</v>
      </c>
    </row>
    <row r="311" spans="1:5" ht="14.5" customHeight="1">
      <c r="A311" s="40"/>
      <c r="B311" s="82"/>
      <c r="C311" s="67" t="s">
        <v>308</v>
      </c>
      <c r="D311" s="66">
        <v>9</v>
      </c>
      <c r="E311" s="68">
        <v>2.4206562668100001E-3</v>
      </c>
    </row>
    <row r="312" spans="1:5" ht="14.5" customHeight="1">
      <c r="A312" s="40"/>
      <c r="B312" s="81" t="s">
        <v>158</v>
      </c>
      <c r="C312" s="54" t="s">
        <v>94</v>
      </c>
      <c r="D312" s="55">
        <v>1</v>
      </c>
      <c r="E312" s="56">
        <v>2.68961807423E-4</v>
      </c>
    </row>
    <row r="313" spans="1:5" ht="14.5" customHeight="1">
      <c r="A313" s="40"/>
      <c r="B313" s="83"/>
      <c r="C313" s="54" t="s">
        <v>252</v>
      </c>
      <c r="D313" s="55">
        <v>3</v>
      </c>
      <c r="E313" s="56">
        <v>8.0688542227000002E-4</v>
      </c>
    </row>
    <row r="314" spans="1:5" ht="14.5" customHeight="1">
      <c r="A314" s="40"/>
      <c r="B314" s="83"/>
      <c r="C314" s="54" t="s">
        <v>103</v>
      </c>
      <c r="D314" s="55">
        <v>1</v>
      </c>
      <c r="E314" s="56">
        <v>2.68961807423E-4</v>
      </c>
    </row>
    <row r="315" spans="1:5" ht="14.5" customHeight="1">
      <c r="A315" s="40"/>
      <c r="B315" s="83"/>
      <c r="C315" s="54" t="s">
        <v>112</v>
      </c>
      <c r="D315" s="55">
        <v>1</v>
      </c>
      <c r="E315" s="56">
        <v>2.68961807423E-4</v>
      </c>
    </row>
    <row r="316" spans="1:5" ht="14.5" customHeight="1">
      <c r="A316" s="40"/>
      <c r="B316" s="82"/>
      <c r="C316" s="67" t="s">
        <v>308</v>
      </c>
      <c r="D316" s="66">
        <v>6</v>
      </c>
      <c r="E316" s="68">
        <v>1.61377084454E-3</v>
      </c>
    </row>
    <row r="317" spans="1:5" ht="14.5" customHeight="1">
      <c r="A317" s="40"/>
      <c r="B317" s="81" t="s">
        <v>159</v>
      </c>
      <c r="C317" s="54" t="s">
        <v>187</v>
      </c>
      <c r="D317" s="55">
        <v>1</v>
      </c>
      <c r="E317" s="56">
        <v>2.68961807423E-4</v>
      </c>
    </row>
    <row r="318" spans="1:5" ht="14.5" customHeight="1">
      <c r="A318" s="40"/>
      <c r="B318" s="83"/>
      <c r="C318" s="54" t="s">
        <v>95</v>
      </c>
      <c r="D318" s="55">
        <v>1</v>
      </c>
      <c r="E318" s="56">
        <v>2.68961807423E-4</v>
      </c>
    </row>
    <row r="319" spans="1:5" ht="14.5" customHeight="1">
      <c r="A319" s="40"/>
      <c r="B319" s="83"/>
      <c r="C319" s="54" t="s">
        <v>252</v>
      </c>
      <c r="D319" s="55">
        <v>29</v>
      </c>
      <c r="E319" s="56">
        <v>7.7998924152770004E-3</v>
      </c>
    </row>
    <row r="320" spans="1:5" ht="14.5" customHeight="1">
      <c r="A320" s="40"/>
      <c r="B320" s="83"/>
      <c r="C320" s="54" t="s">
        <v>97</v>
      </c>
      <c r="D320" s="55">
        <v>1</v>
      </c>
      <c r="E320" s="56">
        <v>2.68961807423E-4</v>
      </c>
    </row>
    <row r="321" spans="1:5" ht="14.5" customHeight="1">
      <c r="A321" s="40"/>
      <c r="B321" s="83"/>
      <c r="C321" s="54" t="s">
        <v>99</v>
      </c>
      <c r="D321" s="55">
        <v>1</v>
      </c>
      <c r="E321" s="56">
        <v>2.68961807423E-4</v>
      </c>
    </row>
    <row r="322" spans="1:5" ht="14.5" customHeight="1">
      <c r="A322" s="40"/>
      <c r="B322" s="83"/>
      <c r="C322" s="54" t="s">
        <v>101</v>
      </c>
      <c r="D322" s="55">
        <v>1</v>
      </c>
      <c r="E322" s="56">
        <v>2.68961807423E-4</v>
      </c>
    </row>
    <row r="323" spans="1:5" ht="14.5" customHeight="1">
      <c r="A323" s="40"/>
      <c r="B323" s="83"/>
      <c r="C323" s="54" t="s">
        <v>110</v>
      </c>
      <c r="D323" s="55">
        <v>1</v>
      </c>
      <c r="E323" s="56">
        <v>2.68961807423E-4</v>
      </c>
    </row>
    <row r="324" spans="1:5" ht="14.5" customHeight="1">
      <c r="A324" s="40"/>
      <c r="B324" s="83"/>
      <c r="C324" s="54" t="s">
        <v>112</v>
      </c>
      <c r="D324" s="55">
        <v>2</v>
      </c>
      <c r="E324" s="56">
        <v>5.3792361484699997E-4</v>
      </c>
    </row>
    <row r="325" spans="1:5" ht="14.5" customHeight="1">
      <c r="A325" s="40"/>
      <c r="B325" s="83"/>
      <c r="C325" s="54" t="s">
        <v>118</v>
      </c>
      <c r="D325" s="55">
        <v>1</v>
      </c>
      <c r="E325" s="56">
        <v>2.68961807423E-4</v>
      </c>
    </row>
    <row r="326" spans="1:5" ht="14.5" customHeight="1">
      <c r="A326" s="40"/>
      <c r="B326" s="83"/>
      <c r="C326" s="54" t="s">
        <v>122</v>
      </c>
      <c r="D326" s="55">
        <v>2</v>
      </c>
      <c r="E326" s="56">
        <v>5.3792361484699997E-4</v>
      </c>
    </row>
    <row r="327" spans="1:5" ht="14.5" customHeight="1">
      <c r="A327" s="40"/>
      <c r="B327" s="83"/>
      <c r="C327" s="54" t="s">
        <v>255</v>
      </c>
      <c r="D327" s="55">
        <v>2</v>
      </c>
      <c r="E327" s="56">
        <v>5.3792361484699997E-4</v>
      </c>
    </row>
    <row r="328" spans="1:5" ht="14.5" customHeight="1">
      <c r="A328" s="40"/>
      <c r="B328" s="82"/>
      <c r="C328" s="67" t="s">
        <v>308</v>
      </c>
      <c r="D328" s="66">
        <v>42</v>
      </c>
      <c r="E328" s="68">
        <v>1.1296395911781E-2</v>
      </c>
    </row>
    <row r="329" spans="1:5" ht="14.5" customHeight="1">
      <c r="A329" s="40"/>
      <c r="B329" s="81" t="s">
        <v>160</v>
      </c>
      <c r="C329" s="54" t="s">
        <v>93</v>
      </c>
      <c r="D329" s="55">
        <v>1</v>
      </c>
      <c r="E329" s="56">
        <v>2.68961807423E-4</v>
      </c>
    </row>
    <row r="330" spans="1:5" ht="14.5" customHeight="1">
      <c r="A330" s="40"/>
      <c r="B330" s="83"/>
      <c r="C330" s="54" t="s">
        <v>94</v>
      </c>
      <c r="D330" s="55">
        <v>3</v>
      </c>
      <c r="E330" s="56">
        <v>8.0688542227000002E-4</v>
      </c>
    </row>
    <row r="331" spans="1:5" ht="14.5" customHeight="1">
      <c r="A331" s="40"/>
      <c r="B331" s="83"/>
      <c r="C331" s="54" t="s">
        <v>252</v>
      </c>
      <c r="D331" s="55">
        <v>90</v>
      </c>
      <c r="E331" s="56">
        <v>2.4206562668100999E-2</v>
      </c>
    </row>
    <row r="332" spans="1:5" ht="14.5" customHeight="1">
      <c r="A332" s="40"/>
      <c r="B332" s="83"/>
      <c r="C332" s="54" t="s">
        <v>97</v>
      </c>
      <c r="D332" s="55">
        <v>1</v>
      </c>
      <c r="E332" s="56">
        <v>2.68961807423E-4</v>
      </c>
    </row>
    <row r="333" spans="1:5" ht="14.5" customHeight="1">
      <c r="A333" s="40"/>
      <c r="B333" s="83"/>
      <c r="C333" s="54" t="s">
        <v>98</v>
      </c>
      <c r="D333" s="55">
        <v>2</v>
      </c>
      <c r="E333" s="56">
        <v>5.3792361484699997E-4</v>
      </c>
    </row>
    <row r="334" spans="1:5" ht="14.5" customHeight="1">
      <c r="A334" s="40"/>
      <c r="B334" s="83"/>
      <c r="C334" s="54" t="s">
        <v>100</v>
      </c>
      <c r="D334" s="55">
        <v>2</v>
      </c>
      <c r="E334" s="56">
        <v>5.3792361484699997E-4</v>
      </c>
    </row>
    <row r="335" spans="1:5" ht="14.5" customHeight="1">
      <c r="A335" s="40"/>
      <c r="B335" s="83"/>
      <c r="C335" s="54" t="s">
        <v>101</v>
      </c>
      <c r="D335" s="55">
        <v>2</v>
      </c>
      <c r="E335" s="56">
        <v>5.3792361484699997E-4</v>
      </c>
    </row>
    <row r="336" spans="1:5" ht="14.5" customHeight="1">
      <c r="A336" s="40"/>
      <c r="B336" s="83"/>
      <c r="C336" s="54" t="s">
        <v>102</v>
      </c>
      <c r="D336" s="55">
        <v>2</v>
      </c>
      <c r="E336" s="56">
        <v>5.3792361484699997E-4</v>
      </c>
    </row>
    <row r="337" spans="1:5" ht="14.5" customHeight="1">
      <c r="A337" s="40"/>
      <c r="B337" s="83"/>
      <c r="C337" s="54" t="s">
        <v>253</v>
      </c>
      <c r="D337" s="55">
        <v>2</v>
      </c>
      <c r="E337" s="56">
        <v>5.3792361484699997E-4</v>
      </c>
    </row>
    <row r="338" spans="1:5" ht="14.5" customHeight="1">
      <c r="A338" s="40"/>
      <c r="B338" s="83"/>
      <c r="C338" s="54" t="s">
        <v>105</v>
      </c>
      <c r="D338" s="55">
        <v>1</v>
      </c>
      <c r="E338" s="56">
        <v>2.68961807423E-4</v>
      </c>
    </row>
    <row r="339" spans="1:5" ht="14.5" customHeight="1">
      <c r="A339" s="40"/>
      <c r="B339" s="83"/>
      <c r="C339" s="54" t="s">
        <v>260</v>
      </c>
      <c r="D339" s="55">
        <v>1</v>
      </c>
      <c r="E339" s="56">
        <v>2.68961807423E-4</v>
      </c>
    </row>
    <row r="340" spans="1:5" ht="15" customHeight="1">
      <c r="A340" s="40"/>
      <c r="B340" s="83"/>
      <c r="C340" s="54" t="s">
        <v>108</v>
      </c>
      <c r="D340" s="55">
        <v>1</v>
      </c>
      <c r="E340" s="56">
        <v>2.68961807423E-4</v>
      </c>
    </row>
    <row r="341" spans="1:5" ht="15" customHeight="1">
      <c r="A341" s="40"/>
      <c r="B341" s="83"/>
      <c r="C341" s="54" t="s">
        <v>110</v>
      </c>
      <c r="D341" s="55">
        <v>2</v>
      </c>
      <c r="E341" s="56">
        <v>5.3792361484699997E-4</v>
      </c>
    </row>
    <row r="342" spans="1:5" ht="15" customHeight="1">
      <c r="A342" s="40"/>
      <c r="B342" s="83"/>
      <c r="C342" s="54" t="s">
        <v>259</v>
      </c>
      <c r="D342" s="55">
        <v>1</v>
      </c>
      <c r="E342" s="56">
        <v>2.68961807423E-4</v>
      </c>
    </row>
    <row r="343" spans="1:5" ht="15" customHeight="1">
      <c r="A343" s="40"/>
      <c r="B343" s="83"/>
      <c r="C343" s="54" t="s">
        <v>111</v>
      </c>
      <c r="D343" s="55">
        <v>2</v>
      </c>
      <c r="E343" s="56">
        <v>5.3792361484699997E-4</v>
      </c>
    </row>
    <row r="344" spans="1:5" ht="15" customHeight="1">
      <c r="A344" s="40"/>
      <c r="B344" s="83"/>
      <c r="C344" s="54" t="s">
        <v>112</v>
      </c>
      <c r="D344" s="55">
        <v>3</v>
      </c>
      <c r="E344" s="56">
        <v>8.0688542227000002E-4</v>
      </c>
    </row>
    <row r="345" spans="1:5" ht="15" customHeight="1">
      <c r="A345" s="40"/>
      <c r="B345" s="83"/>
      <c r="C345" s="54" t="s">
        <v>114</v>
      </c>
      <c r="D345" s="55">
        <v>1</v>
      </c>
      <c r="E345" s="56">
        <v>2.68961807423E-4</v>
      </c>
    </row>
    <row r="346" spans="1:5" ht="15" customHeight="1">
      <c r="A346" s="40"/>
      <c r="B346" s="83"/>
      <c r="C346" s="54" t="s">
        <v>254</v>
      </c>
      <c r="D346" s="55">
        <v>4</v>
      </c>
      <c r="E346" s="56">
        <v>1.0758472296930001E-3</v>
      </c>
    </row>
    <row r="347" spans="1:5" ht="15" customHeight="1">
      <c r="A347" s="40"/>
      <c r="B347" s="83"/>
      <c r="C347" s="54" t="s">
        <v>117</v>
      </c>
      <c r="D347" s="55">
        <v>1</v>
      </c>
      <c r="E347" s="56">
        <v>2.68961807423E-4</v>
      </c>
    </row>
    <row r="348" spans="1:5" ht="15" customHeight="1">
      <c r="A348" s="40"/>
      <c r="B348" s="83"/>
      <c r="C348" s="54" t="s">
        <v>119</v>
      </c>
      <c r="D348" s="55">
        <v>1</v>
      </c>
      <c r="E348" s="56">
        <v>2.68961807423E-4</v>
      </c>
    </row>
    <row r="349" spans="1:5" ht="15" customHeight="1">
      <c r="A349" s="40"/>
      <c r="B349" s="83"/>
      <c r="C349" s="54" t="s">
        <v>257</v>
      </c>
      <c r="D349" s="55">
        <v>1</v>
      </c>
      <c r="E349" s="56">
        <v>2.68961807423E-4</v>
      </c>
    </row>
    <row r="350" spans="1:5" ht="15" customHeight="1">
      <c r="A350" s="40"/>
      <c r="B350" s="83"/>
      <c r="C350" s="54" t="s">
        <v>258</v>
      </c>
      <c r="D350" s="55">
        <v>1</v>
      </c>
      <c r="E350" s="56">
        <v>2.68961807423E-4</v>
      </c>
    </row>
    <row r="351" spans="1:5" ht="15" customHeight="1">
      <c r="A351" s="40"/>
      <c r="B351" s="83"/>
      <c r="C351" s="54" t="s">
        <v>122</v>
      </c>
      <c r="D351" s="55">
        <v>19</v>
      </c>
      <c r="E351" s="56">
        <v>5.1102743410440001E-3</v>
      </c>
    </row>
    <row r="352" spans="1:5" ht="15" customHeight="1">
      <c r="A352" s="40"/>
      <c r="B352" s="83"/>
      <c r="C352" s="54" t="s">
        <v>123</v>
      </c>
      <c r="D352" s="55">
        <v>6</v>
      </c>
      <c r="E352" s="56">
        <v>1.61377084454E-3</v>
      </c>
    </row>
    <row r="353" spans="1:5" ht="15" customHeight="1">
      <c r="A353" s="40"/>
      <c r="B353" s="83"/>
      <c r="C353" s="54" t="s">
        <v>255</v>
      </c>
      <c r="D353" s="55">
        <v>2</v>
      </c>
      <c r="E353" s="56">
        <v>5.3792361484699997E-4</v>
      </c>
    </row>
    <row r="354" spans="1:5" ht="15" customHeight="1">
      <c r="A354" s="40"/>
      <c r="B354" s="83"/>
      <c r="C354" s="54" t="s">
        <v>126</v>
      </c>
      <c r="D354" s="55">
        <v>2</v>
      </c>
      <c r="E354" s="56">
        <v>5.3792361484699997E-4</v>
      </c>
    </row>
    <row r="355" spans="1:5" ht="15" customHeight="1">
      <c r="A355" s="40"/>
      <c r="B355" s="82"/>
      <c r="C355" s="67" t="s">
        <v>308</v>
      </c>
      <c r="D355" s="66">
        <v>154</v>
      </c>
      <c r="E355" s="68">
        <v>4.1420118343194999E-2</v>
      </c>
    </row>
    <row r="356" spans="1:5" ht="15" customHeight="1">
      <c r="A356" s="40"/>
      <c r="B356" s="81" t="s">
        <v>180</v>
      </c>
      <c r="C356" s="54" t="s">
        <v>252</v>
      </c>
      <c r="D356" s="55">
        <v>1</v>
      </c>
      <c r="E356" s="56">
        <v>2.68961807423E-4</v>
      </c>
    </row>
    <row r="357" spans="1:5" ht="15" customHeight="1">
      <c r="A357" s="40"/>
      <c r="B357" s="83"/>
      <c r="C357" s="54" t="s">
        <v>122</v>
      </c>
      <c r="D357" s="55">
        <v>1</v>
      </c>
      <c r="E357" s="56">
        <v>2.68961807423E-4</v>
      </c>
    </row>
    <row r="358" spans="1:5" ht="15" customHeight="1">
      <c r="A358" s="40"/>
      <c r="B358" s="82"/>
      <c r="C358" s="67" t="s">
        <v>308</v>
      </c>
      <c r="D358" s="66">
        <v>2</v>
      </c>
      <c r="E358" s="68">
        <v>5.3792361484699997E-4</v>
      </c>
    </row>
    <row r="359" spans="1:5" ht="15" customHeight="1">
      <c r="A359" s="40"/>
      <c r="B359" s="81" t="s">
        <v>161</v>
      </c>
      <c r="C359" s="54" t="s">
        <v>252</v>
      </c>
      <c r="D359" s="55">
        <v>3</v>
      </c>
      <c r="E359" s="56">
        <v>8.0688542227000002E-4</v>
      </c>
    </row>
    <row r="360" spans="1:5" ht="15" customHeight="1">
      <c r="A360" s="40"/>
      <c r="B360" s="83"/>
      <c r="C360" s="54" t="s">
        <v>102</v>
      </c>
      <c r="D360" s="55">
        <v>2</v>
      </c>
      <c r="E360" s="56">
        <v>5.3792361484699997E-4</v>
      </c>
    </row>
    <row r="361" spans="1:5" ht="15" customHeight="1">
      <c r="A361" s="40"/>
      <c r="B361" s="83"/>
      <c r="C361" s="54" t="s">
        <v>103</v>
      </c>
      <c r="D361" s="55">
        <v>1</v>
      </c>
      <c r="E361" s="56">
        <v>2.68961807423E-4</v>
      </c>
    </row>
    <row r="362" spans="1:5" ht="15" customHeight="1">
      <c r="A362" s="40"/>
      <c r="B362" s="83"/>
      <c r="C362" s="54" t="s">
        <v>114</v>
      </c>
      <c r="D362" s="55">
        <v>1</v>
      </c>
      <c r="E362" s="56">
        <v>2.68961807423E-4</v>
      </c>
    </row>
    <row r="363" spans="1:5" ht="15" customHeight="1">
      <c r="A363" s="40"/>
      <c r="B363" s="82"/>
      <c r="C363" s="67" t="s">
        <v>308</v>
      </c>
      <c r="D363" s="66">
        <v>7</v>
      </c>
      <c r="E363" s="68">
        <v>1.8827326519630001E-3</v>
      </c>
    </row>
    <row r="364" spans="1:5" ht="15" customHeight="1">
      <c r="A364" s="40"/>
      <c r="B364" s="81" t="s">
        <v>162</v>
      </c>
      <c r="C364" s="54" t="s">
        <v>94</v>
      </c>
      <c r="D364" s="55">
        <v>1</v>
      </c>
      <c r="E364" s="56">
        <v>2.68961807423E-4</v>
      </c>
    </row>
    <row r="365" spans="1:5" ht="15" customHeight="1">
      <c r="A365" s="40"/>
      <c r="B365" s="82"/>
      <c r="C365" s="67" t="s">
        <v>308</v>
      </c>
      <c r="D365" s="66">
        <v>1</v>
      </c>
      <c r="E365" s="68">
        <v>2.68961807423E-4</v>
      </c>
    </row>
    <row r="366" spans="1:5" ht="15" customHeight="1">
      <c r="A366" s="40"/>
      <c r="B366" s="84" t="s">
        <v>305</v>
      </c>
      <c r="C366" s="85"/>
      <c r="D366" s="58">
        <v>3718</v>
      </c>
      <c r="E366" s="59">
        <v>1</v>
      </c>
    </row>
    <row r="367" spans="1:5" ht="15" customHeight="1">
      <c r="A367" s="40"/>
      <c r="C367" s="40"/>
      <c r="D367" s="40"/>
      <c r="E367" s="40"/>
    </row>
    <row r="368" spans="1:5" ht="15" customHeight="1">
      <c r="A368" s="40"/>
      <c r="B368" s="38" t="s">
        <v>183</v>
      </c>
      <c r="C368" s="40"/>
      <c r="D368" s="40"/>
      <c r="E368" s="40"/>
    </row>
    <row r="369" spans="1:5" ht="15" customHeight="1">
      <c r="A369" s="40"/>
      <c r="B369" s="41" t="s">
        <v>17</v>
      </c>
      <c r="C369" s="40"/>
      <c r="D369" s="40"/>
      <c r="E369" s="40"/>
    </row>
    <row r="370" spans="1:5" ht="15" customHeight="1">
      <c r="A370" s="40"/>
      <c r="B370" s="42" t="s">
        <v>45</v>
      </c>
      <c r="C370" s="40"/>
      <c r="D370" s="40"/>
      <c r="E370" s="40"/>
    </row>
    <row r="371" spans="1:5" ht="15" customHeight="1">
      <c r="A371" s="40"/>
      <c r="B371" s="38" t="s">
        <v>16</v>
      </c>
      <c r="C371" s="40"/>
      <c r="D371" s="40"/>
      <c r="E371" s="40"/>
    </row>
    <row r="372" spans="1:5" ht="15" customHeight="1">
      <c r="A372" s="40"/>
      <c r="B372" s="38" t="s">
        <v>306</v>
      </c>
      <c r="C372" s="40"/>
      <c r="D372" s="40"/>
      <c r="E372" s="40"/>
    </row>
    <row r="373" spans="1:5" ht="15" customHeight="1">
      <c r="A373" s="40"/>
      <c r="C373" s="40"/>
      <c r="D373" s="40"/>
      <c r="E373" s="40"/>
    </row>
    <row r="374" spans="1:5" ht="15" customHeight="1">
      <c r="A374" s="40"/>
      <c r="B374" s="37"/>
      <c r="C374" s="37"/>
      <c r="D374" s="40"/>
      <c r="E374" s="40"/>
    </row>
  </sheetData>
  <mergeCells count="27">
    <mergeCell ref="B366:C366"/>
    <mergeCell ref="B7:E8"/>
    <mergeCell ref="B10:B17"/>
    <mergeCell ref="B18:B19"/>
    <mergeCell ref="B20:B23"/>
    <mergeCell ref="B24:B35"/>
    <mergeCell ref="B36:B48"/>
    <mergeCell ref="B49:B61"/>
    <mergeCell ref="B62:B73"/>
    <mergeCell ref="B74:B97"/>
    <mergeCell ref="B98:B127"/>
    <mergeCell ref="B128:B139"/>
    <mergeCell ref="B140:B157"/>
    <mergeCell ref="B158:B178"/>
    <mergeCell ref="B179:B216"/>
    <mergeCell ref="B217:B229"/>
    <mergeCell ref="B230:B256"/>
    <mergeCell ref="B257:B289"/>
    <mergeCell ref="B290:B299"/>
    <mergeCell ref="B300:B305"/>
    <mergeCell ref="B306:B311"/>
    <mergeCell ref="B364:B365"/>
    <mergeCell ref="B312:B316"/>
    <mergeCell ref="B317:B328"/>
    <mergeCell ref="B329:B355"/>
    <mergeCell ref="B356:B358"/>
    <mergeCell ref="B359:B36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64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0">
    <tabColor rgb="FF92D050"/>
  </sheetPr>
  <dimension ref="A1:E558"/>
  <sheetViews>
    <sheetView showGridLines="0" view="pageBreakPreview" topLeftCell="A539" zoomScaleNormal="100" zoomScaleSheetLayoutView="100" workbookViewId="0">
      <selection activeCell="E558" sqref="E558"/>
    </sheetView>
  </sheetViews>
  <sheetFormatPr baseColWidth="10" defaultColWidth="35" defaultRowHeight="15" customHeight="1"/>
  <cols>
    <col min="1" max="1" width="1" style="19" customWidth="1"/>
    <col min="2" max="2" width="22.81640625" style="20" customWidth="1"/>
    <col min="3" max="3" width="31.453125" style="20" customWidth="1"/>
    <col min="4" max="4" width="14.26953125" style="20" customWidth="1"/>
    <col min="5" max="5" width="16.81640625" style="20" customWidth="1"/>
    <col min="6" max="16384" width="35" style="19"/>
  </cols>
  <sheetData>
    <row r="1" spans="1:5" s="22" customFormat="1" ht="12" customHeight="1">
      <c r="B1" s="24"/>
      <c r="C1" s="21"/>
      <c r="D1" s="21"/>
      <c r="E1" s="21"/>
    </row>
    <row r="2" spans="1:5" s="22" customFormat="1" ht="15" customHeight="1">
      <c r="C2" s="26"/>
    </row>
    <row r="3" spans="1:5" s="22" customFormat="1" ht="15" customHeight="1">
      <c r="C3" s="26"/>
    </row>
    <row r="4" spans="1:5" s="22" customFormat="1" ht="30" customHeight="1">
      <c r="C4" s="26"/>
      <c r="D4" s="25"/>
    </row>
    <row r="5" spans="1:5" s="22" customFormat="1" ht="15" customHeight="1">
      <c r="C5" s="26"/>
      <c r="D5" s="25"/>
    </row>
    <row r="6" spans="1:5" s="22" customFormat="1" ht="24" customHeight="1">
      <c r="A6" s="44"/>
      <c r="B6" s="45"/>
      <c r="C6" s="44"/>
      <c r="D6" s="44"/>
      <c r="E6" s="44"/>
    </row>
    <row r="7" spans="1:5" s="22" customFormat="1" ht="26.25" customHeight="1">
      <c r="A7" s="49"/>
      <c r="B7" s="86"/>
      <c r="C7" s="86"/>
      <c r="D7" s="86"/>
      <c r="E7" s="86"/>
    </row>
    <row r="8" spans="1:5" s="22" customFormat="1" ht="33" customHeight="1">
      <c r="A8" s="49"/>
      <c r="B8" s="86"/>
      <c r="C8" s="86"/>
      <c r="D8" s="86"/>
      <c r="E8" s="86"/>
    </row>
    <row r="9" spans="1:5" s="16" customFormat="1" ht="40.5" customHeight="1">
      <c r="A9" s="32"/>
      <c r="B9" s="46" t="s">
        <v>21</v>
      </c>
      <c r="C9" s="47" t="s">
        <v>26</v>
      </c>
      <c r="D9" s="48" t="s">
        <v>19</v>
      </c>
      <c r="E9" s="46" t="s">
        <v>18</v>
      </c>
    </row>
    <row r="10" spans="1:5" ht="14.5" customHeight="1">
      <c r="A10" s="40"/>
      <c r="B10" s="87" t="s">
        <v>91</v>
      </c>
      <c r="C10" s="54" t="s">
        <v>146</v>
      </c>
      <c r="D10" s="55">
        <v>2</v>
      </c>
      <c r="E10" s="56">
        <v>5.3792361484699997E-4</v>
      </c>
    </row>
    <row r="11" spans="1:5" ht="14.5" customHeight="1">
      <c r="A11" s="40"/>
      <c r="B11" s="88"/>
      <c r="C11" s="54" t="s">
        <v>150</v>
      </c>
      <c r="D11" s="55">
        <v>1</v>
      </c>
      <c r="E11" s="56">
        <v>2.68961807423E-4</v>
      </c>
    </row>
    <row r="12" spans="1:5" ht="14.5" customHeight="1">
      <c r="A12" s="40"/>
      <c r="B12" s="88"/>
      <c r="C12" s="54" t="s">
        <v>151</v>
      </c>
      <c r="D12" s="55">
        <v>1</v>
      </c>
      <c r="E12" s="56">
        <v>2.68961807423E-4</v>
      </c>
    </row>
    <row r="13" spans="1:5" ht="14.5" customHeight="1">
      <c r="A13" s="40"/>
      <c r="B13" s="88"/>
      <c r="C13" s="54" t="s">
        <v>154</v>
      </c>
      <c r="D13" s="55">
        <v>1</v>
      </c>
      <c r="E13" s="56">
        <v>2.68961807423E-4</v>
      </c>
    </row>
    <row r="14" spans="1:5" ht="14.5" customHeight="1">
      <c r="A14" s="40"/>
      <c r="B14" s="88"/>
      <c r="C14" s="54" t="s">
        <v>160</v>
      </c>
      <c r="D14" s="55">
        <v>1</v>
      </c>
      <c r="E14" s="56">
        <v>2.68961807423E-4</v>
      </c>
    </row>
    <row r="15" spans="1:5" ht="14.5" customHeight="1">
      <c r="A15" s="40"/>
      <c r="B15" s="89"/>
      <c r="C15" s="67" t="s">
        <v>308</v>
      </c>
      <c r="D15" s="66">
        <v>6</v>
      </c>
      <c r="E15" s="68">
        <v>1.61377084454E-3</v>
      </c>
    </row>
    <row r="16" spans="1:5" ht="14.5" customHeight="1">
      <c r="A16" s="40"/>
      <c r="B16" s="87" t="s">
        <v>66</v>
      </c>
      <c r="C16" s="54" t="s">
        <v>143</v>
      </c>
      <c r="D16" s="55">
        <v>1</v>
      </c>
      <c r="E16" s="56">
        <v>2.68961807423E-4</v>
      </c>
    </row>
    <row r="17" spans="1:5" ht="14.5" customHeight="1">
      <c r="A17" s="40"/>
      <c r="B17" s="88"/>
      <c r="C17" s="54" t="s">
        <v>144</v>
      </c>
      <c r="D17" s="55">
        <v>1</v>
      </c>
      <c r="E17" s="56">
        <v>2.68961807423E-4</v>
      </c>
    </row>
    <row r="18" spans="1:5" ht="14.5" customHeight="1">
      <c r="A18" s="40"/>
      <c r="B18" s="88"/>
      <c r="C18" s="54" t="s">
        <v>147</v>
      </c>
      <c r="D18" s="55">
        <v>3</v>
      </c>
      <c r="E18" s="56">
        <v>8.0688542227000002E-4</v>
      </c>
    </row>
    <row r="19" spans="1:5" ht="14.5" customHeight="1">
      <c r="A19" s="40"/>
      <c r="B19" s="88"/>
      <c r="C19" s="54" t="s">
        <v>148</v>
      </c>
      <c r="D19" s="55">
        <v>1</v>
      </c>
      <c r="E19" s="56">
        <v>2.68961807423E-4</v>
      </c>
    </row>
    <row r="20" spans="1:5" ht="14.5" customHeight="1">
      <c r="A20" s="40"/>
      <c r="B20" s="88"/>
      <c r="C20" s="54" t="s">
        <v>150</v>
      </c>
      <c r="D20" s="55">
        <v>1</v>
      </c>
      <c r="E20" s="56">
        <v>2.68961807423E-4</v>
      </c>
    </row>
    <row r="21" spans="1:5" ht="14.5" customHeight="1">
      <c r="A21" s="40"/>
      <c r="B21" s="88"/>
      <c r="C21" s="54" t="s">
        <v>151</v>
      </c>
      <c r="D21" s="55">
        <v>11</v>
      </c>
      <c r="E21" s="56">
        <v>2.9585798816569998E-3</v>
      </c>
    </row>
    <row r="22" spans="1:5" ht="14.5" customHeight="1">
      <c r="A22" s="40"/>
      <c r="B22" s="88"/>
      <c r="C22" s="54" t="s">
        <v>153</v>
      </c>
      <c r="D22" s="55">
        <v>2</v>
      </c>
      <c r="E22" s="56">
        <v>5.3792361484699997E-4</v>
      </c>
    </row>
    <row r="23" spans="1:5" ht="14.5" customHeight="1">
      <c r="A23" s="40"/>
      <c r="B23" s="88"/>
      <c r="C23" s="54" t="s">
        <v>154</v>
      </c>
      <c r="D23" s="55">
        <v>10</v>
      </c>
      <c r="E23" s="56">
        <v>2.6896180742329999E-3</v>
      </c>
    </row>
    <row r="24" spans="1:5" ht="14.5" customHeight="1">
      <c r="A24" s="40"/>
      <c r="B24" s="89"/>
      <c r="C24" s="67" t="s">
        <v>308</v>
      </c>
      <c r="D24" s="66">
        <v>30</v>
      </c>
      <c r="E24" s="68">
        <v>8.0688542226999994E-3</v>
      </c>
    </row>
    <row r="25" spans="1:5" ht="14.5" customHeight="1">
      <c r="A25" s="40"/>
      <c r="B25" s="87" t="s">
        <v>69</v>
      </c>
      <c r="C25" s="54" t="s">
        <v>143</v>
      </c>
      <c r="D25" s="55">
        <v>1</v>
      </c>
      <c r="E25" s="56">
        <v>2.68961807423E-4</v>
      </c>
    </row>
    <row r="26" spans="1:5" ht="14.5" customHeight="1">
      <c r="A26" s="40"/>
      <c r="B26" s="88"/>
      <c r="C26" s="54" t="s">
        <v>147</v>
      </c>
      <c r="D26" s="55">
        <v>3</v>
      </c>
      <c r="E26" s="56">
        <v>8.0688542227000002E-4</v>
      </c>
    </row>
    <row r="27" spans="1:5" ht="14.5" customHeight="1">
      <c r="A27" s="40"/>
      <c r="B27" s="88"/>
      <c r="C27" s="54" t="s">
        <v>148</v>
      </c>
      <c r="D27" s="55">
        <v>2</v>
      </c>
      <c r="E27" s="56">
        <v>5.3792361484699997E-4</v>
      </c>
    </row>
    <row r="28" spans="1:5" ht="14.5" customHeight="1">
      <c r="A28" s="40"/>
      <c r="B28" s="88"/>
      <c r="C28" s="54" t="s">
        <v>151</v>
      </c>
      <c r="D28" s="55">
        <v>6</v>
      </c>
      <c r="E28" s="56">
        <v>1.61377084454E-3</v>
      </c>
    </row>
    <row r="29" spans="1:5" ht="14.5" customHeight="1">
      <c r="A29" s="40"/>
      <c r="B29" s="88"/>
      <c r="C29" s="54" t="s">
        <v>154</v>
      </c>
      <c r="D29" s="55">
        <v>2</v>
      </c>
      <c r="E29" s="56">
        <v>5.3792361484699997E-4</v>
      </c>
    </row>
    <row r="30" spans="1:5" ht="14.5" customHeight="1">
      <c r="A30" s="40"/>
      <c r="B30" s="88"/>
      <c r="C30" s="54" t="s">
        <v>160</v>
      </c>
      <c r="D30" s="55">
        <v>4</v>
      </c>
      <c r="E30" s="56">
        <v>1.0758472296930001E-3</v>
      </c>
    </row>
    <row r="31" spans="1:5" ht="14.5" customHeight="1">
      <c r="A31" s="40"/>
      <c r="B31" s="88"/>
      <c r="C31" s="54" t="s">
        <v>180</v>
      </c>
      <c r="D31" s="55">
        <v>1</v>
      </c>
      <c r="E31" s="56">
        <v>2.68961807423E-4</v>
      </c>
    </row>
    <row r="32" spans="1:5" ht="14.5" customHeight="1">
      <c r="A32" s="40"/>
      <c r="B32" s="89"/>
      <c r="C32" s="67" t="s">
        <v>308</v>
      </c>
      <c r="D32" s="66">
        <v>19</v>
      </c>
      <c r="E32" s="68">
        <v>5.1102743410440001E-3</v>
      </c>
    </row>
    <row r="33" spans="1:5" ht="14.5" customHeight="1">
      <c r="A33" s="40"/>
      <c r="B33" s="87" t="s">
        <v>55</v>
      </c>
      <c r="C33" s="54" t="s">
        <v>140</v>
      </c>
      <c r="D33" s="55">
        <v>1</v>
      </c>
      <c r="E33" s="56">
        <v>2.68961807423E-4</v>
      </c>
    </row>
    <row r="34" spans="1:5" ht="14.5" customHeight="1">
      <c r="A34" s="40"/>
      <c r="B34" s="88"/>
      <c r="C34" s="54" t="s">
        <v>142</v>
      </c>
      <c r="D34" s="55">
        <v>1</v>
      </c>
      <c r="E34" s="56">
        <v>2.68961807423E-4</v>
      </c>
    </row>
    <row r="35" spans="1:5" ht="14.5" customHeight="1">
      <c r="A35" s="40"/>
      <c r="B35" s="88"/>
      <c r="C35" s="54" t="s">
        <v>143</v>
      </c>
      <c r="D35" s="55">
        <v>2</v>
      </c>
      <c r="E35" s="56">
        <v>5.3792361484699997E-4</v>
      </c>
    </row>
    <row r="36" spans="1:5" ht="14.5" customHeight="1">
      <c r="A36" s="40"/>
      <c r="B36" s="88"/>
      <c r="C36" s="54" t="s">
        <v>144</v>
      </c>
      <c r="D36" s="55">
        <v>2</v>
      </c>
      <c r="E36" s="56">
        <v>5.3792361484699997E-4</v>
      </c>
    </row>
    <row r="37" spans="1:5" ht="14.5" customHeight="1">
      <c r="A37" s="40"/>
      <c r="B37" s="88"/>
      <c r="C37" s="54" t="s">
        <v>145</v>
      </c>
      <c r="D37" s="55">
        <v>2</v>
      </c>
      <c r="E37" s="56">
        <v>5.3792361484699997E-4</v>
      </c>
    </row>
    <row r="38" spans="1:5" ht="14.5" customHeight="1">
      <c r="A38" s="40"/>
      <c r="B38" s="88"/>
      <c r="C38" s="54" t="s">
        <v>146</v>
      </c>
      <c r="D38" s="55">
        <v>3</v>
      </c>
      <c r="E38" s="56">
        <v>8.0688542227000002E-4</v>
      </c>
    </row>
    <row r="39" spans="1:5" ht="14.5" customHeight="1">
      <c r="A39" s="40"/>
      <c r="B39" s="88"/>
      <c r="C39" s="54" t="s">
        <v>147</v>
      </c>
      <c r="D39" s="55">
        <v>9</v>
      </c>
      <c r="E39" s="56">
        <v>2.4206562668100001E-3</v>
      </c>
    </row>
    <row r="40" spans="1:5" ht="14.5" customHeight="1">
      <c r="A40" s="40"/>
      <c r="B40" s="88"/>
      <c r="C40" s="54" t="s">
        <v>148</v>
      </c>
      <c r="D40" s="55">
        <v>1</v>
      </c>
      <c r="E40" s="56">
        <v>2.68961807423E-4</v>
      </c>
    </row>
    <row r="41" spans="1:5" ht="14.5" customHeight="1">
      <c r="A41" s="40"/>
      <c r="B41" s="88"/>
      <c r="C41" s="54" t="s">
        <v>149</v>
      </c>
      <c r="D41" s="55">
        <v>1</v>
      </c>
      <c r="E41" s="56">
        <v>2.68961807423E-4</v>
      </c>
    </row>
    <row r="42" spans="1:5" ht="14.5" customHeight="1">
      <c r="A42" s="40"/>
      <c r="B42" s="88"/>
      <c r="C42" s="54" t="s">
        <v>150</v>
      </c>
      <c r="D42" s="55">
        <v>2</v>
      </c>
      <c r="E42" s="56">
        <v>5.3792361484699997E-4</v>
      </c>
    </row>
    <row r="43" spans="1:5" ht="14.5" customHeight="1">
      <c r="A43" s="40"/>
      <c r="B43" s="88"/>
      <c r="C43" s="54" t="s">
        <v>151</v>
      </c>
      <c r="D43" s="55">
        <v>25</v>
      </c>
      <c r="E43" s="56">
        <v>6.7240451855840001E-3</v>
      </c>
    </row>
    <row r="44" spans="1:5" ht="14.5" customHeight="1">
      <c r="A44" s="40"/>
      <c r="B44" s="88"/>
      <c r="C44" s="54" t="s">
        <v>153</v>
      </c>
      <c r="D44" s="55">
        <v>8</v>
      </c>
      <c r="E44" s="56">
        <v>2.1516944593869998E-3</v>
      </c>
    </row>
    <row r="45" spans="1:5" ht="14.5" customHeight="1">
      <c r="A45" s="40"/>
      <c r="B45" s="88"/>
      <c r="C45" s="54" t="s">
        <v>154</v>
      </c>
      <c r="D45" s="55">
        <v>35</v>
      </c>
      <c r="E45" s="56">
        <v>9.4136632598170004E-3</v>
      </c>
    </row>
    <row r="46" spans="1:5" ht="14.5" customHeight="1">
      <c r="A46" s="40"/>
      <c r="B46" s="88"/>
      <c r="C46" s="54" t="s">
        <v>160</v>
      </c>
      <c r="D46" s="55">
        <v>3</v>
      </c>
      <c r="E46" s="56">
        <v>8.0688542227000002E-4</v>
      </c>
    </row>
    <row r="47" spans="1:5" ht="14.5" customHeight="1">
      <c r="A47" s="40"/>
      <c r="B47" s="89"/>
      <c r="C47" s="67" t="s">
        <v>308</v>
      </c>
      <c r="D47" s="66">
        <v>95</v>
      </c>
      <c r="E47" s="68">
        <v>2.5551371705217998E-2</v>
      </c>
    </row>
    <row r="48" spans="1:5" ht="14.5" customHeight="1">
      <c r="A48" s="40"/>
      <c r="B48" s="87" t="s">
        <v>79</v>
      </c>
      <c r="C48" s="54" t="s">
        <v>149</v>
      </c>
      <c r="D48" s="55">
        <v>1</v>
      </c>
      <c r="E48" s="56">
        <v>2.68961807423E-4</v>
      </c>
    </row>
    <row r="49" spans="1:5" ht="14.5" customHeight="1">
      <c r="A49" s="40"/>
      <c r="B49" s="88"/>
      <c r="C49" s="54" t="s">
        <v>151</v>
      </c>
      <c r="D49" s="55">
        <v>3</v>
      </c>
      <c r="E49" s="56">
        <v>8.0688542227000002E-4</v>
      </c>
    </row>
    <row r="50" spans="1:5" ht="14.5" customHeight="1">
      <c r="A50" s="40"/>
      <c r="B50" s="88"/>
      <c r="C50" s="54" t="s">
        <v>154</v>
      </c>
      <c r="D50" s="55">
        <v>1</v>
      </c>
      <c r="E50" s="56">
        <v>2.68961807423E-4</v>
      </c>
    </row>
    <row r="51" spans="1:5" ht="14.5" customHeight="1">
      <c r="A51" s="40"/>
      <c r="B51" s="88"/>
      <c r="C51" s="54" t="s">
        <v>155</v>
      </c>
      <c r="D51" s="55">
        <v>1</v>
      </c>
      <c r="E51" s="56">
        <v>2.68961807423E-4</v>
      </c>
    </row>
    <row r="52" spans="1:5" ht="14.5" customHeight="1">
      <c r="A52" s="40"/>
      <c r="B52" s="88"/>
      <c r="C52" s="54" t="s">
        <v>160</v>
      </c>
      <c r="D52" s="55">
        <v>1</v>
      </c>
      <c r="E52" s="56">
        <v>2.68961807423E-4</v>
      </c>
    </row>
    <row r="53" spans="1:5" ht="14.5" customHeight="1">
      <c r="A53" s="40"/>
      <c r="B53" s="89"/>
      <c r="C53" s="67" t="s">
        <v>308</v>
      </c>
      <c r="D53" s="66">
        <v>7</v>
      </c>
      <c r="E53" s="68">
        <v>1.8827326519630001E-3</v>
      </c>
    </row>
    <row r="54" spans="1:5" ht="14.5" customHeight="1">
      <c r="A54" s="40"/>
      <c r="B54" s="87" t="s">
        <v>89</v>
      </c>
      <c r="C54" s="54" t="s">
        <v>151</v>
      </c>
      <c r="D54" s="55">
        <v>1</v>
      </c>
      <c r="E54" s="56">
        <v>2.68961807423E-4</v>
      </c>
    </row>
    <row r="55" spans="1:5" ht="14.5" customHeight="1">
      <c r="A55" s="40"/>
      <c r="B55" s="88"/>
      <c r="C55" s="54" t="s">
        <v>152</v>
      </c>
      <c r="D55" s="55">
        <v>1</v>
      </c>
      <c r="E55" s="56">
        <v>2.68961807423E-4</v>
      </c>
    </row>
    <row r="56" spans="1:5" ht="14.5" customHeight="1">
      <c r="A56" s="40"/>
      <c r="B56" s="89"/>
      <c r="C56" s="67" t="s">
        <v>308</v>
      </c>
      <c r="D56" s="66">
        <v>2</v>
      </c>
      <c r="E56" s="68">
        <v>5.3792361484699997E-4</v>
      </c>
    </row>
    <row r="57" spans="1:5" ht="14.5" customHeight="1">
      <c r="A57" s="40"/>
      <c r="B57" s="87" t="s">
        <v>90</v>
      </c>
      <c r="C57" s="54" t="s">
        <v>140</v>
      </c>
      <c r="D57" s="55">
        <v>1</v>
      </c>
      <c r="E57" s="56">
        <v>2.68961807423E-4</v>
      </c>
    </row>
    <row r="58" spans="1:5" ht="14.5" customHeight="1">
      <c r="A58" s="40"/>
      <c r="B58" s="88"/>
      <c r="C58" s="54" t="s">
        <v>147</v>
      </c>
      <c r="D58" s="55">
        <v>2</v>
      </c>
      <c r="E58" s="56">
        <v>5.3792361484699997E-4</v>
      </c>
    </row>
    <row r="59" spans="1:5" ht="14.5" customHeight="1">
      <c r="A59" s="40"/>
      <c r="B59" s="88"/>
      <c r="C59" s="54" t="s">
        <v>151</v>
      </c>
      <c r="D59" s="55">
        <v>1</v>
      </c>
      <c r="E59" s="56">
        <v>2.68961807423E-4</v>
      </c>
    </row>
    <row r="60" spans="1:5" ht="14.5" customHeight="1">
      <c r="A60" s="40"/>
      <c r="B60" s="88"/>
      <c r="C60" s="54" t="s">
        <v>154</v>
      </c>
      <c r="D60" s="55">
        <v>3</v>
      </c>
      <c r="E60" s="56">
        <v>8.0688542227000002E-4</v>
      </c>
    </row>
    <row r="61" spans="1:5" ht="14.5" customHeight="1">
      <c r="A61" s="40"/>
      <c r="B61" s="88"/>
      <c r="C61" s="54" t="s">
        <v>160</v>
      </c>
      <c r="D61" s="55">
        <v>1</v>
      </c>
      <c r="E61" s="56">
        <v>2.68961807423E-4</v>
      </c>
    </row>
    <row r="62" spans="1:5" ht="14.5" customHeight="1">
      <c r="A62" s="40"/>
      <c r="B62" s="89"/>
      <c r="C62" s="67" t="s">
        <v>308</v>
      </c>
      <c r="D62" s="66">
        <v>8</v>
      </c>
      <c r="E62" s="68">
        <v>2.1516944593869998E-3</v>
      </c>
    </row>
    <row r="63" spans="1:5" ht="14.5" customHeight="1">
      <c r="A63" s="40"/>
      <c r="B63" s="87" t="s">
        <v>51</v>
      </c>
      <c r="C63" s="54" t="s">
        <v>142</v>
      </c>
      <c r="D63" s="55">
        <v>1</v>
      </c>
      <c r="E63" s="56">
        <v>2.68961807423E-4</v>
      </c>
    </row>
    <row r="64" spans="1:5" ht="14.5" customHeight="1">
      <c r="A64" s="40"/>
      <c r="B64" s="88"/>
      <c r="C64" s="54" t="s">
        <v>144</v>
      </c>
      <c r="D64" s="55">
        <v>2</v>
      </c>
      <c r="E64" s="56">
        <v>5.3792361484699997E-4</v>
      </c>
    </row>
    <row r="65" spans="1:5" ht="14.5" customHeight="1">
      <c r="A65" s="40"/>
      <c r="B65" s="88"/>
      <c r="C65" s="54" t="s">
        <v>146</v>
      </c>
      <c r="D65" s="55">
        <v>10</v>
      </c>
      <c r="E65" s="56">
        <v>2.6896180742329999E-3</v>
      </c>
    </row>
    <row r="66" spans="1:5" ht="14.5" customHeight="1">
      <c r="A66" s="40"/>
      <c r="B66" s="88"/>
      <c r="C66" s="54" t="s">
        <v>147</v>
      </c>
      <c r="D66" s="55">
        <v>28</v>
      </c>
      <c r="E66" s="56">
        <v>7.5309306078539997E-3</v>
      </c>
    </row>
    <row r="67" spans="1:5" ht="14.5" customHeight="1">
      <c r="A67" s="40"/>
      <c r="B67" s="88"/>
      <c r="C67" s="54" t="s">
        <v>148</v>
      </c>
      <c r="D67" s="55">
        <v>3</v>
      </c>
      <c r="E67" s="56">
        <v>8.0688542227000002E-4</v>
      </c>
    </row>
    <row r="68" spans="1:5" ht="14.5" customHeight="1">
      <c r="A68" s="40"/>
      <c r="B68" s="88"/>
      <c r="C68" s="54" t="s">
        <v>149</v>
      </c>
      <c r="D68" s="55">
        <v>2</v>
      </c>
      <c r="E68" s="56">
        <v>5.3792361484699997E-4</v>
      </c>
    </row>
    <row r="69" spans="1:5" ht="14.5" customHeight="1">
      <c r="A69" s="40"/>
      <c r="B69" s="88"/>
      <c r="C69" s="54" t="s">
        <v>150</v>
      </c>
      <c r="D69" s="55">
        <v>8</v>
      </c>
      <c r="E69" s="56">
        <v>2.1516944593869998E-3</v>
      </c>
    </row>
    <row r="70" spans="1:5" ht="14.5" customHeight="1">
      <c r="A70" s="40"/>
      <c r="B70" s="88"/>
      <c r="C70" s="54" t="s">
        <v>151</v>
      </c>
      <c r="D70" s="55">
        <v>48</v>
      </c>
      <c r="E70" s="56">
        <v>1.2910166756321E-2</v>
      </c>
    </row>
    <row r="71" spans="1:5" ht="14.5" customHeight="1">
      <c r="A71" s="40"/>
      <c r="B71" s="88"/>
      <c r="C71" s="54" t="s">
        <v>152</v>
      </c>
      <c r="D71" s="55">
        <v>3</v>
      </c>
      <c r="E71" s="56">
        <v>8.0688542227000002E-4</v>
      </c>
    </row>
    <row r="72" spans="1:5" ht="14.5" customHeight="1">
      <c r="A72" s="40"/>
      <c r="B72" s="88"/>
      <c r="C72" s="54" t="s">
        <v>153</v>
      </c>
      <c r="D72" s="55">
        <v>13</v>
      </c>
      <c r="E72" s="56">
        <v>3.4965034965029999E-3</v>
      </c>
    </row>
    <row r="73" spans="1:5" ht="14.5" customHeight="1">
      <c r="A73" s="40"/>
      <c r="B73" s="88"/>
      <c r="C73" s="54" t="s">
        <v>154</v>
      </c>
      <c r="D73" s="55">
        <v>31</v>
      </c>
      <c r="E73" s="56">
        <v>8.3378160301240001E-3</v>
      </c>
    </row>
    <row r="74" spans="1:5" ht="14.5" customHeight="1">
      <c r="A74" s="40"/>
      <c r="B74" s="88"/>
      <c r="C74" s="54" t="s">
        <v>157</v>
      </c>
      <c r="D74" s="55">
        <v>1</v>
      </c>
      <c r="E74" s="56">
        <v>2.68961807423E-4</v>
      </c>
    </row>
    <row r="75" spans="1:5" ht="14.5" customHeight="1">
      <c r="A75" s="40"/>
      <c r="B75" s="88"/>
      <c r="C75" s="54" t="s">
        <v>158</v>
      </c>
      <c r="D75" s="55">
        <v>1</v>
      </c>
      <c r="E75" s="56">
        <v>2.68961807423E-4</v>
      </c>
    </row>
    <row r="76" spans="1:5" ht="14.5" customHeight="1">
      <c r="A76" s="40"/>
      <c r="B76" s="88"/>
      <c r="C76" s="54" t="s">
        <v>159</v>
      </c>
      <c r="D76" s="55">
        <v>1</v>
      </c>
      <c r="E76" s="56">
        <v>2.68961807423E-4</v>
      </c>
    </row>
    <row r="77" spans="1:5" ht="14.5" customHeight="1">
      <c r="A77" s="40"/>
      <c r="B77" s="88"/>
      <c r="C77" s="54" t="s">
        <v>160</v>
      </c>
      <c r="D77" s="55">
        <v>5</v>
      </c>
      <c r="E77" s="56">
        <v>1.344809037117E-3</v>
      </c>
    </row>
    <row r="78" spans="1:5" ht="14.5" customHeight="1">
      <c r="A78" s="40"/>
      <c r="B78" s="88"/>
      <c r="C78" s="54" t="s">
        <v>161</v>
      </c>
      <c r="D78" s="55">
        <v>2</v>
      </c>
      <c r="E78" s="56">
        <v>5.3792361484699997E-4</v>
      </c>
    </row>
    <row r="79" spans="1:5" ht="14.5" customHeight="1">
      <c r="A79" s="40"/>
      <c r="B79" s="89"/>
      <c r="C79" s="67" t="s">
        <v>308</v>
      </c>
      <c r="D79" s="66">
        <v>159</v>
      </c>
      <c r="E79" s="68">
        <v>4.2764927380311998E-2</v>
      </c>
    </row>
    <row r="80" spans="1:5" ht="14.5" customHeight="1">
      <c r="A80" s="40"/>
      <c r="B80" s="87" t="s">
        <v>54</v>
      </c>
      <c r="C80" s="54" t="s">
        <v>140</v>
      </c>
      <c r="D80" s="55">
        <v>1</v>
      </c>
      <c r="E80" s="56">
        <v>2.68961807423E-4</v>
      </c>
    </row>
    <row r="81" spans="1:5" ht="14.5" customHeight="1">
      <c r="A81" s="40"/>
      <c r="B81" s="88"/>
      <c r="C81" s="54" t="s">
        <v>141</v>
      </c>
      <c r="D81" s="55">
        <v>2</v>
      </c>
      <c r="E81" s="56">
        <v>5.3792361484699997E-4</v>
      </c>
    </row>
    <row r="82" spans="1:5" ht="14.5" customHeight="1">
      <c r="A82" s="40"/>
      <c r="B82" s="88"/>
      <c r="C82" s="54" t="s">
        <v>142</v>
      </c>
      <c r="D82" s="55">
        <v>1</v>
      </c>
      <c r="E82" s="56">
        <v>2.68961807423E-4</v>
      </c>
    </row>
    <row r="83" spans="1:5" ht="14.5" customHeight="1">
      <c r="A83" s="40"/>
      <c r="B83" s="88"/>
      <c r="C83" s="54" t="s">
        <v>143</v>
      </c>
      <c r="D83" s="55">
        <v>1</v>
      </c>
      <c r="E83" s="56">
        <v>2.68961807423E-4</v>
      </c>
    </row>
    <row r="84" spans="1:5" ht="14.5" customHeight="1">
      <c r="A84" s="40"/>
      <c r="B84" s="88"/>
      <c r="C84" s="54" t="s">
        <v>145</v>
      </c>
      <c r="D84" s="55">
        <v>2</v>
      </c>
      <c r="E84" s="56">
        <v>5.3792361484699997E-4</v>
      </c>
    </row>
    <row r="85" spans="1:5" ht="14.5" customHeight="1">
      <c r="A85" s="40"/>
      <c r="B85" s="88"/>
      <c r="C85" s="54" t="s">
        <v>146</v>
      </c>
      <c r="D85" s="55">
        <v>7</v>
      </c>
      <c r="E85" s="56">
        <v>1.8827326519630001E-3</v>
      </c>
    </row>
    <row r="86" spans="1:5" ht="14.5" customHeight="1">
      <c r="A86" s="40"/>
      <c r="B86" s="88"/>
      <c r="C86" s="54" t="s">
        <v>147</v>
      </c>
      <c r="D86" s="55">
        <v>10</v>
      </c>
      <c r="E86" s="56">
        <v>2.6896180742329999E-3</v>
      </c>
    </row>
    <row r="87" spans="1:5" ht="14.5" customHeight="1">
      <c r="A87" s="40"/>
      <c r="B87" s="88"/>
      <c r="C87" s="54" t="s">
        <v>149</v>
      </c>
      <c r="D87" s="55">
        <v>1</v>
      </c>
      <c r="E87" s="56">
        <v>2.68961807423E-4</v>
      </c>
    </row>
    <row r="88" spans="1:5" ht="14.5" customHeight="1">
      <c r="A88" s="40"/>
      <c r="B88" s="88"/>
      <c r="C88" s="54" t="s">
        <v>150</v>
      </c>
      <c r="D88" s="55">
        <v>3</v>
      </c>
      <c r="E88" s="56">
        <v>8.0688542227000002E-4</v>
      </c>
    </row>
    <row r="89" spans="1:5" ht="14.5" customHeight="1">
      <c r="A89" s="40"/>
      <c r="B89" s="88"/>
      <c r="C89" s="54" t="s">
        <v>151</v>
      </c>
      <c r="D89" s="55">
        <v>39</v>
      </c>
      <c r="E89" s="56">
        <v>1.0489510489510001E-2</v>
      </c>
    </row>
    <row r="90" spans="1:5" ht="14.5" customHeight="1">
      <c r="A90" s="40"/>
      <c r="B90" s="88"/>
      <c r="C90" s="54" t="s">
        <v>152</v>
      </c>
      <c r="D90" s="55">
        <v>1</v>
      </c>
      <c r="E90" s="56">
        <v>2.68961807423E-4</v>
      </c>
    </row>
    <row r="91" spans="1:5" ht="14.5" customHeight="1">
      <c r="A91" s="40"/>
      <c r="B91" s="88"/>
      <c r="C91" s="54" t="s">
        <v>153</v>
      </c>
      <c r="D91" s="55">
        <v>8</v>
      </c>
      <c r="E91" s="56">
        <v>2.1516944593869998E-3</v>
      </c>
    </row>
    <row r="92" spans="1:5" ht="14.5" customHeight="1">
      <c r="A92" s="40"/>
      <c r="B92" s="88"/>
      <c r="C92" s="54" t="s">
        <v>154</v>
      </c>
      <c r="D92" s="55">
        <v>31</v>
      </c>
      <c r="E92" s="56">
        <v>8.3378160301240001E-3</v>
      </c>
    </row>
    <row r="93" spans="1:5" ht="14.5" customHeight="1">
      <c r="A93" s="40"/>
      <c r="B93" s="88"/>
      <c r="C93" s="54" t="s">
        <v>156</v>
      </c>
      <c r="D93" s="55">
        <v>1</v>
      </c>
      <c r="E93" s="56">
        <v>2.68961807423E-4</v>
      </c>
    </row>
    <row r="94" spans="1:5" ht="14.5" customHeight="1">
      <c r="A94" s="40"/>
      <c r="B94" s="88"/>
      <c r="C94" s="54" t="s">
        <v>159</v>
      </c>
      <c r="D94" s="55">
        <v>1</v>
      </c>
      <c r="E94" s="56">
        <v>2.68961807423E-4</v>
      </c>
    </row>
    <row r="95" spans="1:5" ht="14.5" customHeight="1">
      <c r="A95" s="40"/>
      <c r="B95" s="88"/>
      <c r="C95" s="54" t="s">
        <v>160</v>
      </c>
      <c r="D95" s="55">
        <v>5</v>
      </c>
      <c r="E95" s="56">
        <v>1.344809037117E-3</v>
      </c>
    </row>
    <row r="96" spans="1:5" ht="14.5" customHeight="1">
      <c r="A96" s="40"/>
      <c r="B96" s="89"/>
      <c r="C96" s="67" t="s">
        <v>308</v>
      </c>
      <c r="D96" s="66">
        <v>114</v>
      </c>
      <c r="E96" s="68">
        <v>3.0661646046260999E-2</v>
      </c>
    </row>
    <row r="97" spans="1:5" ht="14.5" customHeight="1">
      <c r="A97" s="40"/>
      <c r="B97" s="87" t="s">
        <v>63</v>
      </c>
      <c r="C97" s="54" t="s">
        <v>146</v>
      </c>
      <c r="D97" s="55">
        <v>2</v>
      </c>
      <c r="E97" s="56">
        <v>5.3792361484699997E-4</v>
      </c>
    </row>
    <row r="98" spans="1:5" ht="14.5" customHeight="1">
      <c r="A98" s="40"/>
      <c r="B98" s="88"/>
      <c r="C98" s="54" t="s">
        <v>147</v>
      </c>
      <c r="D98" s="55">
        <v>7</v>
      </c>
      <c r="E98" s="56">
        <v>1.8827326519630001E-3</v>
      </c>
    </row>
    <row r="99" spans="1:5" ht="14.5" customHeight="1">
      <c r="A99" s="40"/>
      <c r="B99" s="88"/>
      <c r="C99" s="54" t="s">
        <v>148</v>
      </c>
      <c r="D99" s="55">
        <v>1</v>
      </c>
      <c r="E99" s="56">
        <v>2.68961807423E-4</v>
      </c>
    </row>
    <row r="100" spans="1:5" ht="14.5" customHeight="1">
      <c r="A100" s="40"/>
      <c r="B100" s="88"/>
      <c r="C100" s="54" t="s">
        <v>149</v>
      </c>
      <c r="D100" s="55">
        <v>3</v>
      </c>
      <c r="E100" s="56">
        <v>8.0688542227000002E-4</v>
      </c>
    </row>
    <row r="101" spans="1:5" ht="14.5" customHeight="1">
      <c r="A101" s="40"/>
      <c r="B101" s="88"/>
      <c r="C101" s="54" t="s">
        <v>150</v>
      </c>
      <c r="D101" s="55">
        <v>1</v>
      </c>
      <c r="E101" s="56">
        <v>2.68961807423E-4</v>
      </c>
    </row>
    <row r="102" spans="1:5" ht="14.5" customHeight="1">
      <c r="A102" s="40"/>
      <c r="B102" s="88"/>
      <c r="C102" s="54" t="s">
        <v>151</v>
      </c>
      <c r="D102" s="55">
        <v>14</v>
      </c>
      <c r="E102" s="56">
        <v>3.7654653039269998E-3</v>
      </c>
    </row>
    <row r="103" spans="1:5" ht="14.5" customHeight="1">
      <c r="A103" s="40"/>
      <c r="B103" s="88"/>
      <c r="C103" s="54" t="s">
        <v>152</v>
      </c>
      <c r="D103" s="55">
        <v>1</v>
      </c>
      <c r="E103" s="56">
        <v>2.68961807423E-4</v>
      </c>
    </row>
    <row r="104" spans="1:5" ht="14.5" customHeight="1">
      <c r="A104" s="40"/>
      <c r="B104" s="88"/>
      <c r="C104" s="54" t="s">
        <v>153</v>
      </c>
      <c r="D104" s="55">
        <v>3</v>
      </c>
      <c r="E104" s="56">
        <v>8.0688542227000002E-4</v>
      </c>
    </row>
    <row r="105" spans="1:5" ht="14.5" customHeight="1">
      <c r="A105" s="40"/>
      <c r="B105" s="88"/>
      <c r="C105" s="54" t="s">
        <v>154</v>
      </c>
      <c r="D105" s="55">
        <v>5</v>
      </c>
      <c r="E105" s="56">
        <v>1.344809037117E-3</v>
      </c>
    </row>
    <row r="106" spans="1:5" ht="14.5" customHeight="1">
      <c r="A106" s="40"/>
      <c r="B106" s="88"/>
      <c r="C106" s="54" t="s">
        <v>156</v>
      </c>
      <c r="D106" s="55">
        <v>1</v>
      </c>
      <c r="E106" s="56">
        <v>2.68961807423E-4</v>
      </c>
    </row>
    <row r="107" spans="1:5" ht="14.5" customHeight="1">
      <c r="A107" s="40"/>
      <c r="B107" s="88"/>
      <c r="C107" s="54" t="s">
        <v>157</v>
      </c>
      <c r="D107" s="55">
        <v>1</v>
      </c>
      <c r="E107" s="56">
        <v>2.68961807423E-4</v>
      </c>
    </row>
    <row r="108" spans="1:5" ht="14.5" customHeight="1">
      <c r="A108" s="40"/>
      <c r="B108" s="88"/>
      <c r="C108" s="54" t="s">
        <v>159</v>
      </c>
      <c r="D108" s="55">
        <v>1</v>
      </c>
      <c r="E108" s="56">
        <v>2.68961807423E-4</v>
      </c>
    </row>
    <row r="109" spans="1:5" ht="14.5" customHeight="1">
      <c r="A109" s="40"/>
      <c r="B109" s="88"/>
      <c r="C109" s="54" t="s">
        <v>160</v>
      </c>
      <c r="D109" s="55">
        <v>3</v>
      </c>
      <c r="E109" s="56">
        <v>8.0688542227000002E-4</v>
      </c>
    </row>
    <row r="110" spans="1:5" ht="14.5" customHeight="1">
      <c r="A110" s="40"/>
      <c r="B110" s="89"/>
      <c r="C110" s="67" t="s">
        <v>308</v>
      </c>
      <c r="D110" s="66">
        <v>43</v>
      </c>
      <c r="E110" s="68">
        <v>1.1565357719204E-2</v>
      </c>
    </row>
    <row r="111" spans="1:5" ht="14.5" customHeight="1">
      <c r="A111" s="40"/>
      <c r="B111" s="87" t="s">
        <v>76</v>
      </c>
      <c r="C111" s="54" t="s">
        <v>145</v>
      </c>
      <c r="D111" s="55">
        <v>1</v>
      </c>
      <c r="E111" s="56">
        <v>2.68961807423E-4</v>
      </c>
    </row>
    <row r="112" spans="1:5" ht="14.5" customHeight="1">
      <c r="A112" s="40"/>
      <c r="B112" s="88"/>
      <c r="C112" s="54" t="s">
        <v>147</v>
      </c>
      <c r="D112" s="55">
        <v>3</v>
      </c>
      <c r="E112" s="56">
        <v>8.0688542227000002E-4</v>
      </c>
    </row>
    <row r="113" spans="1:5" ht="14.5" customHeight="1">
      <c r="A113" s="40"/>
      <c r="B113" s="88"/>
      <c r="C113" s="54" t="s">
        <v>149</v>
      </c>
      <c r="D113" s="55">
        <v>1</v>
      </c>
      <c r="E113" s="56">
        <v>2.68961807423E-4</v>
      </c>
    </row>
    <row r="114" spans="1:5" ht="14.5" customHeight="1">
      <c r="A114" s="40"/>
      <c r="B114" s="88"/>
      <c r="C114" s="54" t="s">
        <v>150</v>
      </c>
      <c r="D114" s="55">
        <v>3</v>
      </c>
      <c r="E114" s="56">
        <v>8.0688542227000002E-4</v>
      </c>
    </row>
    <row r="115" spans="1:5" ht="14.5" customHeight="1">
      <c r="A115" s="40"/>
      <c r="B115" s="88"/>
      <c r="C115" s="54" t="s">
        <v>151</v>
      </c>
      <c r="D115" s="55">
        <v>7</v>
      </c>
      <c r="E115" s="56">
        <v>1.8827326519630001E-3</v>
      </c>
    </row>
    <row r="116" spans="1:5" ht="14.5" customHeight="1">
      <c r="A116" s="40"/>
      <c r="B116" s="88"/>
      <c r="C116" s="54" t="s">
        <v>152</v>
      </c>
      <c r="D116" s="55">
        <v>3</v>
      </c>
      <c r="E116" s="56">
        <v>8.0688542227000002E-4</v>
      </c>
    </row>
    <row r="117" spans="1:5" ht="14.5" customHeight="1">
      <c r="A117" s="40"/>
      <c r="B117" s="88"/>
      <c r="C117" s="54" t="s">
        <v>153</v>
      </c>
      <c r="D117" s="55">
        <v>3</v>
      </c>
      <c r="E117" s="56">
        <v>8.0688542227000002E-4</v>
      </c>
    </row>
    <row r="118" spans="1:5" ht="14.5" customHeight="1">
      <c r="A118" s="40"/>
      <c r="B118" s="88"/>
      <c r="C118" s="54" t="s">
        <v>154</v>
      </c>
      <c r="D118" s="55">
        <v>9</v>
      </c>
      <c r="E118" s="56">
        <v>2.4206562668100001E-3</v>
      </c>
    </row>
    <row r="119" spans="1:5" ht="14.5" customHeight="1">
      <c r="A119" s="40"/>
      <c r="B119" s="88"/>
      <c r="C119" s="54" t="s">
        <v>160</v>
      </c>
      <c r="D119" s="55">
        <v>1</v>
      </c>
      <c r="E119" s="56">
        <v>2.68961807423E-4</v>
      </c>
    </row>
    <row r="120" spans="1:5" ht="14.5" customHeight="1">
      <c r="A120" s="40"/>
      <c r="B120" s="89"/>
      <c r="C120" s="67" t="s">
        <v>308</v>
      </c>
      <c r="D120" s="66">
        <v>31</v>
      </c>
      <c r="E120" s="68">
        <v>8.3378160301240001E-3</v>
      </c>
    </row>
    <row r="121" spans="1:5" ht="14.5" customHeight="1">
      <c r="A121" s="40"/>
      <c r="B121" s="87" t="s">
        <v>85</v>
      </c>
      <c r="C121" s="54" t="s">
        <v>146</v>
      </c>
      <c r="D121" s="55">
        <v>1</v>
      </c>
      <c r="E121" s="56">
        <v>2.68961807423E-4</v>
      </c>
    </row>
    <row r="122" spans="1:5" ht="14.5" customHeight="1">
      <c r="A122" s="40"/>
      <c r="B122" s="88"/>
      <c r="C122" s="54" t="s">
        <v>147</v>
      </c>
      <c r="D122" s="55">
        <v>1</v>
      </c>
      <c r="E122" s="56">
        <v>2.68961807423E-4</v>
      </c>
    </row>
    <row r="123" spans="1:5" ht="14.5" customHeight="1">
      <c r="A123" s="40"/>
      <c r="B123" s="88"/>
      <c r="C123" s="54" t="s">
        <v>150</v>
      </c>
      <c r="D123" s="55">
        <v>1</v>
      </c>
      <c r="E123" s="56">
        <v>2.68961807423E-4</v>
      </c>
    </row>
    <row r="124" spans="1:5" ht="14.5" customHeight="1">
      <c r="A124" s="40"/>
      <c r="B124" s="88"/>
      <c r="C124" s="54" t="s">
        <v>151</v>
      </c>
      <c r="D124" s="55">
        <v>1</v>
      </c>
      <c r="E124" s="56">
        <v>2.68961807423E-4</v>
      </c>
    </row>
    <row r="125" spans="1:5" ht="14.5" customHeight="1">
      <c r="A125" s="40"/>
      <c r="B125" s="88"/>
      <c r="C125" s="54" t="s">
        <v>153</v>
      </c>
      <c r="D125" s="55">
        <v>1</v>
      </c>
      <c r="E125" s="56">
        <v>2.68961807423E-4</v>
      </c>
    </row>
    <row r="126" spans="1:5" ht="14.5" customHeight="1">
      <c r="A126" s="40"/>
      <c r="B126" s="88"/>
      <c r="C126" s="54" t="s">
        <v>154</v>
      </c>
      <c r="D126" s="55">
        <v>1</v>
      </c>
      <c r="E126" s="56">
        <v>2.68961807423E-4</v>
      </c>
    </row>
    <row r="127" spans="1:5" ht="14.5" customHeight="1">
      <c r="A127" s="40"/>
      <c r="B127" s="88"/>
      <c r="C127" s="54" t="s">
        <v>161</v>
      </c>
      <c r="D127" s="55">
        <v>1</v>
      </c>
      <c r="E127" s="56">
        <v>2.68961807423E-4</v>
      </c>
    </row>
    <row r="128" spans="1:5" ht="14.5" customHeight="1">
      <c r="A128" s="40"/>
      <c r="B128" s="89"/>
      <c r="C128" s="67" t="s">
        <v>308</v>
      </c>
      <c r="D128" s="66">
        <v>7</v>
      </c>
      <c r="E128" s="68">
        <v>1.8827326519630001E-3</v>
      </c>
    </row>
    <row r="129" spans="1:5" ht="14.5" customHeight="1">
      <c r="A129" s="40"/>
      <c r="B129" s="87" t="s">
        <v>81</v>
      </c>
      <c r="C129" s="54" t="s">
        <v>140</v>
      </c>
      <c r="D129" s="55">
        <v>1</v>
      </c>
      <c r="E129" s="56">
        <v>2.68961807423E-4</v>
      </c>
    </row>
    <row r="130" spans="1:5" ht="14.5" customHeight="1">
      <c r="A130" s="40"/>
      <c r="B130" s="88"/>
      <c r="C130" s="54" t="s">
        <v>146</v>
      </c>
      <c r="D130" s="55">
        <v>1</v>
      </c>
      <c r="E130" s="56">
        <v>2.68961807423E-4</v>
      </c>
    </row>
    <row r="131" spans="1:5" ht="14.5" customHeight="1">
      <c r="A131" s="40"/>
      <c r="B131" s="88"/>
      <c r="C131" s="54" t="s">
        <v>153</v>
      </c>
      <c r="D131" s="55">
        <v>1</v>
      </c>
      <c r="E131" s="56">
        <v>2.68961807423E-4</v>
      </c>
    </row>
    <row r="132" spans="1:5" ht="14.5" customHeight="1">
      <c r="A132" s="40"/>
      <c r="B132" s="88"/>
      <c r="C132" s="54" t="s">
        <v>154</v>
      </c>
      <c r="D132" s="55">
        <v>2</v>
      </c>
      <c r="E132" s="56">
        <v>5.3792361484699997E-4</v>
      </c>
    </row>
    <row r="133" spans="1:5" ht="14.5" customHeight="1">
      <c r="A133" s="40"/>
      <c r="B133" s="89"/>
      <c r="C133" s="67" t="s">
        <v>308</v>
      </c>
      <c r="D133" s="66">
        <v>5</v>
      </c>
      <c r="E133" s="68">
        <v>1.344809037117E-3</v>
      </c>
    </row>
    <row r="134" spans="1:5" ht="14.5" customHeight="1">
      <c r="A134" s="40"/>
      <c r="B134" s="87" t="s">
        <v>47</v>
      </c>
      <c r="C134" s="54" t="s">
        <v>140</v>
      </c>
      <c r="D134" s="55">
        <v>15</v>
      </c>
      <c r="E134" s="56">
        <v>4.0344271113499997E-3</v>
      </c>
    </row>
    <row r="135" spans="1:5" ht="14.5" customHeight="1">
      <c r="A135" s="40"/>
      <c r="B135" s="88"/>
      <c r="C135" s="54" t="s">
        <v>141</v>
      </c>
      <c r="D135" s="55">
        <v>5</v>
      </c>
      <c r="E135" s="56">
        <v>1.344809037117E-3</v>
      </c>
    </row>
    <row r="136" spans="1:5" ht="14.5" customHeight="1">
      <c r="A136" s="40"/>
      <c r="B136" s="88"/>
      <c r="C136" s="54" t="s">
        <v>142</v>
      </c>
      <c r="D136" s="55">
        <v>6</v>
      </c>
      <c r="E136" s="56">
        <v>1.61377084454E-3</v>
      </c>
    </row>
    <row r="137" spans="1:5" ht="14.5" customHeight="1">
      <c r="A137" s="40"/>
      <c r="B137" s="88"/>
      <c r="C137" s="54" t="s">
        <v>143</v>
      </c>
      <c r="D137" s="55">
        <v>17</v>
      </c>
      <c r="E137" s="56">
        <v>4.5723507261970003E-3</v>
      </c>
    </row>
    <row r="138" spans="1:5" ht="14.5" customHeight="1">
      <c r="A138" s="40"/>
      <c r="B138" s="88"/>
      <c r="C138" s="54" t="s">
        <v>144</v>
      </c>
      <c r="D138" s="55">
        <v>14</v>
      </c>
      <c r="E138" s="56">
        <v>3.7654653039269998E-3</v>
      </c>
    </row>
    <row r="139" spans="1:5" ht="14.5" customHeight="1">
      <c r="A139" s="40"/>
      <c r="B139" s="88"/>
      <c r="C139" s="54" t="s">
        <v>145</v>
      </c>
      <c r="D139" s="55">
        <v>17</v>
      </c>
      <c r="E139" s="56">
        <v>4.5723507261970003E-3</v>
      </c>
    </row>
    <row r="140" spans="1:5" ht="14.5" customHeight="1">
      <c r="A140" s="40"/>
      <c r="B140" s="88"/>
      <c r="C140" s="54" t="s">
        <v>146</v>
      </c>
      <c r="D140" s="55">
        <v>58</v>
      </c>
      <c r="E140" s="56">
        <v>1.5599784830554001E-2</v>
      </c>
    </row>
    <row r="141" spans="1:5" ht="14.5" customHeight="1">
      <c r="A141" s="40"/>
      <c r="B141" s="88"/>
      <c r="C141" s="54" t="s">
        <v>147</v>
      </c>
      <c r="D141" s="55">
        <v>59</v>
      </c>
      <c r="E141" s="56">
        <v>1.5868746637977001E-2</v>
      </c>
    </row>
    <row r="142" spans="1:5" ht="14.5" customHeight="1">
      <c r="A142" s="40"/>
      <c r="B142" s="88"/>
      <c r="C142" s="54" t="s">
        <v>148</v>
      </c>
      <c r="D142" s="55">
        <v>4</v>
      </c>
      <c r="E142" s="56">
        <v>1.0758472296930001E-3</v>
      </c>
    </row>
    <row r="143" spans="1:5" ht="14.5" customHeight="1">
      <c r="A143" s="40"/>
      <c r="B143" s="88"/>
      <c r="C143" s="54" t="s">
        <v>149</v>
      </c>
      <c r="D143" s="55">
        <v>16</v>
      </c>
      <c r="E143" s="56">
        <v>4.3033889187739996E-3</v>
      </c>
    </row>
    <row r="144" spans="1:5" ht="14.5" customHeight="1">
      <c r="A144" s="40"/>
      <c r="B144" s="88"/>
      <c r="C144" s="54" t="s">
        <v>150</v>
      </c>
      <c r="D144" s="55">
        <v>34</v>
      </c>
      <c r="E144" s="56">
        <v>9.1447014523940006E-3</v>
      </c>
    </row>
    <row r="145" spans="1:5" ht="14.5" customHeight="1">
      <c r="A145" s="40"/>
      <c r="B145" s="88"/>
      <c r="C145" s="54" t="s">
        <v>151</v>
      </c>
      <c r="D145" s="55">
        <v>142</v>
      </c>
      <c r="E145" s="56">
        <v>3.8192576654114997E-2</v>
      </c>
    </row>
    <row r="146" spans="1:5" ht="14.5" customHeight="1">
      <c r="A146" s="40"/>
      <c r="B146" s="88"/>
      <c r="C146" s="54" t="s">
        <v>152</v>
      </c>
      <c r="D146" s="55">
        <v>12</v>
      </c>
      <c r="E146" s="56">
        <v>3.2275416890800001E-3</v>
      </c>
    </row>
    <row r="147" spans="1:5" ht="14.5" customHeight="1">
      <c r="A147" s="40"/>
      <c r="B147" s="88"/>
      <c r="C147" s="54" t="s">
        <v>153</v>
      </c>
      <c r="D147" s="55">
        <v>44</v>
      </c>
      <c r="E147" s="56">
        <v>1.1834319526627E-2</v>
      </c>
    </row>
    <row r="148" spans="1:5" ht="14.5" customHeight="1">
      <c r="A148" s="40"/>
      <c r="B148" s="88"/>
      <c r="C148" s="54" t="s">
        <v>154</v>
      </c>
      <c r="D148" s="55">
        <v>102</v>
      </c>
      <c r="E148" s="56">
        <v>2.7434104357181001E-2</v>
      </c>
    </row>
    <row r="149" spans="1:5" ht="14.5" customHeight="1">
      <c r="A149" s="40"/>
      <c r="B149" s="88"/>
      <c r="C149" s="54" t="s">
        <v>155</v>
      </c>
      <c r="D149" s="55">
        <v>2</v>
      </c>
      <c r="E149" s="56">
        <v>5.3792361484699997E-4</v>
      </c>
    </row>
    <row r="150" spans="1:5" ht="14.5" customHeight="1">
      <c r="A150" s="40"/>
      <c r="B150" s="88"/>
      <c r="C150" s="54" t="s">
        <v>156</v>
      </c>
      <c r="D150" s="55">
        <v>5</v>
      </c>
      <c r="E150" s="56">
        <v>1.344809037117E-3</v>
      </c>
    </row>
    <row r="151" spans="1:5" ht="14.5" customHeight="1">
      <c r="A151" s="40"/>
      <c r="B151" s="88"/>
      <c r="C151" s="54" t="s">
        <v>159</v>
      </c>
      <c r="D151" s="55">
        <v>11</v>
      </c>
      <c r="E151" s="56">
        <v>2.9585798816569998E-3</v>
      </c>
    </row>
    <row r="152" spans="1:5" ht="14.5" customHeight="1">
      <c r="A152" s="40"/>
      <c r="B152" s="88"/>
      <c r="C152" s="54" t="s">
        <v>160</v>
      </c>
      <c r="D152" s="55">
        <v>15</v>
      </c>
      <c r="E152" s="56">
        <v>4.0344271113499997E-3</v>
      </c>
    </row>
    <row r="153" spans="1:5" ht="14.5" customHeight="1">
      <c r="A153" s="40"/>
      <c r="B153" s="88"/>
      <c r="C153" s="54" t="s">
        <v>180</v>
      </c>
      <c r="D153" s="55">
        <v>1</v>
      </c>
      <c r="E153" s="56">
        <v>2.68961807423E-4</v>
      </c>
    </row>
    <row r="154" spans="1:5" ht="14.5" customHeight="1">
      <c r="A154" s="40"/>
      <c r="B154" s="88"/>
      <c r="C154" s="54" t="s">
        <v>161</v>
      </c>
      <c r="D154" s="55">
        <v>1</v>
      </c>
      <c r="E154" s="56">
        <v>2.68961807423E-4</v>
      </c>
    </row>
    <row r="155" spans="1:5" ht="14.5" customHeight="1">
      <c r="A155" s="40"/>
      <c r="B155" s="89"/>
      <c r="C155" s="67" t="s">
        <v>308</v>
      </c>
      <c r="D155" s="66">
        <v>580</v>
      </c>
      <c r="E155" s="68">
        <v>0.155997848305541</v>
      </c>
    </row>
    <row r="156" spans="1:5" ht="14.5" customHeight="1">
      <c r="A156" s="40"/>
      <c r="B156" s="87" t="s">
        <v>56</v>
      </c>
      <c r="C156" s="54" t="s">
        <v>142</v>
      </c>
      <c r="D156" s="55">
        <v>1</v>
      </c>
      <c r="E156" s="56">
        <v>2.68961807423E-4</v>
      </c>
    </row>
    <row r="157" spans="1:5" ht="14.5" customHeight="1">
      <c r="A157" s="40"/>
      <c r="B157" s="88"/>
      <c r="C157" s="54" t="s">
        <v>145</v>
      </c>
      <c r="D157" s="55">
        <v>3</v>
      </c>
      <c r="E157" s="56">
        <v>8.0688542227000002E-4</v>
      </c>
    </row>
    <row r="158" spans="1:5" ht="14.5" customHeight="1">
      <c r="A158" s="40"/>
      <c r="B158" s="88"/>
      <c r="C158" s="54" t="s">
        <v>146</v>
      </c>
      <c r="D158" s="55">
        <v>3</v>
      </c>
      <c r="E158" s="56">
        <v>8.0688542227000002E-4</v>
      </c>
    </row>
    <row r="159" spans="1:5" ht="14.5" customHeight="1">
      <c r="A159" s="40"/>
      <c r="B159" s="88"/>
      <c r="C159" s="54" t="s">
        <v>147</v>
      </c>
      <c r="D159" s="55">
        <v>10</v>
      </c>
      <c r="E159" s="56">
        <v>2.6896180742329999E-3</v>
      </c>
    </row>
    <row r="160" spans="1:5" ht="14.5" customHeight="1">
      <c r="A160" s="40"/>
      <c r="B160" s="88"/>
      <c r="C160" s="54" t="s">
        <v>148</v>
      </c>
      <c r="D160" s="55">
        <v>2</v>
      </c>
      <c r="E160" s="56">
        <v>5.3792361484699997E-4</v>
      </c>
    </row>
    <row r="161" spans="1:5" ht="14.5" customHeight="1">
      <c r="A161" s="40"/>
      <c r="B161" s="88"/>
      <c r="C161" s="54" t="s">
        <v>149</v>
      </c>
      <c r="D161" s="55">
        <v>1</v>
      </c>
      <c r="E161" s="56">
        <v>2.68961807423E-4</v>
      </c>
    </row>
    <row r="162" spans="1:5" ht="14.5" customHeight="1">
      <c r="A162" s="40"/>
      <c r="B162" s="88"/>
      <c r="C162" s="54" t="s">
        <v>150</v>
      </c>
      <c r="D162" s="55">
        <v>2</v>
      </c>
      <c r="E162" s="56">
        <v>5.3792361484699997E-4</v>
      </c>
    </row>
    <row r="163" spans="1:5" ht="14.5" customHeight="1">
      <c r="A163" s="40"/>
      <c r="B163" s="88"/>
      <c r="C163" s="54" t="s">
        <v>151</v>
      </c>
      <c r="D163" s="55">
        <v>28</v>
      </c>
      <c r="E163" s="56">
        <v>7.5309306078539997E-3</v>
      </c>
    </row>
    <row r="164" spans="1:5" ht="14.5" customHeight="1">
      <c r="A164" s="40"/>
      <c r="B164" s="88"/>
      <c r="C164" s="54" t="s">
        <v>152</v>
      </c>
      <c r="D164" s="55">
        <v>2</v>
      </c>
      <c r="E164" s="56">
        <v>5.3792361484699997E-4</v>
      </c>
    </row>
    <row r="165" spans="1:5" ht="14.5" customHeight="1">
      <c r="A165" s="40"/>
      <c r="B165" s="88"/>
      <c r="C165" s="54" t="s">
        <v>153</v>
      </c>
      <c r="D165" s="55">
        <v>6</v>
      </c>
      <c r="E165" s="56">
        <v>1.61377084454E-3</v>
      </c>
    </row>
    <row r="166" spans="1:5" ht="14.5" customHeight="1">
      <c r="A166" s="40"/>
      <c r="B166" s="88"/>
      <c r="C166" s="54" t="s">
        <v>154</v>
      </c>
      <c r="D166" s="55">
        <v>25</v>
      </c>
      <c r="E166" s="56">
        <v>6.7240451855840001E-3</v>
      </c>
    </row>
    <row r="167" spans="1:5" ht="14.5" customHeight="1">
      <c r="A167" s="40"/>
      <c r="B167" s="88"/>
      <c r="C167" s="54" t="s">
        <v>155</v>
      </c>
      <c r="D167" s="55">
        <v>3</v>
      </c>
      <c r="E167" s="56">
        <v>8.0688542227000002E-4</v>
      </c>
    </row>
    <row r="168" spans="1:5" ht="14.5" customHeight="1">
      <c r="A168" s="40"/>
      <c r="B168" s="88"/>
      <c r="C168" s="54" t="s">
        <v>159</v>
      </c>
      <c r="D168" s="55">
        <v>2</v>
      </c>
      <c r="E168" s="56">
        <v>5.3792361484699997E-4</v>
      </c>
    </row>
    <row r="169" spans="1:5" ht="14.5" customHeight="1">
      <c r="A169" s="40"/>
      <c r="B169" s="88"/>
      <c r="C169" s="54" t="s">
        <v>160</v>
      </c>
      <c r="D169" s="55">
        <v>4</v>
      </c>
      <c r="E169" s="56">
        <v>1.0758472296930001E-3</v>
      </c>
    </row>
    <row r="170" spans="1:5" ht="14.5" customHeight="1">
      <c r="A170" s="40"/>
      <c r="B170" s="89"/>
      <c r="C170" s="67" t="s">
        <v>308</v>
      </c>
      <c r="D170" s="66">
        <v>92</v>
      </c>
      <c r="E170" s="68">
        <v>2.4744486282948001E-2</v>
      </c>
    </row>
    <row r="171" spans="1:5" ht="14.5" customHeight="1">
      <c r="A171" s="40"/>
      <c r="B171" s="87" t="s">
        <v>74</v>
      </c>
      <c r="C171" s="54" t="s">
        <v>146</v>
      </c>
      <c r="D171" s="55">
        <v>2</v>
      </c>
      <c r="E171" s="56">
        <v>5.3792361484699997E-4</v>
      </c>
    </row>
    <row r="172" spans="1:5" ht="14.5" customHeight="1">
      <c r="A172" s="40"/>
      <c r="B172" s="88"/>
      <c r="C172" s="54" t="s">
        <v>147</v>
      </c>
      <c r="D172" s="55">
        <v>4</v>
      </c>
      <c r="E172" s="56">
        <v>1.0758472296930001E-3</v>
      </c>
    </row>
    <row r="173" spans="1:5" ht="14.5" customHeight="1">
      <c r="A173" s="40"/>
      <c r="B173" s="88"/>
      <c r="C173" s="54" t="s">
        <v>149</v>
      </c>
      <c r="D173" s="55">
        <v>1</v>
      </c>
      <c r="E173" s="56">
        <v>2.68961807423E-4</v>
      </c>
    </row>
    <row r="174" spans="1:5" ht="14.5" customHeight="1">
      <c r="A174" s="40"/>
      <c r="B174" s="88"/>
      <c r="C174" s="54" t="s">
        <v>151</v>
      </c>
      <c r="D174" s="55">
        <v>8</v>
      </c>
      <c r="E174" s="56">
        <v>2.1516944593869998E-3</v>
      </c>
    </row>
    <row r="175" spans="1:5" ht="14.5" customHeight="1">
      <c r="A175" s="40"/>
      <c r="B175" s="88"/>
      <c r="C175" s="54" t="s">
        <v>153</v>
      </c>
      <c r="D175" s="55">
        <v>2</v>
      </c>
      <c r="E175" s="56">
        <v>5.3792361484699997E-4</v>
      </c>
    </row>
    <row r="176" spans="1:5" ht="14.5" customHeight="1">
      <c r="A176" s="40"/>
      <c r="B176" s="88"/>
      <c r="C176" s="54" t="s">
        <v>154</v>
      </c>
      <c r="D176" s="55">
        <v>4</v>
      </c>
      <c r="E176" s="56">
        <v>1.0758472296930001E-3</v>
      </c>
    </row>
    <row r="177" spans="1:5" ht="14.5" customHeight="1">
      <c r="A177" s="40"/>
      <c r="B177" s="89"/>
      <c r="C177" s="67" t="s">
        <v>308</v>
      </c>
      <c r="D177" s="66">
        <v>21</v>
      </c>
      <c r="E177" s="68">
        <v>5.6481979558899997E-3</v>
      </c>
    </row>
    <row r="178" spans="1:5" ht="14.5" customHeight="1">
      <c r="A178" s="40"/>
      <c r="B178" s="87" t="s">
        <v>64</v>
      </c>
      <c r="C178" s="54" t="s">
        <v>141</v>
      </c>
      <c r="D178" s="55">
        <v>1</v>
      </c>
      <c r="E178" s="56">
        <v>2.68961807423E-4</v>
      </c>
    </row>
    <row r="179" spans="1:5" ht="14.5" customHeight="1">
      <c r="A179" s="40"/>
      <c r="B179" s="88"/>
      <c r="C179" s="54" t="s">
        <v>142</v>
      </c>
      <c r="D179" s="55">
        <v>1</v>
      </c>
      <c r="E179" s="56">
        <v>2.68961807423E-4</v>
      </c>
    </row>
    <row r="180" spans="1:5" ht="14.5" customHeight="1">
      <c r="A180" s="40"/>
      <c r="B180" s="88"/>
      <c r="C180" s="54" t="s">
        <v>143</v>
      </c>
      <c r="D180" s="55">
        <v>1</v>
      </c>
      <c r="E180" s="56">
        <v>2.68961807423E-4</v>
      </c>
    </row>
    <row r="181" spans="1:5" ht="14.5" customHeight="1">
      <c r="A181" s="40"/>
      <c r="B181" s="88"/>
      <c r="C181" s="54" t="s">
        <v>144</v>
      </c>
      <c r="D181" s="55">
        <v>2</v>
      </c>
      <c r="E181" s="56">
        <v>5.3792361484699997E-4</v>
      </c>
    </row>
    <row r="182" spans="1:5" ht="14.5" customHeight="1">
      <c r="A182" s="40"/>
      <c r="B182" s="88"/>
      <c r="C182" s="54" t="s">
        <v>145</v>
      </c>
      <c r="D182" s="55">
        <v>3</v>
      </c>
      <c r="E182" s="56">
        <v>8.0688542227000002E-4</v>
      </c>
    </row>
    <row r="183" spans="1:5" ht="14.5" customHeight="1">
      <c r="A183" s="40"/>
      <c r="B183" s="88"/>
      <c r="C183" s="54" t="s">
        <v>146</v>
      </c>
      <c r="D183" s="55">
        <v>5</v>
      </c>
      <c r="E183" s="56">
        <v>1.344809037117E-3</v>
      </c>
    </row>
    <row r="184" spans="1:5" ht="14.5" customHeight="1">
      <c r="A184" s="40"/>
      <c r="B184" s="88"/>
      <c r="C184" s="54" t="s">
        <v>147</v>
      </c>
      <c r="D184" s="55">
        <v>3</v>
      </c>
      <c r="E184" s="56">
        <v>8.0688542227000002E-4</v>
      </c>
    </row>
    <row r="185" spans="1:5" ht="14.5" customHeight="1">
      <c r="A185" s="40"/>
      <c r="B185" s="88"/>
      <c r="C185" s="54" t="s">
        <v>149</v>
      </c>
      <c r="D185" s="55">
        <v>1</v>
      </c>
      <c r="E185" s="56">
        <v>2.68961807423E-4</v>
      </c>
    </row>
    <row r="186" spans="1:5" ht="14.5" customHeight="1">
      <c r="A186" s="40"/>
      <c r="B186" s="88"/>
      <c r="C186" s="54" t="s">
        <v>151</v>
      </c>
      <c r="D186" s="55">
        <v>14</v>
      </c>
      <c r="E186" s="56">
        <v>3.7654653039269998E-3</v>
      </c>
    </row>
    <row r="187" spans="1:5" ht="14.5" customHeight="1">
      <c r="A187" s="40"/>
      <c r="B187" s="88"/>
      <c r="C187" s="54" t="s">
        <v>153</v>
      </c>
      <c r="D187" s="55">
        <v>4</v>
      </c>
      <c r="E187" s="56">
        <v>1.0758472296930001E-3</v>
      </c>
    </row>
    <row r="188" spans="1:5" ht="14.5" customHeight="1">
      <c r="A188" s="40"/>
      <c r="B188" s="88"/>
      <c r="C188" s="54" t="s">
        <v>154</v>
      </c>
      <c r="D188" s="55">
        <v>6</v>
      </c>
      <c r="E188" s="56">
        <v>1.61377084454E-3</v>
      </c>
    </row>
    <row r="189" spans="1:5" ht="14.5" customHeight="1">
      <c r="A189" s="40"/>
      <c r="B189" s="88"/>
      <c r="C189" s="54" t="s">
        <v>155</v>
      </c>
      <c r="D189" s="55">
        <v>1</v>
      </c>
      <c r="E189" s="56">
        <v>2.68961807423E-4</v>
      </c>
    </row>
    <row r="190" spans="1:5" ht="14.5" customHeight="1">
      <c r="A190" s="40"/>
      <c r="B190" s="88"/>
      <c r="C190" s="54" t="s">
        <v>156</v>
      </c>
      <c r="D190" s="55">
        <v>1</v>
      </c>
      <c r="E190" s="56">
        <v>2.68961807423E-4</v>
      </c>
    </row>
    <row r="191" spans="1:5" ht="14.5" customHeight="1">
      <c r="A191" s="40"/>
      <c r="B191" s="88"/>
      <c r="C191" s="54" t="s">
        <v>159</v>
      </c>
      <c r="D191" s="55">
        <v>1</v>
      </c>
      <c r="E191" s="56">
        <v>2.68961807423E-4</v>
      </c>
    </row>
    <row r="192" spans="1:5" ht="14.5" customHeight="1">
      <c r="A192" s="40"/>
      <c r="B192" s="88"/>
      <c r="C192" s="54" t="s">
        <v>160</v>
      </c>
      <c r="D192" s="55">
        <v>4</v>
      </c>
      <c r="E192" s="56">
        <v>1.0758472296930001E-3</v>
      </c>
    </row>
    <row r="193" spans="1:5" ht="14.5" customHeight="1">
      <c r="A193" s="40"/>
      <c r="B193" s="89"/>
      <c r="C193" s="67" t="s">
        <v>308</v>
      </c>
      <c r="D193" s="66">
        <v>48</v>
      </c>
      <c r="E193" s="68">
        <v>1.2910166756321E-2</v>
      </c>
    </row>
    <row r="194" spans="1:5" ht="14.5" customHeight="1">
      <c r="A194" s="40"/>
      <c r="B194" s="87" t="s">
        <v>83</v>
      </c>
      <c r="C194" s="54" t="s">
        <v>146</v>
      </c>
      <c r="D194" s="55">
        <v>1</v>
      </c>
      <c r="E194" s="56">
        <v>2.68961807423E-4</v>
      </c>
    </row>
    <row r="195" spans="1:5" ht="14.5" customHeight="1">
      <c r="A195" s="40"/>
      <c r="B195" s="88"/>
      <c r="C195" s="54" t="s">
        <v>151</v>
      </c>
      <c r="D195" s="55">
        <v>3</v>
      </c>
      <c r="E195" s="56">
        <v>8.0688542227000002E-4</v>
      </c>
    </row>
    <row r="196" spans="1:5" ht="14.5" customHeight="1">
      <c r="A196" s="40"/>
      <c r="B196" s="88"/>
      <c r="C196" s="54" t="s">
        <v>154</v>
      </c>
      <c r="D196" s="55">
        <v>1</v>
      </c>
      <c r="E196" s="56">
        <v>2.68961807423E-4</v>
      </c>
    </row>
    <row r="197" spans="1:5" ht="14.5" customHeight="1">
      <c r="A197" s="40"/>
      <c r="B197" s="89"/>
      <c r="C197" s="67" t="s">
        <v>308</v>
      </c>
      <c r="D197" s="66">
        <v>5</v>
      </c>
      <c r="E197" s="68">
        <v>1.344809037117E-3</v>
      </c>
    </row>
    <row r="198" spans="1:5" ht="14.5" customHeight="1">
      <c r="A198" s="40"/>
      <c r="B198" s="87" t="s">
        <v>50</v>
      </c>
      <c r="C198" s="54" t="s">
        <v>142</v>
      </c>
      <c r="D198" s="55">
        <v>1</v>
      </c>
      <c r="E198" s="56">
        <v>2.68961807423E-4</v>
      </c>
    </row>
    <row r="199" spans="1:5" ht="14.5" customHeight="1">
      <c r="A199" s="40"/>
      <c r="B199" s="88"/>
      <c r="C199" s="54" t="s">
        <v>143</v>
      </c>
      <c r="D199" s="55">
        <v>3</v>
      </c>
      <c r="E199" s="56">
        <v>8.0688542227000002E-4</v>
      </c>
    </row>
    <row r="200" spans="1:5" ht="14.5" customHeight="1">
      <c r="A200" s="40"/>
      <c r="B200" s="88"/>
      <c r="C200" s="54" t="s">
        <v>144</v>
      </c>
      <c r="D200" s="55">
        <v>1</v>
      </c>
      <c r="E200" s="56">
        <v>2.68961807423E-4</v>
      </c>
    </row>
    <row r="201" spans="1:5" ht="14.5" customHeight="1">
      <c r="A201" s="40"/>
      <c r="B201" s="88"/>
      <c r="C201" s="54" t="s">
        <v>145</v>
      </c>
      <c r="D201" s="55">
        <v>2</v>
      </c>
      <c r="E201" s="56">
        <v>5.3792361484699997E-4</v>
      </c>
    </row>
    <row r="202" spans="1:5" ht="14.5" customHeight="1">
      <c r="A202" s="40"/>
      <c r="B202" s="88"/>
      <c r="C202" s="54" t="s">
        <v>146</v>
      </c>
      <c r="D202" s="55">
        <v>14</v>
      </c>
      <c r="E202" s="56">
        <v>3.7654653039269998E-3</v>
      </c>
    </row>
    <row r="203" spans="1:5" ht="14.5" customHeight="1">
      <c r="A203" s="40"/>
      <c r="B203" s="88"/>
      <c r="C203" s="54" t="s">
        <v>147</v>
      </c>
      <c r="D203" s="55">
        <v>16</v>
      </c>
      <c r="E203" s="56">
        <v>4.3033889187739996E-3</v>
      </c>
    </row>
    <row r="204" spans="1:5" ht="14.5" customHeight="1">
      <c r="A204" s="40"/>
      <c r="B204" s="88"/>
      <c r="C204" s="54" t="s">
        <v>148</v>
      </c>
      <c r="D204" s="55">
        <v>4</v>
      </c>
      <c r="E204" s="56">
        <v>1.0758472296930001E-3</v>
      </c>
    </row>
    <row r="205" spans="1:5" ht="14.5" customHeight="1">
      <c r="A205" s="40"/>
      <c r="B205" s="88"/>
      <c r="C205" s="54" t="s">
        <v>149</v>
      </c>
      <c r="D205" s="55">
        <v>7</v>
      </c>
      <c r="E205" s="56">
        <v>1.8827326519630001E-3</v>
      </c>
    </row>
    <row r="206" spans="1:5" ht="14.5" customHeight="1">
      <c r="A206" s="40"/>
      <c r="B206" s="88"/>
      <c r="C206" s="54" t="s">
        <v>150</v>
      </c>
      <c r="D206" s="55">
        <v>11</v>
      </c>
      <c r="E206" s="56">
        <v>2.9585798816569998E-3</v>
      </c>
    </row>
    <row r="207" spans="1:5" ht="14.5" customHeight="1">
      <c r="A207" s="40"/>
      <c r="B207" s="88"/>
      <c r="C207" s="54" t="s">
        <v>151</v>
      </c>
      <c r="D207" s="55">
        <v>65</v>
      </c>
      <c r="E207" s="56">
        <v>1.7482517482517002E-2</v>
      </c>
    </row>
    <row r="208" spans="1:5" ht="14.5" customHeight="1">
      <c r="A208" s="40"/>
      <c r="B208" s="88"/>
      <c r="C208" s="54" t="s">
        <v>152</v>
      </c>
      <c r="D208" s="55">
        <v>4</v>
      </c>
      <c r="E208" s="56">
        <v>1.0758472296930001E-3</v>
      </c>
    </row>
    <row r="209" spans="1:5" ht="14.5" customHeight="1">
      <c r="A209" s="40"/>
      <c r="B209" s="88"/>
      <c r="C209" s="54" t="s">
        <v>153</v>
      </c>
      <c r="D209" s="55">
        <v>15</v>
      </c>
      <c r="E209" s="56">
        <v>4.0344271113499997E-3</v>
      </c>
    </row>
    <row r="210" spans="1:5" ht="14.5" customHeight="1">
      <c r="A210" s="40"/>
      <c r="B210" s="88"/>
      <c r="C210" s="54" t="s">
        <v>154</v>
      </c>
      <c r="D210" s="55">
        <v>38</v>
      </c>
      <c r="E210" s="56">
        <v>1.0220548682086999E-2</v>
      </c>
    </row>
    <row r="211" spans="1:5" ht="14.5" customHeight="1">
      <c r="A211" s="40"/>
      <c r="B211" s="88"/>
      <c r="C211" s="54" t="s">
        <v>155</v>
      </c>
      <c r="D211" s="55">
        <v>1</v>
      </c>
      <c r="E211" s="56">
        <v>2.68961807423E-4</v>
      </c>
    </row>
    <row r="212" spans="1:5" ht="14.5" customHeight="1">
      <c r="A212" s="40"/>
      <c r="B212" s="88"/>
      <c r="C212" s="54" t="s">
        <v>158</v>
      </c>
      <c r="D212" s="55">
        <v>1</v>
      </c>
      <c r="E212" s="56">
        <v>2.68961807423E-4</v>
      </c>
    </row>
    <row r="213" spans="1:5" ht="14.5" customHeight="1">
      <c r="A213" s="40"/>
      <c r="B213" s="88"/>
      <c r="C213" s="54" t="s">
        <v>159</v>
      </c>
      <c r="D213" s="55">
        <v>2</v>
      </c>
      <c r="E213" s="56">
        <v>5.3792361484699997E-4</v>
      </c>
    </row>
    <row r="214" spans="1:5" ht="14.5" customHeight="1">
      <c r="A214" s="40"/>
      <c r="B214" s="88"/>
      <c r="C214" s="54" t="s">
        <v>160</v>
      </c>
      <c r="D214" s="55">
        <v>3</v>
      </c>
      <c r="E214" s="56">
        <v>8.0688542227000002E-4</v>
      </c>
    </row>
    <row r="215" spans="1:5" ht="14.5" customHeight="1">
      <c r="A215" s="40"/>
      <c r="B215" s="89"/>
      <c r="C215" s="67" t="s">
        <v>308</v>
      </c>
      <c r="D215" s="66">
        <v>188</v>
      </c>
      <c r="E215" s="68">
        <v>5.0564819795589001E-2</v>
      </c>
    </row>
    <row r="216" spans="1:5" ht="14.5" customHeight="1">
      <c r="A216" s="40"/>
      <c r="B216" s="87" t="s">
        <v>67</v>
      </c>
      <c r="C216" s="54" t="s">
        <v>146</v>
      </c>
      <c r="D216" s="55">
        <v>2</v>
      </c>
      <c r="E216" s="56">
        <v>5.3792361484699997E-4</v>
      </c>
    </row>
    <row r="217" spans="1:5" ht="14.5" customHeight="1">
      <c r="A217" s="40"/>
      <c r="B217" s="88"/>
      <c r="C217" s="54" t="s">
        <v>147</v>
      </c>
      <c r="D217" s="55">
        <v>7</v>
      </c>
      <c r="E217" s="56">
        <v>1.8827326519630001E-3</v>
      </c>
    </row>
    <row r="218" spans="1:5" ht="14.5" customHeight="1">
      <c r="A218" s="40"/>
      <c r="B218" s="88"/>
      <c r="C218" s="54" t="s">
        <v>149</v>
      </c>
      <c r="D218" s="55">
        <v>1</v>
      </c>
      <c r="E218" s="56">
        <v>2.68961807423E-4</v>
      </c>
    </row>
    <row r="219" spans="1:5" ht="14.5" customHeight="1">
      <c r="A219" s="40"/>
      <c r="B219" s="88"/>
      <c r="C219" s="54" t="s">
        <v>150</v>
      </c>
      <c r="D219" s="55">
        <v>1</v>
      </c>
      <c r="E219" s="56">
        <v>2.68961807423E-4</v>
      </c>
    </row>
    <row r="220" spans="1:5" ht="14.5" customHeight="1">
      <c r="A220" s="40"/>
      <c r="B220" s="88"/>
      <c r="C220" s="54" t="s">
        <v>151</v>
      </c>
      <c r="D220" s="55">
        <v>8</v>
      </c>
      <c r="E220" s="56">
        <v>2.1516944593869998E-3</v>
      </c>
    </row>
    <row r="221" spans="1:5" ht="14.5" customHeight="1">
      <c r="A221" s="40"/>
      <c r="B221" s="88"/>
      <c r="C221" s="54" t="s">
        <v>153</v>
      </c>
      <c r="D221" s="55">
        <v>3</v>
      </c>
      <c r="E221" s="56">
        <v>8.0688542227000002E-4</v>
      </c>
    </row>
    <row r="222" spans="1:5" ht="14.5" customHeight="1">
      <c r="A222" s="40"/>
      <c r="B222" s="88"/>
      <c r="C222" s="54" t="s">
        <v>154</v>
      </c>
      <c r="D222" s="55">
        <v>3</v>
      </c>
      <c r="E222" s="56">
        <v>8.0688542227000002E-4</v>
      </c>
    </row>
    <row r="223" spans="1:5" ht="14.5" customHeight="1">
      <c r="A223" s="40"/>
      <c r="B223" s="88"/>
      <c r="C223" s="54" t="s">
        <v>160</v>
      </c>
      <c r="D223" s="55">
        <v>1</v>
      </c>
      <c r="E223" s="56">
        <v>2.68961807423E-4</v>
      </c>
    </row>
    <row r="224" spans="1:5" ht="14.5" customHeight="1">
      <c r="A224" s="40"/>
      <c r="B224" s="89"/>
      <c r="C224" s="67" t="s">
        <v>308</v>
      </c>
      <c r="D224" s="66">
        <v>26</v>
      </c>
      <c r="E224" s="68">
        <v>6.9930069930069999E-3</v>
      </c>
    </row>
    <row r="225" spans="1:5" ht="14.5" customHeight="1">
      <c r="A225" s="40"/>
      <c r="B225" s="87" t="s">
        <v>46</v>
      </c>
      <c r="C225" s="54" t="s">
        <v>140</v>
      </c>
      <c r="D225" s="55">
        <v>19</v>
      </c>
      <c r="E225" s="56">
        <v>5.1102743410440001E-3</v>
      </c>
    </row>
    <row r="226" spans="1:5" ht="14.5" customHeight="1">
      <c r="A226" s="40"/>
      <c r="B226" s="88"/>
      <c r="C226" s="54" t="s">
        <v>251</v>
      </c>
      <c r="D226" s="55">
        <v>1</v>
      </c>
      <c r="E226" s="56">
        <v>2.68961807423E-4</v>
      </c>
    </row>
    <row r="227" spans="1:5" ht="14.5" customHeight="1">
      <c r="A227" s="40"/>
      <c r="B227" s="88"/>
      <c r="C227" s="54" t="s">
        <v>141</v>
      </c>
      <c r="D227" s="55">
        <v>4</v>
      </c>
      <c r="E227" s="56">
        <v>1.0758472296930001E-3</v>
      </c>
    </row>
    <row r="228" spans="1:5" ht="14.5" customHeight="1">
      <c r="A228" s="40"/>
      <c r="B228" s="88"/>
      <c r="C228" s="54" t="s">
        <v>142</v>
      </c>
      <c r="D228" s="55">
        <v>7</v>
      </c>
      <c r="E228" s="56">
        <v>1.8827326519630001E-3</v>
      </c>
    </row>
    <row r="229" spans="1:5" ht="14.5" customHeight="1">
      <c r="A229" s="40"/>
      <c r="B229" s="88"/>
      <c r="C229" s="54" t="s">
        <v>143</v>
      </c>
      <c r="D229" s="55">
        <v>10</v>
      </c>
      <c r="E229" s="56">
        <v>2.6896180742329999E-3</v>
      </c>
    </row>
    <row r="230" spans="1:5" ht="14.5" customHeight="1">
      <c r="A230" s="40"/>
      <c r="B230" s="88"/>
      <c r="C230" s="54" t="s">
        <v>144</v>
      </c>
      <c r="D230" s="55">
        <v>4</v>
      </c>
      <c r="E230" s="56">
        <v>1.0758472296930001E-3</v>
      </c>
    </row>
    <row r="231" spans="1:5" ht="14.5" customHeight="1">
      <c r="A231" s="40"/>
      <c r="B231" s="88"/>
      <c r="C231" s="54" t="s">
        <v>145</v>
      </c>
      <c r="D231" s="55">
        <v>12</v>
      </c>
      <c r="E231" s="56">
        <v>3.2275416890800001E-3</v>
      </c>
    </row>
    <row r="232" spans="1:5" ht="14.5" customHeight="1">
      <c r="A232" s="40"/>
      <c r="B232" s="88"/>
      <c r="C232" s="54" t="s">
        <v>146</v>
      </c>
      <c r="D232" s="55">
        <v>62</v>
      </c>
      <c r="E232" s="56">
        <v>1.6675632060247001E-2</v>
      </c>
    </row>
    <row r="233" spans="1:5" ht="14.5" customHeight="1">
      <c r="A233" s="40"/>
      <c r="B233" s="88"/>
      <c r="C233" s="54" t="s">
        <v>147</v>
      </c>
      <c r="D233" s="55">
        <v>124</v>
      </c>
      <c r="E233" s="56">
        <v>3.3351264120495001E-2</v>
      </c>
    </row>
    <row r="234" spans="1:5" ht="14.5" customHeight="1">
      <c r="A234" s="40"/>
      <c r="B234" s="88"/>
      <c r="C234" s="54" t="s">
        <v>148</v>
      </c>
      <c r="D234" s="55">
        <v>2</v>
      </c>
      <c r="E234" s="56">
        <v>5.3792361484699997E-4</v>
      </c>
    </row>
    <row r="235" spans="1:5" ht="14.5" customHeight="1">
      <c r="A235" s="40"/>
      <c r="B235" s="88"/>
      <c r="C235" s="54" t="s">
        <v>149</v>
      </c>
      <c r="D235" s="55">
        <v>16</v>
      </c>
      <c r="E235" s="56">
        <v>4.3033889187739996E-3</v>
      </c>
    </row>
    <row r="236" spans="1:5" ht="14.5" customHeight="1">
      <c r="A236" s="40"/>
      <c r="B236" s="88"/>
      <c r="C236" s="54" t="s">
        <v>150</v>
      </c>
      <c r="D236" s="55">
        <v>40</v>
      </c>
      <c r="E236" s="56">
        <v>1.0758472296934E-2</v>
      </c>
    </row>
    <row r="237" spans="1:5" ht="14.5" customHeight="1">
      <c r="A237" s="40"/>
      <c r="B237" s="88"/>
      <c r="C237" s="54" t="s">
        <v>151</v>
      </c>
      <c r="D237" s="55">
        <v>229</v>
      </c>
      <c r="E237" s="56">
        <v>6.1592253899945999E-2</v>
      </c>
    </row>
    <row r="238" spans="1:5" ht="14.5" customHeight="1">
      <c r="A238" s="40"/>
      <c r="B238" s="88"/>
      <c r="C238" s="54" t="s">
        <v>152</v>
      </c>
      <c r="D238" s="55">
        <v>11</v>
      </c>
      <c r="E238" s="56">
        <v>2.9585798816569998E-3</v>
      </c>
    </row>
    <row r="239" spans="1:5" ht="14.5" customHeight="1">
      <c r="A239" s="40"/>
      <c r="B239" s="88"/>
      <c r="C239" s="54" t="s">
        <v>153</v>
      </c>
      <c r="D239" s="55">
        <v>51</v>
      </c>
      <c r="E239" s="56">
        <v>1.3717052178591E-2</v>
      </c>
    </row>
    <row r="240" spans="1:5" ht="14.5" customHeight="1">
      <c r="A240" s="40"/>
      <c r="B240" s="88"/>
      <c r="C240" s="54" t="s">
        <v>154</v>
      </c>
      <c r="D240" s="55">
        <v>153</v>
      </c>
      <c r="E240" s="56">
        <v>4.1151156535771997E-2</v>
      </c>
    </row>
    <row r="241" spans="1:5" ht="14.5" customHeight="1">
      <c r="A241" s="40"/>
      <c r="B241" s="88"/>
      <c r="C241" s="54" t="s">
        <v>155</v>
      </c>
      <c r="D241" s="55">
        <v>2</v>
      </c>
      <c r="E241" s="56">
        <v>5.3792361484699997E-4</v>
      </c>
    </row>
    <row r="242" spans="1:5" ht="14.5" customHeight="1">
      <c r="A242" s="40"/>
      <c r="B242" s="88"/>
      <c r="C242" s="54" t="s">
        <v>156</v>
      </c>
      <c r="D242" s="55">
        <v>2</v>
      </c>
      <c r="E242" s="56">
        <v>5.3792361484699997E-4</v>
      </c>
    </row>
    <row r="243" spans="1:5" ht="14.5" customHeight="1">
      <c r="A243" s="40"/>
      <c r="B243" s="88"/>
      <c r="C243" s="54" t="s">
        <v>157</v>
      </c>
      <c r="D243" s="55">
        <v>3</v>
      </c>
      <c r="E243" s="56">
        <v>8.0688542227000002E-4</v>
      </c>
    </row>
    <row r="244" spans="1:5" ht="14.5" customHeight="1">
      <c r="A244" s="40"/>
      <c r="B244" s="88"/>
      <c r="C244" s="54" t="s">
        <v>159</v>
      </c>
      <c r="D244" s="55">
        <v>10</v>
      </c>
      <c r="E244" s="56">
        <v>2.6896180742329999E-3</v>
      </c>
    </row>
    <row r="245" spans="1:5" ht="14.5" customHeight="1">
      <c r="A245" s="40"/>
      <c r="B245" s="88"/>
      <c r="C245" s="54" t="s">
        <v>160</v>
      </c>
      <c r="D245" s="55">
        <v>38</v>
      </c>
      <c r="E245" s="56">
        <v>1.0220548682086999E-2</v>
      </c>
    </row>
    <row r="246" spans="1:5" ht="14.5" customHeight="1">
      <c r="A246" s="40"/>
      <c r="B246" s="88"/>
      <c r="C246" s="54" t="s">
        <v>161</v>
      </c>
      <c r="D246" s="55">
        <v>1</v>
      </c>
      <c r="E246" s="56">
        <v>2.68961807423E-4</v>
      </c>
    </row>
    <row r="247" spans="1:5" ht="14.5" customHeight="1">
      <c r="A247" s="40"/>
      <c r="B247" s="89"/>
      <c r="C247" s="67" t="s">
        <v>308</v>
      </c>
      <c r="D247" s="66">
        <v>801</v>
      </c>
      <c r="E247" s="68">
        <v>0.21543840774610001</v>
      </c>
    </row>
    <row r="248" spans="1:5" ht="14.5" customHeight="1">
      <c r="A248" s="40"/>
      <c r="B248" s="87" t="s">
        <v>77</v>
      </c>
      <c r="C248" s="54" t="s">
        <v>146</v>
      </c>
      <c r="D248" s="55">
        <v>1</v>
      </c>
      <c r="E248" s="56">
        <v>2.68961807423E-4</v>
      </c>
    </row>
    <row r="249" spans="1:5" ht="14.5" customHeight="1">
      <c r="A249" s="40"/>
      <c r="B249" s="88"/>
      <c r="C249" s="54" t="s">
        <v>147</v>
      </c>
      <c r="D249" s="55">
        <v>1</v>
      </c>
      <c r="E249" s="56">
        <v>2.68961807423E-4</v>
      </c>
    </row>
    <row r="250" spans="1:5" ht="14.5" customHeight="1">
      <c r="A250" s="40"/>
      <c r="B250" s="88"/>
      <c r="C250" s="54" t="s">
        <v>148</v>
      </c>
      <c r="D250" s="55">
        <v>1</v>
      </c>
      <c r="E250" s="56">
        <v>2.68961807423E-4</v>
      </c>
    </row>
    <row r="251" spans="1:5" ht="14.5" customHeight="1">
      <c r="A251" s="40"/>
      <c r="B251" s="88"/>
      <c r="C251" s="54" t="s">
        <v>149</v>
      </c>
      <c r="D251" s="55">
        <v>1</v>
      </c>
      <c r="E251" s="56">
        <v>2.68961807423E-4</v>
      </c>
    </row>
    <row r="252" spans="1:5" ht="14.5" customHeight="1">
      <c r="A252" s="40"/>
      <c r="B252" s="88"/>
      <c r="C252" s="54" t="s">
        <v>150</v>
      </c>
      <c r="D252" s="55">
        <v>2</v>
      </c>
      <c r="E252" s="56">
        <v>5.3792361484699997E-4</v>
      </c>
    </row>
    <row r="253" spans="1:5" ht="14.5" customHeight="1">
      <c r="A253" s="40"/>
      <c r="B253" s="88"/>
      <c r="C253" s="54" t="s">
        <v>151</v>
      </c>
      <c r="D253" s="55">
        <v>7</v>
      </c>
      <c r="E253" s="56">
        <v>1.8827326519630001E-3</v>
      </c>
    </row>
    <row r="254" spans="1:5" ht="14.5" customHeight="1">
      <c r="A254" s="40"/>
      <c r="B254" s="88"/>
      <c r="C254" s="54" t="s">
        <v>153</v>
      </c>
      <c r="D254" s="55">
        <v>2</v>
      </c>
      <c r="E254" s="56">
        <v>5.3792361484699997E-4</v>
      </c>
    </row>
    <row r="255" spans="1:5" ht="14.5" customHeight="1">
      <c r="A255" s="40"/>
      <c r="B255" s="88"/>
      <c r="C255" s="54" t="s">
        <v>154</v>
      </c>
      <c r="D255" s="55">
        <v>3</v>
      </c>
      <c r="E255" s="56">
        <v>8.0688542227000002E-4</v>
      </c>
    </row>
    <row r="256" spans="1:5" ht="14.5" customHeight="1">
      <c r="A256" s="40"/>
      <c r="B256" s="88"/>
      <c r="C256" s="54" t="s">
        <v>155</v>
      </c>
      <c r="D256" s="55">
        <v>1</v>
      </c>
      <c r="E256" s="56">
        <v>2.68961807423E-4</v>
      </c>
    </row>
    <row r="257" spans="1:5" ht="14.5" customHeight="1">
      <c r="A257" s="40"/>
      <c r="B257" s="88"/>
      <c r="C257" s="54" t="s">
        <v>157</v>
      </c>
      <c r="D257" s="55">
        <v>1</v>
      </c>
      <c r="E257" s="56">
        <v>2.68961807423E-4</v>
      </c>
    </row>
    <row r="258" spans="1:5" ht="14.5" customHeight="1">
      <c r="A258" s="40"/>
      <c r="B258" s="88"/>
      <c r="C258" s="54" t="s">
        <v>160</v>
      </c>
      <c r="D258" s="55">
        <v>4</v>
      </c>
      <c r="E258" s="56">
        <v>1.0758472296930001E-3</v>
      </c>
    </row>
    <row r="259" spans="1:5" ht="14.5" customHeight="1">
      <c r="A259" s="40"/>
      <c r="B259" s="89"/>
      <c r="C259" s="67" t="s">
        <v>308</v>
      </c>
      <c r="D259" s="66">
        <v>24</v>
      </c>
      <c r="E259" s="68">
        <v>6.4550833781600002E-3</v>
      </c>
    </row>
    <row r="260" spans="1:5" ht="14.5" customHeight="1">
      <c r="A260" s="40"/>
      <c r="B260" s="87" t="s">
        <v>70</v>
      </c>
      <c r="C260" s="54" t="s">
        <v>142</v>
      </c>
      <c r="D260" s="55">
        <v>2</v>
      </c>
      <c r="E260" s="56">
        <v>5.3792361484699997E-4</v>
      </c>
    </row>
    <row r="261" spans="1:5" ht="14.5" customHeight="1">
      <c r="A261" s="40"/>
      <c r="B261" s="88"/>
      <c r="C261" s="54" t="s">
        <v>145</v>
      </c>
      <c r="D261" s="55">
        <v>1</v>
      </c>
      <c r="E261" s="56">
        <v>2.68961807423E-4</v>
      </c>
    </row>
    <row r="262" spans="1:5" ht="14.5" customHeight="1">
      <c r="A262" s="40"/>
      <c r="B262" s="88"/>
      <c r="C262" s="54" t="s">
        <v>146</v>
      </c>
      <c r="D262" s="55">
        <v>3</v>
      </c>
      <c r="E262" s="56">
        <v>8.0688542227000002E-4</v>
      </c>
    </row>
    <row r="263" spans="1:5" ht="14.5" customHeight="1">
      <c r="A263" s="40"/>
      <c r="B263" s="88"/>
      <c r="C263" s="54" t="s">
        <v>147</v>
      </c>
      <c r="D263" s="55">
        <v>1</v>
      </c>
      <c r="E263" s="56">
        <v>2.68961807423E-4</v>
      </c>
    </row>
    <row r="264" spans="1:5" ht="14.5" customHeight="1">
      <c r="A264" s="40"/>
      <c r="B264" s="88"/>
      <c r="C264" s="54" t="s">
        <v>150</v>
      </c>
      <c r="D264" s="55">
        <v>2</v>
      </c>
      <c r="E264" s="56">
        <v>5.3792361484699997E-4</v>
      </c>
    </row>
    <row r="265" spans="1:5" ht="14.5" customHeight="1">
      <c r="A265" s="40"/>
      <c r="B265" s="88"/>
      <c r="C265" s="54" t="s">
        <v>151</v>
      </c>
      <c r="D265" s="55">
        <v>5</v>
      </c>
      <c r="E265" s="56">
        <v>1.344809037117E-3</v>
      </c>
    </row>
    <row r="266" spans="1:5" ht="14.5" customHeight="1">
      <c r="A266" s="40"/>
      <c r="B266" s="88"/>
      <c r="C266" s="54" t="s">
        <v>153</v>
      </c>
      <c r="D266" s="55">
        <v>3</v>
      </c>
      <c r="E266" s="56">
        <v>8.0688542227000002E-4</v>
      </c>
    </row>
    <row r="267" spans="1:5" ht="14.5" customHeight="1">
      <c r="A267" s="40"/>
      <c r="B267" s="88"/>
      <c r="C267" s="54" t="s">
        <v>154</v>
      </c>
      <c r="D267" s="55">
        <v>2</v>
      </c>
      <c r="E267" s="56">
        <v>5.3792361484699997E-4</v>
      </c>
    </row>
    <row r="268" spans="1:5" ht="14.5" customHeight="1">
      <c r="A268" s="40"/>
      <c r="B268" s="88"/>
      <c r="C268" s="54" t="s">
        <v>160</v>
      </c>
      <c r="D268" s="55">
        <v>1</v>
      </c>
      <c r="E268" s="56">
        <v>2.68961807423E-4</v>
      </c>
    </row>
    <row r="269" spans="1:5" ht="14.5" customHeight="1">
      <c r="A269" s="40"/>
      <c r="B269" s="89"/>
      <c r="C269" s="67" t="s">
        <v>308</v>
      </c>
      <c r="D269" s="66">
        <v>20</v>
      </c>
      <c r="E269" s="68">
        <v>5.3792361484669999E-3</v>
      </c>
    </row>
    <row r="270" spans="1:5" ht="14.5" customHeight="1">
      <c r="A270" s="40"/>
      <c r="B270" s="87" t="s">
        <v>82</v>
      </c>
      <c r="C270" s="54" t="s">
        <v>146</v>
      </c>
      <c r="D270" s="55">
        <v>1</v>
      </c>
      <c r="E270" s="56">
        <v>2.68961807423E-4</v>
      </c>
    </row>
    <row r="271" spans="1:5" ht="14.5" customHeight="1">
      <c r="A271" s="40"/>
      <c r="B271" s="88"/>
      <c r="C271" s="54" t="s">
        <v>147</v>
      </c>
      <c r="D271" s="55">
        <v>3</v>
      </c>
      <c r="E271" s="56">
        <v>8.0688542227000002E-4</v>
      </c>
    </row>
    <row r="272" spans="1:5" ht="14.5" customHeight="1">
      <c r="A272" s="40"/>
      <c r="B272" s="88"/>
      <c r="C272" s="54" t="s">
        <v>151</v>
      </c>
      <c r="D272" s="55">
        <v>2</v>
      </c>
      <c r="E272" s="56">
        <v>5.3792361484699997E-4</v>
      </c>
    </row>
    <row r="273" spans="1:5" ht="14.5" customHeight="1">
      <c r="A273" s="40"/>
      <c r="B273" s="88"/>
      <c r="C273" s="54" t="s">
        <v>153</v>
      </c>
      <c r="D273" s="55">
        <v>1</v>
      </c>
      <c r="E273" s="56">
        <v>2.68961807423E-4</v>
      </c>
    </row>
    <row r="274" spans="1:5" ht="14.5" customHeight="1">
      <c r="A274" s="40"/>
      <c r="B274" s="88"/>
      <c r="C274" s="54" t="s">
        <v>154</v>
      </c>
      <c r="D274" s="55">
        <v>1</v>
      </c>
      <c r="E274" s="56">
        <v>2.68961807423E-4</v>
      </c>
    </row>
    <row r="275" spans="1:5" ht="14.5" customHeight="1">
      <c r="A275" s="40"/>
      <c r="B275" s="88"/>
      <c r="C275" s="54" t="s">
        <v>155</v>
      </c>
      <c r="D275" s="55">
        <v>1</v>
      </c>
      <c r="E275" s="56">
        <v>2.68961807423E-4</v>
      </c>
    </row>
    <row r="276" spans="1:5" ht="14.5" customHeight="1">
      <c r="A276" s="40"/>
      <c r="B276" s="88"/>
      <c r="C276" s="54" t="s">
        <v>160</v>
      </c>
      <c r="D276" s="55">
        <v>2</v>
      </c>
      <c r="E276" s="56">
        <v>5.3792361484699997E-4</v>
      </c>
    </row>
    <row r="277" spans="1:5" ht="14.5" customHeight="1">
      <c r="A277" s="40"/>
      <c r="B277" s="89"/>
      <c r="C277" s="67" t="s">
        <v>308</v>
      </c>
      <c r="D277" s="66">
        <v>11</v>
      </c>
      <c r="E277" s="68">
        <v>2.9585798816569998E-3</v>
      </c>
    </row>
    <row r="278" spans="1:5" ht="14.5" customHeight="1">
      <c r="A278" s="40"/>
      <c r="B278" s="87" t="s">
        <v>92</v>
      </c>
      <c r="C278" s="54" t="s">
        <v>148</v>
      </c>
      <c r="D278" s="55">
        <v>2</v>
      </c>
      <c r="E278" s="56">
        <v>5.3792361484699997E-4</v>
      </c>
    </row>
    <row r="279" spans="1:5" ht="14.5" customHeight="1">
      <c r="A279" s="40"/>
      <c r="B279" s="88"/>
      <c r="C279" s="54" t="s">
        <v>151</v>
      </c>
      <c r="D279" s="55">
        <v>1</v>
      </c>
      <c r="E279" s="56">
        <v>2.68961807423E-4</v>
      </c>
    </row>
    <row r="280" spans="1:5" ht="14.5" customHeight="1">
      <c r="A280" s="40"/>
      <c r="B280" s="89"/>
      <c r="C280" s="67" t="s">
        <v>308</v>
      </c>
      <c r="D280" s="66">
        <v>3</v>
      </c>
      <c r="E280" s="68">
        <v>8.0688542227000002E-4</v>
      </c>
    </row>
    <row r="281" spans="1:5" ht="14.5" customHeight="1">
      <c r="A281" s="40"/>
      <c r="B281" s="87" t="s">
        <v>87</v>
      </c>
      <c r="C281" s="54" t="s">
        <v>140</v>
      </c>
      <c r="D281" s="55">
        <v>1</v>
      </c>
      <c r="E281" s="56">
        <v>2.68961807423E-4</v>
      </c>
    </row>
    <row r="282" spans="1:5" ht="14.5" customHeight="1">
      <c r="A282" s="40"/>
      <c r="B282" s="88"/>
      <c r="C282" s="54" t="s">
        <v>150</v>
      </c>
      <c r="D282" s="55">
        <v>1</v>
      </c>
      <c r="E282" s="56">
        <v>2.68961807423E-4</v>
      </c>
    </row>
    <row r="283" spans="1:5" ht="14.5" customHeight="1">
      <c r="A283" s="40"/>
      <c r="B283" s="88"/>
      <c r="C283" s="54" t="s">
        <v>151</v>
      </c>
      <c r="D283" s="55">
        <v>2</v>
      </c>
      <c r="E283" s="56">
        <v>5.3792361484699997E-4</v>
      </c>
    </row>
    <row r="284" spans="1:5" ht="14.5" customHeight="1">
      <c r="A284" s="40"/>
      <c r="B284" s="88"/>
      <c r="C284" s="54" t="s">
        <v>154</v>
      </c>
      <c r="D284" s="55">
        <v>5</v>
      </c>
      <c r="E284" s="56">
        <v>1.344809037117E-3</v>
      </c>
    </row>
    <row r="285" spans="1:5" ht="14.5" customHeight="1">
      <c r="A285" s="40"/>
      <c r="B285" s="88"/>
      <c r="C285" s="54" t="s">
        <v>160</v>
      </c>
      <c r="D285" s="55">
        <v>1</v>
      </c>
      <c r="E285" s="56">
        <v>2.68961807423E-4</v>
      </c>
    </row>
    <row r="286" spans="1:5" ht="14.5" customHeight="1">
      <c r="A286" s="40"/>
      <c r="B286" s="89"/>
      <c r="C286" s="67" t="s">
        <v>308</v>
      </c>
      <c r="D286" s="66">
        <v>10</v>
      </c>
      <c r="E286" s="68">
        <v>2.6896180742329999E-3</v>
      </c>
    </row>
    <row r="287" spans="1:5" ht="14.5" customHeight="1">
      <c r="A287" s="40"/>
      <c r="B287" s="87" t="s">
        <v>86</v>
      </c>
      <c r="C287" s="54" t="s">
        <v>143</v>
      </c>
      <c r="D287" s="55">
        <v>1</v>
      </c>
      <c r="E287" s="56">
        <v>2.68961807423E-4</v>
      </c>
    </row>
    <row r="288" spans="1:5" ht="14.5" customHeight="1">
      <c r="A288" s="40"/>
      <c r="B288" s="88"/>
      <c r="C288" s="54" t="s">
        <v>146</v>
      </c>
      <c r="D288" s="55">
        <v>1</v>
      </c>
      <c r="E288" s="56">
        <v>2.68961807423E-4</v>
      </c>
    </row>
    <row r="289" spans="1:5" ht="14.5" customHeight="1">
      <c r="A289" s="40"/>
      <c r="B289" s="88"/>
      <c r="C289" s="54" t="s">
        <v>147</v>
      </c>
      <c r="D289" s="55">
        <v>1</v>
      </c>
      <c r="E289" s="56">
        <v>2.68961807423E-4</v>
      </c>
    </row>
    <row r="290" spans="1:5" ht="14.5" customHeight="1">
      <c r="A290" s="40"/>
      <c r="B290" s="88"/>
      <c r="C290" s="54" t="s">
        <v>151</v>
      </c>
      <c r="D290" s="55">
        <v>4</v>
      </c>
      <c r="E290" s="56">
        <v>1.0758472296930001E-3</v>
      </c>
    </row>
    <row r="291" spans="1:5" ht="14.5" customHeight="1">
      <c r="A291" s="40"/>
      <c r="B291" s="89"/>
      <c r="C291" s="67" t="s">
        <v>308</v>
      </c>
      <c r="D291" s="66">
        <v>7</v>
      </c>
      <c r="E291" s="68">
        <v>1.8827326519630001E-3</v>
      </c>
    </row>
    <row r="292" spans="1:5" ht="14.5" customHeight="1">
      <c r="A292" s="40"/>
      <c r="B292" s="87" t="s">
        <v>72</v>
      </c>
      <c r="C292" s="54" t="s">
        <v>145</v>
      </c>
      <c r="D292" s="55">
        <v>4</v>
      </c>
      <c r="E292" s="56">
        <v>1.0758472296930001E-3</v>
      </c>
    </row>
    <row r="293" spans="1:5" ht="14.5" customHeight="1">
      <c r="A293" s="40"/>
      <c r="B293" s="88"/>
      <c r="C293" s="54" t="s">
        <v>147</v>
      </c>
      <c r="D293" s="55">
        <v>7</v>
      </c>
      <c r="E293" s="56">
        <v>1.8827326519630001E-3</v>
      </c>
    </row>
    <row r="294" spans="1:5" ht="14.5" customHeight="1">
      <c r="A294" s="40"/>
      <c r="B294" s="88"/>
      <c r="C294" s="54" t="s">
        <v>149</v>
      </c>
      <c r="D294" s="55">
        <v>2</v>
      </c>
      <c r="E294" s="56">
        <v>5.3792361484699997E-4</v>
      </c>
    </row>
    <row r="295" spans="1:5" ht="14.5" customHeight="1">
      <c r="A295" s="40"/>
      <c r="B295" s="88"/>
      <c r="C295" s="54" t="s">
        <v>150</v>
      </c>
      <c r="D295" s="55">
        <v>1</v>
      </c>
      <c r="E295" s="56">
        <v>2.68961807423E-4</v>
      </c>
    </row>
    <row r="296" spans="1:5" ht="14.5" customHeight="1">
      <c r="A296" s="40"/>
      <c r="B296" s="88"/>
      <c r="C296" s="54" t="s">
        <v>151</v>
      </c>
      <c r="D296" s="55">
        <v>7</v>
      </c>
      <c r="E296" s="56">
        <v>1.8827326519630001E-3</v>
      </c>
    </row>
    <row r="297" spans="1:5" ht="14.5" customHeight="1">
      <c r="A297" s="40"/>
      <c r="B297" s="88"/>
      <c r="C297" s="54" t="s">
        <v>153</v>
      </c>
      <c r="D297" s="55">
        <v>7</v>
      </c>
      <c r="E297" s="56">
        <v>1.8827326519630001E-3</v>
      </c>
    </row>
    <row r="298" spans="1:5" ht="14.5" customHeight="1">
      <c r="A298" s="40"/>
      <c r="B298" s="88"/>
      <c r="C298" s="54" t="s">
        <v>154</v>
      </c>
      <c r="D298" s="55">
        <v>5</v>
      </c>
      <c r="E298" s="56">
        <v>1.344809037117E-3</v>
      </c>
    </row>
    <row r="299" spans="1:5" ht="14.5" customHeight="1">
      <c r="A299" s="40"/>
      <c r="B299" s="88"/>
      <c r="C299" s="54" t="s">
        <v>155</v>
      </c>
      <c r="D299" s="55">
        <v>1</v>
      </c>
      <c r="E299" s="56">
        <v>2.68961807423E-4</v>
      </c>
    </row>
    <row r="300" spans="1:5" ht="14.5" customHeight="1">
      <c r="A300" s="40"/>
      <c r="B300" s="88"/>
      <c r="C300" s="54" t="s">
        <v>156</v>
      </c>
      <c r="D300" s="55">
        <v>1</v>
      </c>
      <c r="E300" s="56">
        <v>2.68961807423E-4</v>
      </c>
    </row>
    <row r="301" spans="1:5" ht="14.5" customHeight="1">
      <c r="A301" s="40"/>
      <c r="B301" s="88"/>
      <c r="C301" s="54" t="s">
        <v>159</v>
      </c>
      <c r="D301" s="55">
        <v>1</v>
      </c>
      <c r="E301" s="56">
        <v>2.68961807423E-4</v>
      </c>
    </row>
    <row r="302" spans="1:5" ht="14.5" customHeight="1">
      <c r="A302" s="40"/>
      <c r="B302" s="89"/>
      <c r="C302" s="67" t="s">
        <v>308</v>
      </c>
      <c r="D302" s="66">
        <v>36</v>
      </c>
      <c r="E302" s="68">
        <v>9.6826250672400003E-3</v>
      </c>
    </row>
    <row r="303" spans="1:5" ht="14.5" customHeight="1">
      <c r="A303" s="40"/>
      <c r="B303" s="87" t="s">
        <v>75</v>
      </c>
      <c r="C303" s="54" t="s">
        <v>140</v>
      </c>
      <c r="D303" s="55">
        <v>1</v>
      </c>
      <c r="E303" s="56">
        <v>2.68961807423E-4</v>
      </c>
    </row>
    <row r="304" spans="1:5" ht="14.5" customHeight="1">
      <c r="A304" s="40"/>
      <c r="B304" s="88"/>
      <c r="C304" s="54" t="s">
        <v>144</v>
      </c>
      <c r="D304" s="55">
        <v>2</v>
      </c>
      <c r="E304" s="56">
        <v>5.3792361484699997E-4</v>
      </c>
    </row>
    <row r="305" spans="1:5" ht="14.5" customHeight="1">
      <c r="A305" s="40"/>
      <c r="B305" s="88"/>
      <c r="C305" s="54" t="s">
        <v>147</v>
      </c>
      <c r="D305" s="55">
        <v>3</v>
      </c>
      <c r="E305" s="56">
        <v>8.0688542227000002E-4</v>
      </c>
    </row>
    <row r="306" spans="1:5" ht="14.5" customHeight="1">
      <c r="A306" s="40"/>
      <c r="B306" s="88"/>
      <c r="C306" s="54" t="s">
        <v>149</v>
      </c>
      <c r="D306" s="55">
        <v>1</v>
      </c>
      <c r="E306" s="56">
        <v>2.68961807423E-4</v>
      </c>
    </row>
    <row r="307" spans="1:5" ht="14.5" customHeight="1">
      <c r="A307" s="40"/>
      <c r="B307" s="88"/>
      <c r="C307" s="54" t="s">
        <v>150</v>
      </c>
      <c r="D307" s="55">
        <v>1</v>
      </c>
      <c r="E307" s="56">
        <v>2.68961807423E-4</v>
      </c>
    </row>
    <row r="308" spans="1:5" ht="14.5" customHeight="1">
      <c r="A308" s="40"/>
      <c r="B308" s="88"/>
      <c r="C308" s="54" t="s">
        <v>151</v>
      </c>
      <c r="D308" s="55">
        <v>8</v>
      </c>
      <c r="E308" s="56">
        <v>2.1516944593869998E-3</v>
      </c>
    </row>
    <row r="309" spans="1:5" ht="14.5" customHeight="1">
      <c r="A309" s="40"/>
      <c r="B309" s="88"/>
      <c r="C309" s="54" t="s">
        <v>152</v>
      </c>
      <c r="D309" s="55">
        <v>1</v>
      </c>
      <c r="E309" s="56">
        <v>2.68961807423E-4</v>
      </c>
    </row>
    <row r="310" spans="1:5" ht="14.5" customHeight="1">
      <c r="A310" s="40"/>
      <c r="B310" s="88"/>
      <c r="C310" s="54" t="s">
        <v>153</v>
      </c>
      <c r="D310" s="55">
        <v>2</v>
      </c>
      <c r="E310" s="56">
        <v>5.3792361484699997E-4</v>
      </c>
    </row>
    <row r="311" spans="1:5" ht="14.5" customHeight="1">
      <c r="A311" s="40"/>
      <c r="B311" s="88"/>
      <c r="C311" s="54" t="s">
        <v>154</v>
      </c>
      <c r="D311" s="55">
        <v>3</v>
      </c>
      <c r="E311" s="56">
        <v>8.0688542227000002E-4</v>
      </c>
    </row>
    <row r="312" spans="1:5" ht="14.5" customHeight="1">
      <c r="A312" s="40"/>
      <c r="B312" s="88"/>
      <c r="C312" s="54" t="s">
        <v>160</v>
      </c>
      <c r="D312" s="55">
        <v>1</v>
      </c>
      <c r="E312" s="56">
        <v>2.68961807423E-4</v>
      </c>
    </row>
    <row r="313" spans="1:5" ht="14.5" customHeight="1">
      <c r="A313" s="40"/>
      <c r="B313" s="88"/>
      <c r="C313" s="54" t="s">
        <v>161</v>
      </c>
      <c r="D313" s="55">
        <v>1</v>
      </c>
      <c r="E313" s="56">
        <v>2.68961807423E-4</v>
      </c>
    </row>
    <row r="314" spans="1:5" ht="14.5" customHeight="1">
      <c r="A314" s="40"/>
      <c r="B314" s="89"/>
      <c r="C314" s="67" t="s">
        <v>308</v>
      </c>
      <c r="D314" s="66">
        <v>24</v>
      </c>
      <c r="E314" s="68">
        <v>6.4550833781600002E-3</v>
      </c>
    </row>
    <row r="315" spans="1:5" ht="14.5" customHeight="1">
      <c r="A315" s="40"/>
      <c r="B315" s="87" t="s">
        <v>71</v>
      </c>
      <c r="C315" s="54" t="s">
        <v>140</v>
      </c>
      <c r="D315" s="55">
        <v>1</v>
      </c>
      <c r="E315" s="56">
        <v>2.68961807423E-4</v>
      </c>
    </row>
    <row r="316" spans="1:5" ht="14.5" customHeight="1">
      <c r="A316" s="40"/>
      <c r="B316" s="88"/>
      <c r="C316" s="54" t="s">
        <v>142</v>
      </c>
      <c r="D316" s="55">
        <v>1</v>
      </c>
      <c r="E316" s="56">
        <v>2.68961807423E-4</v>
      </c>
    </row>
    <row r="317" spans="1:5" ht="14.5" customHeight="1">
      <c r="A317" s="40"/>
      <c r="B317" s="88"/>
      <c r="C317" s="54" t="s">
        <v>143</v>
      </c>
      <c r="D317" s="55">
        <v>1</v>
      </c>
      <c r="E317" s="56">
        <v>2.68961807423E-4</v>
      </c>
    </row>
    <row r="318" spans="1:5" ht="14.5" customHeight="1">
      <c r="A318" s="40"/>
      <c r="B318" s="88"/>
      <c r="C318" s="54" t="s">
        <v>147</v>
      </c>
      <c r="D318" s="55">
        <v>2</v>
      </c>
      <c r="E318" s="56">
        <v>5.3792361484699997E-4</v>
      </c>
    </row>
    <row r="319" spans="1:5" ht="14.5" customHeight="1">
      <c r="A319" s="40"/>
      <c r="B319" s="88"/>
      <c r="C319" s="54" t="s">
        <v>149</v>
      </c>
      <c r="D319" s="55">
        <v>1</v>
      </c>
      <c r="E319" s="56">
        <v>2.68961807423E-4</v>
      </c>
    </row>
    <row r="320" spans="1:5" ht="14.5" customHeight="1">
      <c r="A320" s="40"/>
      <c r="B320" s="88"/>
      <c r="C320" s="54" t="s">
        <v>150</v>
      </c>
      <c r="D320" s="55">
        <v>1</v>
      </c>
      <c r="E320" s="56">
        <v>2.68961807423E-4</v>
      </c>
    </row>
    <row r="321" spans="1:5" ht="14.5" customHeight="1">
      <c r="A321" s="40"/>
      <c r="B321" s="88"/>
      <c r="C321" s="54" t="s">
        <v>151</v>
      </c>
      <c r="D321" s="55">
        <v>4</v>
      </c>
      <c r="E321" s="56">
        <v>1.0758472296930001E-3</v>
      </c>
    </row>
    <row r="322" spans="1:5" ht="14.5" customHeight="1">
      <c r="A322" s="40"/>
      <c r="B322" s="88"/>
      <c r="C322" s="54" t="s">
        <v>153</v>
      </c>
      <c r="D322" s="55">
        <v>1</v>
      </c>
      <c r="E322" s="56">
        <v>2.68961807423E-4</v>
      </c>
    </row>
    <row r="323" spans="1:5" ht="14.5" customHeight="1">
      <c r="A323" s="40"/>
      <c r="B323" s="88"/>
      <c r="C323" s="54" t="s">
        <v>160</v>
      </c>
      <c r="D323" s="55">
        <v>1</v>
      </c>
      <c r="E323" s="56">
        <v>2.68961807423E-4</v>
      </c>
    </row>
    <row r="324" spans="1:5" ht="14.5" customHeight="1">
      <c r="A324" s="40"/>
      <c r="B324" s="89"/>
      <c r="C324" s="67" t="s">
        <v>308</v>
      </c>
      <c r="D324" s="66">
        <v>13</v>
      </c>
      <c r="E324" s="68">
        <v>3.4965034965029999E-3</v>
      </c>
    </row>
    <row r="325" spans="1:5" ht="14.5" customHeight="1">
      <c r="A325" s="40"/>
      <c r="B325" s="87" t="s">
        <v>60</v>
      </c>
      <c r="C325" s="54" t="s">
        <v>142</v>
      </c>
      <c r="D325" s="55">
        <v>1</v>
      </c>
      <c r="E325" s="56">
        <v>2.68961807423E-4</v>
      </c>
    </row>
    <row r="326" spans="1:5" ht="14.5" customHeight="1">
      <c r="A326" s="40"/>
      <c r="B326" s="88"/>
      <c r="C326" s="54" t="s">
        <v>143</v>
      </c>
      <c r="D326" s="55">
        <v>2</v>
      </c>
      <c r="E326" s="56">
        <v>5.3792361484699997E-4</v>
      </c>
    </row>
    <row r="327" spans="1:5" ht="14.5" customHeight="1">
      <c r="A327" s="40"/>
      <c r="B327" s="88"/>
      <c r="C327" s="54" t="s">
        <v>144</v>
      </c>
      <c r="D327" s="55">
        <v>1</v>
      </c>
      <c r="E327" s="56">
        <v>2.68961807423E-4</v>
      </c>
    </row>
    <row r="328" spans="1:5" ht="14.5" customHeight="1">
      <c r="A328" s="40"/>
      <c r="B328" s="88"/>
      <c r="C328" s="54" t="s">
        <v>145</v>
      </c>
      <c r="D328" s="55">
        <v>1</v>
      </c>
      <c r="E328" s="56">
        <v>2.68961807423E-4</v>
      </c>
    </row>
    <row r="329" spans="1:5" ht="14.5" customHeight="1">
      <c r="A329" s="40"/>
      <c r="B329" s="88"/>
      <c r="C329" s="54" t="s">
        <v>146</v>
      </c>
      <c r="D329" s="55">
        <v>11</v>
      </c>
      <c r="E329" s="56">
        <v>2.9585798816569998E-3</v>
      </c>
    </row>
    <row r="330" spans="1:5" ht="14.5" customHeight="1">
      <c r="A330" s="40"/>
      <c r="B330" s="88"/>
      <c r="C330" s="54" t="s">
        <v>147</v>
      </c>
      <c r="D330" s="55">
        <v>5</v>
      </c>
      <c r="E330" s="56">
        <v>1.344809037117E-3</v>
      </c>
    </row>
    <row r="331" spans="1:5" ht="14.5" customHeight="1">
      <c r="A331" s="40"/>
      <c r="B331" s="88"/>
      <c r="C331" s="54" t="s">
        <v>149</v>
      </c>
      <c r="D331" s="55">
        <v>1</v>
      </c>
      <c r="E331" s="56">
        <v>2.68961807423E-4</v>
      </c>
    </row>
    <row r="332" spans="1:5" ht="14.5" customHeight="1">
      <c r="A332" s="40"/>
      <c r="B332" s="88"/>
      <c r="C332" s="54" t="s">
        <v>150</v>
      </c>
      <c r="D332" s="55">
        <v>1</v>
      </c>
      <c r="E332" s="56">
        <v>2.68961807423E-4</v>
      </c>
    </row>
    <row r="333" spans="1:5" ht="14.5" customHeight="1">
      <c r="A333" s="40"/>
      <c r="B333" s="88"/>
      <c r="C333" s="54" t="s">
        <v>151</v>
      </c>
      <c r="D333" s="55">
        <v>19</v>
      </c>
      <c r="E333" s="56">
        <v>5.1102743410440001E-3</v>
      </c>
    </row>
    <row r="334" spans="1:5" ht="14.5" customHeight="1">
      <c r="A334" s="40"/>
      <c r="B334" s="88"/>
      <c r="C334" s="54" t="s">
        <v>152</v>
      </c>
      <c r="D334" s="55">
        <v>1</v>
      </c>
      <c r="E334" s="56">
        <v>2.68961807423E-4</v>
      </c>
    </row>
    <row r="335" spans="1:5" ht="14.5" customHeight="1">
      <c r="A335" s="40"/>
      <c r="B335" s="88"/>
      <c r="C335" s="54" t="s">
        <v>153</v>
      </c>
      <c r="D335" s="55">
        <v>2</v>
      </c>
      <c r="E335" s="56">
        <v>5.3792361484699997E-4</v>
      </c>
    </row>
    <row r="336" spans="1:5" ht="14.5" customHeight="1">
      <c r="A336" s="40"/>
      <c r="B336" s="88"/>
      <c r="C336" s="54" t="s">
        <v>154</v>
      </c>
      <c r="D336" s="55">
        <v>9</v>
      </c>
      <c r="E336" s="56">
        <v>2.4206562668100001E-3</v>
      </c>
    </row>
    <row r="337" spans="1:5" ht="14.5" customHeight="1">
      <c r="A337" s="40"/>
      <c r="B337" s="88"/>
      <c r="C337" s="54" t="s">
        <v>160</v>
      </c>
      <c r="D337" s="55">
        <v>1</v>
      </c>
      <c r="E337" s="56">
        <v>2.68961807423E-4</v>
      </c>
    </row>
    <row r="338" spans="1:5" ht="14.5" customHeight="1">
      <c r="A338" s="40"/>
      <c r="B338" s="89"/>
      <c r="C338" s="67" t="s">
        <v>308</v>
      </c>
      <c r="D338" s="66">
        <v>55</v>
      </c>
      <c r="E338" s="68">
        <v>1.4792899408284E-2</v>
      </c>
    </row>
    <row r="339" spans="1:5" ht="14.5" customHeight="1">
      <c r="A339" s="40"/>
      <c r="B339" s="87" t="s">
        <v>57</v>
      </c>
      <c r="C339" s="54" t="s">
        <v>142</v>
      </c>
      <c r="D339" s="55">
        <v>3</v>
      </c>
      <c r="E339" s="56">
        <v>8.0688542227000002E-4</v>
      </c>
    </row>
    <row r="340" spans="1:5" ht="14.5" customHeight="1">
      <c r="A340" s="40"/>
      <c r="B340" s="88"/>
      <c r="C340" s="54" t="s">
        <v>143</v>
      </c>
      <c r="D340" s="55">
        <v>3</v>
      </c>
      <c r="E340" s="56">
        <v>8.0688542227000002E-4</v>
      </c>
    </row>
    <row r="341" spans="1:5" ht="14.5" customHeight="1">
      <c r="A341" s="40"/>
      <c r="B341" s="88"/>
      <c r="C341" s="54" t="s">
        <v>145</v>
      </c>
      <c r="D341" s="55">
        <v>1</v>
      </c>
      <c r="E341" s="56">
        <v>2.68961807423E-4</v>
      </c>
    </row>
    <row r="342" spans="1:5" ht="14.5" customHeight="1">
      <c r="A342" s="40"/>
      <c r="B342" s="88"/>
      <c r="C342" s="54" t="s">
        <v>146</v>
      </c>
      <c r="D342" s="55">
        <v>1</v>
      </c>
      <c r="E342" s="56">
        <v>2.68961807423E-4</v>
      </c>
    </row>
    <row r="343" spans="1:5" ht="14.5" customHeight="1">
      <c r="A343" s="40"/>
      <c r="B343" s="88"/>
      <c r="C343" s="54" t="s">
        <v>147</v>
      </c>
      <c r="D343" s="55">
        <v>6</v>
      </c>
      <c r="E343" s="56">
        <v>1.61377084454E-3</v>
      </c>
    </row>
    <row r="344" spans="1:5" ht="14.5" customHeight="1">
      <c r="A344" s="40"/>
      <c r="B344" s="88"/>
      <c r="C344" s="54" t="s">
        <v>150</v>
      </c>
      <c r="D344" s="55">
        <v>2</v>
      </c>
      <c r="E344" s="56">
        <v>5.3792361484699997E-4</v>
      </c>
    </row>
    <row r="345" spans="1:5" ht="14.5" customHeight="1">
      <c r="A345" s="40"/>
      <c r="B345" s="88"/>
      <c r="C345" s="54" t="s">
        <v>151</v>
      </c>
      <c r="D345" s="55">
        <v>17</v>
      </c>
      <c r="E345" s="56">
        <v>4.5723507261970003E-3</v>
      </c>
    </row>
    <row r="346" spans="1:5" ht="14.5" customHeight="1">
      <c r="A346" s="40"/>
      <c r="B346" s="88"/>
      <c r="C346" s="54" t="s">
        <v>153</v>
      </c>
      <c r="D346" s="55">
        <v>6</v>
      </c>
      <c r="E346" s="56">
        <v>1.61377084454E-3</v>
      </c>
    </row>
    <row r="347" spans="1:5" ht="14.5" customHeight="1">
      <c r="A347" s="40"/>
      <c r="B347" s="88"/>
      <c r="C347" s="54" t="s">
        <v>154</v>
      </c>
      <c r="D347" s="55">
        <v>25</v>
      </c>
      <c r="E347" s="56">
        <v>6.7240451855840001E-3</v>
      </c>
    </row>
    <row r="348" spans="1:5" ht="14.5" customHeight="1">
      <c r="A348" s="40"/>
      <c r="B348" s="88"/>
      <c r="C348" s="54" t="s">
        <v>158</v>
      </c>
      <c r="D348" s="55">
        <v>1</v>
      </c>
      <c r="E348" s="56">
        <v>2.68961807423E-4</v>
      </c>
    </row>
    <row r="349" spans="1:5" ht="14.5" customHeight="1">
      <c r="A349" s="40"/>
      <c r="B349" s="88"/>
      <c r="C349" s="54" t="s">
        <v>160</v>
      </c>
      <c r="D349" s="55">
        <v>2</v>
      </c>
      <c r="E349" s="56">
        <v>5.3792361484699997E-4</v>
      </c>
    </row>
    <row r="350" spans="1:5" ht="14.5" customHeight="1">
      <c r="A350" s="40"/>
      <c r="B350" s="88"/>
      <c r="C350" s="54" t="s">
        <v>162</v>
      </c>
      <c r="D350" s="55">
        <v>1</v>
      </c>
      <c r="E350" s="56">
        <v>2.68961807423E-4</v>
      </c>
    </row>
    <row r="351" spans="1:5" ht="14.5" customHeight="1">
      <c r="A351" s="40"/>
      <c r="B351" s="89"/>
      <c r="C351" s="67" t="s">
        <v>308</v>
      </c>
      <c r="D351" s="66">
        <v>68</v>
      </c>
      <c r="E351" s="68">
        <v>1.8289402904788001E-2</v>
      </c>
    </row>
    <row r="352" spans="1:5" ht="14.5" customHeight="1">
      <c r="A352" s="40"/>
      <c r="B352" s="87" t="s">
        <v>58</v>
      </c>
      <c r="C352" s="54" t="s">
        <v>142</v>
      </c>
      <c r="D352" s="55">
        <v>1</v>
      </c>
      <c r="E352" s="56">
        <v>2.68961807423E-4</v>
      </c>
    </row>
    <row r="353" spans="1:5" ht="14.5" customHeight="1">
      <c r="A353" s="40"/>
      <c r="B353" s="88"/>
      <c r="C353" s="54" t="s">
        <v>143</v>
      </c>
      <c r="D353" s="55">
        <v>1</v>
      </c>
      <c r="E353" s="56">
        <v>2.68961807423E-4</v>
      </c>
    </row>
    <row r="354" spans="1:5" ht="14.5" customHeight="1">
      <c r="A354" s="40"/>
      <c r="B354" s="88"/>
      <c r="C354" s="54" t="s">
        <v>144</v>
      </c>
      <c r="D354" s="55">
        <v>2</v>
      </c>
      <c r="E354" s="56">
        <v>5.3792361484699997E-4</v>
      </c>
    </row>
    <row r="355" spans="1:5" ht="14.5" customHeight="1">
      <c r="A355" s="40"/>
      <c r="B355" s="88"/>
      <c r="C355" s="54" t="s">
        <v>145</v>
      </c>
      <c r="D355" s="55">
        <v>2</v>
      </c>
      <c r="E355" s="56">
        <v>5.3792361484699997E-4</v>
      </c>
    </row>
    <row r="356" spans="1:5" ht="14.5" customHeight="1">
      <c r="A356" s="40"/>
      <c r="B356" s="88"/>
      <c r="C356" s="54" t="s">
        <v>146</v>
      </c>
      <c r="D356" s="55">
        <v>3</v>
      </c>
      <c r="E356" s="56">
        <v>8.0688542227000002E-4</v>
      </c>
    </row>
    <row r="357" spans="1:5" ht="14.5" customHeight="1">
      <c r="A357" s="40"/>
      <c r="B357" s="88"/>
      <c r="C357" s="54" t="s">
        <v>147</v>
      </c>
      <c r="D357" s="55">
        <v>6</v>
      </c>
      <c r="E357" s="56">
        <v>1.61377084454E-3</v>
      </c>
    </row>
    <row r="358" spans="1:5" ht="14.5" customHeight="1">
      <c r="A358" s="40"/>
      <c r="B358" s="88"/>
      <c r="C358" s="54" t="s">
        <v>148</v>
      </c>
      <c r="D358" s="55">
        <v>1</v>
      </c>
      <c r="E358" s="56">
        <v>2.68961807423E-4</v>
      </c>
    </row>
    <row r="359" spans="1:5" ht="14.5" customHeight="1">
      <c r="A359" s="40"/>
      <c r="B359" s="88"/>
      <c r="C359" s="54" t="s">
        <v>150</v>
      </c>
      <c r="D359" s="55">
        <v>3</v>
      </c>
      <c r="E359" s="56">
        <v>8.0688542227000002E-4</v>
      </c>
    </row>
    <row r="360" spans="1:5" ht="14.5" customHeight="1">
      <c r="A360" s="40"/>
      <c r="B360" s="88"/>
      <c r="C360" s="54" t="s">
        <v>151</v>
      </c>
      <c r="D360" s="55">
        <v>23</v>
      </c>
      <c r="E360" s="56">
        <v>6.1861215707370003E-3</v>
      </c>
    </row>
    <row r="361" spans="1:5" ht="14.5" customHeight="1">
      <c r="A361" s="40"/>
      <c r="B361" s="88"/>
      <c r="C361" s="54" t="s">
        <v>152</v>
      </c>
      <c r="D361" s="55">
        <v>2</v>
      </c>
      <c r="E361" s="56">
        <v>5.3792361484699997E-4</v>
      </c>
    </row>
    <row r="362" spans="1:5" ht="14.5" customHeight="1">
      <c r="A362" s="40"/>
      <c r="B362" s="88"/>
      <c r="C362" s="54" t="s">
        <v>153</v>
      </c>
      <c r="D362" s="55">
        <v>3</v>
      </c>
      <c r="E362" s="56">
        <v>8.0688542227000002E-4</v>
      </c>
    </row>
    <row r="363" spans="1:5" ht="14.5" customHeight="1">
      <c r="A363" s="40"/>
      <c r="B363" s="88"/>
      <c r="C363" s="54" t="s">
        <v>154</v>
      </c>
      <c r="D363" s="55">
        <v>11</v>
      </c>
      <c r="E363" s="56">
        <v>2.9585798816569998E-3</v>
      </c>
    </row>
    <row r="364" spans="1:5" ht="14.5" customHeight="1">
      <c r="A364" s="40"/>
      <c r="B364" s="88"/>
      <c r="C364" s="54" t="s">
        <v>157</v>
      </c>
      <c r="D364" s="55">
        <v>1</v>
      </c>
      <c r="E364" s="56">
        <v>2.68961807423E-4</v>
      </c>
    </row>
    <row r="365" spans="1:5" ht="14.5" customHeight="1">
      <c r="A365" s="40"/>
      <c r="B365" s="88"/>
      <c r="C365" s="54" t="s">
        <v>160</v>
      </c>
      <c r="D365" s="55">
        <v>2</v>
      </c>
      <c r="E365" s="56">
        <v>5.3792361484699997E-4</v>
      </c>
    </row>
    <row r="366" spans="1:5" ht="14.5" customHeight="1">
      <c r="A366" s="40"/>
      <c r="B366" s="89"/>
      <c r="C366" s="67" t="s">
        <v>308</v>
      </c>
      <c r="D366" s="66">
        <v>61</v>
      </c>
      <c r="E366" s="68">
        <v>1.6406670252824E-2</v>
      </c>
    </row>
    <row r="367" spans="1:5" ht="14.5" customHeight="1">
      <c r="A367" s="40"/>
      <c r="B367" s="87" t="s">
        <v>62</v>
      </c>
      <c r="C367" s="54" t="s">
        <v>142</v>
      </c>
      <c r="D367" s="55">
        <v>1</v>
      </c>
      <c r="E367" s="56">
        <v>2.68961807423E-4</v>
      </c>
    </row>
    <row r="368" spans="1:5" ht="14.5" customHeight="1">
      <c r="A368" s="40"/>
      <c r="B368" s="88"/>
      <c r="C368" s="54" t="s">
        <v>144</v>
      </c>
      <c r="D368" s="55">
        <v>1</v>
      </c>
      <c r="E368" s="56">
        <v>2.68961807423E-4</v>
      </c>
    </row>
    <row r="369" spans="1:5" ht="14.5" customHeight="1">
      <c r="A369" s="40"/>
      <c r="B369" s="88"/>
      <c r="C369" s="54" t="s">
        <v>146</v>
      </c>
      <c r="D369" s="55">
        <v>2</v>
      </c>
      <c r="E369" s="56">
        <v>5.3792361484699997E-4</v>
      </c>
    </row>
    <row r="370" spans="1:5" ht="14.5" customHeight="1">
      <c r="A370" s="40"/>
      <c r="B370" s="88"/>
      <c r="C370" s="54" t="s">
        <v>147</v>
      </c>
      <c r="D370" s="55">
        <v>4</v>
      </c>
      <c r="E370" s="56">
        <v>1.0758472296930001E-3</v>
      </c>
    </row>
    <row r="371" spans="1:5" ht="14.5" customHeight="1">
      <c r="A371" s="40"/>
      <c r="B371" s="88"/>
      <c r="C371" s="54" t="s">
        <v>148</v>
      </c>
      <c r="D371" s="55">
        <v>1</v>
      </c>
      <c r="E371" s="56">
        <v>2.68961807423E-4</v>
      </c>
    </row>
    <row r="372" spans="1:5" ht="14.5" customHeight="1">
      <c r="A372" s="40"/>
      <c r="B372" s="88"/>
      <c r="C372" s="54" t="s">
        <v>149</v>
      </c>
      <c r="D372" s="55">
        <v>1</v>
      </c>
      <c r="E372" s="56">
        <v>2.68961807423E-4</v>
      </c>
    </row>
    <row r="373" spans="1:5" ht="14.5" customHeight="1">
      <c r="A373" s="40"/>
      <c r="B373" s="88"/>
      <c r="C373" s="54" t="s">
        <v>150</v>
      </c>
      <c r="D373" s="55">
        <v>3</v>
      </c>
      <c r="E373" s="56">
        <v>8.0688542227000002E-4</v>
      </c>
    </row>
    <row r="374" spans="1:5" ht="14.5" customHeight="1">
      <c r="A374" s="40"/>
      <c r="B374" s="88"/>
      <c r="C374" s="54" t="s">
        <v>151</v>
      </c>
      <c r="D374" s="55">
        <v>7</v>
      </c>
      <c r="E374" s="56">
        <v>1.8827326519630001E-3</v>
      </c>
    </row>
    <row r="375" spans="1:5" ht="14.5" customHeight="1">
      <c r="A375" s="40"/>
      <c r="B375" s="88"/>
      <c r="C375" s="54" t="s">
        <v>152</v>
      </c>
      <c r="D375" s="55">
        <v>1</v>
      </c>
      <c r="E375" s="56">
        <v>2.68961807423E-4</v>
      </c>
    </row>
    <row r="376" spans="1:5" ht="14.5" customHeight="1">
      <c r="A376" s="40"/>
      <c r="B376" s="88"/>
      <c r="C376" s="54" t="s">
        <v>154</v>
      </c>
      <c r="D376" s="55">
        <v>7</v>
      </c>
      <c r="E376" s="56">
        <v>1.8827326519630001E-3</v>
      </c>
    </row>
    <row r="377" spans="1:5" ht="14.5" customHeight="1">
      <c r="A377" s="40"/>
      <c r="B377" s="88"/>
      <c r="C377" s="54" t="s">
        <v>155</v>
      </c>
      <c r="D377" s="55">
        <v>1</v>
      </c>
      <c r="E377" s="56">
        <v>2.68961807423E-4</v>
      </c>
    </row>
    <row r="378" spans="1:5" ht="14.5" customHeight="1">
      <c r="A378" s="40"/>
      <c r="B378" s="88"/>
      <c r="C378" s="54" t="s">
        <v>159</v>
      </c>
      <c r="D378" s="55">
        <v>1</v>
      </c>
      <c r="E378" s="56">
        <v>2.68961807423E-4</v>
      </c>
    </row>
    <row r="379" spans="1:5" ht="14.5" customHeight="1">
      <c r="A379" s="40"/>
      <c r="B379" s="88"/>
      <c r="C379" s="54" t="s">
        <v>160</v>
      </c>
      <c r="D379" s="55">
        <v>5</v>
      </c>
      <c r="E379" s="56">
        <v>1.344809037117E-3</v>
      </c>
    </row>
    <row r="380" spans="1:5" ht="14.5" customHeight="1">
      <c r="A380" s="40"/>
      <c r="B380" s="89"/>
      <c r="C380" s="67" t="s">
        <v>308</v>
      </c>
      <c r="D380" s="66">
        <v>35</v>
      </c>
      <c r="E380" s="68">
        <v>9.4136632598170004E-3</v>
      </c>
    </row>
    <row r="381" spans="1:5" ht="14.5" customHeight="1">
      <c r="A381" s="40"/>
      <c r="B381" s="87" t="s">
        <v>49</v>
      </c>
      <c r="C381" s="54" t="s">
        <v>140</v>
      </c>
      <c r="D381" s="55">
        <v>3</v>
      </c>
      <c r="E381" s="56">
        <v>8.0688542227000002E-4</v>
      </c>
    </row>
    <row r="382" spans="1:5" ht="14.5" customHeight="1">
      <c r="A382" s="40"/>
      <c r="B382" s="88"/>
      <c r="C382" s="54" t="s">
        <v>141</v>
      </c>
      <c r="D382" s="55">
        <v>2</v>
      </c>
      <c r="E382" s="56">
        <v>5.3792361484699997E-4</v>
      </c>
    </row>
    <row r="383" spans="1:5" ht="14.5" customHeight="1">
      <c r="A383" s="40"/>
      <c r="B383" s="88"/>
      <c r="C383" s="54" t="s">
        <v>142</v>
      </c>
      <c r="D383" s="55">
        <v>1</v>
      </c>
      <c r="E383" s="56">
        <v>2.68961807423E-4</v>
      </c>
    </row>
    <row r="384" spans="1:5" ht="14.5" customHeight="1">
      <c r="A384" s="40"/>
      <c r="B384" s="88"/>
      <c r="C384" s="54" t="s">
        <v>144</v>
      </c>
      <c r="D384" s="55">
        <v>6</v>
      </c>
      <c r="E384" s="56">
        <v>1.61377084454E-3</v>
      </c>
    </row>
    <row r="385" spans="1:5" ht="14.5" customHeight="1">
      <c r="A385" s="40"/>
      <c r="B385" s="88"/>
      <c r="C385" s="54" t="s">
        <v>145</v>
      </c>
      <c r="D385" s="55">
        <v>5</v>
      </c>
      <c r="E385" s="56">
        <v>1.344809037117E-3</v>
      </c>
    </row>
    <row r="386" spans="1:5" ht="14.5" customHeight="1">
      <c r="A386" s="40"/>
      <c r="B386" s="88"/>
      <c r="C386" s="54" t="s">
        <v>146</v>
      </c>
      <c r="D386" s="55">
        <v>19</v>
      </c>
      <c r="E386" s="56">
        <v>5.1102743410440001E-3</v>
      </c>
    </row>
    <row r="387" spans="1:5" ht="14.5" customHeight="1">
      <c r="A387" s="40"/>
      <c r="B387" s="88"/>
      <c r="C387" s="54" t="s">
        <v>147</v>
      </c>
      <c r="D387" s="55">
        <v>40</v>
      </c>
      <c r="E387" s="56">
        <v>1.0758472296934E-2</v>
      </c>
    </row>
    <row r="388" spans="1:5" ht="14.5" customHeight="1">
      <c r="A388" s="40"/>
      <c r="B388" s="88"/>
      <c r="C388" s="54" t="s">
        <v>148</v>
      </c>
      <c r="D388" s="55">
        <v>2</v>
      </c>
      <c r="E388" s="56">
        <v>5.3792361484699997E-4</v>
      </c>
    </row>
    <row r="389" spans="1:5" ht="14.5" customHeight="1">
      <c r="A389" s="40"/>
      <c r="B389" s="88"/>
      <c r="C389" s="54" t="s">
        <v>149</v>
      </c>
      <c r="D389" s="55">
        <v>5</v>
      </c>
      <c r="E389" s="56">
        <v>1.344809037117E-3</v>
      </c>
    </row>
    <row r="390" spans="1:5" ht="14.5" customHeight="1">
      <c r="A390" s="40"/>
      <c r="B390" s="88"/>
      <c r="C390" s="54" t="s">
        <v>150</v>
      </c>
      <c r="D390" s="55">
        <v>9</v>
      </c>
      <c r="E390" s="56">
        <v>2.4206562668100001E-3</v>
      </c>
    </row>
    <row r="391" spans="1:5" ht="14.5" customHeight="1">
      <c r="A391" s="40"/>
      <c r="B391" s="88"/>
      <c r="C391" s="54" t="s">
        <v>151</v>
      </c>
      <c r="D391" s="55">
        <v>58</v>
      </c>
      <c r="E391" s="56">
        <v>1.5599784830554001E-2</v>
      </c>
    </row>
    <row r="392" spans="1:5" ht="14.5" customHeight="1">
      <c r="A392" s="40"/>
      <c r="B392" s="88"/>
      <c r="C392" s="54" t="s">
        <v>152</v>
      </c>
      <c r="D392" s="55">
        <v>7</v>
      </c>
      <c r="E392" s="56">
        <v>1.8827326519630001E-3</v>
      </c>
    </row>
    <row r="393" spans="1:5" ht="14.5" customHeight="1">
      <c r="A393" s="40"/>
      <c r="B393" s="88"/>
      <c r="C393" s="54" t="s">
        <v>153</v>
      </c>
      <c r="D393" s="55">
        <v>10</v>
      </c>
      <c r="E393" s="56">
        <v>2.6896180742329999E-3</v>
      </c>
    </row>
    <row r="394" spans="1:5" ht="14.5" customHeight="1">
      <c r="A394" s="40"/>
      <c r="B394" s="88"/>
      <c r="C394" s="54" t="s">
        <v>154</v>
      </c>
      <c r="D394" s="55">
        <v>39</v>
      </c>
      <c r="E394" s="56">
        <v>1.0489510489510001E-2</v>
      </c>
    </row>
    <row r="395" spans="1:5" ht="14.5" customHeight="1">
      <c r="A395" s="40"/>
      <c r="B395" s="88"/>
      <c r="C395" s="54" t="s">
        <v>155</v>
      </c>
      <c r="D395" s="55">
        <v>1</v>
      </c>
      <c r="E395" s="56">
        <v>2.68961807423E-4</v>
      </c>
    </row>
    <row r="396" spans="1:5" ht="14.5" customHeight="1">
      <c r="A396" s="40"/>
      <c r="B396" s="88"/>
      <c r="C396" s="54" t="s">
        <v>157</v>
      </c>
      <c r="D396" s="55">
        <v>1</v>
      </c>
      <c r="E396" s="56">
        <v>2.68961807423E-4</v>
      </c>
    </row>
    <row r="397" spans="1:5" ht="14.5" customHeight="1">
      <c r="A397" s="40"/>
      <c r="B397" s="88"/>
      <c r="C397" s="54" t="s">
        <v>159</v>
      </c>
      <c r="D397" s="55">
        <v>1</v>
      </c>
      <c r="E397" s="56">
        <v>2.68961807423E-4</v>
      </c>
    </row>
    <row r="398" spans="1:5" ht="14.5" customHeight="1">
      <c r="A398" s="40"/>
      <c r="B398" s="88"/>
      <c r="C398" s="54" t="s">
        <v>160</v>
      </c>
      <c r="D398" s="55">
        <v>7</v>
      </c>
      <c r="E398" s="56">
        <v>1.8827326519630001E-3</v>
      </c>
    </row>
    <row r="399" spans="1:5" ht="14.5" customHeight="1">
      <c r="A399" s="40"/>
      <c r="B399" s="88"/>
      <c r="C399" s="54" t="s">
        <v>161</v>
      </c>
      <c r="D399" s="55">
        <v>1</v>
      </c>
      <c r="E399" s="56">
        <v>2.68961807423E-4</v>
      </c>
    </row>
    <row r="400" spans="1:5" ht="14.5" customHeight="1">
      <c r="A400" s="40"/>
      <c r="B400" s="89"/>
      <c r="C400" s="67" t="s">
        <v>308</v>
      </c>
      <c r="D400" s="66">
        <v>217</v>
      </c>
      <c r="E400" s="68">
        <v>5.8364712210865997E-2</v>
      </c>
    </row>
    <row r="401" spans="1:5" ht="14.5" customHeight="1">
      <c r="A401" s="40"/>
      <c r="B401" s="87" t="s">
        <v>78</v>
      </c>
      <c r="C401" s="54" t="s">
        <v>144</v>
      </c>
      <c r="D401" s="55">
        <v>1</v>
      </c>
      <c r="E401" s="56">
        <v>2.68961807423E-4</v>
      </c>
    </row>
    <row r="402" spans="1:5" ht="14.5" customHeight="1">
      <c r="A402" s="40"/>
      <c r="B402" s="88"/>
      <c r="C402" s="54" t="s">
        <v>147</v>
      </c>
      <c r="D402" s="55">
        <v>1</v>
      </c>
      <c r="E402" s="56">
        <v>2.68961807423E-4</v>
      </c>
    </row>
    <row r="403" spans="1:5" ht="14.5" customHeight="1">
      <c r="A403" s="40"/>
      <c r="B403" s="88"/>
      <c r="C403" s="54" t="s">
        <v>151</v>
      </c>
      <c r="D403" s="55">
        <v>1</v>
      </c>
      <c r="E403" s="56">
        <v>2.68961807423E-4</v>
      </c>
    </row>
    <row r="404" spans="1:5" ht="14.5" customHeight="1">
      <c r="A404" s="40"/>
      <c r="B404" s="88"/>
      <c r="C404" s="54" t="s">
        <v>152</v>
      </c>
      <c r="D404" s="55">
        <v>1</v>
      </c>
      <c r="E404" s="56">
        <v>2.68961807423E-4</v>
      </c>
    </row>
    <row r="405" spans="1:5" ht="14.5" customHeight="1">
      <c r="A405" s="40"/>
      <c r="B405" s="88"/>
      <c r="C405" s="54" t="s">
        <v>153</v>
      </c>
      <c r="D405" s="55">
        <v>1</v>
      </c>
      <c r="E405" s="56">
        <v>2.68961807423E-4</v>
      </c>
    </row>
    <row r="406" spans="1:5" ht="14.5" customHeight="1">
      <c r="A406" s="40"/>
      <c r="B406" s="88"/>
      <c r="C406" s="54" t="s">
        <v>154</v>
      </c>
      <c r="D406" s="55">
        <v>1</v>
      </c>
      <c r="E406" s="56">
        <v>2.68961807423E-4</v>
      </c>
    </row>
    <row r="407" spans="1:5" ht="14.5" customHeight="1">
      <c r="A407" s="40"/>
      <c r="B407" s="88"/>
      <c r="C407" s="54" t="s">
        <v>160</v>
      </c>
      <c r="D407" s="55">
        <v>1</v>
      </c>
      <c r="E407" s="56">
        <v>2.68961807423E-4</v>
      </c>
    </row>
    <row r="408" spans="1:5" ht="14.5" customHeight="1">
      <c r="A408" s="40"/>
      <c r="B408" s="89"/>
      <c r="C408" s="67" t="s">
        <v>308</v>
      </c>
      <c r="D408" s="66">
        <v>7</v>
      </c>
      <c r="E408" s="68">
        <v>1.8827326519630001E-3</v>
      </c>
    </row>
    <row r="409" spans="1:5" ht="14.5" customHeight="1">
      <c r="A409" s="40"/>
      <c r="B409" s="87" t="s">
        <v>68</v>
      </c>
      <c r="C409" s="54" t="s">
        <v>143</v>
      </c>
      <c r="D409" s="55">
        <v>1</v>
      </c>
      <c r="E409" s="56">
        <v>2.68961807423E-4</v>
      </c>
    </row>
    <row r="410" spans="1:5" ht="14.5" customHeight="1">
      <c r="A410" s="40"/>
      <c r="B410" s="88"/>
      <c r="C410" s="54" t="s">
        <v>144</v>
      </c>
      <c r="D410" s="55">
        <v>1</v>
      </c>
      <c r="E410" s="56">
        <v>2.68961807423E-4</v>
      </c>
    </row>
    <row r="411" spans="1:5" ht="14.5" customHeight="1">
      <c r="A411" s="40"/>
      <c r="B411" s="88"/>
      <c r="C411" s="54" t="s">
        <v>146</v>
      </c>
      <c r="D411" s="55">
        <v>5</v>
      </c>
      <c r="E411" s="56">
        <v>1.344809037117E-3</v>
      </c>
    </row>
    <row r="412" spans="1:5" ht="14.5" customHeight="1">
      <c r="A412" s="40"/>
      <c r="B412" s="88"/>
      <c r="C412" s="54" t="s">
        <v>147</v>
      </c>
      <c r="D412" s="55">
        <v>2</v>
      </c>
      <c r="E412" s="56">
        <v>5.3792361484699997E-4</v>
      </c>
    </row>
    <row r="413" spans="1:5" ht="14.5" customHeight="1">
      <c r="A413" s="40"/>
      <c r="B413" s="88"/>
      <c r="C413" s="54" t="s">
        <v>149</v>
      </c>
      <c r="D413" s="55">
        <v>2</v>
      </c>
      <c r="E413" s="56">
        <v>5.3792361484699997E-4</v>
      </c>
    </row>
    <row r="414" spans="1:5" ht="14.5" customHeight="1">
      <c r="A414" s="40"/>
      <c r="B414" s="88"/>
      <c r="C414" s="54" t="s">
        <v>150</v>
      </c>
      <c r="D414" s="55">
        <v>3</v>
      </c>
      <c r="E414" s="56">
        <v>8.0688542227000002E-4</v>
      </c>
    </row>
    <row r="415" spans="1:5" ht="14.5" customHeight="1">
      <c r="A415" s="40"/>
      <c r="B415" s="88"/>
      <c r="C415" s="54" t="s">
        <v>151</v>
      </c>
      <c r="D415" s="55">
        <v>12</v>
      </c>
      <c r="E415" s="56">
        <v>3.2275416890800001E-3</v>
      </c>
    </row>
    <row r="416" spans="1:5" ht="14.5" customHeight="1">
      <c r="A416" s="40"/>
      <c r="B416" s="88"/>
      <c r="C416" s="54" t="s">
        <v>152</v>
      </c>
      <c r="D416" s="55">
        <v>1</v>
      </c>
      <c r="E416" s="56">
        <v>2.68961807423E-4</v>
      </c>
    </row>
    <row r="417" spans="1:5" ht="14.5" customHeight="1">
      <c r="A417" s="40"/>
      <c r="B417" s="88"/>
      <c r="C417" s="54" t="s">
        <v>153</v>
      </c>
      <c r="D417" s="55">
        <v>5</v>
      </c>
      <c r="E417" s="56">
        <v>1.344809037117E-3</v>
      </c>
    </row>
    <row r="418" spans="1:5" ht="14.5" customHeight="1">
      <c r="A418" s="40"/>
      <c r="B418" s="88"/>
      <c r="C418" s="54" t="s">
        <v>154</v>
      </c>
      <c r="D418" s="55">
        <v>13</v>
      </c>
      <c r="E418" s="56">
        <v>3.4965034965029999E-3</v>
      </c>
    </row>
    <row r="419" spans="1:5" ht="14.5" customHeight="1">
      <c r="A419" s="40"/>
      <c r="B419" s="88"/>
      <c r="C419" s="54" t="s">
        <v>160</v>
      </c>
      <c r="D419" s="55">
        <v>5</v>
      </c>
      <c r="E419" s="56">
        <v>1.344809037117E-3</v>
      </c>
    </row>
    <row r="420" spans="1:5" ht="14.5" customHeight="1">
      <c r="A420" s="40"/>
      <c r="B420" s="89"/>
      <c r="C420" s="67" t="s">
        <v>308</v>
      </c>
      <c r="D420" s="66">
        <v>50</v>
      </c>
      <c r="E420" s="68">
        <v>1.3448090371166999E-2</v>
      </c>
    </row>
    <row r="421" spans="1:5" ht="14.5" customHeight="1">
      <c r="A421" s="40"/>
      <c r="B421" s="87" t="s">
        <v>73</v>
      </c>
      <c r="C421" s="54" t="s">
        <v>145</v>
      </c>
      <c r="D421" s="55">
        <v>1</v>
      </c>
      <c r="E421" s="56">
        <v>2.68961807423E-4</v>
      </c>
    </row>
    <row r="422" spans="1:5" ht="14.5" customHeight="1">
      <c r="A422" s="40"/>
      <c r="B422" s="88"/>
      <c r="C422" s="54" t="s">
        <v>146</v>
      </c>
      <c r="D422" s="55">
        <v>2</v>
      </c>
      <c r="E422" s="56">
        <v>5.3792361484699997E-4</v>
      </c>
    </row>
    <row r="423" spans="1:5" ht="14.5" customHeight="1">
      <c r="A423" s="40"/>
      <c r="B423" s="88"/>
      <c r="C423" s="54" t="s">
        <v>147</v>
      </c>
      <c r="D423" s="55">
        <v>1</v>
      </c>
      <c r="E423" s="56">
        <v>2.68961807423E-4</v>
      </c>
    </row>
    <row r="424" spans="1:5" ht="14.5" customHeight="1">
      <c r="A424" s="40"/>
      <c r="B424" s="88"/>
      <c r="C424" s="54" t="s">
        <v>148</v>
      </c>
      <c r="D424" s="55">
        <v>1</v>
      </c>
      <c r="E424" s="56">
        <v>2.68961807423E-4</v>
      </c>
    </row>
    <row r="425" spans="1:5" ht="14.5" customHeight="1">
      <c r="A425" s="40"/>
      <c r="B425" s="88"/>
      <c r="C425" s="54" t="s">
        <v>149</v>
      </c>
      <c r="D425" s="55">
        <v>1</v>
      </c>
      <c r="E425" s="56">
        <v>2.68961807423E-4</v>
      </c>
    </row>
    <row r="426" spans="1:5" ht="14.5" customHeight="1">
      <c r="A426" s="40"/>
      <c r="B426" s="88"/>
      <c r="C426" s="54" t="s">
        <v>151</v>
      </c>
      <c r="D426" s="55">
        <v>4</v>
      </c>
      <c r="E426" s="56">
        <v>1.0758472296930001E-3</v>
      </c>
    </row>
    <row r="427" spans="1:5" ht="14.5" customHeight="1">
      <c r="A427" s="40"/>
      <c r="B427" s="88"/>
      <c r="C427" s="54" t="s">
        <v>152</v>
      </c>
      <c r="D427" s="55">
        <v>1</v>
      </c>
      <c r="E427" s="56">
        <v>2.68961807423E-4</v>
      </c>
    </row>
    <row r="428" spans="1:5" ht="14.5" customHeight="1">
      <c r="A428" s="40"/>
      <c r="B428" s="88"/>
      <c r="C428" s="54" t="s">
        <v>153</v>
      </c>
      <c r="D428" s="55">
        <v>1</v>
      </c>
      <c r="E428" s="56">
        <v>2.68961807423E-4</v>
      </c>
    </row>
    <row r="429" spans="1:5" ht="14.5" customHeight="1">
      <c r="A429" s="40"/>
      <c r="B429" s="88"/>
      <c r="C429" s="54" t="s">
        <v>154</v>
      </c>
      <c r="D429" s="55">
        <v>6</v>
      </c>
      <c r="E429" s="56">
        <v>1.61377084454E-3</v>
      </c>
    </row>
    <row r="430" spans="1:5" ht="14.5" customHeight="1">
      <c r="A430" s="40"/>
      <c r="B430" s="88"/>
      <c r="C430" s="54" t="s">
        <v>160</v>
      </c>
      <c r="D430" s="55">
        <v>2</v>
      </c>
      <c r="E430" s="56">
        <v>5.3792361484699997E-4</v>
      </c>
    </row>
    <row r="431" spans="1:5" ht="14.5" customHeight="1">
      <c r="A431" s="40"/>
      <c r="B431" s="89"/>
      <c r="C431" s="67" t="s">
        <v>308</v>
      </c>
      <c r="D431" s="66">
        <v>20</v>
      </c>
      <c r="E431" s="68">
        <v>5.3792361484669999E-3</v>
      </c>
    </row>
    <row r="432" spans="1:5" ht="14.5" customHeight="1">
      <c r="A432" s="40"/>
      <c r="B432" s="87" t="s">
        <v>48</v>
      </c>
      <c r="C432" s="54" t="s">
        <v>140</v>
      </c>
      <c r="D432" s="55">
        <v>4</v>
      </c>
      <c r="E432" s="56">
        <v>1.0758472296930001E-3</v>
      </c>
    </row>
    <row r="433" spans="1:5" ht="14.5" customHeight="1">
      <c r="A433" s="40"/>
      <c r="B433" s="88"/>
      <c r="C433" s="54" t="s">
        <v>142</v>
      </c>
      <c r="D433" s="55">
        <v>5</v>
      </c>
      <c r="E433" s="56">
        <v>1.344809037117E-3</v>
      </c>
    </row>
    <row r="434" spans="1:5" ht="14.5" customHeight="1">
      <c r="A434" s="40"/>
      <c r="B434" s="88"/>
      <c r="C434" s="54" t="s">
        <v>143</v>
      </c>
      <c r="D434" s="55">
        <v>6</v>
      </c>
      <c r="E434" s="56">
        <v>1.61377084454E-3</v>
      </c>
    </row>
    <row r="435" spans="1:5" ht="14.5" customHeight="1">
      <c r="A435" s="40"/>
      <c r="B435" s="88"/>
      <c r="C435" s="54" t="s">
        <v>145</v>
      </c>
      <c r="D435" s="55">
        <v>1</v>
      </c>
      <c r="E435" s="56">
        <v>2.68961807423E-4</v>
      </c>
    </row>
    <row r="436" spans="1:5" ht="14.5" customHeight="1">
      <c r="A436" s="40"/>
      <c r="B436" s="88"/>
      <c r="C436" s="54" t="s">
        <v>146</v>
      </c>
      <c r="D436" s="55">
        <v>22</v>
      </c>
      <c r="E436" s="56">
        <v>5.9171597633139996E-3</v>
      </c>
    </row>
    <row r="437" spans="1:5" ht="14.5" customHeight="1">
      <c r="A437" s="40"/>
      <c r="B437" s="88"/>
      <c r="C437" s="54" t="s">
        <v>147</v>
      </c>
      <c r="D437" s="55">
        <v>17</v>
      </c>
      <c r="E437" s="56">
        <v>4.5723507261970003E-3</v>
      </c>
    </row>
    <row r="438" spans="1:5" ht="14.5" customHeight="1">
      <c r="A438" s="40"/>
      <c r="B438" s="88"/>
      <c r="C438" s="54" t="s">
        <v>148</v>
      </c>
      <c r="D438" s="55">
        <v>6</v>
      </c>
      <c r="E438" s="56">
        <v>1.61377084454E-3</v>
      </c>
    </row>
    <row r="439" spans="1:5" ht="14.5" customHeight="1">
      <c r="A439" s="40"/>
      <c r="B439" s="88"/>
      <c r="C439" s="54" t="s">
        <v>149</v>
      </c>
      <c r="D439" s="55">
        <v>6</v>
      </c>
      <c r="E439" s="56">
        <v>1.61377084454E-3</v>
      </c>
    </row>
    <row r="440" spans="1:5" ht="14.5" customHeight="1">
      <c r="A440" s="40"/>
      <c r="B440" s="88"/>
      <c r="C440" s="54" t="s">
        <v>150</v>
      </c>
      <c r="D440" s="55">
        <v>13</v>
      </c>
      <c r="E440" s="56">
        <v>3.4965034965029999E-3</v>
      </c>
    </row>
    <row r="441" spans="1:5" ht="14.5" customHeight="1">
      <c r="A441" s="40"/>
      <c r="B441" s="88"/>
      <c r="C441" s="54" t="s">
        <v>151</v>
      </c>
      <c r="D441" s="55">
        <v>61</v>
      </c>
      <c r="E441" s="56">
        <v>1.6406670252824E-2</v>
      </c>
    </row>
    <row r="442" spans="1:5" ht="14.5" customHeight="1">
      <c r="A442" s="40"/>
      <c r="B442" s="88"/>
      <c r="C442" s="54" t="s">
        <v>152</v>
      </c>
      <c r="D442" s="55">
        <v>4</v>
      </c>
      <c r="E442" s="56">
        <v>1.0758472296930001E-3</v>
      </c>
    </row>
    <row r="443" spans="1:5" ht="14.5" customHeight="1">
      <c r="A443" s="40"/>
      <c r="B443" s="88"/>
      <c r="C443" s="54" t="s">
        <v>153</v>
      </c>
      <c r="D443" s="55">
        <v>9</v>
      </c>
      <c r="E443" s="56">
        <v>2.4206562668100001E-3</v>
      </c>
    </row>
    <row r="444" spans="1:5" ht="14.5" customHeight="1">
      <c r="A444" s="40"/>
      <c r="B444" s="88"/>
      <c r="C444" s="54" t="s">
        <v>154</v>
      </c>
      <c r="D444" s="55">
        <v>66</v>
      </c>
      <c r="E444" s="56">
        <v>1.7751479289940999E-2</v>
      </c>
    </row>
    <row r="445" spans="1:5" ht="14.5" customHeight="1">
      <c r="A445" s="40"/>
      <c r="B445" s="88"/>
      <c r="C445" s="54" t="s">
        <v>155</v>
      </c>
      <c r="D445" s="55">
        <v>2</v>
      </c>
      <c r="E445" s="56">
        <v>5.3792361484699997E-4</v>
      </c>
    </row>
    <row r="446" spans="1:5" ht="14.5" customHeight="1">
      <c r="A446" s="40"/>
      <c r="B446" s="88"/>
      <c r="C446" s="54" t="s">
        <v>156</v>
      </c>
      <c r="D446" s="55">
        <v>1</v>
      </c>
      <c r="E446" s="56">
        <v>2.68961807423E-4</v>
      </c>
    </row>
    <row r="447" spans="1:5" ht="14.5" customHeight="1">
      <c r="A447" s="40"/>
      <c r="B447" s="88"/>
      <c r="C447" s="54" t="s">
        <v>157</v>
      </c>
      <c r="D447" s="55">
        <v>1</v>
      </c>
      <c r="E447" s="56">
        <v>2.68961807423E-4</v>
      </c>
    </row>
    <row r="448" spans="1:5" ht="14.5" customHeight="1">
      <c r="A448" s="40"/>
      <c r="B448" s="88"/>
      <c r="C448" s="54" t="s">
        <v>158</v>
      </c>
      <c r="D448" s="55">
        <v>1</v>
      </c>
      <c r="E448" s="56">
        <v>2.68961807423E-4</v>
      </c>
    </row>
    <row r="449" spans="1:5" ht="14.5" customHeight="1">
      <c r="A449" s="40"/>
      <c r="B449" s="88"/>
      <c r="C449" s="54" t="s">
        <v>159</v>
      </c>
      <c r="D449" s="55">
        <v>2</v>
      </c>
      <c r="E449" s="56">
        <v>5.3792361484699997E-4</v>
      </c>
    </row>
    <row r="450" spans="1:5" ht="14.5" customHeight="1">
      <c r="A450" s="40"/>
      <c r="B450" s="88"/>
      <c r="C450" s="54" t="s">
        <v>160</v>
      </c>
      <c r="D450" s="55">
        <v>5</v>
      </c>
      <c r="E450" s="56">
        <v>1.344809037117E-3</v>
      </c>
    </row>
    <row r="451" spans="1:5" ht="14.5" customHeight="1">
      <c r="A451" s="40"/>
      <c r="B451" s="89"/>
      <c r="C451" s="67" t="s">
        <v>308</v>
      </c>
      <c r="D451" s="66">
        <v>232</v>
      </c>
      <c r="E451" s="68">
        <v>6.2399139322216003E-2</v>
      </c>
    </row>
    <row r="452" spans="1:5" ht="14.5" customHeight="1">
      <c r="A452" s="40"/>
      <c r="B452" s="87" t="s">
        <v>59</v>
      </c>
      <c r="C452" s="54" t="s">
        <v>142</v>
      </c>
      <c r="D452" s="55">
        <v>1</v>
      </c>
      <c r="E452" s="56">
        <v>2.68961807423E-4</v>
      </c>
    </row>
    <row r="453" spans="1:5" ht="14.5" customHeight="1">
      <c r="A453" s="40"/>
      <c r="B453" s="88"/>
      <c r="C453" s="54" t="s">
        <v>143</v>
      </c>
      <c r="D453" s="55">
        <v>3</v>
      </c>
      <c r="E453" s="56">
        <v>8.0688542227000002E-4</v>
      </c>
    </row>
    <row r="454" spans="1:5" ht="14.5" customHeight="1">
      <c r="A454" s="40"/>
      <c r="B454" s="88"/>
      <c r="C454" s="54" t="s">
        <v>145</v>
      </c>
      <c r="D454" s="55">
        <v>3</v>
      </c>
      <c r="E454" s="56">
        <v>8.0688542227000002E-4</v>
      </c>
    </row>
    <row r="455" spans="1:5" ht="14.5" customHeight="1">
      <c r="A455" s="40"/>
      <c r="B455" s="88"/>
      <c r="C455" s="54" t="s">
        <v>146</v>
      </c>
      <c r="D455" s="55">
        <v>5</v>
      </c>
      <c r="E455" s="56">
        <v>1.344809037117E-3</v>
      </c>
    </row>
    <row r="456" spans="1:5" ht="14.5" customHeight="1">
      <c r="A456" s="40"/>
      <c r="B456" s="88"/>
      <c r="C456" s="54" t="s">
        <v>147</v>
      </c>
      <c r="D456" s="55">
        <v>7</v>
      </c>
      <c r="E456" s="56">
        <v>1.8827326519630001E-3</v>
      </c>
    </row>
    <row r="457" spans="1:5" ht="14.5" customHeight="1">
      <c r="A457" s="40"/>
      <c r="B457" s="88"/>
      <c r="C457" s="54" t="s">
        <v>148</v>
      </c>
      <c r="D457" s="55">
        <v>1</v>
      </c>
      <c r="E457" s="56">
        <v>2.68961807423E-4</v>
      </c>
    </row>
    <row r="458" spans="1:5" ht="14.5" customHeight="1">
      <c r="A458" s="40"/>
      <c r="B458" s="88"/>
      <c r="C458" s="54" t="s">
        <v>149</v>
      </c>
      <c r="D458" s="55">
        <v>2</v>
      </c>
      <c r="E458" s="56">
        <v>5.3792361484699997E-4</v>
      </c>
    </row>
    <row r="459" spans="1:5" ht="14.5" customHeight="1">
      <c r="A459" s="40"/>
      <c r="B459" s="88"/>
      <c r="C459" s="54" t="s">
        <v>150</v>
      </c>
      <c r="D459" s="55">
        <v>1</v>
      </c>
      <c r="E459" s="56">
        <v>2.68961807423E-4</v>
      </c>
    </row>
    <row r="460" spans="1:5" ht="14.5" customHeight="1">
      <c r="A460" s="40"/>
      <c r="B460" s="88"/>
      <c r="C460" s="54" t="s">
        <v>151</v>
      </c>
      <c r="D460" s="55">
        <v>15</v>
      </c>
      <c r="E460" s="56">
        <v>4.0344271113499997E-3</v>
      </c>
    </row>
    <row r="461" spans="1:5" ht="14.5" customHeight="1">
      <c r="A461" s="40"/>
      <c r="B461" s="88"/>
      <c r="C461" s="54" t="s">
        <v>152</v>
      </c>
      <c r="D461" s="55">
        <v>6</v>
      </c>
      <c r="E461" s="56">
        <v>1.61377084454E-3</v>
      </c>
    </row>
    <row r="462" spans="1:5" ht="14.5" customHeight="1">
      <c r="A462" s="40"/>
      <c r="B462" s="88"/>
      <c r="C462" s="54" t="s">
        <v>153</v>
      </c>
      <c r="D462" s="55">
        <v>1</v>
      </c>
      <c r="E462" s="56">
        <v>2.68961807423E-4</v>
      </c>
    </row>
    <row r="463" spans="1:5" ht="14.5" customHeight="1">
      <c r="A463" s="40"/>
      <c r="B463" s="88"/>
      <c r="C463" s="54" t="s">
        <v>154</v>
      </c>
      <c r="D463" s="55">
        <v>23</v>
      </c>
      <c r="E463" s="56">
        <v>6.1861215707370003E-3</v>
      </c>
    </row>
    <row r="464" spans="1:5" ht="14.5" customHeight="1">
      <c r="A464" s="40"/>
      <c r="B464" s="88"/>
      <c r="C464" s="54" t="s">
        <v>156</v>
      </c>
      <c r="D464" s="55">
        <v>1</v>
      </c>
      <c r="E464" s="56">
        <v>2.68961807423E-4</v>
      </c>
    </row>
    <row r="465" spans="1:5" ht="14.5" customHeight="1">
      <c r="A465" s="40"/>
      <c r="B465" s="88"/>
      <c r="C465" s="54" t="s">
        <v>159</v>
      </c>
      <c r="D465" s="55">
        <v>1</v>
      </c>
      <c r="E465" s="56">
        <v>2.68961807423E-4</v>
      </c>
    </row>
    <row r="466" spans="1:5" ht="14.5" customHeight="1">
      <c r="A466" s="40"/>
      <c r="B466" s="88"/>
      <c r="C466" s="54" t="s">
        <v>160</v>
      </c>
      <c r="D466" s="55">
        <v>6</v>
      </c>
      <c r="E466" s="56">
        <v>1.61377084454E-3</v>
      </c>
    </row>
    <row r="467" spans="1:5" ht="14.5" customHeight="1">
      <c r="A467" s="40"/>
      <c r="B467" s="89"/>
      <c r="C467" s="67" t="s">
        <v>308</v>
      </c>
      <c r="D467" s="66">
        <v>76</v>
      </c>
      <c r="E467" s="68">
        <v>2.0441097364173998E-2</v>
      </c>
    </row>
    <row r="468" spans="1:5" ht="14.5" customHeight="1">
      <c r="A468" s="40"/>
      <c r="B468" s="87" t="s">
        <v>61</v>
      </c>
      <c r="C468" s="54" t="s">
        <v>140</v>
      </c>
      <c r="D468" s="55">
        <v>1</v>
      </c>
      <c r="E468" s="56">
        <v>2.68961807423E-4</v>
      </c>
    </row>
    <row r="469" spans="1:5" ht="14.5" customHeight="1">
      <c r="A469" s="40"/>
      <c r="B469" s="88"/>
      <c r="C469" s="54" t="s">
        <v>141</v>
      </c>
      <c r="D469" s="55">
        <v>2</v>
      </c>
      <c r="E469" s="56">
        <v>5.3792361484699997E-4</v>
      </c>
    </row>
    <row r="470" spans="1:5" ht="14.5" customHeight="1">
      <c r="A470" s="40"/>
      <c r="B470" s="88"/>
      <c r="C470" s="54" t="s">
        <v>143</v>
      </c>
      <c r="D470" s="55">
        <v>1</v>
      </c>
      <c r="E470" s="56">
        <v>2.68961807423E-4</v>
      </c>
    </row>
    <row r="471" spans="1:5" ht="14.5" customHeight="1">
      <c r="A471" s="40"/>
      <c r="B471" s="88"/>
      <c r="C471" s="54" t="s">
        <v>146</v>
      </c>
      <c r="D471" s="55">
        <v>6</v>
      </c>
      <c r="E471" s="56">
        <v>1.61377084454E-3</v>
      </c>
    </row>
    <row r="472" spans="1:5" ht="14.5" customHeight="1">
      <c r="A472" s="40"/>
      <c r="B472" s="88"/>
      <c r="C472" s="54" t="s">
        <v>147</v>
      </c>
      <c r="D472" s="55">
        <v>5</v>
      </c>
      <c r="E472" s="56">
        <v>1.344809037117E-3</v>
      </c>
    </row>
    <row r="473" spans="1:5" ht="14.5" customHeight="1">
      <c r="A473" s="40"/>
      <c r="B473" s="88"/>
      <c r="C473" s="54" t="s">
        <v>150</v>
      </c>
      <c r="D473" s="55">
        <v>4</v>
      </c>
      <c r="E473" s="56">
        <v>1.0758472296930001E-3</v>
      </c>
    </row>
    <row r="474" spans="1:5" ht="14.5" customHeight="1">
      <c r="A474" s="40"/>
      <c r="B474" s="88"/>
      <c r="C474" s="54" t="s">
        <v>151</v>
      </c>
      <c r="D474" s="55">
        <v>23</v>
      </c>
      <c r="E474" s="56">
        <v>6.1861215707370003E-3</v>
      </c>
    </row>
    <row r="475" spans="1:5" ht="14.5" customHeight="1">
      <c r="A475" s="40"/>
      <c r="B475" s="88"/>
      <c r="C475" s="54" t="s">
        <v>153</v>
      </c>
      <c r="D475" s="55">
        <v>5</v>
      </c>
      <c r="E475" s="56">
        <v>1.344809037117E-3</v>
      </c>
    </row>
    <row r="476" spans="1:5" ht="14.5" customHeight="1">
      <c r="A476" s="40"/>
      <c r="B476" s="88"/>
      <c r="C476" s="54" t="s">
        <v>154</v>
      </c>
      <c r="D476" s="55">
        <v>15</v>
      </c>
      <c r="E476" s="56">
        <v>4.0344271113499997E-3</v>
      </c>
    </row>
    <row r="477" spans="1:5" ht="14.5" customHeight="1">
      <c r="A477" s="40"/>
      <c r="B477" s="88"/>
      <c r="C477" s="54" t="s">
        <v>160</v>
      </c>
      <c r="D477" s="55">
        <v>4</v>
      </c>
      <c r="E477" s="56">
        <v>1.0758472296930001E-3</v>
      </c>
    </row>
    <row r="478" spans="1:5" ht="14.5" customHeight="1">
      <c r="A478" s="40"/>
      <c r="B478" s="89"/>
      <c r="C478" s="67" t="s">
        <v>308</v>
      </c>
      <c r="D478" s="66">
        <v>66</v>
      </c>
      <c r="E478" s="68">
        <v>1.7751479289940999E-2</v>
      </c>
    </row>
    <row r="479" spans="1:5" ht="14.5" customHeight="1">
      <c r="A479" s="40"/>
      <c r="B479" s="87" t="s">
        <v>52</v>
      </c>
      <c r="C479" s="54" t="s">
        <v>140</v>
      </c>
      <c r="D479" s="55">
        <v>2</v>
      </c>
      <c r="E479" s="56">
        <v>5.3792361484699997E-4</v>
      </c>
    </row>
    <row r="480" spans="1:5" ht="14.5" customHeight="1">
      <c r="A480" s="40"/>
      <c r="B480" s="88"/>
      <c r="C480" s="54" t="s">
        <v>141</v>
      </c>
      <c r="D480" s="55">
        <v>1</v>
      </c>
      <c r="E480" s="56">
        <v>2.68961807423E-4</v>
      </c>
    </row>
    <row r="481" spans="1:5" ht="14.5" customHeight="1">
      <c r="A481" s="40"/>
      <c r="B481" s="88"/>
      <c r="C481" s="54" t="s">
        <v>142</v>
      </c>
      <c r="D481" s="55">
        <v>3</v>
      </c>
      <c r="E481" s="56">
        <v>8.0688542227000002E-4</v>
      </c>
    </row>
    <row r="482" spans="1:5" ht="14.5" customHeight="1">
      <c r="A482" s="40"/>
      <c r="B482" s="88"/>
      <c r="C482" s="54" t="s">
        <v>143</v>
      </c>
      <c r="D482" s="55">
        <v>3</v>
      </c>
      <c r="E482" s="56">
        <v>8.0688542227000002E-4</v>
      </c>
    </row>
    <row r="483" spans="1:5" ht="14.5" customHeight="1">
      <c r="A483" s="40"/>
      <c r="B483" s="88"/>
      <c r="C483" s="54" t="s">
        <v>144</v>
      </c>
      <c r="D483" s="55">
        <v>3</v>
      </c>
      <c r="E483" s="56">
        <v>8.0688542227000002E-4</v>
      </c>
    </row>
    <row r="484" spans="1:5" ht="14.5" customHeight="1">
      <c r="A484" s="40"/>
      <c r="B484" s="88"/>
      <c r="C484" s="54" t="s">
        <v>145</v>
      </c>
      <c r="D484" s="55">
        <v>3</v>
      </c>
      <c r="E484" s="56">
        <v>8.0688542227000002E-4</v>
      </c>
    </row>
    <row r="485" spans="1:5" ht="14.5" customHeight="1">
      <c r="A485" s="40"/>
      <c r="B485" s="88"/>
      <c r="C485" s="54" t="s">
        <v>146</v>
      </c>
      <c r="D485" s="55">
        <v>23</v>
      </c>
      <c r="E485" s="56">
        <v>6.1861215707370003E-3</v>
      </c>
    </row>
    <row r="486" spans="1:5" ht="14.5" customHeight="1">
      <c r="A486" s="40"/>
      <c r="B486" s="88"/>
      <c r="C486" s="54" t="s">
        <v>147</v>
      </c>
      <c r="D486" s="55">
        <v>16</v>
      </c>
      <c r="E486" s="56">
        <v>4.3033889187739996E-3</v>
      </c>
    </row>
    <row r="487" spans="1:5" ht="14.5" customHeight="1">
      <c r="A487" s="40"/>
      <c r="B487" s="88"/>
      <c r="C487" s="54" t="s">
        <v>148</v>
      </c>
      <c r="D487" s="55">
        <v>4</v>
      </c>
      <c r="E487" s="56">
        <v>1.0758472296930001E-3</v>
      </c>
    </row>
    <row r="488" spans="1:5" ht="14.5" customHeight="1">
      <c r="A488" s="40"/>
      <c r="B488" s="88"/>
      <c r="C488" s="54" t="s">
        <v>149</v>
      </c>
      <c r="D488" s="55">
        <v>5</v>
      </c>
      <c r="E488" s="56">
        <v>1.344809037117E-3</v>
      </c>
    </row>
    <row r="489" spans="1:5" ht="14.5" customHeight="1">
      <c r="A489" s="40"/>
      <c r="B489" s="88"/>
      <c r="C489" s="54" t="s">
        <v>150</v>
      </c>
      <c r="D489" s="55">
        <v>4</v>
      </c>
      <c r="E489" s="56">
        <v>1.0758472296930001E-3</v>
      </c>
    </row>
    <row r="490" spans="1:5" ht="14.5" customHeight="1">
      <c r="A490" s="40"/>
      <c r="B490" s="88"/>
      <c r="C490" s="54" t="s">
        <v>151</v>
      </c>
      <c r="D490" s="55">
        <v>46</v>
      </c>
      <c r="E490" s="56">
        <v>1.2372243141474001E-2</v>
      </c>
    </row>
    <row r="491" spans="1:5" ht="14.5" customHeight="1">
      <c r="A491" s="40"/>
      <c r="B491" s="88"/>
      <c r="C491" s="54" t="s">
        <v>152</v>
      </c>
      <c r="D491" s="55">
        <v>5</v>
      </c>
      <c r="E491" s="56">
        <v>1.344809037117E-3</v>
      </c>
    </row>
    <row r="492" spans="1:5" ht="14.5" customHeight="1">
      <c r="A492" s="40"/>
      <c r="B492" s="88"/>
      <c r="C492" s="54" t="s">
        <v>153</v>
      </c>
      <c r="D492" s="55">
        <v>14</v>
      </c>
      <c r="E492" s="56">
        <v>3.7654653039269998E-3</v>
      </c>
    </row>
    <row r="493" spans="1:5" ht="14.5" customHeight="1">
      <c r="A493" s="40"/>
      <c r="B493" s="88"/>
      <c r="C493" s="54" t="s">
        <v>154</v>
      </c>
      <c r="D493" s="55">
        <v>33</v>
      </c>
      <c r="E493" s="56">
        <v>8.8757396449699998E-3</v>
      </c>
    </row>
    <row r="494" spans="1:5" ht="14.5" customHeight="1">
      <c r="A494" s="40"/>
      <c r="B494" s="88"/>
      <c r="C494" s="54" t="s">
        <v>155</v>
      </c>
      <c r="D494" s="55">
        <v>1</v>
      </c>
      <c r="E494" s="56">
        <v>2.68961807423E-4</v>
      </c>
    </row>
    <row r="495" spans="1:5" ht="14.5" customHeight="1">
      <c r="A495" s="40"/>
      <c r="B495" s="88"/>
      <c r="C495" s="54" t="s">
        <v>156</v>
      </c>
      <c r="D495" s="55">
        <v>1</v>
      </c>
      <c r="E495" s="56">
        <v>2.68961807423E-4</v>
      </c>
    </row>
    <row r="496" spans="1:5" ht="14.5" customHeight="1">
      <c r="A496" s="40"/>
      <c r="B496" s="88"/>
      <c r="C496" s="54" t="s">
        <v>158</v>
      </c>
      <c r="D496" s="55">
        <v>1</v>
      </c>
      <c r="E496" s="56">
        <v>2.68961807423E-4</v>
      </c>
    </row>
    <row r="497" spans="1:5" ht="14.5" customHeight="1">
      <c r="A497" s="40"/>
      <c r="B497" s="88"/>
      <c r="C497" s="54" t="s">
        <v>160</v>
      </c>
      <c r="D497" s="55">
        <v>3</v>
      </c>
      <c r="E497" s="56">
        <v>8.0688542227000002E-4</v>
      </c>
    </row>
    <row r="498" spans="1:5" ht="14.5" customHeight="1">
      <c r="A498" s="40"/>
      <c r="B498" s="89"/>
      <c r="C498" s="67" t="s">
        <v>308</v>
      </c>
      <c r="D498" s="66">
        <v>171</v>
      </c>
      <c r="E498" s="68">
        <v>4.5992469069392E-2</v>
      </c>
    </row>
    <row r="499" spans="1:5" ht="14.5" customHeight="1">
      <c r="A499" s="40"/>
      <c r="B499" s="87" t="s">
        <v>53</v>
      </c>
      <c r="C499" s="54" t="s">
        <v>140</v>
      </c>
      <c r="D499" s="55">
        <v>1</v>
      </c>
      <c r="E499" s="56">
        <v>2.68961807423E-4</v>
      </c>
    </row>
    <row r="500" spans="1:5" ht="14.5" customHeight="1">
      <c r="A500" s="40"/>
      <c r="B500" s="88"/>
      <c r="C500" s="54" t="s">
        <v>141</v>
      </c>
      <c r="D500" s="55">
        <v>1</v>
      </c>
      <c r="E500" s="56">
        <v>2.68961807423E-4</v>
      </c>
    </row>
    <row r="501" spans="1:5" ht="14.5" customHeight="1">
      <c r="A501" s="40"/>
      <c r="B501" s="88"/>
      <c r="C501" s="54" t="s">
        <v>142</v>
      </c>
      <c r="D501" s="55">
        <v>1</v>
      </c>
      <c r="E501" s="56">
        <v>2.68961807423E-4</v>
      </c>
    </row>
    <row r="502" spans="1:5" ht="14.5" customHeight="1">
      <c r="A502" s="40"/>
      <c r="B502" s="88"/>
      <c r="C502" s="54" t="s">
        <v>143</v>
      </c>
      <c r="D502" s="55">
        <v>1</v>
      </c>
      <c r="E502" s="56">
        <v>2.68961807423E-4</v>
      </c>
    </row>
    <row r="503" spans="1:5" ht="14.5" customHeight="1">
      <c r="A503" s="40"/>
      <c r="B503" s="88"/>
      <c r="C503" s="54" t="s">
        <v>144</v>
      </c>
      <c r="D503" s="55">
        <v>2</v>
      </c>
      <c r="E503" s="56">
        <v>5.3792361484699997E-4</v>
      </c>
    </row>
    <row r="504" spans="1:5" ht="14.5" customHeight="1">
      <c r="A504" s="40"/>
      <c r="B504" s="88"/>
      <c r="C504" s="54" t="s">
        <v>145</v>
      </c>
      <c r="D504" s="55">
        <v>1</v>
      </c>
      <c r="E504" s="56">
        <v>2.68961807423E-4</v>
      </c>
    </row>
    <row r="505" spans="1:5" ht="14.5" customHeight="1">
      <c r="A505" s="40"/>
      <c r="B505" s="88"/>
      <c r="C505" s="54" t="s">
        <v>146</v>
      </c>
      <c r="D505" s="55">
        <v>6</v>
      </c>
      <c r="E505" s="56">
        <v>1.61377084454E-3</v>
      </c>
    </row>
    <row r="506" spans="1:5" ht="14.5" customHeight="1">
      <c r="A506" s="40"/>
      <c r="B506" s="88"/>
      <c r="C506" s="54" t="s">
        <v>147</v>
      </c>
      <c r="D506" s="55">
        <v>21</v>
      </c>
      <c r="E506" s="56">
        <v>5.6481979558899997E-3</v>
      </c>
    </row>
    <row r="507" spans="1:5" ht="14.5" customHeight="1">
      <c r="A507" s="40"/>
      <c r="B507" s="88"/>
      <c r="C507" s="54" t="s">
        <v>148</v>
      </c>
      <c r="D507" s="55">
        <v>2</v>
      </c>
      <c r="E507" s="56">
        <v>5.3792361484699997E-4</v>
      </c>
    </row>
    <row r="508" spans="1:5" ht="14.5" customHeight="1">
      <c r="A508" s="40"/>
      <c r="B508" s="88"/>
      <c r="C508" s="54" t="s">
        <v>149</v>
      </c>
      <c r="D508" s="55">
        <v>6</v>
      </c>
      <c r="E508" s="56">
        <v>1.61377084454E-3</v>
      </c>
    </row>
    <row r="509" spans="1:5" ht="14.5" customHeight="1">
      <c r="A509" s="40"/>
      <c r="B509" s="88"/>
      <c r="C509" s="54" t="s">
        <v>150</v>
      </c>
      <c r="D509" s="55">
        <v>3</v>
      </c>
      <c r="E509" s="56">
        <v>8.0688542227000002E-4</v>
      </c>
    </row>
    <row r="510" spans="1:5" ht="14.5" customHeight="1">
      <c r="A510" s="40"/>
      <c r="B510" s="88"/>
      <c r="C510" s="54" t="s">
        <v>151</v>
      </c>
      <c r="D510" s="55">
        <v>46</v>
      </c>
      <c r="E510" s="56">
        <v>1.2372243141474001E-2</v>
      </c>
    </row>
    <row r="511" spans="1:5" ht="14.5" customHeight="1">
      <c r="A511" s="40"/>
      <c r="B511" s="88"/>
      <c r="C511" s="54" t="s">
        <v>152</v>
      </c>
      <c r="D511" s="55">
        <v>4</v>
      </c>
      <c r="E511" s="56">
        <v>1.0758472296930001E-3</v>
      </c>
    </row>
    <row r="512" spans="1:5" ht="14.5" customHeight="1">
      <c r="A512" s="40"/>
      <c r="B512" s="88"/>
      <c r="C512" s="54" t="s">
        <v>153</v>
      </c>
      <c r="D512" s="55">
        <v>14</v>
      </c>
      <c r="E512" s="56">
        <v>3.7654653039269998E-3</v>
      </c>
    </row>
    <row r="513" spans="1:5" ht="14.5" customHeight="1">
      <c r="A513" s="40"/>
      <c r="B513" s="88"/>
      <c r="C513" s="54" t="s">
        <v>154</v>
      </c>
      <c r="D513" s="55">
        <v>30</v>
      </c>
      <c r="E513" s="56">
        <v>8.0688542226999994E-3</v>
      </c>
    </row>
    <row r="514" spans="1:5" ht="14.5" customHeight="1">
      <c r="A514" s="40"/>
      <c r="B514" s="88"/>
      <c r="C514" s="54" t="s">
        <v>156</v>
      </c>
      <c r="D514" s="55">
        <v>2</v>
      </c>
      <c r="E514" s="56">
        <v>5.3792361484699997E-4</v>
      </c>
    </row>
    <row r="515" spans="1:5" ht="14.5" customHeight="1">
      <c r="A515" s="40"/>
      <c r="B515" s="88"/>
      <c r="C515" s="54" t="s">
        <v>158</v>
      </c>
      <c r="D515" s="55">
        <v>1</v>
      </c>
      <c r="E515" s="56">
        <v>2.68961807423E-4</v>
      </c>
    </row>
    <row r="516" spans="1:5" ht="14.5" customHeight="1">
      <c r="A516" s="40"/>
      <c r="B516" s="88"/>
      <c r="C516" s="54" t="s">
        <v>159</v>
      </c>
      <c r="D516" s="55">
        <v>4</v>
      </c>
      <c r="E516" s="56">
        <v>1.0758472296930001E-3</v>
      </c>
    </row>
    <row r="517" spans="1:5" ht="14.5" customHeight="1">
      <c r="A517" s="40"/>
      <c r="B517" s="88"/>
      <c r="C517" s="54" t="s">
        <v>160</v>
      </c>
      <c r="D517" s="55">
        <v>10</v>
      </c>
      <c r="E517" s="56">
        <v>2.6896180742329999E-3</v>
      </c>
    </row>
    <row r="518" spans="1:5" ht="14.5" customHeight="1">
      <c r="A518" s="40"/>
      <c r="B518" s="89"/>
      <c r="C518" s="67" t="s">
        <v>308</v>
      </c>
      <c r="D518" s="66">
        <v>156</v>
      </c>
      <c r="E518" s="68">
        <v>4.1958041958042001E-2</v>
      </c>
    </row>
    <row r="519" spans="1:5" ht="14.5" customHeight="1">
      <c r="A519" s="40"/>
      <c r="B519" s="87" t="s">
        <v>65</v>
      </c>
      <c r="C519" s="54" t="s">
        <v>144</v>
      </c>
      <c r="D519" s="55">
        <v>3</v>
      </c>
      <c r="E519" s="56">
        <v>8.0688542227000002E-4</v>
      </c>
    </row>
    <row r="520" spans="1:5" ht="14.5" customHeight="1">
      <c r="A520" s="40"/>
      <c r="B520" s="88"/>
      <c r="C520" s="54" t="s">
        <v>145</v>
      </c>
      <c r="D520" s="55">
        <v>1</v>
      </c>
      <c r="E520" s="56">
        <v>2.68961807423E-4</v>
      </c>
    </row>
    <row r="521" spans="1:5" ht="15" customHeight="1">
      <c r="A521" s="40"/>
      <c r="B521" s="88"/>
      <c r="C521" s="54" t="s">
        <v>146</v>
      </c>
      <c r="D521" s="55">
        <v>2</v>
      </c>
      <c r="E521" s="56">
        <v>5.3792361484699997E-4</v>
      </c>
    </row>
    <row r="522" spans="1:5" ht="15" customHeight="1">
      <c r="A522" s="40"/>
      <c r="B522" s="88"/>
      <c r="C522" s="54" t="s">
        <v>147</v>
      </c>
      <c r="D522" s="55">
        <v>8</v>
      </c>
      <c r="E522" s="56">
        <v>2.1516944593869998E-3</v>
      </c>
    </row>
    <row r="523" spans="1:5" ht="15" customHeight="1">
      <c r="A523" s="40"/>
      <c r="B523" s="88"/>
      <c r="C523" s="54" t="s">
        <v>149</v>
      </c>
      <c r="D523" s="55">
        <v>1</v>
      </c>
      <c r="E523" s="56">
        <v>2.68961807423E-4</v>
      </c>
    </row>
    <row r="524" spans="1:5" ht="15" customHeight="1">
      <c r="A524" s="40"/>
      <c r="B524" s="88"/>
      <c r="C524" s="54" t="s">
        <v>150</v>
      </c>
      <c r="D524" s="55">
        <v>5</v>
      </c>
      <c r="E524" s="56">
        <v>1.344809037117E-3</v>
      </c>
    </row>
    <row r="525" spans="1:5" ht="15" customHeight="1">
      <c r="A525" s="40"/>
      <c r="B525" s="88"/>
      <c r="C525" s="54" t="s">
        <v>151</v>
      </c>
      <c r="D525" s="55">
        <v>7</v>
      </c>
      <c r="E525" s="56">
        <v>1.8827326519630001E-3</v>
      </c>
    </row>
    <row r="526" spans="1:5" ht="15" customHeight="1">
      <c r="A526" s="40"/>
      <c r="B526" s="88"/>
      <c r="C526" s="54" t="s">
        <v>152</v>
      </c>
      <c r="D526" s="55">
        <v>3</v>
      </c>
      <c r="E526" s="56">
        <v>8.0688542227000002E-4</v>
      </c>
    </row>
    <row r="527" spans="1:5" ht="15" customHeight="1">
      <c r="A527" s="40"/>
      <c r="B527" s="88"/>
      <c r="C527" s="54" t="s">
        <v>153</v>
      </c>
      <c r="D527" s="55">
        <v>1</v>
      </c>
      <c r="E527" s="56">
        <v>2.68961807423E-4</v>
      </c>
    </row>
    <row r="528" spans="1:5" ht="15" customHeight="1">
      <c r="A528" s="40"/>
      <c r="B528" s="88"/>
      <c r="C528" s="54" t="s">
        <v>154</v>
      </c>
      <c r="D528" s="55">
        <v>11</v>
      </c>
      <c r="E528" s="56">
        <v>2.9585798816569998E-3</v>
      </c>
    </row>
    <row r="529" spans="1:5" ht="15" customHeight="1">
      <c r="A529" s="40"/>
      <c r="B529" s="88"/>
      <c r="C529" s="54" t="s">
        <v>155</v>
      </c>
      <c r="D529" s="55">
        <v>1</v>
      </c>
      <c r="E529" s="56">
        <v>2.68961807423E-4</v>
      </c>
    </row>
    <row r="530" spans="1:5" ht="15" customHeight="1">
      <c r="A530" s="40"/>
      <c r="B530" s="88"/>
      <c r="C530" s="54" t="s">
        <v>159</v>
      </c>
      <c r="D530" s="55">
        <v>2</v>
      </c>
      <c r="E530" s="56">
        <v>5.3792361484699997E-4</v>
      </c>
    </row>
    <row r="531" spans="1:5" ht="15" customHeight="1">
      <c r="A531" s="40"/>
      <c r="B531" s="88"/>
      <c r="C531" s="54" t="s">
        <v>160</v>
      </c>
      <c r="D531" s="55">
        <v>1</v>
      </c>
      <c r="E531" s="56">
        <v>2.68961807423E-4</v>
      </c>
    </row>
    <row r="532" spans="1:5" ht="15" customHeight="1">
      <c r="A532" s="40"/>
      <c r="B532" s="89"/>
      <c r="C532" s="67" t="s">
        <v>308</v>
      </c>
      <c r="D532" s="66">
        <v>46</v>
      </c>
      <c r="E532" s="68">
        <v>1.2372243141474001E-2</v>
      </c>
    </row>
    <row r="533" spans="1:5" ht="15" customHeight="1">
      <c r="A533" s="40"/>
      <c r="B533" s="87" t="s">
        <v>84</v>
      </c>
      <c r="C533" s="54" t="s">
        <v>145</v>
      </c>
      <c r="D533" s="55">
        <v>1</v>
      </c>
      <c r="E533" s="56">
        <v>2.68961807423E-4</v>
      </c>
    </row>
    <row r="534" spans="1:5" ht="15" customHeight="1">
      <c r="A534" s="40"/>
      <c r="B534" s="88"/>
      <c r="C534" s="54" t="s">
        <v>147</v>
      </c>
      <c r="D534" s="55">
        <v>1</v>
      </c>
      <c r="E534" s="56">
        <v>2.68961807423E-4</v>
      </c>
    </row>
    <row r="535" spans="1:5" ht="15" customHeight="1">
      <c r="A535" s="40"/>
      <c r="B535" s="88"/>
      <c r="C535" s="54" t="s">
        <v>148</v>
      </c>
      <c r="D535" s="55">
        <v>1</v>
      </c>
      <c r="E535" s="56">
        <v>2.68961807423E-4</v>
      </c>
    </row>
    <row r="536" spans="1:5" ht="15" customHeight="1">
      <c r="A536" s="40"/>
      <c r="B536" s="88"/>
      <c r="C536" s="54" t="s">
        <v>149</v>
      </c>
      <c r="D536" s="55">
        <v>1</v>
      </c>
      <c r="E536" s="56">
        <v>2.68961807423E-4</v>
      </c>
    </row>
    <row r="537" spans="1:5" ht="15" customHeight="1">
      <c r="A537" s="40"/>
      <c r="B537" s="88"/>
      <c r="C537" s="54" t="s">
        <v>150</v>
      </c>
      <c r="D537" s="55">
        <v>1</v>
      </c>
      <c r="E537" s="56">
        <v>2.68961807423E-4</v>
      </c>
    </row>
    <row r="538" spans="1:5" ht="15" customHeight="1">
      <c r="A538" s="40"/>
      <c r="B538" s="88"/>
      <c r="C538" s="54" t="s">
        <v>151</v>
      </c>
      <c r="D538" s="55">
        <v>2</v>
      </c>
      <c r="E538" s="56">
        <v>5.3792361484699997E-4</v>
      </c>
    </row>
    <row r="539" spans="1:5" ht="15" customHeight="1">
      <c r="A539" s="40"/>
      <c r="B539" s="88"/>
      <c r="C539" s="54" t="s">
        <v>154</v>
      </c>
      <c r="D539" s="55">
        <v>3</v>
      </c>
      <c r="E539" s="56">
        <v>8.0688542227000002E-4</v>
      </c>
    </row>
    <row r="540" spans="1:5" ht="15" customHeight="1">
      <c r="A540" s="40"/>
      <c r="B540" s="88"/>
      <c r="C540" s="54" t="s">
        <v>159</v>
      </c>
      <c r="D540" s="55">
        <v>1</v>
      </c>
      <c r="E540" s="56">
        <v>2.68961807423E-4</v>
      </c>
    </row>
    <row r="541" spans="1:5" ht="15" customHeight="1">
      <c r="A541" s="40"/>
      <c r="B541" s="88"/>
      <c r="C541" s="54" t="s">
        <v>160</v>
      </c>
      <c r="D541" s="55">
        <v>1</v>
      </c>
      <c r="E541" s="56">
        <v>2.68961807423E-4</v>
      </c>
    </row>
    <row r="542" spans="1:5" ht="15" customHeight="1">
      <c r="A542" s="40"/>
      <c r="B542" s="89"/>
      <c r="C542" s="67" t="s">
        <v>308</v>
      </c>
      <c r="D542" s="66">
        <v>12</v>
      </c>
      <c r="E542" s="68">
        <v>3.2275416890800001E-3</v>
      </c>
    </row>
    <row r="543" spans="1:5" ht="15" customHeight="1">
      <c r="A543" s="40"/>
      <c r="B543" s="87" t="s">
        <v>80</v>
      </c>
      <c r="C543" s="54" t="s">
        <v>147</v>
      </c>
      <c r="D543" s="55">
        <v>3</v>
      </c>
      <c r="E543" s="56">
        <v>8.0688542227000002E-4</v>
      </c>
    </row>
    <row r="544" spans="1:5" ht="15" customHeight="1">
      <c r="A544" s="40"/>
      <c r="B544" s="88"/>
      <c r="C544" s="54" t="s">
        <v>150</v>
      </c>
      <c r="D544" s="55">
        <v>1</v>
      </c>
      <c r="E544" s="56">
        <v>2.68961807423E-4</v>
      </c>
    </row>
    <row r="545" spans="1:5" ht="15" customHeight="1">
      <c r="A545" s="40"/>
      <c r="B545" s="88"/>
      <c r="C545" s="54" t="s">
        <v>151</v>
      </c>
      <c r="D545" s="55">
        <v>3</v>
      </c>
      <c r="E545" s="56">
        <v>8.0688542227000002E-4</v>
      </c>
    </row>
    <row r="546" spans="1:5" ht="15" customHeight="1">
      <c r="A546" s="40"/>
      <c r="B546" s="88"/>
      <c r="C546" s="54" t="s">
        <v>153</v>
      </c>
      <c r="D546" s="55">
        <v>1</v>
      </c>
      <c r="E546" s="56">
        <v>2.68961807423E-4</v>
      </c>
    </row>
    <row r="547" spans="1:5" ht="15" customHeight="1">
      <c r="A547" s="40"/>
      <c r="B547" s="88"/>
      <c r="C547" s="54" t="s">
        <v>154</v>
      </c>
      <c r="D547" s="55">
        <v>1</v>
      </c>
      <c r="E547" s="56">
        <v>2.68961807423E-4</v>
      </c>
    </row>
    <row r="548" spans="1:5" ht="15" customHeight="1">
      <c r="A548" s="40"/>
      <c r="B548" s="89"/>
      <c r="C548" s="67" t="s">
        <v>308</v>
      </c>
      <c r="D548" s="66">
        <v>9</v>
      </c>
      <c r="E548" s="68">
        <v>2.4206562668100001E-3</v>
      </c>
    </row>
    <row r="549" spans="1:5" ht="15" customHeight="1">
      <c r="A549" s="40"/>
      <c r="B549" s="87" t="s">
        <v>88</v>
      </c>
      <c r="C549" s="54" t="s">
        <v>154</v>
      </c>
      <c r="D549" s="55">
        <v>2</v>
      </c>
      <c r="E549" s="56">
        <v>5.3792361484699997E-4</v>
      </c>
    </row>
    <row r="550" spans="1:5" ht="15" customHeight="1">
      <c r="A550" s="40"/>
      <c r="B550" s="89"/>
      <c r="C550" s="67" t="s">
        <v>308</v>
      </c>
      <c r="D550" s="66">
        <v>2</v>
      </c>
      <c r="E550" s="68">
        <v>5.3792361484699997E-4</v>
      </c>
    </row>
    <row r="551" spans="1:5" ht="15" customHeight="1">
      <c r="A551" s="40"/>
      <c r="B551" s="90" t="s">
        <v>305</v>
      </c>
      <c r="C551" s="91"/>
      <c r="D551" s="58">
        <v>3718</v>
      </c>
      <c r="E551" s="59">
        <v>1</v>
      </c>
    </row>
    <row r="552" spans="1:5" ht="15" customHeight="1">
      <c r="A552" s="40"/>
      <c r="B552" s="40"/>
      <c r="C552" s="40"/>
      <c r="D552" s="40"/>
      <c r="E552" s="40"/>
    </row>
    <row r="553" spans="1:5" ht="15" customHeight="1">
      <c r="A553" s="40"/>
      <c r="B553" s="38" t="s">
        <v>183</v>
      </c>
      <c r="C553" s="40"/>
      <c r="D553" s="40"/>
      <c r="E553" s="40"/>
    </row>
    <row r="554" spans="1:5" ht="15" customHeight="1">
      <c r="A554" s="40"/>
      <c r="B554" s="41" t="s">
        <v>17</v>
      </c>
      <c r="C554" s="40"/>
      <c r="D554" s="40"/>
      <c r="E554" s="40"/>
    </row>
    <row r="555" spans="1:5" ht="15" customHeight="1">
      <c r="A555" s="40"/>
      <c r="B555" s="42" t="s">
        <v>45</v>
      </c>
      <c r="C555" s="40"/>
      <c r="D555" s="40"/>
      <c r="E555" s="40"/>
    </row>
    <row r="556" spans="1:5" ht="15" customHeight="1">
      <c r="A556" s="40"/>
      <c r="B556" s="38" t="s">
        <v>16</v>
      </c>
      <c r="C556" s="40"/>
      <c r="D556" s="40"/>
      <c r="E556" s="40"/>
    </row>
    <row r="557" spans="1:5" ht="15" customHeight="1">
      <c r="A557" s="40"/>
      <c r="B557" s="38" t="s">
        <v>306</v>
      </c>
      <c r="C557" s="40"/>
      <c r="D557" s="40"/>
      <c r="E557" s="40"/>
    </row>
    <row r="558" spans="1:5" ht="15" customHeight="1">
      <c r="A558" s="40"/>
      <c r="B558" s="37"/>
      <c r="C558" s="37"/>
      <c r="D558" s="40"/>
      <c r="E558" s="40"/>
    </row>
  </sheetData>
  <mergeCells count="49">
    <mergeCell ref="B551:C551"/>
    <mergeCell ref="B7:E8"/>
    <mergeCell ref="B10:B15"/>
    <mergeCell ref="B16:B24"/>
    <mergeCell ref="B25:B32"/>
    <mergeCell ref="B33:B47"/>
    <mergeCell ref="B48:B53"/>
    <mergeCell ref="B54:B56"/>
    <mergeCell ref="B57:B62"/>
    <mergeCell ref="B63:B79"/>
    <mergeCell ref="B80:B96"/>
    <mergeCell ref="B97:B110"/>
    <mergeCell ref="B111:B120"/>
    <mergeCell ref="B121:B128"/>
    <mergeCell ref="B129:B133"/>
    <mergeCell ref="B134:B155"/>
    <mergeCell ref="B156:B170"/>
    <mergeCell ref="B171:B177"/>
    <mergeCell ref="B178:B193"/>
    <mergeCell ref="B194:B197"/>
    <mergeCell ref="B198:B215"/>
    <mergeCell ref="B216:B224"/>
    <mergeCell ref="B225:B247"/>
    <mergeCell ref="B248:B259"/>
    <mergeCell ref="B260:B269"/>
    <mergeCell ref="B270:B277"/>
    <mergeCell ref="B278:B280"/>
    <mergeCell ref="B281:B286"/>
    <mergeCell ref="B287:B291"/>
    <mergeCell ref="B292:B302"/>
    <mergeCell ref="B303:B314"/>
    <mergeCell ref="B315:B324"/>
    <mergeCell ref="B325:B338"/>
    <mergeCell ref="B339:B351"/>
    <mergeCell ref="B352:B366"/>
    <mergeCell ref="B367:B380"/>
    <mergeCell ref="B381:B400"/>
    <mergeCell ref="B401:B408"/>
    <mergeCell ref="B409:B420"/>
    <mergeCell ref="B421:B431"/>
    <mergeCell ref="B432:B451"/>
    <mergeCell ref="B533:B542"/>
    <mergeCell ref="B543:B548"/>
    <mergeCell ref="B549:B550"/>
    <mergeCell ref="B452:B467"/>
    <mergeCell ref="B468:B478"/>
    <mergeCell ref="B479:B498"/>
    <mergeCell ref="B499:B518"/>
    <mergeCell ref="B519:B53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1">
    <tabColor rgb="FF00B050"/>
  </sheetPr>
  <dimension ref="A1:F22"/>
  <sheetViews>
    <sheetView showGridLines="0" view="pageBreakPreview" topLeftCell="A8" zoomScaleNormal="100" zoomScaleSheetLayoutView="100" workbookViewId="0">
      <selection activeCell="B17" sqref="B17"/>
    </sheetView>
  </sheetViews>
  <sheetFormatPr baseColWidth="10" defaultColWidth="11.453125" defaultRowHeight="14.5"/>
  <cols>
    <col min="1" max="1" width="9.26953125" style="13" customWidth="1"/>
    <col min="2" max="2" width="21.7265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3.81640625" style="13" customWidth="1"/>
    <col min="7" max="16384" width="11.453125" style="13"/>
  </cols>
  <sheetData>
    <row r="1" spans="1:6" s="16" customFormat="1" ht="15" customHeight="1">
      <c r="C1" s="18"/>
    </row>
    <row r="2" spans="1:6" s="16" customFormat="1" ht="15" customHeight="1">
      <c r="C2" s="18"/>
    </row>
    <row r="3" spans="1:6" s="16" customFormat="1" ht="15" customHeight="1">
      <c r="C3" s="18"/>
    </row>
    <row r="4" spans="1:6" s="16" customFormat="1" ht="30" customHeight="1">
      <c r="C4" s="18"/>
      <c r="D4" s="17"/>
    </row>
    <row r="5" spans="1:6" s="16" customFormat="1" ht="15" customHeight="1">
      <c r="C5" s="18"/>
      <c r="D5" s="17"/>
    </row>
    <row r="6" spans="1:6" s="16" customFormat="1" ht="15" customHeight="1">
      <c r="C6" s="18"/>
      <c r="D6" s="17"/>
    </row>
    <row r="7" spans="1:6" s="16" customFormat="1" ht="15" customHeight="1">
      <c r="A7" s="32"/>
      <c r="B7" s="80" t="s">
        <v>36</v>
      </c>
      <c r="C7" s="92"/>
      <c r="D7" s="92"/>
      <c r="E7" s="32"/>
      <c r="F7" s="32"/>
    </row>
    <row r="8" spans="1:6" s="16" customFormat="1" ht="15" customHeight="1">
      <c r="A8" s="32"/>
      <c r="B8" s="92"/>
      <c r="C8" s="92"/>
      <c r="D8" s="92"/>
      <c r="E8" s="32"/>
      <c r="F8" s="32"/>
    </row>
    <row r="9" spans="1:6" s="16" customFormat="1" ht="33" customHeight="1">
      <c r="A9" s="32"/>
      <c r="B9" s="92"/>
      <c r="C9" s="92"/>
      <c r="D9" s="92"/>
      <c r="E9" s="32"/>
      <c r="F9" s="32"/>
    </row>
    <row r="10" spans="1:6" s="16" customFormat="1" ht="4.5" customHeight="1">
      <c r="A10" s="32"/>
      <c r="B10" s="33"/>
      <c r="C10" s="33"/>
      <c r="D10" s="33"/>
      <c r="E10" s="32"/>
      <c r="F10" s="32"/>
    </row>
    <row r="11" spans="1:6" s="16" customFormat="1" ht="33" customHeight="1">
      <c r="A11" s="32"/>
      <c r="B11" s="34" t="s">
        <v>28</v>
      </c>
      <c r="C11" s="35" t="s">
        <v>19</v>
      </c>
      <c r="D11" s="36" t="s">
        <v>18</v>
      </c>
      <c r="E11" s="32"/>
      <c r="F11" s="32"/>
    </row>
    <row r="12" spans="1:6" ht="14.5" customHeight="1">
      <c r="A12" s="37"/>
      <c r="B12" s="54" t="s">
        <v>128</v>
      </c>
      <c r="C12" s="55">
        <v>1855</v>
      </c>
      <c r="D12" s="56">
        <v>0.49892415277030699</v>
      </c>
      <c r="E12" s="37"/>
      <c r="F12" s="37"/>
    </row>
    <row r="13" spans="1:6" ht="14.5" customHeight="1">
      <c r="A13" s="37"/>
      <c r="B13" s="54" t="s">
        <v>129</v>
      </c>
      <c r="C13" s="55">
        <v>1863</v>
      </c>
      <c r="D13" s="56">
        <v>0.50107584722969301</v>
      </c>
      <c r="E13" s="37"/>
      <c r="F13" s="37"/>
    </row>
    <row r="14" spans="1:6" ht="14.5" customHeight="1">
      <c r="A14" s="37"/>
      <c r="B14" s="57" t="s">
        <v>307</v>
      </c>
      <c r="C14" s="58">
        <v>3718</v>
      </c>
      <c r="D14" s="59">
        <v>1</v>
      </c>
      <c r="E14" s="37"/>
      <c r="F14" s="37"/>
    </row>
    <row r="15" spans="1:6" s="15" customFormat="1" ht="16.5">
      <c r="A15" s="37"/>
      <c r="B15" s="37"/>
      <c r="C15" s="39"/>
      <c r="D15" s="39"/>
      <c r="E15" s="37"/>
      <c r="F15" s="37"/>
    </row>
    <row r="16" spans="1:6" s="15" customFormat="1" ht="16.5">
      <c r="B16" s="38" t="s">
        <v>183</v>
      </c>
      <c r="C16" s="60"/>
      <c r="D16" s="60"/>
      <c r="E16" s="37"/>
      <c r="F16" s="37"/>
    </row>
    <row r="17" spans="2:6" ht="16.5">
      <c r="B17" s="41" t="s">
        <v>17</v>
      </c>
      <c r="C17" s="69"/>
      <c r="D17" s="69"/>
      <c r="E17" s="37"/>
      <c r="F17" s="37"/>
    </row>
    <row r="18" spans="2:6" ht="16.5">
      <c r="B18" s="42" t="s">
        <v>45</v>
      </c>
      <c r="C18" s="70"/>
      <c r="D18" s="70"/>
      <c r="E18" s="37"/>
      <c r="F18" s="37"/>
    </row>
    <row r="19" spans="2:6" ht="16.5">
      <c r="B19" s="38" t="s">
        <v>16</v>
      </c>
      <c r="C19" s="60"/>
      <c r="D19" s="61"/>
      <c r="E19" s="37"/>
      <c r="F19" s="37"/>
    </row>
    <row r="20" spans="2:6" ht="16.5">
      <c r="B20" s="38" t="s">
        <v>306</v>
      </c>
      <c r="C20" s="60"/>
      <c r="D20" s="61"/>
      <c r="E20" s="37"/>
      <c r="F20" s="37"/>
    </row>
    <row r="21" spans="2:6">
      <c r="C21" s="13"/>
    </row>
    <row r="22" spans="2:6">
      <c r="C22" s="1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2">
    <tabColor rgb="FF00B050"/>
  </sheetPr>
  <dimension ref="A1:G159"/>
  <sheetViews>
    <sheetView showGridLines="0" view="pageBreakPreview" topLeftCell="A136" zoomScale="90" zoomScaleNormal="100" zoomScaleSheetLayoutView="90" workbookViewId="0">
      <selection activeCell="G159" sqref="G159"/>
    </sheetView>
  </sheetViews>
  <sheetFormatPr baseColWidth="10" defaultColWidth="11.453125" defaultRowHeight="10"/>
  <cols>
    <col min="1" max="1" width="5.7265625" style="16" customWidth="1"/>
    <col min="2" max="2" width="25.7265625" style="22" customWidth="1"/>
    <col min="3" max="3" width="21.1796875" style="22" customWidth="1"/>
    <col min="4" max="4" width="15.7265625" style="25" customWidth="1"/>
    <col min="5" max="5" width="15.7265625" style="22" customWidth="1"/>
    <col min="6" max="6" width="5.7265625" style="16" customWidth="1"/>
    <col min="7" max="7" width="4.54296875" style="16" customWidth="1"/>
    <col min="8" max="16384" width="11.453125" style="16"/>
  </cols>
  <sheetData>
    <row r="1" spans="1:7" s="13" customFormat="1" ht="14.5">
      <c r="B1" s="22"/>
      <c r="C1" s="22"/>
    </row>
    <row r="2" spans="1:7" s="22" customFormat="1">
      <c r="B2" s="27"/>
    </row>
    <row r="3" spans="1:7" ht="15" customHeight="1">
      <c r="B3" s="28"/>
      <c r="C3" s="18"/>
      <c r="D3" s="16"/>
      <c r="F3" s="22"/>
    </row>
    <row r="4" spans="1:7" ht="30" customHeight="1">
      <c r="B4" s="28"/>
      <c r="C4" s="18"/>
      <c r="D4" s="16"/>
      <c r="F4" s="22"/>
    </row>
    <row r="5" spans="1:7" ht="15" customHeight="1">
      <c r="B5" s="28"/>
      <c r="C5" s="18"/>
      <c r="D5" s="16"/>
      <c r="F5" s="22"/>
    </row>
    <row r="6" spans="1:7" s="22" customFormat="1" ht="10.5">
      <c r="B6" s="24"/>
      <c r="C6" s="21"/>
    </row>
    <row r="7" spans="1:7" s="22" customFormat="1">
      <c r="B7" s="27"/>
    </row>
    <row r="8" spans="1:7" s="13" customFormat="1" ht="15" customHeight="1">
      <c r="A8" s="37"/>
      <c r="B8" s="80" t="s">
        <v>38</v>
      </c>
      <c r="C8" s="80"/>
      <c r="D8" s="80"/>
      <c r="E8" s="80"/>
      <c r="F8" s="37"/>
      <c r="G8" s="37"/>
    </row>
    <row r="9" spans="1:7" s="13" customFormat="1" ht="15" customHeight="1">
      <c r="A9" s="37"/>
      <c r="B9" s="80"/>
      <c r="C9" s="80"/>
      <c r="D9" s="80"/>
      <c r="E9" s="80"/>
      <c r="F9" s="50"/>
      <c r="G9" s="37"/>
    </row>
    <row r="10" spans="1:7" s="13" customFormat="1" ht="15" customHeight="1">
      <c r="A10" s="37"/>
      <c r="B10" s="80"/>
      <c r="C10" s="80"/>
      <c r="D10" s="80"/>
      <c r="E10" s="80"/>
      <c r="F10" s="37"/>
      <c r="G10" s="37"/>
    </row>
    <row r="11" spans="1:7" s="13" customFormat="1" ht="10.5" customHeight="1">
      <c r="A11" s="37"/>
      <c r="B11" s="51"/>
      <c r="C11" s="51"/>
      <c r="D11" s="51"/>
      <c r="E11" s="51"/>
      <c r="F11" s="37"/>
      <c r="G11" s="37"/>
    </row>
    <row r="12" spans="1:7" s="13" customFormat="1" ht="37" customHeight="1">
      <c r="A12" s="37"/>
      <c r="B12" s="53" t="s">
        <v>21</v>
      </c>
      <c r="C12" s="53" t="s">
        <v>28</v>
      </c>
      <c r="D12" s="53" t="s">
        <v>19</v>
      </c>
      <c r="E12" s="53" t="s">
        <v>18</v>
      </c>
      <c r="F12" s="37"/>
      <c r="G12" s="37"/>
    </row>
    <row r="13" spans="1:7" ht="14.5" customHeight="1">
      <c r="A13" s="32"/>
      <c r="B13" s="81" t="s">
        <v>91</v>
      </c>
      <c r="C13" s="54" t="s">
        <v>128</v>
      </c>
      <c r="D13" s="55">
        <v>3</v>
      </c>
      <c r="E13" s="56">
        <v>8.0688542227000002E-4</v>
      </c>
      <c r="F13" s="32"/>
      <c r="G13" s="32"/>
    </row>
    <row r="14" spans="1:7" ht="14.5" customHeight="1">
      <c r="A14" s="32"/>
      <c r="B14" s="83"/>
      <c r="C14" s="54" t="s">
        <v>194</v>
      </c>
      <c r="D14" s="55">
        <v>3</v>
      </c>
      <c r="E14" s="56">
        <v>8.0688542227000002E-4</v>
      </c>
      <c r="F14" s="32"/>
      <c r="G14" s="32"/>
    </row>
    <row r="15" spans="1:7" ht="14.5" customHeight="1">
      <c r="A15" s="32"/>
      <c r="B15" s="82"/>
      <c r="C15" s="67" t="s">
        <v>308</v>
      </c>
      <c r="D15" s="66">
        <v>6</v>
      </c>
      <c r="E15" s="68">
        <v>1.61377084454E-3</v>
      </c>
      <c r="F15" s="32"/>
      <c r="G15" s="32"/>
    </row>
    <row r="16" spans="1:7" ht="14.5" customHeight="1">
      <c r="A16" s="32"/>
      <c r="B16" s="81" t="s">
        <v>66</v>
      </c>
      <c r="C16" s="54" t="s">
        <v>128</v>
      </c>
      <c r="D16" s="55">
        <v>12</v>
      </c>
      <c r="E16" s="56">
        <v>3.2275416890800001E-3</v>
      </c>
      <c r="F16" s="32"/>
      <c r="G16" s="32"/>
    </row>
    <row r="17" spans="1:7" ht="14.5" customHeight="1">
      <c r="A17" s="32"/>
      <c r="B17" s="83"/>
      <c r="C17" s="54" t="s">
        <v>194</v>
      </c>
      <c r="D17" s="55">
        <v>18</v>
      </c>
      <c r="E17" s="56">
        <v>4.8413125336200001E-3</v>
      </c>
      <c r="F17" s="32"/>
      <c r="G17" s="32"/>
    </row>
    <row r="18" spans="1:7" ht="14.5" customHeight="1">
      <c r="A18" s="32"/>
      <c r="B18" s="82"/>
      <c r="C18" s="67" t="s">
        <v>308</v>
      </c>
      <c r="D18" s="66">
        <v>30</v>
      </c>
      <c r="E18" s="68">
        <v>8.0688542226999994E-3</v>
      </c>
      <c r="F18" s="32"/>
      <c r="G18" s="32"/>
    </row>
    <row r="19" spans="1:7" ht="14.5" customHeight="1">
      <c r="A19" s="32"/>
      <c r="B19" s="81" t="s">
        <v>69</v>
      </c>
      <c r="C19" s="54" t="s">
        <v>128</v>
      </c>
      <c r="D19" s="55">
        <v>7</v>
      </c>
      <c r="E19" s="56">
        <v>1.8827326519630001E-3</v>
      </c>
      <c r="F19" s="32"/>
      <c r="G19" s="32"/>
    </row>
    <row r="20" spans="1:7" ht="14.5" customHeight="1">
      <c r="A20" s="32"/>
      <c r="B20" s="83"/>
      <c r="C20" s="54" t="s">
        <v>194</v>
      </c>
      <c r="D20" s="55">
        <v>12</v>
      </c>
      <c r="E20" s="56">
        <v>3.2275416890800001E-3</v>
      </c>
      <c r="F20" s="32"/>
      <c r="G20" s="32"/>
    </row>
    <row r="21" spans="1:7" ht="14.5" customHeight="1">
      <c r="A21" s="32"/>
      <c r="B21" s="82"/>
      <c r="C21" s="67" t="s">
        <v>308</v>
      </c>
      <c r="D21" s="66">
        <v>19</v>
      </c>
      <c r="E21" s="68">
        <v>5.1102743410440001E-3</v>
      </c>
      <c r="F21" s="32"/>
      <c r="G21" s="32"/>
    </row>
    <row r="22" spans="1:7" ht="14.5" customHeight="1">
      <c r="A22" s="32"/>
      <c r="B22" s="81" t="s">
        <v>55</v>
      </c>
      <c r="C22" s="54" t="s">
        <v>128</v>
      </c>
      <c r="D22" s="55">
        <v>43</v>
      </c>
      <c r="E22" s="56">
        <v>1.1565357719204E-2</v>
      </c>
      <c r="F22" s="32"/>
      <c r="G22" s="32"/>
    </row>
    <row r="23" spans="1:7" ht="14.5" customHeight="1">
      <c r="A23" s="32"/>
      <c r="B23" s="83"/>
      <c r="C23" s="54" t="s">
        <v>194</v>
      </c>
      <c r="D23" s="55">
        <v>52</v>
      </c>
      <c r="E23" s="56">
        <v>1.3986013986014E-2</v>
      </c>
      <c r="F23" s="32"/>
      <c r="G23" s="32"/>
    </row>
    <row r="24" spans="1:7" ht="14.5" customHeight="1">
      <c r="A24" s="32"/>
      <c r="B24" s="82"/>
      <c r="C24" s="67" t="s">
        <v>308</v>
      </c>
      <c r="D24" s="66">
        <v>95</v>
      </c>
      <c r="E24" s="68">
        <v>2.5551371705217998E-2</v>
      </c>
      <c r="F24" s="32"/>
      <c r="G24" s="32"/>
    </row>
    <row r="25" spans="1:7" ht="14.5" customHeight="1">
      <c r="A25" s="32"/>
      <c r="B25" s="81" t="s">
        <v>79</v>
      </c>
      <c r="C25" s="54" t="s">
        <v>128</v>
      </c>
      <c r="D25" s="55">
        <v>1</v>
      </c>
      <c r="E25" s="56">
        <v>2.68961807423E-4</v>
      </c>
      <c r="F25" s="32"/>
      <c r="G25" s="32"/>
    </row>
    <row r="26" spans="1:7" ht="14.5" customHeight="1">
      <c r="A26" s="32"/>
      <c r="B26" s="83"/>
      <c r="C26" s="54" t="s">
        <v>194</v>
      </c>
      <c r="D26" s="55">
        <v>6</v>
      </c>
      <c r="E26" s="56">
        <v>1.61377084454E-3</v>
      </c>
      <c r="F26" s="32"/>
      <c r="G26" s="32"/>
    </row>
    <row r="27" spans="1:7" ht="14.5" customHeight="1">
      <c r="A27" s="32"/>
      <c r="B27" s="82"/>
      <c r="C27" s="67" t="s">
        <v>308</v>
      </c>
      <c r="D27" s="66">
        <v>7</v>
      </c>
      <c r="E27" s="68">
        <v>1.8827326519630001E-3</v>
      </c>
      <c r="F27" s="32"/>
      <c r="G27" s="32"/>
    </row>
    <row r="28" spans="1:7" ht="14.5" customHeight="1">
      <c r="A28" s="32"/>
      <c r="B28" s="81" t="s">
        <v>89</v>
      </c>
      <c r="C28" s="54" t="s">
        <v>300</v>
      </c>
      <c r="D28" s="55">
        <v>2</v>
      </c>
      <c r="E28" s="56">
        <v>5.3792361484699997E-4</v>
      </c>
      <c r="F28" s="32"/>
      <c r="G28" s="32"/>
    </row>
    <row r="29" spans="1:7" ht="14.5" customHeight="1">
      <c r="A29" s="32"/>
      <c r="B29" s="82"/>
      <c r="C29" s="67" t="s">
        <v>308</v>
      </c>
      <c r="D29" s="66">
        <v>2</v>
      </c>
      <c r="E29" s="68">
        <v>5.3792361484699997E-4</v>
      </c>
      <c r="F29" s="32"/>
      <c r="G29" s="32"/>
    </row>
    <row r="30" spans="1:7" ht="14.5" customHeight="1">
      <c r="A30" s="32"/>
      <c r="B30" s="81" t="s">
        <v>90</v>
      </c>
      <c r="C30" s="54" t="s">
        <v>128</v>
      </c>
      <c r="D30" s="55">
        <v>3</v>
      </c>
      <c r="E30" s="56">
        <v>8.0688542227000002E-4</v>
      </c>
      <c r="F30" s="32"/>
      <c r="G30" s="32"/>
    </row>
    <row r="31" spans="1:7" ht="14.5" customHeight="1">
      <c r="A31" s="32"/>
      <c r="B31" s="83"/>
      <c r="C31" s="54" t="s">
        <v>194</v>
      </c>
      <c r="D31" s="55">
        <v>5</v>
      </c>
      <c r="E31" s="56">
        <v>1.344809037117E-3</v>
      </c>
      <c r="F31" s="32"/>
      <c r="G31" s="32"/>
    </row>
    <row r="32" spans="1:7" ht="14.5" customHeight="1">
      <c r="A32" s="32"/>
      <c r="B32" s="82"/>
      <c r="C32" s="67" t="s">
        <v>308</v>
      </c>
      <c r="D32" s="66">
        <v>8</v>
      </c>
      <c r="E32" s="68">
        <v>2.1516944593869998E-3</v>
      </c>
      <c r="F32" s="32"/>
      <c r="G32" s="32"/>
    </row>
    <row r="33" spans="1:7" ht="14.5" customHeight="1">
      <c r="A33" s="32"/>
      <c r="B33" s="81" t="s">
        <v>51</v>
      </c>
      <c r="C33" s="54" t="s">
        <v>128</v>
      </c>
      <c r="D33" s="55">
        <v>69</v>
      </c>
      <c r="E33" s="56">
        <v>1.8558364712210999E-2</v>
      </c>
      <c r="F33" s="32"/>
      <c r="G33" s="32"/>
    </row>
    <row r="34" spans="1:7" ht="14.5" customHeight="1">
      <c r="A34" s="32"/>
      <c r="B34" s="83"/>
      <c r="C34" s="54" t="s">
        <v>194</v>
      </c>
      <c r="D34" s="55">
        <v>90</v>
      </c>
      <c r="E34" s="56">
        <v>2.4206562668100999E-2</v>
      </c>
      <c r="F34" s="32"/>
      <c r="G34" s="32"/>
    </row>
    <row r="35" spans="1:7" ht="14.5" customHeight="1">
      <c r="A35" s="32"/>
      <c r="B35" s="82"/>
      <c r="C35" s="67" t="s">
        <v>308</v>
      </c>
      <c r="D35" s="66">
        <v>159</v>
      </c>
      <c r="E35" s="68">
        <v>4.2764927380311998E-2</v>
      </c>
      <c r="F35" s="32"/>
      <c r="G35" s="32"/>
    </row>
    <row r="36" spans="1:7" ht="14.5" customHeight="1">
      <c r="A36" s="32"/>
      <c r="B36" s="81" t="s">
        <v>54</v>
      </c>
      <c r="C36" s="54" t="s">
        <v>128</v>
      </c>
      <c r="D36" s="55">
        <v>66</v>
      </c>
      <c r="E36" s="56">
        <v>1.7751479289940999E-2</v>
      </c>
      <c r="F36" s="32"/>
      <c r="G36" s="32"/>
    </row>
    <row r="37" spans="1:7" ht="14.5" customHeight="1">
      <c r="A37" s="32"/>
      <c r="B37" s="83"/>
      <c r="C37" s="54" t="s">
        <v>194</v>
      </c>
      <c r="D37" s="55">
        <v>48</v>
      </c>
      <c r="E37" s="56">
        <v>1.2910166756321E-2</v>
      </c>
      <c r="F37" s="32"/>
      <c r="G37" s="32"/>
    </row>
    <row r="38" spans="1:7" ht="14.5" customHeight="1">
      <c r="A38" s="32"/>
      <c r="B38" s="82"/>
      <c r="C38" s="67" t="s">
        <v>308</v>
      </c>
      <c r="D38" s="66">
        <v>114</v>
      </c>
      <c r="E38" s="68">
        <v>3.0661646046260999E-2</v>
      </c>
      <c r="F38" s="32"/>
      <c r="G38" s="32"/>
    </row>
    <row r="39" spans="1:7" ht="14.5" customHeight="1">
      <c r="A39" s="32"/>
      <c r="B39" s="81" t="s">
        <v>63</v>
      </c>
      <c r="C39" s="54" t="s">
        <v>128</v>
      </c>
      <c r="D39" s="55">
        <v>20</v>
      </c>
      <c r="E39" s="56">
        <v>5.3792361484669999E-3</v>
      </c>
      <c r="F39" s="32"/>
      <c r="G39" s="32"/>
    </row>
    <row r="40" spans="1:7" ht="14.5" customHeight="1">
      <c r="A40" s="32"/>
      <c r="B40" s="83"/>
      <c r="C40" s="54" t="s">
        <v>194</v>
      </c>
      <c r="D40" s="55">
        <v>23</v>
      </c>
      <c r="E40" s="56">
        <v>6.1861215707370003E-3</v>
      </c>
      <c r="F40" s="32"/>
      <c r="G40" s="32"/>
    </row>
    <row r="41" spans="1:7" ht="14.5" customHeight="1">
      <c r="A41" s="32"/>
      <c r="B41" s="82"/>
      <c r="C41" s="67" t="s">
        <v>308</v>
      </c>
      <c r="D41" s="66">
        <v>43</v>
      </c>
      <c r="E41" s="68">
        <v>1.1565357719204E-2</v>
      </c>
      <c r="F41" s="32"/>
      <c r="G41" s="32"/>
    </row>
    <row r="42" spans="1:7" ht="14.5" customHeight="1">
      <c r="A42" s="32"/>
      <c r="B42" s="81" t="s">
        <v>76</v>
      </c>
      <c r="C42" s="54" t="s">
        <v>128</v>
      </c>
      <c r="D42" s="55">
        <v>14</v>
      </c>
      <c r="E42" s="56">
        <v>3.7654653039269998E-3</v>
      </c>
      <c r="F42" s="32"/>
      <c r="G42" s="32"/>
    </row>
    <row r="43" spans="1:7" ht="14.5" customHeight="1">
      <c r="A43" s="32"/>
      <c r="B43" s="83"/>
      <c r="C43" s="54" t="s">
        <v>194</v>
      </c>
      <c r="D43" s="55">
        <v>17</v>
      </c>
      <c r="E43" s="56">
        <v>4.5723507261970003E-3</v>
      </c>
      <c r="F43" s="32"/>
      <c r="G43" s="32"/>
    </row>
    <row r="44" spans="1:7" ht="14.5" customHeight="1">
      <c r="A44" s="32"/>
      <c r="B44" s="82"/>
      <c r="C44" s="67" t="s">
        <v>308</v>
      </c>
      <c r="D44" s="66">
        <v>31</v>
      </c>
      <c r="E44" s="68">
        <v>8.3378160301240001E-3</v>
      </c>
      <c r="F44" s="32"/>
      <c r="G44" s="32"/>
    </row>
    <row r="45" spans="1:7" ht="14.5" customHeight="1">
      <c r="A45" s="32"/>
      <c r="B45" s="81" t="s">
        <v>85</v>
      </c>
      <c r="C45" s="54" t="s">
        <v>128</v>
      </c>
      <c r="D45" s="55">
        <v>3</v>
      </c>
      <c r="E45" s="56">
        <v>8.0688542227000002E-4</v>
      </c>
      <c r="F45" s="32"/>
      <c r="G45" s="32"/>
    </row>
    <row r="46" spans="1:7" ht="14.5" customHeight="1">
      <c r="A46" s="32"/>
      <c r="B46" s="83"/>
      <c r="C46" s="54" t="s">
        <v>194</v>
      </c>
      <c r="D46" s="55">
        <v>4</v>
      </c>
      <c r="E46" s="56">
        <v>1.0758472296930001E-3</v>
      </c>
      <c r="F46" s="32"/>
      <c r="G46" s="32"/>
    </row>
    <row r="47" spans="1:7" ht="14.5" customHeight="1">
      <c r="A47" s="32"/>
      <c r="B47" s="82"/>
      <c r="C47" s="67" t="s">
        <v>308</v>
      </c>
      <c r="D47" s="66">
        <v>7</v>
      </c>
      <c r="E47" s="68">
        <v>1.8827326519630001E-3</v>
      </c>
      <c r="F47" s="32"/>
      <c r="G47" s="32"/>
    </row>
    <row r="48" spans="1:7" ht="14.5" customHeight="1">
      <c r="A48" s="32"/>
      <c r="B48" s="81" t="s">
        <v>81</v>
      </c>
      <c r="C48" s="54" t="s">
        <v>128</v>
      </c>
      <c r="D48" s="55">
        <v>1</v>
      </c>
      <c r="E48" s="56">
        <v>2.68961807423E-4</v>
      </c>
      <c r="F48" s="32"/>
      <c r="G48" s="32"/>
    </row>
    <row r="49" spans="1:7" ht="14.5" customHeight="1">
      <c r="A49" s="32"/>
      <c r="B49" s="83"/>
      <c r="C49" s="54" t="s">
        <v>194</v>
      </c>
      <c r="D49" s="55">
        <v>4</v>
      </c>
      <c r="E49" s="56">
        <v>1.0758472296930001E-3</v>
      </c>
      <c r="F49" s="32"/>
      <c r="G49" s="32"/>
    </row>
    <row r="50" spans="1:7" ht="14.5" customHeight="1">
      <c r="A50" s="32"/>
      <c r="B50" s="82"/>
      <c r="C50" s="67" t="s">
        <v>308</v>
      </c>
      <c r="D50" s="66">
        <v>5</v>
      </c>
      <c r="E50" s="68">
        <v>1.344809037117E-3</v>
      </c>
      <c r="F50" s="32"/>
      <c r="G50" s="32"/>
    </row>
    <row r="51" spans="1:7" ht="14.5" customHeight="1">
      <c r="A51" s="32"/>
      <c r="B51" s="81" t="s">
        <v>47</v>
      </c>
      <c r="C51" s="54" t="s">
        <v>128</v>
      </c>
      <c r="D51" s="55">
        <v>288</v>
      </c>
      <c r="E51" s="56">
        <v>7.7461000537923999E-2</v>
      </c>
      <c r="F51" s="32"/>
      <c r="G51" s="32"/>
    </row>
    <row r="52" spans="1:7" ht="14.5" customHeight="1">
      <c r="A52" s="32"/>
      <c r="B52" s="83"/>
      <c r="C52" s="54" t="s">
        <v>194</v>
      </c>
      <c r="D52" s="55">
        <v>292</v>
      </c>
      <c r="E52" s="56">
        <v>7.8536847767617005E-2</v>
      </c>
      <c r="F52" s="32"/>
      <c r="G52" s="32"/>
    </row>
    <row r="53" spans="1:7" ht="14.5" customHeight="1">
      <c r="A53" s="32"/>
      <c r="B53" s="82"/>
      <c r="C53" s="67" t="s">
        <v>308</v>
      </c>
      <c r="D53" s="66">
        <v>580</v>
      </c>
      <c r="E53" s="68">
        <v>0.155997848305541</v>
      </c>
      <c r="F53" s="32"/>
      <c r="G53" s="32"/>
    </row>
    <row r="54" spans="1:7" ht="14.5" customHeight="1">
      <c r="A54" s="32"/>
      <c r="B54" s="81" t="s">
        <v>56</v>
      </c>
      <c r="C54" s="54" t="s">
        <v>128</v>
      </c>
      <c r="D54" s="55">
        <v>53</v>
      </c>
      <c r="E54" s="56">
        <v>1.4254975793437E-2</v>
      </c>
      <c r="F54" s="32"/>
      <c r="G54" s="32"/>
    </row>
    <row r="55" spans="1:7" ht="14.5" customHeight="1">
      <c r="A55" s="32"/>
      <c r="B55" s="83"/>
      <c r="C55" s="54" t="s">
        <v>194</v>
      </c>
      <c r="D55" s="55">
        <v>39</v>
      </c>
      <c r="E55" s="56">
        <v>1.0489510489510001E-2</v>
      </c>
      <c r="F55" s="32"/>
      <c r="G55" s="32"/>
    </row>
    <row r="56" spans="1:7" ht="14.5" customHeight="1">
      <c r="A56" s="32"/>
      <c r="B56" s="82"/>
      <c r="C56" s="67" t="s">
        <v>308</v>
      </c>
      <c r="D56" s="66">
        <v>92</v>
      </c>
      <c r="E56" s="68">
        <v>2.4744486282948001E-2</v>
      </c>
      <c r="F56" s="32"/>
      <c r="G56" s="32"/>
    </row>
    <row r="57" spans="1:7" ht="14.5" customHeight="1">
      <c r="A57" s="32"/>
      <c r="B57" s="81" t="s">
        <v>74</v>
      </c>
      <c r="C57" s="54" t="s">
        <v>128</v>
      </c>
      <c r="D57" s="55">
        <v>7</v>
      </c>
      <c r="E57" s="56">
        <v>1.8827326519630001E-3</v>
      </c>
      <c r="F57" s="32"/>
      <c r="G57" s="32"/>
    </row>
    <row r="58" spans="1:7" ht="14.5" customHeight="1">
      <c r="A58" s="32"/>
      <c r="B58" s="83"/>
      <c r="C58" s="54" t="s">
        <v>194</v>
      </c>
      <c r="D58" s="55">
        <v>14</v>
      </c>
      <c r="E58" s="56">
        <v>3.7654653039269998E-3</v>
      </c>
      <c r="F58" s="32"/>
      <c r="G58" s="32"/>
    </row>
    <row r="59" spans="1:7" ht="14.5" customHeight="1">
      <c r="A59" s="32"/>
      <c r="B59" s="82"/>
      <c r="C59" s="67" t="s">
        <v>308</v>
      </c>
      <c r="D59" s="66">
        <v>21</v>
      </c>
      <c r="E59" s="68">
        <v>5.6481979558899997E-3</v>
      </c>
      <c r="F59" s="32"/>
      <c r="G59" s="32"/>
    </row>
    <row r="60" spans="1:7" ht="14.5" customHeight="1">
      <c r="A60" s="32"/>
      <c r="B60" s="81" t="s">
        <v>64</v>
      </c>
      <c r="C60" s="54" t="s">
        <v>128</v>
      </c>
      <c r="D60" s="55">
        <v>27</v>
      </c>
      <c r="E60" s="56">
        <v>7.2619688004299998E-3</v>
      </c>
      <c r="F60" s="32"/>
      <c r="G60" s="32"/>
    </row>
    <row r="61" spans="1:7" ht="14.5" customHeight="1">
      <c r="A61" s="32"/>
      <c r="B61" s="83"/>
      <c r="C61" s="54" t="s">
        <v>194</v>
      </c>
      <c r="D61" s="55">
        <v>21</v>
      </c>
      <c r="E61" s="56">
        <v>5.6481979558899997E-3</v>
      </c>
      <c r="F61" s="32"/>
      <c r="G61" s="32"/>
    </row>
    <row r="62" spans="1:7" ht="14.5" customHeight="1">
      <c r="A62" s="32"/>
      <c r="B62" s="82"/>
      <c r="C62" s="67" t="s">
        <v>308</v>
      </c>
      <c r="D62" s="66">
        <v>48</v>
      </c>
      <c r="E62" s="68">
        <v>1.2910166756321E-2</v>
      </c>
      <c r="F62" s="32"/>
      <c r="G62" s="32"/>
    </row>
    <row r="63" spans="1:7" ht="14.5" customHeight="1">
      <c r="A63" s="32"/>
      <c r="B63" s="81" t="s">
        <v>83</v>
      </c>
      <c r="C63" s="54" t="s">
        <v>299</v>
      </c>
      <c r="D63" s="55">
        <v>5</v>
      </c>
      <c r="E63" s="56">
        <v>1.344809037117E-3</v>
      </c>
      <c r="F63" s="32"/>
      <c r="G63" s="32"/>
    </row>
    <row r="64" spans="1:7" ht="14.5" customHeight="1">
      <c r="A64" s="32"/>
      <c r="B64" s="82"/>
      <c r="C64" s="67" t="s">
        <v>308</v>
      </c>
      <c r="D64" s="66">
        <v>5</v>
      </c>
      <c r="E64" s="68">
        <v>1.344809037117E-3</v>
      </c>
      <c r="F64" s="32"/>
      <c r="G64" s="32"/>
    </row>
    <row r="65" spans="1:7" ht="14.5" customHeight="1">
      <c r="A65" s="32"/>
      <c r="B65" s="81" t="s">
        <v>50</v>
      </c>
      <c r="C65" s="54" t="s">
        <v>128</v>
      </c>
      <c r="D65" s="55">
        <v>84</v>
      </c>
      <c r="E65" s="56">
        <v>2.2592791823561002E-2</v>
      </c>
      <c r="F65" s="32"/>
      <c r="G65" s="32"/>
    </row>
    <row r="66" spans="1:7" ht="14.5" customHeight="1">
      <c r="A66" s="32"/>
      <c r="B66" s="83"/>
      <c r="C66" s="54" t="s">
        <v>194</v>
      </c>
      <c r="D66" s="55">
        <v>104</v>
      </c>
      <c r="E66" s="56">
        <v>2.7972027972028E-2</v>
      </c>
      <c r="F66" s="32"/>
      <c r="G66" s="32"/>
    </row>
    <row r="67" spans="1:7" ht="14.5" customHeight="1">
      <c r="A67" s="32"/>
      <c r="B67" s="82"/>
      <c r="C67" s="67" t="s">
        <v>308</v>
      </c>
      <c r="D67" s="66">
        <v>188</v>
      </c>
      <c r="E67" s="68">
        <v>5.0564819795589001E-2</v>
      </c>
      <c r="F67" s="32"/>
      <c r="G67" s="32"/>
    </row>
    <row r="68" spans="1:7" ht="14.5" customHeight="1">
      <c r="A68" s="32"/>
      <c r="B68" s="81" t="s">
        <v>67</v>
      </c>
      <c r="C68" s="54" t="s">
        <v>128</v>
      </c>
      <c r="D68" s="55">
        <v>13</v>
      </c>
      <c r="E68" s="56">
        <v>3.4965034965029999E-3</v>
      </c>
      <c r="F68" s="32"/>
      <c r="G68" s="32"/>
    </row>
    <row r="69" spans="1:7" ht="14.5" customHeight="1">
      <c r="A69" s="32"/>
      <c r="B69" s="83"/>
      <c r="C69" s="54" t="s">
        <v>194</v>
      </c>
      <c r="D69" s="55">
        <v>13</v>
      </c>
      <c r="E69" s="56">
        <v>3.4965034965029999E-3</v>
      </c>
      <c r="F69" s="32"/>
      <c r="G69" s="32"/>
    </row>
    <row r="70" spans="1:7" ht="14.5" customHeight="1">
      <c r="A70" s="32"/>
      <c r="B70" s="82"/>
      <c r="C70" s="67" t="s">
        <v>308</v>
      </c>
      <c r="D70" s="66">
        <v>26</v>
      </c>
      <c r="E70" s="68">
        <v>6.9930069930069999E-3</v>
      </c>
      <c r="F70" s="32"/>
      <c r="G70" s="32"/>
    </row>
    <row r="71" spans="1:7" ht="14.5" customHeight="1">
      <c r="A71" s="32"/>
      <c r="B71" s="81" t="s">
        <v>46</v>
      </c>
      <c r="C71" s="54" t="s">
        <v>128</v>
      </c>
      <c r="D71" s="55">
        <v>418</v>
      </c>
      <c r="E71" s="56">
        <v>0.112426035502959</v>
      </c>
      <c r="F71" s="32"/>
      <c r="G71" s="32"/>
    </row>
    <row r="72" spans="1:7" ht="14.5" customHeight="1">
      <c r="A72" s="32"/>
      <c r="B72" s="83"/>
      <c r="C72" s="54" t="s">
        <v>194</v>
      </c>
      <c r="D72" s="55">
        <v>383</v>
      </c>
      <c r="E72" s="56">
        <v>0.103012372243141</v>
      </c>
      <c r="F72" s="32"/>
      <c r="G72" s="32"/>
    </row>
    <row r="73" spans="1:7" ht="14.5" customHeight="1">
      <c r="A73" s="32"/>
      <c r="B73" s="82"/>
      <c r="C73" s="67" t="s">
        <v>308</v>
      </c>
      <c r="D73" s="66">
        <v>801</v>
      </c>
      <c r="E73" s="68">
        <v>0.21543840774610001</v>
      </c>
      <c r="F73" s="32"/>
      <c r="G73" s="32"/>
    </row>
    <row r="74" spans="1:7" ht="14.5" customHeight="1">
      <c r="A74" s="32"/>
      <c r="B74" s="81" t="s">
        <v>77</v>
      </c>
      <c r="C74" s="54" t="s">
        <v>128</v>
      </c>
      <c r="D74" s="55">
        <v>12</v>
      </c>
      <c r="E74" s="56">
        <v>3.2275416890800001E-3</v>
      </c>
      <c r="F74" s="32"/>
      <c r="G74" s="32"/>
    </row>
    <row r="75" spans="1:7" ht="14.5" customHeight="1">
      <c r="A75" s="32"/>
      <c r="B75" s="83"/>
      <c r="C75" s="54" t="s">
        <v>194</v>
      </c>
      <c r="D75" s="55">
        <v>12</v>
      </c>
      <c r="E75" s="56">
        <v>3.2275416890800001E-3</v>
      </c>
      <c r="F75" s="32"/>
      <c r="G75" s="32"/>
    </row>
    <row r="76" spans="1:7" ht="14.5" customHeight="1">
      <c r="A76" s="32"/>
      <c r="B76" s="82"/>
      <c r="C76" s="67" t="s">
        <v>308</v>
      </c>
      <c r="D76" s="66">
        <v>24</v>
      </c>
      <c r="E76" s="68">
        <v>6.4550833781600002E-3</v>
      </c>
      <c r="F76" s="32"/>
      <c r="G76" s="32"/>
    </row>
    <row r="77" spans="1:7" ht="14.5" customHeight="1">
      <c r="A77" s="32"/>
      <c r="B77" s="81" t="s">
        <v>70</v>
      </c>
      <c r="C77" s="54" t="s">
        <v>128</v>
      </c>
      <c r="D77" s="55">
        <v>6</v>
      </c>
      <c r="E77" s="56">
        <v>1.61377084454E-3</v>
      </c>
      <c r="F77" s="32"/>
      <c r="G77" s="32"/>
    </row>
    <row r="78" spans="1:7" ht="14.5" customHeight="1">
      <c r="A78" s="32"/>
      <c r="B78" s="83"/>
      <c r="C78" s="54" t="s">
        <v>194</v>
      </c>
      <c r="D78" s="55">
        <v>14</v>
      </c>
      <c r="E78" s="56">
        <v>3.7654653039269998E-3</v>
      </c>
      <c r="F78" s="32"/>
      <c r="G78" s="32"/>
    </row>
    <row r="79" spans="1:7" ht="14.5" customHeight="1">
      <c r="A79" s="32"/>
      <c r="B79" s="82"/>
      <c r="C79" s="67" t="s">
        <v>308</v>
      </c>
      <c r="D79" s="66">
        <v>20</v>
      </c>
      <c r="E79" s="68">
        <v>5.3792361484669999E-3</v>
      </c>
      <c r="F79" s="32"/>
      <c r="G79" s="32"/>
    </row>
    <row r="80" spans="1:7" ht="14.5" customHeight="1">
      <c r="A80" s="32"/>
      <c r="B80" s="81" t="s">
        <v>82</v>
      </c>
      <c r="C80" s="54" t="s">
        <v>128</v>
      </c>
      <c r="D80" s="55">
        <v>5</v>
      </c>
      <c r="E80" s="56">
        <v>1.344809037117E-3</v>
      </c>
      <c r="F80" s="32"/>
      <c r="G80" s="32"/>
    </row>
    <row r="81" spans="1:7" ht="14.5" customHeight="1">
      <c r="A81" s="32"/>
      <c r="B81" s="83"/>
      <c r="C81" s="54" t="s">
        <v>194</v>
      </c>
      <c r="D81" s="55">
        <v>6</v>
      </c>
      <c r="E81" s="56">
        <v>1.61377084454E-3</v>
      </c>
      <c r="F81" s="32"/>
      <c r="G81" s="32"/>
    </row>
    <row r="82" spans="1:7" ht="14.5" customHeight="1">
      <c r="A82" s="32"/>
      <c r="B82" s="82"/>
      <c r="C82" s="67" t="s">
        <v>308</v>
      </c>
      <c r="D82" s="66">
        <v>11</v>
      </c>
      <c r="E82" s="68">
        <v>2.9585798816569998E-3</v>
      </c>
      <c r="F82" s="32"/>
      <c r="G82" s="32"/>
    </row>
    <row r="83" spans="1:7" ht="14.5" customHeight="1">
      <c r="A83" s="32"/>
      <c r="B83" s="81" t="s">
        <v>92</v>
      </c>
      <c r="C83" s="54" t="s">
        <v>128</v>
      </c>
      <c r="D83" s="55">
        <v>2</v>
      </c>
      <c r="E83" s="56">
        <v>5.3792361484699997E-4</v>
      </c>
      <c r="F83" s="32"/>
      <c r="G83" s="32"/>
    </row>
    <row r="84" spans="1:7" ht="14.5" customHeight="1">
      <c r="A84" s="32"/>
      <c r="B84" s="83"/>
      <c r="C84" s="54" t="s">
        <v>194</v>
      </c>
      <c r="D84" s="55">
        <v>1</v>
      </c>
      <c r="E84" s="56">
        <v>2.68961807423E-4</v>
      </c>
      <c r="F84" s="32"/>
      <c r="G84" s="32"/>
    </row>
    <row r="85" spans="1:7" ht="14.5" customHeight="1">
      <c r="A85" s="32"/>
      <c r="B85" s="82"/>
      <c r="C85" s="67" t="s">
        <v>308</v>
      </c>
      <c r="D85" s="66">
        <v>3</v>
      </c>
      <c r="E85" s="68">
        <v>8.0688542227000002E-4</v>
      </c>
      <c r="F85" s="32"/>
      <c r="G85" s="32"/>
    </row>
    <row r="86" spans="1:7" ht="14.5" customHeight="1">
      <c r="A86" s="32"/>
      <c r="B86" s="81" t="s">
        <v>87</v>
      </c>
      <c r="C86" s="54" t="s">
        <v>128</v>
      </c>
      <c r="D86" s="55">
        <v>5</v>
      </c>
      <c r="E86" s="56">
        <v>1.344809037117E-3</v>
      </c>
      <c r="F86" s="32"/>
      <c r="G86" s="32"/>
    </row>
    <row r="87" spans="1:7" ht="14.5" customHeight="1">
      <c r="A87" s="32"/>
      <c r="B87" s="83"/>
      <c r="C87" s="54" t="s">
        <v>194</v>
      </c>
      <c r="D87" s="55">
        <v>5</v>
      </c>
      <c r="E87" s="56">
        <v>1.344809037117E-3</v>
      </c>
      <c r="F87" s="32"/>
      <c r="G87" s="32"/>
    </row>
    <row r="88" spans="1:7" ht="14.5" customHeight="1">
      <c r="A88" s="32"/>
      <c r="B88" s="82"/>
      <c r="C88" s="67" t="s">
        <v>308</v>
      </c>
      <c r="D88" s="66">
        <v>10</v>
      </c>
      <c r="E88" s="68">
        <v>2.6896180742329999E-3</v>
      </c>
      <c r="F88" s="32"/>
      <c r="G88" s="32"/>
    </row>
    <row r="89" spans="1:7" ht="14.5" customHeight="1">
      <c r="A89" s="32"/>
      <c r="B89" s="81" t="s">
        <v>86</v>
      </c>
      <c r="C89" s="54" t="s">
        <v>128</v>
      </c>
      <c r="D89" s="55">
        <v>4</v>
      </c>
      <c r="E89" s="56">
        <v>1.0758472296930001E-3</v>
      </c>
      <c r="F89" s="32"/>
      <c r="G89" s="32"/>
    </row>
    <row r="90" spans="1:7" ht="14.5" customHeight="1">
      <c r="A90" s="32"/>
      <c r="B90" s="83"/>
      <c r="C90" s="54" t="s">
        <v>194</v>
      </c>
      <c r="D90" s="55">
        <v>3</v>
      </c>
      <c r="E90" s="56">
        <v>8.0688542227000002E-4</v>
      </c>
      <c r="F90" s="32"/>
      <c r="G90" s="32"/>
    </row>
    <row r="91" spans="1:7" ht="14.5" customHeight="1">
      <c r="A91" s="32"/>
      <c r="B91" s="82"/>
      <c r="C91" s="67" t="s">
        <v>308</v>
      </c>
      <c r="D91" s="66">
        <v>7</v>
      </c>
      <c r="E91" s="68">
        <v>1.8827326519630001E-3</v>
      </c>
      <c r="F91" s="32"/>
      <c r="G91" s="32"/>
    </row>
    <row r="92" spans="1:7" ht="14.5" customHeight="1">
      <c r="A92" s="32"/>
      <c r="B92" s="81" t="s">
        <v>72</v>
      </c>
      <c r="C92" s="54" t="s">
        <v>128</v>
      </c>
      <c r="D92" s="55">
        <v>12</v>
      </c>
      <c r="E92" s="56">
        <v>3.2275416890800001E-3</v>
      </c>
      <c r="F92" s="32"/>
      <c r="G92" s="32"/>
    </row>
    <row r="93" spans="1:7" ht="14.5" customHeight="1">
      <c r="A93" s="32"/>
      <c r="B93" s="83"/>
      <c r="C93" s="54" t="s">
        <v>194</v>
      </c>
      <c r="D93" s="55">
        <v>24</v>
      </c>
      <c r="E93" s="56">
        <v>6.4550833781600002E-3</v>
      </c>
      <c r="F93" s="32"/>
      <c r="G93" s="32"/>
    </row>
    <row r="94" spans="1:7" ht="14.5" customHeight="1">
      <c r="A94" s="32"/>
      <c r="B94" s="82"/>
      <c r="C94" s="67" t="s">
        <v>308</v>
      </c>
      <c r="D94" s="66">
        <v>36</v>
      </c>
      <c r="E94" s="68">
        <v>9.6826250672400003E-3</v>
      </c>
      <c r="F94" s="32"/>
      <c r="G94" s="32"/>
    </row>
    <row r="95" spans="1:7" ht="14.5" customHeight="1">
      <c r="A95" s="32"/>
      <c r="B95" s="81" t="s">
        <v>75</v>
      </c>
      <c r="C95" s="54" t="s">
        <v>128</v>
      </c>
      <c r="D95" s="55">
        <v>12</v>
      </c>
      <c r="E95" s="56">
        <v>3.2275416890800001E-3</v>
      </c>
      <c r="F95" s="32"/>
      <c r="G95" s="32"/>
    </row>
    <row r="96" spans="1:7" ht="14.5" customHeight="1">
      <c r="A96" s="32"/>
      <c r="B96" s="83"/>
      <c r="C96" s="54" t="s">
        <v>194</v>
      </c>
      <c r="D96" s="55">
        <v>12</v>
      </c>
      <c r="E96" s="56">
        <v>3.2275416890800001E-3</v>
      </c>
      <c r="F96" s="32"/>
      <c r="G96" s="32"/>
    </row>
    <row r="97" spans="1:7" ht="14.5" customHeight="1">
      <c r="A97" s="32"/>
      <c r="B97" s="82"/>
      <c r="C97" s="67" t="s">
        <v>308</v>
      </c>
      <c r="D97" s="66">
        <v>24</v>
      </c>
      <c r="E97" s="68">
        <v>6.4550833781600002E-3</v>
      </c>
      <c r="F97" s="32"/>
      <c r="G97" s="32"/>
    </row>
    <row r="98" spans="1:7" ht="14.5" customHeight="1">
      <c r="A98" s="32"/>
      <c r="B98" s="81" t="s">
        <v>71</v>
      </c>
      <c r="C98" s="54" t="s">
        <v>128</v>
      </c>
      <c r="D98" s="55">
        <v>5</v>
      </c>
      <c r="E98" s="56">
        <v>1.344809037117E-3</v>
      </c>
      <c r="F98" s="32"/>
      <c r="G98" s="32"/>
    </row>
    <row r="99" spans="1:7" ht="14.5" customHeight="1">
      <c r="A99" s="32"/>
      <c r="B99" s="83"/>
      <c r="C99" s="54" t="s">
        <v>194</v>
      </c>
      <c r="D99" s="55">
        <v>8</v>
      </c>
      <c r="E99" s="56">
        <v>2.1516944593869998E-3</v>
      </c>
      <c r="F99" s="32"/>
      <c r="G99" s="32"/>
    </row>
    <row r="100" spans="1:7" ht="14.5" customHeight="1">
      <c r="A100" s="32"/>
      <c r="B100" s="82"/>
      <c r="C100" s="67" t="s">
        <v>308</v>
      </c>
      <c r="D100" s="66">
        <v>13</v>
      </c>
      <c r="E100" s="68">
        <v>3.4965034965029999E-3</v>
      </c>
      <c r="F100" s="32"/>
      <c r="G100" s="32"/>
    </row>
    <row r="101" spans="1:7" ht="14.5" customHeight="1">
      <c r="A101" s="32"/>
      <c r="B101" s="81" t="s">
        <v>60</v>
      </c>
      <c r="C101" s="54" t="s">
        <v>128</v>
      </c>
      <c r="D101" s="55">
        <v>31</v>
      </c>
      <c r="E101" s="56">
        <v>8.3378160301240001E-3</v>
      </c>
      <c r="F101" s="32"/>
      <c r="G101" s="32"/>
    </row>
    <row r="102" spans="1:7" ht="14.5" customHeight="1">
      <c r="A102" s="32"/>
      <c r="B102" s="83"/>
      <c r="C102" s="54" t="s">
        <v>194</v>
      </c>
      <c r="D102" s="55">
        <v>24</v>
      </c>
      <c r="E102" s="56">
        <v>6.4550833781600002E-3</v>
      </c>
      <c r="F102" s="32"/>
      <c r="G102" s="32"/>
    </row>
    <row r="103" spans="1:7" ht="14.5" customHeight="1">
      <c r="A103" s="32"/>
      <c r="B103" s="82"/>
      <c r="C103" s="67" t="s">
        <v>308</v>
      </c>
      <c r="D103" s="66">
        <v>55</v>
      </c>
      <c r="E103" s="68">
        <v>1.4792899408284E-2</v>
      </c>
      <c r="F103" s="32"/>
      <c r="G103" s="32"/>
    </row>
    <row r="104" spans="1:7" ht="14.5" customHeight="1">
      <c r="A104" s="32"/>
      <c r="B104" s="81" t="s">
        <v>57</v>
      </c>
      <c r="C104" s="54" t="s">
        <v>128</v>
      </c>
      <c r="D104" s="55">
        <v>31</v>
      </c>
      <c r="E104" s="56">
        <v>8.3378160301240001E-3</v>
      </c>
      <c r="F104" s="32"/>
      <c r="G104" s="32"/>
    </row>
    <row r="105" spans="1:7" ht="14.5" customHeight="1">
      <c r="A105" s="32"/>
      <c r="B105" s="83"/>
      <c r="C105" s="54" t="s">
        <v>194</v>
      </c>
      <c r="D105" s="55">
        <v>37</v>
      </c>
      <c r="E105" s="56">
        <v>9.9515868746639993E-3</v>
      </c>
      <c r="F105" s="32"/>
      <c r="G105" s="32"/>
    </row>
    <row r="106" spans="1:7" ht="14.5" customHeight="1">
      <c r="A106" s="32"/>
      <c r="B106" s="82"/>
      <c r="C106" s="67" t="s">
        <v>308</v>
      </c>
      <c r="D106" s="66">
        <v>68</v>
      </c>
      <c r="E106" s="68">
        <v>1.8289402904788001E-2</v>
      </c>
      <c r="F106" s="32"/>
      <c r="G106" s="32"/>
    </row>
    <row r="107" spans="1:7" ht="14.5" customHeight="1">
      <c r="A107" s="32"/>
      <c r="B107" s="81" t="s">
        <v>58</v>
      </c>
      <c r="C107" s="54" t="s">
        <v>128</v>
      </c>
      <c r="D107" s="55">
        <v>34</v>
      </c>
      <c r="E107" s="56">
        <v>9.1447014523940006E-3</v>
      </c>
      <c r="F107" s="32"/>
      <c r="G107" s="32"/>
    </row>
    <row r="108" spans="1:7" ht="14.5" customHeight="1">
      <c r="A108" s="32"/>
      <c r="B108" s="83"/>
      <c r="C108" s="54" t="s">
        <v>194</v>
      </c>
      <c r="D108" s="55">
        <v>27</v>
      </c>
      <c r="E108" s="56">
        <v>7.2619688004299998E-3</v>
      </c>
      <c r="F108" s="32"/>
      <c r="G108" s="32"/>
    </row>
    <row r="109" spans="1:7" ht="14.5" customHeight="1">
      <c r="A109" s="32"/>
      <c r="B109" s="82"/>
      <c r="C109" s="67" t="s">
        <v>308</v>
      </c>
      <c r="D109" s="66">
        <v>61</v>
      </c>
      <c r="E109" s="68">
        <v>1.6406670252824E-2</v>
      </c>
      <c r="F109" s="32"/>
      <c r="G109" s="32"/>
    </row>
    <row r="110" spans="1:7" ht="14.5" customHeight="1">
      <c r="A110" s="32"/>
      <c r="B110" s="81" t="s">
        <v>62</v>
      </c>
      <c r="C110" s="54" t="s">
        <v>128</v>
      </c>
      <c r="D110" s="55">
        <v>20</v>
      </c>
      <c r="E110" s="56">
        <v>5.3792361484669999E-3</v>
      </c>
      <c r="F110" s="32"/>
      <c r="G110" s="32"/>
    </row>
    <row r="111" spans="1:7" ht="14.5" customHeight="1">
      <c r="A111" s="32"/>
      <c r="B111" s="83"/>
      <c r="C111" s="54" t="s">
        <v>194</v>
      </c>
      <c r="D111" s="55">
        <v>15</v>
      </c>
      <c r="E111" s="56">
        <v>4.0344271113499997E-3</v>
      </c>
      <c r="F111" s="32"/>
      <c r="G111" s="32"/>
    </row>
    <row r="112" spans="1:7" ht="14.5" customHeight="1">
      <c r="A112" s="32"/>
      <c r="B112" s="82"/>
      <c r="C112" s="67" t="s">
        <v>308</v>
      </c>
      <c r="D112" s="66">
        <v>35</v>
      </c>
      <c r="E112" s="68">
        <v>9.4136632598170004E-3</v>
      </c>
      <c r="F112" s="32"/>
      <c r="G112" s="32"/>
    </row>
    <row r="113" spans="1:7" ht="14.5" customHeight="1">
      <c r="A113" s="32"/>
      <c r="B113" s="81" t="s">
        <v>49</v>
      </c>
      <c r="C113" s="54" t="s">
        <v>128</v>
      </c>
      <c r="D113" s="55">
        <v>102</v>
      </c>
      <c r="E113" s="56">
        <v>2.7434104357181001E-2</v>
      </c>
      <c r="F113" s="32"/>
      <c r="G113" s="32"/>
    </row>
    <row r="114" spans="1:7" ht="14.5" customHeight="1">
      <c r="A114" s="32"/>
      <c r="B114" s="83"/>
      <c r="C114" s="54" t="s">
        <v>194</v>
      </c>
      <c r="D114" s="55">
        <v>115</v>
      </c>
      <c r="E114" s="56">
        <v>3.0930607853685E-2</v>
      </c>
      <c r="F114" s="32"/>
      <c r="G114" s="32"/>
    </row>
    <row r="115" spans="1:7" ht="14.5" customHeight="1">
      <c r="A115" s="32"/>
      <c r="B115" s="82"/>
      <c r="C115" s="67" t="s">
        <v>308</v>
      </c>
      <c r="D115" s="66">
        <v>217</v>
      </c>
      <c r="E115" s="68">
        <v>5.8364712210865997E-2</v>
      </c>
      <c r="F115" s="32"/>
      <c r="G115" s="32"/>
    </row>
    <row r="116" spans="1:7" ht="14.5" customHeight="1">
      <c r="A116" s="32"/>
      <c r="B116" s="81" t="s">
        <v>78</v>
      </c>
      <c r="C116" s="54" t="s">
        <v>128</v>
      </c>
      <c r="D116" s="55">
        <v>2</v>
      </c>
      <c r="E116" s="56">
        <v>5.3792361484699997E-4</v>
      </c>
      <c r="F116" s="32"/>
      <c r="G116" s="32"/>
    </row>
    <row r="117" spans="1:7" ht="14.5" customHeight="1">
      <c r="A117" s="32"/>
      <c r="B117" s="83"/>
      <c r="C117" s="54" t="s">
        <v>194</v>
      </c>
      <c r="D117" s="55">
        <v>5</v>
      </c>
      <c r="E117" s="56">
        <v>1.344809037117E-3</v>
      </c>
      <c r="F117" s="32"/>
      <c r="G117" s="32"/>
    </row>
    <row r="118" spans="1:7" ht="14.5" customHeight="1">
      <c r="A118" s="32"/>
      <c r="B118" s="82"/>
      <c r="C118" s="67" t="s">
        <v>308</v>
      </c>
      <c r="D118" s="66">
        <v>7</v>
      </c>
      <c r="E118" s="68">
        <v>1.8827326519630001E-3</v>
      </c>
      <c r="F118" s="32"/>
      <c r="G118" s="32"/>
    </row>
    <row r="119" spans="1:7" ht="14.5" customHeight="1">
      <c r="A119" s="32"/>
      <c r="B119" s="81" t="s">
        <v>68</v>
      </c>
      <c r="C119" s="54" t="s">
        <v>128</v>
      </c>
      <c r="D119" s="55">
        <v>21</v>
      </c>
      <c r="E119" s="56">
        <v>5.6481979558899997E-3</v>
      </c>
      <c r="F119" s="32"/>
      <c r="G119" s="32"/>
    </row>
    <row r="120" spans="1:7" ht="14.5" customHeight="1">
      <c r="A120" s="32"/>
      <c r="B120" s="83"/>
      <c r="C120" s="54" t="s">
        <v>194</v>
      </c>
      <c r="D120" s="55">
        <v>29</v>
      </c>
      <c r="E120" s="56">
        <v>7.7998924152770004E-3</v>
      </c>
      <c r="F120" s="32"/>
      <c r="G120" s="32"/>
    </row>
    <row r="121" spans="1:7" ht="14.5" customHeight="1">
      <c r="A121" s="32"/>
      <c r="B121" s="82"/>
      <c r="C121" s="67" t="s">
        <v>308</v>
      </c>
      <c r="D121" s="66">
        <v>50</v>
      </c>
      <c r="E121" s="68">
        <v>1.3448090371166999E-2</v>
      </c>
      <c r="F121" s="32"/>
      <c r="G121" s="32"/>
    </row>
    <row r="122" spans="1:7" ht="14.5" customHeight="1">
      <c r="A122" s="32"/>
      <c r="B122" s="81" t="s">
        <v>73</v>
      </c>
      <c r="C122" s="54" t="s">
        <v>128</v>
      </c>
      <c r="D122" s="55">
        <v>13</v>
      </c>
      <c r="E122" s="56">
        <v>3.4965034965029999E-3</v>
      </c>
      <c r="F122" s="32"/>
      <c r="G122" s="32"/>
    </row>
    <row r="123" spans="1:7" ht="14.5" customHeight="1">
      <c r="A123" s="32"/>
      <c r="B123" s="83"/>
      <c r="C123" s="54" t="s">
        <v>194</v>
      </c>
      <c r="D123" s="55">
        <v>7</v>
      </c>
      <c r="E123" s="56">
        <v>1.8827326519630001E-3</v>
      </c>
      <c r="F123" s="32"/>
      <c r="G123" s="32"/>
    </row>
    <row r="124" spans="1:7" ht="14.5" customHeight="1">
      <c r="A124" s="32"/>
      <c r="B124" s="82"/>
      <c r="C124" s="67" t="s">
        <v>308</v>
      </c>
      <c r="D124" s="66">
        <v>20</v>
      </c>
      <c r="E124" s="68">
        <v>5.3792361484669999E-3</v>
      </c>
      <c r="F124" s="32"/>
      <c r="G124" s="32"/>
    </row>
    <row r="125" spans="1:7" ht="14.5" customHeight="1">
      <c r="A125" s="32"/>
      <c r="B125" s="81" t="s">
        <v>48</v>
      </c>
      <c r="C125" s="54" t="s">
        <v>128</v>
      </c>
      <c r="D125" s="55">
        <v>136</v>
      </c>
      <c r="E125" s="56">
        <v>3.6578805809575003E-2</v>
      </c>
      <c r="F125" s="32"/>
      <c r="G125" s="32"/>
    </row>
    <row r="126" spans="1:7" ht="14.5" customHeight="1">
      <c r="A126" s="32"/>
      <c r="B126" s="83"/>
      <c r="C126" s="54" t="s">
        <v>194</v>
      </c>
      <c r="D126" s="55">
        <v>96</v>
      </c>
      <c r="E126" s="56">
        <v>2.5820333512641E-2</v>
      </c>
      <c r="F126" s="32"/>
      <c r="G126" s="32"/>
    </row>
    <row r="127" spans="1:7" ht="14.5" customHeight="1">
      <c r="A127" s="32"/>
      <c r="B127" s="82"/>
      <c r="C127" s="67" t="s">
        <v>308</v>
      </c>
      <c r="D127" s="66">
        <v>232</v>
      </c>
      <c r="E127" s="68">
        <v>6.2399139322216003E-2</v>
      </c>
      <c r="F127" s="32"/>
      <c r="G127" s="32"/>
    </row>
    <row r="128" spans="1:7" ht="14.5" customHeight="1">
      <c r="A128" s="32"/>
      <c r="B128" s="81" t="s">
        <v>59</v>
      </c>
      <c r="C128" s="54" t="s">
        <v>128</v>
      </c>
      <c r="D128" s="55">
        <v>42</v>
      </c>
      <c r="E128" s="56">
        <v>1.1296395911781E-2</v>
      </c>
      <c r="F128" s="32"/>
      <c r="G128" s="32"/>
    </row>
    <row r="129" spans="1:7" ht="14.5" customHeight="1">
      <c r="A129" s="32"/>
      <c r="B129" s="83"/>
      <c r="C129" s="54" t="s">
        <v>194</v>
      </c>
      <c r="D129" s="55">
        <v>34</v>
      </c>
      <c r="E129" s="56">
        <v>9.1447014523940006E-3</v>
      </c>
      <c r="F129" s="32"/>
      <c r="G129" s="32"/>
    </row>
    <row r="130" spans="1:7" ht="14.5" customHeight="1">
      <c r="A130" s="32"/>
      <c r="B130" s="82"/>
      <c r="C130" s="67" t="s">
        <v>308</v>
      </c>
      <c r="D130" s="66">
        <v>76</v>
      </c>
      <c r="E130" s="68">
        <v>2.0441097364173998E-2</v>
      </c>
      <c r="F130" s="32"/>
      <c r="G130" s="32"/>
    </row>
    <row r="131" spans="1:7" ht="14.5" customHeight="1">
      <c r="A131" s="32"/>
      <c r="B131" s="81" t="s">
        <v>61</v>
      </c>
      <c r="C131" s="54" t="s">
        <v>128</v>
      </c>
      <c r="D131" s="55">
        <v>29</v>
      </c>
      <c r="E131" s="56">
        <v>7.7998924152770004E-3</v>
      </c>
      <c r="F131" s="32"/>
      <c r="G131" s="32"/>
    </row>
    <row r="132" spans="1:7" ht="14.5" customHeight="1">
      <c r="A132" s="32"/>
      <c r="B132" s="83"/>
      <c r="C132" s="54" t="s">
        <v>194</v>
      </c>
      <c r="D132" s="55">
        <v>37</v>
      </c>
      <c r="E132" s="56">
        <v>9.9515868746639993E-3</v>
      </c>
      <c r="F132" s="32"/>
      <c r="G132" s="32"/>
    </row>
    <row r="133" spans="1:7" ht="14.5" customHeight="1">
      <c r="A133" s="32"/>
      <c r="B133" s="82"/>
      <c r="C133" s="67" t="s">
        <v>308</v>
      </c>
      <c r="D133" s="66">
        <v>66</v>
      </c>
      <c r="E133" s="68">
        <v>1.7751479289940999E-2</v>
      </c>
      <c r="F133" s="32"/>
      <c r="G133" s="32"/>
    </row>
    <row r="134" spans="1:7" ht="14.5" customHeight="1">
      <c r="A134" s="32"/>
      <c r="B134" s="81" t="s">
        <v>52</v>
      </c>
      <c r="C134" s="54" t="s">
        <v>128</v>
      </c>
      <c r="D134" s="55">
        <v>80</v>
      </c>
      <c r="E134" s="56">
        <v>2.1516944593868E-2</v>
      </c>
      <c r="F134" s="32"/>
      <c r="G134" s="32"/>
    </row>
    <row r="135" spans="1:7" ht="14.5" customHeight="1">
      <c r="A135" s="32"/>
      <c r="B135" s="83"/>
      <c r="C135" s="54" t="s">
        <v>194</v>
      </c>
      <c r="D135" s="55">
        <v>91</v>
      </c>
      <c r="E135" s="56">
        <v>2.4475524475524001E-2</v>
      </c>
      <c r="F135" s="32"/>
      <c r="G135" s="32"/>
    </row>
    <row r="136" spans="1:7" ht="14.5" customHeight="1">
      <c r="A136" s="32"/>
      <c r="B136" s="82"/>
      <c r="C136" s="67" t="s">
        <v>308</v>
      </c>
      <c r="D136" s="66">
        <v>171</v>
      </c>
      <c r="E136" s="68">
        <v>4.5992469069392E-2</v>
      </c>
      <c r="F136" s="32"/>
      <c r="G136" s="32"/>
    </row>
    <row r="137" spans="1:7" ht="14.5" customHeight="1">
      <c r="A137" s="32"/>
      <c r="B137" s="81" t="s">
        <v>53</v>
      </c>
      <c r="C137" s="54" t="s">
        <v>128</v>
      </c>
      <c r="D137" s="55">
        <v>74</v>
      </c>
      <c r="E137" s="56">
        <v>1.9903173749327999E-2</v>
      </c>
      <c r="F137" s="32"/>
      <c r="G137" s="32"/>
    </row>
    <row r="138" spans="1:7" ht="14.5" customHeight="1">
      <c r="A138" s="32"/>
      <c r="B138" s="83"/>
      <c r="C138" s="54" t="s">
        <v>194</v>
      </c>
      <c r="D138" s="55">
        <v>82</v>
      </c>
      <c r="E138" s="56">
        <v>2.2054868208713999E-2</v>
      </c>
      <c r="F138" s="32"/>
      <c r="G138" s="32"/>
    </row>
    <row r="139" spans="1:7" ht="14.5" customHeight="1">
      <c r="A139" s="32"/>
      <c r="B139" s="82"/>
      <c r="C139" s="67" t="s">
        <v>308</v>
      </c>
      <c r="D139" s="66">
        <v>156</v>
      </c>
      <c r="E139" s="68">
        <v>4.1958041958042001E-2</v>
      </c>
      <c r="F139" s="32"/>
      <c r="G139" s="32"/>
    </row>
    <row r="140" spans="1:7" ht="14.5" customHeight="1">
      <c r="A140" s="32"/>
      <c r="B140" s="81" t="s">
        <v>65</v>
      </c>
      <c r="C140" s="54" t="s">
        <v>128</v>
      </c>
      <c r="D140" s="55">
        <v>26</v>
      </c>
      <c r="E140" s="56">
        <v>6.9930069930069999E-3</v>
      </c>
      <c r="F140" s="32"/>
      <c r="G140" s="32"/>
    </row>
    <row r="141" spans="1:7" ht="14.5" customHeight="1">
      <c r="A141" s="32"/>
      <c r="B141" s="83"/>
      <c r="C141" s="54" t="s">
        <v>194</v>
      </c>
      <c r="D141" s="55">
        <v>20</v>
      </c>
      <c r="E141" s="56">
        <v>5.3792361484669999E-3</v>
      </c>
      <c r="F141" s="32"/>
      <c r="G141" s="32"/>
    </row>
    <row r="142" spans="1:7" ht="14.5" customHeight="1">
      <c r="A142" s="32"/>
      <c r="B142" s="82"/>
      <c r="C142" s="67" t="s">
        <v>308</v>
      </c>
      <c r="D142" s="66">
        <v>46</v>
      </c>
      <c r="E142" s="68">
        <v>1.2372243141474001E-2</v>
      </c>
      <c r="F142" s="32"/>
      <c r="G142" s="32"/>
    </row>
    <row r="143" spans="1:7" ht="14.5" customHeight="1">
      <c r="A143" s="32"/>
      <c r="B143" s="81" t="s">
        <v>84</v>
      </c>
      <c r="C143" s="54" t="s">
        <v>128</v>
      </c>
      <c r="D143" s="55">
        <v>5</v>
      </c>
      <c r="E143" s="56">
        <v>1.344809037117E-3</v>
      </c>
      <c r="F143" s="32"/>
      <c r="G143" s="32"/>
    </row>
    <row r="144" spans="1:7" ht="14.5" customHeight="1">
      <c r="A144" s="32"/>
      <c r="B144" s="83"/>
      <c r="C144" s="54" t="s">
        <v>194</v>
      </c>
      <c r="D144" s="55">
        <v>7</v>
      </c>
      <c r="E144" s="56">
        <v>1.8827326519630001E-3</v>
      </c>
      <c r="F144" s="32"/>
      <c r="G144" s="32"/>
    </row>
    <row r="145" spans="1:7" ht="14.5" customHeight="1">
      <c r="A145" s="32"/>
      <c r="B145" s="82"/>
      <c r="C145" s="67" t="s">
        <v>308</v>
      </c>
      <c r="D145" s="66">
        <v>12</v>
      </c>
      <c r="E145" s="68">
        <v>3.2275416890800001E-3</v>
      </c>
      <c r="F145" s="32"/>
      <c r="G145" s="32"/>
    </row>
    <row r="146" spans="1:7" ht="14.5" customHeight="1">
      <c r="A146" s="32"/>
      <c r="B146" s="81" t="s">
        <v>80</v>
      </c>
      <c r="C146" s="54" t="s">
        <v>128</v>
      </c>
      <c r="D146" s="55">
        <v>6</v>
      </c>
      <c r="E146" s="56">
        <v>1.61377084454E-3</v>
      </c>
      <c r="F146" s="32"/>
      <c r="G146" s="32"/>
    </row>
    <row r="147" spans="1:7" ht="14.5" customHeight="1">
      <c r="A147" s="32"/>
      <c r="B147" s="83"/>
      <c r="C147" s="54" t="s">
        <v>194</v>
      </c>
      <c r="D147" s="55">
        <v>3</v>
      </c>
      <c r="E147" s="56">
        <v>8.0688542227000002E-4</v>
      </c>
      <c r="F147" s="32"/>
      <c r="G147" s="32"/>
    </row>
    <row r="148" spans="1:7" ht="14.5" customHeight="1">
      <c r="A148" s="32"/>
      <c r="B148" s="82"/>
      <c r="C148" s="67" t="s">
        <v>308</v>
      </c>
      <c r="D148" s="66">
        <v>9</v>
      </c>
      <c r="E148" s="68">
        <v>2.4206562668100001E-3</v>
      </c>
      <c r="F148" s="32"/>
      <c r="G148" s="32"/>
    </row>
    <row r="149" spans="1:7" ht="14.5" customHeight="1">
      <c r="A149" s="32"/>
      <c r="B149" s="81" t="s">
        <v>88</v>
      </c>
      <c r="C149" s="54" t="s">
        <v>128</v>
      </c>
      <c r="D149" s="55">
        <v>1</v>
      </c>
      <c r="E149" s="56">
        <v>2.68961807423E-4</v>
      </c>
      <c r="F149" s="32"/>
      <c r="G149" s="32"/>
    </row>
    <row r="150" spans="1:7" ht="14.5" customHeight="1">
      <c r="A150" s="32"/>
      <c r="B150" s="83"/>
      <c r="C150" s="54" t="s">
        <v>194</v>
      </c>
      <c r="D150" s="55">
        <v>1</v>
      </c>
      <c r="E150" s="56">
        <v>2.68961807423E-4</v>
      </c>
      <c r="F150" s="32"/>
      <c r="G150" s="32"/>
    </row>
    <row r="151" spans="1:7" ht="14.5" customHeight="1">
      <c r="A151" s="32"/>
      <c r="B151" s="82"/>
      <c r="C151" s="67" t="s">
        <v>308</v>
      </c>
      <c r="D151" s="66">
        <v>2</v>
      </c>
      <c r="E151" s="68">
        <v>5.3792361484699997E-4</v>
      </c>
      <c r="F151" s="32"/>
      <c r="G151" s="32"/>
    </row>
    <row r="152" spans="1:7" ht="14.5" customHeight="1">
      <c r="A152" s="32"/>
      <c r="B152" s="84" t="s">
        <v>309</v>
      </c>
      <c r="C152" s="85"/>
      <c r="D152" s="58">
        <v>3718</v>
      </c>
      <c r="E152" s="59">
        <v>1</v>
      </c>
      <c r="F152" s="32"/>
      <c r="G152" s="32"/>
    </row>
    <row r="153" spans="1:7" ht="14.5" customHeight="1">
      <c r="A153" s="32"/>
      <c r="B153" s="44"/>
      <c r="C153" s="44"/>
      <c r="D153" s="52"/>
      <c r="E153" s="44"/>
      <c r="F153" s="32"/>
      <c r="G153" s="32"/>
    </row>
    <row r="154" spans="1:7" ht="14.5" customHeight="1">
      <c r="A154" s="32"/>
      <c r="B154" s="38" t="s">
        <v>183</v>
      </c>
      <c r="C154" s="44"/>
      <c r="D154" s="52"/>
      <c r="E154" s="44"/>
      <c r="F154" s="32"/>
      <c r="G154" s="32"/>
    </row>
    <row r="155" spans="1:7" ht="14.5" customHeight="1">
      <c r="B155" s="41" t="s">
        <v>17</v>
      </c>
      <c r="C155" s="44"/>
      <c r="D155" s="52"/>
      <c r="E155" s="44"/>
      <c r="F155" s="32"/>
      <c r="G155" s="32"/>
    </row>
    <row r="156" spans="1:7" ht="14.5" customHeight="1">
      <c r="B156" s="42" t="s">
        <v>45</v>
      </c>
      <c r="C156" s="44"/>
      <c r="D156" s="52"/>
      <c r="E156" s="44"/>
      <c r="F156" s="32"/>
      <c r="G156" s="32"/>
    </row>
    <row r="157" spans="1:7" ht="14.5" customHeight="1">
      <c r="B157" s="38" t="s">
        <v>16</v>
      </c>
      <c r="C157" s="44"/>
      <c r="D157" s="52"/>
      <c r="E157" s="44"/>
      <c r="F157" s="32"/>
      <c r="G157" s="32"/>
    </row>
    <row r="158" spans="1:7" ht="14.5" customHeight="1">
      <c r="B158" s="38" t="s">
        <v>306</v>
      </c>
      <c r="C158" s="44"/>
      <c r="D158" s="52"/>
      <c r="E158" s="44"/>
      <c r="F158" s="32"/>
      <c r="G158" s="32"/>
    </row>
    <row r="159" spans="1:7" ht="12">
      <c r="C159" s="44"/>
      <c r="D159" s="52"/>
      <c r="E159" s="44"/>
      <c r="F159" s="32"/>
      <c r="G159" s="32"/>
    </row>
  </sheetData>
  <mergeCells count="49">
    <mergeCell ref="B152:C152"/>
    <mergeCell ref="B8:E10"/>
    <mergeCell ref="B13:B15"/>
    <mergeCell ref="B16:B18"/>
    <mergeCell ref="B19:B21"/>
    <mergeCell ref="B22:B24"/>
    <mergeCell ref="B25:B27"/>
    <mergeCell ref="B28:B29"/>
    <mergeCell ref="B30:B32"/>
    <mergeCell ref="B33:B35"/>
    <mergeCell ref="B36:B38"/>
    <mergeCell ref="B39:B41"/>
    <mergeCell ref="B42:B44"/>
    <mergeCell ref="B45:B47"/>
    <mergeCell ref="B48:B50"/>
    <mergeCell ref="B51:B53"/>
    <mergeCell ref="B54:B56"/>
    <mergeCell ref="B57:B59"/>
    <mergeCell ref="B60:B62"/>
    <mergeCell ref="B63:B64"/>
    <mergeCell ref="B65:B67"/>
    <mergeCell ref="B68:B70"/>
    <mergeCell ref="B71:B73"/>
    <mergeCell ref="B74:B76"/>
    <mergeCell ref="B77:B79"/>
    <mergeCell ref="B80:B82"/>
    <mergeCell ref="B83:B85"/>
    <mergeCell ref="B86:B88"/>
    <mergeCell ref="B89:B91"/>
    <mergeCell ref="B92:B94"/>
    <mergeCell ref="B95:B97"/>
    <mergeCell ref="B98:B100"/>
    <mergeCell ref="B101:B103"/>
    <mergeCell ref="B104:B106"/>
    <mergeCell ref="B107:B109"/>
    <mergeCell ref="B110:B112"/>
    <mergeCell ref="B113:B115"/>
    <mergeCell ref="B116:B118"/>
    <mergeCell ref="B119:B121"/>
    <mergeCell ref="B122:B124"/>
    <mergeCell ref="B125:B127"/>
    <mergeCell ref="B143:B145"/>
    <mergeCell ref="B146:B148"/>
    <mergeCell ref="B149:B151"/>
    <mergeCell ref="B128:B130"/>
    <mergeCell ref="B131:B133"/>
    <mergeCell ref="B134:B136"/>
    <mergeCell ref="B137:B139"/>
    <mergeCell ref="B140:B142"/>
  </mergeCells>
  <printOptions horizontalCentered="1"/>
  <pageMargins left="0.74803149606299213" right="0.74803149606299213" top="0.98425196850393704" bottom="0.98425196850393704" header="0.51181102362204722" footer="0.51181102362204722"/>
  <pageSetup scale="59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15">
    <tabColor rgb="FF00B050"/>
  </sheetPr>
  <dimension ref="A1:G139"/>
  <sheetViews>
    <sheetView showGridLines="0" view="pageBreakPreview" topLeftCell="A119" zoomScaleNormal="100" zoomScaleSheetLayoutView="100" workbookViewId="0">
      <selection activeCell="D135" sqref="D135"/>
    </sheetView>
  </sheetViews>
  <sheetFormatPr baseColWidth="10" defaultColWidth="11.453125" defaultRowHeight="10"/>
  <cols>
    <col min="1" max="1" width="5.7265625" style="16" customWidth="1"/>
    <col min="2" max="2" width="22.81640625" style="22" customWidth="1"/>
    <col min="3" max="3" width="19.1796875" style="22" customWidth="1"/>
    <col min="4" max="4" width="15.7265625" style="25" customWidth="1"/>
    <col min="5" max="5" width="15.7265625" style="22" customWidth="1"/>
    <col min="6" max="6" width="5.7265625" style="16" customWidth="1"/>
    <col min="7" max="7" width="4.7265625" style="16" customWidth="1"/>
    <col min="8" max="16384" width="11.453125" style="16"/>
  </cols>
  <sheetData>
    <row r="1" spans="1:7" s="13" customFormat="1" ht="14.5">
      <c r="B1" s="22"/>
      <c r="C1" s="22"/>
    </row>
    <row r="2" spans="1:7" s="22" customFormat="1">
      <c r="B2" s="27"/>
    </row>
    <row r="3" spans="1:7" ht="15" customHeight="1">
      <c r="B3" s="28"/>
      <c r="C3" s="18"/>
      <c r="D3" s="16"/>
      <c r="F3" s="22"/>
    </row>
    <row r="4" spans="1:7" ht="30" customHeight="1">
      <c r="B4" s="28"/>
      <c r="C4" s="18"/>
      <c r="D4" s="16"/>
      <c r="F4" s="22"/>
    </row>
    <row r="5" spans="1:7" ht="15" customHeight="1">
      <c r="B5" s="28"/>
      <c r="C5" s="18"/>
      <c r="D5" s="16"/>
      <c r="F5" s="22"/>
    </row>
    <row r="6" spans="1:7" s="22" customFormat="1" ht="10.5">
      <c r="B6" s="24"/>
      <c r="C6" s="21"/>
    </row>
    <row r="7" spans="1:7" s="22" customFormat="1" ht="12">
      <c r="A7" s="44"/>
      <c r="B7" s="45"/>
      <c r="C7" s="44"/>
      <c r="D7" s="44"/>
      <c r="E7" s="44"/>
      <c r="F7" s="44"/>
      <c r="G7" s="44"/>
    </row>
    <row r="8" spans="1:7" s="13" customFormat="1" ht="15" customHeight="1">
      <c r="A8" s="37"/>
      <c r="B8" s="80" t="s">
        <v>39</v>
      </c>
      <c r="C8" s="80"/>
      <c r="D8" s="80"/>
      <c r="E8" s="80"/>
      <c r="F8" s="37"/>
      <c r="G8" s="37"/>
    </row>
    <row r="9" spans="1:7" s="13" customFormat="1" ht="15" customHeight="1">
      <c r="A9" s="37"/>
      <c r="B9" s="80"/>
      <c r="C9" s="80"/>
      <c r="D9" s="80"/>
      <c r="E9" s="80"/>
      <c r="F9" s="50"/>
      <c r="G9" s="37"/>
    </row>
    <row r="10" spans="1:7" s="13" customFormat="1" ht="15" customHeight="1">
      <c r="A10" s="37"/>
      <c r="B10" s="80"/>
      <c r="C10" s="80"/>
      <c r="D10" s="80"/>
      <c r="E10" s="80"/>
      <c r="F10" s="37"/>
      <c r="G10" s="37"/>
    </row>
    <row r="11" spans="1:7" s="13" customFormat="1" ht="10.5" customHeight="1">
      <c r="A11" s="37"/>
      <c r="B11" s="51"/>
      <c r="C11" s="51"/>
      <c r="D11" s="51"/>
      <c r="E11" s="51"/>
      <c r="F11" s="37"/>
      <c r="G11" s="37"/>
    </row>
    <row r="12" spans="1:7" s="13" customFormat="1" ht="37" customHeight="1">
      <c r="A12" s="37"/>
      <c r="B12" s="53" t="s">
        <v>24</v>
      </c>
      <c r="C12" s="53" t="s">
        <v>28</v>
      </c>
      <c r="D12" s="53" t="s">
        <v>19</v>
      </c>
      <c r="E12" s="53" t="s">
        <v>18</v>
      </c>
      <c r="F12" s="37"/>
      <c r="G12" s="37"/>
    </row>
    <row r="13" spans="1:7" ht="14.5" customHeight="1">
      <c r="A13" s="32"/>
      <c r="B13" s="81" t="s">
        <v>196</v>
      </c>
      <c r="C13" s="54" t="s">
        <v>128</v>
      </c>
      <c r="D13" s="55">
        <v>2</v>
      </c>
      <c r="E13" s="56">
        <v>5.3792361484699997E-4</v>
      </c>
      <c r="F13" s="32"/>
      <c r="G13" s="32"/>
    </row>
    <row r="14" spans="1:7" ht="14.5" customHeight="1">
      <c r="A14" s="32"/>
      <c r="B14" s="83"/>
      <c r="C14" s="54" t="s">
        <v>194</v>
      </c>
      <c r="D14" s="55">
        <v>3</v>
      </c>
      <c r="E14" s="56">
        <v>8.0688542227000002E-4</v>
      </c>
      <c r="F14" s="32"/>
      <c r="G14" s="32"/>
    </row>
    <row r="15" spans="1:7" ht="14.5" customHeight="1">
      <c r="A15" s="32"/>
      <c r="B15" s="82"/>
      <c r="C15" s="67" t="s">
        <v>308</v>
      </c>
      <c r="D15" s="66">
        <v>5</v>
      </c>
      <c r="E15" s="68">
        <v>1.344809037117E-3</v>
      </c>
      <c r="F15" s="32"/>
      <c r="G15" s="32"/>
    </row>
    <row r="16" spans="1:7" ht="14.5" customHeight="1">
      <c r="A16" s="32"/>
      <c r="B16" s="81" t="s">
        <v>197</v>
      </c>
      <c r="C16" s="54" t="s">
        <v>128</v>
      </c>
      <c r="D16" s="55">
        <v>34</v>
      </c>
      <c r="E16" s="56">
        <v>9.1447014523940006E-3</v>
      </c>
      <c r="F16" s="32"/>
      <c r="G16" s="32"/>
    </row>
    <row r="17" spans="1:7" ht="14.5" customHeight="1">
      <c r="A17" s="32"/>
      <c r="B17" s="83"/>
      <c r="C17" s="54" t="s">
        <v>194</v>
      </c>
      <c r="D17" s="55">
        <v>40</v>
      </c>
      <c r="E17" s="56">
        <v>1.0758472296934E-2</v>
      </c>
      <c r="F17" s="32"/>
      <c r="G17" s="32"/>
    </row>
    <row r="18" spans="1:7" ht="14.5" customHeight="1">
      <c r="A18" s="32"/>
      <c r="B18" s="82"/>
      <c r="C18" s="67" t="s">
        <v>308</v>
      </c>
      <c r="D18" s="66">
        <v>74</v>
      </c>
      <c r="E18" s="68">
        <v>1.9903173749327999E-2</v>
      </c>
      <c r="F18" s="32"/>
      <c r="G18" s="32"/>
    </row>
    <row r="19" spans="1:7" ht="14.5" customHeight="1">
      <c r="A19" s="32"/>
      <c r="B19" s="81" t="s">
        <v>198</v>
      </c>
      <c r="C19" s="54" t="s">
        <v>128</v>
      </c>
      <c r="D19" s="55">
        <v>7</v>
      </c>
      <c r="E19" s="56">
        <v>1.8827326519630001E-3</v>
      </c>
      <c r="F19" s="32"/>
      <c r="G19" s="32"/>
    </row>
    <row r="20" spans="1:7" ht="14.5" customHeight="1">
      <c r="A20" s="32"/>
      <c r="B20" s="83"/>
      <c r="C20" s="54" t="s">
        <v>194</v>
      </c>
      <c r="D20" s="55">
        <v>9</v>
      </c>
      <c r="E20" s="56">
        <v>2.4206562668100001E-3</v>
      </c>
      <c r="F20" s="32"/>
      <c r="G20" s="32"/>
    </row>
    <row r="21" spans="1:7" ht="14.5" customHeight="1">
      <c r="A21" s="32"/>
      <c r="B21" s="82"/>
      <c r="C21" s="67" t="s">
        <v>308</v>
      </c>
      <c r="D21" s="66">
        <v>16</v>
      </c>
      <c r="E21" s="68">
        <v>4.3033889187739996E-3</v>
      </c>
      <c r="F21" s="32"/>
      <c r="G21" s="32"/>
    </row>
    <row r="22" spans="1:7" ht="14.5" customHeight="1">
      <c r="A22" s="32"/>
      <c r="B22" s="81" t="s">
        <v>96</v>
      </c>
      <c r="C22" s="54" t="s">
        <v>128</v>
      </c>
      <c r="D22" s="55">
        <v>1195</v>
      </c>
      <c r="E22" s="56">
        <v>0.32140935987089803</v>
      </c>
      <c r="F22" s="32"/>
      <c r="G22" s="32"/>
    </row>
    <row r="23" spans="1:7" ht="14.5" customHeight="1">
      <c r="A23" s="32"/>
      <c r="B23" s="83"/>
      <c r="C23" s="54" t="s">
        <v>194</v>
      </c>
      <c r="D23" s="55">
        <v>1146</v>
      </c>
      <c r="E23" s="56">
        <v>0.30823023130715399</v>
      </c>
      <c r="F23" s="32"/>
      <c r="G23" s="32"/>
    </row>
    <row r="24" spans="1:7" ht="14.5" customHeight="1">
      <c r="A24" s="32"/>
      <c r="B24" s="82"/>
      <c r="C24" s="67" t="s">
        <v>308</v>
      </c>
      <c r="D24" s="66">
        <v>2341</v>
      </c>
      <c r="E24" s="68">
        <v>0.62963959117805302</v>
      </c>
      <c r="F24" s="32"/>
      <c r="G24" s="32"/>
    </row>
    <row r="25" spans="1:7" ht="14.5" customHeight="1">
      <c r="A25" s="32"/>
      <c r="B25" s="81" t="s">
        <v>195</v>
      </c>
      <c r="C25" s="54" t="s">
        <v>128</v>
      </c>
      <c r="D25" s="55">
        <v>20</v>
      </c>
      <c r="E25" s="56">
        <v>5.3792361484669999E-3</v>
      </c>
      <c r="F25" s="32"/>
      <c r="G25" s="32"/>
    </row>
    <row r="26" spans="1:7" ht="14.5" customHeight="1">
      <c r="A26" s="32"/>
      <c r="B26" s="83"/>
      <c r="C26" s="54" t="s">
        <v>194</v>
      </c>
      <c r="D26" s="55">
        <v>21</v>
      </c>
      <c r="E26" s="56">
        <v>5.6481979558899997E-3</v>
      </c>
      <c r="F26" s="32"/>
      <c r="G26" s="32"/>
    </row>
    <row r="27" spans="1:7" ht="14.5" customHeight="1">
      <c r="A27" s="32"/>
      <c r="B27" s="82"/>
      <c r="C27" s="67" t="s">
        <v>308</v>
      </c>
      <c r="D27" s="66">
        <v>41</v>
      </c>
      <c r="E27" s="68">
        <v>1.1027434104357E-2</v>
      </c>
      <c r="F27" s="32"/>
      <c r="G27" s="32"/>
    </row>
    <row r="28" spans="1:7" ht="14.5" customHeight="1">
      <c r="A28" s="32"/>
      <c r="B28" s="81" t="s">
        <v>199</v>
      </c>
      <c r="C28" s="54" t="s">
        <v>128</v>
      </c>
      <c r="D28" s="55">
        <v>3</v>
      </c>
      <c r="E28" s="56">
        <v>8.0688542227000002E-4</v>
      </c>
      <c r="F28" s="32"/>
      <c r="G28" s="32"/>
    </row>
    <row r="29" spans="1:7" ht="14.5" customHeight="1">
      <c r="A29" s="32"/>
      <c r="B29" s="83"/>
      <c r="C29" s="54" t="s">
        <v>194</v>
      </c>
      <c r="D29" s="55">
        <v>3</v>
      </c>
      <c r="E29" s="56">
        <v>8.0688542227000002E-4</v>
      </c>
      <c r="F29" s="32"/>
      <c r="G29" s="32"/>
    </row>
    <row r="30" spans="1:7" ht="14.5" customHeight="1">
      <c r="A30" s="32"/>
      <c r="B30" s="82"/>
      <c r="C30" s="67" t="s">
        <v>308</v>
      </c>
      <c r="D30" s="66">
        <v>6</v>
      </c>
      <c r="E30" s="68">
        <v>1.61377084454E-3</v>
      </c>
      <c r="F30" s="32"/>
      <c r="G30" s="32"/>
    </row>
    <row r="31" spans="1:7" ht="14.5" customHeight="1">
      <c r="A31" s="32"/>
      <c r="B31" s="81" t="s">
        <v>200</v>
      </c>
      <c r="C31" s="54" t="s">
        <v>129</v>
      </c>
      <c r="D31" s="55">
        <v>1</v>
      </c>
      <c r="E31" s="56">
        <v>2.68961807423E-4</v>
      </c>
      <c r="F31" s="32"/>
      <c r="G31" s="32"/>
    </row>
    <row r="32" spans="1:7" ht="14.5" customHeight="1">
      <c r="A32" s="32"/>
      <c r="B32" s="82"/>
      <c r="C32" s="67" t="s">
        <v>308</v>
      </c>
      <c r="D32" s="66">
        <v>1</v>
      </c>
      <c r="E32" s="68">
        <v>2.68961807423E-4</v>
      </c>
      <c r="F32" s="32"/>
      <c r="G32" s="32"/>
    </row>
    <row r="33" spans="1:7" ht="14.5" customHeight="1">
      <c r="A33" s="32"/>
      <c r="B33" s="81" t="s">
        <v>201</v>
      </c>
      <c r="C33" s="54" t="s">
        <v>128</v>
      </c>
      <c r="D33" s="55">
        <v>10</v>
      </c>
      <c r="E33" s="56">
        <v>2.6896180742329999E-3</v>
      </c>
      <c r="F33" s="32"/>
      <c r="G33" s="32"/>
    </row>
    <row r="34" spans="1:7" ht="14.5" customHeight="1">
      <c r="A34" s="32"/>
      <c r="B34" s="83"/>
      <c r="C34" s="54" t="s">
        <v>194</v>
      </c>
      <c r="D34" s="55">
        <v>22</v>
      </c>
      <c r="E34" s="56">
        <v>5.9171597633139996E-3</v>
      </c>
      <c r="F34" s="32"/>
      <c r="G34" s="32"/>
    </row>
    <row r="35" spans="1:7" ht="14.5" customHeight="1">
      <c r="A35" s="32"/>
      <c r="B35" s="82"/>
      <c r="C35" s="67" t="s">
        <v>308</v>
      </c>
      <c r="D35" s="66">
        <v>32</v>
      </c>
      <c r="E35" s="68">
        <v>8.606777837547E-3</v>
      </c>
      <c r="F35" s="32"/>
      <c r="G35" s="32"/>
    </row>
    <row r="36" spans="1:7" ht="14.5" customHeight="1">
      <c r="A36" s="32"/>
      <c r="B36" s="81" t="s">
        <v>202</v>
      </c>
      <c r="C36" s="54" t="s">
        <v>128</v>
      </c>
      <c r="D36" s="55">
        <v>16</v>
      </c>
      <c r="E36" s="56">
        <v>4.3033889187739996E-3</v>
      </c>
      <c r="F36" s="32"/>
      <c r="G36" s="32"/>
    </row>
    <row r="37" spans="1:7" ht="14.5" customHeight="1">
      <c r="A37" s="32"/>
      <c r="B37" s="83"/>
      <c r="C37" s="54" t="s">
        <v>194</v>
      </c>
      <c r="D37" s="55">
        <v>15</v>
      </c>
      <c r="E37" s="56">
        <v>4.0344271113499997E-3</v>
      </c>
      <c r="F37" s="32"/>
      <c r="G37" s="32"/>
    </row>
    <row r="38" spans="1:7" ht="14.5" customHeight="1">
      <c r="A38" s="32"/>
      <c r="B38" s="82"/>
      <c r="C38" s="67" t="s">
        <v>308</v>
      </c>
      <c r="D38" s="66">
        <v>31</v>
      </c>
      <c r="E38" s="68">
        <v>8.3378160301240001E-3</v>
      </c>
      <c r="F38" s="32"/>
      <c r="G38" s="32"/>
    </row>
    <row r="39" spans="1:7" ht="14.5" customHeight="1">
      <c r="A39" s="32"/>
      <c r="B39" s="81" t="s">
        <v>203</v>
      </c>
      <c r="C39" s="54" t="s">
        <v>128</v>
      </c>
      <c r="D39" s="55">
        <v>18</v>
      </c>
      <c r="E39" s="56">
        <v>4.8413125336200001E-3</v>
      </c>
      <c r="F39" s="32"/>
      <c r="G39" s="32"/>
    </row>
    <row r="40" spans="1:7" ht="14.5" customHeight="1">
      <c r="A40" s="32"/>
      <c r="B40" s="83"/>
      <c r="C40" s="54" t="s">
        <v>194</v>
      </c>
      <c r="D40" s="55">
        <v>24</v>
      </c>
      <c r="E40" s="56">
        <v>6.4550833781600002E-3</v>
      </c>
      <c r="F40" s="32"/>
      <c r="G40" s="32"/>
    </row>
    <row r="41" spans="1:7" ht="14.5" customHeight="1">
      <c r="A41" s="32"/>
      <c r="B41" s="82"/>
      <c r="C41" s="67" t="s">
        <v>308</v>
      </c>
      <c r="D41" s="66">
        <v>42</v>
      </c>
      <c r="E41" s="68">
        <v>1.1296395911781E-2</v>
      </c>
      <c r="F41" s="32"/>
      <c r="G41" s="32"/>
    </row>
    <row r="42" spans="1:7" ht="14.5" customHeight="1">
      <c r="A42" s="32"/>
      <c r="B42" s="81" t="s">
        <v>204</v>
      </c>
      <c r="C42" s="54" t="s">
        <v>128</v>
      </c>
      <c r="D42" s="55">
        <v>51</v>
      </c>
      <c r="E42" s="56">
        <v>1.3717052178591E-2</v>
      </c>
      <c r="F42" s="32"/>
      <c r="G42" s="32"/>
    </row>
    <row r="43" spans="1:7" ht="14.5" customHeight="1">
      <c r="A43" s="32"/>
      <c r="B43" s="83"/>
      <c r="C43" s="54" t="s">
        <v>194</v>
      </c>
      <c r="D43" s="55">
        <v>71</v>
      </c>
      <c r="E43" s="56">
        <v>1.9096288327058002E-2</v>
      </c>
      <c r="F43" s="32"/>
      <c r="G43" s="32"/>
    </row>
    <row r="44" spans="1:7" ht="14.5" customHeight="1">
      <c r="A44" s="32"/>
      <c r="B44" s="82"/>
      <c r="C44" s="67" t="s">
        <v>308</v>
      </c>
      <c r="D44" s="66">
        <v>122</v>
      </c>
      <c r="E44" s="68">
        <v>3.2813340505647999E-2</v>
      </c>
      <c r="F44" s="32"/>
      <c r="G44" s="32"/>
    </row>
    <row r="45" spans="1:7" ht="14.5" customHeight="1">
      <c r="A45" s="32"/>
      <c r="B45" s="81" t="s">
        <v>205</v>
      </c>
      <c r="C45" s="54" t="s">
        <v>128</v>
      </c>
      <c r="D45" s="55">
        <v>21</v>
      </c>
      <c r="E45" s="56">
        <v>5.6481979558899997E-3</v>
      </c>
      <c r="F45" s="32"/>
      <c r="G45" s="32"/>
    </row>
    <row r="46" spans="1:7" ht="14.5" customHeight="1">
      <c r="A46" s="32"/>
      <c r="B46" s="83"/>
      <c r="C46" s="54" t="s">
        <v>194</v>
      </c>
      <c r="D46" s="55">
        <v>22</v>
      </c>
      <c r="E46" s="56">
        <v>5.9171597633139996E-3</v>
      </c>
      <c r="F46" s="32"/>
      <c r="G46" s="32"/>
    </row>
    <row r="47" spans="1:7" ht="14.5" customHeight="1">
      <c r="A47" s="32"/>
      <c r="B47" s="82"/>
      <c r="C47" s="67" t="s">
        <v>308</v>
      </c>
      <c r="D47" s="66">
        <v>43</v>
      </c>
      <c r="E47" s="68">
        <v>1.1565357719204E-2</v>
      </c>
      <c r="F47" s="32"/>
      <c r="G47" s="32"/>
    </row>
    <row r="48" spans="1:7" ht="14.5" customHeight="1">
      <c r="A48" s="32"/>
      <c r="B48" s="81" t="s">
        <v>206</v>
      </c>
      <c r="C48" s="54" t="s">
        <v>128</v>
      </c>
      <c r="D48" s="55">
        <v>4</v>
      </c>
      <c r="E48" s="56">
        <v>1.0758472296930001E-3</v>
      </c>
      <c r="F48" s="32"/>
      <c r="G48" s="32"/>
    </row>
    <row r="49" spans="1:7" ht="14.5" customHeight="1">
      <c r="A49" s="32"/>
      <c r="B49" s="83"/>
      <c r="C49" s="54" t="s">
        <v>194</v>
      </c>
      <c r="D49" s="55">
        <v>4</v>
      </c>
      <c r="E49" s="56">
        <v>1.0758472296930001E-3</v>
      </c>
      <c r="F49" s="32"/>
      <c r="G49" s="32"/>
    </row>
    <row r="50" spans="1:7" ht="14.5" customHeight="1">
      <c r="A50" s="32"/>
      <c r="B50" s="82"/>
      <c r="C50" s="67" t="s">
        <v>308</v>
      </c>
      <c r="D50" s="66">
        <v>8</v>
      </c>
      <c r="E50" s="68">
        <v>2.1516944593869998E-3</v>
      </c>
      <c r="F50" s="32"/>
      <c r="G50" s="32"/>
    </row>
    <row r="51" spans="1:7" ht="14.5" customHeight="1">
      <c r="A51" s="32"/>
      <c r="B51" s="81" t="s">
        <v>207</v>
      </c>
      <c r="C51" s="54" t="s">
        <v>128</v>
      </c>
      <c r="D51" s="55">
        <v>9</v>
      </c>
      <c r="E51" s="56">
        <v>2.4206562668100001E-3</v>
      </c>
      <c r="F51" s="32"/>
      <c r="G51" s="32"/>
    </row>
    <row r="52" spans="1:7" ht="14.5" customHeight="1">
      <c r="A52" s="32"/>
      <c r="B52" s="83"/>
      <c r="C52" s="54" t="s">
        <v>194</v>
      </c>
      <c r="D52" s="55">
        <v>9</v>
      </c>
      <c r="E52" s="56">
        <v>2.4206562668100001E-3</v>
      </c>
      <c r="F52" s="32"/>
      <c r="G52" s="32"/>
    </row>
    <row r="53" spans="1:7" ht="14.5" customHeight="1">
      <c r="A53" s="32"/>
      <c r="B53" s="82"/>
      <c r="C53" s="67" t="s">
        <v>308</v>
      </c>
      <c r="D53" s="66">
        <v>18</v>
      </c>
      <c r="E53" s="68">
        <v>4.8413125336200001E-3</v>
      </c>
      <c r="F53" s="32"/>
      <c r="G53" s="32"/>
    </row>
    <row r="54" spans="1:7" ht="14.5" customHeight="1">
      <c r="A54" s="32"/>
      <c r="B54" s="81" t="s">
        <v>208</v>
      </c>
      <c r="C54" s="54" t="s">
        <v>128</v>
      </c>
      <c r="D54" s="55">
        <v>5</v>
      </c>
      <c r="E54" s="56">
        <v>1.344809037117E-3</v>
      </c>
      <c r="F54" s="32"/>
      <c r="G54" s="32"/>
    </row>
    <row r="55" spans="1:7" ht="14.5" customHeight="1">
      <c r="A55" s="32"/>
      <c r="B55" s="83"/>
      <c r="C55" s="54" t="s">
        <v>194</v>
      </c>
      <c r="D55" s="55">
        <v>7</v>
      </c>
      <c r="E55" s="56">
        <v>1.8827326519630001E-3</v>
      </c>
      <c r="F55" s="32"/>
      <c r="G55" s="32"/>
    </row>
    <row r="56" spans="1:7" ht="14.5" customHeight="1">
      <c r="A56" s="32"/>
      <c r="B56" s="82"/>
      <c r="C56" s="67" t="s">
        <v>308</v>
      </c>
      <c r="D56" s="66">
        <v>12</v>
      </c>
      <c r="E56" s="68">
        <v>3.2275416890800001E-3</v>
      </c>
      <c r="F56" s="32"/>
      <c r="G56" s="32"/>
    </row>
    <row r="57" spans="1:7" ht="14.5" customHeight="1">
      <c r="A57" s="32"/>
      <c r="B57" s="81" t="s">
        <v>209</v>
      </c>
      <c r="C57" s="54" t="s">
        <v>128</v>
      </c>
      <c r="D57" s="55">
        <v>1</v>
      </c>
      <c r="E57" s="56">
        <v>2.68961807423E-4</v>
      </c>
      <c r="F57" s="32"/>
      <c r="G57" s="32"/>
    </row>
    <row r="58" spans="1:7" ht="14.5" customHeight="1">
      <c r="A58" s="32"/>
      <c r="B58" s="82"/>
      <c r="C58" s="67" t="s">
        <v>308</v>
      </c>
      <c r="D58" s="66">
        <v>1</v>
      </c>
      <c r="E58" s="68">
        <v>2.68961807423E-4</v>
      </c>
      <c r="F58" s="32"/>
      <c r="G58" s="32"/>
    </row>
    <row r="59" spans="1:7" ht="14.5" customHeight="1">
      <c r="A59" s="32"/>
      <c r="B59" s="81" t="s">
        <v>210</v>
      </c>
      <c r="C59" s="54" t="s">
        <v>129</v>
      </c>
      <c r="D59" s="55">
        <v>2</v>
      </c>
      <c r="E59" s="56">
        <v>5.3792361484699997E-4</v>
      </c>
      <c r="F59" s="32"/>
      <c r="G59" s="32"/>
    </row>
    <row r="60" spans="1:7" ht="14.5" customHeight="1">
      <c r="A60" s="32"/>
      <c r="B60" s="82"/>
      <c r="C60" s="67" t="s">
        <v>308</v>
      </c>
      <c r="D60" s="66">
        <v>2</v>
      </c>
      <c r="E60" s="68">
        <v>5.3792361484699997E-4</v>
      </c>
      <c r="F60" s="32"/>
      <c r="G60" s="32"/>
    </row>
    <row r="61" spans="1:7" ht="14.5" customHeight="1">
      <c r="A61" s="32"/>
      <c r="B61" s="81" t="s">
        <v>211</v>
      </c>
      <c r="C61" s="54" t="s">
        <v>128</v>
      </c>
      <c r="D61" s="55">
        <v>8</v>
      </c>
      <c r="E61" s="56">
        <v>2.1516944593869998E-3</v>
      </c>
      <c r="F61" s="32"/>
      <c r="G61" s="32"/>
    </row>
    <row r="62" spans="1:7" ht="14.5" customHeight="1">
      <c r="A62" s="32"/>
      <c r="B62" s="83"/>
      <c r="C62" s="54" t="s">
        <v>194</v>
      </c>
      <c r="D62" s="55">
        <v>7</v>
      </c>
      <c r="E62" s="56">
        <v>1.8827326519630001E-3</v>
      </c>
      <c r="F62" s="32"/>
      <c r="G62" s="32"/>
    </row>
    <row r="63" spans="1:7" ht="14.5" customHeight="1">
      <c r="A63" s="32"/>
      <c r="B63" s="82"/>
      <c r="C63" s="67" t="s">
        <v>308</v>
      </c>
      <c r="D63" s="66">
        <v>15</v>
      </c>
      <c r="E63" s="68">
        <v>4.0344271113499997E-3</v>
      </c>
      <c r="F63" s="32"/>
      <c r="G63" s="32"/>
    </row>
    <row r="64" spans="1:7" ht="14.5" customHeight="1">
      <c r="A64" s="32"/>
      <c r="B64" s="81" t="s">
        <v>212</v>
      </c>
      <c r="C64" s="54" t="s">
        <v>128</v>
      </c>
      <c r="D64" s="55">
        <v>2</v>
      </c>
      <c r="E64" s="56">
        <v>5.3792361484699997E-4</v>
      </c>
      <c r="F64" s="32"/>
      <c r="G64" s="32"/>
    </row>
    <row r="65" spans="1:7" ht="14.5" customHeight="1">
      <c r="A65" s="32"/>
      <c r="B65" s="83"/>
      <c r="C65" s="54" t="s">
        <v>194</v>
      </c>
      <c r="D65" s="55">
        <v>4</v>
      </c>
      <c r="E65" s="56">
        <v>1.0758472296930001E-3</v>
      </c>
      <c r="F65" s="32"/>
      <c r="G65" s="32"/>
    </row>
    <row r="66" spans="1:7" ht="14.5" customHeight="1">
      <c r="A66" s="32"/>
      <c r="B66" s="82"/>
      <c r="C66" s="67" t="s">
        <v>308</v>
      </c>
      <c r="D66" s="66">
        <v>6</v>
      </c>
      <c r="E66" s="68">
        <v>1.61377084454E-3</v>
      </c>
      <c r="F66" s="32"/>
      <c r="G66" s="32"/>
    </row>
    <row r="67" spans="1:7" ht="14.5" customHeight="1">
      <c r="A67" s="32"/>
      <c r="B67" s="81" t="s">
        <v>213</v>
      </c>
      <c r="C67" s="54" t="s">
        <v>128</v>
      </c>
      <c r="D67" s="55">
        <v>2</v>
      </c>
      <c r="E67" s="56">
        <v>5.3792361484699997E-4</v>
      </c>
      <c r="F67" s="32"/>
      <c r="G67" s="32"/>
    </row>
    <row r="68" spans="1:7" ht="14.5" customHeight="1">
      <c r="A68" s="32"/>
      <c r="B68" s="83"/>
      <c r="C68" s="54" t="s">
        <v>194</v>
      </c>
      <c r="D68" s="55">
        <v>3</v>
      </c>
      <c r="E68" s="56">
        <v>8.0688542227000002E-4</v>
      </c>
      <c r="F68" s="32"/>
      <c r="G68" s="32"/>
    </row>
    <row r="69" spans="1:7" ht="14.5" customHeight="1">
      <c r="A69" s="32"/>
      <c r="B69" s="82"/>
      <c r="C69" s="67" t="s">
        <v>308</v>
      </c>
      <c r="D69" s="66">
        <v>5</v>
      </c>
      <c r="E69" s="68">
        <v>1.344809037117E-3</v>
      </c>
      <c r="F69" s="32"/>
      <c r="G69" s="32"/>
    </row>
    <row r="70" spans="1:7" ht="14.5" customHeight="1">
      <c r="A70" s="32"/>
      <c r="B70" s="81" t="s">
        <v>214</v>
      </c>
      <c r="C70" s="54" t="s">
        <v>128</v>
      </c>
      <c r="D70" s="55">
        <v>18</v>
      </c>
      <c r="E70" s="56">
        <v>4.8413125336200001E-3</v>
      </c>
      <c r="F70" s="32"/>
      <c r="G70" s="32"/>
    </row>
    <row r="71" spans="1:7" ht="14.5" customHeight="1">
      <c r="A71" s="32"/>
      <c r="B71" s="83"/>
      <c r="C71" s="54" t="s">
        <v>194</v>
      </c>
      <c r="D71" s="55">
        <v>13</v>
      </c>
      <c r="E71" s="56">
        <v>3.4965034965029999E-3</v>
      </c>
      <c r="F71" s="32"/>
      <c r="G71" s="32"/>
    </row>
    <row r="72" spans="1:7" ht="14.5" customHeight="1">
      <c r="A72" s="32"/>
      <c r="B72" s="82"/>
      <c r="C72" s="67" t="s">
        <v>308</v>
      </c>
      <c r="D72" s="66">
        <v>31</v>
      </c>
      <c r="E72" s="68">
        <v>8.3378160301240001E-3</v>
      </c>
      <c r="F72" s="32"/>
      <c r="G72" s="32"/>
    </row>
    <row r="73" spans="1:7" ht="14.5" customHeight="1">
      <c r="A73" s="32"/>
      <c r="B73" s="81" t="s">
        <v>215</v>
      </c>
      <c r="C73" s="54" t="s">
        <v>129</v>
      </c>
      <c r="D73" s="55">
        <v>2</v>
      </c>
      <c r="E73" s="56">
        <v>5.3792361484699997E-4</v>
      </c>
      <c r="F73" s="32"/>
      <c r="G73" s="32"/>
    </row>
    <row r="74" spans="1:7" ht="14.5" customHeight="1">
      <c r="A74" s="32"/>
      <c r="B74" s="82"/>
      <c r="C74" s="67" t="s">
        <v>308</v>
      </c>
      <c r="D74" s="66">
        <v>2</v>
      </c>
      <c r="E74" s="68">
        <v>5.3792361484699997E-4</v>
      </c>
      <c r="F74" s="32"/>
      <c r="G74" s="32"/>
    </row>
    <row r="75" spans="1:7" ht="14.5" customHeight="1">
      <c r="A75" s="32"/>
      <c r="B75" s="81" t="s">
        <v>216</v>
      </c>
      <c r="C75" s="54" t="s">
        <v>128</v>
      </c>
      <c r="D75" s="55">
        <v>10</v>
      </c>
      <c r="E75" s="56">
        <v>2.6896180742329999E-3</v>
      </c>
      <c r="F75" s="32"/>
      <c r="G75" s="32"/>
    </row>
    <row r="76" spans="1:7" ht="14.5" customHeight="1">
      <c r="A76" s="32"/>
      <c r="B76" s="83"/>
      <c r="C76" s="54" t="s">
        <v>194</v>
      </c>
      <c r="D76" s="55">
        <v>10</v>
      </c>
      <c r="E76" s="56">
        <v>2.6896180742329999E-3</v>
      </c>
      <c r="F76" s="32"/>
      <c r="G76" s="32"/>
    </row>
    <row r="77" spans="1:7" ht="14.5" customHeight="1">
      <c r="A77" s="32"/>
      <c r="B77" s="82"/>
      <c r="C77" s="67" t="s">
        <v>308</v>
      </c>
      <c r="D77" s="66">
        <v>20</v>
      </c>
      <c r="E77" s="68">
        <v>5.3792361484669999E-3</v>
      </c>
      <c r="F77" s="32"/>
      <c r="G77" s="32"/>
    </row>
    <row r="78" spans="1:7" ht="14.5" customHeight="1">
      <c r="A78" s="32"/>
      <c r="B78" s="81" t="s">
        <v>217</v>
      </c>
      <c r="C78" s="54" t="s">
        <v>128</v>
      </c>
      <c r="D78" s="55">
        <v>96</v>
      </c>
      <c r="E78" s="56">
        <v>2.5820333512641E-2</v>
      </c>
      <c r="F78" s="32"/>
      <c r="G78" s="32"/>
    </row>
    <row r="79" spans="1:7" ht="14.5" customHeight="1">
      <c r="A79" s="32"/>
      <c r="B79" s="83"/>
      <c r="C79" s="54" t="s">
        <v>194</v>
      </c>
      <c r="D79" s="55">
        <v>123</v>
      </c>
      <c r="E79" s="56">
        <v>3.3082302313072E-2</v>
      </c>
      <c r="F79" s="32"/>
      <c r="G79" s="32"/>
    </row>
    <row r="80" spans="1:7" ht="14.5" customHeight="1">
      <c r="A80" s="32"/>
      <c r="B80" s="82"/>
      <c r="C80" s="67" t="s">
        <v>308</v>
      </c>
      <c r="D80" s="66">
        <v>219</v>
      </c>
      <c r="E80" s="68">
        <v>5.8902635825713E-2</v>
      </c>
      <c r="F80" s="32"/>
      <c r="G80" s="32"/>
    </row>
    <row r="81" spans="1:7" ht="14.5" customHeight="1">
      <c r="A81" s="32"/>
      <c r="B81" s="81" t="s">
        <v>218</v>
      </c>
      <c r="C81" s="54" t="s">
        <v>129</v>
      </c>
      <c r="D81" s="55">
        <v>1</v>
      </c>
      <c r="E81" s="56">
        <v>2.68961807423E-4</v>
      </c>
      <c r="F81" s="32"/>
      <c r="G81" s="32"/>
    </row>
    <row r="82" spans="1:7" ht="14.5" customHeight="1">
      <c r="A82" s="32"/>
      <c r="B82" s="82"/>
      <c r="C82" s="67" t="s">
        <v>308</v>
      </c>
      <c r="D82" s="66">
        <v>1</v>
      </c>
      <c r="E82" s="68">
        <v>2.68961807423E-4</v>
      </c>
      <c r="F82" s="32"/>
      <c r="G82" s="32"/>
    </row>
    <row r="83" spans="1:7" ht="14.5" customHeight="1">
      <c r="A83" s="32"/>
      <c r="B83" s="81" t="s">
        <v>219</v>
      </c>
      <c r="C83" s="54" t="s">
        <v>128</v>
      </c>
      <c r="D83" s="55">
        <v>3</v>
      </c>
      <c r="E83" s="56">
        <v>8.0688542227000002E-4</v>
      </c>
      <c r="F83" s="32"/>
      <c r="G83" s="32"/>
    </row>
    <row r="84" spans="1:7" ht="14.5" customHeight="1">
      <c r="A84" s="32"/>
      <c r="B84" s="83"/>
      <c r="C84" s="54" t="s">
        <v>194</v>
      </c>
      <c r="D84" s="55">
        <v>2</v>
      </c>
      <c r="E84" s="56">
        <v>5.3792361484699997E-4</v>
      </c>
      <c r="F84" s="32"/>
      <c r="G84" s="32"/>
    </row>
    <row r="85" spans="1:7" ht="14.5" customHeight="1">
      <c r="A85" s="32"/>
      <c r="B85" s="82"/>
      <c r="C85" s="67" t="s">
        <v>308</v>
      </c>
      <c r="D85" s="66">
        <v>5</v>
      </c>
      <c r="E85" s="68">
        <v>1.344809037117E-3</v>
      </c>
      <c r="F85" s="32"/>
      <c r="G85" s="32"/>
    </row>
    <row r="86" spans="1:7" ht="14.5" customHeight="1">
      <c r="A86" s="32"/>
      <c r="B86" s="81" t="s">
        <v>220</v>
      </c>
      <c r="C86" s="54" t="s">
        <v>128</v>
      </c>
      <c r="D86" s="55">
        <v>4</v>
      </c>
      <c r="E86" s="56">
        <v>1.0758472296930001E-3</v>
      </c>
      <c r="F86" s="32"/>
      <c r="G86" s="32"/>
    </row>
    <row r="87" spans="1:7" ht="14.5" customHeight="1">
      <c r="A87" s="32"/>
      <c r="B87" s="83"/>
      <c r="C87" s="54" t="s">
        <v>194</v>
      </c>
      <c r="D87" s="55">
        <v>4</v>
      </c>
      <c r="E87" s="56">
        <v>1.0758472296930001E-3</v>
      </c>
      <c r="F87" s="32"/>
      <c r="G87" s="32"/>
    </row>
    <row r="88" spans="1:7" ht="14.5" customHeight="1">
      <c r="A88" s="32"/>
      <c r="B88" s="82"/>
      <c r="C88" s="67" t="s">
        <v>308</v>
      </c>
      <c r="D88" s="66">
        <v>8</v>
      </c>
      <c r="E88" s="68">
        <v>2.1516944593869998E-3</v>
      </c>
      <c r="F88" s="32"/>
      <c r="G88" s="32"/>
    </row>
    <row r="89" spans="1:7" ht="14.5" customHeight="1">
      <c r="A89" s="32"/>
      <c r="B89" s="81" t="s">
        <v>221</v>
      </c>
      <c r="C89" s="54" t="s">
        <v>128</v>
      </c>
      <c r="D89" s="55">
        <v>2</v>
      </c>
      <c r="E89" s="56">
        <v>5.3792361484699997E-4</v>
      </c>
      <c r="F89" s="32"/>
      <c r="G89" s="32"/>
    </row>
    <row r="90" spans="1:7" ht="14.5" customHeight="1">
      <c r="A90" s="32"/>
      <c r="B90" s="83"/>
      <c r="C90" s="54" t="s">
        <v>194</v>
      </c>
      <c r="D90" s="55">
        <v>3</v>
      </c>
      <c r="E90" s="56">
        <v>8.0688542227000002E-4</v>
      </c>
      <c r="F90" s="32"/>
      <c r="G90" s="32"/>
    </row>
    <row r="91" spans="1:7" ht="14.5" customHeight="1">
      <c r="A91" s="32"/>
      <c r="B91" s="82"/>
      <c r="C91" s="67" t="s">
        <v>308</v>
      </c>
      <c r="D91" s="66">
        <v>5</v>
      </c>
      <c r="E91" s="68">
        <v>1.344809037117E-3</v>
      </c>
      <c r="F91" s="32"/>
      <c r="G91" s="32"/>
    </row>
    <row r="92" spans="1:7" ht="14.5" customHeight="1">
      <c r="A92" s="32"/>
      <c r="B92" s="81" t="s">
        <v>222</v>
      </c>
      <c r="C92" s="54" t="s">
        <v>128</v>
      </c>
      <c r="D92" s="55">
        <v>13</v>
      </c>
      <c r="E92" s="56">
        <v>3.4965034965029999E-3</v>
      </c>
      <c r="F92" s="32"/>
      <c r="G92" s="32"/>
    </row>
    <row r="93" spans="1:7" ht="14.5" customHeight="1">
      <c r="A93" s="32"/>
      <c r="B93" s="83"/>
      <c r="C93" s="54" t="s">
        <v>194</v>
      </c>
      <c r="D93" s="55">
        <v>8</v>
      </c>
      <c r="E93" s="56">
        <v>2.1516944593869998E-3</v>
      </c>
      <c r="F93" s="32"/>
      <c r="G93" s="32"/>
    </row>
    <row r="94" spans="1:7" ht="14.5" customHeight="1">
      <c r="A94" s="32"/>
      <c r="B94" s="82"/>
      <c r="C94" s="67" t="s">
        <v>308</v>
      </c>
      <c r="D94" s="66">
        <v>21</v>
      </c>
      <c r="E94" s="68">
        <v>5.6481979558899997E-3</v>
      </c>
      <c r="F94" s="32"/>
      <c r="G94" s="32"/>
    </row>
    <row r="95" spans="1:7" ht="14.5" customHeight="1">
      <c r="A95" s="32"/>
      <c r="B95" s="81" t="s">
        <v>223</v>
      </c>
      <c r="C95" s="54" t="s">
        <v>128</v>
      </c>
      <c r="D95" s="55">
        <v>7</v>
      </c>
      <c r="E95" s="56">
        <v>1.8827326519630001E-3</v>
      </c>
      <c r="F95" s="32"/>
      <c r="G95" s="32"/>
    </row>
    <row r="96" spans="1:7" ht="14.5" customHeight="1">
      <c r="A96" s="32"/>
      <c r="B96" s="83"/>
      <c r="C96" s="54" t="s">
        <v>194</v>
      </c>
      <c r="D96" s="55">
        <v>10</v>
      </c>
      <c r="E96" s="56">
        <v>2.6896180742329999E-3</v>
      </c>
      <c r="F96" s="32"/>
      <c r="G96" s="32"/>
    </row>
    <row r="97" spans="1:7" ht="14.5" customHeight="1">
      <c r="A97" s="32"/>
      <c r="B97" s="82"/>
      <c r="C97" s="67" t="s">
        <v>308</v>
      </c>
      <c r="D97" s="66">
        <v>17</v>
      </c>
      <c r="E97" s="68">
        <v>4.5723507261970003E-3</v>
      </c>
      <c r="F97" s="32"/>
      <c r="G97" s="32"/>
    </row>
    <row r="98" spans="1:7" ht="14.5" customHeight="1">
      <c r="A98" s="32"/>
      <c r="B98" s="81" t="s">
        <v>224</v>
      </c>
      <c r="C98" s="54" t="s">
        <v>128</v>
      </c>
      <c r="D98" s="55">
        <v>11</v>
      </c>
      <c r="E98" s="56">
        <v>2.9585798816569998E-3</v>
      </c>
      <c r="F98" s="32"/>
      <c r="G98" s="32"/>
    </row>
    <row r="99" spans="1:7" ht="14.5" customHeight="1">
      <c r="A99" s="32"/>
      <c r="B99" s="83"/>
      <c r="C99" s="54" t="s">
        <v>194</v>
      </c>
      <c r="D99" s="55">
        <v>23</v>
      </c>
      <c r="E99" s="56">
        <v>6.1861215707370003E-3</v>
      </c>
      <c r="F99" s="32"/>
      <c r="G99" s="32"/>
    </row>
    <row r="100" spans="1:7" ht="14.5" customHeight="1">
      <c r="A100" s="32"/>
      <c r="B100" s="82"/>
      <c r="C100" s="67" t="s">
        <v>308</v>
      </c>
      <c r="D100" s="66">
        <v>34</v>
      </c>
      <c r="E100" s="68">
        <v>9.1447014523940006E-3</v>
      </c>
      <c r="F100" s="32"/>
      <c r="G100" s="32"/>
    </row>
    <row r="101" spans="1:7" ht="14.5" customHeight="1">
      <c r="A101" s="32"/>
      <c r="B101" s="81" t="s">
        <v>225</v>
      </c>
      <c r="C101" s="54" t="s">
        <v>128</v>
      </c>
      <c r="D101" s="55">
        <v>23</v>
      </c>
      <c r="E101" s="56">
        <v>6.1861215707370003E-3</v>
      </c>
      <c r="F101" s="32"/>
      <c r="G101" s="32"/>
    </row>
    <row r="102" spans="1:7" ht="14.5" customHeight="1">
      <c r="A102" s="32"/>
      <c r="B102" s="83"/>
      <c r="C102" s="54" t="s">
        <v>194</v>
      </c>
      <c r="D102" s="55">
        <v>17</v>
      </c>
      <c r="E102" s="56">
        <v>4.5723507261970003E-3</v>
      </c>
      <c r="F102" s="32"/>
      <c r="G102" s="32"/>
    </row>
    <row r="103" spans="1:7" ht="14.5" customHeight="1">
      <c r="A103" s="32"/>
      <c r="B103" s="82"/>
      <c r="C103" s="67" t="s">
        <v>308</v>
      </c>
      <c r="D103" s="66">
        <v>40</v>
      </c>
      <c r="E103" s="68">
        <v>1.0758472296934E-2</v>
      </c>
      <c r="F103" s="32"/>
      <c r="G103" s="32"/>
    </row>
    <row r="104" spans="1:7" ht="14.5" customHeight="1">
      <c r="A104" s="32"/>
      <c r="B104" s="81" t="s">
        <v>226</v>
      </c>
      <c r="C104" s="54" t="s">
        <v>129</v>
      </c>
      <c r="D104" s="55">
        <v>1</v>
      </c>
      <c r="E104" s="56">
        <v>2.68961807423E-4</v>
      </c>
      <c r="F104" s="32"/>
      <c r="G104" s="32"/>
    </row>
    <row r="105" spans="1:7" ht="14.5" customHeight="1">
      <c r="A105" s="32"/>
      <c r="B105" s="82"/>
      <c r="C105" s="67" t="s">
        <v>308</v>
      </c>
      <c r="D105" s="66">
        <v>1</v>
      </c>
      <c r="E105" s="68">
        <v>2.68961807423E-4</v>
      </c>
      <c r="F105" s="32"/>
      <c r="G105" s="32"/>
    </row>
    <row r="106" spans="1:7" ht="14.5" customHeight="1">
      <c r="A106" s="32"/>
      <c r="B106" s="81" t="s">
        <v>227</v>
      </c>
      <c r="C106" s="54" t="s">
        <v>128</v>
      </c>
      <c r="D106" s="55">
        <v>5</v>
      </c>
      <c r="E106" s="56">
        <v>1.344809037117E-3</v>
      </c>
      <c r="F106" s="32"/>
      <c r="G106" s="32"/>
    </row>
    <row r="107" spans="1:7" ht="14.5" customHeight="1">
      <c r="A107" s="32"/>
      <c r="B107" s="83"/>
      <c r="C107" s="54" t="s">
        <v>194</v>
      </c>
      <c r="D107" s="55">
        <v>7</v>
      </c>
      <c r="E107" s="56">
        <v>1.8827326519630001E-3</v>
      </c>
      <c r="F107" s="32"/>
      <c r="G107" s="32"/>
    </row>
    <row r="108" spans="1:7" ht="14.5" customHeight="1">
      <c r="A108" s="32"/>
      <c r="B108" s="82"/>
      <c r="C108" s="67" t="s">
        <v>308</v>
      </c>
      <c r="D108" s="66">
        <v>12</v>
      </c>
      <c r="E108" s="68">
        <v>3.2275416890800001E-3</v>
      </c>
      <c r="F108" s="32"/>
      <c r="G108" s="32"/>
    </row>
    <row r="109" spans="1:7" ht="14.5" customHeight="1">
      <c r="A109" s="32"/>
      <c r="B109" s="81" t="s">
        <v>228</v>
      </c>
      <c r="C109" s="54" t="s">
        <v>128</v>
      </c>
      <c r="D109" s="55">
        <v>5</v>
      </c>
      <c r="E109" s="56">
        <v>1.344809037117E-3</v>
      </c>
      <c r="F109" s="32"/>
      <c r="G109" s="32"/>
    </row>
    <row r="110" spans="1:7" ht="14.5" customHeight="1">
      <c r="A110" s="32"/>
      <c r="B110" s="83"/>
      <c r="C110" s="54" t="s">
        <v>194</v>
      </c>
      <c r="D110" s="55">
        <v>7</v>
      </c>
      <c r="E110" s="56">
        <v>1.8827326519630001E-3</v>
      </c>
      <c r="F110" s="32"/>
      <c r="G110" s="32"/>
    </row>
    <row r="111" spans="1:7" ht="14.5" customHeight="1">
      <c r="A111" s="32"/>
      <c r="B111" s="82"/>
      <c r="C111" s="67" t="s">
        <v>308</v>
      </c>
      <c r="D111" s="66">
        <v>12</v>
      </c>
      <c r="E111" s="68">
        <v>3.2275416890800001E-3</v>
      </c>
      <c r="F111" s="32"/>
      <c r="G111" s="32"/>
    </row>
    <row r="112" spans="1:7" ht="14.5" customHeight="1">
      <c r="A112" s="32"/>
      <c r="B112" s="81" t="s">
        <v>229</v>
      </c>
      <c r="C112" s="54" t="s">
        <v>128</v>
      </c>
      <c r="D112" s="55">
        <v>159</v>
      </c>
      <c r="E112" s="56">
        <v>4.2764927380311998E-2</v>
      </c>
      <c r="F112" s="32"/>
      <c r="G112" s="32"/>
    </row>
    <row r="113" spans="1:7" ht="14.5" customHeight="1">
      <c r="A113" s="32"/>
      <c r="B113" s="83"/>
      <c r="C113" s="54" t="s">
        <v>194</v>
      </c>
      <c r="D113" s="55">
        <v>120</v>
      </c>
      <c r="E113" s="56">
        <v>3.2275416890802003E-2</v>
      </c>
      <c r="F113" s="32"/>
      <c r="G113" s="32"/>
    </row>
    <row r="114" spans="1:7" ht="14.5" customHeight="1">
      <c r="A114" s="32"/>
      <c r="B114" s="82"/>
      <c r="C114" s="67" t="s">
        <v>308</v>
      </c>
      <c r="D114" s="66">
        <v>279</v>
      </c>
      <c r="E114" s="68">
        <v>7.5040344271114001E-2</v>
      </c>
      <c r="F114" s="32"/>
      <c r="G114" s="32"/>
    </row>
    <row r="115" spans="1:7" ht="14.5" customHeight="1">
      <c r="A115" s="32"/>
      <c r="B115" s="81" t="s">
        <v>230</v>
      </c>
      <c r="C115" s="54" t="s">
        <v>128</v>
      </c>
      <c r="D115" s="55">
        <v>21</v>
      </c>
      <c r="E115" s="56">
        <v>5.6481979558899997E-3</v>
      </c>
      <c r="F115" s="32"/>
      <c r="G115" s="32"/>
    </row>
    <row r="116" spans="1:7" ht="14.5" customHeight="1">
      <c r="A116" s="32"/>
      <c r="B116" s="83"/>
      <c r="C116" s="54" t="s">
        <v>194</v>
      </c>
      <c r="D116" s="55">
        <v>30</v>
      </c>
      <c r="E116" s="56">
        <v>8.0688542226999994E-3</v>
      </c>
      <c r="F116" s="32"/>
      <c r="G116" s="32"/>
    </row>
    <row r="117" spans="1:7" ht="14.5" customHeight="1">
      <c r="A117" s="32"/>
      <c r="B117" s="82"/>
      <c r="C117" s="67" t="s">
        <v>308</v>
      </c>
      <c r="D117" s="66">
        <v>51</v>
      </c>
      <c r="E117" s="68">
        <v>1.3717052178591E-2</v>
      </c>
      <c r="F117" s="32"/>
      <c r="G117" s="32"/>
    </row>
    <row r="118" spans="1:7" ht="14.5" customHeight="1">
      <c r="A118" s="32"/>
      <c r="B118" s="81" t="s">
        <v>231</v>
      </c>
      <c r="C118" s="54" t="s">
        <v>128</v>
      </c>
      <c r="D118" s="55">
        <v>5</v>
      </c>
      <c r="E118" s="56">
        <v>1.344809037117E-3</v>
      </c>
      <c r="F118" s="32"/>
      <c r="G118" s="32"/>
    </row>
    <row r="119" spans="1:7" ht="14.5" customHeight="1">
      <c r="A119" s="32"/>
      <c r="B119" s="83"/>
      <c r="C119" s="54" t="s">
        <v>194</v>
      </c>
      <c r="D119" s="55">
        <v>3</v>
      </c>
      <c r="E119" s="56">
        <v>8.0688542227000002E-4</v>
      </c>
      <c r="F119" s="32"/>
      <c r="G119" s="32"/>
    </row>
    <row r="120" spans="1:7" ht="14.5" customHeight="1">
      <c r="A120" s="32"/>
      <c r="B120" s="82"/>
      <c r="C120" s="67" t="s">
        <v>308</v>
      </c>
      <c r="D120" s="66">
        <v>8</v>
      </c>
      <c r="E120" s="68">
        <v>2.1516944593869998E-3</v>
      </c>
      <c r="F120" s="32"/>
      <c r="G120" s="32"/>
    </row>
    <row r="121" spans="1:7" ht="14.5" customHeight="1">
      <c r="A121" s="32"/>
      <c r="B121" s="81" t="s">
        <v>232</v>
      </c>
      <c r="C121" s="54" t="s">
        <v>128</v>
      </c>
      <c r="D121" s="55">
        <v>60</v>
      </c>
      <c r="E121" s="56">
        <v>1.6137708445401001E-2</v>
      </c>
      <c r="F121" s="32"/>
      <c r="G121" s="32"/>
    </row>
    <row r="122" spans="1:7" ht="14.5" customHeight="1">
      <c r="A122" s="32"/>
      <c r="B122" s="83"/>
      <c r="C122" s="54" t="s">
        <v>194</v>
      </c>
      <c r="D122" s="55">
        <v>54</v>
      </c>
      <c r="E122" s="56">
        <v>1.4523937600861E-2</v>
      </c>
      <c r="F122" s="32"/>
      <c r="G122" s="32"/>
    </row>
    <row r="123" spans="1:7" ht="14.5" customHeight="1">
      <c r="A123" s="32"/>
      <c r="B123" s="82"/>
      <c r="C123" s="67" t="s">
        <v>308</v>
      </c>
      <c r="D123" s="66">
        <v>114</v>
      </c>
      <c r="E123" s="68">
        <v>3.0661646046260999E-2</v>
      </c>
      <c r="F123" s="32"/>
      <c r="G123" s="32"/>
    </row>
    <row r="124" spans="1:7" ht="14.5" customHeight="1">
      <c r="A124" s="32"/>
      <c r="B124" s="81" t="s">
        <v>233</v>
      </c>
      <c r="C124" s="54" t="s">
        <v>129</v>
      </c>
      <c r="D124" s="55">
        <v>1</v>
      </c>
      <c r="E124" s="56">
        <v>2.68961807423E-4</v>
      </c>
      <c r="F124" s="32"/>
      <c r="G124" s="32"/>
    </row>
    <row r="125" spans="1:7" ht="14.5" customHeight="1">
      <c r="A125" s="32"/>
      <c r="B125" s="82"/>
      <c r="C125" s="67" t="s">
        <v>308</v>
      </c>
      <c r="D125" s="66">
        <v>1</v>
      </c>
      <c r="E125" s="68">
        <v>2.68961807423E-4</v>
      </c>
      <c r="F125" s="32"/>
      <c r="G125" s="32"/>
    </row>
    <row r="126" spans="1:7" ht="14.5" customHeight="1">
      <c r="A126" s="32"/>
      <c r="B126" s="81" t="s">
        <v>234</v>
      </c>
      <c r="C126" s="54" t="s">
        <v>128</v>
      </c>
      <c r="D126" s="55">
        <v>4</v>
      </c>
      <c r="E126" s="56">
        <v>1.0758472296930001E-3</v>
      </c>
      <c r="F126" s="32"/>
      <c r="G126" s="32"/>
    </row>
    <row r="127" spans="1:7" ht="14.5" customHeight="1">
      <c r="A127" s="32"/>
      <c r="B127" s="83"/>
      <c r="C127" s="54" t="s">
        <v>194</v>
      </c>
      <c r="D127" s="55">
        <v>8</v>
      </c>
      <c r="E127" s="56">
        <v>2.1516944593869998E-3</v>
      </c>
      <c r="F127" s="32"/>
      <c r="G127" s="32"/>
    </row>
    <row r="128" spans="1:7" ht="14.5" customHeight="1">
      <c r="A128" s="32"/>
      <c r="B128" s="82"/>
      <c r="C128" s="67" t="s">
        <v>308</v>
      </c>
      <c r="D128" s="66">
        <v>12</v>
      </c>
      <c r="E128" s="68">
        <v>3.2275416890800001E-3</v>
      </c>
      <c r="F128" s="32"/>
      <c r="G128" s="32"/>
    </row>
    <row r="129" spans="1:7" ht="14.5" customHeight="1">
      <c r="A129" s="32"/>
      <c r="B129" s="81" t="s">
        <v>235</v>
      </c>
      <c r="C129" s="54" t="s">
        <v>128</v>
      </c>
      <c r="D129" s="55">
        <v>1</v>
      </c>
      <c r="E129" s="56">
        <v>2.68961807423E-4</v>
      </c>
      <c r="F129" s="32"/>
      <c r="G129" s="32"/>
    </row>
    <row r="130" spans="1:7" ht="14.5" customHeight="1">
      <c r="A130" s="32"/>
      <c r="B130" s="83"/>
      <c r="C130" s="54" t="s">
        <v>194</v>
      </c>
      <c r="D130" s="55">
        <v>3</v>
      </c>
      <c r="E130" s="56">
        <v>8.0688542227000002E-4</v>
      </c>
      <c r="F130" s="32"/>
      <c r="G130" s="32"/>
    </row>
    <row r="131" spans="1:7" ht="14.5" customHeight="1">
      <c r="A131" s="32"/>
      <c r="B131" s="82"/>
      <c r="C131" s="67" t="s">
        <v>308</v>
      </c>
      <c r="D131" s="66">
        <v>4</v>
      </c>
      <c r="E131" s="68">
        <v>1.0758472296930001E-3</v>
      </c>
      <c r="F131" s="32"/>
      <c r="G131" s="32"/>
    </row>
    <row r="132" spans="1:7" ht="14.5" customHeight="1">
      <c r="A132" s="32"/>
      <c r="B132" s="84" t="s">
        <v>307</v>
      </c>
      <c r="C132" s="85"/>
      <c r="D132" s="58">
        <v>3718</v>
      </c>
      <c r="E132" s="59">
        <v>1</v>
      </c>
      <c r="F132" s="32"/>
      <c r="G132" s="32"/>
    </row>
    <row r="133" spans="1:7" ht="14.5" customHeight="1">
      <c r="A133" s="32"/>
      <c r="B133" s="38"/>
      <c r="C133" s="44"/>
      <c r="D133" s="52"/>
      <c r="E133" s="44"/>
      <c r="F133" s="32"/>
      <c r="G133" s="32"/>
    </row>
    <row r="134" spans="1:7" ht="14.5" customHeight="1">
      <c r="B134" s="38" t="s">
        <v>183</v>
      </c>
      <c r="C134" s="44"/>
      <c r="D134" s="52"/>
      <c r="E134" s="44"/>
      <c r="F134" s="32"/>
      <c r="G134" s="32"/>
    </row>
    <row r="135" spans="1:7" ht="14.5" customHeight="1">
      <c r="B135" s="41" t="s">
        <v>17</v>
      </c>
      <c r="C135" s="44"/>
      <c r="D135" s="52"/>
      <c r="E135" s="44"/>
      <c r="F135" s="32"/>
      <c r="G135" s="32"/>
    </row>
    <row r="136" spans="1:7" ht="14.5" customHeight="1">
      <c r="B136" s="42" t="s">
        <v>45</v>
      </c>
      <c r="C136" s="44"/>
      <c r="D136" s="52"/>
      <c r="E136" s="44"/>
      <c r="F136" s="32"/>
      <c r="G136" s="32"/>
    </row>
    <row r="137" spans="1:7" ht="14.5" customHeight="1">
      <c r="B137" s="38" t="s">
        <v>16</v>
      </c>
      <c r="C137" s="44"/>
      <c r="D137" s="52"/>
      <c r="E137" s="44"/>
      <c r="F137" s="32"/>
      <c r="G137" s="32"/>
    </row>
    <row r="138" spans="1:7" ht="12">
      <c r="B138" s="38" t="s">
        <v>306</v>
      </c>
      <c r="C138" s="44"/>
      <c r="D138" s="52"/>
      <c r="E138" s="44"/>
      <c r="F138" s="32"/>
      <c r="G138" s="32"/>
    </row>
    <row r="139" spans="1:7" ht="12">
      <c r="A139" s="32"/>
      <c r="B139" s="44"/>
      <c r="C139" s="44"/>
      <c r="D139" s="52"/>
      <c r="E139" s="44"/>
      <c r="F139" s="32"/>
      <c r="G139" s="32"/>
    </row>
  </sheetData>
  <mergeCells count="44">
    <mergeCell ref="B132:C132"/>
    <mergeCell ref="B8:E10"/>
    <mergeCell ref="B13:B15"/>
    <mergeCell ref="B16:B18"/>
    <mergeCell ref="B19:B21"/>
    <mergeCell ref="B22:B24"/>
    <mergeCell ref="B25:B27"/>
    <mergeCell ref="B28:B30"/>
    <mergeCell ref="B31:B32"/>
    <mergeCell ref="B33:B35"/>
    <mergeCell ref="B36:B38"/>
    <mergeCell ref="B39:B41"/>
    <mergeCell ref="B42:B44"/>
    <mergeCell ref="B45:B47"/>
    <mergeCell ref="B48:B50"/>
    <mergeCell ref="B51:B53"/>
    <mergeCell ref="B54:B56"/>
    <mergeCell ref="B57:B58"/>
    <mergeCell ref="B59:B60"/>
    <mergeCell ref="B61:B63"/>
    <mergeCell ref="B64:B66"/>
    <mergeCell ref="B67:B69"/>
    <mergeCell ref="B70:B72"/>
    <mergeCell ref="B73:B74"/>
    <mergeCell ref="B75:B77"/>
    <mergeCell ref="B78:B80"/>
    <mergeCell ref="B81:B82"/>
    <mergeCell ref="B83:B85"/>
    <mergeCell ref="B86:B88"/>
    <mergeCell ref="B89:B91"/>
    <mergeCell ref="B92:B94"/>
    <mergeCell ref="B95:B97"/>
    <mergeCell ref="B98:B100"/>
    <mergeCell ref="B101:B103"/>
    <mergeCell ref="B104:B105"/>
    <mergeCell ref="B106:B108"/>
    <mergeCell ref="B124:B125"/>
    <mergeCell ref="B126:B128"/>
    <mergeCell ref="B129:B131"/>
    <mergeCell ref="B109:B111"/>
    <mergeCell ref="B112:B114"/>
    <mergeCell ref="B115:B117"/>
    <mergeCell ref="B118:B120"/>
    <mergeCell ref="B121:B123"/>
  </mergeCells>
  <printOptions horizontalCentered="1"/>
  <pageMargins left="0.74803149606299213" right="0.74803149606299213" top="0.98425196850393704" bottom="0.98425196850393704" header="0.51181102362204722" footer="0.51181102362204722"/>
  <pageSetup scale="59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3">
    <tabColor rgb="FF0070C0"/>
  </sheetPr>
  <dimension ref="A1:G39"/>
  <sheetViews>
    <sheetView showGridLines="0" view="pageBreakPreview" topLeftCell="A17" zoomScaleNormal="120" zoomScaleSheetLayoutView="100" workbookViewId="0">
      <selection activeCell="E19" sqref="E19"/>
    </sheetView>
  </sheetViews>
  <sheetFormatPr baseColWidth="10" defaultColWidth="11.453125" defaultRowHeight="10"/>
  <cols>
    <col min="1" max="1" width="5.7265625" style="16" customWidth="1"/>
    <col min="2" max="2" width="19" style="22" customWidth="1"/>
    <col min="3" max="3" width="24.1796875" style="22" customWidth="1"/>
    <col min="4" max="5" width="15.7265625" style="25" customWidth="1"/>
    <col min="6" max="6" width="15.7265625" style="22" customWidth="1"/>
    <col min="7" max="7" width="5.7265625" style="16" customWidth="1"/>
    <col min="8" max="16384" width="11.453125" style="16"/>
  </cols>
  <sheetData>
    <row r="1" spans="1:7" s="13" customFormat="1" ht="14.5">
      <c r="B1" s="22"/>
      <c r="C1" s="22"/>
    </row>
    <row r="2" spans="1:7" s="22" customFormat="1">
      <c r="B2" s="27"/>
    </row>
    <row r="3" spans="1:7" ht="15" customHeight="1">
      <c r="B3" s="28"/>
      <c r="C3" s="18"/>
      <c r="D3" s="16"/>
      <c r="E3" s="16"/>
      <c r="G3" s="22"/>
    </row>
    <row r="4" spans="1:7" ht="30" customHeight="1">
      <c r="B4" s="28"/>
      <c r="C4" s="18"/>
      <c r="D4" s="16"/>
      <c r="E4" s="16"/>
      <c r="G4" s="22"/>
    </row>
    <row r="5" spans="1:7" ht="15" customHeight="1">
      <c r="B5" s="28"/>
      <c r="C5" s="18"/>
      <c r="D5" s="16"/>
      <c r="E5" s="16"/>
      <c r="G5" s="22"/>
    </row>
    <row r="6" spans="1:7" s="22" customFormat="1" ht="10.5">
      <c r="B6" s="24"/>
      <c r="C6" s="21"/>
    </row>
    <row r="7" spans="1:7" s="22" customFormat="1">
      <c r="B7" s="27"/>
    </row>
    <row r="8" spans="1:7" s="13" customFormat="1" ht="15" customHeight="1">
      <c r="A8" s="37"/>
      <c r="B8" s="80" t="s">
        <v>181</v>
      </c>
      <c r="C8" s="80"/>
      <c r="D8" s="80"/>
      <c r="E8" s="80"/>
      <c r="F8" s="80"/>
      <c r="G8" s="37"/>
    </row>
    <row r="9" spans="1:7" s="13" customFormat="1" ht="15" customHeight="1">
      <c r="A9" s="37"/>
      <c r="B9" s="80"/>
      <c r="C9" s="80"/>
      <c r="D9" s="80"/>
      <c r="E9" s="80"/>
      <c r="F9" s="80"/>
      <c r="G9" s="50"/>
    </row>
    <row r="10" spans="1:7" s="13" customFormat="1" ht="15" customHeight="1">
      <c r="A10" s="37"/>
      <c r="B10" s="80"/>
      <c r="C10" s="80"/>
      <c r="D10" s="80"/>
      <c r="E10" s="80"/>
      <c r="F10" s="80"/>
      <c r="G10" s="37"/>
    </row>
    <row r="11" spans="1:7" s="13" customFormat="1" ht="15" customHeight="1">
      <c r="A11" s="37"/>
      <c r="B11" s="51"/>
      <c r="C11" s="51"/>
      <c r="D11" s="51"/>
      <c r="E11" s="51"/>
      <c r="F11" s="51"/>
      <c r="G11" s="37"/>
    </row>
    <row r="12" spans="1:7" s="13" customFormat="1" ht="45" customHeight="1">
      <c r="A12" s="37"/>
      <c r="B12" s="53" t="s">
        <v>28</v>
      </c>
      <c r="C12" s="53" t="s">
        <v>31</v>
      </c>
      <c r="D12" s="53" t="s">
        <v>19</v>
      </c>
      <c r="E12" s="53" t="s">
        <v>30</v>
      </c>
      <c r="F12" s="53" t="s">
        <v>29</v>
      </c>
      <c r="G12" s="37"/>
    </row>
    <row r="13" spans="1:7" ht="14.5" customHeight="1">
      <c r="A13" s="32"/>
      <c r="B13" s="81" t="s">
        <v>267</v>
      </c>
      <c r="C13" s="54" t="s">
        <v>265</v>
      </c>
      <c r="D13" s="55">
        <v>3</v>
      </c>
      <c r="E13" s="56">
        <f>D13/$D$21</f>
        <v>1.6172506738544475E-3</v>
      </c>
      <c r="F13" s="56">
        <f>D13/$D$31</f>
        <v>8.0688542227003765E-4</v>
      </c>
      <c r="G13" s="32"/>
    </row>
    <row r="14" spans="1:7" ht="14.5" customHeight="1">
      <c r="A14" s="32"/>
      <c r="B14" s="83"/>
      <c r="C14" s="54" t="s">
        <v>163</v>
      </c>
      <c r="D14" s="55">
        <v>7</v>
      </c>
      <c r="E14" s="56">
        <f t="shared" ref="E14:E20" si="0">D14/$D$21</f>
        <v>3.7735849056603774E-3</v>
      </c>
      <c r="F14" s="56">
        <f t="shared" ref="F14:F31" si="1">D14/$D$31</f>
        <v>1.8827326519634212E-3</v>
      </c>
      <c r="G14" s="32"/>
    </row>
    <row r="15" spans="1:7" ht="14.5" customHeight="1">
      <c r="A15" s="32"/>
      <c r="B15" s="83"/>
      <c r="C15" s="54" t="s">
        <v>164</v>
      </c>
      <c r="D15" s="55">
        <v>182</v>
      </c>
      <c r="E15" s="56">
        <f t="shared" si="0"/>
        <v>9.8113207547169817E-2</v>
      </c>
      <c r="F15" s="56">
        <f t="shared" si="1"/>
        <v>4.8951048951048952E-2</v>
      </c>
      <c r="G15" s="32"/>
    </row>
    <row r="16" spans="1:7" ht="14.5" customHeight="1">
      <c r="A16" s="32"/>
      <c r="B16" s="83"/>
      <c r="C16" s="54" t="s">
        <v>165</v>
      </c>
      <c r="D16" s="55">
        <v>372</v>
      </c>
      <c r="E16" s="56">
        <f t="shared" si="0"/>
        <v>0.20053908355795147</v>
      </c>
      <c r="F16" s="56">
        <f t="shared" si="1"/>
        <v>0.10005379236148466</v>
      </c>
      <c r="G16" s="32"/>
    </row>
    <row r="17" spans="1:7" ht="14.5" customHeight="1">
      <c r="A17" s="32"/>
      <c r="B17" s="83"/>
      <c r="C17" s="54" t="s">
        <v>166</v>
      </c>
      <c r="D17" s="55">
        <v>596</v>
      </c>
      <c r="E17" s="56">
        <f t="shared" si="0"/>
        <v>0.32129380053908357</v>
      </c>
      <c r="F17" s="56">
        <f t="shared" si="1"/>
        <v>0.16030123722431414</v>
      </c>
      <c r="G17" s="32"/>
    </row>
    <row r="18" spans="1:7" ht="14.5" customHeight="1">
      <c r="A18" s="32"/>
      <c r="B18" s="83"/>
      <c r="C18" s="54" t="s">
        <v>167</v>
      </c>
      <c r="D18" s="55">
        <v>613</v>
      </c>
      <c r="E18" s="56">
        <f t="shared" si="0"/>
        <v>0.33045822102425876</v>
      </c>
      <c r="F18" s="56">
        <f t="shared" si="1"/>
        <v>0.16487358795051102</v>
      </c>
      <c r="G18" s="32"/>
    </row>
    <row r="19" spans="1:7" ht="14.5" customHeight="1">
      <c r="A19" s="32"/>
      <c r="B19" s="83"/>
      <c r="C19" s="54" t="s">
        <v>168</v>
      </c>
      <c r="D19" s="55">
        <v>69</v>
      </c>
      <c r="E19" s="56">
        <f t="shared" si="0"/>
        <v>3.7196765498652293E-2</v>
      </c>
      <c r="F19" s="56">
        <f t="shared" si="1"/>
        <v>1.8558364712210867E-2</v>
      </c>
      <c r="G19" s="32"/>
    </row>
    <row r="20" spans="1:7" ht="14.5" customHeight="1">
      <c r="A20" s="32"/>
      <c r="B20" s="83"/>
      <c r="C20" s="54" t="s">
        <v>169</v>
      </c>
      <c r="D20" s="55">
        <v>13</v>
      </c>
      <c r="E20" s="56">
        <f t="shared" si="0"/>
        <v>7.0080862533692719E-3</v>
      </c>
      <c r="F20" s="56">
        <f t="shared" si="1"/>
        <v>3.4965034965034965E-3</v>
      </c>
      <c r="G20" s="32"/>
    </row>
    <row r="21" spans="1:7" ht="14.5" customHeight="1">
      <c r="A21" s="32"/>
      <c r="B21" s="82"/>
      <c r="C21" s="67" t="s">
        <v>308</v>
      </c>
      <c r="D21" s="66">
        <v>1855</v>
      </c>
      <c r="E21" s="68"/>
      <c r="F21" s="68">
        <f t="shared" si="1"/>
        <v>0.49892415277030661</v>
      </c>
      <c r="G21" s="32"/>
    </row>
    <row r="22" spans="1:7" ht="14.5" customHeight="1">
      <c r="A22" s="32"/>
      <c r="B22" s="81" t="s">
        <v>266</v>
      </c>
      <c r="C22" s="54" t="s">
        <v>265</v>
      </c>
      <c r="D22" s="55">
        <v>1</v>
      </c>
      <c r="E22" s="56">
        <f>D22/$D$30</f>
        <v>5.3676865271068169E-4</v>
      </c>
      <c r="F22" s="56">
        <f t="shared" si="1"/>
        <v>2.6896180742334586E-4</v>
      </c>
      <c r="G22" s="32"/>
    </row>
    <row r="23" spans="1:7" ht="14.5" customHeight="1">
      <c r="A23" s="32"/>
      <c r="B23" s="83"/>
      <c r="C23" s="54" t="s">
        <v>163</v>
      </c>
      <c r="D23" s="55">
        <v>9</v>
      </c>
      <c r="E23" s="56">
        <f t="shared" ref="E23:E29" si="2">D23/$D$30</f>
        <v>4.830917874396135E-3</v>
      </c>
      <c r="F23" s="56">
        <f t="shared" si="1"/>
        <v>2.4206562668101128E-3</v>
      </c>
      <c r="G23" s="32"/>
    </row>
    <row r="24" spans="1:7" ht="14.5" customHeight="1">
      <c r="A24" s="32"/>
      <c r="B24" s="83"/>
      <c r="C24" s="54" t="s">
        <v>164</v>
      </c>
      <c r="D24" s="55">
        <v>279</v>
      </c>
      <c r="E24" s="56">
        <f t="shared" si="2"/>
        <v>0.14975845410628019</v>
      </c>
      <c r="F24" s="56">
        <f t="shared" si="1"/>
        <v>7.5040344271113502E-2</v>
      </c>
      <c r="G24" s="32"/>
    </row>
    <row r="25" spans="1:7" ht="14.5" customHeight="1">
      <c r="A25" s="32"/>
      <c r="B25" s="83"/>
      <c r="C25" s="54" t="s">
        <v>165</v>
      </c>
      <c r="D25" s="55">
        <v>450</v>
      </c>
      <c r="E25" s="56">
        <f t="shared" si="2"/>
        <v>0.24154589371980675</v>
      </c>
      <c r="F25" s="56">
        <f t="shared" si="1"/>
        <v>0.12103281334050565</v>
      </c>
      <c r="G25" s="32"/>
    </row>
    <row r="26" spans="1:7" ht="14.5" customHeight="1">
      <c r="A26" s="32"/>
      <c r="B26" s="83"/>
      <c r="C26" s="54" t="s">
        <v>166</v>
      </c>
      <c r="D26" s="55">
        <v>562</v>
      </c>
      <c r="E26" s="56">
        <f t="shared" si="2"/>
        <v>0.30166398282340312</v>
      </c>
      <c r="F26" s="56">
        <f t="shared" si="1"/>
        <v>0.1511565357719204</v>
      </c>
      <c r="G26" s="32"/>
    </row>
    <row r="27" spans="1:7" ht="14.5" customHeight="1">
      <c r="A27" s="32"/>
      <c r="B27" s="83"/>
      <c r="C27" s="54" t="s">
        <v>167</v>
      </c>
      <c r="D27" s="55">
        <v>493</v>
      </c>
      <c r="E27" s="56">
        <f t="shared" si="2"/>
        <v>0.26462694578636609</v>
      </c>
      <c r="F27" s="56">
        <f t="shared" si="1"/>
        <v>0.13259817105970953</v>
      </c>
      <c r="G27" s="32"/>
    </row>
    <row r="28" spans="1:7" ht="14.5" customHeight="1">
      <c r="A28" s="32"/>
      <c r="B28" s="83"/>
      <c r="C28" s="54" t="s">
        <v>168</v>
      </c>
      <c r="D28" s="55">
        <v>57</v>
      </c>
      <c r="E28" s="56">
        <f t="shared" si="2"/>
        <v>3.0595813204508857E-2</v>
      </c>
      <c r="F28" s="56">
        <f t="shared" si="1"/>
        <v>1.5330823023130715E-2</v>
      </c>
      <c r="G28" s="32"/>
    </row>
    <row r="29" spans="1:7" ht="14.5" customHeight="1">
      <c r="A29" s="32"/>
      <c r="B29" s="83"/>
      <c r="C29" s="54" t="s">
        <v>169</v>
      </c>
      <c r="D29" s="55">
        <v>12</v>
      </c>
      <c r="E29" s="56">
        <f t="shared" si="2"/>
        <v>6.4412238325281803E-3</v>
      </c>
      <c r="F29" s="56">
        <f t="shared" si="1"/>
        <v>3.2275416890801506E-3</v>
      </c>
      <c r="G29" s="32"/>
    </row>
    <row r="30" spans="1:7" ht="14.5" customHeight="1">
      <c r="A30" s="32"/>
      <c r="B30" s="82"/>
      <c r="C30" s="67" t="s">
        <v>308</v>
      </c>
      <c r="D30" s="66">
        <v>1863</v>
      </c>
      <c r="E30" s="68"/>
      <c r="F30" s="68">
        <f t="shared" si="1"/>
        <v>0.50107584722969334</v>
      </c>
      <c r="G30" s="32"/>
    </row>
    <row r="31" spans="1:7" ht="14.5" customHeight="1">
      <c r="A31" s="32"/>
      <c r="B31" s="84" t="s">
        <v>307</v>
      </c>
      <c r="C31" s="85"/>
      <c r="D31" s="58">
        <v>3718</v>
      </c>
      <c r="E31" s="59">
        <v>1</v>
      </c>
      <c r="F31" s="59">
        <f t="shared" si="1"/>
        <v>1</v>
      </c>
      <c r="G31" s="32"/>
    </row>
    <row r="32" spans="1:7" ht="14.5" customHeight="1">
      <c r="A32" s="32"/>
      <c r="B32" s="42"/>
      <c r="C32" s="44"/>
      <c r="D32" s="52"/>
      <c r="E32" s="52"/>
      <c r="F32" s="44"/>
      <c r="G32" s="32"/>
    </row>
    <row r="33" spans="1:7" ht="14.5" customHeight="1">
      <c r="B33" s="38" t="s">
        <v>183</v>
      </c>
      <c r="C33" s="61"/>
      <c r="D33" s="60"/>
      <c r="E33" s="52"/>
      <c r="F33" s="44"/>
      <c r="G33" s="32"/>
    </row>
    <row r="34" spans="1:7" ht="14.5" customHeight="1">
      <c r="B34" s="41" t="s">
        <v>17</v>
      </c>
      <c r="C34" s="61"/>
      <c r="D34" s="60"/>
      <c r="E34" s="52"/>
      <c r="F34" s="44"/>
      <c r="G34" s="32"/>
    </row>
    <row r="35" spans="1:7" ht="12">
      <c r="B35" s="42" t="s">
        <v>45</v>
      </c>
      <c r="C35" s="61"/>
      <c r="D35" s="60"/>
      <c r="E35" s="52"/>
      <c r="F35" s="44"/>
      <c r="G35" s="32"/>
    </row>
    <row r="36" spans="1:7" ht="12">
      <c r="B36" s="38" t="s">
        <v>16</v>
      </c>
      <c r="C36" s="61"/>
      <c r="D36" s="60"/>
      <c r="E36" s="52"/>
      <c r="F36" s="44"/>
      <c r="G36" s="32"/>
    </row>
    <row r="37" spans="1:7" ht="12">
      <c r="B37" s="38" t="s">
        <v>306</v>
      </c>
      <c r="C37" s="61"/>
      <c r="D37" s="60"/>
      <c r="E37" s="52"/>
      <c r="F37" s="44"/>
      <c r="G37" s="32"/>
    </row>
    <row r="38" spans="1:7" ht="12">
      <c r="A38" s="32"/>
      <c r="B38" s="44"/>
      <c r="C38" s="44"/>
      <c r="D38" s="52"/>
      <c r="E38" s="52"/>
      <c r="F38" s="44"/>
      <c r="G38" s="32"/>
    </row>
    <row r="39" spans="1:7" ht="12">
      <c r="A39" s="32"/>
      <c r="B39" s="44"/>
      <c r="C39" s="44"/>
      <c r="D39" s="52"/>
      <c r="E39" s="52"/>
      <c r="F39" s="44"/>
      <c r="G39" s="32"/>
    </row>
  </sheetData>
  <mergeCells count="4">
    <mergeCell ref="B8:F10"/>
    <mergeCell ref="B13:B21"/>
    <mergeCell ref="B22:B30"/>
    <mergeCell ref="B31:C31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4">
    <tabColor rgb="FF7030A0"/>
  </sheetPr>
  <dimension ref="A1:E60"/>
  <sheetViews>
    <sheetView showGridLines="0" tabSelected="1" view="pageBreakPreview" topLeftCell="A44" zoomScaleNormal="85" zoomScaleSheetLayoutView="100" workbookViewId="0">
      <selection activeCell="B17" sqref="B17"/>
    </sheetView>
  </sheetViews>
  <sheetFormatPr baseColWidth="10" defaultColWidth="11.453125" defaultRowHeight="14.5"/>
  <cols>
    <col min="1" max="1" width="9.26953125" style="13" customWidth="1"/>
    <col min="2" max="2" width="43.4531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1:5" s="16" customFormat="1" ht="15" customHeight="1">
      <c r="C1" s="18"/>
    </row>
    <row r="2" spans="1:5" s="16" customFormat="1" ht="15" customHeight="1">
      <c r="C2" s="18"/>
    </row>
    <row r="3" spans="1:5" s="16" customFormat="1" ht="15" customHeight="1">
      <c r="C3" s="18"/>
    </row>
    <row r="4" spans="1:5" s="16" customFormat="1" ht="30" customHeight="1">
      <c r="C4" s="18"/>
      <c r="D4" s="17"/>
    </row>
    <row r="5" spans="1:5" s="16" customFormat="1" ht="15" customHeight="1">
      <c r="C5" s="18"/>
      <c r="D5" s="17"/>
    </row>
    <row r="6" spans="1:5" s="16" customFormat="1" ht="15" customHeight="1">
      <c r="C6" s="18"/>
      <c r="D6" s="17"/>
    </row>
    <row r="7" spans="1:5" s="16" customFormat="1" ht="15" customHeight="1">
      <c r="A7" s="32"/>
      <c r="B7" s="80" t="s">
        <v>182</v>
      </c>
      <c r="C7" s="80"/>
      <c r="D7" s="80"/>
      <c r="E7" s="32"/>
    </row>
    <row r="8" spans="1:5" s="16" customFormat="1" ht="15" customHeight="1">
      <c r="A8" s="32"/>
      <c r="B8" s="80"/>
      <c r="C8" s="80"/>
      <c r="D8" s="80"/>
      <c r="E8" s="32"/>
    </row>
    <row r="9" spans="1:5" s="16" customFormat="1" ht="33" customHeight="1">
      <c r="A9" s="32"/>
      <c r="B9" s="80"/>
      <c r="C9" s="80"/>
      <c r="D9" s="80"/>
      <c r="E9" s="32"/>
    </row>
    <row r="10" spans="1:5" s="16" customFormat="1" ht="4.5" customHeight="1">
      <c r="A10" s="32"/>
      <c r="B10" s="33"/>
      <c r="C10" s="33"/>
      <c r="D10" s="33"/>
      <c r="E10" s="32"/>
    </row>
    <row r="11" spans="1:5" s="16" customFormat="1" ht="33" customHeight="1">
      <c r="A11" s="32"/>
      <c r="B11" s="34" t="s">
        <v>32</v>
      </c>
      <c r="C11" s="35" t="s">
        <v>19</v>
      </c>
      <c r="D11" s="36" t="s">
        <v>18</v>
      </c>
      <c r="E11" s="32"/>
    </row>
    <row r="12" spans="1:5" ht="15" customHeight="1">
      <c r="A12" s="37"/>
      <c r="B12" s="54" t="s">
        <v>268</v>
      </c>
      <c r="C12" s="55">
        <v>1985</v>
      </c>
      <c r="D12" s="56">
        <v>0.533889187735342</v>
      </c>
      <c r="E12" s="37"/>
    </row>
    <row r="13" spans="1:5" ht="15" customHeight="1">
      <c r="A13" s="37"/>
      <c r="B13" s="54" t="s">
        <v>170</v>
      </c>
      <c r="C13" s="55">
        <v>988</v>
      </c>
      <c r="D13" s="56">
        <v>0.26573426573426601</v>
      </c>
      <c r="E13" s="37"/>
    </row>
    <row r="14" spans="1:5" ht="15" customHeight="1">
      <c r="A14" s="37"/>
      <c r="B14" s="54" t="s">
        <v>269</v>
      </c>
      <c r="C14" s="55">
        <v>151</v>
      </c>
      <c r="D14" s="56">
        <v>4.0613232920925002E-2</v>
      </c>
      <c r="E14" s="37"/>
    </row>
    <row r="15" spans="1:5" ht="15" customHeight="1">
      <c r="A15" s="37"/>
      <c r="B15" s="54" t="s">
        <v>171</v>
      </c>
      <c r="C15" s="55">
        <v>115</v>
      </c>
      <c r="D15" s="56">
        <v>3.0930607853685E-2</v>
      </c>
      <c r="E15" s="37"/>
    </row>
    <row r="16" spans="1:5" ht="15" customHeight="1">
      <c r="A16" s="37"/>
      <c r="B16" s="54" t="s">
        <v>270</v>
      </c>
      <c r="C16" s="55">
        <v>100</v>
      </c>
      <c r="D16" s="56">
        <v>2.6896180742335001E-2</v>
      </c>
      <c r="E16" s="37"/>
    </row>
    <row r="17" spans="1:5" ht="15" customHeight="1">
      <c r="A17" s="37"/>
      <c r="B17" s="54" t="s">
        <v>271</v>
      </c>
      <c r="C17" s="55">
        <v>58</v>
      </c>
      <c r="D17" s="56">
        <v>1.5599784830554001E-2</v>
      </c>
      <c r="E17" s="37"/>
    </row>
    <row r="18" spans="1:5" ht="15" customHeight="1">
      <c r="A18" s="37"/>
      <c r="B18" s="54" t="s">
        <v>272</v>
      </c>
      <c r="C18" s="55">
        <v>48</v>
      </c>
      <c r="D18" s="56">
        <v>1.2910166756321E-2</v>
      </c>
      <c r="E18" s="37"/>
    </row>
    <row r="19" spans="1:5" ht="18.649999999999999" customHeight="1">
      <c r="A19" s="37"/>
      <c r="B19" s="54" t="s">
        <v>273</v>
      </c>
      <c r="C19" s="55">
        <v>39</v>
      </c>
      <c r="D19" s="56">
        <v>1.0489510489510001E-2</v>
      </c>
      <c r="E19" s="37"/>
    </row>
    <row r="20" spans="1:5" ht="15" customHeight="1">
      <c r="A20" s="37"/>
      <c r="B20" s="54" t="s">
        <v>274</v>
      </c>
      <c r="C20" s="55">
        <v>25</v>
      </c>
      <c r="D20" s="56">
        <v>6.7240451855840001E-3</v>
      </c>
      <c r="E20" s="37"/>
    </row>
    <row r="21" spans="1:5" ht="15" customHeight="1">
      <c r="A21" s="37"/>
      <c r="B21" s="54" t="s">
        <v>275</v>
      </c>
      <c r="C21" s="55">
        <v>24</v>
      </c>
      <c r="D21" s="56">
        <v>6.4550833781600002E-3</v>
      </c>
      <c r="E21" s="37"/>
    </row>
    <row r="22" spans="1:5" ht="15" customHeight="1">
      <c r="A22" s="37"/>
      <c r="B22" s="54" t="s">
        <v>175</v>
      </c>
      <c r="C22" s="55">
        <v>22</v>
      </c>
      <c r="D22" s="56">
        <v>5.9171597633139996E-3</v>
      </c>
      <c r="E22" s="37"/>
    </row>
    <row r="23" spans="1:5" ht="15" customHeight="1">
      <c r="A23" s="37"/>
      <c r="B23" s="54" t="s">
        <v>276</v>
      </c>
      <c r="C23" s="55">
        <v>16</v>
      </c>
      <c r="D23" s="56">
        <v>4.3033889187739996E-3</v>
      </c>
      <c r="E23" s="37"/>
    </row>
    <row r="24" spans="1:5" ht="15" customHeight="1">
      <c r="A24" s="37"/>
      <c r="B24" s="54" t="s">
        <v>174</v>
      </c>
      <c r="C24" s="55">
        <v>16</v>
      </c>
      <c r="D24" s="56">
        <v>4.3033889187739996E-3</v>
      </c>
      <c r="E24" s="37"/>
    </row>
    <row r="25" spans="1:5" ht="15" customHeight="1">
      <c r="A25" s="37"/>
      <c r="B25" s="54" t="s">
        <v>277</v>
      </c>
      <c r="C25" s="55">
        <v>15</v>
      </c>
      <c r="D25" s="56">
        <v>4.0344271113499997E-3</v>
      </c>
      <c r="E25" s="37"/>
    </row>
    <row r="26" spans="1:5" ht="15" customHeight="1">
      <c r="A26" s="37"/>
      <c r="B26" s="54" t="s">
        <v>172</v>
      </c>
      <c r="C26" s="55">
        <v>13</v>
      </c>
      <c r="D26" s="56">
        <v>3.4965034965029999E-3</v>
      </c>
      <c r="E26" s="37"/>
    </row>
    <row r="27" spans="1:5" ht="15" customHeight="1">
      <c r="A27" s="37"/>
      <c r="B27" s="54" t="s">
        <v>278</v>
      </c>
      <c r="C27" s="55">
        <v>13</v>
      </c>
      <c r="D27" s="56">
        <v>3.4965034965029999E-3</v>
      </c>
      <c r="E27" s="37"/>
    </row>
    <row r="28" spans="1:5" ht="15" customHeight="1">
      <c r="A28" s="37"/>
      <c r="B28" s="54" t="s">
        <v>279</v>
      </c>
      <c r="C28" s="55">
        <v>10</v>
      </c>
      <c r="D28" s="56">
        <v>2.6896180742329999E-3</v>
      </c>
      <c r="E28" s="37"/>
    </row>
    <row r="29" spans="1:5" ht="15" customHeight="1">
      <c r="A29" s="37"/>
      <c r="B29" s="54" t="s">
        <v>280</v>
      </c>
      <c r="C29" s="55">
        <v>9</v>
      </c>
      <c r="D29" s="56">
        <v>2.4206562668100001E-3</v>
      </c>
      <c r="E29" s="37"/>
    </row>
    <row r="30" spans="1:5" ht="15" customHeight="1">
      <c r="A30" s="37"/>
      <c r="B30" s="54" t="s">
        <v>176</v>
      </c>
      <c r="C30" s="55">
        <v>9</v>
      </c>
      <c r="D30" s="56">
        <v>2.4206562668100001E-3</v>
      </c>
      <c r="E30" s="37"/>
    </row>
    <row r="31" spans="1:5" ht="15" customHeight="1">
      <c r="A31" s="37"/>
      <c r="B31" s="54" t="s">
        <v>173</v>
      </c>
      <c r="C31" s="55">
        <v>8</v>
      </c>
      <c r="D31" s="56">
        <v>2.1516944593869998E-3</v>
      </c>
      <c r="E31" s="37"/>
    </row>
    <row r="32" spans="1:5" ht="15" customHeight="1">
      <c r="A32" s="37"/>
      <c r="B32" s="54" t="s">
        <v>281</v>
      </c>
      <c r="C32" s="55">
        <v>6</v>
      </c>
      <c r="D32" s="56">
        <v>1.61377084454E-3</v>
      </c>
      <c r="E32" s="37"/>
    </row>
    <row r="33" spans="1:5" ht="15" customHeight="1">
      <c r="A33" s="37"/>
      <c r="B33" s="54" t="s">
        <v>282</v>
      </c>
      <c r="C33" s="55">
        <v>5</v>
      </c>
      <c r="D33" s="56">
        <v>1.344809037117E-3</v>
      </c>
      <c r="E33" s="37"/>
    </row>
    <row r="34" spans="1:5" ht="15" customHeight="1">
      <c r="A34" s="37"/>
      <c r="B34" s="54" t="s">
        <v>283</v>
      </c>
      <c r="C34" s="55">
        <v>5</v>
      </c>
      <c r="D34" s="56">
        <v>1.344809037117E-3</v>
      </c>
      <c r="E34" s="37"/>
    </row>
    <row r="35" spans="1:5" ht="15" customHeight="1">
      <c r="A35" s="37"/>
      <c r="B35" s="54" t="s">
        <v>284</v>
      </c>
      <c r="C35" s="55">
        <v>4</v>
      </c>
      <c r="D35" s="56">
        <v>1.0758472296930001E-3</v>
      </c>
      <c r="E35" s="37"/>
    </row>
    <row r="36" spans="1:5" ht="15" customHeight="1">
      <c r="A36" s="37"/>
      <c r="B36" s="54" t="s">
        <v>285</v>
      </c>
      <c r="C36" s="55">
        <v>4</v>
      </c>
      <c r="D36" s="56">
        <v>1.0758472296930001E-3</v>
      </c>
      <c r="E36" s="37"/>
    </row>
    <row r="37" spans="1:5" ht="15" customHeight="1">
      <c r="A37" s="37"/>
      <c r="B37" s="54" t="s">
        <v>179</v>
      </c>
      <c r="C37" s="55">
        <v>3</v>
      </c>
      <c r="D37" s="56">
        <v>8.0688542227000002E-4</v>
      </c>
      <c r="E37" s="37"/>
    </row>
    <row r="38" spans="1:5" ht="15" customHeight="1">
      <c r="A38" s="37"/>
      <c r="B38" s="54" t="s">
        <v>178</v>
      </c>
      <c r="C38" s="55">
        <v>3</v>
      </c>
      <c r="D38" s="56">
        <v>8.0688542227000002E-4</v>
      </c>
      <c r="E38" s="37"/>
    </row>
    <row r="39" spans="1:5" ht="15" customHeight="1">
      <c r="A39" s="37"/>
      <c r="B39" s="54" t="s">
        <v>286</v>
      </c>
      <c r="C39" s="55">
        <v>3</v>
      </c>
      <c r="D39" s="56">
        <v>8.0688542227000002E-4</v>
      </c>
      <c r="E39" s="37"/>
    </row>
    <row r="40" spans="1:5" ht="15" customHeight="1">
      <c r="A40" s="37"/>
      <c r="B40" s="54" t="s">
        <v>287</v>
      </c>
      <c r="C40" s="55">
        <v>3</v>
      </c>
      <c r="D40" s="56">
        <v>8.0688542227000002E-4</v>
      </c>
      <c r="E40" s="37"/>
    </row>
    <row r="41" spans="1:5" ht="15" customHeight="1">
      <c r="A41" s="37"/>
      <c r="B41" s="54" t="s">
        <v>288</v>
      </c>
      <c r="C41" s="55">
        <v>2</v>
      </c>
      <c r="D41" s="56">
        <v>5.3792361484699997E-4</v>
      </c>
      <c r="E41" s="37"/>
    </row>
    <row r="42" spans="1:5" ht="15" customHeight="1">
      <c r="A42" s="37"/>
      <c r="B42" s="54" t="s">
        <v>289</v>
      </c>
      <c r="C42" s="55">
        <v>2</v>
      </c>
      <c r="D42" s="56">
        <v>5.3792361484699997E-4</v>
      </c>
      <c r="E42" s="37"/>
    </row>
    <row r="43" spans="1:5" ht="15" customHeight="1">
      <c r="A43" s="37"/>
      <c r="B43" s="54" t="s">
        <v>290</v>
      </c>
      <c r="C43" s="55">
        <v>2</v>
      </c>
      <c r="D43" s="56">
        <v>5.3792361484699997E-4</v>
      </c>
      <c r="E43" s="37"/>
    </row>
    <row r="44" spans="1:5" ht="15" customHeight="1">
      <c r="A44" s="37"/>
      <c r="B44" s="54" t="s">
        <v>291</v>
      </c>
      <c r="C44" s="55">
        <v>2</v>
      </c>
      <c r="D44" s="56">
        <v>5.3792361484699997E-4</v>
      </c>
      <c r="E44" s="37"/>
    </row>
    <row r="45" spans="1:5" ht="15" customHeight="1">
      <c r="A45" s="37"/>
      <c r="B45" s="54" t="s">
        <v>292</v>
      </c>
      <c r="C45" s="55">
        <v>2</v>
      </c>
      <c r="D45" s="56">
        <v>5.3792361484699997E-4</v>
      </c>
      <c r="E45" s="37"/>
    </row>
    <row r="46" spans="1:5" ht="15" customHeight="1">
      <c r="A46" s="37"/>
      <c r="B46" s="54" t="s">
        <v>293</v>
      </c>
      <c r="C46" s="55">
        <v>2</v>
      </c>
      <c r="D46" s="56">
        <v>5.3792361484699997E-4</v>
      </c>
      <c r="E46" s="37"/>
    </row>
    <row r="47" spans="1:5" ht="15" customHeight="1">
      <c r="A47" s="37"/>
      <c r="B47" s="54" t="s">
        <v>294</v>
      </c>
      <c r="C47" s="55">
        <v>1</v>
      </c>
      <c r="D47" s="56">
        <v>2.68961807423E-4</v>
      </c>
      <c r="E47" s="37"/>
    </row>
    <row r="48" spans="1:5" ht="15" customHeight="1">
      <c r="A48" s="37"/>
      <c r="B48" s="54" t="s">
        <v>295</v>
      </c>
      <c r="C48" s="55">
        <v>1</v>
      </c>
      <c r="D48" s="56">
        <v>2.68961807423E-4</v>
      </c>
      <c r="E48" s="37"/>
    </row>
    <row r="49" spans="1:5" ht="15" customHeight="1">
      <c r="A49" s="37"/>
      <c r="B49" s="54" t="s">
        <v>177</v>
      </c>
      <c r="C49" s="55">
        <v>1</v>
      </c>
      <c r="D49" s="56">
        <v>2.68961807423E-4</v>
      </c>
      <c r="E49" s="37"/>
    </row>
    <row r="50" spans="1:5" ht="15" customHeight="1">
      <c r="A50" s="37"/>
      <c r="B50" s="54" t="s">
        <v>296</v>
      </c>
      <c r="C50" s="55">
        <v>1</v>
      </c>
      <c r="D50" s="56">
        <v>2.68961807423E-4</v>
      </c>
      <c r="E50" s="37"/>
    </row>
    <row r="51" spans="1:5" ht="15" customHeight="1">
      <c r="A51" s="37"/>
      <c r="B51" s="54" t="s">
        <v>297</v>
      </c>
      <c r="C51" s="55">
        <v>1</v>
      </c>
      <c r="D51" s="56">
        <v>2.68961807423E-4</v>
      </c>
      <c r="E51" s="37"/>
    </row>
    <row r="52" spans="1:5" ht="15" customHeight="1">
      <c r="A52" s="37"/>
      <c r="B52" s="54" t="s">
        <v>298</v>
      </c>
      <c r="C52" s="55">
        <v>1</v>
      </c>
      <c r="D52" s="56">
        <v>2.68961807423E-4</v>
      </c>
      <c r="E52" s="37"/>
    </row>
    <row r="53" spans="1:5" ht="15" customHeight="1">
      <c r="A53" s="37"/>
      <c r="B53" s="57" t="s">
        <v>307</v>
      </c>
      <c r="C53" s="58">
        <v>3718</v>
      </c>
      <c r="D53" s="59">
        <v>1</v>
      </c>
      <c r="E53" s="37"/>
    </row>
    <row r="54" spans="1:5" ht="16.5">
      <c r="A54" s="37"/>
      <c r="B54" s="37"/>
      <c r="C54" s="39"/>
      <c r="D54" s="37"/>
      <c r="E54" s="37"/>
    </row>
    <row r="55" spans="1:5" ht="16.5">
      <c r="B55" s="38" t="s">
        <v>183</v>
      </c>
      <c r="C55" s="44"/>
      <c r="D55" s="37"/>
      <c r="E55" s="37"/>
    </row>
    <row r="56" spans="1:5" ht="16.5">
      <c r="B56" s="41" t="s">
        <v>17</v>
      </c>
      <c r="C56" s="44"/>
      <c r="D56" s="37"/>
      <c r="E56" s="37"/>
    </row>
    <row r="57" spans="1:5" ht="16.5">
      <c r="B57" s="42" t="s">
        <v>45</v>
      </c>
      <c r="C57" s="44"/>
      <c r="D57" s="37"/>
      <c r="E57" s="37"/>
    </row>
    <row r="58" spans="1:5" ht="16.5">
      <c r="B58" s="38" t="s">
        <v>16</v>
      </c>
      <c r="C58" s="44"/>
      <c r="D58" s="37"/>
      <c r="E58" s="37"/>
    </row>
    <row r="59" spans="1:5" ht="16.5">
      <c r="B59" s="38" t="s">
        <v>306</v>
      </c>
      <c r="C59" s="44"/>
      <c r="D59" s="37"/>
      <c r="E59" s="37"/>
    </row>
    <row r="60" spans="1:5" ht="16.5">
      <c r="A60" s="32"/>
      <c r="B60" s="44"/>
      <c r="C60" s="44"/>
      <c r="D60" s="37"/>
      <c r="E60" s="3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59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27</vt:i4>
      </vt:variant>
    </vt:vector>
  </HeadingPairs>
  <TitlesOfParts>
    <vt:vector size="42" baseType="lpstr">
      <vt:lpstr>Índice</vt:lpstr>
      <vt:lpstr>Colima_EdoUsa</vt:lpstr>
      <vt:lpstr>Colima_Cons</vt:lpstr>
      <vt:lpstr>ColimaXCons</vt:lpstr>
      <vt:lpstr>Colima_EdoMun</vt:lpstr>
      <vt:lpstr>Colima_USAMuni</vt:lpstr>
      <vt:lpstr>Colima_MUNICIPIO</vt:lpstr>
      <vt:lpstr>Colima_educ_gral</vt:lpstr>
      <vt:lpstr>Colima_NivelE_Cons</vt:lpstr>
      <vt:lpstr>Colima_EducCons</vt:lpstr>
      <vt:lpstr>Colima_GenGral</vt:lpstr>
      <vt:lpstr>Colima_GENERO</vt:lpstr>
      <vt:lpstr>Colima_GENERO_EUA</vt:lpstr>
      <vt:lpstr>Colima_Gen_Edad</vt:lpstr>
      <vt:lpstr>Colima_ocup_gral</vt:lpstr>
      <vt:lpstr>Colima_Cons!Área_de_impresión</vt:lpstr>
      <vt:lpstr>Colima_EdoMun!Área_de_impresión</vt:lpstr>
      <vt:lpstr>Colima_EdoUsa!Área_de_impresión</vt:lpstr>
      <vt:lpstr>Colima_educ_gral!Área_de_impresión</vt:lpstr>
      <vt:lpstr>Colima_EducCons!Área_de_impresión</vt:lpstr>
      <vt:lpstr>Colima_Gen_Edad!Área_de_impresión</vt:lpstr>
      <vt:lpstr>Colima_GENERO_EUA!Área_de_impresión</vt:lpstr>
      <vt:lpstr>Colima_GenGral!Área_de_impresión</vt:lpstr>
      <vt:lpstr>Colima_MUNICIPIO!Área_de_impresión</vt:lpstr>
      <vt:lpstr>Colima_NivelE_Cons!Área_de_impresión</vt:lpstr>
      <vt:lpstr>Colima_ocup_gral!Área_de_impresión</vt:lpstr>
      <vt:lpstr>Colima_USAMuni!Área_de_impresión</vt:lpstr>
      <vt:lpstr>ColimaXCons!Área_de_impresión</vt:lpstr>
      <vt:lpstr>Colima_Cons!Títulos_a_imprimir</vt:lpstr>
      <vt:lpstr>Colima_EdoMun!Títulos_a_imprimir</vt:lpstr>
      <vt:lpstr>Colima_EdoUsa!Títulos_a_imprimir</vt:lpstr>
      <vt:lpstr>Colima_educ_gral!Títulos_a_imprimir</vt:lpstr>
      <vt:lpstr>Colima_EducCons!Títulos_a_imprimir</vt:lpstr>
      <vt:lpstr>Colima_Gen_Edad!Títulos_a_imprimir</vt:lpstr>
      <vt:lpstr>Colima_GENERO!Títulos_a_imprimir</vt:lpstr>
      <vt:lpstr>Colima_GENERO_EUA!Títulos_a_imprimir</vt:lpstr>
      <vt:lpstr>Colima_GenGral!Títulos_a_imprimir</vt:lpstr>
      <vt:lpstr>Colima_MUNICIPIO!Títulos_a_imprimir</vt:lpstr>
      <vt:lpstr>Colima_NivelE_Cons!Títulos_a_imprimir</vt:lpstr>
      <vt:lpstr>Colima_ocup_gral!Títulos_a_imprimir</vt:lpstr>
      <vt:lpstr>Colima_USAMuni!Títulos_a_imprimir</vt:lpstr>
      <vt:lpstr>ColimaXCons!Títulos_a_imprimir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Servicio Social IME 03</cp:lastModifiedBy>
  <cp:lastPrinted>2025-02-18T19:03:52Z</cp:lastPrinted>
  <dcterms:created xsi:type="dcterms:W3CDTF">2020-06-03T07:03:04Z</dcterms:created>
  <dcterms:modified xsi:type="dcterms:W3CDTF">2025-08-21T19:50:35Z</dcterms:modified>
</cp:coreProperties>
</file>