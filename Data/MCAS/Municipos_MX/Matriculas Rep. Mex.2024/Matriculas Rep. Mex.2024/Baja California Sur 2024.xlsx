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6BB75621-678D-4C6F-A0F8-2E391A218C3F}" xr6:coauthVersionLast="47" xr6:coauthVersionMax="47" xr10:uidLastSave="{00000000-0000-0000-0000-000000000000}"/>
  <bookViews>
    <workbookView xWindow="-120" yWindow="-120" windowWidth="29040" windowHeight="15840" tabRatio="782" firstSheet="8" activeTab="13" xr2:uid="{00000000-000D-0000-FFFF-FFFF00000000}"/>
  </bookViews>
  <sheets>
    <sheet name="Índice" sheetId="1" r:id="rId1"/>
    <sheet name="Baja California Sur_EdoUsa" sheetId="2" r:id="rId2"/>
    <sheet name="Baja California Sur_Cons" sheetId="15" r:id="rId3"/>
    <sheet name="Baja California SurXCons" sheetId="16" r:id="rId4"/>
    <sheet name="Baja California Sur_EdoMun" sheetId="5" r:id="rId5"/>
    <sheet name="Baja California Sur_USAMuni" sheetId="6" r:id="rId6"/>
    <sheet name="Baja California Sur_MUNICIPIO" sheetId="7" r:id="rId7"/>
    <sheet name="Baja California Sur_educ_gral" sheetId="8" r:id="rId8"/>
    <sheet name="Baja California Sur_NivelE_Cons" sheetId="9" r:id="rId9"/>
    <sheet name="Baja California Sur_EducCons" sheetId="10" r:id="rId10"/>
    <sheet name="Baja California Sur_GenGral" sheetId="11" r:id="rId11"/>
    <sheet name="Baja California Sur_GENERO" sheetId="12" r:id="rId12"/>
    <sheet name="Baja California Sur_GENERO_EUA" sheetId="17" r:id="rId13"/>
    <sheet name="Baja California Sur_Gen_Edad" sheetId="13" r:id="rId14"/>
    <sheet name="Baja California Sur_ocup_gral" sheetId="14" r:id="rId15"/>
  </sheets>
  <definedNames>
    <definedName name="_xlnm._FilterDatabase" localSheetId="2" hidden="1">'Baja California Sur_Cons'!$B$11:$D$11</definedName>
    <definedName name="_xlnm._FilterDatabase" localSheetId="4" hidden="1">'Baja California Sur_EdoMun'!$B$11:$D$11</definedName>
    <definedName name="_xlnm._FilterDatabase" localSheetId="1" hidden="1">'Baja California Sur_EdoUsa'!$B$11:$D$11</definedName>
    <definedName name="_xlnm._FilterDatabase" localSheetId="7" hidden="1">'Baja California Sur_educ_gral'!$B$11:$D$11</definedName>
    <definedName name="_xlnm._FilterDatabase" localSheetId="9" hidden="1">'Baja California Sur_EducCons'!$B$9:$E$264</definedName>
    <definedName name="_xlnm._FilterDatabase" localSheetId="13" hidden="1">'Baja California Sur_Gen_Edad'!$B$13:$F$29</definedName>
    <definedName name="_xlnm._FilterDatabase" localSheetId="11" hidden="1">'Baja California Sur_GENERO'!$B$12:$E$140</definedName>
    <definedName name="_xlnm._FilterDatabase" localSheetId="12" hidden="1">'Baja California Sur_GENERO_EUA'!$B$12:$E$109</definedName>
    <definedName name="_xlnm._FilterDatabase" localSheetId="10" hidden="1">'Baja California Sur_GenGral'!$B$11:$D$11</definedName>
    <definedName name="_xlnm._FilterDatabase" localSheetId="6" hidden="1">'Baja California Sur_MUNICIPIO'!$B$9:$E$186</definedName>
    <definedName name="_xlnm._FilterDatabase" localSheetId="8" hidden="1">'Baja California Sur_NivelE_Cons'!$B$9:$E$189</definedName>
    <definedName name="_xlnm._FilterDatabase" localSheetId="14" hidden="1">'Baja California Sur_ocup_gral'!$B$11:$D$11</definedName>
    <definedName name="_xlnm._FilterDatabase" localSheetId="5" hidden="1">'Baja California Sur_USAMuni'!$B$9:$E$142</definedName>
    <definedName name="_xlnm._FilterDatabase" localSheetId="3" hidden="1">'Baja California SurXCons'!$B$11:$D$11</definedName>
    <definedName name="_xlnm.Print_Area" localSheetId="2">'Baja California Sur_Cons'!$A$1:$F$63</definedName>
    <definedName name="_xlnm.Print_Area" localSheetId="7">'Baja California Sur_educ_gral'!$A$1:$F$40</definedName>
    <definedName name="_xlnm.Print_Area" localSheetId="9">'Baja California Sur_EducCons'!$A$1:$E$270</definedName>
    <definedName name="_xlnm.Print_Area" localSheetId="13">'Baja California Sur_Gen_Edad'!$A$1:$G$35</definedName>
    <definedName name="_xlnm.Print_Area" localSheetId="11">'Baja California Sur_GENERO'!$A$1:$F$146</definedName>
    <definedName name="_xlnm.Print_Area" localSheetId="12">'Baja California Sur_GENERO_EUA'!$A$1:$F$115</definedName>
    <definedName name="_xlnm.Print_Area" localSheetId="6">'Baja California Sur_MUNICIPIO'!$A$1:$E$192</definedName>
    <definedName name="_xlnm.Print_Area" localSheetId="8">'Baja California Sur_NivelE_Cons'!$A$1:$E$196</definedName>
    <definedName name="_xlnm.Print_Area" localSheetId="5">'Baja California Sur_USAMuni'!$A$1:$E$148</definedName>
    <definedName name="_xlnm.Print_Area" localSheetId="3">'Baja California SurXCons'!$A$1:$F$29</definedName>
    <definedName name="_xlnm.Print_Titles" localSheetId="2">'Baja California Sur_Cons'!$1:$11</definedName>
    <definedName name="_xlnm.Print_Titles" localSheetId="4">'Baja California Sur_EdoMun'!$1:$11</definedName>
    <definedName name="_xlnm.Print_Titles" localSheetId="1">'Baja California Sur_EdoUsa'!$1:$11</definedName>
    <definedName name="_xlnm.Print_Titles" localSheetId="7">'Baja California Sur_educ_gral'!$1:$11</definedName>
    <definedName name="_xlnm.Print_Titles" localSheetId="9">'Baja California Sur_EducCons'!$1:$9</definedName>
    <definedName name="_xlnm.Print_Titles" localSheetId="13">'Baja California Sur_Gen_Edad'!$1:$13</definedName>
    <definedName name="_xlnm.Print_Titles" localSheetId="11">'Baja California Sur_GENERO'!$1:$12</definedName>
    <definedName name="_xlnm.Print_Titles" localSheetId="12">'Baja California Sur_GENERO_EUA'!$1:$12</definedName>
    <definedName name="_xlnm.Print_Titles" localSheetId="10">'Baja California Sur_GenGral'!$1:$11</definedName>
    <definedName name="_xlnm.Print_Titles" localSheetId="6">'Baja California Sur_MUNICIPIO'!$1:$9</definedName>
    <definedName name="_xlnm.Print_Titles" localSheetId="8">'Baja California Sur_NivelE_Cons'!$1:$9</definedName>
    <definedName name="_xlnm.Print_Titles" localSheetId="14">'Baja California Sur_ocup_gral'!$1:$11</definedName>
    <definedName name="_xlnm.Print_Titles" localSheetId="5">'Baja California Sur_USAMuni'!$1:$9</definedName>
    <definedName name="_xlnm.Print_Titles" localSheetId="3">'Baja California SurXCons'!$1:$11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D20" i="16"/>
  <c r="D19" i="16"/>
  <c r="D18" i="16"/>
  <c r="D17" i="16"/>
  <c r="D16" i="16"/>
  <c r="D15" i="16"/>
  <c r="D14" i="16"/>
  <c r="D13" i="16"/>
  <c r="D12" i="16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C22" i="16" l="1"/>
  <c r="D22" i="16" l="1"/>
</calcChain>
</file>

<file path=xl/sharedStrings.xml><?xml version="1.0" encoding="utf-8"?>
<sst xmlns="http://schemas.openxmlformats.org/spreadsheetml/2006/main" count="1516" uniqueCount="216">
  <si>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</si>
  <si>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</si>
  <si>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</si>
  <si>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</si>
  <si>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</si>
  <si>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</si>
  <si>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</si>
  <si>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</si>
  <si>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</si>
  <si>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</si>
  <si>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</si>
  <si>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</si>
  <si>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</si>
  <si>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</si>
  <si>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</si>
  <si>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</si>
  <si>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</si>
  <si>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</si>
  <si>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</si>
  <si>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</si>
  <si>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</si>
  <si>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</si>
  <si>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</si>
  <si>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</si>
  <si>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</si>
  <si>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</si>
  <si>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</si>
  <si>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</si>
  <si>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</si>
  <si>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</si>
  <si>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</si>
  <si>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</si>
  <si>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BAJA CALIFORNIA SUR POR GÉNERO Y EDAD EN EE.UU.</t>
  </si>
  <si>
    <t>Ocupación</t>
  </si>
  <si>
    <t>5.2 Por Circunscripción Consular</t>
  </si>
  <si>
    <t xml:space="preserve">MATRÍCULAS CONSULARES EXPEDIDAS A ORIGINARIOS DE BAJA CALIFORNIA SUR POR GÉNERO EN EE.UU </t>
  </si>
  <si>
    <t>MATRÍCULAS CONSULARES EXPEDIDAS EN EE.UU. A ORIGINARIOS DE BAJA CALIFORNIA SUR POR NIVEL DE EDUCACIÓN.</t>
  </si>
  <si>
    <t>MATRÍCULAS CONSULARES DE ALTA SEGURIDAD EXPEDIDAS POR MUNICIPIO A ORIGINARIOS DEL ESTADO DE BAJA CALIFORNIA SUR EN LOS CONSULADOS DE MÉXICO EN EE.UU.</t>
  </si>
  <si>
    <t>MATRÍCULAS CONSULARES DE ALTA SEGURIDAD EXPEDIDAS  A ORIGINARIOS DE BAJA CALIFORNIA SUR EN LOS CONSULADOS DE MÉXICO EN EE.UU.</t>
  </si>
  <si>
    <t xml:space="preserve">MATRÍCULAS CONSULARES DE ALTA SEGURIDAD EXPEDIDAS A ORIGINARIOS DE BAJA CALIFORNIA SUR POR ESTADO DE LA UNIÓN AMERICANA. </t>
  </si>
  <si>
    <t>MATRÍCULAS CONSULARES EXPEDIDAS A ORIGINARIOS DE BAJA CALIFORNIA SUR POR GÉNERO Y CONSULADO</t>
  </si>
  <si>
    <t>5.3 Por Estados de la Unión Americana</t>
  </si>
  <si>
    <t>LOS 10 CONSULADOS  DE MÉXICO EN EE.UU., CON MAYOR NÚMERO DE EXPEDICIÓN DE  MATRÍCULAS CONSULARES DE ALTA SEGURIDAD A ORIGINARIOS DE BAJA CALIFORNIA SUR</t>
  </si>
  <si>
    <t>TOTAL TOP 10</t>
  </si>
  <si>
    <t>TOTAL GENERAL</t>
  </si>
  <si>
    <t>Elaborado por: Análisis de Información, Instituto de Mexicanas y Mexicanos en el Exterior</t>
  </si>
  <si>
    <t>WASHINGTON</t>
  </si>
  <si>
    <t>LOS ANGELES</t>
  </si>
  <si>
    <t>FRESNO</t>
  </si>
  <si>
    <t>CHICAGO</t>
  </si>
  <si>
    <t>DALLAS</t>
  </si>
  <si>
    <t>OXNARD</t>
  </si>
  <si>
    <t>SANTA ANA</t>
  </si>
  <si>
    <t>SAN BERNARDINO</t>
  </si>
  <si>
    <t>RALEIGH</t>
  </si>
  <si>
    <t>LAS VEGAS</t>
  </si>
  <si>
    <t>PHOENIX</t>
  </si>
  <si>
    <t>FILADELFIA</t>
  </si>
  <si>
    <t>HOUSTON</t>
  </si>
  <si>
    <t>SACRAMENTO</t>
  </si>
  <si>
    <t>SAN FRANCISCO</t>
  </si>
  <si>
    <t>SAN JOSE</t>
  </si>
  <si>
    <t>KANSAS CITY</t>
  </si>
  <si>
    <t>SALT LAKE CITY</t>
  </si>
  <si>
    <t>ATLANTA</t>
  </si>
  <si>
    <t>LITTLE ROCK</t>
  </si>
  <si>
    <t>SAN DIEGO</t>
  </si>
  <si>
    <t>BOISE</t>
  </si>
  <si>
    <t>DENVER</t>
  </si>
  <si>
    <t>OKLAHOMA CITY</t>
  </si>
  <si>
    <t>SEATTLE</t>
  </si>
  <si>
    <t>MIAMI</t>
  </si>
  <si>
    <t>NEW BRUNSWICK</t>
  </si>
  <si>
    <t>ORLANDO</t>
  </si>
  <si>
    <t>SAN ANTONIO</t>
  </si>
  <si>
    <t>ALBUQUERQUE</t>
  </si>
  <si>
    <t>PORTLAND</t>
  </si>
  <si>
    <t>SAINT PAUL</t>
  </si>
  <si>
    <t>TUCSON</t>
  </si>
  <si>
    <t>AUSTIN</t>
  </si>
  <si>
    <t>DETROIT</t>
  </si>
  <si>
    <t>EL PASO</t>
  </si>
  <si>
    <t>INDIANAPOLIS</t>
  </si>
  <si>
    <t>LAREDO</t>
  </si>
  <si>
    <t>MCALLEN</t>
  </si>
  <si>
    <t>NUEVA ORLEANS</t>
  </si>
  <si>
    <t>NUEVA YORK</t>
  </si>
  <si>
    <t>OMAHA</t>
  </si>
  <si>
    <t>MILWAUKEE</t>
  </si>
  <si>
    <t>PRESIDIO</t>
  </si>
  <si>
    <t>SIN ESTUDIOS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</si>
  <si>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</si>
  <si>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</si>
  <si>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</si>
  <si>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</si>
  <si>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</si>
  <si>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</si>
  <si>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</si>
  <si>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</si>
  <si>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</si>
  <si>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</si>
  <si>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</si>
  <si>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</si>
  <si>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</si>
  <si>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</si>
  <si>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</si>
  <si>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4o. AÑO DE PROFESIONAL</t>
  </si>
  <si>
    <t>PROFESIONAL PASANTE</t>
  </si>
  <si>
    <t>PROFESIONAL TITULADO</t>
  </si>
  <si>
    <t>POSGRADO [MAESTRIA]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</si>
  <si>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</si>
  <si>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</si>
  <si>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</si>
  <si>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</si>
  <si>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</si>
  <si>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</si>
  <si>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</si>
  <si>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A ORIGINARIOS DE BAJA CALIFORNIA 
SUR POR GÉNERO Y POR ESTADO DE LA UNIÓN AMERICANA</t>
  </si>
  <si>
    <t>MATRÍCULAS CONSULARES EXPEDIDAS EN EE.UU. ORIGINARIOS DE BAJA CALIFORNIA SUR POR PERFIL OCUPACIONAL.</t>
  </si>
  <si>
    <t>CALEXICO</t>
  </si>
  <si>
    <t>Tamaño de la muestra: 808,027</t>
  </si>
  <si>
    <t>Comondú</t>
  </si>
  <si>
    <t>La Paz</t>
  </si>
  <si>
    <t>Mulegé</t>
  </si>
  <si>
    <t>Los Cabos</t>
  </si>
  <si>
    <t>Desconocido</t>
  </si>
  <si>
    <t>Loreto</t>
  </si>
  <si>
    <t>1o. PRIMARIA</t>
  </si>
  <si>
    <t>3er. AÑO DE PROFESIONAL</t>
  </si>
  <si>
    <t>CALIFORNIA</t>
  </si>
  <si>
    <t>TEXAS</t>
  </si>
  <si>
    <t>NORTH CAROLINA</t>
  </si>
  <si>
    <t>ARIZONA</t>
  </si>
  <si>
    <t>UTAH</t>
  </si>
  <si>
    <t>FLORIDA</t>
  </si>
  <si>
    <t>NEVADA</t>
  </si>
  <si>
    <t>ILLINOIS</t>
  </si>
  <si>
    <t>SOUTH CAROLINA</t>
  </si>
  <si>
    <t>OREGON</t>
  </si>
  <si>
    <t>GEORGIA</t>
  </si>
  <si>
    <t>MINNESOTA</t>
  </si>
  <si>
    <t>OKLAHOMA</t>
  </si>
  <si>
    <t>COLORADO</t>
  </si>
  <si>
    <t>KANSAS</t>
  </si>
  <si>
    <t>MICHIGAN</t>
  </si>
  <si>
    <t>IDAHO</t>
  </si>
  <si>
    <t>INDIANA</t>
  </si>
  <si>
    <t>WISCONSIN</t>
  </si>
  <si>
    <t>ARKANSAS</t>
  </si>
  <si>
    <t>NEBRASKA</t>
  </si>
  <si>
    <t>NEW YORK</t>
  </si>
  <si>
    <t>OHIO</t>
  </si>
  <si>
    <t>TENNESSEE</t>
  </si>
  <si>
    <t>VIRGINIA</t>
  </si>
  <si>
    <t>ALABAMA</t>
  </si>
  <si>
    <t>DELAWARE</t>
  </si>
  <si>
    <t>KENTUCKY</t>
  </si>
  <si>
    <t>LOUISIANA</t>
  </si>
  <si>
    <t>NEW JERSEY</t>
  </si>
  <si>
    <t>PENNSYLVANIA</t>
  </si>
  <si>
    <t>MARYLAND</t>
  </si>
  <si>
    <t>MISSOURI</t>
  </si>
  <si>
    <t>NEW MEXICO</t>
  </si>
  <si>
    <t>COMONDÚ</t>
  </si>
  <si>
    <t>LA PAZ</t>
  </si>
  <si>
    <t>MULEGÉ</t>
  </si>
  <si>
    <t>LOS CABOS</t>
  </si>
  <si>
    <t>DESCONOCIDO</t>
  </si>
  <si>
    <t>LORETO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</si>
  <si>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</si>
  <si>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</si>
  <si>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</si>
  <si>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</si>
  <si>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</si>
  <si>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</si>
  <si>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</si>
  <si>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</si>
  <si>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</si>
  <si>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</si>
  <si>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</si>
  <si>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</si>
  <si>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</si>
  <si>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FEMENINO</t>
  </si>
  <si>
    <t>MASCULINO</t>
  </si>
  <si>
    <t xml:space="preserve">FEMENINO  </t>
  </si>
  <si>
    <t xml:space="preserve">MASCULINO  </t>
  </si>
  <si>
    <t>EMPLEADO(A)</t>
  </si>
  <si>
    <t>HOGAR</t>
  </si>
  <si>
    <t>AGROPECUARIA, TRAB. DE LA INDUSTRIA</t>
  </si>
  <si>
    <t>CONSTRUCCIÓN, TRAB. DE LA IND. DE LA</t>
  </si>
  <si>
    <t>ESTUDIANTE</t>
  </si>
  <si>
    <t>OBRERO(A)</t>
  </si>
  <si>
    <t>ALIMENTOS Y BEBIDAS, ESP. EN PREPARACIÓN DE</t>
  </si>
  <si>
    <t>PROFESIONISTA</t>
  </si>
  <si>
    <t>LIMPIEZA, EMPLEADO DE</t>
  </si>
  <si>
    <t>MECÁNICO(A)</t>
  </si>
  <si>
    <t>PINTOR(A)</t>
  </si>
  <si>
    <t>CAJERO(A)/COBRADOR(A)</t>
  </si>
  <si>
    <t>JARDINERO(A)</t>
  </si>
  <si>
    <t>DESEMPLEADO</t>
  </si>
  <si>
    <t>EMPRESARIO(A)</t>
  </si>
  <si>
    <t>OPERARIO(A)</t>
  </si>
  <si>
    <t>AEROCOMERCIAL, TRAB. DE LA INDUSTRIA</t>
  </si>
  <si>
    <t>BELLEZA, PROFESIONAL DE SERVICIOS DE</t>
  </si>
  <si>
    <t>CARPINTERO/TAPICERO</t>
  </si>
  <si>
    <t>CHOFER</t>
  </si>
  <si>
    <t>DISCAPACITADO</t>
  </si>
  <si>
    <t>FOTÓGRAFO(A)</t>
  </si>
  <si>
    <t>MÉDICO(A) /ESP. EN SALUD</t>
  </si>
  <si>
    <t>VENDEDOR(A)</t>
  </si>
  <si>
    <t>TOTAL</t>
  </si>
  <si>
    <t>Junio de 2025</t>
  </si>
  <si>
    <t xml:space="preserve">TOTAL </t>
  </si>
  <si>
    <t xml:space="preserve"> TOTAL</t>
  </si>
  <si>
    <t xml:space="preserve"> TOTAL </t>
  </si>
  <si>
    <t>Matrículas consulares expedidas a originarios de Baja California Sur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</si>
</sst>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0"/>
      <color theme="1"/>
      <name val="Noto Sans"/>
      <family val="2"/>
    </font>
    <font>
      <b/>
      <sz val="9"/>
      <color theme="0"/>
      <name val="Noto Sans"/>
      <family val="2"/>
    </font>
    <font>
      <sz val="8"/>
      <color theme="1"/>
      <name val="Noto Sans"/>
      <family val="2"/>
    </font>
    <font>
      <sz val="11"/>
      <color theme="1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.5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1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3" borderId="0" xfId="0" applyFont="1" applyFill="1"/>
    <xf numFmtId="0" fontId="7" fillId="0" borderId="0" xfId="0" applyFont="1"/>
    <xf numFmtId="0" fontId="8" fillId="0" borderId="0" xfId="0" applyFont="1" applyAlignment="1">
      <alignment horizontal="center" vertical="center" wrapText="1"/>
    </xf>
    <xf numFmtId="3" fontId="7" fillId="0" borderId="0" xfId="0" applyNumberFormat="1" applyFont="1"/>
    <xf numFmtId="1" fontId="7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0" fontId="11" fillId="3" borderId="0" xfId="0" applyFont="1" applyFill="1"/>
    <xf numFmtId="0" fontId="7" fillId="3" borderId="0" xfId="0" applyFont="1" applyFill="1"/>
    <xf numFmtId="0" fontId="12" fillId="3" borderId="0" xfId="0" applyFont="1" applyFill="1"/>
    <xf numFmtId="0" fontId="11" fillId="3" borderId="0" xfId="0" applyFont="1" applyFill="1" applyAlignment="1">
      <alignment vertical="center"/>
    </xf>
    <xf numFmtId="3" fontId="7" fillId="3" borderId="0" xfId="0" applyNumberFormat="1" applyFont="1" applyFill="1"/>
    <xf numFmtId="1" fontId="7" fillId="3" borderId="0" xfId="0" applyNumberFormat="1" applyFont="1" applyFill="1"/>
    <xf numFmtId="0" fontId="3" fillId="3" borderId="0" xfId="0" applyFont="1" applyFill="1"/>
    <xf numFmtId="0" fontId="7" fillId="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13" fillId="3" borderId="12" xfId="0" applyFont="1" applyFill="1" applyBorder="1" applyAlignment="1">
      <alignment horizontal="center" vertical="distributed"/>
    </xf>
    <xf numFmtId="0" fontId="13" fillId="3" borderId="0" xfId="0" applyFont="1" applyFill="1" applyAlignment="1">
      <alignment horizontal="center" vertical="distributed"/>
    </xf>
    <xf numFmtId="0" fontId="18" fillId="2" borderId="11" xfId="0" applyFont="1" applyFill="1" applyBorder="1" applyAlignment="1">
      <alignment horizontal="center" vertical="center" wrapText="1"/>
    </xf>
    <xf numFmtId="1" fontId="18" fillId="2" borderId="10" xfId="0" applyNumberFormat="1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9" fillId="0" borderId="0" xfId="0" applyFont="1"/>
    <xf numFmtId="0" fontId="20" fillId="3" borderId="0" xfId="0" applyFont="1" applyFill="1"/>
    <xf numFmtId="0" fontId="21" fillId="3" borderId="0" xfId="0" applyFont="1" applyFill="1"/>
    <xf numFmtId="3" fontId="20" fillId="3" borderId="0" xfId="0" applyNumberFormat="1" applyFont="1" applyFill="1"/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vertical="top"/>
    </xf>
    <xf numFmtId="3" fontId="18" fillId="4" borderId="9" xfId="0" applyNumberFormat="1" applyFont="1" applyFill="1" applyBorder="1" applyAlignment="1">
      <alignment horizontal="right" vertical="center" wrapText="1"/>
    </xf>
    <xf numFmtId="3" fontId="18" fillId="4" borderId="9" xfId="0" applyNumberFormat="1" applyFont="1" applyFill="1" applyBorder="1" applyAlignment="1">
      <alignment horizontal="left" vertical="center" wrapText="1"/>
    </xf>
    <xf numFmtId="0" fontId="22" fillId="2" borderId="10" xfId="3" applyFont="1" applyFill="1" applyBorder="1" applyAlignment="1">
      <alignment horizontal="center" vertical="center" wrapText="1"/>
    </xf>
    <xf numFmtId="0" fontId="18" fillId="2" borderId="10" xfId="3" applyFont="1" applyFill="1" applyBorder="1" applyAlignment="1">
      <alignment horizontal="center" vertical="center" wrapText="1"/>
    </xf>
    <xf numFmtId="1" fontId="22" fillId="2" borderId="10" xfId="3" applyNumberFormat="1" applyFont="1" applyFill="1" applyBorder="1" applyAlignment="1">
      <alignment horizontal="center" vertical="center" wrapText="1"/>
    </xf>
    <xf numFmtId="0" fontId="23" fillId="3" borderId="0" xfId="0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0" fontId="19" fillId="3" borderId="0" xfId="0" applyFont="1" applyFill="1"/>
    <xf numFmtId="3" fontId="19" fillId="3" borderId="0" xfId="0" applyNumberFormat="1" applyFont="1" applyFill="1"/>
    <xf numFmtId="0" fontId="26" fillId="5" borderId="10" xfId="3" applyFont="1" applyFill="1" applyBorder="1" applyAlignment="1">
      <alignment horizontal="center" vertical="center" wrapText="1"/>
    </xf>
    <xf numFmtId="0" fontId="27" fillId="0" borderId="9" xfId="0" applyFont="1" applyBorder="1" applyAlignment="1">
      <alignment vertical="center" wrapText="1"/>
    </xf>
    <xf numFmtId="165" fontId="27" fillId="6" borderId="9" xfId="0" applyNumberFormat="1" applyFont="1" applyFill="1" applyBorder="1" applyAlignment="1">
      <alignment horizontal="right" vertical="top" wrapText="1"/>
    </xf>
    <xf numFmtId="164" fontId="27" fillId="6" borderId="9" xfId="0" applyNumberFormat="1" applyFont="1" applyFill="1" applyBorder="1" applyAlignment="1">
      <alignment horizontal="right" vertical="top" wrapText="1"/>
    </xf>
    <xf numFmtId="0" fontId="18" fillId="4" borderId="9" xfId="0" applyFont="1" applyFill="1" applyBorder="1" applyAlignment="1">
      <alignment vertical="center" wrapText="1"/>
    </xf>
    <xf numFmtId="165" fontId="18" fillId="4" borderId="9" xfId="0" applyNumberFormat="1" applyFont="1" applyFill="1" applyBorder="1" applyAlignment="1">
      <alignment horizontal="right" vertical="top" wrapText="1"/>
    </xf>
    <xf numFmtId="164" fontId="18" fillId="4" borderId="9" xfId="0" applyNumberFormat="1" applyFont="1" applyFill="1" applyBorder="1" applyAlignment="1">
      <alignment horizontal="right" vertical="top" wrapText="1"/>
    </xf>
    <xf numFmtId="49" fontId="28" fillId="0" borderId="9" xfId="0" applyNumberFormat="1" applyFont="1" applyBorder="1" applyAlignment="1">
      <alignment vertical="top" wrapText="1"/>
    </xf>
    <xf numFmtId="165" fontId="18" fillId="4" borderId="9" xfId="0" applyNumberFormat="1" applyFont="1" applyFill="1" applyBorder="1" applyAlignment="1">
      <alignment horizontal="left" vertical="top" wrapText="1"/>
    </xf>
    <xf numFmtId="0" fontId="28" fillId="3" borderId="9" xfId="0" applyFont="1" applyFill="1" applyBorder="1"/>
    <xf numFmtId="49" fontId="18" fillId="7" borderId="9" xfId="0" applyNumberFormat="1" applyFont="1" applyFill="1" applyBorder="1" applyAlignment="1">
      <alignment vertical="center" wrapText="1"/>
    </xf>
    <xf numFmtId="3" fontId="18" fillId="7" borderId="9" xfId="0" applyNumberFormat="1" applyFont="1" applyFill="1" applyBorder="1" applyAlignment="1">
      <alignment horizontal="right" vertical="center" wrapText="1"/>
    </xf>
    <xf numFmtId="164" fontId="18" fillId="7" borderId="9" xfId="0" applyNumberFormat="1" applyFont="1" applyFill="1" applyBorder="1" applyAlignment="1">
      <alignment horizontal="right" vertical="center" wrapText="1"/>
    </xf>
    <xf numFmtId="165" fontId="18" fillId="7" borderId="9" xfId="0" applyNumberFormat="1" applyFont="1" applyFill="1" applyBorder="1" applyAlignment="1">
      <alignment horizontal="right" vertical="top" wrapText="1"/>
    </xf>
    <xf numFmtId="0" fontId="18" fillId="7" borderId="9" xfId="0" applyFont="1" applyFill="1" applyBorder="1" applyAlignment="1">
      <alignment vertical="center" wrapText="1"/>
    </xf>
    <xf numFmtId="164" fontId="18" fillId="7" borderId="9" xfId="0" applyNumberFormat="1" applyFont="1" applyFill="1" applyBorder="1" applyAlignment="1">
      <alignment horizontal="right" vertical="top" wrapText="1"/>
    </xf>
    <xf numFmtId="49" fontId="18" fillId="7" borderId="9" xfId="0" applyNumberFormat="1" applyFont="1" applyFill="1" applyBorder="1" applyAlignment="1">
      <alignment vertical="top" wrapText="1"/>
    </xf>
    <xf numFmtId="49" fontId="18" fillId="4" borderId="9" xfId="0" applyNumberFormat="1" applyFont="1" applyFill="1" applyBorder="1" applyAlignment="1">
      <alignment vertical="top" wrapText="1"/>
    </xf>
    <xf numFmtId="0" fontId="16" fillId="0" borderId="4" xfId="1" applyFont="1" applyBorder="1" applyAlignment="1">
      <alignment horizontal="left"/>
    </xf>
    <xf numFmtId="0" fontId="16" fillId="0" borderId="0" xfId="1" applyFont="1" applyBorder="1" applyAlignment="1">
      <alignment horizontal="left"/>
    </xf>
    <xf numFmtId="0" fontId="16" fillId="0" borderId="5" xfId="1" applyFont="1" applyBorder="1" applyAlignment="1">
      <alignment horizontal="left"/>
    </xf>
    <xf numFmtId="0" fontId="14" fillId="2" borderId="1" xfId="0" applyFont="1" applyFill="1" applyBorder="1" applyAlignment="1">
      <alignment horizontal="center" wrapText="1"/>
    </xf>
    <xf numFmtId="0" fontId="14" fillId="2" borderId="2" xfId="0" applyFont="1" applyFill="1" applyBorder="1" applyAlignment="1">
      <alignment horizontal="center" wrapText="1"/>
    </xf>
    <xf numFmtId="0" fontId="14" fillId="2" borderId="3" xfId="0" applyFont="1" applyFill="1" applyBorder="1" applyAlignment="1">
      <alignment horizontal="center" wrapText="1"/>
    </xf>
    <xf numFmtId="0" fontId="15" fillId="0" borderId="4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5" fillId="0" borderId="5" xfId="0" applyFont="1" applyBorder="1" applyAlignment="1">
      <alignment horizontal="left" wrapText="1"/>
    </xf>
    <xf numFmtId="0" fontId="17" fillId="0" borderId="0" xfId="0" applyFont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9" fillId="3" borderId="0" xfId="0" applyFont="1" applyFill="1" applyAlignment="1">
      <alignment horizontal="center" vertical="center" wrapText="1"/>
    </xf>
    <xf numFmtId="0" fontId="29" fillId="3" borderId="0" xfId="0" applyFont="1" applyFill="1" applyAlignment="1">
      <alignment horizontal="center" vertical="center"/>
    </xf>
    <xf numFmtId="0" fontId="25" fillId="3" borderId="0" xfId="0" applyFont="1" applyFill="1" applyAlignment="1">
      <alignment horizontal="center" vertical="center" wrapText="1"/>
    </xf>
    <xf numFmtId="0" fontId="25" fillId="3" borderId="0" xfId="0" applyFont="1" applyFill="1" applyAlignment="1">
      <alignment horizontal="center" vertical="center"/>
    </xf>
    <xf numFmtId="49" fontId="28" fillId="0" borderId="10" xfId="0" applyNumberFormat="1" applyFont="1" applyBorder="1" applyAlignment="1">
      <alignment horizontal="center" vertical="center" wrapText="1"/>
    </xf>
    <xf numFmtId="49" fontId="28" fillId="0" borderId="13" xfId="0" applyNumberFormat="1" applyFont="1" applyBorder="1" applyAlignment="1">
      <alignment horizontal="center" vertical="center" wrapText="1"/>
    </xf>
    <xf numFmtId="49" fontId="28" fillId="0" borderId="14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572216</xdr:colOff>
      <xdr:row>1</xdr:row>
      <xdr:rowOff>193367</xdr:rowOff>
    </xdr:from>
    <xdr:to>
      <xdr:col>3</xdr:col>
      <xdr:colOff>1084313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6441" y="7267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4820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131698</xdr:colOff>
      <xdr:row>1</xdr:row>
      <xdr:rowOff>49698</xdr:rowOff>
    </xdr:from>
    <xdr:to>
      <xdr:col>1</xdr:col>
      <xdr:colOff>1131823</xdr:colOff>
      <xdr:row>2</xdr:row>
      <xdr:rowOff>81075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DE902EE-4DE6-4F13-A8DB-B561F3357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698" y="24019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264216</xdr:colOff>
      <xdr:row>1</xdr:row>
      <xdr:rowOff>33131</xdr:rowOff>
    </xdr:from>
    <xdr:to>
      <xdr:col>5</xdr:col>
      <xdr:colOff>83240</xdr:colOff>
      <xdr:row>3</xdr:row>
      <xdr:rowOff>120566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2D36069-C136-48E4-BA00-A4A8B1EC01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6716" y="22363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7</xdr:row>
      <xdr:rowOff>180975</xdr:rowOff>
    </xdr:from>
    <xdr:to>
      <xdr:col>5</xdr:col>
      <xdr:colOff>112047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48200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115132</xdr:colOff>
      <xdr:row>1</xdr:row>
      <xdr:rowOff>151319</xdr:rowOff>
    </xdr:from>
    <xdr:to>
      <xdr:col>1</xdr:col>
      <xdr:colOff>1115257</xdr:colOff>
      <xdr:row>2</xdr:row>
      <xdr:rowOff>182696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464D3D7-51D0-4755-8378-1C761A5B5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32" y="341819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421586</xdr:colOff>
      <xdr:row>1</xdr:row>
      <xdr:rowOff>33130</xdr:rowOff>
    </xdr:from>
    <xdr:to>
      <xdr:col>5</xdr:col>
      <xdr:colOff>240610</xdr:colOff>
      <xdr:row>3</xdr:row>
      <xdr:rowOff>120565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F9D0D8-8AB6-4294-A6F6-C05D757780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1064" y="22363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314325</xdr:colOff>
      <xdr:row>7</xdr:row>
      <xdr:rowOff>76200</xdr:rowOff>
    </xdr:from>
    <xdr:to>
      <xdr:col>5</xdr:col>
      <xdr:colOff>207297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743450" y="16002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106849</xdr:colOff>
      <xdr:row>1</xdr:row>
      <xdr:rowOff>41415</xdr:rowOff>
    </xdr:from>
    <xdr:to>
      <xdr:col>1</xdr:col>
      <xdr:colOff>1106974</xdr:colOff>
      <xdr:row>2</xdr:row>
      <xdr:rowOff>72792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649421D-F89B-4408-BB36-CD0E44218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849" y="23191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347043</xdr:colOff>
      <xdr:row>1</xdr:row>
      <xdr:rowOff>57976</xdr:rowOff>
    </xdr:from>
    <xdr:to>
      <xdr:col>5</xdr:col>
      <xdr:colOff>166067</xdr:colOff>
      <xdr:row>3</xdr:row>
      <xdr:rowOff>145411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3AF7828-CA16-4599-9BEC-F3615FCE7B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2782" y="24847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7</xdr:row>
      <xdr:rowOff>142875</xdr:rowOff>
    </xdr:from>
    <xdr:to>
      <xdr:col>5</xdr:col>
      <xdr:colOff>131097</xdr:colOff>
      <xdr:row>8</xdr:row>
      <xdr:rowOff>142875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67250" y="16668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90283</xdr:colOff>
      <xdr:row>1</xdr:row>
      <xdr:rowOff>41415</xdr:rowOff>
    </xdr:from>
    <xdr:to>
      <xdr:col>1</xdr:col>
      <xdr:colOff>1090408</xdr:colOff>
      <xdr:row>2</xdr:row>
      <xdr:rowOff>72792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1DC4A28-CC50-49A3-9DCB-3CD1FB88DC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283" y="23191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388456</xdr:colOff>
      <xdr:row>1</xdr:row>
      <xdr:rowOff>49695</xdr:rowOff>
    </xdr:from>
    <xdr:to>
      <xdr:col>5</xdr:col>
      <xdr:colOff>207480</xdr:colOff>
      <xdr:row>3</xdr:row>
      <xdr:rowOff>137130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FB48181-1F41-4A74-8FAA-AF8747EC60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934" y="24019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POR MUNICIPIO A ORIGINARIOS DEL ESTADO DE BAJA CALIFORNIA SUR POR ESTADO EN EE.UU.</a:t>
          </a:r>
        </a:p>
      </xdr:txBody>
    </xdr:sp>
    <xdr:clientData/>
  </xdr:twoCellAnchor>
  <xdr:twoCellAnchor>
    <xdr:from>
      <xdr:col>4</xdr:col>
      <xdr:colOff>545702</xdr:colOff>
      <xdr:row>7</xdr:row>
      <xdr:rowOff>99219</xdr:rowOff>
    </xdr:from>
    <xdr:to>
      <xdr:col>4</xdr:col>
      <xdr:colOff>1057799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9880202" y="1432719"/>
          <a:ext cx="512097" cy="9326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110938</xdr:colOff>
      <xdr:row>1</xdr:row>
      <xdr:rowOff>80446</xdr:rowOff>
    </xdr:from>
    <xdr:to>
      <xdr:col>2</xdr:col>
      <xdr:colOff>208259</xdr:colOff>
      <xdr:row>2</xdr:row>
      <xdr:rowOff>111823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602BA23-3553-429E-944C-10CF0DAE5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23732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402290</xdr:colOff>
      <xdr:row>1</xdr:row>
      <xdr:rowOff>69240</xdr:rowOff>
    </xdr:from>
    <xdr:to>
      <xdr:col>4</xdr:col>
      <xdr:colOff>842510</xdr:colOff>
      <xdr:row>3</xdr:row>
      <xdr:rowOff>156675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D33966D-A419-46D6-BD2F-8A750E88E5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1525" y="22612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POR MUNICIPIO A ORIGINARIOS DEL ESTADO DE BAJA CALIFORNIA SUR EN LOS CONSULADOS DE MÉXICO EN EE.UU.</a:t>
          </a:r>
        </a:p>
      </xdr:txBody>
    </xdr:sp>
    <xdr:clientData/>
  </xdr:twoCellAnchor>
  <xdr:twoCellAnchor>
    <xdr:from>
      <xdr:col>4</xdr:col>
      <xdr:colOff>407616</xdr:colOff>
      <xdr:row>7</xdr:row>
      <xdr:rowOff>79239</xdr:rowOff>
    </xdr:from>
    <xdr:to>
      <xdr:col>4</xdr:col>
      <xdr:colOff>919713</xdr:colOff>
      <xdr:row>7</xdr:row>
      <xdr:rowOff>267754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045306" y="1820015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35622</xdr:rowOff>
    </xdr:from>
    <xdr:to>
      <xdr:col>2</xdr:col>
      <xdr:colOff>163435</xdr:colOff>
      <xdr:row>2</xdr:row>
      <xdr:rowOff>66999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4F29CDF-D435-47E6-9A78-963D79CE16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1925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413497</xdr:colOff>
      <xdr:row>1</xdr:row>
      <xdr:rowOff>91651</xdr:rowOff>
    </xdr:from>
    <xdr:to>
      <xdr:col>4</xdr:col>
      <xdr:colOff>853717</xdr:colOff>
      <xdr:row>3</xdr:row>
      <xdr:rowOff>179086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60EAB78-0DF6-47E3-AAB5-9B92E2DBB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2732" y="24853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14325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49698</xdr:rowOff>
    </xdr:from>
    <xdr:to>
      <xdr:col>1</xdr:col>
      <xdr:colOff>1098691</xdr:colOff>
      <xdr:row>2</xdr:row>
      <xdr:rowOff>81075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BD8E390-7309-4873-9810-E5ECE15258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24019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363608</xdr:colOff>
      <xdr:row>1</xdr:row>
      <xdr:rowOff>33130</xdr:rowOff>
    </xdr:from>
    <xdr:to>
      <xdr:col>5</xdr:col>
      <xdr:colOff>182632</xdr:colOff>
      <xdr:row>3</xdr:row>
      <xdr:rowOff>120565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6C08530-96E4-4363-B4D1-B24BF887AB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0347" y="22363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A ORIGINARIOS DEL ESTADO DE BAJA CALIFORNIA SUR POR NIVEL DE EDUCACIÓN Y ESTADO EN EE.UU.</a:t>
          </a:r>
        </a:p>
      </xdr:txBody>
    </xdr:sp>
    <xdr:clientData/>
  </xdr:twoCellAnchor>
  <xdr:twoCellAnchor>
    <xdr:from>
      <xdr:col>4</xdr:col>
      <xdr:colOff>514350</xdr:colOff>
      <xdr:row>7</xdr:row>
      <xdr:rowOff>38100</xdr:rowOff>
    </xdr:from>
    <xdr:to>
      <xdr:col>4</xdr:col>
      <xdr:colOff>1026447</xdr:colOff>
      <xdr:row>7</xdr:row>
      <xdr:rowOff>228600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D41E99-54D6-4100-84FC-62E8893F0AE7}"/>
            </a:ext>
          </a:extLst>
        </xdr:cNvPr>
        <xdr:cNvSpPr/>
      </xdr:nvSpPr>
      <xdr:spPr>
        <a:xfrm>
          <a:off x="5514975" y="17811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122144</xdr:colOff>
      <xdr:row>1</xdr:row>
      <xdr:rowOff>135614</xdr:rowOff>
    </xdr:from>
    <xdr:to>
      <xdr:col>1</xdr:col>
      <xdr:colOff>1743465</xdr:colOff>
      <xdr:row>2</xdr:row>
      <xdr:rowOff>166991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36496D2-9B57-4F49-86C0-8065A81A8D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086" y="28947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503143</xdr:colOff>
      <xdr:row>1</xdr:row>
      <xdr:rowOff>58034</xdr:rowOff>
    </xdr:from>
    <xdr:to>
      <xdr:col>4</xdr:col>
      <xdr:colOff>943363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9CB6202-5989-46AE-A416-49126ADD1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0967" y="2149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MATRÍCULAS CONSULARES DE ALTA SEGURIDAD EXPEDIDAS A ORIGINARIOS DEL ESTADO DE BAJA CALIFORNIA SUR POR CONSULADO Y NIVEL DE EDUCACIÓN EN EE.UU.</a:t>
          </a:r>
        </a:p>
      </xdr:txBody>
    </xdr:sp>
    <xdr:clientData/>
  </xdr:twoCellAnchor>
  <xdr:twoCellAnchor>
    <xdr:from>
      <xdr:col>4</xdr:col>
      <xdr:colOff>413844</xdr:colOff>
      <xdr:row>7</xdr:row>
      <xdr:rowOff>131379</xdr:rowOff>
    </xdr:from>
    <xdr:to>
      <xdr:col>4</xdr:col>
      <xdr:colOff>925941</xdr:colOff>
      <xdr:row>7</xdr:row>
      <xdr:rowOff>321879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748344" y="1464879"/>
          <a:ext cx="512097" cy="571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1</xdr:row>
      <xdr:rowOff>91652</xdr:rowOff>
    </xdr:from>
    <xdr:to>
      <xdr:col>2</xdr:col>
      <xdr:colOff>185847</xdr:colOff>
      <xdr:row>2</xdr:row>
      <xdr:rowOff>123029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FB66307-0BF4-47C3-BE2F-3A6E8884F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761" y="2485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368673</xdr:colOff>
      <xdr:row>1</xdr:row>
      <xdr:rowOff>102857</xdr:rowOff>
    </xdr:from>
    <xdr:to>
      <xdr:col>4</xdr:col>
      <xdr:colOff>808893</xdr:colOff>
      <xdr:row>3</xdr:row>
      <xdr:rowOff>190292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B3CACD1-FF5E-4A0B-AA93-2B558F7C7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4438" y="2597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85725</xdr:colOff>
      <xdr:row>7</xdr:row>
      <xdr:rowOff>161925</xdr:rowOff>
    </xdr:from>
    <xdr:to>
      <xdr:col>4</xdr:col>
      <xdr:colOff>597822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133725" y="14954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139981</xdr:colOff>
      <xdr:row>1</xdr:row>
      <xdr:rowOff>127427</xdr:rowOff>
    </xdr:from>
    <xdr:to>
      <xdr:col>1</xdr:col>
      <xdr:colOff>1140106</xdr:colOff>
      <xdr:row>2</xdr:row>
      <xdr:rowOff>158804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0F52DCC-5E28-4725-BE50-025418503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981" y="317927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446434</xdr:colOff>
      <xdr:row>1</xdr:row>
      <xdr:rowOff>41413</xdr:rowOff>
    </xdr:from>
    <xdr:to>
      <xdr:col>5</xdr:col>
      <xdr:colOff>265458</xdr:colOff>
      <xdr:row>3</xdr:row>
      <xdr:rowOff>128848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2E3B6F0-1126-4E8D-A758-F3061F2B1E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85912" y="23191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798117</xdr:colOff>
      <xdr:row>8</xdr:row>
      <xdr:rowOff>179388</xdr:rowOff>
    </xdr:from>
    <xdr:to>
      <xdr:col>5</xdr:col>
      <xdr:colOff>298183</xdr:colOff>
      <xdr:row>9</xdr:row>
      <xdr:rowOff>179388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89167" y="1703388"/>
          <a:ext cx="5605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173454</xdr:rowOff>
    </xdr:from>
    <xdr:to>
      <xdr:col>2</xdr:col>
      <xdr:colOff>335446</xdr:colOff>
      <xdr:row>2</xdr:row>
      <xdr:rowOff>61956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BF410AD-BF2F-4BC6-98F5-7E71D84E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" y="1734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438150</xdr:colOff>
      <xdr:row>0</xdr:row>
      <xdr:rowOff>154404</xdr:rowOff>
    </xdr:from>
    <xdr:to>
      <xdr:col>4</xdr:col>
      <xdr:colOff>878370</xdr:colOff>
      <xdr:row>3</xdr:row>
      <xdr:rowOff>98964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A41DC5C-7D0F-4F4F-BC45-2D8101674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9650" y="15440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631694</xdr:colOff>
      <xdr:row>9</xdr:row>
      <xdr:rowOff>99219</xdr:rowOff>
    </xdr:from>
    <xdr:to>
      <xdr:col>5</xdr:col>
      <xdr:colOff>131760</xdr:colOff>
      <xdr:row>9</xdr:row>
      <xdr:rowOff>337345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387579" y="1918229"/>
          <a:ext cx="558400" cy="23812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2004</xdr:rowOff>
    </xdr:from>
    <xdr:to>
      <xdr:col>2</xdr:col>
      <xdr:colOff>411646</xdr:colOff>
      <xdr:row>2</xdr:row>
      <xdr:rowOff>81006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1C0DC7-ED1F-45D9-B692-162C81B880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925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476250</xdr:colOff>
      <xdr:row>1</xdr:row>
      <xdr:rowOff>11529</xdr:rowOff>
    </xdr:from>
    <xdr:to>
      <xdr:col>4</xdr:col>
      <xdr:colOff>916470</xdr:colOff>
      <xdr:row>3</xdr:row>
      <xdr:rowOff>146589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67C6FC9-458C-4911-99AD-55B78BE78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9675" y="2020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489209</xdr:colOff>
      <xdr:row>9</xdr:row>
      <xdr:rowOff>113393</xdr:rowOff>
    </xdr:from>
    <xdr:to>
      <xdr:col>5</xdr:col>
      <xdr:colOff>1023984</xdr:colOff>
      <xdr:row>10</xdr:row>
      <xdr:rowOff>113393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08750" y="1824005"/>
          <a:ext cx="534775" cy="1879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142875</xdr:colOff>
      <xdr:row>1</xdr:row>
      <xdr:rowOff>49629</xdr:rowOff>
    </xdr:from>
    <xdr:to>
      <xdr:col>2</xdr:col>
      <xdr:colOff>497371</xdr:colOff>
      <xdr:row>2</xdr:row>
      <xdr:rowOff>128631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308A0A-F8F9-4860-AD02-0C479E275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2401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485775</xdr:colOff>
      <xdr:row>0</xdr:row>
      <xdr:rowOff>144879</xdr:rowOff>
    </xdr:from>
    <xdr:to>
      <xdr:col>5</xdr:col>
      <xdr:colOff>925995</xdr:colOff>
      <xdr:row>3</xdr:row>
      <xdr:rowOff>89439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0DA4618-EF3F-457B-9E63-9569E9B650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29350" y="1448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237435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05541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BAJA CALIFORNIA SUR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180148</xdr:colOff>
      <xdr:row>7</xdr:row>
      <xdr:rowOff>150054</xdr:rowOff>
    </xdr:from>
    <xdr:to>
      <xdr:col>5</xdr:col>
      <xdr:colOff>118241</xdr:colOff>
      <xdr:row>8</xdr:row>
      <xdr:rowOff>147293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172562" y="1674054"/>
          <a:ext cx="555576" cy="18773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115132</xdr:colOff>
      <xdr:row>1</xdr:row>
      <xdr:rowOff>122860</xdr:rowOff>
    </xdr:from>
    <xdr:to>
      <xdr:col>1</xdr:col>
      <xdr:colOff>1115257</xdr:colOff>
      <xdr:row>2</xdr:row>
      <xdr:rowOff>154237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7C59452-04A1-4FD7-82EF-3B245A891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32" y="313360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280781</xdr:colOff>
      <xdr:row>1</xdr:row>
      <xdr:rowOff>44174</xdr:rowOff>
    </xdr:from>
    <xdr:to>
      <xdr:col>5</xdr:col>
      <xdr:colOff>99806</xdr:colOff>
      <xdr:row>3</xdr:row>
      <xdr:rowOff>131609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CF3904F-76BE-45CB-B8D0-52B72DABE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3477" y="2346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B22" sqref="B22:D2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4" t="s">
        <v>215</v>
      </c>
      <c r="B1" s="75"/>
      <c r="C1" s="75"/>
      <c r="D1" s="76"/>
    </row>
    <row r="2" spans="1:4">
      <c r="A2" s="2"/>
      <c r="B2" s="3"/>
      <c r="C2" s="3"/>
      <c r="D2" s="4"/>
    </row>
    <row r="3" spans="1:4">
      <c r="A3" s="77" t="s">
        <v>0</v>
      </c>
      <c r="B3" s="78"/>
      <c r="C3" s="78"/>
      <c r="D3" s="79"/>
    </row>
    <row r="4" spans="1:4">
      <c r="A4" s="77"/>
      <c r="B4" s="78"/>
      <c r="C4" s="78"/>
      <c r="D4" s="79"/>
    </row>
    <row r="5" spans="1:4">
      <c r="A5" s="5"/>
      <c r="B5" s="6"/>
      <c r="C5" s="6"/>
      <c r="D5" s="7"/>
    </row>
    <row r="6" spans="1:4" ht="18.75">
      <c r="A6" s="71" t="s">
        <v>1</v>
      </c>
      <c r="B6" s="72"/>
      <c r="C6" s="72"/>
      <c r="D6" s="73"/>
    </row>
    <row r="7" spans="1:4">
      <c r="A7" s="8"/>
      <c r="D7" s="9"/>
    </row>
    <row r="8" spans="1:4" ht="18.75">
      <c r="A8" s="71" t="s">
        <v>2</v>
      </c>
      <c r="B8" s="72"/>
      <c r="C8" s="72"/>
      <c r="D8" s="73"/>
    </row>
    <row r="9" spans="1:4" ht="18.75">
      <c r="A9" s="8"/>
      <c r="B9" s="71" t="s">
        <v>3</v>
      </c>
      <c r="C9" s="72"/>
      <c r="D9" s="72"/>
    </row>
    <row r="10" spans="1:4">
      <c r="A10" s="8"/>
      <c r="D10" s="9"/>
    </row>
    <row r="11" spans="1:4">
      <c r="A11" s="8" t="s">
        <v>4</v>
      </c>
      <c r="D11" s="9"/>
    </row>
    <row r="12" spans="1:4" ht="18.75">
      <c r="A12" s="8"/>
      <c r="B12" s="71" t="s">
        <v>5</v>
      </c>
      <c r="C12" s="72"/>
      <c r="D12" s="72"/>
    </row>
    <row r="13" spans="1:4" ht="18.75">
      <c r="A13" s="8"/>
      <c r="B13" s="71" t="s">
        <v>6</v>
      </c>
      <c r="C13" s="72"/>
      <c r="D13" s="72"/>
    </row>
    <row r="14" spans="1:4" ht="18.75">
      <c r="A14" s="8"/>
      <c r="B14" s="71" t="s">
        <v>7</v>
      </c>
      <c r="C14" s="72"/>
      <c r="D14" s="72"/>
    </row>
    <row r="15" spans="1:4">
      <c r="A15" s="8"/>
      <c r="D15" s="9"/>
    </row>
    <row r="16" spans="1:4">
      <c r="A16" s="8" t="s">
        <v>8</v>
      </c>
      <c r="D16" s="9"/>
    </row>
    <row r="17" spans="1:4" ht="18.75">
      <c r="A17" s="8"/>
      <c r="B17" s="71" t="s">
        <v>9</v>
      </c>
      <c r="C17" s="72"/>
      <c r="D17" s="72"/>
    </row>
    <row r="18" spans="1:4" ht="18.75">
      <c r="A18" s="8"/>
      <c r="B18" s="71" t="s">
        <v>10</v>
      </c>
      <c r="C18" s="72"/>
      <c r="D18" s="72"/>
    </row>
    <row r="19" spans="1:4" ht="18.75">
      <c r="A19" s="8"/>
      <c r="B19" s="71" t="s">
        <v>11</v>
      </c>
      <c r="C19" s="72"/>
      <c r="D19" s="72"/>
    </row>
    <row r="20" spans="1:4">
      <c r="A20" s="8"/>
      <c r="D20" s="9"/>
    </row>
    <row r="21" spans="1:4">
      <c r="A21" s="8" t="s">
        <v>12</v>
      </c>
      <c r="D21" s="9"/>
    </row>
    <row r="22" spans="1:4" ht="18.75">
      <c r="A22" s="8"/>
      <c r="B22" s="71" t="s">
        <v>13</v>
      </c>
      <c r="C22" s="72"/>
      <c r="D22" s="72"/>
    </row>
    <row r="23" spans="1:4" ht="18.75">
      <c r="A23" s="8"/>
      <c r="B23" s="71" t="s">
        <v>34</v>
      </c>
      <c r="C23" s="72"/>
      <c r="D23" s="72"/>
    </row>
    <row r="24" spans="1:4" ht="18.75">
      <c r="A24" s="8"/>
      <c r="B24" s="71" t="s">
        <v>41</v>
      </c>
      <c r="C24" s="72"/>
      <c r="D24" s="72"/>
    </row>
    <row r="25" spans="1:4">
      <c r="A25" s="8"/>
      <c r="D25" s="9"/>
    </row>
    <row r="26" spans="1:4" ht="18.75">
      <c r="A26" s="71" t="s">
        <v>14</v>
      </c>
      <c r="B26" s="72"/>
      <c r="C26" s="72"/>
      <c r="D26" s="73"/>
    </row>
    <row r="27" spans="1:4">
      <c r="A27" s="8"/>
      <c r="D27" s="9"/>
    </row>
    <row r="28" spans="1:4" ht="18.75">
      <c r="A28" s="71" t="s">
        <v>15</v>
      </c>
      <c r="B28" s="72"/>
      <c r="C28" s="72"/>
      <c r="D28" s="73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Baja California Sur_USAMuni'!A1" display="3.2 Por Estado de USA" xr:uid="{00000000-0004-0000-0000-00000D000000}"/>
    <hyperlink ref="A8:D8" location="'Baja California Sur_Cons'!A1" display="2. Por Circunscripción Consular" xr:uid="{00000000-0004-0000-0000-00000E000000}"/>
    <hyperlink ref="B9:D9" location="'Baja California SurXCons'!A1" display="2.1 Top ten por circunscripción consular" xr:uid="{00000000-0004-0000-0000-00000F000000}"/>
    <hyperlink ref="A6:D6" location="'Baja California Sur_EdoUsa'!A1" display="1. Por Estados de USA" xr:uid="{00000000-0004-0000-0000-000010000000}"/>
    <hyperlink ref="B12:D12" location="'Baja California Sur_EdoMun'!A1" display="3.1 Municipio general" xr:uid="{00000000-0004-0000-0000-000011000000}"/>
    <hyperlink ref="B14:D14" location="'Baja California Sur_MUNICIPIO'!A1" display="3.3 Por Circunscripción Consular" xr:uid="{00000000-0004-0000-0000-000012000000}"/>
    <hyperlink ref="B17:D17" location="'Baja California Sur_educ_gral'!A1" display="4.1 Educación general" xr:uid="{00000000-0004-0000-0000-000013000000}"/>
    <hyperlink ref="B18:D18" location="'Baja California Sur_NivelE_Cons'!A1" display="4.2 Por Estado de USA" xr:uid="{00000000-0004-0000-0000-000014000000}"/>
    <hyperlink ref="B19:D19" location="'Baja California Sur_EducCons'!A1" display="4.3 Por Circunscripción Consular" xr:uid="{00000000-0004-0000-0000-000015000000}"/>
    <hyperlink ref="B22:D22" location="'Baja California Sur_GenGral'!A1" display="5.1 Género General" xr:uid="{00000000-0004-0000-0000-000016000000}"/>
    <hyperlink ref="B23:D23" location="'Baja California Sur_GENERO'!A1" display="5.2 Por Circunscripción Consular" xr:uid="{00000000-0004-0000-0000-000017000000}"/>
    <hyperlink ref="A26:D26" location="'Baja California Sur_Gen_Edad'!A1" display="6. Por estructura de Edad" xr:uid="{00000000-0004-0000-0000-000018000000}"/>
    <hyperlink ref="A28:D28" location="'Baja California Sur_ocup_gral'!A1" display="7. Por Ocupación" xr:uid="{00000000-0004-0000-0000-000019000000}"/>
    <hyperlink ref="B24" location="'Baja California Sur_GENERO_EUA'!A1" display="5.3 Por Estados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F53"/>
  <sheetViews>
    <sheetView showGridLines="0" view="pageBreakPreview" zoomScale="130" zoomScaleNormal="100" zoomScaleSheetLayoutView="130" workbookViewId="0">
      <selection activeCell="H9" sqref="H9"/>
    </sheetView>
  </sheetViews>
  <sheetFormatPr baseColWidth="10" defaultColWidth="11.42578125" defaultRowHeight="15"/>
  <cols>
    <col min="1" max="1" width="9.28515625" style="13" customWidth="1"/>
    <col min="2" max="2" width="26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6" s="17" customFormat="1" ht="15" customHeight="1">
      <c r="C1" s="20"/>
    </row>
    <row r="2" spans="2:6" s="17" customFormat="1" ht="15" customHeight="1">
      <c r="C2" s="20"/>
    </row>
    <row r="3" spans="2:6" s="17" customFormat="1" ht="15" customHeight="1">
      <c r="C3" s="20"/>
    </row>
    <row r="4" spans="2:6" s="17" customFormat="1" ht="30" customHeight="1">
      <c r="C4" s="20"/>
      <c r="D4" s="19"/>
    </row>
    <row r="5" spans="2:6" s="17" customFormat="1" ht="15" customHeight="1">
      <c r="C5" s="20"/>
      <c r="D5" s="19"/>
    </row>
    <row r="6" spans="2:6" s="17" customFormat="1" ht="15" customHeight="1">
      <c r="C6" s="20"/>
      <c r="D6" s="19"/>
    </row>
    <row r="7" spans="2:6" s="17" customFormat="1" ht="15" customHeight="1">
      <c r="B7" s="80" t="s">
        <v>39</v>
      </c>
      <c r="C7" s="80"/>
      <c r="D7" s="80"/>
    </row>
    <row r="8" spans="2:6" s="17" customFormat="1" ht="15" customHeight="1">
      <c r="B8" s="80"/>
      <c r="C8" s="80"/>
      <c r="D8" s="80"/>
    </row>
    <row r="9" spans="2:6" s="17" customFormat="1" ht="33" customHeight="1">
      <c r="B9" s="80"/>
      <c r="C9" s="80"/>
      <c r="D9" s="80"/>
    </row>
    <row r="10" spans="2:6" s="17" customFormat="1" ht="4.5" customHeight="1">
      <c r="B10" s="18"/>
      <c r="C10" s="18"/>
      <c r="D10" s="18"/>
    </row>
    <row r="11" spans="2:6" s="17" customFormat="1" ht="33" customHeight="1">
      <c r="B11" s="34" t="s">
        <v>20</v>
      </c>
      <c r="C11" s="35" t="s">
        <v>19</v>
      </c>
      <c r="D11" s="36" t="s">
        <v>18</v>
      </c>
      <c r="E11" s="37"/>
      <c r="F11" s="37"/>
    </row>
    <row r="12" spans="2:6" ht="16.5">
      <c r="B12" s="54" t="s">
        <v>129</v>
      </c>
      <c r="C12" s="55">
        <v>190</v>
      </c>
      <c r="D12" s="56">
        <v>0.44289044289044299</v>
      </c>
      <c r="E12" s="38"/>
      <c r="F12" s="38"/>
    </row>
    <row r="13" spans="2:6" ht="16.5">
      <c r="B13" s="54" t="s">
        <v>130</v>
      </c>
      <c r="C13" s="55">
        <v>42</v>
      </c>
      <c r="D13" s="56">
        <v>9.7902097902098001E-2</v>
      </c>
      <c r="E13" s="38"/>
      <c r="F13" s="38"/>
    </row>
    <row r="14" spans="2:6" ht="16.5">
      <c r="B14" s="54" t="s">
        <v>131</v>
      </c>
      <c r="C14" s="55">
        <v>19</v>
      </c>
      <c r="D14" s="56">
        <v>4.4289044289043997E-2</v>
      </c>
      <c r="E14" s="38"/>
      <c r="F14" s="38"/>
    </row>
    <row r="15" spans="2:6" ht="16.5">
      <c r="B15" s="54" t="s">
        <v>132</v>
      </c>
      <c r="C15" s="55">
        <v>15</v>
      </c>
      <c r="D15" s="56">
        <v>3.4965034965035002E-2</v>
      </c>
      <c r="E15" s="38"/>
      <c r="F15" s="38"/>
    </row>
    <row r="16" spans="2:6" ht="16.5">
      <c r="B16" s="54" t="s">
        <v>133</v>
      </c>
      <c r="C16" s="55">
        <v>15</v>
      </c>
      <c r="D16" s="56">
        <v>3.4965034965035002E-2</v>
      </c>
      <c r="E16" s="38"/>
      <c r="F16" s="38"/>
    </row>
    <row r="17" spans="2:6" ht="16.5">
      <c r="B17" s="54" t="s">
        <v>134</v>
      </c>
      <c r="C17" s="55">
        <v>13</v>
      </c>
      <c r="D17" s="56">
        <v>3.0303030303029999E-2</v>
      </c>
      <c r="E17" s="38"/>
      <c r="F17" s="38"/>
    </row>
    <row r="18" spans="2:6" ht="16.5">
      <c r="B18" s="54" t="s">
        <v>135</v>
      </c>
      <c r="C18" s="55">
        <v>13</v>
      </c>
      <c r="D18" s="56">
        <v>3.0303030303029999E-2</v>
      </c>
      <c r="E18" s="38"/>
      <c r="F18" s="38"/>
    </row>
    <row r="19" spans="2:6" ht="16.5">
      <c r="B19" s="54" t="s">
        <v>136</v>
      </c>
      <c r="C19" s="55">
        <v>10</v>
      </c>
      <c r="D19" s="56">
        <v>2.3310023310022999E-2</v>
      </c>
      <c r="E19" s="38"/>
      <c r="F19" s="38"/>
    </row>
    <row r="20" spans="2:6" ht="16.5">
      <c r="B20" s="54" t="s">
        <v>137</v>
      </c>
      <c r="C20" s="55">
        <v>10</v>
      </c>
      <c r="D20" s="56">
        <v>2.3310023310022999E-2</v>
      </c>
      <c r="E20" s="38"/>
      <c r="F20" s="38"/>
    </row>
    <row r="21" spans="2:6" ht="16.5">
      <c r="B21" s="54" t="s">
        <v>138</v>
      </c>
      <c r="C21" s="55">
        <v>8</v>
      </c>
      <c r="D21" s="56">
        <v>1.8648018648018998E-2</v>
      </c>
      <c r="E21" s="38"/>
      <c r="F21" s="38"/>
    </row>
    <row r="22" spans="2:6" ht="16.5">
      <c r="B22" s="54" t="s">
        <v>139</v>
      </c>
      <c r="C22" s="55">
        <v>7</v>
      </c>
      <c r="D22" s="56">
        <v>1.6317016317016E-2</v>
      </c>
      <c r="E22" s="38"/>
      <c r="F22" s="38"/>
    </row>
    <row r="23" spans="2:6" ht="16.5">
      <c r="B23" s="54" t="s">
        <v>140</v>
      </c>
      <c r="C23" s="55">
        <v>7</v>
      </c>
      <c r="D23" s="56">
        <v>1.6317016317016E-2</v>
      </c>
      <c r="E23" s="38"/>
      <c r="F23" s="38"/>
    </row>
    <row r="24" spans="2:6" ht="16.5">
      <c r="B24" s="54" t="s">
        <v>141</v>
      </c>
      <c r="C24" s="55">
        <v>7</v>
      </c>
      <c r="D24" s="56">
        <v>1.6317016317016E-2</v>
      </c>
      <c r="E24" s="38"/>
      <c r="F24" s="38"/>
    </row>
    <row r="25" spans="2:6" ht="16.5">
      <c r="B25" s="54" t="s">
        <v>142</v>
      </c>
      <c r="C25" s="55">
        <v>6</v>
      </c>
      <c r="D25" s="56">
        <v>1.3986013986014E-2</v>
      </c>
      <c r="E25" s="38"/>
      <c r="F25" s="38"/>
    </row>
    <row r="26" spans="2:6" ht="16.5">
      <c r="B26" s="54" t="s">
        <v>143</v>
      </c>
      <c r="C26" s="55">
        <v>6</v>
      </c>
      <c r="D26" s="56">
        <v>1.3986013986014E-2</v>
      </c>
      <c r="E26" s="38"/>
      <c r="F26" s="38"/>
    </row>
    <row r="27" spans="2:6" ht="16.5">
      <c r="B27" s="54" t="s">
        <v>144</v>
      </c>
      <c r="C27" s="55">
        <v>6</v>
      </c>
      <c r="D27" s="56">
        <v>1.3986013986014E-2</v>
      </c>
      <c r="E27" s="38"/>
      <c r="F27" s="38"/>
    </row>
    <row r="28" spans="2:6" ht="16.5">
      <c r="B28" s="54" t="s">
        <v>145</v>
      </c>
      <c r="C28" s="55">
        <v>5</v>
      </c>
      <c r="D28" s="56">
        <v>1.1655011655011999E-2</v>
      </c>
      <c r="E28" s="38"/>
      <c r="F28" s="38"/>
    </row>
    <row r="29" spans="2:6" ht="16.5">
      <c r="B29" s="54" t="s">
        <v>146</v>
      </c>
      <c r="C29" s="55">
        <v>5</v>
      </c>
      <c r="D29" s="56">
        <v>1.1655011655011999E-2</v>
      </c>
      <c r="E29" s="38"/>
      <c r="F29" s="38"/>
    </row>
    <row r="30" spans="2:6" ht="16.5">
      <c r="B30" s="54" t="s">
        <v>147</v>
      </c>
      <c r="C30" s="55">
        <v>5</v>
      </c>
      <c r="D30" s="56">
        <v>1.1655011655011999E-2</v>
      </c>
      <c r="E30" s="38"/>
      <c r="F30" s="38"/>
    </row>
    <row r="31" spans="2:6" ht="16.5">
      <c r="B31" s="54" t="s">
        <v>148</v>
      </c>
      <c r="C31" s="55">
        <v>4</v>
      </c>
      <c r="D31" s="56">
        <v>9.3240093240089996E-3</v>
      </c>
      <c r="E31" s="38"/>
      <c r="F31" s="38"/>
    </row>
    <row r="32" spans="2:6" ht="16.5">
      <c r="B32" s="54" t="s">
        <v>149</v>
      </c>
      <c r="C32" s="55">
        <v>4</v>
      </c>
      <c r="D32" s="56">
        <v>9.3240093240089996E-3</v>
      </c>
      <c r="E32" s="38"/>
      <c r="F32" s="38"/>
    </row>
    <row r="33" spans="2:6" ht="16.5">
      <c r="B33" s="54" t="s">
        <v>150</v>
      </c>
      <c r="C33" s="55">
        <v>4</v>
      </c>
      <c r="D33" s="56">
        <v>9.3240093240089996E-3</v>
      </c>
      <c r="E33" s="38"/>
      <c r="F33" s="38"/>
    </row>
    <row r="34" spans="2:6" ht="16.5">
      <c r="B34" s="54" t="s">
        <v>151</v>
      </c>
      <c r="C34" s="55">
        <v>4</v>
      </c>
      <c r="D34" s="56">
        <v>9.3240093240089996E-3</v>
      </c>
      <c r="E34" s="38"/>
      <c r="F34" s="38"/>
    </row>
    <row r="35" spans="2:6" ht="16.5">
      <c r="B35" s="54" t="s">
        <v>152</v>
      </c>
      <c r="C35" s="55">
        <v>3</v>
      </c>
      <c r="D35" s="56">
        <v>6.9930069930069999E-3</v>
      </c>
      <c r="E35" s="38"/>
      <c r="F35" s="38"/>
    </row>
    <row r="36" spans="2:6" ht="16.5">
      <c r="B36" s="54" t="s">
        <v>153</v>
      </c>
      <c r="C36" s="55">
        <v>3</v>
      </c>
      <c r="D36" s="56">
        <v>6.9930069930069999E-3</v>
      </c>
      <c r="E36" s="38"/>
      <c r="F36" s="38"/>
    </row>
    <row r="37" spans="2:6" ht="16.5">
      <c r="B37" s="54" t="s">
        <v>46</v>
      </c>
      <c r="C37" s="55">
        <v>3</v>
      </c>
      <c r="D37" s="56">
        <v>6.9930069930069999E-3</v>
      </c>
      <c r="E37" s="38"/>
      <c r="F37" s="38"/>
    </row>
    <row r="38" spans="2:6" ht="16.5">
      <c r="B38" s="54" t="s">
        <v>154</v>
      </c>
      <c r="C38" s="55">
        <v>2</v>
      </c>
      <c r="D38" s="56">
        <v>4.6620046620050003E-3</v>
      </c>
      <c r="E38" s="38"/>
      <c r="F38" s="38"/>
    </row>
    <row r="39" spans="2:6" ht="16.5">
      <c r="B39" s="54" t="s">
        <v>155</v>
      </c>
      <c r="C39" s="55">
        <v>2</v>
      </c>
      <c r="D39" s="56">
        <v>4.6620046620050003E-3</v>
      </c>
      <c r="E39" s="38"/>
      <c r="F39" s="38"/>
    </row>
    <row r="40" spans="2:6" ht="16.5">
      <c r="B40" s="54" t="s">
        <v>156</v>
      </c>
      <c r="C40" s="55">
        <v>2</v>
      </c>
      <c r="D40" s="56">
        <v>4.6620046620050003E-3</v>
      </c>
      <c r="E40" s="38"/>
      <c r="F40" s="38"/>
    </row>
    <row r="41" spans="2:6" ht="16.5">
      <c r="B41" s="54" t="s">
        <v>157</v>
      </c>
      <c r="C41" s="55">
        <v>2</v>
      </c>
      <c r="D41" s="56">
        <v>4.6620046620050003E-3</v>
      </c>
      <c r="E41" s="38"/>
      <c r="F41" s="38"/>
    </row>
    <row r="42" spans="2:6" ht="16.5">
      <c r="B42" s="54" t="s">
        <v>158</v>
      </c>
      <c r="C42" s="55">
        <v>2</v>
      </c>
      <c r="D42" s="56">
        <v>4.6620046620050003E-3</v>
      </c>
      <c r="E42" s="38"/>
      <c r="F42" s="38"/>
    </row>
    <row r="43" spans="2:6" ht="16.5">
      <c r="B43" s="54" t="s">
        <v>159</v>
      </c>
      <c r="C43" s="55">
        <v>2</v>
      </c>
      <c r="D43" s="56">
        <v>4.6620046620050003E-3</v>
      </c>
      <c r="E43" s="38"/>
      <c r="F43" s="38"/>
    </row>
    <row r="44" spans="2:6" ht="16.5">
      <c r="B44" s="54" t="s">
        <v>160</v>
      </c>
      <c r="C44" s="55">
        <v>1</v>
      </c>
      <c r="D44" s="56">
        <v>2.3310023310020001E-3</v>
      </c>
      <c r="E44" s="38"/>
      <c r="F44" s="38"/>
    </row>
    <row r="45" spans="2:6" ht="16.5">
      <c r="B45" s="54" t="s">
        <v>161</v>
      </c>
      <c r="C45" s="55">
        <v>1</v>
      </c>
      <c r="D45" s="56">
        <v>2.3310023310020001E-3</v>
      </c>
      <c r="E45" s="38"/>
      <c r="F45" s="38"/>
    </row>
    <row r="46" spans="2:6" ht="16.5">
      <c r="B46" s="54" t="s">
        <v>162</v>
      </c>
      <c r="C46" s="55">
        <v>1</v>
      </c>
      <c r="D46" s="56">
        <v>2.3310023310020001E-3</v>
      </c>
      <c r="E46" s="38"/>
      <c r="F46" s="38"/>
    </row>
    <row r="47" spans="2:6" ht="16.5">
      <c r="B47" s="57" t="s">
        <v>210</v>
      </c>
      <c r="C47" s="58">
        <v>429</v>
      </c>
      <c r="D47" s="59">
        <v>1</v>
      </c>
      <c r="E47" s="38"/>
      <c r="F47" s="38"/>
    </row>
    <row r="48" spans="2:6" ht="16.5">
      <c r="B48" s="39"/>
      <c r="C48" s="40"/>
      <c r="D48" s="38"/>
      <c r="E48" s="38"/>
      <c r="F48" s="38"/>
    </row>
    <row r="49" spans="2:6" ht="16.5">
      <c r="B49" s="39" t="s">
        <v>120</v>
      </c>
      <c r="C49" s="40"/>
      <c r="D49" s="38"/>
      <c r="E49" s="38"/>
      <c r="F49" s="38"/>
    </row>
    <row r="50" spans="2:6" ht="16.5">
      <c r="B50" s="41" t="s">
        <v>17</v>
      </c>
      <c r="C50" s="40"/>
      <c r="D50" s="38"/>
      <c r="E50" s="38"/>
      <c r="F50" s="38"/>
    </row>
    <row r="51" spans="2:6" ht="16.5">
      <c r="B51" s="42" t="s">
        <v>45</v>
      </c>
      <c r="C51" s="40"/>
      <c r="D51" s="38"/>
      <c r="E51" s="38"/>
      <c r="F51" s="38"/>
    </row>
    <row r="52" spans="2:6" ht="16.5">
      <c r="B52" s="39" t="s">
        <v>16</v>
      </c>
      <c r="C52" s="40"/>
      <c r="D52" s="38"/>
      <c r="E52" s="38"/>
      <c r="F52" s="38"/>
    </row>
    <row r="53" spans="2:6" ht="16.5">
      <c r="B53" s="39" t="s">
        <v>211</v>
      </c>
      <c r="C53" s="40"/>
      <c r="D53" s="38"/>
      <c r="E53" s="38"/>
      <c r="F53" s="3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5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F65"/>
  <sheetViews>
    <sheetView showGridLines="0" view="pageBreakPreview" zoomScale="115" zoomScaleNormal="100" zoomScaleSheetLayoutView="115" workbookViewId="0">
      <selection activeCell="I1" sqref="I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6" s="17" customFormat="1" ht="15" customHeight="1">
      <c r="C1" s="20"/>
    </row>
    <row r="2" spans="2:6" s="17" customFormat="1" ht="15" customHeight="1">
      <c r="C2" s="20"/>
    </row>
    <row r="3" spans="2:6" s="17" customFormat="1" ht="15" customHeight="1">
      <c r="C3" s="20"/>
    </row>
    <row r="4" spans="2:6" s="17" customFormat="1" ht="30" customHeight="1">
      <c r="C4" s="20"/>
      <c r="D4" s="19"/>
    </row>
    <row r="5" spans="2:6" s="17" customFormat="1" ht="15" customHeight="1">
      <c r="C5" s="20"/>
      <c r="D5" s="19"/>
    </row>
    <row r="6" spans="2:6" s="17" customFormat="1" ht="15" customHeight="1">
      <c r="C6" s="20"/>
      <c r="D6" s="19"/>
    </row>
    <row r="7" spans="2:6" s="17" customFormat="1" ht="15" customHeight="1">
      <c r="B7" s="80" t="s">
        <v>38</v>
      </c>
      <c r="C7" s="80"/>
      <c r="D7" s="80"/>
    </row>
    <row r="8" spans="2:6" s="17" customFormat="1" ht="15" customHeight="1">
      <c r="B8" s="80"/>
      <c r="C8" s="80"/>
      <c r="D8" s="80"/>
    </row>
    <row r="9" spans="2:6" s="17" customFormat="1" ht="33" customHeight="1">
      <c r="B9" s="80"/>
      <c r="C9" s="80"/>
      <c r="D9" s="80"/>
    </row>
    <row r="10" spans="2:6" s="17" customFormat="1" ht="4.5" customHeight="1">
      <c r="B10" s="18"/>
      <c r="C10" s="18"/>
      <c r="D10" s="18"/>
    </row>
    <row r="11" spans="2:6" s="17" customFormat="1" ht="33" customHeight="1">
      <c r="B11" s="34" t="s">
        <v>21</v>
      </c>
      <c r="C11" s="35" t="s">
        <v>19</v>
      </c>
      <c r="D11" s="36" t="s">
        <v>18</v>
      </c>
      <c r="E11" s="37"/>
      <c r="F11" s="37"/>
    </row>
    <row r="12" spans="2:6" ht="16.5">
      <c r="B12" s="60" t="s">
        <v>47</v>
      </c>
      <c r="C12" s="55">
        <v>49</v>
      </c>
      <c r="D12" s="56">
        <v>0.114219114219114</v>
      </c>
      <c r="E12" s="38"/>
      <c r="F12" s="38"/>
    </row>
    <row r="13" spans="2:6" ht="16.5">
      <c r="B13" s="60" t="s">
        <v>54</v>
      </c>
      <c r="C13" s="55">
        <v>29</v>
      </c>
      <c r="D13" s="56">
        <v>6.7599067599068002E-2</v>
      </c>
      <c r="E13" s="38"/>
      <c r="F13" s="38"/>
    </row>
    <row r="14" spans="2:6" ht="16.5">
      <c r="B14" s="60" t="s">
        <v>48</v>
      </c>
      <c r="C14" s="55">
        <v>28</v>
      </c>
      <c r="D14" s="56">
        <v>6.5268065268065001E-2</v>
      </c>
      <c r="E14" s="38"/>
      <c r="F14" s="38"/>
    </row>
    <row r="15" spans="2:6" ht="16.5">
      <c r="B15" s="60" t="s">
        <v>53</v>
      </c>
      <c r="C15" s="55">
        <v>22</v>
      </c>
      <c r="D15" s="56">
        <v>5.1282051282051003E-2</v>
      </c>
      <c r="E15" s="38"/>
      <c r="F15" s="38"/>
    </row>
    <row r="16" spans="2:6" ht="16.5">
      <c r="B16" s="60" t="s">
        <v>50</v>
      </c>
      <c r="C16" s="55">
        <v>20</v>
      </c>
      <c r="D16" s="56">
        <v>4.6620046620046998E-2</v>
      </c>
      <c r="E16" s="38"/>
      <c r="F16" s="38"/>
    </row>
    <row r="17" spans="2:6" ht="16.5">
      <c r="B17" s="60" t="s">
        <v>52</v>
      </c>
      <c r="C17" s="55">
        <v>20</v>
      </c>
      <c r="D17" s="56">
        <v>4.6620046620046998E-2</v>
      </c>
      <c r="E17" s="38"/>
      <c r="F17" s="38"/>
    </row>
    <row r="18" spans="2:6" ht="16.5">
      <c r="B18" s="60" t="s">
        <v>51</v>
      </c>
      <c r="C18" s="55">
        <v>17</v>
      </c>
      <c r="D18" s="56">
        <v>3.9627039627039999E-2</v>
      </c>
      <c r="E18" s="38"/>
      <c r="F18" s="38"/>
    </row>
    <row r="19" spans="2:6" ht="16.5">
      <c r="B19" s="60" t="s">
        <v>59</v>
      </c>
      <c r="C19" s="55">
        <v>17</v>
      </c>
      <c r="D19" s="56">
        <v>3.9627039627039999E-2</v>
      </c>
      <c r="E19" s="38"/>
      <c r="F19" s="38"/>
    </row>
    <row r="20" spans="2:6" ht="16.5">
      <c r="B20" s="60" t="s">
        <v>49</v>
      </c>
      <c r="C20" s="55">
        <v>15</v>
      </c>
      <c r="D20" s="56">
        <v>3.4965034965035002E-2</v>
      </c>
      <c r="E20" s="38"/>
      <c r="F20" s="38"/>
    </row>
    <row r="21" spans="2:6" ht="16.5">
      <c r="B21" s="60" t="s">
        <v>66</v>
      </c>
      <c r="C21" s="55">
        <v>15</v>
      </c>
      <c r="D21" s="56">
        <v>3.4965034965035002E-2</v>
      </c>
      <c r="E21" s="38"/>
      <c r="F21" s="38"/>
    </row>
    <row r="22" spans="2:6" ht="16.5">
      <c r="B22" s="60" t="s">
        <v>63</v>
      </c>
      <c r="C22" s="55">
        <v>14</v>
      </c>
      <c r="D22" s="56">
        <v>3.2634032634033E-2</v>
      </c>
      <c r="E22" s="38"/>
      <c r="F22" s="38"/>
    </row>
    <row r="23" spans="2:6" ht="16.5">
      <c r="B23" s="60" t="s">
        <v>61</v>
      </c>
      <c r="C23" s="55">
        <v>14</v>
      </c>
      <c r="D23" s="56">
        <v>3.2634032634033E-2</v>
      </c>
      <c r="E23" s="38"/>
      <c r="F23" s="38"/>
    </row>
    <row r="24" spans="2:6" ht="16.5">
      <c r="B24" s="60" t="s">
        <v>73</v>
      </c>
      <c r="C24" s="55">
        <v>12</v>
      </c>
      <c r="D24" s="56">
        <v>2.7972027972028E-2</v>
      </c>
      <c r="E24" s="38"/>
      <c r="F24" s="38"/>
    </row>
    <row r="25" spans="2:6" ht="16.5">
      <c r="B25" s="60" t="s">
        <v>80</v>
      </c>
      <c r="C25" s="55">
        <v>11</v>
      </c>
      <c r="D25" s="56">
        <v>2.5641025641026001E-2</v>
      </c>
      <c r="E25" s="38"/>
      <c r="F25" s="38"/>
    </row>
    <row r="26" spans="2:6" ht="16.5">
      <c r="B26" s="60" t="s">
        <v>55</v>
      </c>
      <c r="C26" s="55">
        <v>11</v>
      </c>
      <c r="D26" s="56">
        <v>2.5641025641026001E-2</v>
      </c>
      <c r="E26" s="38"/>
      <c r="F26" s="38"/>
    </row>
    <row r="27" spans="2:6" ht="16.5">
      <c r="B27" s="60" t="s">
        <v>58</v>
      </c>
      <c r="C27" s="55">
        <v>10</v>
      </c>
      <c r="D27" s="56">
        <v>2.3310023310022999E-2</v>
      </c>
      <c r="E27" s="38"/>
      <c r="F27" s="38"/>
    </row>
    <row r="28" spans="2:6" ht="16.5">
      <c r="B28" s="60" t="s">
        <v>64</v>
      </c>
      <c r="C28" s="55">
        <v>8</v>
      </c>
      <c r="D28" s="56">
        <v>1.8648018648018998E-2</v>
      </c>
      <c r="E28" s="38"/>
      <c r="F28" s="38"/>
    </row>
    <row r="29" spans="2:6" ht="16.5">
      <c r="B29" s="60" t="s">
        <v>67</v>
      </c>
      <c r="C29" s="55">
        <v>8</v>
      </c>
      <c r="D29" s="56">
        <v>1.8648018648018998E-2</v>
      </c>
      <c r="E29" s="38"/>
      <c r="F29" s="38"/>
    </row>
    <row r="30" spans="2:6" ht="16.5">
      <c r="B30" s="60" t="s">
        <v>56</v>
      </c>
      <c r="C30" s="55">
        <v>8</v>
      </c>
      <c r="D30" s="56">
        <v>1.8648018648018998E-2</v>
      </c>
      <c r="E30" s="38"/>
      <c r="F30" s="38"/>
    </row>
    <row r="31" spans="2:6" ht="16.5">
      <c r="B31" s="60" t="s">
        <v>77</v>
      </c>
      <c r="C31" s="55">
        <v>8</v>
      </c>
      <c r="D31" s="56">
        <v>1.8648018648018998E-2</v>
      </c>
      <c r="E31" s="38"/>
      <c r="F31" s="38"/>
    </row>
    <row r="32" spans="2:6" ht="16.5">
      <c r="B32" s="60" t="s">
        <v>62</v>
      </c>
      <c r="C32" s="55">
        <v>7</v>
      </c>
      <c r="D32" s="56">
        <v>1.6317016317016E-2</v>
      </c>
      <c r="E32" s="38"/>
      <c r="F32" s="38"/>
    </row>
    <row r="33" spans="2:6" ht="16.5">
      <c r="B33" s="60" t="s">
        <v>65</v>
      </c>
      <c r="C33" s="55">
        <v>7</v>
      </c>
      <c r="D33" s="56">
        <v>1.6317016317016E-2</v>
      </c>
      <c r="E33" s="38"/>
      <c r="F33" s="38"/>
    </row>
    <row r="34" spans="2:6" ht="16.5">
      <c r="B34" s="60" t="s">
        <v>69</v>
      </c>
      <c r="C34" s="55">
        <v>7</v>
      </c>
      <c r="D34" s="56">
        <v>1.6317016317016E-2</v>
      </c>
      <c r="E34" s="38"/>
      <c r="F34" s="38"/>
    </row>
    <row r="35" spans="2:6" ht="16.5">
      <c r="B35" s="60" t="s">
        <v>76</v>
      </c>
      <c r="C35" s="55">
        <v>7</v>
      </c>
      <c r="D35" s="56">
        <v>1.6317016317016E-2</v>
      </c>
      <c r="E35" s="38"/>
      <c r="F35" s="38"/>
    </row>
    <row r="36" spans="2:6" ht="16.5">
      <c r="B36" s="60" t="s">
        <v>78</v>
      </c>
      <c r="C36" s="55">
        <v>7</v>
      </c>
      <c r="D36" s="56">
        <v>1.6317016317016E-2</v>
      </c>
      <c r="E36" s="38"/>
      <c r="F36" s="38"/>
    </row>
    <row r="37" spans="2:6" ht="16.5">
      <c r="B37" s="60" t="s">
        <v>68</v>
      </c>
      <c r="C37" s="55">
        <v>6</v>
      </c>
      <c r="D37" s="56">
        <v>1.3986013986014E-2</v>
      </c>
      <c r="E37" s="38"/>
      <c r="F37" s="38"/>
    </row>
    <row r="38" spans="2:6" ht="16.5">
      <c r="B38" s="60" t="s">
        <v>60</v>
      </c>
      <c r="C38" s="55">
        <v>6</v>
      </c>
      <c r="D38" s="56">
        <v>1.3986013986014E-2</v>
      </c>
      <c r="E38" s="38"/>
      <c r="F38" s="38"/>
    </row>
    <row r="39" spans="2:6" ht="16.5">
      <c r="B39" s="60" t="s">
        <v>119</v>
      </c>
      <c r="C39" s="55">
        <v>4</v>
      </c>
      <c r="D39" s="56">
        <v>9.3240093240089996E-3</v>
      </c>
      <c r="E39" s="38"/>
      <c r="F39" s="38"/>
    </row>
    <row r="40" spans="2:6" ht="16.5">
      <c r="B40" s="60" t="s">
        <v>57</v>
      </c>
      <c r="C40" s="55">
        <v>4</v>
      </c>
      <c r="D40" s="56">
        <v>9.3240093240089996E-3</v>
      </c>
      <c r="E40" s="38"/>
      <c r="F40" s="38"/>
    </row>
    <row r="41" spans="2:6" ht="16.5">
      <c r="B41" s="60" t="s">
        <v>86</v>
      </c>
      <c r="C41" s="55">
        <v>4</v>
      </c>
      <c r="D41" s="56">
        <v>9.3240093240089996E-3</v>
      </c>
      <c r="E41" s="38"/>
      <c r="F41" s="38"/>
    </row>
    <row r="42" spans="2:6" ht="16.5">
      <c r="B42" s="60" t="s">
        <v>87</v>
      </c>
      <c r="C42" s="55">
        <v>4</v>
      </c>
      <c r="D42" s="56">
        <v>9.3240093240089996E-3</v>
      </c>
      <c r="E42" s="38"/>
      <c r="F42" s="38"/>
    </row>
    <row r="43" spans="2:6" ht="16.5">
      <c r="B43" s="60" t="s">
        <v>74</v>
      </c>
      <c r="C43" s="55">
        <v>4</v>
      </c>
      <c r="D43" s="56">
        <v>9.3240093240089996E-3</v>
      </c>
      <c r="E43" s="38"/>
      <c r="F43" s="38"/>
    </row>
    <row r="44" spans="2:6" ht="16.5">
      <c r="B44" s="60" t="s">
        <v>46</v>
      </c>
      <c r="C44" s="55">
        <v>4</v>
      </c>
      <c r="D44" s="56">
        <v>9.3240093240089996E-3</v>
      </c>
      <c r="E44" s="38"/>
      <c r="F44" s="38"/>
    </row>
    <row r="45" spans="2:6" ht="16.5">
      <c r="B45" s="60" t="s">
        <v>88</v>
      </c>
      <c r="C45" s="55">
        <v>3</v>
      </c>
      <c r="D45" s="56">
        <v>6.9930069930069999E-3</v>
      </c>
      <c r="E45" s="38"/>
      <c r="F45" s="38"/>
    </row>
    <row r="46" spans="2:6" ht="16.5">
      <c r="B46" s="60" t="s">
        <v>75</v>
      </c>
      <c r="C46" s="55">
        <v>2</v>
      </c>
      <c r="D46" s="56">
        <v>4.6620046620050003E-3</v>
      </c>
      <c r="E46" s="38"/>
      <c r="F46" s="38"/>
    </row>
    <row r="47" spans="2:6" ht="16.5">
      <c r="B47" s="60" t="s">
        <v>79</v>
      </c>
      <c r="C47" s="55">
        <v>2</v>
      </c>
      <c r="D47" s="56">
        <v>4.6620046620050003E-3</v>
      </c>
      <c r="E47" s="38"/>
      <c r="F47" s="38"/>
    </row>
    <row r="48" spans="2:6" ht="16.5">
      <c r="B48" s="60" t="s">
        <v>82</v>
      </c>
      <c r="C48" s="55">
        <v>2</v>
      </c>
      <c r="D48" s="56">
        <v>4.6620046620050003E-3</v>
      </c>
      <c r="E48" s="38"/>
      <c r="F48" s="38"/>
    </row>
    <row r="49" spans="2:6" ht="16.5">
      <c r="B49" s="60" t="s">
        <v>83</v>
      </c>
      <c r="C49" s="55">
        <v>2</v>
      </c>
      <c r="D49" s="56">
        <v>4.6620046620050003E-3</v>
      </c>
      <c r="E49" s="38"/>
      <c r="F49" s="38"/>
    </row>
    <row r="50" spans="2:6" ht="16.5">
      <c r="B50" s="60" t="s">
        <v>71</v>
      </c>
      <c r="C50" s="55">
        <v>2</v>
      </c>
      <c r="D50" s="56">
        <v>4.6620046620050003E-3</v>
      </c>
      <c r="E50" s="38"/>
      <c r="F50" s="38"/>
    </row>
    <row r="51" spans="2:6" ht="16.5">
      <c r="B51" s="60" t="s">
        <v>72</v>
      </c>
      <c r="C51" s="55">
        <v>2</v>
      </c>
      <c r="D51" s="56">
        <v>4.6620046620050003E-3</v>
      </c>
      <c r="E51" s="38"/>
      <c r="F51" s="38"/>
    </row>
    <row r="52" spans="2:6" ht="16.5">
      <c r="B52" s="60" t="s">
        <v>85</v>
      </c>
      <c r="C52" s="55">
        <v>2</v>
      </c>
      <c r="D52" s="56">
        <v>4.6620046620050003E-3</v>
      </c>
      <c r="E52" s="38"/>
      <c r="F52" s="38"/>
    </row>
    <row r="53" spans="2:6" ht="16.5">
      <c r="B53" s="60" t="s">
        <v>70</v>
      </c>
      <c r="C53" s="55">
        <v>2</v>
      </c>
      <c r="D53" s="56">
        <v>4.6620046620050003E-3</v>
      </c>
      <c r="E53" s="38"/>
      <c r="F53" s="38"/>
    </row>
    <row r="54" spans="2:6" ht="16.5">
      <c r="B54" s="60" t="s">
        <v>81</v>
      </c>
      <c r="C54" s="55">
        <v>1</v>
      </c>
      <c r="D54" s="56">
        <v>2.3310023310020001E-3</v>
      </c>
      <c r="E54" s="38"/>
      <c r="F54" s="38"/>
    </row>
    <row r="55" spans="2:6" ht="16.5">
      <c r="B55" s="60" t="s">
        <v>84</v>
      </c>
      <c r="C55" s="55">
        <v>1</v>
      </c>
      <c r="D55" s="56">
        <v>2.3310023310020001E-3</v>
      </c>
      <c r="E55" s="38"/>
      <c r="F55" s="38"/>
    </row>
    <row r="56" spans="2:6" ht="16.5">
      <c r="B56" s="60" t="s">
        <v>89</v>
      </c>
      <c r="C56" s="55">
        <v>1</v>
      </c>
      <c r="D56" s="56">
        <v>2.3310023310020001E-3</v>
      </c>
      <c r="E56" s="38"/>
      <c r="F56" s="38"/>
    </row>
    <row r="57" spans="2:6" ht="16.5">
      <c r="B57" s="61" t="s">
        <v>212</v>
      </c>
      <c r="C57" s="58">
        <v>429</v>
      </c>
      <c r="D57" s="59">
        <v>1</v>
      </c>
      <c r="E57" s="38"/>
      <c r="F57" s="38"/>
    </row>
    <row r="58" spans="2:6" ht="16.5">
      <c r="B58" s="39"/>
      <c r="C58" s="40"/>
      <c r="D58" s="38"/>
      <c r="E58" s="38"/>
      <c r="F58" s="38"/>
    </row>
    <row r="59" spans="2:6" ht="16.5">
      <c r="B59" s="39" t="s">
        <v>120</v>
      </c>
      <c r="C59" s="40"/>
      <c r="D59" s="38"/>
      <c r="E59" s="38"/>
      <c r="F59" s="38"/>
    </row>
    <row r="60" spans="2:6" ht="16.5">
      <c r="B60" s="41" t="s">
        <v>17</v>
      </c>
      <c r="C60" s="40"/>
      <c r="D60" s="38"/>
      <c r="E60" s="38"/>
      <c r="F60" s="38"/>
    </row>
    <row r="61" spans="2:6" ht="11.25" customHeight="1">
      <c r="B61" s="42" t="s">
        <v>45</v>
      </c>
      <c r="C61" s="40"/>
      <c r="D61" s="38"/>
      <c r="E61" s="38"/>
      <c r="F61" s="38"/>
    </row>
    <row r="62" spans="2:6" ht="16.5">
      <c r="B62" s="39" t="s">
        <v>16</v>
      </c>
      <c r="C62" s="40"/>
      <c r="D62" s="38"/>
      <c r="E62" s="38"/>
      <c r="F62" s="38"/>
    </row>
    <row r="63" spans="2:6" ht="16.5">
      <c r="B63" s="39" t="s">
        <v>211</v>
      </c>
      <c r="C63" s="40"/>
      <c r="D63" s="38"/>
      <c r="E63" s="38"/>
      <c r="F63" s="38"/>
    </row>
    <row r="64" spans="2:6">
      <c r="C64" s="13"/>
    </row>
    <row r="65" spans="3:3">
      <c r="C6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30"/>
  <sheetViews>
    <sheetView showGridLines="0" view="pageBreakPreview" zoomScale="115" zoomScaleNormal="100" zoomScaleSheetLayoutView="115" workbookViewId="0">
      <selection activeCell="D17" sqref="D17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8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B7" s="80" t="s">
        <v>42</v>
      </c>
      <c r="C7" s="80"/>
      <c r="D7" s="80"/>
    </row>
    <row r="8" spans="1:6" s="17" customFormat="1" ht="15" customHeight="1">
      <c r="B8" s="80"/>
      <c r="C8" s="80"/>
      <c r="D8" s="80"/>
    </row>
    <row r="9" spans="1:6" s="17" customFormat="1" ht="33" customHeight="1">
      <c r="B9" s="80"/>
      <c r="C9" s="80"/>
      <c r="D9" s="80"/>
    </row>
    <row r="10" spans="1:6" s="17" customFormat="1" ht="4.5" customHeight="1">
      <c r="B10" s="18"/>
      <c r="C10" s="18"/>
      <c r="D10" s="18"/>
    </row>
    <row r="11" spans="1:6" s="17" customFormat="1" ht="33" customHeight="1">
      <c r="B11" s="34" t="s">
        <v>21</v>
      </c>
      <c r="C11" s="35" t="s">
        <v>19</v>
      </c>
      <c r="D11" s="36" t="s">
        <v>18</v>
      </c>
      <c r="E11" s="37"/>
      <c r="F11" s="37"/>
    </row>
    <row r="12" spans="1:6" ht="15" customHeight="1">
      <c r="B12" s="60" t="s">
        <v>47</v>
      </c>
      <c r="C12" s="55">
        <v>49</v>
      </c>
      <c r="D12" s="56">
        <f>C12/$C$22</f>
        <v>0.21120689655172414</v>
      </c>
      <c r="E12" s="38"/>
      <c r="F12" s="38"/>
    </row>
    <row r="13" spans="1:6" ht="16.5">
      <c r="B13" s="60" t="s">
        <v>54</v>
      </c>
      <c r="C13" s="55">
        <v>29</v>
      </c>
      <c r="D13" s="56">
        <f t="shared" ref="D13:D21" si="0">C13/$C$22</f>
        <v>0.125</v>
      </c>
      <c r="E13" s="38"/>
      <c r="F13" s="38"/>
    </row>
    <row r="14" spans="1:6" s="16" customFormat="1" ht="16.5">
      <c r="A14" s="13"/>
      <c r="B14" s="60" t="s">
        <v>48</v>
      </c>
      <c r="C14" s="55">
        <v>28</v>
      </c>
      <c r="D14" s="56">
        <f t="shared" si="0"/>
        <v>0.1206896551724138</v>
      </c>
      <c r="E14" s="38"/>
      <c r="F14" s="38"/>
    </row>
    <row r="15" spans="1:6" s="16" customFormat="1" ht="16.5">
      <c r="A15" s="13"/>
      <c r="B15" s="60" t="s">
        <v>53</v>
      </c>
      <c r="C15" s="55">
        <v>22</v>
      </c>
      <c r="D15" s="56">
        <f t="shared" si="0"/>
        <v>9.4827586206896547E-2</v>
      </c>
      <c r="E15" s="38"/>
      <c r="F15" s="38"/>
    </row>
    <row r="16" spans="1:6" ht="16.5">
      <c r="B16" s="60" t="s">
        <v>50</v>
      </c>
      <c r="C16" s="55">
        <v>20</v>
      </c>
      <c r="D16" s="56">
        <f t="shared" si="0"/>
        <v>8.6206896551724144E-2</v>
      </c>
      <c r="E16" s="38"/>
      <c r="F16" s="38"/>
    </row>
    <row r="17" spans="2:6" ht="16.5">
      <c r="B17" s="60" t="s">
        <v>52</v>
      </c>
      <c r="C17" s="55">
        <v>20</v>
      </c>
      <c r="D17" s="56">
        <f t="shared" si="0"/>
        <v>8.6206896551724144E-2</v>
      </c>
      <c r="E17" s="38"/>
      <c r="F17" s="38"/>
    </row>
    <row r="18" spans="2:6" ht="16.5">
      <c r="B18" s="60" t="s">
        <v>51</v>
      </c>
      <c r="C18" s="55">
        <v>17</v>
      </c>
      <c r="D18" s="56">
        <f t="shared" si="0"/>
        <v>7.3275862068965511E-2</v>
      </c>
      <c r="E18" s="38"/>
      <c r="F18" s="38"/>
    </row>
    <row r="19" spans="2:6" ht="16.5">
      <c r="B19" s="60" t="s">
        <v>59</v>
      </c>
      <c r="C19" s="55">
        <v>17</v>
      </c>
      <c r="D19" s="56">
        <f t="shared" si="0"/>
        <v>7.3275862068965511E-2</v>
      </c>
      <c r="E19" s="38"/>
      <c r="F19" s="38"/>
    </row>
    <row r="20" spans="2:6" ht="16.5">
      <c r="B20" s="60" t="s">
        <v>49</v>
      </c>
      <c r="C20" s="55">
        <v>15</v>
      </c>
      <c r="D20" s="56">
        <f t="shared" si="0"/>
        <v>6.4655172413793108E-2</v>
      </c>
      <c r="E20" s="38"/>
      <c r="F20" s="38"/>
    </row>
    <row r="21" spans="2:6" ht="16.5">
      <c r="B21" s="60" t="s">
        <v>66</v>
      </c>
      <c r="C21" s="55">
        <v>15</v>
      </c>
      <c r="D21" s="56">
        <f t="shared" si="0"/>
        <v>6.4655172413793108E-2</v>
      </c>
      <c r="E21" s="38"/>
      <c r="F21" s="38"/>
    </row>
    <row r="22" spans="2:6" ht="16.5">
      <c r="B22" s="63" t="s">
        <v>43</v>
      </c>
      <c r="C22" s="64">
        <f>SUM(C12:C21)</f>
        <v>232</v>
      </c>
      <c r="D22" s="65">
        <f t="shared" ref="D22" si="1">C22/$C$22</f>
        <v>1</v>
      </c>
      <c r="E22" s="38"/>
      <c r="F22" s="38"/>
    </row>
    <row r="23" spans="2:6" ht="16.5">
      <c r="B23" s="44" t="s">
        <v>44</v>
      </c>
      <c r="C23" s="43">
        <v>429</v>
      </c>
      <c r="D23" s="62"/>
      <c r="E23" s="38"/>
      <c r="F23" s="38"/>
    </row>
    <row r="24" spans="2:6" ht="16.5">
      <c r="B24" s="39"/>
      <c r="C24" s="38"/>
      <c r="D24" s="38"/>
      <c r="E24" s="38"/>
      <c r="F24" s="38"/>
    </row>
    <row r="25" spans="2:6" ht="16.5">
      <c r="B25" s="39" t="s">
        <v>120</v>
      </c>
      <c r="C25" s="40"/>
      <c r="D25" s="38"/>
      <c r="E25" s="38"/>
      <c r="F25" s="38"/>
    </row>
    <row r="26" spans="2:6" ht="16.5">
      <c r="B26" s="41" t="s">
        <v>17</v>
      </c>
      <c r="C26" s="40"/>
      <c r="D26" s="38"/>
      <c r="E26" s="38"/>
      <c r="F26" s="38"/>
    </row>
    <row r="27" spans="2:6" ht="16.5">
      <c r="B27" s="42" t="s">
        <v>45</v>
      </c>
      <c r="C27" s="40"/>
      <c r="D27" s="38"/>
      <c r="E27" s="38"/>
      <c r="F27" s="38"/>
    </row>
    <row r="28" spans="2:6" ht="16.5">
      <c r="B28" s="39" t="s">
        <v>16</v>
      </c>
      <c r="C28" s="40"/>
      <c r="D28" s="38"/>
      <c r="E28" s="38"/>
      <c r="F28" s="38"/>
    </row>
    <row r="29" spans="2:6" ht="16.5">
      <c r="B29" s="39" t="s">
        <v>211</v>
      </c>
      <c r="C29" s="40"/>
      <c r="D29" s="38"/>
      <c r="E29" s="38"/>
      <c r="F29" s="38"/>
    </row>
    <row r="30" spans="2:6">
      <c r="C3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24"/>
  <sheetViews>
    <sheetView showGridLines="0" view="pageBreakPreview" zoomScale="130" zoomScaleNormal="100" zoomScaleSheetLayoutView="130" workbookViewId="0">
      <selection activeCell="D15" sqref="D1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B7" s="80" t="s">
        <v>37</v>
      </c>
      <c r="C7" s="80"/>
      <c r="D7" s="80"/>
    </row>
    <row r="8" spans="1:6" s="17" customFormat="1" ht="15" customHeight="1">
      <c r="B8" s="80"/>
      <c r="C8" s="80"/>
      <c r="D8" s="80"/>
    </row>
    <row r="9" spans="1:6" s="17" customFormat="1" ht="33" customHeight="1">
      <c r="B9" s="80"/>
      <c r="C9" s="80"/>
      <c r="D9" s="80"/>
    </row>
    <row r="10" spans="1:6" s="17" customFormat="1" ht="4.5" customHeight="1">
      <c r="B10" s="18"/>
      <c r="C10" s="18"/>
      <c r="D10" s="18"/>
    </row>
    <row r="11" spans="1:6" s="17" customFormat="1" ht="33" customHeight="1">
      <c r="A11" s="37"/>
      <c r="B11" s="34" t="s">
        <v>22</v>
      </c>
      <c r="C11" s="35" t="s">
        <v>19</v>
      </c>
      <c r="D11" s="36" t="s">
        <v>18</v>
      </c>
      <c r="E11" s="37"/>
      <c r="F11" s="37"/>
    </row>
    <row r="12" spans="1:6" ht="16.5">
      <c r="A12" s="38"/>
      <c r="B12" s="54" t="s">
        <v>163</v>
      </c>
      <c r="C12" s="55">
        <v>153</v>
      </c>
      <c r="D12" s="56">
        <v>0.356643356643357</v>
      </c>
      <c r="E12" s="38"/>
      <c r="F12" s="38"/>
    </row>
    <row r="13" spans="1:6" ht="16.5">
      <c r="A13" s="38"/>
      <c r="B13" s="54" t="s">
        <v>164</v>
      </c>
      <c r="C13" s="55">
        <v>148</v>
      </c>
      <c r="D13" s="56">
        <v>0.34498834498834502</v>
      </c>
      <c r="E13" s="38"/>
      <c r="F13" s="38"/>
    </row>
    <row r="14" spans="1:6" ht="16.5">
      <c r="A14" s="38"/>
      <c r="B14" s="54" t="s">
        <v>165</v>
      </c>
      <c r="C14" s="55">
        <v>76</v>
      </c>
      <c r="D14" s="56">
        <v>0.17715617715617701</v>
      </c>
      <c r="E14" s="38"/>
      <c r="F14" s="38"/>
    </row>
    <row r="15" spans="1:6" ht="16.5">
      <c r="A15" s="38"/>
      <c r="B15" s="54" t="s">
        <v>166</v>
      </c>
      <c r="C15" s="55">
        <v>46</v>
      </c>
      <c r="D15" s="56">
        <v>0.107226107226107</v>
      </c>
      <c r="E15" s="38"/>
      <c r="F15" s="38"/>
    </row>
    <row r="16" spans="1:6" ht="16.5">
      <c r="A16" s="38"/>
      <c r="B16" s="54" t="s">
        <v>167</v>
      </c>
      <c r="C16" s="55">
        <v>4</v>
      </c>
      <c r="D16" s="56">
        <v>9.3240093240089996E-3</v>
      </c>
      <c r="E16" s="38"/>
      <c r="F16" s="38"/>
    </row>
    <row r="17" spans="1:6" ht="16.5">
      <c r="A17" s="38"/>
      <c r="B17" s="54" t="s">
        <v>168</v>
      </c>
      <c r="C17" s="55">
        <v>2</v>
      </c>
      <c r="D17" s="56">
        <v>4.6620046620050003E-3</v>
      </c>
      <c r="E17" s="38"/>
      <c r="F17" s="38"/>
    </row>
    <row r="18" spans="1:6" ht="16.5">
      <c r="A18" s="38"/>
      <c r="B18" s="57" t="s">
        <v>210</v>
      </c>
      <c r="C18" s="58">
        <v>429</v>
      </c>
      <c r="D18" s="59">
        <v>1</v>
      </c>
      <c r="E18" s="38"/>
      <c r="F18" s="38"/>
    </row>
    <row r="19" spans="1:6" ht="16.5">
      <c r="A19" s="39"/>
      <c r="C19" s="39"/>
      <c r="D19" s="38"/>
      <c r="E19" s="38"/>
      <c r="F19" s="38"/>
    </row>
    <row r="20" spans="1:6" ht="16.5">
      <c r="A20" s="41"/>
      <c r="B20" s="39" t="s">
        <v>120</v>
      </c>
      <c r="C20" s="41"/>
      <c r="D20" s="38"/>
      <c r="E20" s="38"/>
      <c r="F20" s="38"/>
    </row>
    <row r="21" spans="1:6" ht="16.5">
      <c r="A21" s="42"/>
      <c r="B21" s="41" t="s">
        <v>17</v>
      </c>
      <c r="C21" s="42"/>
      <c r="D21" s="38"/>
      <c r="E21" s="38"/>
      <c r="F21" s="38"/>
    </row>
    <row r="22" spans="1:6" ht="16.5">
      <c r="A22" s="39"/>
      <c r="B22" s="42" t="s">
        <v>45</v>
      </c>
      <c r="C22" s="39"/>
      <c r="D22" s="38"/>
      <c r="E22" s="38"/>
      <c r="F22" s="38"/>
    </row>
    <row r="23" spans="1:6" ht="16.5">
      <c r="A23" s="39"/>
      <c r="B23" s="39" t="s">
        <v>16</v>
      </c>
      <c r="C23" s="39"/>
      <c r="D23" s="38"/>
      <c r="E23" s="38"/>
      <c r="F23" s="38"/>
    </row>
    <row r="24" spans="1:6">
      <c r="B24" s="39" t="s">
        <v>211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48"/>
  <sheetViews>
    <sheetView showGridLines="0" view="pageBreakPreview" zoomScaleNormal="96" zoomScaleSheetLayoutView="100" workbookViewId="0">
      <selection activeCell="G1" sqref="G1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3"/>
      <c r="C7" s="83"/>
      <c r="D7" s="83"/>
      <c r="E7" s="83"/>
    </row>
    <row r="8" spans="1:5" s="24" customFormat="1" ht="33" customHeight="1">
      <c r="A8" s="25"/>
      <c r="B8" s="83"/>
      <c r="C8" s="83"/>
      <c r="D8" s="83"/>
      <c r="E8" s="83"/>
    </row>
    <row r="9" spans="1:5" s="17" customFormat="1" ht="40.5" customHeight="1">
      <c r="A9" s="37"/>
      <c r="B9" s="45" t="s">
        <v>24</v>
      </c>
      <c r="C9" s="46" t="s">
        <v>23</v>
      </c>
      <c r="D9" s="47" t="s">
        <v>19</v>
      </c>
      <c r="E9" s="45" t="s">
        <v>18</v>
      </c>
    </row>
    <row r="10" spans="1:5" ht="15" customHeight="1">
      <c r="A10" s="48"/>
      <c r="B10" s="84" t="s">
        <v>129</v>
      </c>
      <c r="C10" s="54" t="s">
        <v>163</v>
      </c>
      <c r="D10" s="55">
        <v>87</v>
      </c>
      <c r="E10" s="56">
        <v>0.20279720279720301</v>
      </c>
    </row>
    <row r="11" spans="1:5" ht="15" customHeight="1">
      <c r="A11" s="48"/>
      <c r="B11" s="85"/>
      <c r="C11" s="54" t="s">
        <v>164</v>
      </c>
      <c r="D11" s="55">
        <v>58</v>
      </c>
      <c r="E11" s="56">
        <v>0.13519813519813501</v>
      </c>
    </row>
    <row r="12" spans="1:5" ht="15" customHeight="1">
      <c r="A12" s="48"/>
      <c r="B12" s="85"/>
      <c r="C12" s="54" t="s">
        <v>165</v>
      </c>
      <c r="D12" s="55">
        <v>31</v>
      </c>
      <c r="E12" s="56">
        <v>7.2261072261072007E-2</v>
      </c>
    </row>
    <row r="13" spans="1:5" ht="15" customHeight="1">
      <c r="A13" s="48"/>
      <c r="B13" s="85"/>
      <c r="C13" s="54" t="s">
        <v>166</v>
      </c>
      <c r="D13" s="55">
        <v>11</v>
      </c>
      <c r="E13" s="56">
        <v>2.5641025641026001E-2</v>
      </c>
    </row>
    <row r="14" spans="1:5" ht="15" customHeight="1">
      <c r="A14" s="48"/>
      <c r="B14" s="85"/>
      <c r="C14" s="54" t="s">
        <v>167</v>
      </c>
      <c r="D14" s="55">
        <v>2</v>
      </c>
      <c r="E14" s="56">
        <v>4.6620046620050003E-3</v>
      </c>
    </row>
    <row r="15" spans="1:5" ht="15" customHeight="1">
      <c r="A15" s="48"/>
      <c r="B15" s="85"/>
      <c r="C15" s="54" t="s">
        <v>168</v>
      </c>
      <c r="D15" s="55">
        <v>1</v>
      </c>
      <c r="E15" s="56">
        <v>2.3310023310020001E-3</v>
      </c>
    </row>
    <row r="16" spans="1:5" ht="15" customHeight="1">
      <c r="A16" s="48"/>
      <c r="B16" s="86"/>
      <c r="C16" s="67" t="s">
        <v>210</v>
      </c>
      <c r="D16" s="66">
        <v>190</v>
      </c>
      <c r="E16" s="68">
        <v>0.44289044289044299</v>
      </c>
    </row>
    <row r="17" spans="1:5" ht="15" customHeight="1">
      <c r="A17" s="48"/>
      <c r="B17" s="84" t="s">
        <v>130</v>
      </c>
      <c r="C17" s="54" t="s">
        <v>164</v>
      </c>
      <c r="D17" s="55">
        <v>21</v>
      </c>
      <c r="E17" s="56">
        <v>4.8951048951049E-2</v>
      </c>
    </row>
    <row r="18" spans="1:5" ht="15" customHeight="1">
      <c r="A18" s="48"/>
      <c r="B18" s="85"/>
      <c r="C18" s="54" t="s">
        <v>163</v>
      </c>
      <c r="D18" s="55">
        <v>17</v>
      </c>
      <c r="E18" s="56">
        <v>3.9627039627039999E-2</v>
      </c>
    </row>
    <row r="19" spans="1:5" ht="15" customHeight="1">
      <c r="A19" s="48"/>
      <c r="B19" s="85"/>
      <c r="C19" s="54" t="s">
        <v>166</v>
      </c>
      <c r="D19" s="55">
        <v>2</v>
      </c>
      <c r="E19" s="56">
        <v>4.6620046620050003E-3</v>
      </c>
    </row>
    <row r="20" spans="1:5" ht="15" customHeight="1">
      <c r="A20" s="48"/>
      <c r="B20" s="85"/>
      <c r="C20" s="54" t="s">
        <v>165</v>
      </c>
      <c r="D20" s="55">
        <v>2</v>
      </c>
      <c r="E20" s="56">
        <v>4.6620046620050003E-3</v>
      </c>
    </row>
    <row r="21" spans="1:5" ht="15" customHeight="1">
      <c r="A21" s="48"/>
      <c r="B21" s="86"/>
      <c r="C21" s="67" t="s">
        <v>210</v>
      </c>
      <c r="D21" s="66">
        <v>42</v>
      </c>
      <c r="E21" s="68">
        <v>9.7902097902098001E-2</v>
      </c>
    </row>
    <row r="22" spans="1:5" ht="15" customHeight="1">
      <c r="A22" s="48"/>
      <c r="B22" s="84" t="s">
        <v>131</v>
      </c>
      <c r="C22" s="54" t="s">
        <v>164</v>
      </c>
      <c r="D22" s="55">
        <v>8</v>
      </c>
      <c r="E22" s="56">
        <v>1.8648018648018998E-2</v>
      </c>
    </row>
    <row r="23" spans="1:5" ht="15" customHeight="1">
      <c r="A23" s="48"/>
      <c r="B23" s="85"/>
      <c r="C23" s="54" t="s">
        <v>166</v>
      </c>
      <c r="D23" s="55">
        <v>7</v>
      </c>
      <c r="E23" s="56">
        <v>1.6317016317016E-2</v>
      </c>
    </row>
    <row r="24" spans="1:5" ht="15" customHeight="1">
      <c r="A24" s="48"/>
      <c r="B24" s="85"/>
      <c r="C24" s="54" t="s">
        <v>163</v>
      </c>
      <c r="D24" s="55">
        <v>4</v>
      </c>
      <c r="E24" s="56">
        <v>9.3240093240089996E-3</v>
      </c>
    </row>
    <row r="25" spans="1:5" ht="15" customHeight="1">
      <c r="A25" s="48"/>
      <c r="B25" s="86"/>
      <c r="C25" s="67" t="s">
        <v>210</v>
      </c>
      <c r="D25" s="66">
        <v>19</v>
      </c>
      <c r="E25" s="68">
        <v>4.4289044289043997E-2</v>
      </c>
    </row>
    <row r="26" spans="1:5" ht="15" customHeight="1">
      <c r="A26" s="48"/>
      <c r="B26" s="84" t="s">
        <v>132</v>
      </c>
      <c r="C26" s="54" t="s">
        <v>164</v>
      </c>
      <c r="D26" s="55">
        <v>6</v>
      </c>
      <c r="E26" s="56">
        <v>1.3986013986014E-2</v>
      </c>
    </row>
    <row r="27" spans="1:5" ht="15" customHeight="1">
      <c r="A27" s="48"/>
      <c r="B27" s="85"/>
      <c r="C27" s="54" t="s">
        <v>163</v>
      </c>
      <c r="D27" s="55">
        <v>4</v>
      </c>
      <c r="E27" s="56">
        <v>9.3240093240089996E-3</v>
      </c>
    </row>
    <row r="28" spans="1:5" ht="15" customHeight="1">
      <c r="A28" s="48"/>
      <c r="B28" s="85"/>
      <c r="C28" s="54" t="s">
        <v>165</v>
      </c>
      <c r="D28" s="55">
        <v>4</v>
      </c>
      <c r="E28" s="56">
        <v>9.3240093240089996E-3</v>
      </c>
    </row>
    <row r="29" spans="1:5" ht="15" customHeight="1">
      <c r="A29" s="48"/>
      <c r="B29" s="85"/>
      <c r="C29" s="54" t="s">
        <v>167</v>
      </c>
      <c r="D29" s="55">
        <v>1</v>
      </c>
      <c r="E29" s="56">
        <v>2.3310023310020001E-3</v>
      </c>
    </row>
    <row r="30" spans="1:5" ht="15" customHeight="1">
      <c r="A30" s="48"/>
      <c r="B30" s="86"/>
      <c r="C30" s="67" t="s">
        <v>210</v>
      </c>
      <c r="D30" s="66">
        <v>15</v>
      </c>
      <c r="E30" s="68">
        <v>3.4965034965035002E-2</v>
      </c>
    </row>
    <row r="31" spans="1:5" ht="15" customHeight="1">
      <c r="A31" s="48"/>
      <c r="B31" s="84" t="s">
        <v>133</v>
      </c>
      <c r="C31" s="54" t="s">
        <v>164</v>
      </c>
      <c r="D31" s="55">
        <v>5</v>
      </c>
      <c r="E31" s="56">
        <v>1.1655011655011999E-2</v>
      </c>
    </row>
    <row r="32" spans="1:5" ht="15" customHeight="1">
      <c r="A32" s="48"/>
      <c r="B32" s="85"/>
      <c r="C32" s="54" t="s">
        <v>166</v>
      </c>
      <c r="D32" s="55">
        <v>5</v>
      </c>
      <c r="E32" s="56">
        <v>1.1655011655011999E-2</v>
      </c>
    </row>
    <row r="33" spans="1:5" ht="15" customHeight="1">
      <c r="A33" s="48"/>
      <c r="B33" s="85"/>
      <c r="C33" s="54" t="s">
        <v>163</v>
      </c>
      <c r="D33" s="55">
        <v>4</v>
      </c>
      <c r="E33" s="56">
        <v>9.3240093240089996E-3</v>
      </c>
    </row>
    <row r="34" spans="1:5" ht="15" customHeight="1">
      <c r="A34" s="48"/>
      <c r="B34" s="85"/>
      <c r="C34" s="54" t="s">
        <v>168</v>
      </c>
      <c r="D34" s="55">
        <v>1</v>
      </c>
      <c r="E34" s="56">
        <v>2.3310023310020001E-3</v>
      </c>
    </row>
    <row r="35" spans="1:5" ht="15" customHeight="1">
      <c r="A35" s="48"/>
      <c r="B35" s="86"/>
      <c r="C35" s="67" t="s">
        <v>210</v>
      </c>
      <c r="D35" s="66">
        <v>15</v>
      </c>
      <c r="E35" s="68">
        <v>3.4965034965035002E-2</v>
      </c>
    </row>
    <row r="36" spans="1:5" ht="15" customHeight="1">
      <c r="A36" s="48"/>
      <c r="B36" s="84" t="s">
        <v>134</v>
      </c>
      <c r="C36" s="54" t="s">
        <v>165</v>
      </c>
      <c r="D36" s="55">
        <v>7</v>
      </c>
      <c r="E36" s="56">
        <v>1.6317016317016E-2</v>
      </c>
    </row>
    <row r="37" spans="1:5" ht="15" customHeight="1">
      <c r="A37" s="48"/>
      <c r="B37" s="85"/>
      <c r="C37" s="54" t="s">
        <v>163</v>
      </c>
      <c r="D37" s="55">
        <v>4</v>
      </c>
      <c r="E37" s="56">
        <v>9.3240093240089996E-3</v>
      </c>
    </row>
    <row r="38" spans="1:5" ht="15" customHeight="1">
      <c r="A38" s="48"/>
      <c r="B38" s="85"/>
      <c r="C38" s="54" t="s">
        <v>164</v>
      </c>
      <c r="D38" s="55">
        <v>1</v>
      </c>
      <c r="E38" s="56">
        <v>2.3310023310020001E-3</v>
      </c>
    </row>
    <row r="39" spans="1:5" ht="15" customHeight="1">
      <c r="A39" s="48"/>
      <c r="B39" s="85"/>
      <c r="C39" s="54" t="s">
        <v>166</v>
      </c>
      <c r="D39" s="55">
        <v>1</v>
      </c>
      <c r="E39" s="56">
        <v>2.3310023310020001E-3</v>
      </c>
    </row>
    <row r="40" spans="1:5" ht="15" customHeight="1">
      <c r="A40" s="48"/>
      <c r="B40" s="86"/>
      <c r="C40" s="67" t="s">
        <v>210</v>
      </c>
      <c r="D40" s="66">
        <v>13</v>
      </c>
      <c r="E40" s="68">
        <v>3.0303030303029999E-2</v>
      </c>
    </row>
    <row r="41" spans="1:5" ht="15" customHeight="1">
      <c r="A41" s="48"/>
      <c r="B41" s="84" t="s">
        <v>135</v>
      </c>
      <c r="C41" s="54" t="s">
        <v>163</v>
      </c>
      <c r="D41" s="55">
        <v>6</v>
      </c>
      <c r="E41" s="56">
        <v>1.3986013986014E-2</v>
      </c>
    </row>
    <row r="42" spans="1:5" ht="15" customHeight="1">
      <c r="A42" s="48"/>
      <c r="B42" s="85"/>
      <c r="C42" s="54" t="s">
        <v>164</v>
      </c>
      <c r="D42" s="55">
        <v>3</v>
      </c>
      <c r="E42" s="56">
        <v>6.9930069930069999E-3</v>
      </c>
    </row>
    <row r="43" spans="1:5" ht="15" customHeight="1">
      <c r="A43" s="48"/>
      <c r="B43" s="85"/>
      <c r="C43" s="54" t="s">
        <v>165</v>
      </c>
      <c r="D43" s="55">
        <v>2</v>
      </c>
      <c r="E43" s="56">
        <v>4.6620046620050003E-3</v>
      </c>
    </row>
    <row r="44" spans="1:5" ht="15" customHeight="1">
      <c r="A44" s="48"/>
      <c r="B44" s="85"/>
      <c r="C44" s="54" t="s">
        <v>167</v>
      </c>
      <c r="D44" s="55">
        <v>1</v>
      </c>
      <c r="E44" s="56">
        <v>2.3310023310020001E-3</v>
      </c>
    </row>
    <row r="45" spans="1:5" ht="15" customHeight="1">
      <c r="A45" s="48"/>
      <c r="B45" s="85"/>
      <c r="C45" s="54" t="s">
        <v>166</v>
      </c>
      <c r="D45" s="55">
        <v>1</v>
      </c>
      <c r="E45" s="56">
        <v>2.3310023310020001E-3</v>
      </c>
    </row>
    <row r="46" spans="1:5" ht="15" customHeight="1">
      <c r="A46" s="48"/>
      <c r="B46" s="86"/>
      <c r="C46" s="67" t="s">
        <v>210</v>
      </c>
      <c r="D46" s="66">
        <v>13</v>
      </c>
      <c r="E46" s="68">
        <v>3.0303030303029999E-2</v>
      </c>
    </row>
    <row r="47" spans="1:5" ht="15" customHeight="1">
      <c r="A47" s="48"/>
      <c r="B47" s="84" t="s">
        <v>136</v>
      </c>
      <c r="C47" s="54" t="s">
        <v>164</v>
      </c>
      <c r="D47" s="55">
        <v>5</v>
      </c>
      <c r="E47" s="56">
        <v>1.1655011655011999E-2</v>
      </c>
    </row>
    <row r="48" spans="1:5" ht="15" customHeight="1">
      <c r="A48" s="48"/>
      <c r="B48" s="85"/>
      <c r="C48" s="54" t="s">
        <v>165</v>
      </c>
      <c r="D48" s="55">
        <v>3</v>
      </c>
      <c r="E48" s="56">
        <v>6.9930069930069999E-3</v>
      </c>
    </row>
    <row r="49" spans="1:5" ht="15" customHeight="1">
      <c r="A49" s="48"/>
      <c r="B49" s="85"/>
      <c r="C49" s="54" t="s">
        <v>166</v>
      </c>
      <c r="D49" s="55">
        <v>2</v>
      </c>
      <c r="E49" s="56">
        <v>4.6620046620050003E-3</v>
      </c>
    </row>
    <row r="50" spans="1:5" ht="15" customHeight="1">
      <c r="A50" s="48"/>
      <c r="B50" s="86"/>
      <c r="C50" s="67" t="s">
        <v>210</v>
      </c>
      <c r="D50" s="66">
        <v>10</v>
      </c>
      <c r="E50" s="68">
        <v>2.3310023310022999E-2</v>
      </c>
    </row>
    <row r="51" spans="1:5" ht="15" customHeight="1">
      <c r="A51" s="48"/>
      <c r="B51" s="84" t="s">
        <v>137</v>
      </c>
      <c r="C51" s="54" t="s">
        <v>165</v>
      </c>
      <c r="D51" s="55">
        <v>6</v>
      </c>
      <c r="E51" s="56">
        <v>1.3986013986014E-2</v>
      </c>
    </row>
    <row r="52" spans="1:5" ht="15" customHeight="1">
      <c r="A52" s="48"/>
      <c r="B52" s="85"/>
      <c r="C52" s="54" t="s">
        <v>163</v>
      </c>
      <c r="D52" s="55">
        <v>2</v>
      </c>
      <c r="E52" s="56">
        <v>4.6620046620050003E-3</v>
      </c>
    </row>
    <row r="53" spans="1:5" ht="15" customHeight="1">
      <c r="A53" s="48"/>
      <c r="B53" s="85"/>
      <c r="C53" s="54" t="s">
        <v>164</v>
      </c>
      <c r="D53" s="55">
        <v>2</v>
      </c>
      <c r="E53" s="56">
        <v>4.6620046620050003E-3</v>
      </c>
    </row>
    <row r="54" spans="1:5" ht="15" customHeight="1">
      <c r="A54" s="48"/>
      <c r="B54" s="86"/>
      <c r="C54" s="67" t="s">
        <v>210</v>
      </c>
      <c r="D54" s="66">
        <v>10</v>
      </c>
      <c r="E54" s="68">
        <v>2.3310023310022999E-2</v>
      </c>
    </row>
    <row r="55" spans="1:5" ht="15" customHeight="1">
      <c r="A55" s="48"/>
      <c r="B55" s="84" t="s">
        <v>138</v>
      </c>
      <c r="C55" s="54" t="s">
        <v>164</v>
      </c>
      <c r="D55" s="55">
        <v>4</v>
      </c>
      <c r="E55" s="56">
        <v>9.3240093240089996E-3</v>
      </c>
    </row>
    <row r="56" spans="1:5" ht="15" customHeight="1">
      <c r="A56" s="48"/>
      <c r="B56" s="85"/>
      <c r="C56" s="54" t="s">
        <v>163</v>
      </c>
      <c r="D56" s="55">
        <v>2</v>
      </c>
      <c r="E56" s="56">
        <v>4.6620046620050003E-3</v>
      </c>
    </row>
    <row r="57" spans="1:5" ht="15" customHeight="1">
      <c r="A57" s="48"/>
      <c r="B57" s="85"/>
      <c r="C57" s="54" t="s">
        <v>165</v>
      </c>
      <c r="D57" s="55">
        <v>2</v>
      </c>
      <c r="E57" s="56">
        <v>4.6620046620050003E-3</v>
      </c>
    </row>
    <row r="58" spans="1:5" ht="15" customHeight="1">
      <c r="A58" s="48"/>
      <c r="B58" s="86"/>
      <c r="C58" s="67" t="s">
        <v>210</v>
      </c>
      <c r="D58" s="66">
        <v>8</v>
      </c>
      <c r="E58" s="68">
        <v>1.8648018648018998E-2</v>
      </c>
    </row>
    <row r="59" spans="1:5" ht="15" customHeight="1">
      <c r="A59" s="48"/>
      <c r="B59" s="84" t="s">
        <v>139</v>
      </c>
      <c r="C59" s="54" t="s">
        <v>165</v>
      </c>
      <c r="D59" s="55">
        <v>4</v>
      </c>
      <c r="E59" s="56">
        <v>9.3240093240089996E-3</v>
      </c>
    </row>
    <row r="60" spans="1:5" ht="15" customHeight="1">
      <c r="A60" s="48"/>
      <c r="B60" s="85"/>
      <c r="C60" s="54" t="s">
        <v>163</v>
      </c>
      <c r="D60" s="55">
        <v>1</v>
      </c>
      <c r="E60" s="56">
        <v>2.3310023310020001E-3</v>
      </c>
    </row>
    <row r="61" spans="1:5" ht="15" customHeight="1">
      <c r="A61" s="48"/>
      <c r="B61" s="85"/>
      <c r="C61" s="54" t="s">
        <v>164</v>
      </c>
      <c r="D61" s="55">
        <v>1</v>
      </c>
      <c r="E61" s="56">
        <v>2.3310023310020001E-3</v>
      </c>
    </row>
    <row r="62" spans="1:5" ht="15" customHeight="1">
      <c r="A62" s="48"/>
      <c r="B62" s="85"/>
      <c r="C62" s="54" t="s">
        <v>166</v>
      </c>
      <c r="D62" s="55">
        <v>1</v>
      </c>
      <c r="E62" s="56">
        <v>2.3310023310020001E-3</v>
      </c>
    </row>
    <row r="63" spans="1:5" ht="15" customHeight="1">
      <c r="A63" s="48"/>
      <c r="B63" s="86"/>
      <c r="C63" s="67" t="s">
        <v>210</v>
      </c>
      <c r="D63" s="66">
        <v>7</v>
      </c>
      <c r="E63" s="68">
        <v>1.6317016317016E-2</v>
      </c>
    </row>
    <row r="64" spans="1:5" ht="15" customHeight="1">
      <c r="A64" s="48"/>
      <c r="B64" s="84" t="s">
        <v>140</v>
      </c>
      <c r="C64" s="54" t="s">
        <v>163</v>
      </c>
      <c r="D64" s="55">
        <v>3</v>
      </c>
      <c r="E64" s="56">
        <v>6.9930069930069999E-3</v>
      </c>
    </row>
    <row r="65" spans="1:5" ht="15" customHeight="1">
      <c r="A65" s="48"/>
      <c r="B65" s="85"/>
      <c r="C65" s="54" t="s">
        <v>164</v>
      </c>
      <c r="D65" s="55">
        <v>2</v>
      </c>
      <c r="E65" s="56">
        <v>4.6620046620050003E-3</v>
      </c>
    </row>
    <row r="66" spans="1:5" ht="15" customHeight="1">
      <c r="A66" s="48"/>
      <c r="B66" s="85"/>
      <c r="C66" s="54" t="s">
        <v>166</v>
      </c>
      <c r="D66" s="55">
        <v>1</v>
      </c>
      <c r="E66" s="56">
        <v>2.3310023310020001E-3</v>
      </c>
    </row>
    <row r="67" spans="1:5" ht="15" customHeight="1">
      <c r="A67" s="48"/>
      <c r="B67" s="85"/>
      <c r="C67" s="54" t="s">
        <v>165</v>
      </c>
      <c r="D67" s="55">
        <v>1</v>
      </c>
      <c r="E67" s="56">
        <v>2.3310023310020001E-3</v>
      </c>
    </row>
    <row r="68" spans="1:5" ht="15" customHeight="1">
      <c r="A68" s="48"/>
      <c r="B68" s="86"/>
      <c r="C68" s="67" t="s">
        <v>210</v>
      </c>
      <c r="D68" s="66">
        <v>7</v>
      </c>
      <c r="E68" s="68">
        <v>1.6317016317016E-2</v>
      </c>
    </row>
    <row r="69" spans="1:5" ht="15" customHeight="1">
      <c r="A69" s="48"/>
      <c r="B69" s="84" t="s">
        <v>141</v>
      </c>
      <c r="C69" s="54" t="s">
        <v>164</v>
      </c>
      <c r="D69" s="55">
        <v>3</v>
      </c>
      <c r="E69" s="56">
        <v>6.9930069930069999E-3</v>
      </c>
    </row>
    <row r="70" spans="1:5" ht="15" customHeight="1">
      <c r="A70" s="48"/>
      <c r="B70" s="85"/>
      <c r="C70" s="54" t="s">
        <v>165</v>
      </c>
      <c r="D70" s="55">
        <v>2</v>
      </c>
      <c r="E70" s="56">
        <v>4.6620046620050003E-3</v>
      </c>
    </row>
    <row r="71" spans="1:5" ht="15" customHeight="1">
      <c r="A71" s="48"/>
      <c r="B71" s="85"/>
      <c r="C71" s="54" t="s">
        <v>163</v>
      </c>
      <c r="D71" s="55">
        <v>1</v>
      </c>
      <c r="E71" s="56">
        <v>2.3310023310020001E-3</v>
      </c>
    </row>
    <row r="72" spans="1:5" ht="15" customHeight="1">
      <c r="A72" s="48"/>
      <c r="B72" s="85"/>
      <c r="C72" s="54" t="s">
        <v>166</v>
      </c>
      <c r="D72" s="55">
        <v>1</v>
      </c>
      <c r="E72" s="56">
        <v>2.3310023310020001E-3</v>
      </c>
    </row>
    <row r="73" spans="1:5" ht="15" customHeight="1">
      <c r="A73" s="48"/>
      <c r="B73" s="86"/>
      <c r="C73" s="67" t="s">
        <v>210</v>
      </c>
      <c r="D73" s="66">
        <v>7</v>
      </c>
      <c r="E73" s="68">
        <v>1.6317016317016E-2</v>
      </c>
    </row>
    <row r="74" spans="1:5" ht="15" customHeight="1">
      <c r="A74" s="48"/>
      <c r="B74" s="84" t="s">
        <v>142</v>
      </c>
      <c r="C74" s="54" t="s">
        <v>164</v>
      </c>
      <c r="D74" s="55">
        <v>3</v>
      </c>
      <c r="E74" s="56">
        <v>6.9930069930069999E-3</v>
      </c>
    </row>
    <row r="75" spans="1:5" ht="15" customHeight="1">
      <c r="A75" s="48"/>
      <c r="B75" s="85"/>
      <c r="C75" s="54" t="s">
        <v>166</v>
      </c>
      <c r="D75" s="55">
        <v>2</v>
      </c>
      <c r="E75" s="56">
        <v>4.6620046620050003E-3</v>
      </c>
    </row>
    <row r="76" spans="1:5" ht="15" customHeight="1">
      <c r="A76" s="48"/>
      <c r="B76" s="85"/>
      <c r="C76" s="54" t="s">
        <v>165</v>
      </c>
      <c r="D76" s="55">
        <v>1</v>
      </c>
      <c r="E76" s="56">
        <v>2.3310023310020001E-3</v>
      </c>
    </row>
    <row r="77" spans="1:5" ht="15" customHeight="1">
      <c r="A77" s="48"/>
      <c r="B77" s="86"/>
      <c r="C77" s="67" t="s">
        <v>210</v>
      </c>
      <c r="D77" s="66">
        <v>6</v>
      </c>
      <c r="E77" s="68">
        <v>1.3986013986014E-2</v>
      </c>
    </row>
    <row r="78" spans="1:5" ht="15" customHeight="1">
      <c r="A78" s="48"/>
      <c r="B78" s="84" t="s">
        <v>143</v>
      </c>
      <c r="C78" s="54" t="s">
        <v>163</v>
      </c>
      <c r="D78" s="55">
        <v>4</v>
      </c>
      <c r="E78" s="56">
        <v>9.3240093240089996E-3</v>
      </c>
    </row>
    <row r="79" spans="1:5" ht="15" customHeight="1">
      <c r="A79" s="48"/>
      <c r="B79" s="85"/>
      <c r="C79" s="54" t="s">
        <v>164</v>
      </c>
      <c r="D79" s="55">
        <v>1</v>
      </c>
      <c r="E79" s="56">
        <v>2.3310023310020001E-3</v>
      </c>
    </row>
    <row r="80" spans="1:5" ht="15" customHeight="1">
      <c r="A80" s="48"/>
      <c r="B80" s="85"/>
      <c r="C80" s="54" t="s">
        <v>165</v>
      </c>
      <c r="D80" s="55">
        <v>1</v>
      </c>
      <c r="E80" s="56">
        <v>2.3310023310020001E-3</v>
      </c>
    </row>
    <row r="81" spans="1:5" ht="15" customHeight="1">
      <c r="A81" s="48"/>
      <c r="B81" s="86"/>
      <c r="C81" s="67" t="s">
        <v>210</v>
      </c>
      <c r="D81" s="66">
        <v>6</v>
      </c>
      <c r="E81" s="68">
        <v>1.3986013986014E-2</v>
      </c>
    </row>
    <row r="82" spans="1:5" ht="15" customHeight="1">
      <c r="A82" s="48"/>
      <c r="B82" s="84" t="s">
        <v>144</v>
      </c>
      <c r="C82" s="54" t="s">
        <v>166</v>
      </c>
      <c r="D82" s="55">
        <v>3</v>
      </c>
      <c r="E82" s="56">
        <v>6.9930069930069999E-3</v>
      </c>
    </row>
    <row r="83" spans="1:5" ht="15" customHeight="1">
      <c r="A83" s="48"/>
      <c r="B83" s="85"/>
      <c r="C83" s="54" t="s">
        <v>163</v>
      </c>
      <c r="D83" s="55">
        <v>2</v>
      </c>
      <c r="E83" s="56">
        <v>4.6620046620050003E-3</v>
      </c>
    </row>
    <row r="84" spans="1:5" ht="15" customHeight="1">
      <c r="A84" s="48"/>
      <c r="B84" s="85"/>
      <c r="C84" s="54" t="s">
        <v>165</v>
      </c>
      <c r="D84" s="55">
        <v>1</v>
      </c>
      <c r="E84" s="56">
        <v>2.3310023310020001E-3</v>
      </c>
    </row>
    <row r="85" spans="1:5" ht="15" customHeight="1">
      <c r="A85" s="48"/>
      <c r="B85" s="86"/>
      <c r="C85" s="67" t="s">
        <v>210</v>
      </c>
      <c r="D85" s="66">
        <v>6</v>
      </c>
      <c r="E85" s="68">
        <v>1.3986013986014E-2</v>
      </c>
    </row>
    <row r="86" spans="1:5" ht="15" customHeight="1">
      <c r="A86" s="48"/>
      <c r="B86" s="84" t="s">
        <v>145</v>
      </c>
      <c r="C86" s="54" t="s">
        <v>164</v>
      </c>
      <c r="D86" s="55">
        <v>3</v>
      </c>
      <c r="E86" s="56">
        <v>6.9930069930069999E-3</v>
      </c>
    </row>
    <row r="87" spans="1:5" ht="15" customHeight="1">
      <c r="A87" s="48"/>
      <c r="B87" s="85"/>
      <c r="C87" s="54" t="s">
        <v>163</v>
      </c>
      <c r="D87" s="55">
        <v>2</v>
      </c>
      <c r="E87" s="56">
        <v>4.6620046620050003E-3</v>
      </c>
    </row>
    <row r="88" spans="1:5" ht="15" customHeight="1">
      <c r="A88" s="48"/>
      <c r="B88" s="86"/>
      <c r="C88" s="67" t="s">
        <v>210</v>
      </c>
      <c r="D88" s="66">
        <v>5</v>
      </c>
      <c r="E88" s="68">
        <v>1.1655011655011999E-2</v>
      </c>
    </row>
    <row r="89" spans="1:5" ht="15" customHeight="1">
      <c r="A89" s="48"/>
      <c r="B89" s="84" t="s">
        <v>146</v>
      </c>
      <c r="C89" s="54" t="s">
        <v>165</v>
      </c>
      <c r="D89" s="55">
        <v>2</v>
      </c>
      <c r="E89" s="56">
        <v>4.6620046620050003E-3</v>
      </c>
    </row>
    <row r="90" spans="1:5" ht="15" customHeight="1">
      <c r="A90" s="48"/>
      <c r="B90" s="85"/>
      <c r="C90" s="54" t="s">
        <v>163</v>
      </c>
      <c r="D90" s="55">
        <v>1</v>
      </c>
      <c r="E90" s="56">
        <v>2.3310023310020001E-3</v>
      </c>
    </row>
    <row r="91" spans="1:5" ht="15" customHeight="1">
      <c r="A91" s="48"/>
      <c r="B91" s="85"/>
      <c r="C91" s="54" t="s">
        <v>164</v>
      </c>
      <c r="D91" s="55">
        <v>1</v>
      </c>
      <c r="E91" s="56">
        <v>2.3310023310020001E-3</v>
      </c>
    </row>
    <row r="92" spans="1:5" ht="15" customHeight="1">
      <c r="A92" s="48"/>
      <c r="B92" s="85"/>
      <c r="C92" s="54" t="s">
        <v>166</v>
      </c>
      <c r="D92" s="55">
        <v>1</v>
      </c>
      <c r="E92" s="56">
        <v>2.3310023310020001E-3</v>
      </c>
    </row>
    <row r="93" spans="1:5" ht="15" customHeight="1">
      <c r="A93" s="48"/>
      <c r="B93" s="86"/>
      <c r="C93" s="67" t="s">
        <v>210</v>
      </c>
      <c r="D93" s="66">
        <v>5</v>
      </c>
      <c r="E93" s="68">
        <v>1.1655011655011999E-2</v>
      </c>
    </row>
    <row r="94" spans="1:5" ht="15" customHeight="1">
      <c r="A94" s="48"/>
      <c r="B94" s="84" t="s">
        <v>147</v>
      </c>
      <c r="C94" s="54" t="s">
        <v>166</v>
      </c>
      <c r="D94" s="55">
        <v>2</v>
      </c>
      <c r="E94" s="56">
        <v>4.6620046620050003E-3</v>
      </c>
    </row>
    <row r="95" spans="1:5" ht="15" customHeight="1">
      <c r="A95" s="48"/>
      <c r="B95" s="85"/>
      <c r="C95" s="54" t="s">
        <v>163</v>
      </c>
      <c r="D95" s="55">
        <v>1</v>
      </c>
      <c r="E95" s="56">
        <v>2.3310023310020001E-3</v>
      </c>
    </row>
    <row r="96" spans="1:5" ht="15" customHeight="1">
      <c r="A96" s="48"/>
      <c r="B96" s="85"/>
      <c r="C96" s="54" t="s">
        <v>164</v>
      </c>
      <c r="D96" s="55">
        <v>1</v>
      </c>
      <c r="E96" s="56">
        <v>2.3310023310020001E-3</v>
      </c>
    </row>
    <row r="97" spans="1:5" ht="15" customHeight="1">
      <c r="A97" s="48"/>
      <c r="B97" s="85"/>
      <c r="C97" s="54" t="s">
        <v>165</v>
      </c>
      <c r="D97" s="55">
        <v>1</v>
      </c>
      <c r="E97" s="56">
        <v>2.3310023310020001E-3</v>
      </c>
    </row>
    <row r="98" spans="1:5" ht="15" customHeight="1">
      <c r="A98" s="48"/>
      <c r="B98" s="86"/>
      <c r="C98" s="67" t="s">
        <v>210</v>
      </c>
      <c r="D98" s="66">
        <v>5</v>
      </c>
      <c r="E98" s="68">
        <v>1.1655011655011999E-2</v>
      </c>
    </row>
    <row r="99" spans="1:5" ht="15" customHeight="1">
      <c r="A99" s="48"/>
      <c r="B99" s="84" t="s">
        <v>148</v>
      </c>
      <c r="C99" s="54" t="s">
        <v>164</v>
      </c>
      <c r="D99" s="55">
        <v>3</v>
      </c>
      <c r="E99" s="56">
        <v>6.9930069930069999E-3</v>
      </c>
    </row>
    <row r="100" spans="1:5" ht="15" customHeight="1">
      <c r="A100" s="48"/>
      <c r="B100" s="85"/>
      <c r="C100" s="54" t="s">
        <v>163</v>
      </c>
      <c r="D100" s="55">
        <v>1</v>
      </c>
      <c r="E100" s="56">
        <v>2.3310023310020001E-3</v>
      </c>
    </row>
    <row r="101" spans="1:5" ht="15" customHeight="1">
      <c r="A101" s="48"/>
      <c r="B101" s="86"/>
      <c r="C101" s="67" t="s">
        <v>210</v>
      </c>
      <c r="D101" s="66">
        <v>4</v>
      </c>
      <c r="E101" s="68">
        <v>9.3240093240089996E-3</v>
      </c>
    </row>
    <row r="102" spans="1:5" ht="15" customHeight="1">
      <c r="A102" s="48"/>
      <c r="B102" s="84" t="s">
        <v>149</v>
      </c>
      <c r="C102" s="54" t="s">
        <v>164</v>
      </c>
      <c r="D102" s="55">
        <v>3</v>
      </c>
      <c r="E102" s="56">
        <v>6.9930069930069999E-3</v>
      </c>
    </row>
    <row r="103" spans="1:5" ht="15" customHeight="1">
      <c r="A103" s="48"/>
      <c r="B103" s="85"/>
      <c r="C103" s="54" t="s">
        <v>166</v>
      </c>
      <c r="D103" s="55">
        <v>1</v>
      </c>
      <c r="E103" s="56">
        <v>2.3310023310020001E-3</v>
      </c>
    </row>
    <row r="104" spans="1:5" ht="15" customHeight="1">
      <c r="A104" s="48"/>
      <c r="B104" s="86"/>
      <c r="C104" s="67" t="s">
        <v>210</v>
      </c>
      <c r="D104" s="66">
        <v>4</v>
      </c>
      <c r="E104" s="68">
        <v>9.3240093240089996E-3</v>
      </c>
    </row>
    <row r="105" spans="1:5" ht="15" customHeight="1">
      <c r="A105" s="48"/>
      <c r="B105" s="84" t="s">
        <v>150</v>
      </c>
      <c r="C105" s="54" t="s">
        <v>163</v>
      </c>
      <c r="D105" s="55">
        <v>1</v>
      </c>
      <c r="E105" s="56">
        <v>2.3310023310020001E-3</v>
      </c>
    </row>
    <row r="106" spans="1:5" ht="15" customHeight="1">
      <c r="A106" s="48"/>
      <c r="B106" s="85"/>
      <c r="C106" s="54" t="s">
        <v>164</v>
      </c>
      <c r="D106" s="55">
        <v>1</v>
      </c>
      <c r="E106" s="56">
        <v>2.3310023310020001E-3</v>
      </c>
    </row>
    <row r="107" spans="1:5" ht="15" customHeight="1">
      <c r="A107" s="48"/>
      <c r="B107" s="85"/>
      <c r="C107" s="54" t="s">
        <v>166</v>
      </c>
      <c r="D107" s="55">
        <v>1</v>
      </c>
      <c r="E107" s="56">
        <v>2.3310023310020001E-3</v>
      </c>
    </row>
    <row r="108" spans="1:5" ht="15" customHeight="1">
      <c r="A108" s="48"/>
      <c r="B108" s="85"/>
      <c r="C108" s="54" t="s">
        <v>165</v>
      </c>
      <c r="D108" s="55">
        <v>1</v>
      </c>
      <c r="E108" s="56">
        <v>2.3310023310020001E-3</v>
      </c>
    </row>
    <row r="109" spans="1:5" ht="15" customHeight="1">
      <c r="A109" s="48"/>
      <c r="B109" s="86"/>
      <c r="C109" s="67" t="s">
        <v>210</v>
      </c>
      <c r="D109" s="66">
        <v>4</v>
      </c>
      <c r="E109" s="68">
        <v>9.3240093240089996E-3</v>
      </c>
    </row>
    <row r="110" spans="1:5" ht="15" customHeight="1">
      <c r="A110" s="48"/>
      <c r="B110" s="84" t="s">
        <v>151</v>
      </c>
      <c r="C110" s="54" t="s">
        <v>165</v>
      </c>
      <c r="D110" s="55">
        <v>4</v>
      </c>
      <c r="E110" s="56">
        <v>9.3240093240089996E-3</v>
      </c>
    </row>
    <row r="111" spans="1:5" ht="15" customHeight="1">
      <c r="A111" s="48"/>
      <c r="B111" s="86"/>
      <c r="C111" s="67" t="s">
        <v>210</v>
      </c>
      <c r="D111" s="66">
        <v>4</v>
      </c>
      <c r="E111" s="68">
        <v>9.3240093240089996E-3</v>
      </c>
    </row>
    <row r="112" spans="1:5" ht="15" customHeight="1">
      <c r="A112" s="48"/>
      <c r="B112" s="84" t="s">
        <v>152</v>
      </c>
      <c r="C112" s="54" t="s">
        <v>163</v>
      </c>
      <c r="D112" s="55">
        <v>2</v>
      </c>
      <c r="E112" s="56">
        <v>4.6620046620050003E-3</v>
      </c>
    </row>
    <row r="113" spans="1:5" ht="15" customHeight="1">
      <c r="A113" s="48"/>
      <c r="B113" s="85"/>
      <c r="C113" s="54" t="s">
        <v>166</v>
      </c>
      <c r="D113" s="55">
        <v>1</v>
      </c>
      <c r="E113" s="56">
        <v>2.3310023310020001E-3</v>
      </c>
    </row>
    <row r="114" spans="1:5" ht="15" customHeight="1">
      <c r="A114" s="48"/>
      <c r="B114" s="86"/>
      <c r="C114" s="67" t="s">
        <v>210</v>
      </c>
      <c r="D114" s="66">
        <v>3</v>
      </c>
      <c r="E114" s="68">
        <v>6.9930069930069999E-3</v>
      </c>
    </row>
    <row r="115" spans="1:5" ht="15" customHeight="1">
      <c r="A115" s="48"/>
      <c r="B115" s="84" t="s">
        <v>153</v>
      </c>
      <c r="C115" s="54" t="s">
        <v>164</v>
      </c>
      <c r="D115" s="55">
        <v>2</v>
      </c>
      <c r="E115" s="56">
        <v>4.6620046620050003E-3</v>
      </c>
    </row>
    <row r="116" spans="1:5" ht="15" customHeight="1">
      <c r="A116" s="48"/>
      <c r="B116" s="85"/>
      <c r="C116" s="54" t="s">
        <v>163</v>
      </c>
      <c r="D116" s="55">
        <v>1</v>
      </c>
      <c r="E116" s="56">
        <v>2.3310023310020001E-3</v>
      </c>
    </row>
    <row r="117" spans="1:5" ht="15" customHeight="1">
      <c r="A117" s="48"/>
      <c r="B117" s="86"/>
      <c r="C117" s="67" t="s">
        <v>210</v>
      </c>
      <c r="D117" s="66">
        <v>3</v>
      </c>
      <c r="E117" s="68">
        <v>6.9930069930069999E-3</v>
      </c>
    </row>
    <row r="118" spans="1:5" ht="15" customHeight="1">
      <c r="A118" s="48"/>
      <c r="B118" s="84" t="s">
        <v>46</v>
      </c>
      <c r="C118" s="54" t="s">
        <v>164</v>
      </c>
      <c r="D118" s="55">
        <v>3</v>
      </c>
      <c r="E118" s="56">
        <v>6.9930069930069999E-3</v>
      </c>
    </row>
    <row r="119" spans="1:5" ht="15" customHeight="1">
      <c r="A119" s="48"/>
      <c r="B119" s="86"/>
      <c r="C119" s="67" t="s">
        <v>210</v>
      </c>
      <c r="D119" s="66">
        <v>3</v>
      </c>
      <c r="E119" s="68">
        <v>6.9930069930069999E-3</v>
      </c>
    </row>
    <row r="120" spans="1:5" ht="15" customHeight="1">
      <c r="A120" s="48"/>
      <c r="B120" s="84" t="s">
        <v>154</v>
      </c>
      <c r="C120" s="54" t="s">
        <v>163</v>
      </c>
      <c r="D120" s="55">
        <v>1</v>
      </c>
      <c r="E120" s="56">
        <v>2.3310023310020001E-3</v>
      </c>
    </row>
    <row r="121" spans="1:5" ht="15" customHeight="1">
      <c r="A121" s="48"/>
      <c r="B121" s="85"/>
      <c r="C121" s="54" t="s">
        <v>166</v>
      </c>
      <c r="D121" s="55">
        <v>1</v>
      </c>
      <c r="E121" s="56">
        <v>2.3310023310020001E-3</v>
      </c>
    </row>
    <row r="122" spans="1:5" ht="15" customHeight="1">
      <c r="A122" s="48"/>
      <c r="B122" s="86"/>
      <c r="C122" s="67" t="s">
        <v>210</v>
      </c>
      <c r="D122" s="66">
        <v>2</v>
      </c>
      <c r="E122" s="68">
        <v>4.6620046620050003E-3</v>
      </c>
    </row>
    <row r="123" spans="1:5" ht="15" customHeight="1">
      <c r="A123" s="48"/>
      <c r="B123" s="84" t="s">
        <v>155</v>
      </c>
      <c r="C123" s="54" t="s">
        <v>163</v>
      </c>
      <c r="D123" s="55">
        <v>1</v>
      </c>
      <c r="E123" s="56">
        <v>2.3310023310020001E-3</v>
      </c>
    </row>
    <row r="124" spans="1:5" ht="15" customHeight="1">
      <c r="A124" s="48"/>
      <c r="B124" s="85"/>
      <c r="C124" s="54" t="s">
        <v>164</v>
      </c>
      <c r="D124" s="55">
        <v>1</v>
      </c>
      <c r="E124" s="56">
        <v>2.3310023310020001E-3</v>
      </c>
    </row>
    <row r="125" spans="1:5" ht="15" customHeight="1">
      <c r="A125" s="48"/>
      <c r="B125" s="86"/>
      <c r="C125" s="67" t="s">
        <v>210</v>
      </c>
      <c r="D125" s="66">
        <v>2</v>
      </c>
      <c r="E125" s="68">
        <v>4.6620046620050003E-3</v>
      </c>
    </row>
    <row r="126" spans="1:5" ht="15" customHeight="1">
      <c r="A126" s="48"/>
      <c r="B126" s="84" t="s">
        <v>156</v>
      </c>
      <c r="C126" s="54" t="s">
        <v>164</v>
      </c>
      <c r="D126" s="55">
        <v>2</v>
      </c>
      <c r="E126" s="56">
        <v>4.6620046620050003E-3</v>
      </c>
    </row>
    <row r="127" spans="1:5" ht="15" customHeight="1">
      <c r="A127" s="48"/>
      <c r="B127" s="86"/>
      <c r="C127" s="67" t="s">
        <v>210</v>
      </c>
      <c r="D127" s="66">
        <v>2</v>
      </c>
      <c r="E127" s="68">
        <v>4.6620046620050003E-3</v>
      </c>
    </row>
    <row r="128" spans="1:5" ht="15" customHeight="1">
      <c r="A128" s="48"/>
      <c r="B128" s="84" t="s">
        <v>157</v>
      </c>
      <c r="C128" s="54" t="s">
        <v>164</v>
      </c>
      <c r="D128" s="55">
        <v>1</v>
      </c>
      <c r="E128" s="56">
        <v>2.3310023310020001E-3</v>
      </c>
    </row>
    <row r="129" spans="1:5" ht="15" customHeight="1">
      <c r="A129" s="48"/>
      <c r="B129" s="85"/>
      <c r="C129" s="54" t="s">
        <v>166</v>
      </c>
      <c r="D129" s="55">
        <v>1</v>
      </c>
      <c r="E129" s="56">
        <v>2.3310023310020001E-3</v>
      </c>
    </row>
    <row r="130" spans="1:5" ht="15" customHeight="1">
      <c r="A130" s="48"/>
      <c r="B130" s="86"/>
      <c r="C130" s="67" t="s">
        <v>210</v>
      </c>
      <c r="D130" s="66">
        <v>2</v>
      </c>
      <c r="E130" s="68">
        <v>4.6620046620050003E-3</v>
      </c>
    </row>
    <row r="131" spans="1:5" ht="15" customHeight="1">
      <c r="A131" s="48"/>
      <c r="B131" s="84" t="s">
        <v>158</v>
      </c>
      <c r="C131" s="54" t="s">
        <v>164</v>
      </c>
      <c r="D131" s="55">
        <v>2</v>
      </c>
      <c r="E131" s="56">
        <v>4.6620046620050003E-3</v>
      </c>
    </row>
    <row r="132" spans="1:5" ht="15" customHeight="1">
      <c r="A132" s="48"/>
      <c r="B132" s="86"/>
      <c r="C132" s="67" t="s">
        <v>210</v>
      </c>
      <c r="D132" s="66">
        <v>2</v>
      </c>
      <c r="E132" s="68">
        <v>4.6620046620050003E-3</v>
      </c>
    </row>
    <row r="133" spans="1:5" ht="15" customHeight="1">
      <c r="A133" s="48"/>
      <c r="B133" s="84" t="s">
        <v>159</v>
      </c>
      <c r="C133" s="54" t="s">
        <v>166</v>
      </c>
      <c r="D133" s="55">
        <v>1</v>
      </c>
      <c r="E133" s="56">
        <v>2.3310023310020001E-3</v>
      </c>
    </row>
    <row r="134" spans="1:5" ht="15" customHeight="1">
      <c r="A134" s="48"/>
      <c r="B134" s="85"/>
      <c r="C134" s="54" t="s">
        <v>165</v>
      </c>
      <c r="D134" s="55">
        <v>1</v>
      </c>
      <c r="E134" s="56">
        <v>2.3310023310020001E-3</v>
      </c>
    </row>
    <row r="135" spans="1:5" ht="15" customHeight="1">
      <c r="A135" s="48"/>
      <c r="B135" s="86"/>
      <c r="C135" s="67" t="s">
        <v>210</v>
      </c>
      <c r="D135" s="66">
        <v>2</v>
      </c>
      <c r="E135" s="68">
        <v>4.6620046620050003E-3</v>
      </c>
    </row>
    <row r="136" spans="1:5" ht="15" customHeight="1">
      <c r="A136" s="48"/>
      <c r="B136" s="84" t="s">
        <v>160</v>
      </c>
      <c r="C136" s="54" t="s">
        <v>164</v>
      </c>
      <c r="D136" s="55">
        <v>1</v>
      </c>
      <c r="E136" s="56">
        <v>2.3310023310020001E-3</v>
      </c>
    </row>
    <row r="137" spans="1:5" ht="15" customHeight="1">
      <c r="A137" s="48"/>
      <c r="B137" s="86"/>
      <c r="C137" s="67" t="s">
        <v>210</v>
      </c>
      <c r="D137" s="66">
        <v>1</v>
      </c>
      <c r="E137" s="68">
        <v>2.3310023310020001E-3</v>
      </c>
    </row>
    <row r="138" spans="1:5" ht="15" customHeight="1">
      <c r="A138" s="48"/>
      <c r="B138" s="84" t="s">
        <v>161</v>
      </c>
      <c r="C138" s="54" t="s">
        <v>164</v>
      </c>
      <c r="D138" s="55">
        <v>1</v>
      </c>
      <c r="E138" s="56">
        <v>2.3310023310020001E-3</v>
      </c>
    </row>
    <row r="139" spans="1:5" ht="15" customHeight="1">
      <c r="A139" s="48"/>
      <c r="B139" s="86"/>
      <c r="C139" s="67" t="s">
        <v>210</v>
      </c>
      <c r="D139" s="66">
        <v>1</v>
      </c>
      <c r="E139" s="68">
        <v>2.3310023310020001E-3</v>
      </c>
    </row>
    <row r="140" spans="1:5" ht="15" customHeight="1">
      <c r="A140" s="48"/>
      <c r="B140" s="84" t="s">
        <v>162</v>
      </c>
      <c r="C140" s="54" t="s">
        <v>163</v>
      </c>
      <c r="D140" s="55">
        <v>1</v>
      </c>
      <c r="E140" s="56">
        <v>2.3310023310020001E-3</v>
      </c>
    </row>
    <row r="141" spans="1:5" ht="15" customHeight="1">
      <c r="A141" s="48"/>
      <c r="B141" s="86"/>
      <c r="C141" s="67" t="s">
        <v>210</v>
      </c>
      <c r="D141" s="66">
        <v>1</v>
      </c>
      <c r="E141" s="68">
        <v>2.3310023310020001E-3</v>
      </c>
    </row>
    <row r="142" spans="1:5" ht="15" customHeight="1">
      <c r="A142" s="48"/>
      <c r="B142" s="81" t="s">
        <v>210</v>
      </c>
      <c r="C142" s="82"/>
      <c r="D142" s="58">
        <v>429</v>
      </c>
      <c r="E142" s="59">
        <v>1</v>
      </c>
    </row>
    <row r="143" spans="1:5" ht="15" customHeight="1">
      <c r="A143" s="48"/>
      <c r="B143" s="48"/>
      <c r="C143" s="48"/>
      <c r="D143" s="48"/>
      <c r="E143" s="48"/>
    </row>
    <row r="144" spans="1:5" ht="15" customHeight="1">
      <c r="B144" s="39" t="s">
        <v>120</v>
      </c>
      <c r="C144" s="48"/>
      <c r="D144" s="40"/>
      <c r="E144" s="48"/>
    </row>
    <row r="145" spans="2:5" ht="15" customHeight="1">
      <c r="B145" s="41" t="s">
        <v>17</v>
      </c>
      <c r="C145" s="48"/>
      <c r="D145" s="40"/>
      <c r="E145" s="48"/>
    </row>
    <row r="146" spans="2:5" ht="15" customHeight="1">
      <c r="B146" s="42" t="s">
        <v>45</v>
      </c>
      <c r="C146" s="48"/>
      <c r="D146" s="40"/>
      <c r="E146" s="48"/>
    </row>
    <row r="147" spans="2:5" ht="15" customHeight="1">
      <c r="B147" s="39" t="s">
        <v>16</v>
      </c>
      <c r="C147" s="48"/>
      <c r="D147" s="40"/>
      <c r="E147" s="48"/>
    </row>
    <row r="148" spans="2:5" ht="15" customHeight="1">
      <c r="B148" s="39" t="s">
        <v>211</v>
      </c>
      <c r="C148" s="48"/>
      <c r="D148" s="40"/>
      <c r="E148" s="48"/>
    </row>
  </sheetData>
  <mergeCells count="37">
    <mergeCell ref="B140:B141"/>
    <mergeCell ref="B128:B130"/>
    <mergeCell ref="B131:B132"/>
    <mergeCell ref="B133:B135"/>
    <mergeCell ref="B136:B137"/>
    <mergeCell ref="B138:B139"/>
    <mergeCell ref="B115:B117"/>
    <mergeCell ref="B118:B119"/>
    <mergeCell ref="B120:B122"/>
    <mergeCell ref="B123:B125"/>
    <mergeCell ref="B126:B127"/>
    <mergeCell ref="B99:B101"/>
    <mergeCell ref="B102:B104"/>
    <mergeCell ref="B105:B109"/>
    <mergeCell ref="B110:B111"/>
    <mergeCell ref="B112:B114"/>
    <mergeCell ref="B78:B81"/>
    <mergeCell ref="B82:B85"/>
    <mergeCell ref="B86:B88"/>
    <mergeCell ref="B89:B93"/>
    <mergeCell ref="B94:B98"/>
    <mergeCell ref="B142:C142"/>
    <mergeCell ref="B7:E8"/>
    <mergeCell ref="B10:B16"/>
    <mergeCell ref="B17:B21"/>
    <mergeCell ref="B22:B25"/>
    <mergeCell ref="B26:B30"/>
    <mergeCell ref="B31:B35"/>
    <mergeCell ref="B36:B40"/>
    <mergeCell ref="B41:B46"/>
    <mergeCell ref="B47:B50"/>
    <mergeCell ref="B51:B54"/>
    <mergeCell ref="B55:B58"/>
    <mergeCell ref="B59:B63"/>
    <mergeCell ref="B64:B68"/>
    <mergeCell ref="B69:B73"/>
    <mergeCell ref="B74:B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92"/>
  <sheetViews>
    <sheetView showGridLines="0" view="pageBreakPreview" zoomScaleNormal="100" zoomScaleSheetLayoutView="100" workbookViewId="0">
      <selection activeCell="G1" sqref="G1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3"/>
      <c r="C7" s="83"/>
      <c r="D7" s="83"/>
      <c r="E7" s="83"/>
    </row>
    <row r="8" spans="1:5" s="24" customFormat="1" ht="33" customHeight="1">
      <c r="A8" s="25"/>
      <c r="B8" s="83"/>
      <c r="C8" s="83"/>
      <c r="D8" s="83"/>
      <c r="E8" s="83"/>
    </row>
    <row r="9" spans="1:5" s="17" customFormat="1" ht="40.5" customHeight="1">
      <c r="B9" s="45" t="s">
        <v>21</v>
      </c>
      <c r="C9" s="46" t="s">
        <v>23</v>
      </c>
      <c r="D9" s="47" t="s">
        <v>19</v>
      </c>
      <c r="E9" s="45" t="s">
        <v>18</v>
      </c>
    </row>
    <row r="10" spans="1:5" ht="15" customHeight="1">
      <c r="B10" s="84" t="s">
        <v>75</v>
      </c>
      <c r="C10" s="60" t="s">
        <v>121</v>
      </c>
      <c r="D10" s="55">
        <v>2</v>
      </c>
      <c r="E10" s="56">
        <v>4.6620046620050003E-3</v>
      </c>
    </row>
    <row r="11" spans="1:5" ht="15" customHeight="1">
      <c r="B11" s="86"/>
      <c r="C11" s="69" t="s">
        <v>210</v>
      </c>
      <c r="D11" s="66">
        <v>2</v>
      </c>
      <c r="E11" s="68">
        <v>4.6620046620050003E-3</v>
      </c>
    </row>
    <row r="12" spans="1:5" ht="15" customHeight="1">
      <c r="B12" s="84" t="s">
        <v>64</v>
      </c>
      <c r="C12" s="60" t="s">
        <v>121</v>
      </c>
      <c r="D12" s="55">
        <v>2</v>
      </c>
      <c r="E12" s="56">
        <v>4.6620046620050003E-3</v>
      </c>
    </row>
    <row r="13" spans="1:5" ht="15" customHeight="1">
      <c r="B13" s="85"/>
      <c r="C13" s="60" t="s">
        <v>122</v>
      </c>
      <c r="D13" s="55">
        <v>1</v>
      </c>
      <c r="E13" s="56">
        <v>2.3310023310020001E-3</v>
      </c>
    </row>
    <row r="14" spans="1:5" ht="15" customHeight="1">
      <c r="B14" s="85"/>
      <c r="C14" s="60" t="s">
        <v>124</v>
      </c>
      <c r="D14" s="55">
        <v>2</v>
      </c>
      <c r="E14" s="56">
        <v>4.6620046620050003E-3</v>
      </c>
    </row>
    <row r="15" spans="1:5" ht="15" customHeight="1">
      <c r="B15" s="85"/>
      <c r="C15" s="60" t="s">
        <v>123</v>
      </c>
      <c r="D15" s="55">
        <v>3</v>
      </c>
      <c r="E15" s="56">
        <v>6.9930069930069999E-3</v>
      </c>
    </row>
    <row r="16" spans="1:5" ht="15" customHeight="1">
      <c r="B16" s="86"/>
      <c r="C16" s="69" t="s">
        <v>210</v>
      </c>
      <c r="D16" s="66">
        <v>8</v>
      </c>
      <c r="E16" s="68">
        <v>1.8648018648018998E-2</v>
      </c>
    </row>
    <row r="17" spans="2:5" ht="15" customHeight="1">
      <c r="B17" s="84" t="s">
        <v>79</v>
      </c>
      <c r="C17" s="60" t="s">
        <v>121</v>
      </c>
      <c r="D17" s="55">
        <v>2</v>
      </c>
      <c r="E17" s="56">
        <v>4.6620046620050003E-3</v>
      </c>
    </row>
    <row r="18" spans="2:5" ht="15" customHeight="1">
      <c r="B18" s="86"/>
      <c r="C18" s="69" t="s">
        <v>210</v>
      </c>
      <c r="D18" s="66">
        <v>2</v>
      </c>
      <c r="E18" s="68">
        <v>4.6620046620050003E-3</v>
      </c>
    </row>
    <row r="19" spans="2:5" ht="15" customHeight="1">
      <c r="B19" s="84" t="s">
        <v>67</v>
      </c>
      <c r="C19" s="60" t="s">
        <v>121</v>
      </c>
      <c r="D19" s="55">
        <v>3</v>
      </c>
      <c r="E19" s="56">
        <v>6.9930069930069999E-3</v>
      </c>
    </row>
    <row r="20" spans="2:5" ht="15" customHeight="1">
      <c r="B20" s="85"/>
      <c r="C20" s="60" t="s">
        <v>122</v>
      </c>
      <c r="D20" s="55">
        <v>5</v>
      </c>
      <c r="E20" s="56">
        <v>1.1655011655011999E-2</v>
      </c>
    </row>
    <row r="21" spans="2:5" ht="15" customHeight="1">
      <c r="B21" s="86"/>
      <c r="C21" s="69" t="s">
        <v>210</v>
      </c>
      <c r="D21" s="66">
        <v>8</v>
      </c>
      <c r="E21" s="68">
        <v>1.8648018648018998E-2</v>
      </c>
    </row>
    <row r="22" spans="2:5" ht="15" customHeight="1">
      <c r="B22" s="84" t="s">
        <v>119</v>
      </c>
      <c r="C22" s="60" t="s">
        <v>122</v>
      </c>
      <c r="D22" s="55">
        <v>2</v>
      </c>
      <c r="E22" s="56">
        <v>4.6620046620050003E-3</v>
      </c>
    </row>
    <row r="23" spans="2:5" ht="15" customHeight="1">
      <c r="B23" s="85"/>
      <c r="C23" s="60" t="s">
        <v>123</v>
      </c>
      <c r="D23" s="55">
        <v>2</v>
      </c>
      <c r="E23" s="56">
        <v>4.6620046620050003E-3</v>
      </c>
    </row>
    <row r="24" spans="2:5" ht="15" customHeight="1">
      <c r="B24" s="86"/>
      <c r="C24" s="69" t="s">
        <v>210</v>
      </c>
      <c r="D24" s="66">
        <v>4</v>
      </c>
      <c r="E24" s="68">
        <v>9.3240093240089996E-3</v>
      </c>
    </row>
    <row r="25" spans="2:5" ht="15" customHeight="1">
      <c r="B25" s="84" t="s">
        <v>49</v>
      </c>
      <c r="C25" s="60" t="s">
        <v>121</v>
      </c>
      <c r="D25" s="55">
        <v>1</v>
      </c>
      <c r="E25" s="56">
        <v>2.3310023310020001E-3</v>
      </c>
    </row>
    <row r="26" spans="2:5" ht="15" customHeight="1">
      <c r="B26" s="85"/>
      <c r="C26" s="60" t="s">
        <v>122</v>
      </c>
      <c r="D26" s="55">
        <v>7</v>
      </c>
      <c r="E26" s="56">
        <v>1.6317016317016E-2</v>
      </c>
    </row>
    <row r="27" spans="2:5" ht="15" customHeight="1">
      <c r="B27" s="85"/>
      <c r="C27" s="60" t="s">
        <v>124</v>
      </c>
      <c r="D27" s="55">
        <v>2</v>
      </c>
      <c r="E27" s="56">
        <v>4.6620046620050003E-3</v>
      </c>
    </row>
    <row r="28" spans="2:5" ht="15" customHeight="1">
      <c r="B28" s="85"/>
      <c r="C28" s="60" t="s">
        <v>123</v>
      </c>
      <c r="D28" s="55">
        <v>5</v>
      </c>
      <c r="E28" s="56">
        <v>1.1655011655011999E-2</v>
      </c>
    </row>
    <row r="29" spans="2:5" ht="15" customHeight="1">
      <c r="B29" s="86"/>
      <c r="C29" s="69" t="s">
        <v>210</v>
      </c>
      <c r="D29" s="66">
        <v>15</v>
      </c>
      <c r="E29" s="68">
        <v>3.4965034965035002E-2</v>
      </c>
    </row>
    <row r="30" spans="2:5" ht="15" customHeight="1">
      <c r="B30" s="84" t="s">
        <v>50</v>
      </c>
      <c r="C30" s="60" t="s">
        <v>121</v>
      </c>
      <c r="D30" s="55">
        <v>7</v>
      </c>
      <c r="E30" s="56">
        <v>1.6317016317016E-2</v>
      </c>
    </row>
    <row r="31" spans="2:5" ht="15" customHeight="1">
      <c r="B31" s="85"/>
      <c r="C31" s="60" t="s">
        <v>122</v>
      </c>
      <c r="D31" s="55">
        <v>11</v>
      </c>
      <c r="E31" s="56">
        <v>2.5641025641026001E-2</v>
      </c>
    </row>
    <row r="32" spans="2:5" ht="15" customHeight="1">
      <c r="B32" s="85"/>
      <c r="C32" s="60" t="s">
        <v>124</v>
      </c>
      <c r="D32" s="55">
        <v>1</v>
      </c>
      <c r="E32" s="56">
        <v>2.3310023310020001E-3</v>
      </c>
    </row>
    <row r="33" spans="2:5" ht="15" customHeight="1">
      <c r="B33" s="85"/>
      <c r="C33" s="60" t="s">
        <v>123</v>
      </c>
      <c r="D33" s="55">
        <v>1</v>
      </c>
      <c r="E33" s="56">
        <v>2.3310023310020001E-3</v>
      </c>
    </row>
    <row r="34" spans="2:5" ht="15" customHeight="1">
      <c r="B34" s="86"/>
      <c r="C34" s="69" t="s">
        <v>210</v>
      </c>
      <c r="D34" s="66">
        <v>20</v>
      </c>
      <c r="E34" s="68">
        <v>4.6620046620046998E-2</v>
      </c>
    </row>
    <row r="35" spans="2:5" ht="15" customHeight="1">
      <c r="B35" s="84" t="s">
        <v>68</v>
      </c>
      <c r="C35" s="60" t="s">
        <v>122</v>
      </c>
      <c r="D35" s="55">
        <v>3</v>
      </c>
      <c r="E35" s="56">
        <v>6.9930069930069999E-3</v>
      </c>
    </row>
    <row r="36" spans="2:5" ht="15" customHeight="1">
      <c r="B36" s="85"/>
      <c r="C36" s="60" t="s">
        <v>124</v>
      </c>
      <c r="D36" s="55">
        <v>2</v>
      </c>
      <c r="E36" s="56">
        <v>4.6620046620050003E-3</v>
      </c>
    </row>
    <row r="37" spans="2:5" ht="15" customHeight="1">
      <c r="B37" s="85"/>
      <c r="C37" s="60" t="s">
        <v>123</v>
      </c>
      <c r="D37" s="55">
        <v>1</v>
      </c>
      <c r="E37" s="56">
        <v>2.3310023310020001E-3</v>
      </c>
    </row>
    <row r="38" spans="2:5" ht="15" customHeight="1">
      <c r="B38" s="86"/>
      <c r="C38" s="69" t="s">
        <v>210</v>
      </c>
      <c r="D38" s="66">
        <v>6</v>
      </c>
      <c r="E38" s="68">
        <v>1.3986013986014E-2</v>
      </c>
    </row>
    <row r="39" spans="2:5" ht="15" customHeight="1">
      <c r="B39" s="84" t="s">
        <v>80</v>
      </c>
      <c r="C39" s="60" t="s">
        <v>121</v>
      </c>
      <c r="D39" s="55">
        <v>2</v>
      </c>
      <c r="E39" s="56">
        <v>4.6620046620050003E-3</v>
      </c>
    </row>
    <row r="40" spans="2:5" ht="15" customHeight="1">
      <c r="B40" s="85"/>
      <c r="C40" s="60" t="s">
        <v>124</v>
      </c>
      <c r="D40" s="55">
        <v>4</v>
      </c>
      <c r="E40" s="56">
        <v>9.3240093240089996E-3</v>
      </c>
    </row>
    <row r="41" spans="2:5" ht="15" customHeight="1">
      <c r="B41" s="85"/>
      <c r="C41" s="60" t="s">
        <v>123</v>
      </c>
      <c r="D41" s="55">
        <v>5</v>
      </c>
      <c r="E41" s="56">
        <v>1.1655011655011999E-2</v>
      </c>
    </row>
    <row r="42" spans="2:5" ht="15" customHeight="1">
      <c r="B42" s="86"/>
      <c r="C42" s="69" t="s">
        <v>210</v>
      </c>
      <c r="D42" s="66">
        <v>11</v>
      </c>
      <c r="E42" s="68">
        <v>2.5641025641026001E-2</v>
      </c>
    </row>
    <row r="43" spans="2:5" ht="15" customHeight="1">
      <c r="B43" s="84" t="s">
        <v>81</v>
      </c>
      <c r="C43" s="60" t="s">
        <v>121</v>
      </c>
      <c r="D43" s="55">
        <v>1</v>
      </c>
      <c r="E43" s="56">
        <v>2.3310023310020001E-3</v>
      </c>
    </row>
    <row r="44" spans="2:5" ht="15" customHeight="1">
      <c r="B44" s="86"/>
      <c r="C44" s="69" t="s">
        <v>210</v>
      </c>
      <c r="D44" s="66">
        <v>1</v>
      </c>
      <c r="E44" s="68">
        <v>2.3310023310020001E-3</v>
      </c>
    </row>
    <row r="45" spans="2:5" ht="15" customHeight="1">
      <c r="B45" s="84" t="s">
        <v>57</v>
      </c>
      <c r="C45" s="60" t="s">
        <v>121</v>
      </c>
      <c r="D45" s="55">
        <v>1</v>
      </c>
      <c r="E45" s="56">
        <v>2.3310023310020001E-3</v>
      </c>
    </row>
    <row r="46" spans="2:5" ht="15" customHeight="1">
      <c r="B46" s="85"/>
      <c r="C46" s="60" t="s">
        <v>122</v>
      </c>
      <c r="D46" s="55">
        <v>1</v>
      </c>
      <c r="E46" s="56">
        <v>2.3310023310020001E-3</v>
      </c>
    </row>
    <row r="47" spans="2:5" ht="15" customHeight="1">
      <c r="B47" s="85"/>
      <c r="C47" s="60" t="s">
        <v>124</v>
      </c>
      <c r="D47" s="55">
        <v>1</v>
      </c>
      <c r="E47" s="56">
        <v>2.3310023310020001E-3</v>
      </c>
    </row>
    <row r="48" spans="2:5" ht="15" customHeight="1">
      <c r="B48" s="85"/>
      <c r="C48" s="60" t="s">
        <v>123</v>
      </c>
      <c r="D48" s="55">
        <v>1</v>
      </c>
      <c r="E48" s="56">
        <v>2.3310023310020001E-3</v>
      </c>
    </row>
    <row r="49" spans="2:5" ht="15" customHeight="1">
      <c r="B49" s="86"/>
      <c r="C49" s="69" t="s">
        <v>210</v>
      </c>
      <c r="D49" s="66">
        <v>4</v>
      </c>
      <c r="E49" s="68">
        <v>9.3240093240089996E-3</v>
      </c>
    </row>
    <row r="50" spans="2:5" ht="15" customHeight="1">
      <c r="B50" s="84" t="s">
        <v>48</v>
      </c>
      <c r="C50" s="60" t="s">
        <v>121</v>
      </c>
      <c r="D50" s="55">
        <v>15</v>
      </c>
      <c r="E50" s="56">
        <v>3.4965034965035002E-2</v>
      </c>
    </row>
    <row r="51" spans="2:5" ht="15" customHeight="1">
      <c r="B51" s="85"/>
      <c r="C51" s="60" t="s">
        <v>122</v>
      </c>
      <c r="D51" s="55">
        <v>6</v>
      </c>
      <c r="E51" s="56">
        <v>1.3986013986014E-2</v>
      </c>
    </row>
    <row r="52" spans="2:5" ht="15" customHeight="1">
      <c r="B52" s="85"/>
      <c r="C52" s="60" t="s">
        <v>124</v>
      </c>
      <c r="D52" s="55">
        <v>3</v>
      </c>
      <c r="E52" s="56">
        <v>6.9930069930069999E-3</v>
      </c>
    </row>
    <row r="53" spans="2:5" ht="15" customHeight="1">
      <c r="B53" s="85"/>
      <c r="C53" s="60" t="s">
        <v>123</v>
      </c>
      <c r="D53" s="55">
        <v>4</v>
      </c>
      <c r="E53" s="56">
        <v>9.3240093240089996E-3</v>
      </c>
    </row>
    <row r="54" spans="2:5" ht="15" customHeight="1">
      <c r="B54" s="86"/>
      <c r="C54" s="69" t="s">
        <v>210</v>
      </c>
      <c r="D54" s="66">
        <v>28</v>
      </c>
      <c r="E54" s="68">
        <v>6.5268065268065001E-2</v>
      </c>
    </row>
    <row r="55" spans="2:5" ht="15" customHeight="1">
      <c r="B55" s="84" t="s">
        <v>58</v>
      </c>
      <c r="C55" s="60" t="s">
        <v>121</v>
      </c>
      <c r="D55" s="55">
        <v>5</v>
      </c>
      <c r="E55" s="56">
        <v>1.1655011655011999E-2</v>
      </c>
    </row>
    <row r="56" spans="2:5" ht="15" customHeight="1">
      <c r="B56" s="85"/>
      <c r="C56" s="60" t="s">
        <v>122</v>
      </c>
      <c r="D56" s="55">
        <v>3</v>
      </c>
      <c r="E56" s="56">
        <v>6.9930069930069999E-3</v>
      </c>
    </row>
    <row r="57" spans="2:5" ht="15" customHeight="1">
      <c r="B57" s="85"/>
      <c r="C57" s="60" t="s">
        <v>124</v>
      </c>
      <c r="D57" s="55">
        <v>1</v>
      </c>
      <c r="E57" s="56">
        <v>2.3310023310020001E-3</v>
      </c>
    </row>
    <row r="58" spans="2:5" ht="15" customHeight="1">
      <c r="B58" s="85"/>
      <c r="C58" s="60" t="s">
        <v>123</v>
      </c>
      <c r="D58" s="55">
        <v>1</v>
      </c>
      <c r="E58" s="56">
        <v>2.3310023310020001E-3</v>
      </c>
    </row>
    <row r="59" spans="2:5" ht="15" customHeight="1">
      <c r="B59" s="86"/>
      <c r="C59" s="69" t="s">
        <v>210</v>
      </c>
      <c r="D59" s="66">
        <v>10</v>
      </c>
      <c r="E59" s="68">
        <v>2.3310023310022999E-2</v>
      </c>
    </row>
    <row r="60" spans="2:5" ht="15" customHeight="1">
      <c r="B60" s="84" t="s">
        <v>82</v>
      </c>
      <c r="C60" s="60" t="s">
        <v>122</v>
      </c>
      <c r="D60" s="55">
        <v>1</v>
      </c>
      <c r="E60" s="56">
        <v>2.3310023310020001E-3</v>
      </c>
    </row>
    <row r="61" spans="2:5" ht="15" customHeight="1">
      <c r="B61" s="85"/>
      <c r="C61" s="60" t="s">
        <v>124</v>
      </c>
      <c r="D61" s="55">
        <v>1</v>
      </c>
      <c r="E61" s="56">
        <v>2.3310023310020001E-3</v>
      </c>
    </row>
    <row r="62" spans="2:5" ht="15" customHeight="1">
      <c r="B62" s="86"/>
      <c r="C62" s="69" t="s">
        <v>210</v>
      </c>
      <c r="D62" s="66">
        <v>2</v>
      </c>
      <c r="E62" s="68">
        <v>4.6620046620050003E-3</v>
      </c>
    </row>
    <row r="63" spans="2:5" ht="15" customHeight="1">
      <c r="B63" s="84" t="s">
        <v>62</v>
      </c>
      <c r="C63" s="60" t="s">
        <v>121</v>
      </c>
      <c r="D63" s="55">
        <v>4</v>
      </c>
      <c r="E63" s="56">
        <v>9.3240093240089996E-3</v>
      </c>
    </row>
    <row r="64" spans="2:5" ht="15" customHeight="1">
      <c r="B64" s="85"/>
      <c r="C64" s="60" t="s">
        <v>122</v>
      </c>
      <c r="D64" s="55">
        <v>2</v>
      </c>
      <c r="E64" s="56">
        <v>4.6620046620050003E-3</v>
      </c>
    </row>
    <row r="65" spans="2:5" ht="15" customHeight="1">
      <c r="B65" s="85"/>
      <c r="C65" s="60" t="s">
        <v>123</v>
      </c>
      <c r="D65" s="55">
        <v>1</v>
      </c>
      <c r="E65" s="56">
        <v>2.3310023310020001E-3</v>
      </c>
    </row>
    <row r="66" spans="2:5" ht="15" customHeight="1">
      <c r="B66" s="86"/>
      <c r="C66" s="69" t="s">
        <v>210</v>
      </c>
      <c r="D66" s="66">
        <v>7</v>
      </c>
      <c r="E66" s="68">
        <v>1.6317016317016E-2</v>
      </c>
    </row>
    <row r="67" spans="2:5" ht="15" customHeight="1">
      <c r="B67" s="84" t="s">
        <v>83</v>
      </c>
      <c r="C67" s="60" t="s">
        <v>122</v>
      </c>
      <c r="D67" s="55">
        <v>2</v>
      </c>
      <c r="E67" s="56">
        <v>4.6620046620050003E-3</v>
      </c>
    </row>
    <row r="68" spans="2:5" ht="15" customHeight="1">
      <c r="B68" s="86"/>
      <c r="C68" s="69" t="s">
        <v>210</v>
      </c>
      <c r="D68" s="66">
        <v>2</v>
      </c>
      <c r="E68" s="68">
        <v>4.6620046620050003E-3</v>
      </c>
    </row>
    <row r="69" spans="2:5" ht="15" customHeight="1">
      <c r="B69" s="84" t="s">
        <v>55</v>
      </c>
      <c r="C69" s="60" t="s">
        <v>121</v>
      </c>
      <c r="D69" s="55">
        <v>5</v>
      </c>
      <c r="E69" s="56">
        <v>1.1655011655011999E-2</v>
      </c>
    </row>
    <row r="70" spans="2:5" ht="15" customHeight="1">
      <c r="B70" s="85"/>
      <c r="C70" s="60" t="s">
        <v>125</v>
      </c>
      <c r="D70" s="55">
        <v>1</v>
      </c>
      <c r="E70" s="56">
        <v>2.3310023310020001E-3</v>
      </c>
    </row>
    <row r="71" spans="2:5" ht="15" customHeight="1">
      <c r="B71" s="85"/>
      <c r="C71" s="60" t="s">
        <v>122</v>
      </c>
      <c r="D71" s="55">
        <v>3</v>
      </c>
      <c r="E71" s="56">
        <v>6.9930069930069999E-3</v>
      </c>
    </row>
    <row r="72" spans="2:5" ht="15" customHeight="1">
      <c r="B72" s="85"/>
      <c r="C72" s="60" t="s">
        <v>124</v>
      </c>
      <c r="D72" s="55">
        <v>1</v>
      </c>
      <c r="E72" s="56">
        <v>2.3310023310020001E-3</v>
      </c>
    </row>
    <row r="73" spans="2:5" ht="15" customHeight="1">
      <c r="B73" s="85"/>
      <c r="C73" s="60" t="s">
        <v>123</v>
      </c>
      <c r="D73" s="55">
        <v>1</v>
      </c>
      <c r="E73" s="56">
        <v>2.3310023310020001E-3</v>
      </c>
    </row>
    <row r="74" spans="2:5" ht="15" customHeight="1">
      <c r="B74" s="86"/>
      <c r="C74" s="69" t="s">
        <v>210</v>
      </c>
      <c r="D74" s="66">
        <v>11</v>
      </c>
      <c r="E74" s="68">
        <v>2.5641025641026001E-2</v>
      </c>
    </row>
    <row r="75" spans="2:5" ht="15" customHeight="1">
      <c r="B75" s="84" t="s">
        <v>65</v>
      </c>
      <c r="C75" s="60" t="s">
        <v>121</v>
      </c>
      <c r="D75" s="55">
        <v>3</v>
      </c>
      <c r="E75" s="56">
        <v>6.9930069930069999E-3</v>
      </c>
    </row>
    <row r="76" spans="2:5" ht="15" customHeight="1">
      <c r="B76" s="85"/>
      <c r="C76" s="60" t="s">
        <v>122</v>
      </c>
      <c r="D76" s="55">
        <v>3</v>
      </c>
      <c r="E76" s="56">
        <v>6.9930069930069999E-3</v>
      </c>
    </row>
    <row r="77" spans="2:5" ht="15" customHeight="1">
      <c r="B77" s="85"/>
      <c r="C77" s="60" t="s">
        <v>124</v>
      </c>
      <c r="D77" s="55">
        <v>1</v>
      </c>
      <c r="E77" s="56">
        <v>2.3310023310020001E-3</v>
      </c>
    </row>
    <row r="78" spans="2:5" ht="15" customHeight="1">
      <c r="B78" s="86"/>
      <c r="C78" s="69" t="s">
        <v>210</v>
      </c>
      <c r="D78" s="66">
        <v>7</v>
      </c>
      <c r="E78" s="68">
        <v>1.6317016317016E-2</v>
      </c>
    </row>
    <row r="79" spans="2:5" ht="15" customHeight="1">
      <c r="B79" s="84" t="s">
        <v>47</v>
      </c>
      <c r="C79" s="60" t="s">
        <v>121</v>
      </c>
      <c r="D79" s="55">
        <v>23</v>
      </c>
      <c r="E79" s="56">
        <v>5.3613053613053997E-2</v>
      </c>
    </row>
    <row r="80" spans="2:5" ht="15" customHeight="1">
      <c r="B80" s="85"/>
      <c r="C80" s="60" t="s">
        <v>125</v>
      </c>
      <c r="D80" s="55">
        <v>1</v>
      </c>
      <c r="E80" s="56">
        <v>2.3310023310020001E-3</v>
      </c>
    </row>
    <row r="81" spans="2:5" ht="15" customHeight="1">
      <c r="B81" s="85"/>
      <c r="C81" s="60" t="s">
        <v>122</v>
      </c>
      <c r="D81" s="55">
        <v>22</v>
      </c>
      <c r="E81" s="56">
        <v>5.1282051282051003E-2</v>
      </c>
    </row>
    <row r="82" spans="2:5" ht="15" customHeight="1">
      <c r="B82" s="85"/>
      <c r="C82" s="60" t="s">
        <v>124</v>
      </c>
      <c r="D82" s="55">
        <v>2</v>
      </c>
      <c r="E82" s="56">
        <v>4.6620046620050003E-3</v>
      </c>
    </row>
    <row r="83" spans="2:5" ht="15" customHeight="1">
      <c r="B83" s="85"/>
      <c r="C83" s="60" t="s">
        <v>123</v>
      </c>
      <c r="D83" s="55">
        <v>1</v>
      </c>
      <c r="E83" s="56">
        <v>2.3310023310020001E-3</v>
      </c>
    </row>
    <row r="84" spans="2:5" ht="15" customHeight="1">
      <c r="B84" s="86"/>
      <c r="C84" s="69" t="s">
        <v>210</v>
      </c>
      <c r="D84" s="66">
        <v>49</v>
      </c>
      <c r="E84" s="68">
        <v>0.114219114219114</v>
      </c>
    </row>
    <row r="85" spans="2:5" ht="15" customHeight="1">
      <c r="B85" s="84" t="s">
        <v>84</v>
      </c>
      <c r="C85" s="60" t="s">
        <v>122</v>
      </c>
      <c r="D85" s="55">
        <v>1</v>
      </c>
      <c r="E85" s="56">
        <v>2.3310023310020001E-3</v>
      </c>
    </row>
    <row r="86" spans="2:5" ht="15" customHeight="1">
      <c r="B86" s="86"/>
      <c r="C86" s="69" t="s">
        <v>210</v>
      </c>
      <c r="D86" s="66">
        <v>1</v>
      </c>
      <c r="E86" s="68">
        <v>2.3310023310020001E-3</v>
      </c>
    </row>
    <row r="87" spans="2:5" ht="15" customHeight="1">
      <c r="B87" s="84" t="s">
        <v>71</v>
      </c>
      <c r="C87" s="60" t="s">
        <v>121</v>
      </c>
      <c r="D87" s="55">
        <v>1</v>
      </c>
      <c r="E87" s="56">
        <v>2.3310023310020001E-3</v>
      </c>
    </row>
    <row r="88" spans="2:5" ht="15" customHeight="1">
      <c r="B88" s="85"/>
      <c r="C88" s="60" t="s">
        <v>123</v>
      </c>
      <c r="D88" s="55">
        <v>1</v>
      </c>
      <c r="E88" s="56">
        <v>2.3310023310020001E-3</v>
      </c>
    </row>
    <row r="89" spans="2:5" ht="15" customHeight="1">
      <c r="B89" s="86"/>
      <c r="C89" s="69" t="s">
        <v>210</v>
      </c>
      <c r="D89" s="66">
        <v>2</v>
      </c>
      <c r="E89" s="68">
        <v>4.6620046620050003E-3</v>
      </c>
    </row>
    <row r="90" spans="2:5" ht="15" customHeight="1">
      <c r="B90" s="84" t="s">
        <v>88</v>
      </c>
      <c r="C90" s="60" t="s">
        <v>121</v>
      </c>
      <c r="D90" s="55">
        <v>1</v>
      </c>
      <c r="E90" s="56">
        <v>2.3310023310020001E-3</v>
      </c>
    </row>
    <row r="91" spans="2:5" ht="15" customHeight="1">
      <c r="B91" s="85"/>
      <c r="C91" s="60" t="s">
        <v>124</v>
      </c>
      <c r="D91" s="55">
        <v>1</v>
      </c>
      <c r="E91" s="56">
        <v>2.3310023310020001E-3</v>
      </c>
    </row>
    <row r="92" spans="2:5" ht="15" customHeight="1">
      <c r="B92" s="85"/>
      <c r="C92" s="60" t="s">
        <v>123</v>
      </c>
      <c r="D92" s="55">
        <v>1</v>
      </c>
      <c r="E92" s="56">
        <v>2.3310023310020001E-3</v>
      </c>
    </row>
    <row r="93" spans="2:5" ht="15" customHeight="1">
      <c r="B93" s="86"/>
      <c r="C93" s="69" t="s">
        <v>210</v>
      </c>
      <c r="D93" s="66">
        <v>3</v>
      </c>
      <c r="E93" s="68">
        <v>6.9930069930069999E-3</v>
      </c>
    </row>
    <row r="94" spans="2:5" ht="15" customHeight="1">
      <c r="B94" s="84" t="s">
        <v>72</v>
      </c>
      <c r="C94" s="60" t="s">
        <v>122</v>
      </c>
      <c r="D94" s="55">
        <v>2</v>
      </c>
      <c r="E94" s="56">
        <v>4.6620046620050003E-3</v>
      </c>
    </row>
    <row r="95" spans="2:5" ht="15" customHeight="1">
      <c r="B95" s="86"/>
      <c r="C95" s="69" t="s">
        <v>210</v>
      </c>
      <c r="D95" s="66">
        <v>2</v>
      </c>
      <c r="E95" s="68">
        <v>4.6620046620050003E-3</v>
      </c>
    </row>
    <row r="96" spans="2:5" ht="15" customHeight="1">
      <c r="B96" s="84" t="s">
        <v>85</v>
      </c>
      <c r="C96" s="60" t="s">
        <v>122</v>
      </c>
      <c r="D96" s="55">
        <v>1</v>
      </c>
      <c r="E96" s="56">
        <v>2.3310023310020001E-3</v>
      </c>
    </row>
    <row r="97" spans="2:5" ht="15" customHeight="1">
      <c r="B97" s="85"/>
      <c r="C97" s="60" t="s">
        <v>124</v>
      </c>
      <c r="D97" s="55">
        <v>1</v>
      </c>
      <c r="E97" s="56">
        <v>2.3310023310020001E-3</v>
      </c>
    </row>
    <row r="98" spans="2:5" ht="15" customHeight="1">
      <c r="B98" s="86"/>
      <c r="C98" s="69" t="s">
        <v>210</v>
      </c>
      <c r="D98" s="66">
        <v>2</v>
      </c>
      <c r="E98" s="68">
        <v>4.6620046620050003E-3</v>
      </c>
    </row>
    <row r="99" spans="2:5" ht="15" customHeight="1">
      <c r="B99" s="84" t="s">
        <v>86</v>
      </c>
      <c r="C99" s="60" t="s">
        <v>121</v>
      </c>
      <c r="D99" s="55">
        <v>1</v>
      </c>
      <c r="E99" s="56">
        <v>2.3310023310020001E-3</v>
      </c>
    </row>
    <row r="100" spans="2:5" ht="15" customHeight="1">
      <c r="B100" s="85"/>
      <c r="C100" s="60" t="s">
        <v>122</v>
      </c>
      <c r="D100" s="55">
        <v>1</v>
      </c>
      <c r="E100" s="56">
        <v>2.3310023310020001E-3</v>
      </c>
    </row>
    <row r="101" spans="2:5" ht="15" customHeight="1">
      <c r="B101" s="85"/>
      <c r="C101" s="60" t="s">
        <v>124</v>
      </c>
      <c r="D101" s="55">
        <v>1</v>
      </c>
      <c r="E101" s="56">
        <v>2.3310023310020001E-3</v>
      </c>
    </row>
    <row r="102" spans="2:5" ht="15" customHeight="1">
      <c r="B102" s="85"/>
      <c r="C102" s="60" t="s">
        <v>123</v>
      </c>
      <c r="D102" s="55">
        <v>1</v>
      </c>
      <c r="E102" s="56">
        <v>2.3310023310020001E-3</v>
      </c>
    </row>
    <row r="103" spans="2:5" ht="15" customHeight="1">
      <c r="B103" s="86"/>
      <c r="C103" s="69" t="s">
        <v>210</v>
      </c>
      <c r="D103" s="66">
        <v>4</v>
      </c>
      <c r="E103" s="68">
        <v>9.3240093240089996E-3</v>
      </c>
    </row>
    <row r="104" spans="2:5" ht="15" customHeight="1">
      <c r="B104" s="84" t="s">
        <v>69</v>
      </c>
      <c r="C104" s="60" t="s">
        <v>121</v>
      </c>
      <c r="D104" s="55">
        <v>1</v>
      </c>
      <c r="E104" s="56">
        <v>2.3310023310020001E-3</v>
      </c>
    </row>
    <row r="105" spans="2:5" ht="15" customHeight="1">
      <c r="B105" s="85"/>
      <c r="C105" s="60" t="s">
        <v>122</v>
      </c>
      <c r="D105" s="55">
        <v>3</v>
      </c>
      <c r="E105" s="56">
        <v>6.9930069930069999E-3</v>
      </c>
    </row>
    <row r="106" spans="2:5" ht="15" customHeight="1">
      <c r="B106" s="85"/>
      <c r="C106" s="60" t="s">
        <v>124</v>
      </c>
      <c r="D106" s="55">
        <v>1</v>
      </c>
      <c r="E106" s="56">
        <v>2.3310023310020001E-3</v>
      </c>
    </row>
    <row r="107" spans="2:5" ht="15" customHeight="1">
      <c r="B107" s="85"/>
      <c r="C107" s="60" t="s">
        <v>123</v>
      </c>
      <c r="D107" s="55">
        <v>2</v>
      </c>
      <c r="E107" s="56">
        <v>4.6620046620050003E-3</v>
      </c>
    </row>
    <row r="108" spans="2:5" ht="15" customHeight="1">
      <c r="B108" s="86"/>
      <c r="C108" s="69" t="s">
        <v>210</v>
      </c>
      <c r="D108" s="66">
        <v>7</v>
      </c>
      <c r="E108" s="68">
        <v>1.6317016317016E-2</v>
      </c>
    </row>
    <row r="109" spans="2:5" ht="15" customHeight="1">
      <c r="B109" s="84" t="s">
        <v>87</v>
      </c>
      <c r="C109" s="60" t="s">
        <v>122</v>
      </c>
      <c r="D109" s="55">
        <v>3</v>
      </c>
      <c r="E109" s="56">
        <v>6.9930069930069999E-3</v>
      </c>
    </row>
    <row r="110" spans="2:5" ht="15" customHeight="1">
      <c r="B110" s="85"/>
      <c r="C110" s="60" t="s">
        <v>124</v>
      </c>
      <c r="D110" s="55">
        <v>1</v>
      </c>
      <c r="E110" s="56">
        <v>2.3310023310020001E-3</v>
      </c>
    </row>
    <row r="111" spans="2:5" ht="15" customHeight="1">
      <c r="B111" s="86"/>
      <c r="C111" s="69" t="s">
        <v>210</v>
      </c>
      <c r="D111" s="66">
        <v>4</v>
      </c>
      <c r="E111" s="68">
        <v>9.3240093240089996E-3</v>
      </c>
    </row>
    <row r="112" spans="2:5" ht="15" customHeight="1">
      <c r="B112" s="84" t="s">
        <v>73</v>
      </c>
      <c r="C112" s="60" t="s">
        <v>121</v>
      </c>
      <c r="D112" s="55">
        <v>3</v>
      </c>
      <c r="E112" s="56">
        <v>6.9930069930069999E-3</v>
      </c>
    </row>
    <row r="113" spans="2:5" ht="15" customHeight="1">
      <c r="B113" s="85"/>
      <c r="C113" s="60" t="s">
        <v>122</v>
      </c>
      <c r="D113" s="55">
        <v>1</v>
      </c>
      <c r="E113" s="56">
        <v>2.3310023310020001E-3</v>
      </c>
    </row>
    <row r="114" spans="2:5" ht="15" customHeight="1">
      <c r="B114" s="85"/>
      <c r="C114" s="60" t="s">
        <v>124</v>
      </c>
      <c r="D114" s="55">
        <v>1</v>
      </c>
      <c r="E114" s="56">
        <v>2.3310023310020001E-3</v>
      </c>
    </row>
    <row r="115" spans="2:5" ht="15" customHeight="1">
      <c r="B115" s="85"/>
      <c r="C115" s="60" t="s">
        <v>123</v>
      </c>
      <c r="D115" s="55">
        <v>7</v>
      </c>
      <c r="E115" s="56">
        <v>1.6317016317016E-2</v>
      </c>
    </row>
    <row r="116" spans="2:5" ht="15" customHeight="1">
      <c r="B116" s="86"/>
      <c r="C116" s="69" t="s">
        <v>210</v>
      </c>
      <c r="D116" s="66">
        <v>12</v>
      </c>
      <c r="E116" s="68">
        <v>2.7972027972028E-2</v>
      </c>
    </row>
    <row r="117" spans="2:5" ht="15" customHeight="1">
      <c r="B117" s="84" t="s">
        <v>51</v>
      </c>
      <c r="C117" s="60" t="s">
        <v>121</v>
      </c>
      <c r="D117" s="55">
        <v>7</v>
      </c>
      <c r="E117" s="56">
        <v>1.6317016317016E-2</v>
      </c>
    </row>
    <row r="118" spans="2:5" ht="15" customHeight="1">
      <c r="B118" s="85"/>
      <c r="C118" s="60" t="s">
        <v>122</v>
      </c>
      <c r="D118" s="55">
        <v>2</v>
      </c>
      <c r="E118" s="56">
        <v>4.6620046620050003E-3</v>
      </c>
    </row>
    <row r="119" spans="2:5" ht="15" customHeight="1">
      <c r="B119" s="85"/>
      <c r="C119" s="60" t="s">
        <v>123</v>
      </c>
      <c r="D119" s="55">
        <v>8</v>
      </c>
      <c r="E119" s="56">
        <v>1.8648018648018998E-2</v>
      </c>
    </row>
    <row r="120" spans="2:5" ht="15" customHeight="1">
      <c r="B120" s="86"/>
      <c r="C120" s="69" t="s">
        <v>210</v>
      </c>
      <c r="D120" s="66">
        <v>17</v>
      </c>
      <c r="E120" s="68">
        <v>3.9627039627039999E-2</v>
      </c>
    </row>
    <row r="121" spans="2:5" ht="15" customHeight="1">
      <c r="B121" s="84" t="s">
        <v>56</v>
      </c>
      <c r="C121" s="60" t="s">
        <v>121</v>
      </c>
      <c r="D121" s="55">
        <v>4</v>
      </c>
      <c r="E121" s="56">
        <v>9.3240093240089996E-3</v>
      </c>
    </row>
    <row r="122" spans="2:5" ht="15" customHeight="1">
      <c r="B122" s="85"/>
      <c r="C122" s="60" t="s">
        <v>125</v>
      </c>
      <c r="D122" s="55">
        <v>1</v>
      </c>
      <c r="E122" s="56">
        <v>2.3310023310020001E-3</v>
      </c>
    </row>
    <row r="123" spans="2:5" ht="15" customHeight="1">
      <c r="B123" s="85"/>
      <c r="C123" s="60" t="s">
        <v>122</v>
      </c>
      <c r="D123" s="55">
        <v>2</v>
      </c>
      <c r="E123" s="56">
        <v>4.6620046620050003E-3</v>
      </c>
    </row>
    <row r="124" spans="2:5" ht="15" customHeight="1">
      <c r="B124" s="85"/>
      <c r="C124" s="60" t="s">
        <v>123</v>
      </c>
      <c r="D124" s="55">
        <v>1</v>
      </c>
      <c r="E124" s="56">
        <v>2.3310023310020001E-3</v>
      </c>
    </row>
    <row r="125" spans="2:5" ht="15" customHeight="1">
      <c r="B125" s="86"/>
      <c r="C125" s="69" t="s">
        <v>210</v>
      </c>
      <c r="D125" s="66">
        <v>8</v>
      </c>
      <c r="E125" s="68">
        <v>1.8648018648018998E-2</v>
      </c>
    </row>
    <row r="126" spans="2:5" ht="15" customHeight="1">
      <c r="B126" s="84" t="s">
        <v>76</v>
      </c>
      <c r="C126" s="60" t="s">
        <v>121</v>
      </c>
      <c r="D126" s="55">
        <v>2</v>
      </c>
      <c r="E126" s="56">
        <v>4.6620046620050003E-3</v>
      </c>
    </row>
    <row r="127" spans="2:5" ht="15" customHeight="1">
      <c r="B127" s="85"/>
      <c r="C127" s="60" t="s">
        <v>122</v>
      </c>
      <c r="D127" s="55">
        <v>3</v>
      </c>
      <c r="E127" s="56">
        <v>6.9930069930069999E-3</v>
      </c>
    </row>
    <row r="128" spans="2:5" ht="15" customHeight="1">
      <c r="B128" s="85"/>
      <c r="C128" s="60" t="s">
        <v>123</v>
      </c>
      <c r="D128" s="55">
        <v>2</v>
      </c>
      <c r="E128" s="56">
        <v>4.6620046620050003E-3</v>
      </c>
    </row>
    <row r="129" spans="2:5" ht="15" customHeight="1">
      <c r="B129" s="86"/>
      <c r="C129" s="69" t="s">
        <v>210</v>
      </c>
      <c r="D129" s="66">
        <v>7</v>
      </c>
      <c r="E129" s="68">
        <v>1.6317016317016E-2</v>
      </c>
    </row>
    <row r="130" spans="2:5" ht="15" customHeight="1">
      <c r="B130" s="84" t="s">
        <v>89</v>
      </c>
      <c r="C130" s="60" t="s">
        <v>122</v>
      </c>
      <c r="D130" s="55">
        <v>1</v>
      </c>
      <c r="E130" s="56">
        <v>2.3310023310020001E-3</v>
      </c>
    </row>
    <row r="131" spans="2:5" ht="15" customHeight="1">
      <c r="B131" s="86"/>
      <c r="C131" s="69" t="s">
        <v>210</v>
      </c>
      <c r="D131" s="66">
        <v>1</v>
      </c>
      <c r="E131" s="68">
        <v>2.3310023310020001E-3</v>
      </c>
    </row>
    <row r="132" spans="2:5" ht="15" customHeight="1">
      <c r="B132" s="84" t="s">
        <v>54</v>
      </c>
      <c r="C132" s="60" t="s">
        <v>121</v>
      </c>
      <c r="D132" s="55">
        <v>6</v>
      </c>
      <c r="E132" s="56">
        <v>1.3986013986014E-2</v>
      </c>
    </row>
    <row r="133" spans="2:5" ht="15" customHeight="1">
      <c r="B133" s="85"/>
      <c r="C133" s="60" t="s">
        <v>122</v>
      </c>
      <c r="D133" s="55">
        <v>10</v>
      </c>
      <c r="E133" s="56">
        <v>2.3310023310022999E-2</v>
      </c>
    </row>
    <row r="134" spans="2:5" ht="15" customHeight="1">
      <c r="B134" s="85"/>
      <c r="C134" s="60" t="s">
        <v>124</v>
      </c>
      <c r="D134" s="55">
        <v>7</v>
      </c>
      <c r="E134" s="56">
        <v>1.6317016317016E-2</v>
      </c>
    </row>
    <row r="135" spans="2:5" ht="15" customHeight="1">
      <c r="B135" s="85"/>
      <c r="C135" s="60" t="s">
        <v>123</v>
      </c>
      <c r="D135" s="55">
        <v>6</v>
      </c>
      <c r="E135" s="56">
        <v>1.3986013986014E-2</v>
      </c>
    </row>
    <row r="136" spans="2:5" ht="15" customHeight="1">
      <c r="B136" s="86"/>
      <c r="C136" s="69" t="s">
        <v>210</v>
      </c>
      <c r="D136" s="66">
        <v>29</v>
      </c>
      <c r="E136" s="68">
        <v>6.7599067599068002E-2</v>
      </c>
    </row>
    <row r="137" spans="2:5" ht="15" customHeight="1">
      <c r="B137" s="84" t="s">
        <v>59</v>
      </c>
      <c r="C137" s="60" t="s">
        <v>121</v>
      </c>
      <c r="D137" s="55">
        <v>11</v>
      </c>
      <c r="E137" s="56">
        <v>2.5641025641026001E-2</v>
      </c>
    </row>
    <row r="138" spans="2:5" ht="15" customHeight="1">
      <c r="B138" s="85"/>
      <c r="C138" s="60" t="s">
        <v>122</v>
      </c>
      <c r="D138" s="55">
        <v>2</v>
      </c>
      <c r="E138" s="56">
        <v>4.6620046620050003E-3</v>
      </c>
    </row>
    <row r="139" spans="2:5" ht="15" customHeight="1">
      <c r="B139" s="85"/>
      <c r="C139" s="60" t="s">
        <v>126</v>
      </c>
      <c r="D139" s="55">
        <v>1</v>
      </c>
      <c r="E139" s="56">
        <v>2.3310023310020001E-3</v>
      </c>
    </row>
    <row r="140" spans="2:5" ht="15" customHeight="1">
      <c r="B140" s="85"/>
      <c r="C140" s="60" t="s">
        <v>123</v>
      </c>
      <c r="D140" s="55">
        <v>3</v>
      </c>
      <c r="E140" s="56">
        <v>6.9930069930069999E-3</v>
      </c>
    </row>
    <row r="141" spans="2:5" ht="15" customHeight="1">
      <c r="B141" s="86"/>
      <c r="C141" s="69" t="s">
        <v>210</v>
      </c>
      <c r="D141" s="66">
        <v>17</v>
      </c>
      <c r="E141" s="68">
        <v>3.9627039627039999E-2</v>
      </c>
    </row>
    <row r="142" spans="2:5" ht="15" customHeight="1">
      <c r="B142" s="84" t="s">
        <v>77</v>
      </c>
      <c r="C142" s="60" t="s">
        <v>121</v>
      </c>
      <c r="D142" s="55">
        <v>3</v>
      </c>
      <c r="E142" s="56">
        <v>6.9930069930069999E-3</v>
      </c>
    </row>
    <row r="143" spans="2:5" ht="15" customHeight="1">
      <c r="B143" s="85"/>
      <c r="C143" s="60" t="s">
        <v>122</v>
      </c>
      <c r="D143" s="55">
        <v>3</v>
      </c>
      <c r="E143" s="56">
        <v>6.9930069930069999E-3</v>
      </c>
    </row>
    <row r="144" spans="2:5" ht="15" customHeight="1">
      <c r="B144" s="85"/>
      <c r="C144" s="60" t="s">
        <v>124</v>
      </c>
      <c r="D144" s="55">
        <v>1</v>
      </c>
      <c r="E144" s="56">
        <v>2.3310023310020001E-3</v>
      </c>
    </row>
    <row r="145" spans="2:5" ht="15" customHeight="1">
      <c r="B145" s="85"/>
      <c r="C145" s="60" t="s">
        <v>123</v>
      </c>
      <c r="D145" s="55">
        <v>1</v>
      </c>
      <c r="E145" s="56">
        <v>2.3310023310020001E-3</v>
      </c>
    </row>
    <row r="146" spans="2:5" ht="15" customHeight="1">
      <c r="B146" s="86"/>
      <c r="C146" s="69" t="s">
        <v>210</v>
      </c>
      <c r="D146" s="66">
        <v>8</v>
      </c>
      <c r="E146" s="68">
        <v>1.8648018648018998E-2</v>
      </c>
    </row>
    <row r="147" spans="2:5" ht="15" customHeight="1">
      <c r="B147" s="84" t="s">
        <v>63</v>
      </c>
      <c r="C147" s="60" t="s">
        <v>121</v>
      </c>
      <c r="D147" s="55">
        <v>3</v>
      </c>
      <c r="E147" s="56">
        <v>6.9930069930069999E-3</v>
      </c>
    </row>
    <row r="148" spans="2:5" ht="15" customHeight="1">
      <c r="B148" s="85"/>
      <c r="C148" s="60" t="s">
        <v>122</v>
      </c>
      <c r="D148" s="55">
        <v>5</v>
      </c>
      <c r="E148" s="56">
        <v>1.1655011655011999E-2</v>
      </c>
    </row>
    <row r="149" spans="2:5" ht="15" customHeight="1">
      <c r="B149" s="85"/>
      <c r="C149" s="60" t="s">
        <v>126</v>
      </c>
      <c r="D149" s="55">
        <v>1</v>
      </c>
      <c r="E149" s="56">
        <v>2.3310023310020001E-3</v>
      </c>
    </row>
    <row r="150" spans="2:5" ht="15" customHeight="1">
      <c r="B150" s="85"/>
      <c r="C150" s="60" t="s">
        <v>124</v>
      </c>
      <c r="D150" s="55">
        <v>5</v>
      </c>
      <c r="E150" s="56">
        <v>1.1655011655011999E-2</v>
      </c>
    </row>
    <row r="151" spans="2:5" ht="15" customHeight="1">
      <c r="B151" s="86"/>
      <c r="C151" s="69" t="s">
        <v>210</v>
      </c>
      <c r="D151" s="66">
        <v>14</v>
      </c>
      <c r="E151" s="68">
        <v>3.2634032634033E-2</v>
      </c>
    </row>
    <row r="152" spans="2:5" ht="15" customHeight="1">
      <c r="B152" s="84" t="s">
        <v>74</v>
      </c>
      <c r="C152" s="60" t="s">
        <v>121</v>
      </c>
      <c r="D152" s="55">
        <v>1</v>
      </c>
      <c r="E152" s="56">
        <v>2.3310023310020001E-3</v>
      </c>
    </row>
    <row r="153" spans="2:5" ht="15" customHeight="1">
      <c r="B153" s="85"/>
      <c r="C153" s="60" t="s">
        <v>122</v>
      </c>
      <c r="D153" s="55">
        <v>3</v>
      </c>
      <c r="E153" s="56">
        <v>6.9930069930069999E-3</v>
      </c>
    </row>
    <row r="154" spans="2:5" ht="15" customHeight="1">
      <c r="B154" s="86"/>
      <c r="C154" s="69" t="s">
        <v>210</v>
      </c>
      <c r="D154" s="66">
        <v>4</v>
      </c>
      <c r="E154" s="68">
        <v>9.3240093240089996E-3</v>
      </c>
    </row>
    <row r="155" spans="2:5" ht="15" customHeight="1">
      <c r="B155" s="84" t="s">
        <v>53</v>
      </c>
      <c r="C155" s="60" t="s">
        <v>121</v>
      </c>
      <c r="D155" s="55">
        <v>8</v>
      </c>
      <c r="E155" s="56">
        <v>1.8648018648018998E-2</v>
      </c>
    </row>
    <row r="156" spans="2:5" ht="15" customHeight="1">
      <c r="B156" s="85"/>
      <c r="C156" s="60" t="s">
        <v>122</v>
      </c>
      <c r="D156" s="55">
        <v>10</v>
      </c>
      <c r="E156" s="56">
        <v>2.3310023310022999E-2</v>
      </c>
    </row>
    <row r="157" spans="2:5" ht="15" customHeight="1">
      <c r="B157" s="85"/>
      <c r="C157" s="60" t="s">
        <v>124</v>
      </c>
      <c r="D157" s="55">
        <v>1</v>
      </c>
      <c r="E157" s="56">
        <v>2.3310023310020001E-3</v>
      </c>
    </row>
    <row r="158" spans="2:5" ht="15" customHeight="1">
      <c r="B158" s="85"/>
      <c r="C158" s="60" t="s">
        <v>123</v>
      </c>
      <c r="D158" s="55">
        <v>3</v>
      </c>
      <c r="E158" s="56">
        <v>6.9930069930069999E-3</v>
      </c>
    </row>
    <row r="159" spans="2:5" ht="15" customHeight="1">
      <c r="B159" s="86"/>
      <c r="C159" s="69" t="s">
        <v>210</v>
      </c>
      <c r="D159" s="66">
        <v>22</v>
      </c>
      <c r="E159" s="68">
        <v>5.1282051282051003E-2</v>
      </c>
    </row>
    <row r="160" spans="2:5" ht="15" customHeight="1">
      <c r="B160" s="84" t="s">
        <v>66</v>
      </c>
      <c r="C160" s="60" t="s">
        <v>121</v>
      </c>
      <c r="D160" s="55">
        <v>8</v>
      </c>
      <c r="E160" s="56">
        <v>1.8648018648018998E-2</v>
      </c>
    </row>
    <row r="161" spans="2:5" ht="15" customHeight="1">
      <c r="B161" s="85"/>
      <c r="C161" s="60" t="s">
        <v>122</v>
      </c>
      <c r="D161" s="55">
        <v>4</v>
      </c>
      <c r="E161" s="56">
        <v>9.3240093240089996E-3</v>
      </c>
    </row>
    <row r="162" spans="2:5" ht="15" customHeight="1">
      <c r="B162" s="85"/>
      <c r="C162" s="60" t="s">
        <v>124</v>
      </c>
      <c r="D162" s="55">
        <v>1</v>
      </c>
      <c r="E162" s="56">
        <v>2.3310023310020001E-3</v>
      </c>
    </row>
    <row r="163" spans="2:5" ht="15" customHeight="1">
      <c r="B163" s="85"/>
      <c r="C163" s="60" t="s">
        <v>123</v>
      </c>
      <c r="D163" s="55">
        <v>2</v>
      </c>
      <c r="E163" s="56">
        <v>4.6620046620050003E-3</v>
      </c>
    </row>
    <row r="164" spans="2:5" ht="15" customHeight="1">
      <c r="B164" s="86"/>
      <c r="C164" s="69" t="s">
        <v>210</v>
      </c>
      <c r="D164" s="66">
        <v>15</v>
      </c>
      <c r="E164" s="68">
        <v>3.4965034965035002E-2</v>
      </c>
    </row>
    <row r="165" spans="2:5" ht="15" customHeight="1">
      <c r="B165" s="84" t="s">
        <v>60</v>
      </c>
      <c r="C165" s="60" t="s">
        <v>121</v>
      </c>
      <c r="D165" s="55">
        <v>1</v>
      </c>
      <c r="E165" s="56">
        <v>2.3310023310020001E-3</v>
      </c>
    </row>
    <row r="166" spans="2:5" ht="15" customHeight="1">
      <c r="B166" s="85"/>
      <c r="C166" s="60" t="s">
        <v>122</v>
      </c>
      <c r="D166" s="55">
        <v>5</v>
      </c>
      <c r="E166" s="56">
        <v>1.1655011655011999E-2</v>
      </c>
    </row>
    <row r="167" spans="2:5" ht="15" customHeight="1">
      <c r="B167" s="86"/>
      <c r="C167" s="69" t="s">
        <v>210</v>
      </c>
      <c r="D167" s="66">
        <v>6</v>
      </c>
      <c r="E167" s="68">
        <v>1.3986013986014E-2</v>
      </c>
    </row>
    <row r="168" spans="2:5" ht="15" customHeight="1">
      <c r="B168" s="84" t="s">
        <v>61</v>
      </c>
      <c r="C168" s="60" t="s">
        <v>121</v>
      </c>
      <c r="D168" s="55">
        <v>8</v>
      </c>
      <c r="E168" s="56">
        <v>1.8648018648018998E-2</v>
      </c>
    </row>
    <row r="169" spans="2:5" ht="15" customHeight="1">
      <c r="B169" s="85"/>
      <c r="C169" s="60" t="s">
        <v>122</v>
      </c>
      <c r="D169" s="55">
        <v>2</v>
      </c>
      <c r="E169" s="56">
        <v>4.6620046620050003E-3</v>
      </c>
    </row>
    <row r="170" spans="2:5" ht="15" customHeight="1">
      <c r="B170" s="85"/>
      <c r="C170" s="60" t="s">
        <v>123</v>
      </c>
      <c r="D170" s="55">
        <v>4</v>
      </c>
      <c r="E170" s="56">
        <v>9.3240093240089996E-3</v>
      </c>
    </row>
    <row r="171" spans="2:5" ht="15" customHeight="1">
      <c r="B171" s="86"/>
      <c r="C171" s="69" t="s">
        <v>210</v>
      </c>
      <c r="D171" s="66">
        <v>14</v>
      </c>
      <c r="E171" s="68">
        <v>3.2634032634033E-2</v>
      </c>
    </row>
    <row r="172" spans="2:5" ht="15" customHeight="1">
      <c r="B172" s="84" t="s">
        <v>52</v>
      </c>
      <c r="C172" s="60" t="s">
        <v>121</v>
      </c>
      <c r="D172" s="55">
        <v>7</v>
      </c>
      <c r="E172" s="56">
        <v>1.6317016317016E-2</v>
      </c>
    </row>
    <row r="173" spans="2:5" ht="15" customHeight="1">
      <c r="B173" s="85"/>
      <c r="C173" s="60" t="s">
        <v>125</v>
      </c>
      <c r="D173" s="55">
        <v>1</v>
      </c>
      <c r="E173" s="56">
        <v>2.3310023310020001E-3</v>
      </c>
    </row>
    <row r="174" spans="2:5" ht="15" customHeight="1">
      <c r="B174" s="85"/>
      <c r="C174" s="60" t="s">
        <v>122</v>
      </c>
      <c r="D174" s="55">
        <v>3</v>
      </c>
      <c r="E174" s="56">
        <v>6.9930069930069999E-3</v>
      </c>
    </row>
    <row r="175" spans="2:5" ht="15" customHeight="1">
      <c r="B175" s="85"/>
      <c r="C175" s="60" t="s">
        <v>124</v>
      </c>
      <c r="D175" s="55">
        <v>4</v>
      </c>
      <c r="E175" s="56">
        <v>9.3240093240089996E-3</v>
      </c>
    </row>
    <row r="176" spans="2:5" ht="15" customHeight="1">
      <c r="B176" s="85"/>
      <c r="C176" s="60" t="s">
        <v>123</v>
      </c>
      <c r="D176" s="55">
        <v>5</v>
      </c>
      <c r="E176" s="56">
        <v>1.1655011655011999E-2</v>
      </c>
    </row>
    <row r="177" spans="2:5" ht="15" customHeight="1">
      <c r="B177" s="86"/>
      <c r="C177" s="69" t="s">
        <v>210</v>
      </c>
      <c r="D177" s="66">
        <v>20</v>
      </c>
      <c r="E177" s="68">
        <v>4.6620046620046998E-2</v>
      </c>
    </row>
    <row r="178" spans="2:5" ht="15" customHeight="1">
      <c r="B178" s="84" t="s">
        <v>70</v>
      </c>
      <c r="C178" s="60" t="s">
        <v>122</v>
      </c>
      <c r="D178" s="55">
        <v>2</v>
      </c>
      <c r="E178" s="56">
        <v>4.6620046620050003E-3</v>
      </c>
    </row>
    <row r="179" spans="2:5" ht="15" customHeight="1">
      <c r="B179" s="86"/>
      <c r="C179" s="69" t="s">
        <v>210</v>
      </c>
      <c r="D179" s="66">
        <v>2</v>
      </c>
      <c r="E179" s="68">
        <v>4.6620046620050003E-3</v>
      </c>
    </row>
    <row r="180" spans="2:5" ht="15" customHeight="1">
      <c r="B180" s="84" t="s">
        <v>78</v>
      </c>
      <c r="C180" s="60" t="s">
        <v>122</v>
      </c>
      <c r="D180" s="55">
        <v>4</v>
      </c>
      <c r="E180" s="56">
        <v>9.3240093240089996E-3</v>
      </c>
    </row>
    <row r="181" spans="2:5" ht="15" customHeight="1">
      <c r="B181" s="85"/>
      <c r="C181" s="60" t="s">
        <v>123</v>
      </c>
      <c r="D181" s="55">
        <v>3</v>
      </c>
      <c r="E181" s="56">
        <v>6.9930069930069999E-3</v>
      </c>
    </row>
    <row r="182" spans="2:5" ht="15" customHeight="1">
      <c r="B182" s="86"/>
      <c r="C182" s="69" t="s">
        <v>210</v>
      </c>
      <c r="D182" s="66">
        <v>7</v>
      </c>
      <c r="E182" s="68">
        <v>1.6317016317016E-2</v>
      </c>
    </row>
    <row r="183" spans="2:5" ht="15" customHeight="1">
      <c r="B183" s="84" t="s">
        <v>46</v>
      </c>
      <c r="C183" s="60" t="s">
        <v>121</v>
      </c>
      <c r="D183" s="55">
        <v>1</v>
      </c>
      <c r="E183" s="56">
        <v>2.3310023310020001E-3</v>
      </c>
    </row>
    <row r="184" spans="2:5" ht="15" customHeight="1">
      <c r="B184" s="85"/>
      <c r="C184" s="60" t="s">
        <v>122</v>
      </c>
      <c r="D184" s="55">
        <v>3</v>
      </c>
      <c r="E184" s="56">
        <v>6.9930069930069999E-3</v>
      </c>
    </row>
    <row r="185" spans="2:5" ht="15" customHeight="1">
      <c r="B185" s="86"/>
      <c r="C185" s="69" t="s">
        <v>210</v>
      </c>
      <c r="D185" s="66">
        <v>4</v>
      </c>
      <c r="E185" s="68">
        <v>9.3240093240089996E-3</v>
      </c>
    </row>
    <row r="186" spans="2:5" ht="15" customHeight="1">
      <c r="B186" s="57" t="s">
        <v>210</v>
      </c>
      <c r="C186" s="70"/>
      <c r="D186" s="58">
        <v>429</v>
      </c>
      <c r="E186" s="59">
        <v>1</v>
      </c>
    </row>
    <row r="187" spans="2:5" ht="15" customHeight="1">
      <c r="B187" s="48"/>
      <c r="C187" s="48"/>
      <c r="D187" s="48"/>
      <c r="E187" s="48"/>
    </row>
    <row r="188" spans="2:5" ht="15" customHeight="1">
      <c r="B188" s="39" t="s">
        <v>120</v>
      </c>
      <c r="C188" s="38"/>
      <c r="D188" s="48"/>
      <c r="E188" s="48"/>
    </row>
    <row r="189" spans="2:5" ht="15" customHeight="1">
      <c r="B189" s="41" t="s">
        <v>17</v>
      </c>
      <c r="C189" s="38"/>
      <c r="D189" s="48"/>
      <c r="E189" s="48"/>
    </row>
    <row r="190" spans="2:5" ht="15" customHeight="1">
      <c r="B190" s="42" t="s">
        <v>45</v>
      </c>
      <c r="C190" s="38"/>
      <c r="D190" s="48"/>
      <c r="E190" s="48"/>
    </row>
    <row r="191" spans="2:5" ht="15" customHeight="1">
      <c r="B191" s="39" t="s">
        <v>16</v>
      </c>
      <c r="C191" s="38"/>
      <c r="D191" s="48"/>
      <c r="E191" s="48"/>
    </row>
    <row r="192" spans="2:5" ht="15" customHeight="1">
      <c r="B192" s="39" t="s">
        <v>211</v>
      </c>
      <c r="C192" s="38"/>
      <c r="D192" s="48"/>
      <c r="E192" s="48"/>
    </row>
  </sheetData>
  <mergeCells count="46">
    <mergeCell ref="B183:B185"/>
    <mergeCell ref="B165:B167"/>
    <mergeCell ref="B168:B171"/>
    <mergeCell ref="B172:B177"/>
    <mergeCell ref="B178:B179"/>
    <mergeCell ref="B180:B182"/>
    <mergeCell ref="B142:B146"/>
    <mergeCell ref="B147:B151"/>
    <mergeCell ref="B152:B154"/>
    <mergeCell ref="B155:B159"/>
    <mergeCell ref="B160:B164"/>
    <mergeCell ref="B121:B125"/>
    <mergeCell ref="B126:B129"/>
    <mergeCell ref="B130:B131"/>
    <mergeCell ref="B132:B136"/>
    <mergeCell ref="B137:B141"/>
    <mergeCell ref="B99:B103"/>
    <mergeCell ref="B104:B108"/>
    <mergeCell ref="B109:B111"/>
    <mergeCell ref="B112:B116"/>
    <mergeCell ref="B117:B120"/>
    <mergeCell ref="B85:B86"/>
    <mergeCell ref="B87:B89"/>
    <mergeCell ref="B90:B93"/>
    <mergeCell ref="B94:B95"/>
    <mergeCell ref="B96:B98"/>
    <mergeCell ref="B63:B66"/>
    <mergeCell ref="B67:B68"/>
    <mergeCell ref="B69:B74"/>
    <mergeCell ref="B75:B78"/>
    <mergeCell ref="B79:B84"/>
    <mergeCell ref="B43:B44"/>
    <mergeCell ref="B45:B49"/>
    <mergeCell ref="B50:B54"/>
    <mergeCell ref="B55:B59"/>
    <mergeCell ref="B60:B62"/>
    <mergeCell ref="B22:B24"/>
    <mergeCell ref="B25:B29"/>
    <mergeCell ref="B30:B34"/>
    <mergeCell ref="B35:B38"/>
    <mergeCell ref="B39:B42"/>
    <mergeCell ref="B7:E8"/>
    <mergeCell ref="B10:B11"/>
    <mergeCell ref="B12:B16"/>
    <mergeCell ref="B17:B18"/>
    <mergeCell ref="B19:B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63"/>
  <sheetViews>
    <sheetView showGridLines="0" view="pageBreakPreview" topLeftCell="A18" zoomScale="115" zoomScaleNormal="100" zoomScaleSheetLayoutView="115" workbookViewId="0">
      <selection activeCell="B34" sqref="B34"/>
    </sheetView>
  </sheetViews>
  <sheetFormatPr baseColWidth="10" defaultColWidth="11.42578125" defaultRowHeight="15"/>
  <cols>
    <col min="1" max="1" width="9.28515625" style="13" customWidth="1"/>
    <col min="2" max="2" width="30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B7" s="80" t="s">
        <v>36</v>
      </c>
      <c r="C7" s="80"/>
      <c r="D7" s="80"/>
    </row>
    <row r="8" spans="1:6" s="17" customFormat="1" ht="15" customHeight="1">
      <c r="B8" s="80"/>
      <c r="C8" s="80"/>
      <c r="D8" s="80"/>
    </row>
    <row r="9" spans="1:6" s="17" customFormat="1" ht="33" customHeight="1">
      <c r="B9" s="80"/>
      <c r="C9" s="80"/>
      <c r="D9" s="80"/>
    </row>
    <row r="10" spans="1:6" s="17" customFormat="1" ht="4.5" customHeight="1">
      <c r="B10" s="18"/>
      <c r="C10" s="18"/>
      <c r="D10" s="18"/>
    </row>
    <row r="11" spans="1:6" s="17" customFormat="1" ht="33.75" customHeight="1">
      <c r="A11" s="37"/>
      <c r="B11" s="36" t="s">
        <v>26</v>
      </c>
      <c r="C11" s="35" t="s">
        <v>25</v>
      </c>
      <c r="D11" s="36" t="s">
        <v>18</v>
      </c>
      <c r="E11" s="37"/>
      <c r="F11" s="37"/>
    </row>
    <row r="12" spans="1:6" ht="16.5">
      <c r="A12" s="38"/>
      <c r="B12" s="60" t="s">
        <v>90</v>
      </c>
      <c r="C12" s="55">
        <v>8</v>
      </c>
      <c r="D12" s="56">
        <v>1.8648018648018998E-2</v>
      </c>
      <c r="E12" s="38"/>
      <c r="F12" s="38"/>
    </row>
    <row r="13" spans="1:6" ht="16.5">
      <c r="A13" s="38"/>
      <c r="B13" s="60" t="s">
        <v>127</v>
      </c>
      <c r="C13" s="55">
        <v>3</v>
      </c>
      <c r="D13" s="56">
        <v>6.9930069930069999E-3</v>
      </c>
      <c r="E13" s="38"/>
      <c r="F13" s="38"/>
    </row>
    <row r="14" spans="1:6" ht="16.5">
      <c r="A14" s="38"/>
      <c r="B14" s="60" t="s">
        <v>91</v>
      </c>
      <c r="C14" s="55">
        <v>5</v>
      </c>
      <c r="D14" s="56">
        <v>1.1655011655011999E-2</v>
      </c>
      <c r="E14" s="38"/>
      <c r="F14" s="38"/>
    </row>
    <row r="15" spans="1:6" ht="16.5">
      <c r="A15" s="38"/>
      <c r="B15" s="60" t="s">
        <v>92</v>
      </c>
      <c r="C15" s="55">
        <v>5</v>
      </c>
      <c r="D15" s="56">
        <v>1.1655011655011999E-2</v>
      </c>
      <c r="E15" s="38"/>
      <c r="F15" s="38"/>
    </row>
    <row r="16" spans="1:6" ht="16.5">
      <c r="A16" s="38"/>
      <c r="B16" s="60" t="s">
        <v>93</v>
      </c>
      <c r="C16" s="55">
        <v>2</v>
      </c>
      <c r="D16" s="56">
        <v>4.6620046620050003E-3</v>
      </c>
      <c r="E16" s="38"/>
      <c r="F16" s="38"/>
    </row>
    <row r="17" spans="1:6" ht="16.5">
      <c r="A17" s="38"/>
      <c r="B17" s="60" t="s">
        <v>94</v>
      </c>
      <c r="C17" s="55">
        <v>6</v>
      </c>
      <c r="D17" s="56">
        <v>1.3986013986014E-2</v>
      </c>
      <c r="E17" s="38"/>
      <c r="F17" s="38"/>
    </row>
    <row r="18" spans="1:6" ht="16.5">
      <c r="A18" s="38"/>
      <c r="B18" s="60" t="s">
        <v>95</v>
      </c>
      <c r="C18" s="55">
        <v>15</v>
      </c>
      <c r="D18" s="56">
        <v>3.4965034965035002E-2</v>
      </c>
      <c r="E18" s="38"/>
      <c r="F18" s="38"/>
    </row>
    <row r="19" spans="1:6" ht="16.5">
      <c r="A19" s="38"/>
      <c r="B19" s="60" t="s">
        <v>96</v>
      </c>
      <c r="C19" s="55">
        <v>30</v>
      </c>
      <c r="D19" s="56">
        <v>6.9930069930070005E-2</v>
      </c>
      <c r="E19" s="38"/>
      <c r="F19" s="38"/>
    </row>
    <row r="20" spans="1:6" ht="16.5">
      <c r="A20" s="38"/>
      <c r="B20" s="60" t="s">
        <v>97</v>
      </c>
      <c r="C20" s="55">
        <v>1</v>
      </c>
      <c r="D20" s="56">
        <v>2.3310023310020001E-3</v>
      </c>
      <c r="E20" s="38"/>
      <c r="F20" s="38"/>
    </row>
    <row r="21" spans="1:6" ht="16.5">
      <c r="A21" s="38"/>
      <c r="B21" s="60" t="s">
        <v>98</v>
      </c>
      <c r="C21" s="55">
        <v>10</v>
      </c>
      <c r="D21" s="56">
        <v>2.3310023310022999E-2</v>
      </c>
      <c r="E21" s="38"/>
      <c r="F21" s="38"/>
    </row>
    <row r="22" spans="1:6" ht="17.45" customHeight="1">
      <c r="A22" s="38"/>
      <c r="B22" s="60" t="s">
        <v>99</v>
      </c>
      <c r="C22" s="55">
        <v>16</v>
      </c>
      <c r="D22" s="56">
        <v>3.7296037296036998E-2</v>
      </c>
      <c r="E22" s="38"/>
      <c r="F22" s="38"/>
    </row>
    <row r="23" spans="1:6" ht="16.5">
      <c r="A23" s="38"/>
      <c r="B23" s="60" t="s">
        <v>100</v>
      </c>
      <c r="C23" s="55">
        <v>99</v>
      </c>
      <c r="D23" s="56">
        <v>0.230769230769231</v>
      </c>
      <c r="E23" s="38"/>
      <c r="F23" s="38"/>
    </row>
    <row r="24" spans="1:6" ht="16.5">
      <c r="A24" s="38"/>
      <c r="B24" s="60" t="s">
        <v>101</v>
      </c>
      <c r="C24" s="55">
        <v>6</v>
      </c>
      <c r="D24" s="56">
        <v>1.3986013986014E-2</v>
      </c>
      <c r="E24" s="38"/>
      <c r="F24" s="38"/>
    </row>
    <row r="25" spans="1:6" ht="16.5">
      <c r="A25" s="38"/>
      <c r="B25" s="60" t="s">
        <v>102</v>
      </c>
      <c r="C25" s="55">
        <v>33</v>
      </c>
      <c r="D25" s="56">
        <v>7.6923076923076997E-2</v>
      </c>
      <c r="E25" s="38"/>
      <c r="F25" s="38"/>
    </row>
    <row r="26" spans="1:6" ht="16.5">
      <c r="A26" s="38"/>
      <c r="B26" s="60" t="s">
        <v>103</v>
      </c>
      <c r="C26" s="55">
        <v>127</v>
      </c>
      <c r="D26" s="56">
        <v>0.296037296037296</v>
      </c>
      <c r="E26" s="38"/>
      <c r="F26" s="38"/>
    </row>
    <row r="27" spans="1:6" ht="16.5">
      <c r="A27" s="38"/>
      <c r="B27" s="60" t="s">
        <v>104</v>
      </c>
      <c r="C27" s="55">
        <v>2</v>
      </c>
      <c r="D27" s="56">
        <v>4.6620046620050003E-3</v>
      </c>
      <c r="E27" s="38"/>
      <c r="F27" s="38"/>
    </row>
    <row r="28" spans="1:6" ht="16.5">
      <c r="A28" s="38"/>
      <c r="B28" s="60" t="s">
        <v>105</v>
      </c>
      <c r="C28" s="55">
        <v>3</v>
      </c>
      <c r="D28" s="56">
        <v>6.9930069930069999E-3</v>
      </c>
      <c r="E28" s="38"/>
      <c r="F28" s="38"/>
    </row>
    <row r="29" spans="1:6" ht="16.5">
      <c r="A29" s="38"/>
      <c r="B29" s="60" t="s">
        <v>128</v>
      </c>
      <c r="C29" s="55">
        <v>1</v>
      </c>
      <c r="D29" s="56">
        <v>2.3310023310020001E-3</v>
      </c>
      <c r="E29" s="38"/>
      <c r="F29" s="38"/>
    </row>
    <row r="30" spans="1:6" ht="16.5">
      <c r="A30" s="38"/>
      <c r="B30" s="60" t="s">
        <v>106</v>
      </c>
      <c r="C30" s="55">
        <v>3</v>
      </c>
      <c r="D30" s="56">
        <v>6.9930069930069999E-3</v>
      </c>
      <c r="E30" s="38"/>
      <c r="F30" s="38"/>
    </row>
    <row r="31" spans="1:6" ht="16.5">
      <c r="A31" s="38"/>
      <c r="B31" s="60" t="s">
        <v>107</v>
      </c>
      <c r="C31" s="55">
        <v>12</v>
      </c>
      <c r="D31" s="56">
        <v>2.7972027972028E-2</v>
      </c>
      <c r="E31" s="38"/>
      <c r="F31" s="38"/>
    </row>
    <row r="32" spans="1:6" ht="16.5">
      <c r="A32" s="38"/>
      <c r="B32" s="60" t="s">
        <v>108</v>
      </c>
      <c r="C32" s="55">
        <v>39</v>
      </c>
      <c r="D32" s="56">
        <v>9.0909090909090995E-2</v>
      </c>
      <c r="E32" s="38"/>
      <c r="F32" s="38"/>
    </row>
    <row r="33" spans="1:6" ht="16.5">
      <c r="A33" s="38"/>
      <c r="B33" s="60" t="s">
        <v>109</v>
      </c>
      <c r="C33" s="55">
        <v>3</v>
      </c>
      <c r="D33" s="56">
        <v>6.9930069930069999E-3</v>
      </c>
      <c r="E33" s="38"/>
      <c r="F33" s="38"/>
    </row>
    <row r="34" spans="1:6" ht="16.5">
      <c r="A34" s="38"/>
      <c r="B34" s="70" t="s">
        <v>213</v>
      </c>
      <c r="C34" s="58">
        <v>429</v>
      </c>
      <c r="D34" s="59">
        <v>1</v>
      </c>
      <c r="E34" s="38"/>
      <c r="F34" s="38"/>
    </row>
    <row r="35" spans="1:6" ht="16.5">
      <c r="A35" s="38"/>
      <c r="C35" s="40"/>
      <c r="D35" s="38"/>
      <c r="E35" s="38"/>
      <c r="F35" s="38"/>
    </row>
    <row r="36" spans="1:6" ht="16.5">
      <c r="A36" s="38"/>
      <c r="B36" s="39" t="s">
        <v>120</v>
      </c>
      <c r="C36" s="40"/>
      <c r="D36" s="38"/>
      <c r="E36" s="38"/>
      <c r="F36" s="38"/>
    </row>
    <row r="37" spans="1:6" ht="16.5">
      <c r="A37" s="38"/>
      <c r="B37" s="41" t="s">
        <v>17</v>
      </c>
      <c r="C37" s="40"/>
      <c r="D37" s="38"/>
      <c r="E37" s="38"/>
      <c r="F37" s="38"/>
    </row>
    <row r="38" spans="1:6" ht="16.5">
      <c r="A38" s="38"/>
      <c r="B38" s="42" t="s">
        <v>45</v>
      </c>
      <c r="C38" s="40"/>
      <c r="D38" s="38"/>
      <c r="E38" s="38"/>
      <c r="F38" s="38"/>
    </row>
    <row r="39" spans="1:6" ht="16.5">
      <c r="A39" s="38"/>
      <c r="B39" s="39" t="s">
        <v>16</v>
      </c>
      <c r="C39" s="40"/>
      <c r="D39" s="38"/>
      <c r="E39" s="38"/>
      <c r="F39" s="38"/>
    </row>
    <row r="40" spans="1:6">
      <c r="B40" s="39" t="s">
        <v>211</v>
      </c>
      <c r="C40" s="13"/>
    </row>
    <row r="43" spans="1:6">
      <c r="C43" s="13"/>
    </row>
    <row r="44" spans="1:6">
      <c r="C44" s="13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197"/>
  <sheetViews>
    <sheetView showGridLines="0" view="pageBreakPreview" zoomScale="130" zoomScaleNormal="100" zoomScaleSheetLayoutView="130" workbookViewId="0">
      <selection activeCell="E1" sqref="E1"/>
    </sheetView>
  </sheetViews>
  <sheetFormatPr baseColWidth="10" defaultColWidth="35" defaultRowHeight="15" customHeight="1"/>
  <cols>
    <col min="1" max="1" width="1" style="21" customWidth="1"/>
    <col min="2" max="2" width="29.5703125" style="22" customWidth="1"/>
    <col min="3" max="3" width="30.1406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3"/>
      <c r="C7" s="83"/>
      <c r="D7" s="83"/>
      <c r="E7" s="83"/>
    </row>
    <row r="8" spans="1:5" s="24" customFormat="1" ht="33" customHeight="1">
      <c r="A8" s="25"/>
      <c r="B8" s="83"/>
      <c r="C8" s="83"/>
      <c r="D8" s="83"/>
      <c r="E8" s="83"/>
    </row>
    <row r="9" spans="1:5" s="17" customFormat="1" ht="40.5" customHeight="1">
      <c r="A9" s="37"/>
      <c r="B9" s="45" t="s">
        <v>27</v>
      </c>
      <c r="C9" s="46" t="s">
        <v>24</v>
      </c>
      <c r="D9" s="47" t="s">
        <v>19</v>
      </c>
      <c r="E9" s="45" t="s">
        <v>18</v>
      </c>
    </row>
    <row r="10" spans="1:5" ht="15" customHeight="1">
      <c r="A10" s="48"/>
      <c r="B10" s="84" t="s">
        <v>90</v>
      </c>
      <c r="C10" s="54" t="s">
        <v>129</v>
      </c>
      <c r="D10" s="55">
        <v>3</v>
      </c>
      <c r="E10" s="56">
        <v>6.9930069930069999E-3</v>
      </c>
    </row>
    <row r="11" spans="1:5" ht="15" customHeight="1">
      <c r="A11" s="48"/>
      <c r="B11" s="85"/>
      <c r="C11" s="54" t="s">
        <v>142</v>
      </c>
      <c r="D11" s="55">
        <v>1</v>
      </c>
      <c r="E11" s="56">
        <v>2.3310023310020001E-3</v>
      </c>
    </row>
    <row r="12" spans="1:5" ht="15" customHeight="1">
      <c r="A12" s="48"/>
      <c r="B12" s="85"/>
      <c r="C12" s="54" t="s">
        <v>136</v>
      </c>
      <c r="D12" s="55">
        <v>1</v>
      </c>
      <c r="E12" s="56">
        <v>2.3310023310020001E-3</v>
      </c>
    </row>
    <row r="13" spans="1:5" ht="15" customHeight="1">
      <c r="A13" s="48"/>
      <c r="B13" s="85"/>
      <c r="C13" s="54" t="s">
        <v>160</v>
      </c>
      <c r="D13" s="55">
        <v>1</v>
      </c>
      <c r="E13" s="56">
        <v>2.3310023310020001E-3</v>
      </c>
    </row>
    <row r="14" spans="1:5" ht="15" customHeight="1">
      <c r="A14" s="48"/>
      <c r="B14" s="85"/>
      <c r="C14" s="54" t="s">
        <v>130</v>
      </c>
      <c r="D14" s="55">
        <v>2</v>
      </c>
      <c r="E14" s="56">
        <v>4.6620046620050003E-3</v>
      </c>
    </row>
    <row r="15" spans="1:5" ht="15" customHeight="1">
      <c r="A15" s="48"/>
      <c r="B15" s="86"/>
      <c r="C15" s="67" t="s">
        <v>210</v>
      </c>
      <c r="D15" s="66">
        <v>8</v>
      </c>
      <c r="E15" s="68">
        <v>1.8648018648018998E-2</v>
      </c>
    </row>
    <row r="16" spans="1:5" ht="15" customHeight="1">
      <c r="A16" s="48"/>
      <c r="B16" s="84" t="s">
        <v>169</v>
      </c>
      <c r="C16" s="54" t="s">
        <v>129</v>
      </c>
      <c r="D16" s="55">
        <v>3</v>
      </c>
      <c r="E16" s="56">
        <v>6.9930069930069999E-3</v>
      </c>
    </row>
    <row r="17" spans="1:5" ht="15" customHeight="1">
      <c r="A17" s="48"/>
      <c r="B17" s="86"/>
      <c r="C17" s="67" t="s">
        <v>210</v>
      </c>
      <c r="D17" s="66">
        <v>3</v>
      </c>
      <c r="E17" s="68">
        <v>6.9930069930069999E-3</v>
      </c>
    </row>
    <row r="18" spans="1:5" ht="15" customHeight="1">
      <c r="A18" s="48"/>
      <c r="B18" s="84" t="s">
        <v>170</v>
      </c>
      <c r="C18" s="54" t="s">
        <v>129</v>
      </c>
      <c r="D18" s="55">
        <v>1</v>
      </c>
      <c r="E18" s="56">
        <v>2.3310023310020001E-3</v>
      </c>
    </row>
    <row r="19" spans="1:5" ht="15" customHeight="1">
      <c r="A19" s="48"/>
      <c r="B19" s="85"/>
      <c r="C19" s="54" t="s">
        <v>134</v>
      </c>
      <c r="D19" s="55">
        <v>2</v>
      </c>
      <c r="E19" s="56">
        <v>4.6620046620050003E-3</v>
      </c>
    </row>
    <row r="20" spans="1:5" ht="15" customHeight="1">
      <c r="A20" s="48"/>
      <c r="B20" s="85"/>
      <c r="C20" s="54" t="s">
        <v>139</v>
      </c>
      <c r="D20" s="55">
        <v>1</v>
      </c>
      <c r="E20" s="56">
        <v>2.3310023310020001E-3</v>
      </c>
    </row>
    <row r="21" spans="1:5" ht="15" customHeight="1">
      <c r="A21" s="48"/>
      <c r="B21" s="85"/>
      <c r="C21" s="54" t="s">
        <v>143</v>
      </c>
      <c r="D21" s="55">
        <v>1</v>
      </c>
      <c r="E21" s="56">
        <v>2.3310023310020001E-3</v>
      </c>
    </row>
    <row r="22" spans="1:5" ht="15" customHeight="1">
      <c r="A22" s="48"/>
      <c r="B22" s="86"/>
      <c r="C22" s="67" t="s">
        <v>210</v>
      </c>
      <c r="D22" s="66">
        <v>5</v>
      </c>
      <c r="E22" s="68">
        <v>1.1655011655011999E-2</v>
      </c>
    </row>
    <row r="23" spans="1:5" ht="15" customHeight="1">
      <c r="A23" s="48"/>
      <c r="B23" s="84" t="s">
        <v>171</v>
      </c>
      <c r="C23" s="54" t="s">
        <v>132</v>
      </c>
      <c r="D23" s="55">
        <v>1</v>
      </c>
      <c r="E23" s="56">
        <v>2.3310023310020001E-3</v>
      </c>
    </row>
    <row r="24" spans="1:5" ht="15" customHeight="1">
      <c r="A24" s="48"/>
      <c r="B24" s="85"/>
      <c r="C24" s="54" t="s">
        <v>129</v>
      </c>
      <c r="D24" s="55">
        <v>2</v>
      </c>
      <c r="E24" s="56">
        <v>4.6620046620050003E-3</v>
      </c>
    </row>
    <row r="25" spans="1:5" ht="15" customHeight="1">
      <c r="A25" s="48"/>
      <c r="B25" s="85"/>
      <c r="C25" s="54" t="s">
        <v>134</v>
      </c>
      <c r="D25" s="55">
        <v>1</v>
      </c>
      <c r="E25" s="56">
        <v>2.3310023310020001E-3</v>
      </c>
    </row>
    <row r="26" spans="1:5" ht="15" customHeight="1">
      <c r="A26" s="48"/>
      <c r="B26" s="85"/>
      <c r="C26" s="54" t="s">
        <v>137</v>
      </c>
      <c r="D26" s="55">
        <v>1</v>
      </c>
      <c r="E26" s="56">
        <v>2.3310023310020001E-3</v>
      </c>
    </row>
    <row r="27" spans="1:5" ht="15" customHeight="1">
      <c r="A27" s="48"/>
      <c r="B27" s="86"/>
      <c r="C27" s="67" t="s">
        <v>210</v>
      </c>
      <c r="D27" s="66">
        <v>5</v>
      </c>
      <c r="E27" s="68">
        <v>1.1655011655011999E-2</v>
      </c>
    </row>
    <row r="28" spans="1:5" ht="15" customHeight="1">
      <c r="A28" s="48"/>
      <c r="B28" s="84" t="s">
        <v>172</v>
      </c>
      <c r="C28" s="54" t="s">
        <v>129</v>
      </c>
      <c r="D28" s="55">
        <v>2</v>
      </c>
      <c r="E28" s="56">
        <v>4.6620046620050003E-3</v>
      </c>
    </row>
    <row r="29" spans="1:5" ht="15" customHeight="1">
      <c r="A29" s="48"/>
      <c r="B29" s="86"/>
      <c r="C29" s="67" t="s">
        <v>210</v>
      </c>
      <c r="D29" s="66">
        <v>2</v>
      </c>
      <c r="E29" s="68">
        <v>4.6620046620050003E-3</v>
      </c>
    </row>
    <row r="30" spans="1:5" ht="15" customHeight="1">
      <c r="A30" s="48"/>
      <c r="B30" s="84" t="s">
        <v>173</v>
      </c>
      <c r="C30" s="54" t="s">
        <v>129</v>
      </c>
      <c r="D30" s="55">
        <v>5</v>
      </c>
      <c r="E30" s="56">
        <v>1.1655011655011999E-2</v>
      </c>
    </row>
    <row r="31" spans="1:5" ht="15" customHeight="1">
      <c r="A31" s="48"/>
      <c r="B31" s="85"/>
      <c r="C31" s="54" t="s">
        <v>131</v>
      </c>
      <c r="D31" s="55">
        <v>1</v>
      </c>
      <c r="E31" s="56">
        <v>2.3310023310020001E-3</v>
      </c>
    </row>
    <row r="32" spans="1:5" ht="15" customHeight="1">
      <c r="A32" s="48"/>
      <c r="B32" s="86"/>
      <c r="C32" s="67" t="s">
        <v>210</v>
      </c>
      <c r="D32" s="66">
        <v>6</v>
      </c>
      <c r="E32" s="68">
        <v>1.3986013986014E-2</v>
      </c>
    </row>
    <row r="33" spans="1:5" ht="15" customHeight="1">
      <c r="A33" s="48"/>
      <c r="B33" s="84" t="s">
        <v>174</v>
      </c>
      <c r="C33" s="54" t="s">
        <v>132</v>
      </c>
      <c r="D33" s="55">
        <v>1</v>
      </c>
      <c r="E33" s="56">
        <v>2.3310023310020001E-3</v>
      </c>
    </row>
    <row r="34" spans="1:5" ht="15" customHeight="1">
      <c r="A34" s="48"/>
      <c r="B34" s="85"/>
      <c r="C34" s="54" t="s">
        <v>148</v>
      </c>
      <c r="D34" s="55">
        <v>1</v>
      </c>
      <c r="E34" s="56">
        <v>2.3310023310020001E-3</v>
      </c>
    </row>
    <row r="35" spans="1:5" ht="15" customHeight="1">
      <c r="A35" s="48"/>
      <c r="B35" s="85"/>
      <c r="C35" s="54" t="s">
        <v>129</v>
      </c>
      <c r="D35" s="55">
        <v>7</v>
      </c>
      <c r="E35" s="56">
        <v>1.6317016317016E-2</v>
      </c>
    </row>
    <row r="36" spans="1:5" ht="15" customHeight="1">
      <c r="A36" s="48"/>
      <c r="B36" s="85"/>
      <c r="C36" s="54" t="s">
        <v>134</v>
      </c>
      <c r="D36" s="55">
        <v>1</v>
      </c>
      <c r="E36" s="56">
        <v>2.3310023310020001E-3</v>
      </c>
    </row>
    <row r="37" spans="1:5" ht="15" customHeight="1">
      <c r="A37" s="48"/>
      <c r="B37" s="85"/>
      <c r="C37" s="54" t="s">
        <v>140</v>
      </c>
      <c r="D37" s="55">
        <v>1</v>
      </c>
      <c r="E37" s="56">
        <v>2.3310023310020001E-3</v>
      </c>
    </row>
    <row r="38" spans="1:5" ht="15" customHeight="1">
      <c r="A38" s="48"/>
      <c r="B38" s="85"/>
      <c r="C38" s="54" t="s">
        <v>135</v>
      </c>
      <c r="D38" s="55">
        <v>1</v>
      </c>
      <c r="E38" s="56">
        <v>2.3310023310020001E-3</v>
      </c>
    </row>
    <row r="39" spans="1:5" ht="15" customHeight="1">
      <c r="A39" s="48"/>
      <c r="B39" s="85"/>
      <c r="C39" s="54" t="s">
        <v>162</v>
      </c>
      <c r="D39" s="55">
        <v>1</v>
      </c>
      <c r="E39" s="56">
        <v>2.3310023310020001E-3</v>
      </c>
    </row>
    <row r="40" spans="1:5" ht="15" customHeight="1">
      <c r="A40" s="48"/>
      <c r="B40" s="85"/>
      <c r="C40" s="54" t="s">
        <v>130</v>
      </c>
      <c r="D40" s="55">
        <v>2</v>
      </c>
      <c r="E40" s="56">
        <v>4.6620046620050003E-3</v>
      </c>
    </row>
    <row r="41" spans="1:5" ht="15" customHeight="1">
      <c r="A41" s="48"/>
      <c r="B41" s="86"/>
      <c r="C41" s="67" t="s">
        <v>210</v>
      </c>
      <c r="D41" s="66">
        <v>15</v>
      </c>
      <c r="E41" s="68">
        <v>3.4965034965035002E-2</v>
      </c>
    </row>
    <row r="42" spans="1:5" ht="15" customHeight="1">
      <c r="A42" s="48"/>
      <c r="B42" s="84" t="s">
        <v>96</v>
      </c>
      <c r="C42" s="54" t="s">
        <v>129</v>
      </c>
      <c r="D42" s="55">
        <v>17</v>
      </c>
      <c r="E42" s="56">
        <v>3.9627039627039999E-2</v>
      </c>
    </row>
    <row r="43" spans="1:5" ht="15" customHeight="1">
      <c r="A43" s="48"/>
      <c r="B43" s="85"/>
      <c r="C43" s="54" t="s">
        <v>139</v>
      </c>
      <c r="D43" s="55">
        <v>1</v>
      </c>
      <c r="E43" s="56">
        <v>2.3310023310020001E-3</v>
      </c>
    </row>
    <row r="44" spans="1:5" ht="15" customHeight="1">
      <c r="A44" s="48"/>
      <c r="B44" s="85"/>
      <c r="C44" s="54" t="s">
        <v>143</v>
      </c>
      <c r="D44" s="55">
        <v>1</v>
      </c>
      <c r="E44" s="56">
        <v>2.3310023310020001E-3</v>
      </c>
    </row>
    <row r="45" spans="1:5" ht="15" customHeight="1">
      <c r="A45" s="48"/>
      <c r="B45" s="85"/>
      <c r="C45" s="54" t="s">
        <v>131</v>
      </c>
      <c r="D45" s="55">
        <v>2</v>
      </c>
      <c r="E45" s="56">
        <v>4.6620046620050003E-3</v>
      </c>
    </row>
    <row r="46" spans="1:5" ht="15" customHeight="1">
      <c r="A46" s="48"/>
      <c r="B46" s="85"/>
      <c r="C46" s="54" t="s">
        <v>151</v>
      </c>
      <c r="D46" s="55">
        <v>1</v>
      </c>
      <c r="E46" s="56">
        <v>2.3310023310020001E-3</v>
      </c>
    </row>
    <row r="47" spans="1:5" ht="15" customHeight="1">
      <c r="A47" s="48"/>
      <c r="B47" s="85"/>
      <c r="C47" s="54" t="s">
        <v>141</v>
      </c>
      <c r="D47" s="55">
        <v>2</v>
      </c>
      <c r="E47" s="56">
        <v>4.6620046620050003E-3</v>
      </c>
    </row>
    <row r="48" spans="1:5" ht="15" customHeight="1">
      <c r="A48" s="48"/>
      <c r="B48" s="85"/>
      <c r="C48" s="54" t="s">
        <v>138</v>
      </c>
      <c r="D48" s="55">
        <v>1</v>
      </c>
      <c r="E48" s="56">
        <v>2.3310023310020001E-3</v>
      </c>
    </row>
    <row r="49" spans="1:5" ht="15" customHeight="1">
      <c r="A49" s="48"/>
      <c r="B49" s="85"/>
      <c r="C49" s="54" t="s">
        <v>130</v>
      </c>
      <c r="D49" s="55">
        <v>3</v>
      </c>
      <c r="E49" s="56">
        <v>6.9930069930069999E-3</v>
      </c>
    </row>
    <row r="50" spans="1:5" ht="15" customHeight="1">
      <c r="A50" s="48"/>
      <c r="B50" s="85"/>
      <c r="C50" s="54" t="s">
        <v>133</v>
      </c>
      <c r="D50" s="55">
        <v>1</v>
      </c>
      <c r="E50" s="56">
        <v>2.3310023310020001E-3</v>
      </c>
    </row>
    <row r="51" spans="1:5" ht="15" customHeight="1">
      <c r="A51" s="48"/>
      <c r="B51" s="85"/>
      <c r="C51" s="54" t="s">
        <v>46</v>
      </c>
      <c r="D51" s="55">
        <v>1</v>
      </c>
      <c r="E51" s="56">
        <v>2.3310023310020001E-3</v>
      </c>
    </row>
    <row r="52" spans="1:5" ht="15" customHeight="1">
      <c r="A52" s="48"/>
      <c r="B52" s="86"/>
      <c r="C52" s="67" t="s">
        <v>210</v>
      </c>
      <c r="D52" s="66">
        <v>30</v>
      </c>
      <c r="E52" s="68">
        <v>6.9930069930070005E-2</v>
      </c>
    </row>
    <row r="53" spans="1:5" ht="15" customHeight="1">
      <c r="A53" s="48"/>
      <c r="B53" s="84" t="s">
        <v>175</v>
      </c>
      <c r="C53" s="54" t="s">
        <v>129</v>
      </c>
      <c r="D53" s="55">
        <v>1</v>
      </c>
      <c r="E53" s="56">
        <v>2.3310023310020001E-3</v>
      </c>
    </row>
    <row r="54" spans="1:5" ht="15" customHeight="1">
      <c r="A54" s="48"/>
      <c r="B54" s="86"/>
      <c r="C54" s="67" t="s">
        <v>210</v>
      </c>
      <c r="D54" s="66">
        <v>1</v>
      </c>
      <c r="E54" s="68">
        <v>2.3310023310020001E-3</v>
      </c>
    </row>
    <row r="55" spans="1:5" ht="15" customHeight="1">
      <c r="A55" s="48"/>
      <c r="B55" s="84" t="s">
        <v>176</v>
      </c>
      <c r="C55" s="54" t="s">
        <v>129</v>
      </c>
      <c r="D55" s="55">
        <v>3</v>
      </c>
      <c r="E55" s="56">
        <v>6.9930069930069999E-3</v>
      </c>
    </row>
    <row r="56" spans="1:5" ht="15" customHeight="1">
      <c r="A56" s="48"/>
      <c r="B56" s="85"/>
      <c r="C56" s="54" t="s">
        <v>134</v>
      </c>
      <c r="D56" s="55">
        <v>1</v>
      </c>
      <c r="E56" s="56">
        <v>2.3310023310020001E-3</v>
      </c>
    </row>
    <row r="57" spans="1:5" ht="15" customHeight="1">
      <c r="A57" s="48"/>
      <c r="B57" s="85"/>
      <c r="C57" s="54" t="s">
        <v>139</v>
      </c>
      <c r="D57" s="55">
        <v>1</v>
      </c>
      <c r="E57" s="56">
        <v>2.3310023310020001E-3</v>
      </c>
    </row>
    <row r="58" spans="1:5" ht="15" customHeight="1">
      <c r="A58" s="48"/>
      <c r="B58" s="85"/>
      <c r="C58" s="54" t="s">
        <v>140</v>
      </c>
      <c r="D58" s="55">
        <v>1</v>
      </c>
      <c r="E58" s="56">
        <v>2.3310023310020001E-3</v>
      </c>
    </row>
    <row r="59" spans="1:5" ht="15" customHeight="1">
      <c r="A59" s="48"/>
      <c r="B59" s="85"/>
      <c r="C59" s="54" t="s">
        <v>141</v>
      </c>
      <c r="D59" s="55">
        <v>1</v>
      </c>
      <c r="E59" s="56">
        <v>2.3310023310020001E-3</v>
      </c>
    </row>
    <row r="60" spans="1:5" ht="15" customHeight="1">
      <c r="A60" s="48"/>
      <c r="B60" s="85"/>
      <c r="C60" s="54" t="s">
        <v>137</v>
      </c>
      <c r="D60" s="55">
        <v>1</v>
      </c>
      <c r="E60" s="56">
        <v>2.3310023310020001E-3</v>
      </c>
    </row>
    <row r="61" spans="1:5" ht="15" customHeight="1">
      <c r="A61" s="48"/>
      <c r="B61" s="85"/>
      <c r="C61" s="54" t="s">
        <v>133</v>
      </c>
      <c r="D61" s="55">
        <v>1</v>
      </c>
      <c r="E61" s="56">
        <v>2.3310023310020001E-3</v>
      </c>
    </row>
    <row r="62" spans="1:5" ht="15" customHeight="1">
      <c r="A62" s="48"/>
      <c r="B62" s="85"/>
      <c r="C62" s="54" t="s">
        <v>153</v>
      </c>
      <c r="D62" s="55">
        <v>1</v>
      </c>
      <c r="E62" s="56">
        <v>2.3310023310020001E-3</v>
      </c>
    </row>
    <row r="63" spans="1:5" ht="15" customHeight="1">
      <c r="A63" s="48"/>
      <c r="B63" s="86"/>
      <c r="C63" s="67" t="s">
        <v>210</v>
      </c>
      <c r="D63" s="66">
        <v>10</v>
      </c>
      <c r="E63" s="68">
        <v>2.3310023310022999E-2</v>
      </c>
    </row>
    <row r="64" spans="1:5" ht="15" customHeight="1">
      <c r="A64" s="48"/>
      <c r="B64" s="84" t="s">
        <v>177</v>
      </c>
      <c r="C64" s="54" t="s">
        <v>129</v>
      </c>
      <c r="D64" s="55">
        <v>7</v>
      </c>
      <c r="E64" s="56">
        <v>1.6317016317016E-2</v>
      </c>
    </row>
    <row r="65" spans="1:5" ht="15" customHeight="1">
      <c r="A65" s="48"/>
      <c r="B65" s="85"/>
      <c r="C65" s="54" t="s">
        <v>134</v>
      </c>
      <c r="D65" s="55">
        <v>1</v>
      </c>
      <c r="E65" s="56">
        <v>2.3310023310020001E-3</v>
      </c>
    </row>
    <row r="66" spans="1:5" ht="15" customHeight="1">
      <c r="A66" s="48"/>
      <c r="B66" s="85"/>
      <c r="C66" s="54" t="s">
        <v>136</v>
      </c>
      <c r="D66" s="55">
        <v>2</v>
      </c>
      <c r="E66" s="56">
        <v>4.6620046620050003E-3</v>
      </c>
    </row>
    <row r="67" spans="1:5" ht="15" customHeight="1">
      <c r="A67" s="48"/>
      <c r="B67" s="85"/>
      <c r="C67" s="54" t="s">
        <v>144</v>
      </c>
      <c r="D67" s="55">
        <v>1</v>
      </c>
      <c r="E67" s="56">
        <v>2.3310023310020001E-3</v>
      </c>
    </row>
    <row r="68" spans="1:5" ht="15" customHeight="1">
      <c r="A68" s="48"/>
      <c r="B68" s="85"/>
      <c r="C68" s="54" t="s">
        <v>131</v>
      </c>
      <c r="D68" s="55">
        <v>2</v>
      </c>
      <c r="E68" s="56">
        <v>4.6620046620050003E-3</v>
      </c>
    </row>
    <row r="69" spans="1:5" ht="15" customHeight="1">
      <c r="A69" s="48"/>
      <c r="B69" s="85"/>
      <c r="C69" s="54" t="s">
        <v>137</v>
      </c>
      <c r="D69" s="55">
        <v>1</v>
      </c>
      <c r="E69" s="56">
        <v>2.3310023310020001E-3</v>
      </c>
    </row>
    <row r="70" spans="1:5" ht="15" customHeight="1">
      <c r="A70" s="48"/>
      <c r="B70" s="85"/>
      <c r="C70" s="54" t="s">
        <v>130</v>
      </c>
      <c r="D70" s="55">
        <v>2</v>
      </c>
      <c r="E70" s="56">
        <v>4.6620046620050003E-3</v>
      </c>
    </row>
    <row r="71" spans="1:5" ht="15" customHeight="1">
      <c r="A71" s="48"/>
      <c r="B71" s="86"/>
      <c r="C71" s="67" t="s">
        <v>210</v>
      </c>
      <c r="D71" s="66">
        <v>16</v>
      </c>
      <c r="E71" s="68">
        <v>3.7296037296036998E-2</v>
      </c>
    </row>
    <row r="72" spans="1:5" ht="15" customHeight="1">
      <c r="A72" s="48"/>
      <c r="B72" s="84" t="s">
        <v>100</v>
      </c>
      <c r="C72" s="54" t="s">
        <v>132</v>
      </c>
      <c r="D72" s="55">
        <v>2</v>
      </c>
      <c r="E72" s="56">
        <v>4.6620046620050003E-3</v>
      </c>
    </row>
    <row r="73" spans="1:5" ht="15" customHeight="1">
      <c r="A73" s="48"/>
      <c r="B73" s="85"/>
      <c r="C73" s="54" t="s">
        <v>148</v>
      </c>
      <c r="D73" s="55">
        <v>2</v>
      </c>
      <c r="E73" s="56">
        <v>4.6620046620050003E-3</v>
      </c>
    </row>
    <row r="74" spans="1:5" ht="15" customHeight="1">
      <c r="A74" s="48"/>
      <c r="B74" s="85"/>
      <c r="C74" s="54" t="s">
        <v>129</v>
      </c>
      <c r="D74" s="55">
        <v>34</v>
      </c>
      <c r="E74" s="56">
        <v>7.9254079254078999E-2</v>
      </c>
    </row>
    <row r="75" spans="1:5" ht="15" customHeight="1">
      <c r="A75" s="48"/>
      <c r="B75" s="85"/>
      <c r="C75" s="54" t="s">
        <v>155</v>
      </c>
      <c r="D75" s="55">
        <v>1</v>
      </c>
      <c r="E75" s="56">
        <v>2.3310023310020001E-3</v>
      </c>
    </row>
    <row r="76" spans="1:5" ht="15" customHeight="1">
      <c r="A76" s="48"/>
      <c r="B76" s="85"/>
      <c r="C76" s="54" t="s">
        <v>134</v>
      </c>
      <c r="D76" s="55">
        <v>2</v>
      </c>
      <c r="E76" s="56">
        <v>4.6620046620050003E-3</v>
      </c>
    </row>
    <row r="77" spans="1:5" ht="15" customHeight="1">
      <c r="A77" s="48"/>
      <c r="B77" s="85"/>
      <c r="C77" s="54" t="s">
        <v>139</v>
      </c>
      <c r="D77" s="55">
        <v>2</v>
      </c>
      <c r="E77" s="56">
        <v>4.6620046620050003E-3</v>
      </c>
    </row>
    <row r="78" spans="1:5" ht="15" customHeight="1">
      <c r="A78" s="48"/>
      <c r="B78" s="85"/>
      <c r="C78" s="54" t="s">
        <v>145</v>
      </c>
      <c r="D78" s="55">
        <v>1</v>
      </c>
      <c r="E78" s="56">
        <v>2.3310023310020001E-3</v>
      </c>
    </row>
    <row r="79" spans="1:5" ht="15" customHeight="1">
      <c r="A79" s="48"/>
      <c r="B79" s="85"/>
      <c r="C79" s="54" t="s">
        <v>136</v>
      </c>
      <c r="D79" s="55">
        <v>5</v>
      </c>
      <c r="E79" s="56">
        <v>1.1655011655011999E-2</v>
      </c>
    </row>
    <row r="80" spans="1:5" ht="15" customHeight="1">
      <c r="A80" s="48"/>
      <c r="B80" s="85"/>
      <c r="C80" s="54" t="s">
        <v>146</v>
      </c>
      <c r="D80" s="55">
        <v>1</v>
      </c>
      <c r="E80" s="56">
        <v>2.3310023310020001E-3</v>
      </c>
    </row>
    <row r="81" spans="1:5" ht="15" customHeight="1">
      <c r="A81" s="48"/>
      <c r="B81" s="85"/>
      <c r="C81" s="54" t="s">
        <v>143</v>
      </c>
      <c r="D81" s="55">
        <v>3</v>
      </c>
      <c r="E81" s="56">
        <v>6.9930069930069999E-3</v>
      </c>
    </row>
    <row r="82" spans="1:5" ht="15" customHeight="1">
      <c r="A82" s="48"/>
      <c r="B82" s="85"/>
      <c r="C82" s="54" t="s">
        <v>156</v>
      </c>
      <c r="D82" s="55">
        <v>2</v>
      </c>
      <c r="E82" s="56">
        <v>4.6620046620050003E-3</v>
      </c>
    </row>
    <row r="83" spans="1:5" ht="15" customHeight="1">
      <c r="A83" s="48"/>
      <c r="B83" s="85"/>
      <c r="C83" s="54" t="s">
        <v>144</v>
      </c>
      <c r="D83" s="55">
        <v>3</v>
      </c>
      <c r="E83" s="56">
        <v>6.9930069930069999E-3</v>
      </c>
    </row>
    <row r="84" spans="1:5" ht="15" customHeight="1">
      <c r="A84" s="48"/>
      <c r="B84" s="85"/>
      <c r="C84" s="54" t="s">
        <v>140</v>
      </c>
      <c r="D84" s="55">
        <v>1</v>
      </c>
      <c r="E84" s="56">
        <v>2.3310023310020001E-3</v>
      </c>
    </row>
    <row r="85" spans="1:5" ht="15" customHeight="1">
      <c r="A85" s="48"/>
      <c r="B85" s="85"/>
      <c r="C85" s="54" t="s">
        <v>149</v>
      </c>
      <c r="D85" s="55">
        <v>3</v>
      </c>
      <c r="E85" s="56">
        <v>6.9930069930069999E-3</v>
      </c>
    </row>
    <row r="86" spans="1:5" ht="15" customHeight="1">
      <c r="A86" s="48"/>
      <c r="B86" s="85"/>
      <c r="C86" s="54" t="s">
        <v>135</v>
      </c>
      <c r="D86" s="55">
        <v>2</v>
      </c>
      <c r="E86" s="56">
        <v>4.6620046620050003E-3</v>
      </c>
    </row>
    <row r="87" spans="1:5" ht="15" customHeight="1">
      <c r="A87" s="48"/>
      <c r="B87" s="85"/>
      <c r="C87" s="54" t="s">
        <v>150</v>
      </c>
      <c r="D87" s="55">
        <v>1</v>
      </c>
      <c r="E87" s="56">
        <v>2.3310023310020001E-3</v>
      </c>
    </row>
    <row r="88" spans="1:5" ht="15" customHeight="1">
      <c r="A88" s="48"/>
      <c r="B88" s="85"/>
      <c r="C88" s="54" t="s">
        <v>131</v>
      </c>
      <c r="D88" s="55">
        <v>3</v>
      </c>
      <c r="E88" s="56">
        <v>6.9930069930069999E-3</v>
      </c>
    </row>
    <row r="89" spans="1:5" ht="15" customHeight="1">
      <c r="A89" s="48"/>
      <c r="B89" s="85"/>
      <c r="C89" s="54" t="s">
        <v>141</v>
      </c>
      <c r="D89" s="55">
        <v>2</v>
      </c>
      <c r="E89" s="56">
        <v>4.6620046620050003E-3</v>
      </c>
    </row>
    <row r="90" spans="1:5" ht="15" customHeight="1">
      <c r="A90" s="48"/>
      <c r="B90" s="85"/>
      <c r="C90" s="54" t="s">
        <v>138</v>
      </c>
      <c r="D90" s="55">
        <v>2</v>
      </c>
      <c r="E90" s="56">
        <v>4.6620046620050003E-3</v>
      </c>
    </row>
    <row r="91" spans="1:5" ht="15" customHeight="1">
      <c r="A91" s="48"/>
      <c r="B91" s="85"/>
      <c r="C91" s="54" t="s">
        <v>159</v>
      </c>
      <c r="D91" s="55">
        <v>1</v>
      </c>
      <c r="E91" s="56">
        <v>2.3310023310020001E-3</v>
      </c>
    </row>
    <row r="92" spans="1:5" ht="15" customHeight="1">
      <c r="A92" s="48"/>
      <c r="B92" s="85"/>
      <c r="C92" s="54" t="s">
        <v>137</v>
      </c>
      <c r="D92" s="55">
        <v>3</v>
      </c>
      <c r="E92" s="56">
        <v>6.9930069930069999E-3</v>
      </c>
    </row>
    <row r="93" spans="1:5" ht="15" customHeight="1">
      <c r="A93" s="48"/>
      <c r="B93" s="85"/>
      <c r="C93" s="54" t="s">
        <v>152</v>
      </c>
      <c r="D93" s="55">
        <v>2</v>
      </c>
      <c r="E93" s="56">
        <v>4.6620046620050003E-3</v>
      </c>
    </row>
    <row r="94" spans="1:5" ht="15" customHeight="1">
      <c r="A94" s="48"/>
      <c r="B94" s="85"/>
      <c r="C94" s="54" t="s">
        <v>130</v>
      </c>
      <c r="D94" s="55">
        <v>17</v>
      </c>
      <c r="E94" s="56">
        <v>3.9627039627039999E-2</v>
      </c>
    </row>
    <row r="95" spans="1:5" ht="15" customHeight="1">
      <c r="A95" s="48"/>
      <c r="B95" s="85"/>
      <c r="C95" s="54" t="s">
        <v>133</v>
      </c>
      <c r="D95" s="55">
        <v>3</v>
      </c>
      <c r="E95" s="56">
        <v>6.9930069930069999E-3</v>
      </c>
    </row>
    <row r="96" spans="1:5" ht="15" customHeight="1">
      <c r="A96" s="48"/>
      <c r="B96" s="85"/>
      <c r="C96" s="54" t="s">
        <v>147</v>
      </c>
      <c r="D96" s="55">
        <v>1</v>
      </c>
      <c r="E96" s="56">
        <v>2.3310023310020001E-3</v>
      </c>
    </row>
    <row r="97" spans="1:5" ht="15" customHeight="1">
      <c r="A97" s="48"/>
      <c r="B97" s="86"/>
      <c r="C97" s="67" t="s">
        <v>210</v>
      </c>
      <c r="D97" s="66">
        <v>99</v>
      </c>
      <c r="E97" s="68">
        <v>0.230769230769231</v>
      </c>
    </row>
    <row r="98" spans="1:5" ht="15" customHeight="1">
      <c r="A98" s="48"/>
      <c r="B98" s="84" t="s">
        <v>101</v>
      </c>
      <c r="C98" s="54" t="s">
        <v>132</v>
      </c>
      <c r="D98" s="55">
        <v>1</v>
      </c>
      <c r="E98" s="56">
        <v>2.3310023310020001E-3</v>
      </c>
    </row>
    <row r="99" spans="1:5" ht="15" customHeight="1">
      <c r="A99" s="48"/>
      <c r="B99" s="85"/>
      <c r="C99" s="54" t="s">
        <v>129</v>
      </c>
      <c r="D99" s="55">
        <v>4</v>
      </c>
      <c r="E99" s="56">
        <v>9.3240093240089996E-3</v>
      </c>
    </row>
    <row r="100" spans="1:5" ht="15" customHeight="1">
      <c r="A100" s="48"/>
      <c r="B100" s="85"/>
      <c r="C100" s="54" t="s">
        <v>139</v>
      </c>
      <c r="D100" s="55">
        <v>1</v>
      </c>
      <c r="E100" s="56">
        <v>2.3310023310020001E-3</v>
      </c>
    </row>
    <row r="101" spans="1:5" ht="15" customHeight="1">
      <c r="A101" s="48"/>
      <c r="B101" s="86"/>
      <c r="C101" s="67" t="s">
        <v>210</v>
      </c>
      <c r="D101" s="66">
        <v>6</v>
      </c>
      <c r="E101" s="68">
        <v>1.3986013986014E-2</v>
      </c>
    </row>
    <row r="102" spans="1:5" ht="15" customHeight="1">
      <c r="A102" s="48"/>
      <c r="B102" s="84" t="s">
        <v>102</v>
      </c>
      <c r="C102" s="54" t="s">
        <v>154</v>
      </c>
      <c r="D102" s="55">
        <v>1</v>
      </c>
      <c r="E102" s="56">
        <v>2.3310023310020001E-3</v>
      </c>
    </row>
    <row r="103" spans="1:5" ht="15" customHeight="1">
      <c r="A103" s="48"/>
      <c r="B103" s="85"/>
      <c r="C103" s="54" t="s">
        <v>132</v>
      </c>
      <c r="D103" s="55">
        <v>2</v>
      </c>
      <c r="E103" s="56">
        <v>4.6620046620050003E-3</v>
      </c>
    </row>
    <row r="104" spans="1:5" ht="15" customHeight="1">
      <c r="A104" s="48"/>
      <c r="B104" s="85"/>
      <c r="C104" s="54" t="s">
        <v>129</v>
      </c>
      <c r="D104" s="55">
        <v>14</v>
      </c>
      <c r="E104" s="56">
        <v>3.2634032634033E-2</v>
      </c>
    </row>
    <row r="105" spans="1:5" ht="15" customHeight="1">
      <c r="A105" s="48"/>
      <c r="B105" s="85"/>
      <c r="C105" s="54" t="s">
        <v>142</v>
      </c>
      <c r="D105" s="55">
        <v>1</v>
      </c>
      <c r="E105" s="56">
        <v>2.3310023310020001E-3</v>
      </c>
    </row>
    <row r="106" spans="1:5" ht="15" customHeight="1">
      <c r="A106" s="48"/>
      <c r="B106" s="85"/>
      <c r="C106" s="54" t="s">
        <v>155</v>
      </c>
      <c r="D106" s="55">
        <v>1</v>
      </c>
      <c r="E106" s="56">
        <v>2.3310023310020001E-3</v>
      </c>
    </row>
    <row r="107" spans="1:5" ht="15" customHeight="1">
      <c r="A107" s="48"/>
      <c r="B107" s="85"/>
      <c r="C107" s="54" t="s">
        <v>134</v>
      </c>
      <c r="D107" s="55">
        <v>1</v>
      </c>
      <c r="E107" s="56">
        <v>2.3310023310020001E-3</v>
      </c>
    </row>
    <row r="108" spans="1:5" ht="15" customHeight="1">
      <c r="A108" s="48"/>
      <c r="B108" s="85"/>
      <c r="C108" s="54" t="s">
        <v>146</v>
      </c>
      <c r="D108" s="55">
        <v>1</v>
      </c>
      <c r="E108" s="56">
        <v>2.3310023310020001E-3</v>
      </c>
    </row>
    <row r="109" spans="1:5" ht="15" customHeight="1">
      <c r="A109" s="48"/>
      <c r="B109" s="85"/>
      <c r="C109" s="54" t="s">
        <v>140</v>
      </c>
      <c r="D109" s="55">
        <v>1</v>
      </c>
      <c r="E109" s="56">
        <v>2.3310023310020001E-3</v>
      </c>
    </row>
    <row r="110" spans="1:5" ht="15" customHeight="1">
      <c r="A110" s="48"/>
      <c r="B110" s="85"/>
      <c r="C110" s="54" t="s">
        <v>135</v>
      </c>
      <c r="D110" s="55">
        <v>2</v>
      </c>
      <c r="E110" s="56">
        <v>4.6620046620050003E-3</v>
      </c>
    </row>
    <row r="111" spans="1:5" ht="15" customHeight="1">
      <c r="A111" s="48"/>
      <c r="B111" s="85"/>
      <c r="C111" s="54" t="s">
        <v>131</v>
      </c>
      <c r="D111" s="55">
        <v>2</v>
      </c>
      <c r="E111" s="56">
        <v>4.6620046620050003E-3</v>
      </c>
    </row>
    <row r="112" spans="1:5" ht="15" customHeight="1">
      <c r="A112" s="48"/>
      <c r="B112" s="85"/>
      <c r="C112" s="54" t="s">
        <v>137</v>
      </c>
      <c r="D112" s="55">
        <v>2</v>
      </c>
      <c r="E112" s="56">
        <v>4.6620046620050003E-3</v>
      </c>
    </row>
    <row r="113" spans="1:5" ht="15" customHeight="1">
      <c r="A113" s="48"/>
      <c r="B113" s="85"/>
      <c r="C113" s="54" t="s">
        <v>130</v>
      </c>
      <c r="D113" s="55">
        <v>2</v>
      </c>
      <c r="E113" s="56">
        <v>4.6620046620050003E-3</v>
      </c>
    </row>
    <row r="114" spans="1:5" ht="15" customHeight="1">
      <c r="A114" s="48"/>
      <c r="B114" s="85"/>
      <c r="C114" s="54" t="s">
        <v>133</v>
      </c>
      <c r="D114" s="55">
        <v>2</v>
      </c>
      <c r="E114" s="56">
        <v>4.6620046620050003E-3</v>
      </c>
    </row>
    <row r="115" spans="1:5" ht="15" customHeight="1">
      <c r="A115" s="48"/>
      <c r="B115" s="85"/>
      <c r="C115" s="54" t="s">
        <v>147</v>
      </c>
      <c r="D115" s="55">
        <v>1</v>
      </c>
      <c r="E115" s="56">
        <v>2.3310023310020001E-3</v>
      </c>
    </row>
    <row r="116" spans="1:5" ht="15" customHeight="1">
      <c r="A116" s="48"/>
      <c r="B116" s="86"/>
      <c r="C116" s="67" t="s">
        <v>210</v>
      </c>
      <c r="D116" s="66">
        <v>33</v>
      </c>
      <c r="E116" s="68">
        <v>7.6923076923076997E-2</v>
      </c>
    </row>
    <row r="117" spans="1:5" ht="15" customHeight="1">
      <c r="A117" s="48"/>
      <c r="B117" s="84" t="s">
        <v>103</v>
      </c>
      <c r="C117" s="54" t="s">
        <v>154</v>
      </c>
      <c r="D117" s="55">
        <v>1</v>
      </c>
      <c r="E117" s="56">
        <v>2.3310023310020001E-3</v>
      </c>
    </row>
    <row r="118" spans="1:5" ht="15" customHeight="1">
      <c r="A118" s="48"/>
      <c r="B118" s="85"/>
      <c r="C118" s="54" t="s">
        <v>132</v>
      </c>
      <c r="D118" s="55">
        <v>4</v>
      </c>
      <c r="E118" s="56">
        <v>9.3240093240089996E-3</v>
      </c>
    </row>
    <row r="119" spans="1:5" ht="15" customHeight="1">
      <c r="A119" s="48"/>
      <c r="B119" s="85"/>
      <c r="C119" s="54" t="s">
        <v>148</v>
      </c>
      <c r="D119" s="55">
        <v>1</v>
      </c>
      <c r="E119" s="56">
        <v>2.3310023310020001E-3</v>
      </c>
    </row>
    <row r="120" spans="1:5" ht="15" customHeight="1">
      <c r="A120" s="48"/>
      <c r="B120" s="85"/>
      <c r="C120" s="54" t="s">
        <v>129</v>
      </c>
      <c r="D120" s="55">
        <v>63</v>
      </c>
      <c r="E120" s="56">
        <v>0.14685314685314699</v>
      </c>
    </row>
    <row r="121" spans="1:5" ht="15" customHeight="1">
      <c r="A121" s="48"/>
      <c r="B121" s="85"/>
      <c r="C121" s="54" t="s">
        <v>142</v>
      </c>
      <c r="D121" s="55">
        <v>2</v>
      </c>
      <c r="E121" s="56">
        <v>4.6620046620050003E-3</v>
      </c>
    </row>
    <row r="122" spans="1:5" ht="15" customHeight="1">
      <c r="A122" s="48"/>
      <c r="B122" s="85"/>
      <c r="C122" s="54" t="s">
        <v>134</v>
      </c>
      <c r="D122" s="55">
        <v>3</v>
      </c>
      <c r="E122" s="56">
        <v>6.9930069930069999E-3</v>
      </c>
    </row>
    <row r="123" spans="1:5" ht="15" customHeight="1">
      <c r="A123" s="48"/>
      <c r="B123" s="85"/>
      <c r="C123" s="54" t="s">
        <v>139</v>
      </c>
      <c r="D123" s="55">
        <v>1</v>
      </c>
      <c r="E123" s="56">
        <v>2.3310023310020001E-3</v>
      </c>
    </row>
    <row r="124" spans="1:5" ht="15" customHeight="1">
      <c r="A124" s="48"/>
      <c r="B124" s="85"/>
      <c r="C124" s="54" t="s">
        <v>145</v>
      </c>
      <c r="D124" s="55">
        <v>3</v>
      </c>
      <c r="E124" s="56">
        <v>6.9930069930069999E-3</v>
      </c>
    </row>
    <row r="125" spans="1:5" ht="15" customHeight="1">
      <c r="A125" s="48"/>
      <c r="B125" s="85"/>
      <c r="C125" s="54" t="s">
        <v>146</v>
      </c>
      <c r="D125" s="55">
        <v>2</v>
      </c>
      <c r="E125" s="56">
        <v>4.6620046620050003E-3</v>
      </c>
    </row>
    <row r="126" spans="1:5" ht="15" customHeight="1">
      <c r="A126" s="48"/>
      <c r="B126" s="85"/>
      <c r="C126" s="54" t="s">
        <v>143</v>
      </c>
      <c r="D126" s="55">
        <v>1</v>
      </c>
      <c r="E126" s="56">
        <v>2.3310023310020001E-3</v>
      </c>
    </row>
    <row r="127" spans="1:5" ht="15" customHeight="1">
      <c r="A127" s="48"/>
      <c r="B127" s="85"/>
      <c r="C127" s="54" t="s">
        <v>157</v>
      </c>
      <c r="D127" s="55">
        <v>2</v>
      </c>
      <c r="E127" s="56">
        <v>4.6620046620050003E-3</v>
      </c>
    </row>
    <row r="128" spans="1:5" ht="15" customHeight="1">
      <c r="A128" s="48"/>
      <c r="B128" s="85"/>
      <c r="C128" s="54" t="s">
        <v>144</v>
      </c>
      <c r="D128" s="55">
        <v>2</v>
      </c>
      <c r="E128" s="56">
        <v>4.6620046620050003E-3</v>
      </c>
    </row>
    <row r="129" spans="1:5" ht="15" customHeight="1">
      <c r="A129" s="48"/>
      <c r="B129" s="85"/>
      <c r="C129" s="54" t="s">
        <v>140</v>
      </c>
      <c r="D129" s="55">
        <v>2</v>
      </c>
      <c r="E129" s="56">
        <v>4.6620046620050003E-3</v>
      </c>
    </row>
    <row r="130" spans="1:5" ht="15" customHeight="1">
      <c r="A130" s="48"/>
      <c r="B130" s="85"/>
      <c r="C130" s="54" t="s">
        <v>161</v>
      </c>
      <c r="D130" s="55">
        <v>1</v>
      </c>
      <c r="E130" s="56">
        <v>2.3310023310020001E-3</v>
      </c>
    </row>
    <row r="131" spans="1:5" ht="15" customHeight="1">
      <c r="A131" s="48"/>
      <c r="B131" s="85"/>
      <c r="C131" s="54" t="s">
        <v>149</v>
      </c>
      <c r="D131" s="55">
        <v>1</v>
      </c>
      <c r="E131" s="56">
        <v>2.3310023310020001E-3</v>
      </c>
    </row>
    <row r="132" spans="1:5" ht="15" customHeight="1">
      <c r="A132" s="48"/>
      <c r="B132" s="85"/>
      <c r="C132" s="54" t="s">
        <v>135</v>
      </c>
      <c r="D132" s="55">
        <v>6</v>
      </c>
      <c r="E132" s="56">
        <v>1.3986013986014E-2</v>
      </c>
    </row>
    <row r="133" spans="1:5" ht="15" customHeight="1">
      <c r="A133" s="48"/>
      <c r="B133" s="85"/>
      <c r="C133" s="54" t="s">
        <v>158</v>
      </c>
      <c r="D133" s="55">
        <v>1</v>
      </c>
      <c r="E133" s="56">
        <v>2.3310023310020001E-3</v>
      </c>
    </row>
    <row r="134" spans="1:5" ht="15" customHeight="1">
      <c r="A134" s="48"/>
      <c r="B134" s="85"/>
      <c r="C134" s="54" t="s">
        <v>150</v>
      </c>
      <c r="D134" s="55">
        <v>2</v>
      </c>
      <c r="E134" s="56">
        <v>4.6620046620050003E-3</v>
      </c>
    </row>
    <row r="135" spans="1:5" ht="15" customHeight="1">
      <c r="A135" s="48"/>
      <c r="B135" s="85"/>
      <c r="C135" s="54" t="s">
        <v>131</v>
      </c>
      <c r="D135" s="55">
        <v>8</v>
      </c>
      <c r="E135" s="56">
        <v>1.8648018648018998E-2</v>
      </c>
    </row>
    <row r="136" spans="1:5" ht="15" customHeight="1">
      <c r="A136" s="48"/>
      <c r="B136" s="85"/>
      <c r="C136" s="54" t="s">
        <v>151</v>
      </c>
      <c r="D136" s="55">
        <v>1</v>
      </c>
      <c r="E136" s="56">
        <v>2.3310023310020001E-3</v>
      </c>
    </row>
    <row r="137" spans="1:5" ht="15" customHeight="1">
      <c r="A137" s="48"/>
      <c r="B137" s="85"/>
      <c r="C137" s="54" t="s">
        <v>141</v>
      </c>
      <c r="D137" s="55">
        <v>1</v>
      </c>
      <c r="E137" s="56">
        <v>2.3310023310020001E-3</v>
      </c>
    </row>
    <row r="138" spans="1:5" ht="15" customHeight="1">
      <c r="A138" s="48"/>
      <c r="B138" s="85"/>
      <c r="C138" s="54" t="s">
        <v>138</v>
      </c>
      <c r="D138" s="55">
        <v>1</v>
      </c>
      <c r="E138" s="56">
        <v>2.3310023310020001E-3</v>
      </c>
    </row>
    <row r="139" spans="1:5" ht="15" customHeight="1">
      <c r="A139" s="48"/>
      <c r="B139" s="85"/>
      <c r="C139" s="54" t="s">
        <v>159</v>
      </c>
      <c r="D139" s="55">
        <v>1</v>
      </c>
      <c r="E139" s="56">
        <v>2.3310023310020001E-3</v>
      </c>
    </row>
    <row r="140" spans="1:5" ht="15" customHeight="1">
      <c r="A140" s="48"/>
      <c r="B140" s="85"/>
      <c r="C140" s="54" t="s">
        <v>137</v>
      </c>
      <c r="D140" s="55">
        <v>2</v>
      </c>
      <c r="E140" s="56">
        <v>4.6620046620050003E-3</v>
      </c>
    </row>
    <row r="141" spans="1:5" ht="15" customHeight="1">
      <c r="A141" s="48"/>
      <c r="B141" s="85"/>
      <c r="C141" s="54" t="s">
        <v>152</v>
      </c>
      <c r="D141" s="55">
        <v>1</v>
      </c>
      <c r="E141" s="56">
        <v>2.3310023310020001E-3</v>
      </c>
    </row>
    <row r="142" spans="1:5" ht="15" customHeight="1">
      <c r="A142" s="48"/>
      <c r="B142" s="85"/>
      <c r="C142" s="54" t="s">
        <v>130</v>
      </c>
      <c r="D142" s="55">
        <v>8</v>
      </c>
      <c r="E142" s="56">
        <v>1.8648018648018998E-2</v>
      </c>
    </row>
    <row r="143" spans="1:5" ht="15" customHeight="1">
      <c r="A143" s="48"/>
      <c r="B143" s="85"/>
      <c r="C143" s="54" t="s">
        <v>133</v>
      </c>
      <c r="D143" s="55">
        <v>4</v>
      </c>
      <c r="E143" s="56">
        <v>9.3240093240089996E-3</v>
      </c>
    </row>
    <row r="144" spans="1:5" ht="15" customHeight="1">
      <c r="A144" s="48"/>
      <c r="B144" s="85"/>
      <c r="C144" s="54" t="s">
        <v>153</v>
      </c>
      <c r="D144" s="55">
        <v>1</v>
      </c>
      <c r="E144" s="56">
        <v>2.3310023310020001E-3</v>
      </c>
    </row>
    <row r="145" spans="1:5" ht="15" customHeight="1">
      <c r="A145" s="48"/>
      <c r="B145" s="85"/>
      <c r="C145" s="54" t="s">
        <v>147</v>
      </c>
      <c r="D145" s="55">
        <v>1</v>
      </c>
      <c r="E145" s="56">
        <v>2.3310023310020001E-3</v>
      </c>
    </row>
    <row r="146" spans="1:5" ht="15" customHeight="1">
      <c r="A146" s="48"/>
      <c r="B146" s="86"/>
      <c r="C146" s="67" t="s">
        <v>210</v>
      </c>
      <c r="D146" s="66">
        <v>127</v>
      </c>
      <c r="E146" s="68">
        <v>0.296037296037296</v>
      </c>
    </row>
    <row r="147" spans="1:5" ht="15" customHeight="1">
      <c r="A147" s="48"/>
      <c r="B147" s="84" t="s">
        <v>178</v>
      </c>
      <c r="C147" s="54" t="s">
        <v>129</v>
      </c>
      <c r="D147" s="55">
        <v>1</v>
      </c>
      <c r="E147" s="56">
        <v>2.3310023310020001E-3</v>
      </c>
    </row>
    <row r="148" spans="1:5" ht="15" customHeight="1">
      <c r="A148" s="48"/>
      <c r="B148" s="85"/>
      <c r="C148" s="54" t="s">
        <v>135</v>
      </c>
      <c r="D148" s="55">
        <v>1</v>
      </c>
      <c r="E148" s="56">
        <v>2.3310023310020001E-3</v>
      </c>
    </row>
    <row r="149" spans="1:5" ht="15" customHeight="1">
      <c r="A149" s="48"/>
      <c r="B149" s="86"/>
      <c r="C149" s="67" t="s">
        <v>210</v>
      </c>
      <c r="D149" s="66">
        <v>2</v>
      </c>
      <c r="E149" s="68">
        <v>4.6620046620050003E-3</v>
      </c>
    </row>
    <row r="150" spans="1:5" ht="15" customHeight="1">
      <c r="A150" s="48"/>
      <c r="B150" s="84" t="s">
        <v>179</v>
      </c>
      <c r="C150" s="54" t="s">
        <v>129</v>
      </c>
      <c r="D150" s="55">
        <v>1</v>
      </c>
      <c r="E150" s="56">
        <v>2.3310023310020001E-3</v>
      </c>
    </row>
    <row r="151" spans="1:5" ht="15" customHeight="1">
      <c r="A151" s="48"/>
      <c r="B151" s="85"/>
      <c r="C151" s="54" t="s">
        <v>131</v>
      </c>
      <c r="D151" s="55">
        <v>1</v>
      </c>
      <c r="E151" s="56">
        <v>2.3310023310020001E-3</v>
      </c>
    </row>
    <row r="152" spans="1:5" ht="15" customHeight="1">
      <c r="A152" s="48"/>
      <c r="B152" s="85"/>
      <c r="C152" s="54" t="s">
        <v>141</v>
      </c>
      <c r="D152" s="55">
        <v>1</v>
      </c>
      <c r="E152" s="56">
        <v>2.3310023310020001E-3</v>
      </c>
    </row>
    <row r="153" spans="1:5" ht="15" customHeight="1">
      <c r="A153" s="48"/>
      <c r="B153" s="86"/>
      <c r="C153" s="67" t="s">
        <v>210</v>
      </c>
      <c r="D153" s="66">
        <v>3</v>
      </c>
      <c r="E153" s="68">
        <v>6.9930069930069999E-3</v>
      </c>
    </row>
    <row r="154" spans="1:5" ht="15" customHeight="1">
      <c r="A154" s="48"/>
      <c r="B154" s="84" t="s">
        <v>180</v>
      </c>
      <c r="C154" s="54" t="s">
        <v>129</v>
      </c>
      <c r="D154" s="55">
        <v>1</v>
      </c>
      <c r="E154" s="56">
        <v>2.3310023310020001E-3</v>
      </c>
    </row>
    <row r="155" spans="1:5" ht="15" customHeight="1">
      <c r="A155" s="48"/>
      <c r="B155" s="86"/>
      <c r="C155" s="67" t="s">
        <v>210</v>
      </c>
      <c r="D155" s="66">
        <v>1</v>
      </c>
      <c r="E155" s="68">
        <v>2.3310023310020001E-3</v>
      </c>
    </row>
    <row r="156" spans="1:5" ht="15" customHeight="1">
      <c r="A156" s="48"/>
      <c r="B156" s="84" t="s">
        <v>181</v>
      </c>
      <c r="C156" s="54" t="s">
        <v>129</v>
      </c>
      <c r="D156" s="55">
        <v>1</v>
      </c>
      <c r="E156" s="56">
        <v>2.3310023310020001E-3</v>
      </c>
    </row>
    <row r="157" spans="1:5" ht="15" customHeight="1">
      <c r="A157" s="48"/>
      <c r="B157" s="85"/>
      <c r="C157" s="54" t="s">
        <v>142</v>
      </c>
      <c r="D157" s="55">
        <v>1</v>
      </c>
      <c r="E157" s="56">
        <v>2.3310023310020001E-3</v>
      </c>
    </row>
    <row r="158" spans="1:5" ht="15" customHeight="1">
      <c r="A158" s="48"/>
      <c r="B158" s="85"/>
      <c r="C158" s="54" t="s">
        <v>130</v>
      </c>
      <c r="D158" s="55">
        <v>1</v>
      </c>
      <c r="E158" s="56">
        <v>2.3310023310020001E-3</v>
      </c>
    </row>
    <row r="159" spans="1:5" ht="15" customHeight="1">
      <c r="A159" s="48"/>
      <c r="B159" s="86"/>
      <c r="C159" s="67" t="s">
        <v>210</v>
      </c>
      <c r="D159" s="66">
        <v>3</v>
      </c>
      <c r="E159" s="68">
        <v>6.9930069930069999E-3</v>
      </c>
    </row>
    <row r="160" spans="1:5" ht="15" customHeight="1">
      <c r="A160" s="48"/>
      <c r="B160" s="84" t="s">
        <v>107</v>
      </c>
      <c r="C160" s="54" t="s">
        <v>132</v>
      </c>
      <c r="D160" s="55">
        <v>1</v>
      </c>
      <c r="E160" s="56">
        <v>2.3310023310020001E-3</v>
      </c>
    </row>
    <row r="161" spans="1:5" ht="15" customHeight="1">
      <c r="A161" s="48"/>
      <c r="B161" s="85"/>
      <c r="C161" s="54" t="s">
        <v>129</v>
      </c>
      <c r="D161" s="55">
        <v>5</v>
      </c>
      <c r="E161" s="56">
        <v>1.1655011655011999E-2</v>
      </c>
    </row>
    <row r="162" spans="1:5" ht="15" customHeight="1">
      <c r="A162" s="48"/>
      <c r="B162" s="85"/>
      <c r="C162" s="54" t="s">
        <v>134</v>
      </c>
      <c r="D162" s="55">
        <v>1</v>
      </c>
      <c r="E162" s="56">
        <v>2.3310023310020001E-3</v>
      </c>
    </row>
    <row r="163" spans="1:5" ht="15" customHeight="1">
      <c r="A163" s="48"/>
      <c r="B163" s="85"/>
      <c r="C163" s="54" t="s">
        <v>151</v>
      </c>
      <c r="D163" s="55">
        <v>1</v>
      </c>
      <c r="E163" s="56">
        <v>2.3310023310020001E-3</v>
      </c>
    </row>
    <row r="164" spans="1:5" ht="15" customHeight="1">
      <c r="A164" s="48"/>
      <c r="B164" s="85"/>
      <c r="C164" s="54" t="s">
        <v>130</v>
      </c>
      <c r="D164" s="55">
        <v>1</v>
      </c>
      <c r="E164" s="56">
        <v>2.3310023310020001E-3</v>
      </c>
    </row>
    <row r="165" spans="1:5" ht="15" customHeight="1">
      <c r="A165" s="48"/>
      <c r="B165" s="85"/>
      <c r="C165" s="54" t="s">
        <v>133</v>
      </c>
      <c r="D165" s="55">
        <v>1</v>
      </c>
      <c r="E165" s="56">
        <v>2.3310023310020001E-3</v>
      </c>
    </row>
    <row r="166" spans="1:5" ht="15" customHeight="1">
      <c r="A166" s="48"/>
      <c r="B166" s="85"/>
      <c r="C166" s="54" t="s">
        <v>46</v>
      </c>
      <c r="D166" s="55">
        <v>2</v>
      </c>
      <c r="E166" s="56">
        <v>4.6620046620050003E-3</v>
      </c>
    </row>
    <row r="167" spans="1:5" ht="15" customHeight="1">
      <c r="A167" s="48"/>
      <c r="B167" s="86"/>
      <c r="C167" s="67" t="s">
        <v>210</v>
      </c>
      <c r="D167" s="66">
        <v>12</v>
      </c>
      <c r="E167" s="68">
        <v>2.7972027972028E-2</v>
      </c>
    </row>
    <row r="168" spans="1:5" ht="15" customHeight="1">
      <c r="A168" s="48"/>
      <c r="B168" s="84" t="s">
        <v>108</v>
      </c>
      <c r="C168" s="54" t="s">
        <v>132</v>
      </c>
      <c r="D168" s="55">
        <v>2</v>
      </c>
      <c r="E168" s="56">
        <v>4.6620046620050003E-3</v>
      </c>
    </row>
    <row r="169" spans="1:5" ht="15" customHeight="1">
      <c r="A169" s="48"/>
      <c r="B169" s="85"/>
      <c r="C169" s="54" t="s">
        <v>129</v>
      </c>
      <c r="D169" s="55">
        <v>14</v>
      </c>
      <c r="E169" s="56">
        <v>3.2634032634033E-2</v>
      </c>
    </row>
    <row r="170" spans="1:5" ht="15" customHeight="1">
      <c r="A170" s="48"/>
      <c r="B170" s="85"/>
      <c r="C170" s="54" t="s">
        <v>142</v>
      </c>
      <c r="D170" s="55">
        <v>1</v>
      </c>
      <c r="E170" s="56">
        <v>2.3310023310020001E-3</v>
      </c>
    </row>
    <row r="171" spans="1:5" ht="15" customHeight="1">
      <c r="A171" s="48"/>
      <c r="B171" s="85"/>
      <c r="C171" s="54" t="s">
        <v>145</v>
      </c>
      <c r="D171" s="55">
        <v>1</v>
      </c>
      <c r="E171" s="56">
        <v>2.3310023310020001E-3</v>
      </c>
    </row>
    <row r="172" spans="1:5" ht="15" customHeight="1">
      <c r="A172" s="48"/>
      <c r="B172" s="85"/>
      <c r="C172" s="54" t="s">
        <v>136</v>
      </c>
      <c r="D172" s="55">
        <v>2</v>
      </c>
      <c r="E172" s="56">
        <v>4.6620046620050003E-3</v>
      </c>
    </row>
    <row r="173" spans="1:5" ht="15" customHeight="1">
      <c r="A173" s="48"/>
      <c r="B173" s="85"/>
      <c r="C173" s="54" t="s">
        <v>146</v>
      </c>
      <c r="D173" s="55">
        <v>1</v>
      </c>
      <c r="E173" s="56">
        <v>2.3310023310020001E-3</v>
      </c>
    </row>
    <row r="174" spans="1:5" ht="15" customHeight="1">
      <c r="A174" s="48"/>
      <c r="B174" s="85"/>
      <c r="C174" s="54" t="s">
        <v>140</v>
      </c>
      <c r="D174" s="55">
        <v>1</v>
      </c>
      <c r="E174" s="56">
        <v>2.3310023310020001E-3</v>
      </c>
    </row>
    <row r="175" spans="1:5" ht="15" customHeight="1">
      <c r="A175" s="48"/>
      <c r="B175" s="85"/>
      <c r="C175" s="54" t="s">
        <v>135</v>
      </c>
      <c r="D175" s="55">
        <v>1</v>
      </c>
      <c r="E175" s="56">
        <v>2.3310023310020001E-3</v>
      </c>
    </row>
    <row r="176" spans="1:5" ht="15" customHeight="1">
      <c r="A176" s="48"/>
      <c r="B176" s="85"/>
      <c r="C176" s="54" t="s">
        <v>158</v>
      </c>
      <c r="D176" s="55">
        <v>1</v>
      </c>
      <c r="E176" s="56">
        <v>2.3310023310020001E-3</v>
      </c>
    </row>
    <row r="177" spans="1:5" ht="15" customHeight="1">
      <c r="A177" s="48"/>
      <c r="B177" s="85"/>
      <c r="C177" s="54" t="s">
        <v>150</v>
      </c>
      <c r="D177" s="55">
        <v>1</v>
      </c>
      <c r="E177" s="56">
        <v>2.3310023310020001E-3</v>
      </c>
    </row>
    <row r="178" spans="1:5" ht="15" customHeight="1">
      <c r="A178" s="48"/>
      <c r="B178" s="85"/>
      <c r="C178" s="54" t="s">
        <v>151</v>
      </c>
      <c r="D178" s="55">
        <v>1</v>
      </c>
      <c r="E178" s="56">
        <v>2.3310023310020001E-3</v>
      </c>
    </row>
    <row r="179" spans="1:5" ht="15" customHeight="1">
      <c r="A179" s="48"/>
      <c r="B179" s="85"/>
      <c r="C179" s="54" t="s">
        <v>138</v>
      </c>
      <c r="D179" s="55">
        <v>4</v>
      </c>
      <c r="E179" s="56">
        <v>9.3240093240089996E-3</v>
      </c>
    </row>
    <row r="180" spans="1:5" ht="15" customHeight="1">
      <c r="A180" s="48"/>
      <c r="B180" s="85"/>
      <c r="C180" s="54" t="s">
        <v>130</v>
      </c>
      <c r="D180" s="55">
        <v>3</v>
      </c>
      <c r="E180" s="56">
        <v>6.9930069930069999E-3</v>
      </c>
    </row>
    <row r="181" spans="1:5" ht="15" customHeight="1">
      <c r="A181" s="48"/>
      <c r="B181" s="85"/>
      <c r="C181" s="54" t="s">
        <v>133</v>
      </c>
      <c r="D181" s="55">
        <v>3</v>
      </c>
      <c r="E181" s="56">
        <v>6.9930069930069999E-3</v>
      </c>
    </row>
    <row r="182" spans="1:5" ht="15" customHeight="1">
      <c r="A182" s="48"/>
      <c r="B182" s="85"/>
      <c r="C182" s="54" t="s">
        <v>153</v>
      </c>
      <c r="D182" s="55">
        <v>1</v>
      </c>
      <c r="E182" s="56">
        <v>2.3310023310020001E-3</v>
      </c>
    </row>
    <row r="183" spans="1:5" ht="15" customHeight="1">
      <c r="A183" s="48"/>
      <c r="B183" s="85"/>
      <c r="C183" s="54" t="s">
        <v>147</v>
      </c>
      <c r="D183" s="55">
        <v>2</v>
      </c>
      <c r="E183" s="56">
        <v>4.6620046620050003E-3</v>
      </c>
    </row>
    <row r="184" spans="1:5" ht="15" customHeight="1">
      <c r="A184" s="48"/>
      <c r="B184" s="86"/>
      <c r="C184" s="67" t="s">
        <v>210</v>
      </c>
      <c r="D184" s="66">
        <v>39</v>
      </c>
      <c r="E184" s="68">
        <v>9.0909090909090995E-2</v>
      </c>
    </row>
    <row r="185" spans="1:5" ht="15" customHeight="1">
      <c r="A185" s="48"/>
      <c r="B185" s="84" t="s">
        <v>109</v>
      </c>
      <c r="C185" s="54" t="s">
        <v>132</v>
      </c>
      <c r="D185" s="55">
        <v>1</v>
      </c>
      <c r="E185" s="56">
        <v>2.3310023310020001E-3</v>
      </c>
    </row>
    <row r="186" spans="1:5" ht="15" customHeight="1">
      <c r="A186" s="48"/>
      <c r="B186" s="85"/>
      <c r="C186" s="54" t="s">
        <v>129</v>
      </c>
      <c r="D186" s="55">
        <v>1</v>
      </c>
      <c r="E186" s="56">
        <v>2.3310023310020001E-3</v>
      </c>
    </row>
    <row r="187" spans="1:5" ht="15" customHeight="1">
      <c r="A187" s="48"/>
      <c r="B187" s="85"/>
      <c r="C187" s="54" t="s">
        <v>130</v>
      </c>
      <c r="D187" s="55">
        <v>1</v>
      </c>
      <c r="E187" s="56">
        <v>2.3310023310020001E-3</v>
      </c>
    </row>
    <row r="188" spans="1:5" ht="15" customHeight="1">
      <c r="A188" s="48"/>
      <c r="B188" s="86"/>
      <c r="C188" s="67" t="s">
        <v>210</v>
      </c>
      <c r="D188" s="66">
        <v>3</v>
      </c>
      <c r="E188" s="68">
        <v>6.9930069930069999E-3</v>
      </c>
    </row>
    <row r="189" spans="1:5" ht="15" customHeight="1">
      <c r="A189" s="48"/>
      <c r="B189" s="57" t="s">
        <v>210</v>
      </c>
      <c r="C189" s="57"/>
      <c r="D189" s="58">
        <v>429</v>
      </c>
      <c r="E189" s="59">
        <v>1</v>
      </c>
    </row>
    <row r="190" spans="1:5" ht="15" customHeight="1">
      <c r="A190" s="48"/>
      <c r="B190" s="48"/>
      <c r="C190" s="48"/>
      <c r="D190" s="48"/>
      <c r="E190" s="48"/>
    </row>
    <row r="191" spans="1:5" ht="15" customHeight="1">
      <c r="A191" s="48"/>
      <c r="B191" s="39" t="s">
        <v>120</v>
      </c>
      <c r="C191" s="48"/>
      <c r="D191" s="48"/>
      <c r="E191" s="48"/>
    </row>
    <row r="192" spans="1:5" ht="15" customHeight="1">
      <c r="A192" s="48"/>
      <c r="B192" s="41" t="s">
        <v>17</v>
      </c>
      <c r="C192" s="40"/>
      <c r="D192" s="48"/>
      <c r="E192" s="48"/>
    </row>
    <row r="193" spans="1:5" ht="15" customHeight="1">
      <c r="A193" s="48"/>
      <c r="B193" s="42" t="s">
        <v>45</v>
      </c>
      <c r="C193" s="40"/>
      <c r="D193" s="48"/>
      <c r="E193" s="48"/>
    </row>
    <row r="194" spans="1:5" ht="15" customHeight="1">
      <c r="A194" s="48"/>
      <c r="B194" s="39" t="s">
        <v>16</v>
      </c>
      <c r="C194" s="40"/>
      <c r="D194" s="48"/>
      <c r="E194" s="48"/>
    </row>
    <row r="195" spans="1:5" ht="15" customHeight="1">
      <c r="A195" s="48"/>
      <c r="B195" s="39" t="s">
        <v>211</v>
      </c>
      <c r="C195" s="40"/>
      <c r="D195" s="48"/>
      <c r="E195" s="48"/>
    </row>
    <row r="196" spans="1:5" ht="15" customHeight="1">
      <c r="A196" s="48"/>
      <c r="C196" s="40"/>
      <c r="D196" s="48"/>
      <c r="E196" s="48"/>
    </row>
    <row r="197" spans="1:5" ht="15" customHeight="1">
      <c r="B197" s="24"/>
      <c r="C197" s="27"/>
    </row>
  </sheetData>
  <mergeCells count="23">
    <mergeCell ref="B160:B167"/>
    <mergeCell ref="B168:B184"/>
    <mergeCell ref="B185:B188"/>
    <mergeCell ref="B117:B146"/>
    <mergeCell ref="B147:B149"/>
    <mergeCell ref="B150:B153"/>
    <mergeCell ref="B154:B155"/>
    <mergeCell ref="B156:B159"/>
    <mergeCell ref="B55:B63"/>
    <mergeCell ref="B64:B71"/>
    <mergeCell ref="B72:B97"/>
    <mergeCell ref="B98:B101"/>
    <mergeCell ref="B102:B116"/>
    <mergeCell ref="B28:B29"/>
    <mergeCell ref="B30:B32"/>
    <mergeCell ref="B33:B41"/>
    <mergeCell ref="B42:B52"/>
    <mergeCell ref="B53:B54"/>
    <mergeCell ref="B7:E8"/>
    <mergeCell ref="B10:B15"/>
    <mergeCell ref="B16:B17"/>
    <mergeCell ref="B18:B22"/>
    <mergeCell ref="B23:B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270"/>
  <sheetViews>
    <sheetView showGridLines="0" view="pageBreakPreview" zoomScaleNormal="100" zoomScaleSheetLayoutView="100" workbookViewId="0">
      <selection activeCell="D9" sqref="D9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5.1406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83"/>
      <c r="C7" s="83"/>
      <c r="D7" s="83"/>
      <c r="E7" s="83"/>
    </row>
    <row r="8" spans="1:5" s="24" customFormat="1" ht="33" customHeight="1">
      <c r="A8" s="25"/>
      <c r="B8" s="83"/>
      <c r="C8" s="83"/>
      <c r="D8" s="83"/>
      <c r="E8" s="83"/>
    </row>
    <row r="9" spans="1:5" s="17" customFormat="1" ht="40.5" customHeight="1">
      <c r="B9" s="45" t="s">
        <v>21</v>
      </c>
      <c r="C9" s="46" t="s">
        <v>26</v>
      </c>
      <c r="D9" s="47" t="s">
        <v>19</v>
      </c>
      <c r="E9" s="45" t="s">
        <v>18</v>
      </c>
    </row>
    <row r="10" spans="1:5" ht="15" customHeight="1">
      <c r="B10" s="84" t="s">
        <v>75</v>
      </c>
      <c r="C10" s="60" t="s">
        <v>95</v>
      </c>
      <c r="D10" s="55">
        <v>2</v>
      </c>
      <c r="E10" s="56">
        <v>4.6620046620050003E-3</v>
      </c>
    </row>
    <row r="11" spans="1:5" ht="15" customHeight="1">
      <c r="B11" s="86"/>
      <c r="C11" s="69" t="s">
        <v>210</v>
      </c>
      <c r="D11" s="66">
        <v>2</v>
      </c>
      <c r="E11" s="68">
        <v>4.6620046620050003E-3</v>
      </c>
    </row>
    <row r="12" spans="1:5" ht="15" customHeight="1">
      <c r="B12" s="84" t="s">
        <v>64</v>
      </c>
      <c r="C12" s="60" t="s">
        <v>96</v>
      </c>
      <c r="D12" s="55">
        <v>1</v>
      </c>
      <c r="E12" s="56">
        <v>2.3310023310020001E-3</v>
      </c>
    </row>
    <row r="13" spans="1:5" ht="15" customHeight="1">
      <c r="B13" s="85"/>
      <c r="C13" s="60" t="s">
        <v>98</v>
      </c>
      <c r="D13" s="55">
        <v>1</v>
      </c>
      <c r="E13" s="56">
        <v>2.3310023310020001E-3</v>
      </c>
    </row>
    <row r="14" spans="1:5" ht="15" customHeight="1">
      <c r="B14" s="85"/>
      <c r="C14" s="60" t="s">
        <v>100</v>
      </c>
      <c r="D14" s="55">
        <v>3</v>
      </c>
      <c r="E14" s="56">
        <v>6.9930069930069999E-3</v>
      </c>
    </row>
    <row r="15" spans="1:5" ht="15" customHeight="1">
      <c r="B15" s="85"/>
      <c r="C15" s="60" t="s">
        <v>101</v>
      </c>
      <c r="D15" s="55">
        <v>1</v>
      </c>
      <c r="E15" s="56">
        <v>2.3310023310020001E-3</v>
      </c>
    </row>
    <row r="16" spans="1:5" ht="15" customHeight="1">
      <c r="B16" s="85"/>
      <c r="C16" s="60" t="s">
        <v>102</v>
      </c>
      <c r="D16" s="55">
        <v>1</v>
      </c>
      <c r="E16" s="56">
        <v>2.3310023310020001E-3</v>
      </c>
    </row>
    <row r="17" spans="2:5" ht="15" customHeight="1">
      <c r="B17" s="85"/>
      <c r="C17" s="60" t="s">
        <v>103</v>
      </c>
      <c r="D17" s="55">
        <v>1</v>
      </c>
      <c r="E17" s="56">
        <v>2.3310023310020001E-3</v>
      </c>
    </row>
    <row r="18" spans="2:5" ht="15" customHeight="1">
      <c r="B18" s="86"/>
      <c r="C18" s="69" t="s">
        <v>210</v>
      </c>
      <c r="D18" s="66">
        <v>8</v>
      </c>
      <c r="E18" s="68">
        <v>1.8648018648018998E-2</v>
      </c>
    </row>
    <row r="19" spans="2:5" ht="15" customHeight="1">
      <c r="B19" s="84" t="s">
        <v>79</v>
      </c>
      <c r="C19" s="60" t="s">
        <v>100</v>
      </c>
      <c r="D19" s="55">
        <v>2</v>
      </c>
      <c r="E19" s="56">
        <v>4.6620046620050003E-3</v>
      </c>
    </row>
    <row r="20" spans="2:5" ht="15" customHeight="1">
      <c r="B20" s="86"/>
      <c r="C20" s="69" t="s">
        <v>210</v>
      </c>
      <c r="D20" s="66">
        <v>2</v>
      </c>
      <c r="E20" s="68">
        <v>4.6620046620050003E-3</v>
      </c>
    </row>
    <row r="21" spans="2:5" ht="15" customHeight="1">
      <c r="B21" s="84" t="s">
        <v>67</v>
      </c>
      <c r="C21" s="60" t="s">
        <v>96</v>
      </c>
      <c r="D21" s="55">
        <v>2</v>
      </c>
      <c r="E21" s="56">
        <v>4.6620046620050003E-3</v>
      </c>
    </row>
    <row r="22" spans="2:5" ht="15" customHeight="1">
      <c r="B22" s="85"/>
      <c r="C22" s="60" t="s">
        <v>100</v>
      </c>
      <c r="D22" s="55">
        <v>2</v>
      </c>
      <c r="E22" s="56">
        <v>4.6620046620050003E-3</v>
      </c>
    </row>
    <row r="23" spans="2:5" ht="15" customHeight="1">
      <c r="B23" s="85"/>
      <c r="C23" s="60" t="s">
        <v>103</v>
      </c>
      <c r="D23" s="55">
        <v>3</v>
      </c>
      <c r="E23" s="56">
        <v>6.9930069930069999E-3</v>
      </c>
    </row>
    <row r="24" spans="2:5" ht="15" customHeight="1">
      <c r="B24" s="85"/>
      <c r="C24" s="60" t="s">
        <v>108</v>
      </c>
      <c r="D24" s="55">
        <v>1</v>
      </c>
      <c r="E24" s="56">
        <v>2.3310023310020001E-3</v>
      </c>
    </row>
    <row r="25" spans="2:5" ht="15" customHeight="1">
      <c r="B25" s="86"/>
      <c r="C25" s="69" t="s">
        <v>210</v>
      </c>
      <c r="D25" s="66">
        <v>8</v>
      </c>
      <c r="E25" s="68">
        <v>1.8648018648018998E-2</v>
      </c>
    </row>
    <row r="26" spans="2:5" ht="15" customHeight="1">
      <c r="B26" s="84" t="s">
        <v>119</v>
      </c>
      <c r="C26" s="60" t="s">
        <v>103</v>
      </c>
      <c r="D26" s="55">
        <v>1</v>
      </c>
      <c r="E26" s="56">
        <v>2.3310023310020001E-3</v>
      </c>
    </row>
    <row r="27" spans="2:5" ht="15" customHeight="1">
      <c r="B27" s="85"/>
      <c r="C27" s="60" t="s">
        <v>108</v>
      </c>
      <c r="D27" s="55">
        <v>3</v>
      </c>
      <c r="E27" s="56">
        <v>6.9930069930069999E-3</v>
      </c>
    </row>
    <row r="28" spans="2:5" ht="15" customHeight="1">
      <c r="B28" s="86"/>
      <c r="C28" s="69" t="s">
        <v>210</v>
      </c>
      <c r="D28" s="66">
        <v>4</v>
      </c>
      <c r="E28" s="68">
        <v>9.3240093240089996E-3</v>
      </c>
    </row>
    <row r="29" spans="2:5" ht="15" customHeight="1">
      <c r="B29" s="84" t="s">
        <v>49</v>
      </c>
      <c r="C29" s="60" t="s">
        <v>90</v>
      </c>
      <c r="D29" s="55">
        <v>1</v>
      </c>
      <c r="E29" s="56">
        <v>2.3310023310020001E-3</v>
      </c>
    </row>
    <row r="30" spans="2:5" ht="15" customHeight="1">
      <c r="B30" s="85"/>
      <c r="C30" s="60" t="s">
        <v>99</v>
      </c>
      <c r="D30" s="55">
        <v>2</v>
      </c>
      <c r="E30" s="56">
        <v>4.6620046620050003E-3</v>
      </c>
    </row>
    <row r="31" spans="2:5" ht="15" customHeight="1">
      <c r="B31" s="85"/>
      <c r="C31" s="60" t="s">
        <v>100</v>
      </c>
      <c r="D31" s="55">
        <v>7</v>
      </c>
      <c r="E31" s="56">
        <v>1.6317016317016E-2</v>
      </c>
    </row>
    <row r="32" spans="2:5" ht="15" customHeight="1">
      <c r="B32" s="85"/>
      <c r="C32" s="60" t="s">
        <v>103</v>
      </c>
      <c r="D32" s="55">
        <v>2</v>
      </c>
      <c r="E32" s="56">
        <v>4.6620046620050003E-3</v>
      </c>
    </row>
    <row r="33" spans="2:5" ht="15" customHeight="1">
      <c r="B33" s="85"/>
      <c r="C33" s="60" t="s">
        <v>108</v>
      </c>
      <c r="D33" s="55">
        <v>3</v>
      </c>
      <c r="E33" s="56">
        <v>6.9930069930069999E-3</v>
      </c>
    </row>
    <row r="34" spans="2:5" ht="15" customHeight="1">
      <c r="B34" s="86"/>
      <c r="C34" s="69" t="s">
        <v>210</v>
      </c>
      <c r="D34" s="66">
        <v>15</v>
      </c>
      <c r="E34" s="68">
        <v>3.4965034965035002E-2</v>
      </c>
    </row>
    <row r="35" spans="2:5" ht="15" customHeight="1">
      <c r="B35" s="84" t="s">
        <v>50</v>
      </c>
      <c r="C35" s="60" t="s">
        <v>90</v>
      </c>
      <c r="D35" s="55">
        <v>2</v>
      </c>
      <c r="E35" s="56">
        <v>4.6620046620050003E-3</v>
      </c>
    </row>
    <row r="36" spans="2:5" ht="15" customHeight="1">
      <c r="B36" s="85"/>
      <c r="C36" s="60" t="s">
        <v>96</v>
      </c>
      <c r="D36" s="55">
        <v>3</v>
      </c>
      <c r="E36" s="56">
        <v>6.9930069930069999E-3</v>
      </c>
    </row>
    <row r="37" spans="2:5" ht="15" customHeight="1">
      <c r="B37" s="85"/>
      <c r="C37" s="60" t="s">
        <v>99</v>
      </c>
      <c r="D37" s="55">
        <v>1</v>
      </c>
      <c r="E37" s="56">
        <v>2.3310023310020001E-3</v>
      </c>
    </row>
    <row r="38" spans="2:5" ht="15" customHeight="1">
      <c r="B38" s="85"/>
      <c r="C38" s="60" t="s">
        <v>100</v>
      </c>
      <c r="D38" s="55">
        <v>8</v>
      </c>
      <c r="E38" s="56">
        <v>1.8648018648018998E-2</v>
      </c>
    </row>
    <row r="39" spans="2:5" ht="15" customHeight="1">
      <c r="B39" s="85"/>
      <c r="C39" s="60" t="s">
        <v>102</v>
      </c>
      <c r="D39" s="55">
        <v>1</v>
      </c>
      <c r="E39" s="56">
        <v>2.3310023310020001E-3</v>
      </c>
    </row>
    <row r="40" spans="2:5" ht="15" customHeight="1">
      <c r="B40" s="85"/>
      <c r="C40" s="60" t="s">
        <v>103</v>
      </c>
      <c r="D40" s="55">
        <v>1</v>
      </c>
      <c r="E40" s="56">
        <v>2.3310023310020001E-3</v>
      </c>
    </row>
    <row r="41" spans="2:5" ht="15" customHeight="1">
      <c r="B41" s="85"/>
      <c r="C41" s="60" t="s">
        <v>106</v>
      </c>
      <c r="D41" s="55">
        <v>1</v>
      </c>
      <c r="E41" s="56">
        <v>2.3310023310020001E-3</v>
      </c>
    </row>
    <row r="42" spans="2:5" ht="15" customHeight="1">
      <c r="B42" s="85"/>
      <c r="C42" s="60" t="s">
        <v>107</v>
      </c>
      <c r="D42" s="55">
        <v>1</v>
      </c>
      <c r="E42" s="56">
        <v>2.3310023310020001E-3</v>
      </c>
    </row>
    <row r="43" spans="2:5" ht="15" customHeight="1">
      <c r="B43" s="85"/>
      <c r="C43" s="60" t="s">
        <v>108</v>
      </c>
      <c r="D43" s="55">
        <v>1</v>
      </c>
      <c r="E43" s="56">
        <v>2.3310023310020001E-3</v>
      </c>
    </row>
    <row r="44" spans="2:5" ht="15" customHeight="1">
      <c r="B44" s="85"/>
      <c r="C44" s="60" t="s">
        <v>109</v>
      </c>
      <c r="D44" s="55">
        <v>1</v>
      </c>
      <c r="E44" s="56">
        <v>2.3310023310020001E-3</v>
      </c>
    </row>
    <row r="45" spans="2:5" ht="15" customHeight="1">
      <c r="B45" s="86"/>
      <c r="C45" s="69" t="s">
        <v>210</v>
      </c>
      <c r="D45" s="66">
        <v>20</v>
      </c>
      <c r="E45" s="68">
        <v>4.6620046620046998E-2</v>
      </c>
    </row>
    <row r="46" spans="2:5" ht="15" customHeight="1">
      <c r="B46" s="84" t="s">
        <v>68</v>
      </c>
      <c r="C46" s="60" t="s">
        <v>90</v>
      </c>
      <c r="D46" s="55">
        <v>1</v>
      </c>
      <c r="E46" s="56">
        <v>2.3310023310020001E-3</v>
      </c>
    </row>
    <row r="47" spans="2:5" ht="15" customHeight="1">
      <c r="B47" s="85"/>
      <c r="C47" s="60" t="s">
        <v>102</v>
      </c>
      <c r="D47" s="55">
        <v>1</v>
      </c>
      <c r="E47" s="56">
        <v>2.3310023310020001E-3</v>
      </c>
    </row>
    <row r="48" spans="2:5" ht="15" customHeight="1">
      <c r="B48" s="85"/>
      <c r="C48" s="60" t="s">
        <v>103</v>
      </c>
      <c r="D48" s="55">
        <v>2</v>
      </c>
      <c r="E48" s="56">
        <v>4.6620046620050003E-3</v>
      </c>
    </row>
    <row r="49" spans="2:5" ht="15" customHeight="1">
      <c r="B49" s="85"/>
      <c r="C49" s="60" t="s">
        <v>106</v>
      </c>
      <c r="D49" s="55">
        <v>1</v>
      </c>
      <c r="E49" s="56">
        <v>2.3310023310020001E-3</v>
      </c>
    </row>
    <row r="50" spans="2:5" ht="15" customHeight="1">
      <c r="B50" s="85"/>
      <c r="C50" s="60" t="s">
        <v>108</v>
      </c>
      <c r="D50" s="55">
        <v>1</v>
      </c>
      <c r="E50" s="56">
        <v>2.3310023310020001E-3</v>
      </c>
    </row>
    <row r="51" spans="2:5" ht="15" customHeight="1">
      <c r="B51" s="86"/>
      <c r="C51" s="69" t="s">
        <v>210</v>
      </c>
      <c r="D51" s="66">
        <v>6</v>
      </c>
      <c r="E51" s="68">
        <v>1.3986013986014E-2</v>
      </c>
    </row>
    <row r="52" spans="2:5" ht="15" customHeight="1">
      <c r="B52" s="84" t="s">
        <v>80</v>
      </c>
      <c r="C52" s="60" t="s">
        <v>96</v>
      </c>
      <c r="D52" s="55">
        <v>1</v>
      </c>
      <c r="E52" s="56">
        <v>2.3310023310020001E-3</v>
      </c>
    </row>
    <row r="53" spans="2:5" ht="15" customHeight="1">
      <c r="B53" s="85"/>
      <c r="C53" s="60" t="s">
        <v>99</v>
      </c>
      <c r="D53" s="55">
        <v>1</v>
      </c>
      <c r="E53" s="56">
        <v>2.3310023310020001E-3</v>
      </c>
    </row>
    <row r="54" spans="2:5" ht="15" customHeight="1">
      <c r="B54" s="85"/>
      <c r="C54" s="60" t="s">
        <v>100</v>
      </c>
      <c r="D54" s="55">
        <v>4</v>
      </c>
      <c r="E54" s="56">
        <v>9.3240093240089996E-3</v>
      </c>
    </row>
    <row r="55" spans="2:5" ht="15" customHeight="1">
      <c r="B55" s="85"/>
      <c r="C55" s="60" t="s">
        <v>103</v>
      </c>
      <c r="D55" s="55">
        <v>3</v>
      </c>
      <c r="E55" s="56">
        <v>6.9930069930069999E-3</v>
      </c>
    </row>
    <row r="56" spans="2:5" ht="15" customHeight="1">
      <c r="B56" s="85"/>
      <c r="C56" s="60" t="s">
        <v>107</v>
      </c>
      <c r="D56" s="55">
        <v>1</v>
      </c>
      <c r="E56" s="56">
        <v>2.3310023310020001E-3</v>
      </c>
    </row>
    <row r="57" spans="2:5" ht="15" customHeight="1">
      <c r="B57" s="85"/>
      <c r="C57" s="60" t="s">
        <v>108</v>
      </c>
      <c r="D57" s="55">
        <v>1</v>
      </c>
      <c r="E57" s="56">
        <v>2.3310023310020001E-3</v>
      </c>
    </row>
    <row r="58" spans="2:5" ht="15" customHeight="1">
      <c r="B58" s="86"/>
      <c r="C58" s="69" t="s">
        <v>210</v>
      </c>
      <c r="D58" s="66">
        <v>11</v>
      </c>
      <c r="E58" s="68">
        <v>2.5641025641026001E-2</v>
      </c>
    </row>
    <row r="59" spans="2:5" ht="15" customHeight="1">
      <c r="B59" s="84" t="s">
        <v>81</v>
      </c>
      <c r="C59" s="60" t="s">
        <v>100</v>
      </c>
      <c r="D59" s="55">
        <v>1</v>
      </c>
      <c r="E59" s="56">
        <v>2.3310023310020001E-3</v>
      </c>
    </row>
    <row r="60" spans="2:5" ht="15" customHeight="1">
      <c r="B60" s="86"/>
      <c r="C60" s="69" t="s">
        <v>210</v>
      </c>
      <c r="D60" s="66">
        <v>1</v>
      </c>
      <c r="E60" s="68">
        <v>2.3310023310020001E-3</v>
      </c>
    </row>
    <row r="61" spans="2:5" ht="15" customHeight="1">
      <c r="B61" s="84" t="s">
        <v>57</v>
      </c>
      <c r="C61" s="60" t="s">
        <v>100</v>
      </c>
      <c r="D61" s="55">
        <v>2</v>
      </c>
      <c r="E61" s="56">
        <v>4.6620046620050003E-3</v>
      </c>
    </row>
    <row r="62" spans="2:5" ht="15" customHeight="1">
      <c r="B62" s="85"/>
      <c r="C62" s="60" t="s">
        <v>102</v>
      </c>
      <c r="D62" s="55">
        <v>1</v>
      </c>
      <c r="E62" s="56">
        <v>2.3310023310020001E-3</v>
      </c>
    </row>
    <row r="63" spans="2:5" ht="15" customHeight="1">
      <c r="B63" s="85"/>
      <c r="C63" s="60" t="s">
        <v>103</v>
      </c>
      <c r="D63" s="55">
        <v>1</v>
      </c>
      <c r="E63" s="56">
        <v>2.3310023310020001E-3</v>
      </c>
    </row>
    <row r="64" spans="2:5" ht="15" customHeight="1">
      <c r="B64" s="86"/>
      <c r="C64" s="69" t="s">
        <v>210</v>
      </c>
      <c r="D64" s="66">
        <v>4</v>
      </c>
      <c r="E64" s="68">
        <v>9.3240093240089996E-3</v>
      </c>
    </row>
    <row r="65" spans="2:5" ht="15" customHeight="1">
      <c r="B65" s="84" t="s">
        <v>48</v>
      </c>
      <c r="C65" s="60" t="s">
        <v>90</v>
      </c>
      <c r="D65" s="55">
        <v>1</v>
      </c>
      <c r="E65" s="56">
        <v>2.3310023310020001E-3</v>
      </c>
    </row>
    <row r="66" spans="2:5" ht="15" customHeight="1">
      <c r="B66" s="85"/>
      <c r="C66" s="60" t="s">
        <v>92</v>
      </c>
      <c r="D66" s="55">
        <v>1</v>
      </c>
      <c r="E66" s="56">
        <v>2.3310023310020001E-3</v>
      </c>
    </row>
    <row r="67" spans="2:5" ht="15" customHeight="1">
      <c r="B67" s="85"/>
      <c r="C67" s="60" t="s">
        <v>93</v>
      </c>
      <c r="D67" s="55">
        <v>1</v>
      </c>
      <c r="E67" s="56">
        <v>2.3310023310020001E-3</v>
      </c>
    </row>
    <row r="68" spans="2:5" ht="15" customHeight="1">
      <c r="B68" s="85"/>
      <c r="C68" s="60" t="s">
        <v>94</v>
      </c>
      <c r="D68" s="55">
        <v>1</v>
      </c>
      <c r="E68" s="56">
        <v>2.3310023310020001E-3</v>
      </c>
    </row>
    <row r="69" spans="2:5" ht="15" customHeight="1">
      <c r="B69" s="85"/>
      <c r="C69" s="60" t="s">
        <v>96</v>
      </c>
      <c r="D69" s="55">
        <v>4</v>
      </c>
      <c r="E69" s="56">
        <v>9.3240093240089996E-3</v>
      </c>
    </row>
    <row r="70" spans="2:5" ht="15" customHeight="1">
      <c r="B70" s="85"/>
      <c r="C70" s="60" t="s">
        <v>97</v>
      </c>
      <c r="D70" s="55">
        <v>1</v>
      </c>
      <c r="E70" s="56">
        <v>2.3310023310020001E-3</v>
      </c>
    </row>
    <row r="71" spans="2:5" ht="15" customHeight="1">
      <c r="B71" s="85"/>
      <c r="C71" s="60" t="s">
        <v>98</v>
      </c>
      <c r="D71" s="55">
        <v>1</v>
      </c>
      <c r="E71" s="56">
        <v>2.3310023310020001E-3</v>
      </c>
    </row>
    <row r="72" spans="2:5" ht="15" customHeight="1">
      <c r="B72" s="85"/>
      <c r="C72" s="60" t="s">
        <v>99</v>
      </c>
      <c r="D72" s="55">
        <v>1</v>
      </c>
      <c r="E72" s="56">
        <v>2.3310023310020001E-3</v>
      </c>
    </row>
    <row r="73" spans="2:5" ht="15" customHeight="1">
      <c r="B73" s="85"/>
      <c r="C73" s="60" t="s">
        <v>100</v>
      </c>
      <c r="D73" s="55">
        <v>3</v>
      </c>
      <c r="E73" s="56">
        <v>6.9930069930069999E-3</v>
      </c>
    </row>
    <row r="74" spans="2:5" ht="15" customHeight="1">
      <c r="B74" s="85"/>
      <c r="C74" s="60" t="s">
        <v>101</v>
      </c>
      <c r="D74" s="55">
        <v>1</v>
      </c>
      <c r="E74" s="56">
        <v>2.3310023310020001E-3</v>
      </c>
    </row>
    <row r="75" spans="2:5" ht="15" customHeight="1">
      <c r="B75" s="85"/>
      <c r="C75" s="60" t="s">
        <v>102</v>
      </c>
      <c r="D75" s="55">
        <v>1</v>
      </c>
      <c r="E75" s="56">
        <v>2.3310023310020001E-3</v>
      </c>
    </row>
    <row r="76" spans="2:5" ht="15" customHeight="1">
      <c r="B76" s="85"/>
      <c r="C76" s="60" t="s">
        <v>103</v>
      </c>
      <c r="D76" s="55">
        <v>9</v>
      </c>
      <c r="E76" s="56">
        <v>2.0979020979021001E-2</v>
      </c>
    </row>
    <row r="77" spans="2:5" ht="15" customHeight="1">
      <c r="B77" s="85"/>
      <c r="C77" s="60" t="s">
        <v>108</v>
      </c>
      <c r="D77" s="55">
        <v>3</v>
      </c>
      <c r="E77" s="56">
        <v>6.9930069930069999E-3</v>
      </c>
    </row>
    <row r="78" spans="2:5" ht="15" customHeight="1">
      <c r="B78" s="86"/>
      <c r="C78" s="69" t="s">
        <v>210</v>
      </c>
      <c r="D78" s="66">
        <v>28</v>
      </c>
      <c r="E78" s="68">
        <v>6.5268065268065001E-2</v>
      </c>
    </row>
    <row r="79" spans="2:5" ht="15" customHeight="1">
      <c r="B79" s="84" t="s">
        <v>58</v>
      </c>
      <c r="C79" s="60" t="s">
        <v>99</v>
      </c>
      <c r="D79" s="55">
        <v>1</v>
      </c>
      <c r="E79" s="56">
        <v>2.3310023310020001E-3</v>
      </c>
    </row>
    <row r="80" spans="2:5" ht="15" customHeight="1">
      <c r="B80" s="85"/>
      <c r="C80" s="60" t="s">
        <v>100</v>
      </c>
      <c r="D80" s="55">
        <v>6</v>
      </c>
      <c r="E80" s="56">
        <v>1.3986013986014E-2</v>
      </c>
    </row>
    <row r="81" spans="2:5" ht="15" customHeight="1">
      <c r="B81" s="85"/>
      <c r="C81" s="60" t="s">
        <v>103</v>
      </c>
      <c r="D81" s="55">
        <v>3</v>
      </c>
      <c r="E81" s="56">
        <v>6.9930069930069999E-3</v>
      </c>
    </row>
    <row r="82" spans="2:5" ht="15" customHeight="1">
      <c r="B82" s="86"/>
      <c r="C82" s="69" t="s">
        <v>210</v>
      </c>
      <c r="D82" s="66">
        <v>10</v>
      </c>
      <c r="E82" s="68">
        <v>2.3310023310022999E-2</v>
      </c>
    </row>
    <row r="83" spans="2:5" ht="15" customHeight="1">
      <c r="B83" s="84" t="s">
        <v>82</v>
      </c>
      <c r="C83" s="60" t="s">
        <v>100</v>
      </c>
      <c r="D83" s="55">
        <v>1</v>
      </c>
      <c r="E83" s="56">
        <v>2.3310023310020001E-3</v>
      </c>
    </row>
    <row r="84" spans="2:5" ht="15" customHeight="1">
      <c r="B84" s="85"/>
      <c r="C84" s="60" t="s">
        <v>102</v>
      </c>
      <c r="D84" s="55">
        <v>1</v>
      </c>
      <c r="E84" s="56">
        <v>2.3310023310020001E-3</v>
      </c>
    </row>
    <row r="85" spans="2:5" ht="15" customHeight="1">
      <c r="B85" s="86"/>
      <c r="C85" s="69" t="s">
        <v>210</v>
      </c>
      <c r="D85" s="66">
        <v>2</v>
      </c>
      <c r="E85" s="68">
        <v>4.6620046620050003E-3</v>
      </c>
    </row>
    <row r="86" spans="2:5" ht="15" customHeight="1">
      <c r="B86" s="84" t="s">
        <v>62</v>
      </c>
      <c r="C86" s="60" t="s">
        <v>91</v>
      </c>
      <c r="D86" s="55">
        <v>1</v>
      </c>
      <c r="E86" s="56">
        <v>2.3310023310020001E-3</v>
      </c>
    </row>
    <row r="87" spans="2:5" ht="15" customHeight="1">
      <c r="B87" s="85"/>
      <c r="C87" s="60" t="s">
        <v>96</v>
      </c>
      <c r="D87" s="55">
        <v>1</v>
      </c>
      <c r="E87" s="56">
        <v>2.3310023310020001E-3</v>
      </c>
    </row>
    <row r="88" spans="2:5" ht="15" customHeight="1">
      <c r="B88" s="85"/>
      <c r="C88" s="60" t="s">
        <v>100</v>
      </c>
      <c r="D88" s="55">
        <v>3</v>
      </c>
      <c r="E88" s="56">
        <v>6.9930069930069999E-3</v>
      </c>
    </row>
    <row r="89" spans="2:5" ht="15" customHeight="1">
      <c r="B89" s="85"/>
      <c r="C89" s="60" t="s">
        <v>103</v>
      </c>
      <c r="D89" s="55">
        <v>2</v>
      </c>
      <c r="E89" s="56">
        <v>4.6620046620050003E-3</v>
      </c>
    </row>
    <row r="90" spans="2:5" ht="15" customHeight="1">
      <c r="B90" s="86"/>
      <c r="C90" s="69" t="s">
        <v>210</v>
      </c>
      <c r="D90" s="66">
        <v>7</v>
      </c>
      <c r="E90" s="68">
        <v>1.6317016317016E-2</v>
      </c>
    </row>
    <row r="91" spans="2:5" ht="15" customHeight="1">
      <c r="B91" s="84" t="s">
        <v>83</v>
      </c>
      <c r="C91" s="60" t="s">
        <v>102</v>
      </c>
      <c r="D91" s="55">
        <v>1</v>
      </c>
      <c r="E91" s="56">
        <v>2.3310023310020001E-3</v>
      </c>
    </row>
    <row r="92" spans="2:5" ht="15" customHeight="1">
      <c r="B92" s="85"/>
      <c r="C92" s="60" t="s">
        <v>103</v>
      </c>
      <c r="D92" s="55">
        <v>1</v>
      </c>
      <c r="E92" s="56">
        <v>2.3310023310020001E-3</v>
      </c>
    </row>
    <row r="93" spans="2:5" ht="15" customHeight="1">
      <c r="B93" s="86"/>
      <c r="C93" s="69" t="s">
        <v>210</v>
      </c>
      <c r="D93" s="66">
        <v>2</v>
      </c>
      <c r="E93" s="68">
        <v>4.6620046620050003E-3</v>
      </c>
    </row>
    <row r="94" spans="2:5" ht="15" customHeight="1">
      <c r="B94" s="84" t="s">
        <v>55</v>
      </c>
      <c r="C94" s="60" t="s">
        <v>95</v>
      </c>
      <c r="D94" s="55">
        <v>1</v>
      </c>
      <c r="E94" s="56">
        <v>2.3310023310020001E-3</v>
      </c>
    </row>
    <row r="95" spans="2:5" ht="15" customHeight="1">
      <c r="B95" s="85"/>
      <c r="C95" s="60" t="s">
        <v>100</v>
      </c>
      <c r="D95" s="55">
        <v>2</v>
      </c>
      <c r="E95" s="56">
        <v>4.6620046620050003E-3</v>
      </c>
    </row>
    <row r="96" spans="2:5" ht="15" customHeight="1">
      <c r="B96" s="85"/>
      <c r="C96" s="60" t="s">
        <v>102</v>
      </c>
      <c r="D96" s="55">
        <v>2</v>
      </c>
      <c r="E96" s="56">
        <v>4.6620046620050003E-3</v>
      </c>
    </row>
    <row r="97" spans="2:5" ht="15" customHeight="1">
      <c r="B97" s="85"/>
      <c r="C97" s="60" t="s">
        <v>103</v>
      </c>
      <c r="D97" s="55">
        <v>5</v>
      </c>
      <c r="E97" s="56">
        <v>1.1655011655011999E-2</v>
      </c>
    </row>
    <row r="98" spans="2:5" ht="15" customHeight="1">
      <c r="B98" s="85"/>
      <c r="C98" s="60" t="s">
        <v>104</v>
      </c>
      <c r="D98" s="55">
        <v>1</v>
      </c>
      <c r="E98" s="56">
        <v>2.3310023310020001E-3</v>
      </c>
    </row>
    <row r="99" spans="2:5" ht="15" customHeight="1">
      <c r="B99" s="86"/>
      <c r="C99" s="69" t="s">
        <v>210</v>
      </c>
      <c r="D99" s="66">
        <v>11</v>
      </c>
      <c r="E99" s="68">
        <v>2.5641025641026001E-2</v>
      </c>
    </row>
    <row r="100" spans="2:5" ht="15" customHeight="1">
      <c r="B100" s="84" t="s">
        <v>65</v>
      </c>
      <c r="C100" s="60" t="s">
        <v>95</v>
      </c>
      <c r="D100" s="55">
        <v>1</v>
      </c>
      <c r="E100" s="56">
        <v>2.3310023310020001E-3</v>
      </c>
    </row>
    <row r="101" spans="2:5" ht="15" customHeight="1">
      <c r="B101" s="85"/>
      <c r="C101" s="60" t="s">
        <v>100</v>
      </c>
      <c r="D101" s="55">
        <v>3</v>
      </c>
      <c r="E101" s="56">
        <v>6.9930069930069999E-3</v>
      </c>
    </row>
    <row r="102" spans="2:5" ht="15" customHeight="1">
      <c r="B102" s="85"/>
      <c r="C102" s="60" t="s">
        <v>103</v>
      </c>
      <c r="D102" s="55">
        <v>3</v>
      </c>
      <c r="E102" s="56">
        <v>6.9930069930069999E-3</v>
      </c>
    </row>
    <row r="103" spans="2:5" ht="15" customHeight="1">
      <c r="B103" s="86"/>
      <c r="C103" s="69" t="s">
        <v>210</v>
      </c>
      <c r="D103" s="66">
        <v>7</v>
      </c>
      <c r="E103" s="68">
        <v>1.6317016317016E-2</v>
      </c>
    </row>
    <row r="104" spans="2:5" ht="15" customHeight="1">
      <c r="B104" s="84" t="s">
        <v>47</v>
      </c>
      <c r="C104" s="60" t="s">
        <v>91</v>
      </c>
      <c r="D104" s="55">
        <v>1</v>
      </c>
      <c r="E104" s="56">
        <v>2.3310023310020001E-3</v>
      </c>
    </row>
    <row r="105" spans="2:5" ht="15" customHeight="1">
      <c r="B105" s="85"/>
      <c r="C105" s="60" t="s">
        <v>92</v>
      </c>
      <c r="D105" s="55">
        <v>1</v>
      </c>
      <c r="E105" s="56">
        <v>2.3310023310020001E-3</v>
      </c>
    </row>
    <row r="106" spans="2:5" ht="15" customHeight="1">
      <c r="B106" s="85"/>
      <c r="C106" s="60" t="s">
        <v>95</v>
      </c>
      <c r="D106" s="55">
        <v>2</v>
      </c>
      <c r="E106" s="56">
        <v>4.6620046620050003E-3</v>
      </c>
    </row>
    <row r="107" spans="2:5" ht="15" customHeight="1">
      <c r="B107" s="85"/>
      <c r="C107" s="60" t="s">
        <v>96</v>
      </c>
      <c r="D107" s="55">
        <v>4</v>
      </c>
      <c r="E107" s="56">
        <v>9.3240093240089996E-3</v>
      </c>
    </row>
    <row r="108" spans="2:5" ht="15" customHeight="1">
      <c r="B108" s="85"/>
      <c r="C108" s="60" t="s">
        <v>98</v>
      </c>
      <c r="D108" s="55">
        <v>1</v>
      </c>
      <c r="E108" s="56">
        <v>2.3310023310020001E-3</v>
      </c>
    </row>
    <row r="109" spans="2:5" ht="15" customHeight="1">
      <c r="B109" s="85"/>
      <c r="C109" s="60" t="s">
        <v>99</v>
      </c>
      <c r="D109" s="55">
        <v>4</v>
      </c>
      <c r="E109" s="56">
        <v>9.3240093240089996E-3</v>
      </c>
    </row>
    <row r="110" spans="2:5" ht="15" customHeight="1">
      <c r="B110" s="85"/>
      <c r="C110" s="60" t="s">
        <v>100</v>
      </c>
      <c r="D110" s="55">
        <v>13</v>
      </c>
      <c r="E110" s="56">
        <v>3.0303030303029999E-2</v>
      </c>
    </row>
    <row r="111" spans="2:5" ht="15" customHeight="1">
      <c r="B111" s="85"/>
      <c r="C111" s="60" t="s">
        <v>101</v>
      </c>
      <c r="D111" s="55">
        <v>1</v>
      </c>
      <c r="E111" s="56">
        <v>2.3310023310020001E-3</v>
      </c>
    </row>
    <row r="112" spans="2:5" ht="15" customHeight="1">
      <c r="B112" s="85"/>
      <c r="C112" s="60" t="s">
        <v>102</v>
      </c>
      <c r="D112" s="55">
        <v>5</v>
      </c>
      <c r="E112" s="56">
        <v>1.1655011655011999E-2</v>
      </c>
    </row>
    <row r="113" spans="2:5" ht="15" customHeight="1">
      <c r="B113" s="85"/>
      <c r="C113" s="60" t="s">
        <v>103</v>
      </c>
      <c r="D113" s="55">
        <v>9</v>
      </c>
      <c r="E113" s="56">
        <v>2.0979020979021001E-2</v>
      </c>
    </row>
    <row r="114" spans="2:5" ht="15" customHeight="1">
      <c r="B114" s="85"/>
      <c r="C114" s="60" t="s">
        <v>104</v>
      </c>
      <c r="D114" s="55">
        <v>1</v>
      </c>
      <c r="E114" s="56">
        <v>2.3310023310020001E-3</v>
      </c>
    </row>
    <row r="115" spans="2:5" ht="15" customHeight="1">
      <c r="B115" s="85"/>
      <c r="C115" s="60" t="s">
        <v>107</v>
      </c>
      <c r="D115" s="55">
        <v>3</v>
      </c>
      <c r="E115" s="56">
        <v>6.9930069930069999E-3</v>
      </c>
    </row>
    <row r="116" spans="2:5" ht="15" customHeight="1">
      <c r="B116" s="85"/>
      <c r="C116" s="60" t="s">
        <v>108</v>
      </c>
      <c r="D116" s="55">
        <v>4</v>
      </c>
      <c r="E116" s="56">
        <v>9.3240093240089996E-3</v>
      </c>
    </row>
    <row r="117" spans="2:5" ht="15" customHeight="1">
      <c r="B117" s="86"/>
      <c r="C117" s="69" t="s">
        <v>210</v>
      </c>
      <c r="D117" s="66">
        <v>49</v>
      </c>
      <c r="E117" s="68">
        <v>0.114219114219114</v>
      </c>
    </row>
    <row r="118" spans="2:5" ht="15" customHeight="1">
      <c r="B118" s="84" t="s">
        <v>84</v>
      </c>
      <c r="C118" s="60" t="s">
        <v>108</v>
      </c>
      <c r="D118" s="55">
        <v>1</v>
      </c>
      <c r="E118" s="56">
        <v>2.3310023310020001E-3</v>
      </c>
    </row>
    <row r="119" spans="2:5" ht="15" customHeight="1">
      <c r="B119" s="86"/>
      <c r="C119" s="69" t="s">
        <v>210</v>
      </c>
      <c r="D119" s="66">
        <v>1</v>
      </c>
      <c r="E119" s="68">
        <v>2.3310023310020001E-3</v>
      </c>
    </row>
    <row r="120" spans="2:5" ht="15" customHeight="1">
      <c r="B120" s="84" t="s">
        <v>71</v>
      </c>
      <c r="C120" s="60" t="s">
        <v>91</v>
      </c>
      <c r="D120" s="55">
        <v>1</v>
      </c>
      <c r="E120" s="56">
        <v>2.3310023310020001E-3</v>
      </c>
    </row>
    <row r="121" spans="2:5" ht="15" customHeight="1">
      <c r="B121" s="85"/>
      <c r="C121" s="60" t="s">
        <v>99</v>
      </c>
      <c r="D121" s="55">
        <v>1</v>
      </c>
      <c r="E121" s="56">
        <v>2.3310023310020001E-3</v>
      </c>
    </row>
    <row r="122" spans="2:5" ht="15" customHeight="1">
      <c r="B122" s="86"/>
      <c r="C122" s="69" t="s">
        <v>210</v>
      </c>
      <c r="D122" s="66">
        <v>2</v>
      </c>
      <c r="E122" s="68">
        <v>4.6620046620050003E-3</v>
      </c>
    </row>
    <row r="123" spans="2:5" ht="15" customHeight="1">
      <c r="B123" s="84" t="s">
        <v>88</v>
      </c>
      <c r="C123" s="60" t="s">
        <v>103</v>
      </c>
      <c r="D123" s="55">
        <v>1</v>
      </c>
      <c r="E123" s="56">
        <v>2.3310023310020001E-3</v>
      </c>
    </row>
    <row r="124" spans="2:5" ht="15" customHeight="1">
      <c r="B124" s="85"/>
      <c r="C124" s="60" t="s">
        <v>108</v>
      </c>
      <c r="D124" s="55">
        <v>2</v>
      </c>
      <c r="E124" s="56">
        <v>4.6620046620050003E-3</v>
      </c>
    </row>
    <row r="125" spans="2:5" ht="15" customHeight="1">
      <c r="B125" s="86"/>
      <c r="C125" s="69" t="s">
        <v>210</v>
      </c>
      <c r="D125" s="66">
        <v>3</v>
      </c>
      <c r="E125" s="68">
        <v>6.9930069930069999E-3</v>
      </c>
    </row>
    <row r="126" spans="2:5" ht="15" customHeight="1">
      <c r="B126" s="84" t="s">
        <v>72</v>
      </c>
      <c r="C126" s="60" t="s">
        <v>103</v>
      </c>
      <c r="D126" s="55">
        <v>1</v>
      </c>
      <c r="E126" s="56">
        <v>2.3310023310020001E-3</v>
      </c>
    </row>
    <row r="127" spans="2:5" ht="15" customHeight="1">
      <c r="B127" s="85"/>
      <c r="C127" s="60" t="s">
        <v>108</v>
      </c>
      <c r="D127" s="55">
        <v>1</v>
      </c>
      <c r="E127" s="56">
        <v>2.3310023310020001E-3</v>
      </c>
    </row>
    <row r="128" spans="2:5" ht="15" customHeight="1">
      <c r="B128" s="86"/>
      <c r="C128" s="69" t="s">
        <v>210</v>
      </c>
      <c r="D128" s="66">
        <v>2</v>
      </c>
      <c r="E128" s="68">
        <v>4.6620046620050003E-3</v>
      </c>
    </row>
    <row r="129" spans="2:5" ht="15" customHeight="1">
      <c r="B129" s="84" t="s">
        <v>85</v>
      </c>
      <c r="C129" s="60" t="s">
        <v>103</v>
      </c>
      <c r="D129" s="55">
        <v>2</v>
      </c>
      <c r="E129" s="56">
        <v>4.6620046620050003E-3</v>
      </c>
    </row>
    <row r="130" spans="2:5" ht="15" customHeight="1">
      <c r="B130" s="86"/>
      <c r="C130" s="69" t="s">
        <v>210</v>
      </c>
      <c r="D130" s="66">
        <v>2</v>
      </c>
      <c r="E130" s="68">
        <v>4.6620046620050003E-3</v>
      </c>
    </row>
    <row r="131" spans="2:5" ht="15" customHeight="1">
      <c r="B131" s="84" t="s">
        <v>86</v>
      </c>
      <c r="C131" s="60" t="s">
        <v>100</v>
      </c>
      <c r="D131" s="55">
        <v>1</v>
      </c>
      <c r="E131" s="56">
        <v>2.3310023310020001E-3</v>
      </c>
    </row>
    <row r="132" spans="2:5" ht="15" customHeight="1">
      <c r="B132" s="85"/>
      <c r="C132" s="60" t="s">
        <v>103</v>
      </c>
      <c r="D132" s="55">
        <v>2</v>
      </c>
      <c r="E132" s="56">
        <v>4.6620046620050003E-3</v>
      </c>
    </row>
    <row r="133" spans="2:5" ht="15" customHeight="1">
      <c r="B133" s="85"/>
      <c r="C133" s="60" t="s">
        <v>108</v>
      </c>
      <c r="D133" s="55">
        <v>1</v>
      </c>
      <c r="E133" s="56">
        <v>2.3310023310020001E-3</v>
      </c>
    </row>
    <row r="134" spans="2:5" ht="15" customHeight="1">
      <c r="B134" s="86"/>
      <c r="C134" s="69" t="s">
        <v>210</v>
      </c>
      <c r="D134" s="66">
        <v>4</v>
      </c>
      <c r="E134" s="68">
        <v>9.3240093240089996E-3</v>
      </c>
    </row>
    <row r="135" spans="2:5" ht="15" customHeight="1">
      <c r="B135" s="84" t="s">
        <v>69</v>
      </c>
      <c r="C135" s="60" t="s">
        <v>96</v>
      </c>
      <c r="D135" s="55">
        <v>2</v>
      </c>
      <c r="E135" s="56">
        <v>4.6620046620050003E-3</v>
      </c>
    </row>
    <row r="136" spans="2:5" ht="15" customHeight="1">
      <c r="B136" s="85"/>
      <c r="C136" s="60" t="s">
        <v>98</v>
      </c>
      <c r="D136" s="55">
        <v>1</v>
      </c>
      <c r="E136" s="56">
        <v>2.3310023310020001E-3</v>
      </c>
    </row>
    <row r="137" spans="2:5" ht="15" customHeight="1">
      <c r="B137" s="85"/>
      <c r="C137" s="60" t="s">
        <v>100</v>
      </c>
      <c r="D137" s="55">
        <v>2</v>
      </c>
      <c r="E137" s="56">
        <v>4.6620046620050003E-3</v>
      </c>
    </row>
    <row r="138" spans="2:5" ht="15" customHeight="1">
      <c r="B138" s="85"/>
      <c r="C138" s="60" t="s">
        <v>103</v>
      </c>
      <c r="D138" s="55">
        <v>1</v>
      </c>
      <c r="E138" s="56">
        <v>2.3310023310020001E-3</v>
      </c>
    </row>
    <row r="139" spans="2:5" ht="15" customHeight="1">
      <c r="B139" s="85"/>
      <c r="C139" s="60" t="s">
        <v>105</v>
      </c>
      <c r="D139" s="55">
        <v>1</v>
      </c>
      <c r="E139" s="56">
        <v>2.3310023310020001E-3</v>
      </c>
    </row>
    <row r="140" spans="2:5" ht="15" customHeight="1">
      <c r="B140" s="86"/>
      <c r="C140" s="69" t="s">
        <v>210</v>
      </c>
      <c r="D140" s="66">
        <v>7</v>
      </c>
      <c r="E140" s="68">
        <v>1.6317016317016E-2</v>
      </c>
    </row>
    <row r="141" spans="2:5" ht="15" customHeight="1">
      <c r="B141" s="84" t="s">
        <v>87</v>
      </c>
      <c r="C141" s="60" t="s">
        <v>100</v>
      </c>
      <c r="D141" s="55">
        <v>3</v>
      </c>
      <c r="E141" s="56">
        <v>6.9930069930069999E-3</v>
      </c>
    </row>
    <row r="142" spans="2:5" ht="15" customHeight="1">
      <c r="B142" s="85"/>
      <c r="C142" s="60" t="s">
        <v>103</v>
      </c>
      <c r="D142" s="55">
        <v>1</v>
      </c>
      <c r="E142" s="56">
        <v>2.3310023310020001E-3</v>
      </c>
    </row>
    <row r="143" spans="2:5" ht="15" customHeight="1">
      <c r="B143" s="86"/>
      <c r="C143" s="69" t="s">
        <v>210</v>
      </c>
      <c r="D143" s="66">
        <v>4</v>
      </c>
      <c r="E143" s="68">
        <v>9.3240093240089996E-3</v>
      </c>
    </row>
    <row r="144" spans="2:5" ht="15" customHeight="1">
      <c r="B144" s="84" t="s">
        <v>73</v>
      </c>
      <c r="C144" s="60" t="s">
        <v>91</v>
      </c>
      <c r="D144" s="55">
        <v>2</v>
      </c>
      <c r="E144" s="56">
        <v>4.6620046620050003E-3</v>
      </c>
    </row>
    <row r="145" spans="2:5" ht="15" customHeight="1">
      <c r="B145" s="85"/>
      <c r="C145" s="60" t="s">
        <v>92</v>
      </c>
      <c r="D145" s="55">
        <v>1</v>
      </c>
      <c r="E145" s="56">
        <v>2.3310023310020001E-3</v>
      </c>
    </row>
    <row r="146" spans="2:5" ht="15" customHeight="1">
      <c r="B146" s="85"/>
      <c r="C146" s="60" t="s">
        <v>95</v>
      </c>
      <c r="D146" s="55">
        <v>1</v>
      </c>
      <c r="E146" s="56">
        <v>2.3310023310020001E-3</v>
      </c>
    </row>
    <row r="147" spans="2:5" ht="15" customHeight="1">
      <c r="B147" s="85"/>
      <c r="C147" s="60" t="s">
        <v>98</v>
      </c>
      <c r="D147" s="55">
        <v>1</v>
      </c>
      <c r="E147" s="56">
        <v>2.3310023310020001E-3</v>
      </c>
    </row>
    <row r="148" spans="2:5" ht="15" customHeight="1">
      <c r="B148" s="85"/>
      <c r="C148" s="60" t="s">
        <v>100</v>
      </c>
      <c r="D148" s="55">
        <v>2</v>
      </c>
      <c r="E148" s="56">
        <v>4.6620046620050003E-3</v>
      </c>
    </row>
    <row r="149" spans="2:5" ht="15" customHeight="1">
      <c r="B149" s="85"/>
      <c r="C149" s="60" t="s">
        <v>102</v>
      </c>
      <c r="D149" s="55">
        <v>1</v>
      </c>
      <c r="E149" s="56">
        <v>2.3310023310020001E-3</v>
      </c>
    </row>
    <row r="150" spans="2:5" ht="15" customHeight="1">
      <c r="B150" s="85"/>
      <c r="C150" s="60" t="s">
        <v>103</v>
      </c>
      <c r="D150" s="55">
        <v>3</v>
      </c>
      <c r="E150" s="56">
        <v>6.9930069930069999E-3</v>
      </c>
    </row>
    <row r="151" spans="2:5" ht="15" customHeight="1">
      <c r="B151" s="85"/>
      <c r="C151" s="60" t="s">
        <v>107</v>
      </c>
      <c r="D151" s="55">
        <v>1</v>
      </c>
      <c r="E151" s="56">
        <v>2.3310023310020001E-3</v>
      </c>
    </row>
    <row r="152" spans="2:5" ht="15" customHeight="1">
      <c r="B152" s="86"/>
      <c r="C152" s="69" t="s">
        <v>210</v>
      </c>
      <c r="D152" s="66">
        <v>12</v>
      </c>
      <c r="E152" s="68">
        <v>2.7972027972028E-2</v>
      </c>
    </row>
    <row r="153" spans="2:5" ht="15" customHeight="1">
      <c r="B153" s="84" t="s">
        <v>51</v>
      </c>
      <c r="C153" s="60" t="s">
        <v>127</v>
      </c>
      <c r="D153" s="55">
        <v>1</v>
      </c>
      <c r="E153" s="56">
        <v>2.3310023310020001E-3</v>
      </c>
    </row>
    <row r="154" spans="2:5" ht="15" customHeight="1">
      <c r="B154" s="85"/>
      <c r="C154" s="60" t="s">
        <v>94</v>
      </c>
      <c r="D154" s="55">
        <v>2</v>
      </c>
      <c r="E154" s="56">
        <v>4.6620046620050003E-3</v>
      </c>
    </row>
    <row r="155" spans="2:5" ht="15" customHeight="1">
      <c r="B155" s="85"/>
      <c r="C155" s="60" t="s">
        <v>95</v>
      </c>
      <c r="D155" s="55">
        <v>1</v>
      </c>
      <c r="E155" s="56">
        <v>2.3310023310020001E-3</v>
      </c>
    </row>
    <row r="156" spans="2:5" ht="15" customHeight="1">
      <c r="B156" s="85"/>
      <c r="C156" s="60" t="s">
        <v>96</v>
      </c>
      <c r="D156" s="55">
        <v>4</v>
      </c>
      <c r="E156" s="56">
        <v>9.3240093240089996E-3</v>
      </c>
    </row>
    <row r="157" spans="2:5" ht="15" customHeight="1">
      <c r="B157" s="85"/>
      <c r="C157" s="60" t="s">
        <v>100</v>
      </c>
      <c r="D157" s="55">
        <v>4</v>
      </c>
      <c r="E157" s="56">
        <v>9.3240093240089996E-3</v>
      </c>
    </row>
    <row r="158" spans="2:5" ht="15" customHeight="1">
      <c r="B158" s="85"/>
      <c r="C158" s="60" t="s">
        <v>102</v>
      </c>
      <c r="D158" s="55">
        <v>2</v>
      </c>
      <c r="E158" s="56">
        <v>4.6620046620050003E-3</v>
      </c>
    </row>
    <row r="159" spans="2:5" ht="15" customHeight="1">
      <c r="B159" s="85"/>
      <c r="C159" s="60" t="s">
        <v>103</v>
      </c>
      <c r="D159" s="55">
        <v>3</v>
      </c>
      <c r="E159" s="56">
        <v>6.9930069930069999E-3</v>
      </c>
    </row>
    <row r="160" spans="2:5" ht="15" customHeight="1">
      <c r="B160" s="86"/>
      <c r="C160" s="69" t="s">
        <v>210</v>
      </c>
      <c r="D160" s="66">
        <v>17</v>
      </c>
      <c r="E160" s="68">
        <v>3.9627039627039999E-2</v>
      </c>
    </row>
    <row r="161" spans="2:5" ht="15" customHeight="1">
      <c r="B161" s="84" t="s">
        <v>56</v>
      </c>
      <c r="C161" s="60" t="s">
        <v>92</v>
      </c>
      <c r="D161" s="55">
        <v>1</v>
      </c>
      <c r="E161" s="56">
        <v>2.3310023310020001E-3</v>
      </c>
    </row>
    <row r="162" spans="2:5" ht="15" customHeight="1">
      <c r="B162" s="85"/>
      <c r="C162" s="60" t="s">
        <v>95</v>
      </c>
      <c r="D162" s="55">
        <v>1</v>
      </c>
      <c r="E162" s="56">
        <v>2.3310023310020001E-3</v>
      </c>
    </row>
    <row r="163" spans="2:5" ht="15" customHeight="1">
      <c r="B163" s="85"/>
      <c r="C163" s="60" t="s">
        <v>100</v>
      </c>
      <c r="D163" s="55">
        <v>1</v>
      </c>
      <c r="E163" s="56">
        <v>2.3310023310020001E-3</v>
      </c>
    </row>
    <row r="164" spans="2:5" ht="15" customHeight="1">
      <c r="B164" s="85"/>
      <c r="C164" s="60" t="s">
        <v>101</v>
      </c>
      <c r="D164" s="55">
        <v>1</v>
      </c>
      <c r="E164" s="56">
        <v>2.3310023310020001E-3</v>
      </c>
    </row>
    <row r="165" spans="2:5" ht="15" customHeight="1">
      <c r="B165" s="85"/>
      <c r="C165" s="60" t="s">
        <v>102</v>
      </c>
      <c r="D165" s="55">
        <v>1</v>
      </c>
      <c r="E165" s="56">
        <v>2.3310023310020001E-3</v>
      </c>
    </row>
    <row r="166" spans="2:5" ht="15" customHeight="1">
      <c r="B166" s="85"/>
      <c r="C166" s="60" t="s">
        <v>103</v>
      </c>
      <c r="D166" s="55">
        <v>2</v>
      </c>
      <c r="E166" s="56">
        <v>4.6620046620050003E-3</v>
      </c>
    </row>
    <row r="167" spans="2:5" ht="15" customHeight="1">
      <c r="B167" s="85"/>
      <c r="C167" s="60" t="s">
        <v>109</v>
      </c>
      <c r="D167" s="55">
        <v>1</v>
      </c>
      <c r="E167" s="56">
        <v>2.3310023310020001E-3</v>
      </c>
    </row>
    <row r="168" spans="2:5" ht="15" customHeight="1">
      <c r="B168" s="86"/>
      <c r="C168" s="69" t="s">
        <v>210</v>
      </c>
      <c r="D168" s="66">
        <v>8</v>
      </c>
      <c r="E168" s="68">
        <v>1.8648018648018998E-2</v>
      </c>
    </row>
    <row r="169" spans="2:5" ht="15" customHeight="1">
      <c r="B169" s="84" t="s">
        <v>76</v>
      </c>
      <c r="C169" s="60" t="s">
        <v>100</v>
      </c>
      <c r="D169" s="55">
        <v>2</v>
      </c>
      <c r="E169" s="56">
        <v>4.6620046620050003E-3</v>
      </c>
    </row>
    <row r="170" spans="2:5" ht="15" customHeight="1">
      <c r="B170" s="85"/>
      <c r="C170" s="60" t="s">
        <v>103</v>
      </c>
      <c r="D170" s="55">
        <v>1</v>
      </c>
      <c r="E170" s="56">
        <v>2.3310023310020001E-3</v>
      </c>
    </row>
    <row r="171" spans="2:5" ht="15" customHeight="1">
      <c r="B171" s="85"/>
      <c r="C171" s="60" t="s">
        <v>108</v>
      </c>
      <c r="D171" s="55">
        <v>4</v>
      </c>
      <c r="E171" s="56">
        <v>9.3240093240089996E-3</v>
      </c>
    </row>
    <row r="172" spans="2:5" ht="15" customHeight="1">
      <c r="B172" s="86"/>
      <c r="C172" s="69" t="s">
        <v>210</v>
      </c>
      <c r="D172" s="66">
        <v>7</v>
      </c>
      <c r="E172" s="68">
        <v>1.6317016317016E-2</v>
      </c>
    </row>
    <row r="173" spans="2:5" ht="15" customHeight="1">
      <c r="B173" s="84" t="s">
        <v>89</v>
      </c>
      <c r="C173" s="60" t="s">
        <v>103</v>
      </c>
      <c r="D173" s="55">
        <v>1</v>
      </c>
      <c r="E173" s="56">
        <v>2.3310023310020001E-3</v>
      </c>
    </row>
    <row r="174" spans="2:5" ht="15" customHeight="1">
      <c r="B174" s="86"/>
      <c r="C174" s="69" t="s">
        <v>210</v>
      </c>
      <c r="D174" s="66">
        <v>1</v>
      </c>
      <c r="E174" s="68">
        <v>2.3310023310020001E-3</v>
      </c>
    </row>
    <row r="175" spans="2:5" ht="15" customHeight="1">
      <c r="B175" s="84" t="s">
        <v>54</v>
      </c>
      <c r="C175" s="60" t="s">
        <v>92</v>
      </c>
      <c r="D175" s="55">
        <v>1</v>
      </c>
      <c r="E175" s="56">
        <v>2.3310023310020001E-3</v>
      </c>
    </row>
    <row r="176" spans="2:5" ht="15" customHeight="1">
      <c r="B176" s="85"/>
      <c r="C176" s="60" t="s">
        <v>94</v>
      </c>
      <c r="D176" s="55">
        <v>1</v>
      </c>
      <c r="E176" s="56">
        <v>2.3310023310020001E-3</v>
      </c>
    </row>
    <row r="177" spans="2:5" ht="15" customHeight="1">
      <c r="B177" s="85"/>
      <c r="C177" s="60" t="s">
        <v>96</v>
      </c>
      <c r="D177" s="55">
        <v>2</v>
      </c>
      <c r="E177" s="56">
        <v>4.6620046620050003E-3</v>
      </c>
    </row>
    <row r="178" spans="2:5" ht="15" customHeight="1">
      <c r="B178" s="85"/>
      <c r="C178" s="60" t="s">
        <v>98</v>
      </c>
      <c r="D178" s="55">
        <v>1</v>
      </c>
      <c r="E178" s="56">
        <v>2.3310023310020001E-3</v>
      </c>
    </row>
    <row r="179" spans="2:5" ht="15" customHeight="1">
      <c r="B179" s="85"/>
      <c r="C179" s="60" t="s">
        <v>99</v>
      </c>
      <c r="D179" s="55">
        <v>3</v>
      </c>
      <c r="E179" s="56">
        <v>6.9930069930069999E-3</v>
      </c>
    </row>
    <row r="180" spans="2:5" ht="15" customHeight="1">
      <c r="B180" s="85"/>
      <c r="C180" s="60" t="s">
        <v>100</v>
      </c>
      <c r="D180" s="55">
        <v>6</v>
      </c>
      <c r="E180" s="56">
        <v>1.3986013986014E-2</v>
      </c>
    </row>
    <row r="181" spans="2:5" ht="15" customHeight="1">
      <c r="B181" s="85"/>
      <c r="C181" s="60" t="s">
        <v>102</v>
      </c>
      <c r="D181" s="55">
        <v>4</v>
      </c>
      <c r="E181" s="56">
        <v>9.3240093240089996E-3</v>
      </c>
    </row>
    <row r="182" spans="2:5" ht="15" customHeight="1">
      <c r="B182" s="85"/>
      <c r="C182" s="60" t="s">
        <v>103</v>
      </c>
      <c r="D182" s="55">
        <v>10</v>
      </c>
      <c r="E182" s="56">
        <v>2.3310023310022999E-2</v>
      </c>
    </row>
    <row r="183" spans="2:5" ht="15" customHeight="1">
      <c r="B183" s="85"/>
      <c r="C183" s="60" t="s">
        <v>105</v>
      </c>
      <c r="D183" s="55">
        <v>1</v>
      </c>
      <c r="E183" s="56">
        <v>2.3310023310020001E-3</v>
      </c>
    </row>
    <row r="184" spans="2:5" ht="15" customHeight="1">
      <c r="B184" s="86"/>
      <c r="C184" s="69" t="s">
        <v>210</v>
      </c>
      <c r="D184" s="66">
        <v>29</v>
      </c>
      <c r="E184" s="68">
        <v>6.7599067599068002E-2</v>
      </c>
    </row>
    <row r="185" spans="2:5" ht="15" customHeight="1">
      <c r="B185" s="84" t="s">
        <v>59</v>
      </c>
      <c r="C185" s="60" t="s">
        <v>90</v>
      </c>
      <c r="D185" s="55">
        <v>1</v>
      </c>
      <c r="E185" s="56">
        <v>2.3310023310020001E-3</v>
      </c>
    </row>
    <row r="186" spans="2:5" ht="15" customHeight="1">
      <c r="B186" s="85"/>
      <c r="C186" s="60" t="s">
        <v>94</v>
      </c>
      <c r="D186" s="55">
        <v>1</v>
      </c>
      <c r="E186" s="56">
        <v>2.3310023310020001E-3</v>
      </c>
    </row>
    <row r="187" spans="2:5" ht="15" customHeight="1">
      <c r="B187" s="85"/>
      <c r="C187" s="60" t="s">
        <v>96</v>
      </c>
      <c r="D187" s="55">
        <v>1</v>
      </c>
      <c r="E187" s="56">
        <v>2.3310023310020001E-3</v>
      </c>
    </row>
    <row r="188" spans="2:5" ht="15" customHeight="1">
      <c r="B188" s="85"/>
      <c r="C188" s="60" t="s">
        <v>99</v>
      </c>
      <c r="D188" s="55">
        <v>1</v>
      </c>
      <c r="E188" s="56">
        <v>2.3310023310020001E-3</v>
      </c>
    </row>
    <row r="189" spans="2:5" ht="15" customHeight="1">
      <c r="B189" s="85"/>
      <c r="C189" s="60" t="s">
        <v>100</v>
      </c>
      <c r="D189" s="55">
        <v>5</v>
      </c>
      <c r="E189" s="56">
        <v>1.1655011655011999E-2</v>
      </c>
    </row>
    <row r="190" spans="2:5" ht="15" customHeight="1">
      <c r="B190" s="85"/>
      <c r="C190" s="60" t="s">
        <v>102</v>
      </c>
      <c r="D190" s="55">
        <v>1</v>
      </c>
      <c r="E190" s="56">
        <v>2.3310023310020001E-3</v>
      </c>
    </row>
    <row r="191" spans="2:5" ht="15" customHeight="1">
      <c r="B191" s="85"/>
      <c r="C191" s="60" t="s">
        <v>103</v>
      </c>
      <c r="D191" s="55">
        <v>5</v>
      </c>
      <c r="E191" s="56">
        <v>1.1655011655011999E-2</v>
      </c>
    </row>
    <row r="192" spans="2:5" ht="15" customHeight="1">
      <c r="B192" s="85"/>
      <c r="C192" s="60" t="s">
        <v>108</v>
      </c>
      <c r="D192" s="55">
        <v>2</v>
      </c>
      <c r="E192" s="56">
        <v>4.6620046620050003E-3</v>
      </c>
    </row>
    <row r="193" spans="2:5" ht="15" customHeight="1">
      <c r="B193" s="86"/>
      <c r="C193" s="69" t="s">
        <v>210</v>
      </c>
      <c r="D193" s="66">
        <v>17</v>
      </c>
      <c r="E193" s="68">
        <v>3.9627039627039999E-2</v>
      </c>
    </row>
    <row r="194" spans="2:5" ht="15" customHeight="1">
      <c r="B194" s="84" t="s">
        <v>77</v>
      </c>
      <c r="C194" s="60" t="s">
        <v>95</v>
      </c>
      <c r="D194" s="55">
        <v>1</v>
      </c>
      <c r="E194" s="56">
        <v>2.3310023310020001E-3</v>
      </c>
    </row>
    <row r="195" spans="2:5" ht="15" customHeight="1">
      <c r="B195" s="85"/>
      <c r="C195" s="60" t="s">
        <v>98</v>
      </c>
      <c r="D195" s="55">
        <v>1</v>
      </c>
      <c r="E195" s="56">
        <v>2.3310023310020001E-3</v>
      </c>
    </row>
    <row r="196" spans="2:5" ht="15" customHeight="1">
      <c r="B196" s="85"/>
      <c r="C196" s="60" t="s">
        <v>100</v>
      </c>
      <c r="D196" s="55">
        <v>1</v>
      </c>
      <c r="E196" s="56">
        <v>2.3310023310020001E-3</v>
      </c>
    </row>
    <row r="197" spans="2:5" ht="15" customHeight="1">
      <c r="B197" s="85"/>
      <c r="C197" s="60" t="s">
        <v>102</v>
      </c>
      <c r="D197" s="55">
        <v>2</v>
      </c>
      <c r="E197" s="56">
        <v>4.6620046620050003E-3</v>
      </c>
    </row>
    <row r="198" spans="2:5" ht="15" customHeight="1">
      <c r="B198" s="85"/>
      <c r="C198" s="60" t="s">
        <v>103</v>
      </c>
      <c r="D198" s="55">
        <v>2</v>
      </c>
      <c r="E198" s="56">
        <v>4.6620046620050003E-3</v>
      </c>
    </row>
    <row r="199" spans="2:5" ht="15" customHeight="1">
      <c r="B199" s="85"/>
      <c r="C199" s="60" t="s">
        <v>108</v>
      </c>
      <c r="D199" s="55">
        <v>1</v>
      </c>
      <c r="E199" s="56">
        <v>2.3310023310020001E-3</v>
      </c>
    </row>
    <row r="200" spans="2:5" ht="15" customHeight="1">
      <c r="B200" s="86"/>
      <c r="C200" s="69" t="s">
        <v>210</v>
      </c>
      <c r="D200" s="66">
        <v>8</v>
      </c>
      <c r="E200" s="68">
        <v>1.8648018648018998E-2</v>
      </c>
    </row>
    <row r="201" spans="2:5" ht="15" customHeight="1">
      <c r="B201" s="84" t="s">
        <v>63</v>
      </c>
      <c r="C201" s="60" t="s">
        <v>96</v>
      </c>
      <c r="D201" s="55">
        <v>1</v>
      </c>
      <c r="E201" s="56">
        <v>2.3310023310020001E-3</v>
      </c>
    </row>
    <row r="202" spans="2:5" ht="15" customHeight="1">
      <c r="B202" s="85"/>
      <c r="C202" s="60" t="s">
        <v>98</v>
      </c>
      <c r="D202" s="55">
        <v>1</v>
      </c>
      <c r="E202" s="56">
        <v>2.3310023310020001E-3</v>
      </c>
    </row>
    <row r="203" spans="2:5" ht="15" customHeight="1">
      <c r="B203" s="85"/>
      <c r="C203" s="60" t="s">
        <v>100</v>
      </c>
      <c r="D203" s="55">
        <v>2</v>
      </c>
      <c r="E203" s="56">
        <v>4.6620046620050003E-3</v>
      </c>
    </row>
    <row r="204" spans="2:5" ht="15" customHeight="1">
      <c r="B204" s="85"/>
      <c r="C204" s="60" t="s">
        <v>102</v>
      </c>
      <c r="D204" s="55">
        <v>2</v>
      </c>
      <c r="E204" s="56">
        <v>4.6620046620050003E-3</v>
      </c>
    </row>
    <row r="205" spans="2:5" ht="15" customHeight="1">
      <c r="B205" s="85"/>
      <c r="C205" s="60" t="s">
        <v>103</v>
      </c>
      <c r="D205" s="55">
        <v>4</v>
      </c>
      <c r="E205" s="56">
        <v>9.3240093240089996E-3</v>
      </c>
    </row>
    <row r="206" spans="2:5" ht="15" customHeight="1">
      <c r="B206" s="85"/>
      <c r="C206" s="60" t="s">
        <v>107</v>
      </c>
      <c r="D206" s="55">
        <v>1</v>
      </c>
      <c r="E206" s="56">
        <v>2.3310023310020001E-3</v>
      </c>
    </row>
    <row r="207" spans="2:5" ht="15" customHeight="1">
      <c r="B207" s="85"/>
      <c r="C207" s="60" t="s">
        <v>108</v>
      </c>
      <c r="D207" s="55">
        <v>3</v>
      </c>
      <c r="E207" s="56">
        <v>6.9930069930069999E-3</v>
      </c>
    </row>
    <row r="208" spans="2:5" ht="15" customHeight="1">
      <c r="B208" s="86"/>
      <c r="C208" s="69" t="s">
        <v>210</v>
      </c>
      <c r="D208" s="66">
        <v>14</v>
      </c>
      <c r="E208" s="68">
        <v>3.2634032634033E-2</v>
      </c>
    </row>
    <row r="209" spans="2:5" ht="15" customHeight="1">
      <c r="B209" s="84" t="s">
        <v>74</v>
      </c>
      <c r="C209" s="60" t="s">
        <v>95</v>
      </c>
      <c r="D209" s="55">
        <v>1</v>
      </c>
      <c r="E209" s="56">
        <v>2.3310023310020001E-3</v>
      </c>
    </row>
    <row r="210" spans="2:5" ht="15" customHeight="1">
      <c r="B210" s="85"/>
      <c r="C210" s="60" t="s">
        <v>103</v>
      </c>
      <c r="D210" s="55">
        <v>2</v>
      </c>
      <c r="E210" s="56">
        <v>4.6620046620050003E-3</v>
      </c>
    </row>
    <row r="211" spans="2:5" ht="15" customHeight="1">
      <c r="B211" s="85"/>
      <c r="C211" s="60" t="s">
        <v>108</v>
      </c>
      <c r="D211" s="55">
        <v>1</v>
      </c>
      <c r="E211" s="56">
        <v>2.3310023310020001E-3</v>
      </c>
    </row>
    <row r="212" spans="2:5" ht="15" customHeight="1">
      <c r="B212" s="86"/>
      <c r="C212" s="69" t="s">
        <v>210</v>
      </c>
      <c r="D212" s="66">
        <v>4</v>
      </c>
      <c r="E212" s="68">
        <v>9.3240093240089996E-3</v>
      </c>
    </row>
    <row r="213" spans="2:5" ht="15" customHeight="1">
      <c r="B213" s="84" t="s">
        <v>53</v>
      </c>
      <c r="C213" s="60" t="s">
        <v>90</v>
      </c>
      <c r="D213" s="55">
        <v>1</v>
      </c>
      <c r="E213" s="56">
        <v>2.3310023310020001E-3</v>
      </c>
    </row>
    <row r="214" spans="2:5" ht="15" customHeight="1">
      <c r="B214" s="85"/>
      <c r="C214" s="60" t="s">
        <v>127</v>
      </c>
      <c r="D214" s="55">
        <v>1</v>
      </c>
      <c r="E214" s="56">
        <v>2.3310023310020001E-3</v>
      </c>
    </row>
    <row r="215" spans="2:5" ht="15" customHeight="1">
      <c r="B215" s="85"/>
      <c r="C215" s="60" t="s">
        <v>93</v>
      </c>
      <c r="D215" s="55">
        <v>1</v>
      </c>
      <c r="E215" s="56">
        <v>2.3310023310020001E-3</v>
      </c>
    </row>
    <row r="216" spans="2:5" ht="15" customHeight="1">
      <c r="B216" s="85"/>
      <c r="C216" s="60" t="s">
        <v>94</v>
      </c>
      <c r="D216" s="55">
        <v>1</v>
      </c>
      <c r="E216" s="56">
        <v>2.3310023310020001E-3</v>
      </c>
    </row>
    <row r="217" spans="2:5" ht="15" customHeight="1">
      <c r="B217" s="85"/>
      <c r="C217" s="60" t="s">
        <v>95</v>
      </c>
      <c r="D217" s="55">
        <v>2</v>
      </c>
      <c r="E217" s="56">
        <v>4.6620046620050003E-3</v>
      </c>
    </row>
    <row r="218" spans="2:5" ht="15" customHeight="1">
      <c r="B218" s="85"/>
      <c r="C218" s="60" t="s">
        <v>100</v>
      </c>
      <c r="D218" s="55">
        <v>2</v>
      </c>
      <c r="E218" s="56">
        <v>4.6620046620050003E-3</v>
      </c>
    </row>
    <row r="219" spans="2:5" ht="15" customHeight="1">
      <c r="B219" s="85"/>
      <c r="C219" s="60" t="s">
        <v>101</v>
      </c>
      <c r="D219" s="55">
        <v>1</v>
      </c>
      <c r="E219" s="56">
        <v>2.3310023310020001E-3</v>
      </c>
    </row>
    <row r="220" spans="2:5" ht="15" customHeight="1">
      <c r="B220" s="85"/>
      <c r="C220" s="60" t="s">
        <v>103</v>
      </c>
      <c r="D220" s="55">
        <v>12</v>
      </c>
      <c r="E220" s="56">
        <v>2.7972027972028E-2</v>
      </c>
    </row>
    <row r="221" spans="2:5" ht="15" customHeight="1">
      <c r="B221" s="85"/>
      <c r="C221" s="60" t="s">
        <v>108</v>
      </c>
      <c r="D221" s="55">
        <v>1</v>
      </c>
      <c r="E221" s="56">
        <v>2.3310023310020001E-3</v>
      </c>
    </row>
    <row r="222" spans="2:5" ht="15" customHeight="1">
      <c r="B222" s="86"/>
      <c r="C222" s="69" t="s">
        <v>210</v>
      </c>
      <c r="D222" s="66">
        <v>22</v>
      </c>
      <c r="E222" s="68">
        <v>5.1282051282051003E-2</v>
      </c>
    </row>
    <row r="223" spans="2:5" ht="15" customHeight="1">
      <c r="B223" s="84" t="s">
        <v>66</v>
      </c>
      <c r="C223" s="60" t="s">
        <v>100</v>
      </c>
      <c r="D223" s="55">
        <v>1</v>
      </c>
      <c r="E223" s="56">
        <v>2.3310023310020001E-3</v>
      </c>
    </row>
    <row r="224" spans="2:5" ht="15" customHeight="1">
      <c r="B224" s="85"/>
      <c r="C224" s="60" t="s">
        <v>102</v>
      </c>
      <c r="D224" s="55">
        <v>1</v>
      </c>
      <c r="E224" s="56">
        <v>2.3310023310020001E-3</v>
      </c>
    </row>
    <row r="225" spans="2:5" ht="15" customHeight="1">
      <c r="B225" s="85"/>
      <c r="C225" s="60" t="s">
        <v>103</v>
      </c>
      <c r="D225" s="55">
        <v>11</v>
      </c>
      <c r="E225" s="56">
        <v>2.5641025641026001E-2</v>
      </c>
    </row>
    <row r="226" spans="2:5" ht="15" customHeight="1">
      <c r="B226" s="85"/>
      <c r="C226" s="60" t="s">
        <v>108</v>
      </c>
      <c r="D226" s="55">
        <v>2</v>
      </c>
      <c r="E226" s="56">
        <v>4.6620046620050003E-3</v>
      </c>
    </row>
    <row r="227" spans="2:5" ht="15" customHeight="1">
      <c r="B227" s="86"/>
      <c r="C227" s="69" t="s">
        <v>210</v>
      </c>
      <c r="D227" s="66">
        <v>15</v>
      </c>
      <c r="E227" s="68">
        <v>3.4965034965035002E-2</v>
      </c>
    </row>
    <row r="228" spans="2:5" ht="15" customHeight="1">
      <c r="B228" s="84" t="s">
        <v>60</v>
      </c>
      <c r="C228" s="60" t="s">
        <v>96</v>
      </c>
      <c r="D228" s="55">
        <v>1</v>
      </c>
      <c r="E228" s="56">
        <v>2.3310023310020001E-3</v>
      </c>
    </row>
    <row r="229" spans="2:5" ht="15" customHeight="1">
      <c r="B229" s="85"/>
      <c r="C229" s="60" t="s">
        <v>100</v>
      </c>
      <c r="D229" s="55">
        <v>2</v>
      </c>
      <c r="E229" s="56">
        <v>4.6620046620050003E-3</v>
      </c>
    </row>
    <row r="230" spans="2:5" ht="15" customHeight="1">
      <c r="B230" s="85"/>
      <c r="C230" s="60" t="s">
        <v>103</v>
      </c>
      <c r="D230" s="55">
        <v>2</v>
      </c>
      <c r="E230" s="56">
        <v>4.6620046620050003E-3</v>
      </c>
    </row>
    <row r="231" spans="2:5" ht="15" customHeight="1">
      <c r="B231" s="85"/>
      <c r="C231" s="60" t="s">
        <v>109</v>
      </c>
      <c r="D231" s="55">
        <v>1</v>
      </c>
      <c r="E231" s="56">
        <v>2.3310023310020001E-3</v>
      </c>
    </row>
    <row r="232" spans="2:5" ht="15" customHeight="1">
      <c r="B232" s="86"/>
      <c r="C232" s="69" t="s">
        <v>210</v>
      </c>
      <c r="D232" s="66">
        <v>6</v>
      </c>
      <c r="E232" s="68">
        <v>1.3986013986014E-2</v>
      </c>
    </row>
    <row r="233" spans="2:5" ht="15" customHeight="1">
      <c r="B233" s="84" t="s">
        <v>61</v>
      </c>
      <c r="C233" s="60" t="s">
        <v>127</v>
      </c>
      <c r="D233" s="55">
        <v>1</v>
      </c>
      <c r="E233" s="56">
        <v>2.3310023310020001E-3</v>
      </c>
    </row>
    <row r="234" spans="2:5" ht="15" customHeight="1">
      <c r="B234" s="85"/>
      <c r="C234" s="60" t="s">
        <v>95</v>
      </c>
      <c r="D234" s="55">
        <v>2</v>
      </c>
      <c r="E234" s="56">
        <v>4.6620046620050003E-3</v>
      </c>
    </row>
    <row r="235" spans="2:5" ht="15" customHeight="1">
      <c r="B235" s="85"/>
      <c r="C235" s="60" t="s">
        <v>96</v>
      </c>
      <c r="D235" s="55">
        <v>1</v>
      </c>
      <c r="E235" s="56">
        <v>2.3310023310020001E-3</v>
      </c>
    </row>
    <row r="236" spans="2:5" ht="15" customHeight="1">
      <c r="B236" s="85"/>
      <c r="C236" s="60" t="s">
        <v>98</v>
      </c>
      <c r="D236" s="55">
        <v>1</v>
      </c>
      <c r="E236" s="56">
        <v>2.3310023310020001E-3</v>
      </c>
    </row>
    <row r="237" spans="2:5" ht="15" customHeight="1">
      <c r="B237" s="85"/>
      <c r="C237" s="60" t="s">
        <v>101</v>
      </c>
      <c r="D237" s="55">
        <v>1</v>
      </c>
      <c r="E237" s="56">
        <v>2.3310023310020001E-3</v>
      </c>
    </row>
    <row r="238" spans="2:5" ht="15" customHeight="1">
      <c r="B238" s="85"/>
      <c r="C238" s="60" t="s">
        <v>103</v>
      </c>
      <c r="D238" s="55">
        <v>5</v>
      </c>
      <c r="E238" s="56">
        <v>1.1655011655011999E-2</v>
      </c>
    </row>
    <row r="239" spans="2:5" ht="15" customHeight="1">
      <c r="B239" s="85"/>
      <c r="C239" s="60" t="s">
        <v>105</v>
      </c>
      <c r="D239" s="55">
        <v>1</v>
      </c>
      <c r="E239" s="56">
        <v>2.3310023310020001E-3</v>
      </c>
    </row>
    <row r="240" spans="2:5" ht="15" customHeight="1">
      <c r="B240" s="85"/>
      <c r="C240" s="60" t="s">
        <v>106</v>
      </c>
      <c r="D240" s="55">
        <v>1</v>
      </c>
      <c r="E240" s="56">
        <v>2.3310023310020001E-3</v>
      </c>
    </row>
    <row r="241" spans="2:5" ht="15" customHeight="1">
      <c r="B241" s="85"/>
      <c r="C241" s="60" t="s">
        <v>107</v>
      </c>
      <c r="D241" s="55">
        <v>1</v>
      </c>
      <c r="E241" s="56">
        <v>2.3310023310020001E-3</v>
      </c>
    </row>
    <row r="242" spans="2:5" ht="15" customHeight="1">
      <c r="B242" s="86"/>
      <c r="C242" s="69" t="s">
        <v>210</v>
      </c>
      <c r="D242" s="66">
        <v>14</v>
      </c>
      <c r="E242" s="68">
        <v>3.2634032634033E-2</v>
      </c>
    </row>
    <row r="243" spans="2:5" ht="15" customHeight="1">
      <c r="B243" s="84" t="s">
        <v>52</v>
      </c>
      <c r="C243" s="60" t="s">
        <v>96</v>
      </c>
      <c r="D243" s="55">
        <v>2</v>
      </c>
      <c r="E243" s="56">
        <v>4.6620046620050003E-3</v>
      </c>
    </row>
    <row r="244" spans="2:5" ht="15" customHeight="1">
      <c r="B244" s="85"/>
      <c r="C244" s="60" t="s">
        <v>99</v>
      </c>
      <c r="D244" s="55">
        <v>1</v>
      </c>
      <c r="E244" s="56">
        <v>2.3310023310020001E-3</v>
      </c>
    </row>
    <row r="245" spans="2:5" ht="15" customHeight="1">
      <c r="B245" s="85"/>
      <c r="C245" s="60" t="s">
        <v>100</v>
      </c>
      <c r="D245" s="55">
        <v>4</v>
      </c>
      <c r="E245" s="56">
        <v>9.3240093240089996E-3</v>
      </c>
    </row>
    <row r="246" spans="2:5" ht="15" customHeight="1">
      <c r="B246" s="85"/>
      <c r="C246" s="60" t="s">
        <v>102</v>
      </c>
      <c r="D246" s="55">
        <v>4</v>
      </c>
      <c r="E246" s="56">
        <v>9.3240093240089996E-3</v>
      </c>
    </row>
    <row r="247" spans="2:5" ht="15" customHeight="1">
      <c r="B247" s="85"/>
      <c r="C247" s="60" t="s">
        <v>103</v>
      </c>
      <c r="D247" s="55">
        <v>7</v>
      </c>
      <c r="E247" s="56">
        <v>1.6317016317016E-2</v>
      </c>
    </row>
    <row r="248" spans="2:5" ht="15" customHeight="1">
      <c r="B248" s="85"/>
      <c r="C248" s="60" t="s">
        <v>128</v>
      </c>
      <c r="D248" s="55">
        <v>1</v>
      </c>
      <c r="E248" s="56">
        <v>2.3310023310020001E-3</v>
      </c>
    </row>
    <row r="249" spans="2:5" ht="15" customHeight="1">
      <c r="B249" s="85"/>
      <c r="C249" s="60" t="s">
        <v>107</v>
      </c>
      <c r="D249" s="55">
        <v>1</v>
      </c>
      <c r="E249" s="56">
        <v>2.3310023310020001E-3</v>
      </c>
    </row>
    <row r="250" spans="2:5" ht="15" customHeight="1">
      <c r="B250" s="86"/>
      <c r="C250" s="69" t="s">
        <v>210</v>
      </c>
      <c r="D250" s="66">
        <v>20</v>
      </c>
      <c r="E250" s="68">
        <v>4.6620046620046998E-2</v>
      </c>
    </row>
    <row r="251" spans="2:5" ht="15" customHeight="1">
      <c r="B251" s="84" t="s">
        <v>70</v>
      </c>
      <c r="C251" s="60" t="s">
        <v>107</v>
      </c>
      <c r="D251" s="55">
        <v>2</v>
      </c>
      <c r="E251" s="56">
        <v>4.6620046620050003E-3</v>
      </c>
    </row>
    <row r="252" spans="2:5" ht="15" customHeight="1">
      <c r="B252" s="86"/>
      <c r="C252" s="69" t="s">
        <v>210</v>
      </c>
      <c r="D252" s="66">
        <v>2</v>
      </c>
      <c r="E252" s="68">
        <v>4.6620046620050003E-3</v>
      </c>
    </row>
    <row r="253" spans="2:5" ht="15" customHeight="1">
      <c r="B253" s="84" t="s">
        <v>78</v>
      </c>
      <c r="C253" s="60" t="s">
        <v>100</v>
      </c>
      <c r="D253" s="55">
        <v>1</v>
      </c>
      <c r="E253" s="56">
        <v>2.3310023310020001E-3</v>
      </c>
    </row>
    <row r="254" spans="2:5" ht="15" customHeight="1">
      <c r="B254" s="85"/>
      <c r="C254" s="60" t="s">
        <v>102</v>
      </c>
      <c r="D254" s="55">
        <v>1</v>
      </c>
      <c r="E254" s="56">
        <v>2.3310023310020001E-3</v>
      </c>
    </row>
    <row r="255" spans="2:5" ht="15" customHeight="1">
      <c r="B255" s="85"/>
      <c r="C255" s="60" t="s">
        <v>103</v>
      </c>
      <c r="D255" s="55">
        <v>2</v>
      </c>
      <c r="E255" s="56">
        <v>4.6620046620050003E-3</v>
      </c>
    </row>
    <row r="256" spans="2:5" ht="15" customHeight="1">
      <c r="B256" s="85"/>
      <c r="C256" s="60" t="s">
        <v>107</v>
      </c>
      <c r="D256" s="55">
        <v>1</v>
      </c>
      <c r="E256" s="56">
        <v>2.3310023310020001E-3</v>
      </c>
    </row>
    <row r="257" spans="2:5" ht="15" customHeight="1">
      <c r="B257" s="85"/>
      <c r="C257" s="60" t="s">
        <v>108</v>
      </c>
      <c r="D257" s="55">
        <v>2</v>
      </c>
      <c r="E257" s="56">
        <v>4.6620046620050003E-3</v>
      </c>
    </row>
    <row r="258" spans="2:5" ht="15" customHeight="1">
      <c r="B258" s="86"/>
      <c r="C258" s="69" t="s">
        <v>210</v>
      </c>
      <c r="D258" s="66">
        <v>7</v>
      </c>
      <c r="E258" s="68">
        <v>1.6317016317016E-2</v>
      </c>
    </row>
    <row r="259" spans="2:5" ht="15" customHeight="1">
      <c r="B259" s="84" t="s">
        <v>46</v>
      </c>
      <c r="C259" s="60" t="s">
        <v>90</v>
      </c>
      <c r="D259" s="55">
        <v>1</v>
      </c>
      <c r="E259" s="56">
        <v>2.3310023310020001E-3</v>
      </c>
    </row>
    <row r="260" spans="2:5" ht="15" customHeight="1">
      <c r="B260" s="85"/>
      <c r="C260" s="60" t="s">
        <v>98</v>
      </c>
      <c r="D260" s="55">
        <v>1</v>
      </c>
      <c r="E260" s="56">
        <v>2.3310023310020001E-3</v>
      </c>
    </row>
    <row r="261" spans="2:5" ht="15" customHeight="1">
      <c r="B261" s="85"/>
      <c r="C261" s="60" t="s">
        <v>103</v>
      </c>
      <c r="D261" s="55">
        <v>1</v>
      </c>
      <c r="E261" s="56">
        <v>2.3310023310020001E-3</v>
      </c>
    </row>
    <row r="262" spans="2:5" ht="15" customHeight="1">
      <c r="B262" s="85"/>
      <c r="C262" s="60" t="s">
        <v>108</v>
      </c>
      <c r="D262" s="55">
        <v>1</v>
      </c>
      <c r="E262" s="56">
        <v>2.3310023310020001E-3</v>
      </c>
    </row>
    <row r="263" spans="2:5" ht="15" customHeight="1">
      <c r="B263" s="86"/>
      <c r="C263" s="69" t="s">
        <v>210</v>
      </c>
      <c r="D263" s="66">
        <v>4</v>
      </c>
      <c r="E263" s="68">
        <v>9.3240093240089996E-3</v>
      </c>
    </row>
    <row r="264" spans="2:5" ht="15" customHeight="1">
      <c r="B264" s="57" t="s">
        <v>213</v>
      </c>
      <c r="C264" s="70"/>
      <c r="D264" s="58">
        <v>429</v>
      </c>
      <c r="E264" s="59">
        <v>1</v>
      </c>
    </row>
    <row r="265" spans="2:5" ht="15" customHeight="1">
      <c r="B265" s="48"/>
      <c r="C265" s="48"/>
      <c r="D265" s="48"/>
      <c r="E265" s="48"/>
    </row>
    <row r="266" spans="2:5" ht="15" customHeight="1">
      <c r="B266" s="39" t="s">
        <v>120</v>
      </c>
      <c r="C266" s="40"/>
      <c r="D266" s="48"/>
      <c r="E266" s="48"/>
    </row>
    <row r="267" spans="2:5" ht="15" customHeight="1">
      <c r="B267" s="41" t="s">
        <v>17</v>
      </c>
      <c r="C267" s="40"/>
      <c r="D267" s="48"/>
      <c r="E267" s="48"/>
    </row>
    <row r="268" spans="2:5" ht="15" customHeight="1">
      <c r="B268" s="42" t="s">
        <v>45</v>
      </c>
      <c r="C268" s="40"/>
      <c r="D268" s="48"/>
      <c r="E268" s="48"/>
    </row>
    <row r="269" spans="2:5" ht="15" customHeight="1">
      <c r="B269" s="39" t="s">
        <v>16</v>
      </c>
      <c r="C269" s="40"/>
      <c r="D269" s="48"/>
      <c r="E269" s="48"/>
    </row>
    <row r="270" spans="2:5" ht="15" customHeight="1">
      <c r="B270" s="39" t="s">
        <v>211</v>
      </c>
      <c r="C270" s="40"/>
      <c r="D270" s="48"/>
      <c r="E270" s="48"/>
    </row>
  </sheetData>
  <mergeCells count="46">
    <mergeCell ref="B233:B242"/>
    <mergeCell ref="B243:B250"/>
    <mergeCell ref="B251:B252"/>
    <mergeCell ref="B253:B258"/>
    <mergeCell ref="B259:B263"/>
    <mergeCell ref="B201:B208"/>
    <mergeCell ref="B209:B212"/>
    <mergeCell ref="B213:B222"/>
    <mergeCell ref="B223:B227"/>
    <mergeCell ref="B228:B232"/>
    <mergeCell ref="B169:B172"/>
    <mergeCell ref="B173:B174"/>
    <mergeCell ref="B175:B184"/>
    <mergeCell ref="B185:B193"/>
    <mergeCell ref="B194:B200"/>
    <mergeCell ref="B135:B140"/>
    <mergeCell ref="B141:B143"/>
    <mergeCell ref="B144:B152"/>
    <mergeCell ref="B153:B160"/>
    <mergeCell ref="B161:B168"/>
    <mergeCell ref="B131:B134"/>
    <mergeCell ref="B86:B90"/>
    <mergeCell ref="B91:B93"/>
    <mergeCell ref="B94:B99"/>
    <mergeCell ref="B100:B103"/>
    <mergeCell ref="B104:B117"/>
    <mergeCell ref="B118:B119"/>
    <mergeCell ref="B120:B122"/>
    <mergeCell ref="B123:B125"/>
    <mergeCell ref="B126:B128"/>
    <mergeCell ref="B129:B130"/>
    <mergeCell ref="B59:B60"/>
    <mergeCell ref="B61:B64"/>
    <mergeCell ref="B65:B78"/>
    <mergeCell ref="B79:B82"/>
    <mergeCell ref="B83:B85"/>
    <mergeCell ref="B26:B28"/>
    <mergeCell ref="B29:B34"/>
    <mergeCell ref="B35:B45"/>
    <mergeCell ref="B46:B51"/>
    <mergeCell ref="B52:B58"/>
    <mergeCell ref="B7:E8"/>
    <mergeCell ref="B10:B11"/>
    <mergeCell ref="B12:B18"/>
    <mergeCell ref="B19:B20"/>
    <mergeCell ref="B21:B2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130" zoomScaleNormal="100" zoomScaleSheetLayoutView="130" workbookViewId="0"/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B7" s="80" t="s">
        <v>35</v>
      </c>
      <c r="C7" s="80"/>
      <c r="D7" s="80"/>
    </row>
    <row r="8" spans="1:6" s="17" customFormat="1" ht="15" customHeight="1">
      <c r="B8" s="80"/>
      <c r="C8" s="80"/>
      <c r="D8" s="80"/>
    </row>
    <row r="9" spans="1:6" s="17" customFormat="1" ht="33" customHeight="1">
      <c r="B9" s="80"/>
      <c r="C9" s="80"/>
      <c r="D9" s="80"/>
    </row>
    <row r="10" spans="1:6" s="17" customFormat="1" ht="4.5" customHeight="1">
      <c r="B10" s="18"/>
      <c r="C10" s="18"/>
      <c r="D10" s="18"/>
    </row>
    <row r="11" spans="1:6" s="17" customFormat="1" ht="33" customHeight="1">
      <c r="A11" s="37"/>
      <c r="B11" s="34" t="s">
        <v>28</v>
      </c>
      <c r="C11" s="35" t="s">
        <v>19</v>
      </c>
      <c r="D11" s="36" t="s">
        <v>18</v>
      </c>
      <c r="E11" s="37"/>
      <c r="F11" s="37"/>
    </row>
    <row r="12" spans="1:6" ht="15" customHeight="1">
      <c r="A12" s="38"/>
      <c r="B12" s="60" t="s">
        <v>182</v>
      </c>
      <c r="C12" s="55">
        <v>213</v>
      </c>
      <c r="D12" s="56">
        <v>0.49650349650349701</v>
      </c>
      <c r="E12" s="38"/>
      <c r="F12" s="38"/>
    </row>
    <row r="13" spans="1:6" ht="15" customHeight="1">
      <c r="A13" s="38"/>
      <c r="B13" s="60" t="s">
        <v>183</v>
      </c>
      <c r="C13" s="55">
        <v>216</v>
      </c>
      <c r="D13" s="56">
        <v>0.50349650349650399</v>
      </c>
      <c r="E13" s="38"/>
      <c r="F13" s="38"/>
    </row>
    <row r="14" spans="1:6" ht="15" customHeight="1">
      <c r="A14" s="38"/>
      <c r="B14" s="70" t="s">
        <v>212</v>
      </c>
      <c r="C14" s="58">
        <v>429</v>
      </c>
      <c r="D14" s="59">
        <v>1</v>
      </c>
      <c r="E14" s="38"/>
      <c r="F14" s="38"/>
    </row>
    <row r="15" spans="1:6" ht="16.5">
      <c r="A15" s="38"/>
      <c r="B15" s="38"/>
      <c r="C15" s="40"/>
      <c r="D15" s="40"/>
      <c r="E15" s="38"/>
      <c r="F15" s="38"/>
    </row>
    <row r="16" spans="1:6" ht="16.5">
      <c r="A16" s="38"/>
      <c r="B16" s="39" t="s">
        <v>120</v>
      </c>
      <c r="C16" s="40"/>
      <c r="D16" s="40"/>
      <c r="E16" s="38"/>
      <c r="F16" s="38"/>
    </row>
    <row r="17" spans="2:6" ht="16.5">
      <c r="B17" s="41" t="s">
        <v>17</v>
      </c>
      <c r="C17" s="49"/>
      <c r="D17" s="49"/>
      <c r="E17" s="38"/>
      <c r="F17" s="38"/>
    </row>
    <row r="18" spans="2:6" ht="16.5">
      <c r="B18" s="42" t="s">
        <v>45</v>
      </c>
      <c r="C18" s="50"/>
      <c r="D18" s="50"/>
      <c r="E18" s="38"/>
      <c r="F18" s="38"/>
    </row>
    <row r="19" spans="2:6" ht="16.5">
      <c r="B19" s="39" t="s">
        <v>16</v>
      </c>
      <c r="C19" s="40"/>
      <c r="D19" s="38"/>
      <c r="E19" s="38"/>
      <c r="F19" s="38"/>
    </row>
    <row r="20" spans="2:6" ht="16.5">
      <c r="B20" s="39" t="s">
        <v>211</v>
      </c>
      <c r="C20" s="40"/>
      <c r="D20" s="38"/>
      <c r="E20" s="38"/>
      <c r="F20" s="38"/>
    </row>
    <row r="21" spans="2:6" ht="16.5">
      <c r="B21" s="38"/>
      <c r="C21" s="40"/>
      <c r="D21" s="38"/>
      <c r="E21" s="38"/>
      <c r="F21" s="3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46"/>
  <sheetViews>
    <sheetView showGridLines="0" view="pageBreakPreview" zoomScaleNormal="96" zoomScaleSheetLayoutView="100" workbookViewId="0">
      <selection activeCell="E22" sqref="E22"/>
    </sheetView>
  </sheetViews>
  <sheetFormatPr baseColWidth="10" defaultColWidth="11.42578125" defaultRowHeight="11.25"/>
  <cols>
    <col min="1" max="1" width="5.7109375" style="17" customWidth="1"/>
    <col min="2" max="2" width="20.85546875" style="24" customWidth="1"/>
    <col min="3" max="3" width="20.140625" style="24" customWidth="1"/>
    <col min="4" max="4" width="19" style="27" customWidth="1"/>
    <col min="5" max="5" width="15.140625" style="24" bestFit="1" customWidth="1"/>
    <col min="6" max="6" width="5.7109375" style="17" customWidth="1"/>
    <col min="7" max="16384" width="11.42578125" style="17"/>
  </cols>
  <sheetData>
    <row r="1" spans="1:6" s="13" customFormat="1" ht="15">
      <c r="B1" s="24"/>
      <c r="C1" s="24"/>
    </row>
    <row r="2" spans="1:6" s="24" customFormat="1">
      <c r="B2" s="30"/>
    </row>
    <row r="3" spans="1:6" ht="15" customHeight="1">
      <c r="B3" s="31"/>
      <c r="C3" s="20"/>
      <c r="D3" s="17"/>
      <c r="F3" s="24"/>
    </row>
    <row r="4" spans="1:6" ht="30" customHeight="1">
      <c r="B4" s="31"/>
      <c r="C4" s="20"/>
      <c r="D4" s="17"/>
      <c r="F4" s="24"/>
    </row>
    <row r="5" spans="1:6" ht="15" customHeight="1">
      <c r="B5" s="31"/>
      <c r="C5" s="20"/>
      <c r="D5" s="17"/>
      <c r="F5" s="24"/>
    </row>
    <row r="6" spans="1:6" s="24" customFormat="1">
      <c r="B6" s="26"/>
      <c r="C6" s="23"/>
    </row>
    <row r="7" spans="1:6" s="24" customFormat="1">
      <c r="B7" s="30"/>
    </row>
    <row r="8" spans="1:6" s="13" customFormat="1" ht="15" customHeight="1">
      <c r="B8" s="87" t="s">
        <v>40</v>
      </c>
      <c r="C8" s="88"/>
      <c r="D8" s="88"/>
      <c r="E8" s="88"/>
    </row>
    <row r="9" spans="1:6" s="13" customFormat="1" ht="15" customHeight="1">
      <c r="B9" s="88"/>
      <c r="C9" s="88"/>
      <c r="D9" s="88"/>
      <c r="E9" s="88"/>
      <c r="F9" s="29"/>
    </row>
    <row r="10" spans="1:6" s="13" customFormat="1" ht="15" customHeight="1">
      <c r="B10" s="88"/>
      <c r="C10" s="88"/>
      <c r="D10" s="88"/>
      <c r="E10" s="88"/>
    </row>
    <row r="11" spans="1:6" s="13" customFormat="1" ht="15" customHeight="1">
      <c r="B11" s="32"/>
      <c r="C11" s="32"/>
      <c r="D11" s="32"/>
      <c r="E11" s="32"/>
    </row>
    <row r="12" spans="1:6" s="13" customFormat="1" ht="36.950000000000003" customHeight="1">
      <c r="A12" s="38"/>
      <c r="B12" s="53" t="s">
        <v>21</v>
      </c>
      <c r="C12" s="53" t="s">
        <v>28</v>
      </c>
      <c r="D12" s="53" t="s">
        <v>19</v>
      </c>
      <c r="E12" s="53" t="s">
        <v>18</v>
      </c>
      <c r="F12" s="38"/>
    </row>
    <row r="13" spans="1:6" ht="15" customHeight="1">
      <c r="A13" s="37"/>
      <c r="B13" s="84" t="s">
        <v>75</v>
      </c>
      <c r="C13" s="54" t="s">
        <v>182</v>
      </c>
      <c r="D13" s="55">
        <v>1</v>
      </c>
      <c r="E13" s="56">
        <v>2.3310023310020001E-3</v>
      </c>
      <c r="F13" s="37"/>
    </row>
    <row r="14" spans="1:6" ht="15" customHeight="1">
      <c r="A14" s="37"/>
      <c r="B14" s="85"/>
      <c r="C14" s="54" t="s">
        <v>183</v>
      </c>
      <c r="D14" s="55">
        <v>1</v>
      </c>
      <c r="E14" s="56">
        <v>2.3310023310020001E-3</v>
      </c>
      <c r="F14" s="37"/>
    </row>
    <row r="15" spans="1:6" ht="15" customHeight="1">
      <c r="A15" s="37"/>
      <c r="B15" s="86"/>
      <c r="C15" s="67" t="s">
        <v>210</v>
      </c>
      <c r="D15" s="66">
        <v>2</v>
      </c>
      <c r="E15" s="68">
        <v>4.6620046620050003E-3</v>
      </c>
      <c r="F15" s="37"/>
    </row>
    <row r="16" spans="1:6" ht="15" customHeight="1">
      <c r="A16" s="37"/>
      <c r="B16" s="84" t="s">
        <v>64</v>
      </c>
      <c r="C16" s="54" t="s">
        <v>182</v>
      </c>
      <c r="D16" s="55">
        <v>5</v>
      </c>
      <c r="E16" s="56">
        <v>1.1655011655011999E-2</v>
      </c>
      <c r="F16" s="37"/>
    </row>
    <row r="17" spans="1:6" ht="15" customHeight="1">
      <c r="A17" s="37"/>
      <c r="B17" s="85"/>
      <c r="C17" s="54" t="s">
        <v>183</v>
      </c>
      <c r="D17" s="55">
        <v>3</v>
      </c>
      <c r="E17" s="56">
        <v>6.9930069930069999E-3</v>
      </c>
      <c r="F17" s="37"/>
    </row>
    <row r="18" spans="1:6" ht="15" customHeight="1">
      <c r="A18" s="37"/>
      <c r="B18" s="86"/>
      <c r="C18" s="67" t="s">
        <v>210</v>
      </c>
      <c r="D18" s="66">
        <v>8</v>
      </c>
      <c r="E18" s="68">
        <v>1.8648018648018998E-2</v>
      </c>
      <c r="F18" s="37"/>
    </row>
    <row r="19" spans="1:6" ht="15" customHeight="1">
      <c r="A19" s="37"/>
      <c r="B19" s="84" t="s">
        <v>79</v>
      </c>
      <c r="C19" s="54" t="s">
        <v>182</v>
      </c>
      <c r="D19" s="55">
        <v>1</v>
      </c>
      <c r="E19" s="56">
        <v>2.3310023310020001E-3</v>
      </c>
      <c r="F19" s="37"/>
    </row>
    <row r="20" spans="1:6" ht="15" customHeight="1">
      <c r="A20" s="37"/>
      <c r="B20" s="85"/>
      <c r="C20" s="54" t="s">
        <v>183</v>
      </c>
      <c r="D20" s="55">
        <v>1</v>
      </c>
      <c r="E20" s="56">
        <v>2.3310023310020001E-3</v>
      </c>
      <c r="F20" s="37"/>
    </row>
    <row r="21" spans="1:6" ht="15" customHeight="1">
      <c r="A21" s="37"/>
      <c r="B21" s="86"/>
      <c r="C21" s="67" t="s">
        <v>210</v>
      </c>
      <c r="D21" s="66">
        <v>2</v>
      </c>
      <c r="E21" s="68">
        <v>4.6620046620050003E-3</v>
      </c>
      <c r="F21" s="37"/>
    </row>
    <row r="22" spans="1:6" ht="15" customHeight="1">
      <c r="A22" s="37"/>
      <c r="B22" s="84" t="s">
        <v>67</v>
      </c>
      <c r="C22" s="54" t="s">
        <v>182</v>
      </c>
      <c r="D22" s="55">
        <v>4</v>
      </c>
      <c r="E22" s="56">
        <v>9.3240093240089996E-3</v>
      </c>
      <c r="F22" s="37"/>
    </row>
    <row r="23" spans="1:6" ht="15" customHeight="1">
      <c r="A23" s="37"/>
      <c r="B23" s="85"/>
      <c r="C23" s="54" t="s">
        <v>183</v>
      </c>
      <c r="D23" s="55">
        <v>4</v>
      </c>
      <c r="E23" s="56">
        <v>9.3240093240089996E-3</v>
      </c>
      <c r="F23" s="37"/>
    </row>
    <row r="24" spans="1:6" ht="15" customHeight="1">
      <c r="A24" s="37"/>
      <c r="B24" s="86"/>
      <c r="C24" s="67" t="s">
        <v>210</v>
      </c>
      <c r="D24" s="66">
        <v>8</v>
      </c>
      <c r="E24" s="68">
        <v>1.8648018648018998E-2</v>
      </c>
      <c r="F24" s="37"/>
    </row>
    <row r="25" spans="1:6" ht="15" customHeight="1">
      <c r="A25" s="37"/>
      <c r="B25" s="84" t="s">
        <v>119</v>
      </c>
      <c r="C25" s="54" t="s">
        <v>182</v>
      </c>
      <c r="D25" s="55">
        <v>2</v>
      </c>
      <c r="E25" s="56">
        <v>4.6620046620050003E-3</v>
      </c>
      <c r="F25" s="37"/>
    </row>
    <row r="26" spans="1:6" ht="15" customHeight="1">
      <c r="A26" s="37"/>
      <c r="B26" s="85"/>
      <c r="C26" s="54" t="s">
        <v>183</v>
      </c>
      <c r="D26" s="55">
        <v>2</v>
      </c>
      <c r="E26" s="56">
        <v>4.6620046620050003E-3</v>
      </c>
      <c r="F26" s="37"/>
    </row>
    <row r="27" spans="1:6" ht="15" customHeight="1">
      <c r="A27" s="37"/>
      <c r="B27" s="86"/>
      <c r="C27" s="67" t="s">
        <v>210</v>
      </c>
      <c r="D27" s="66">
        <v>4</v>
      </c>
      <c r="E27" s="68">
        <v>9.3240093240089996E-3</v>
      </c>
      <c r="F27" s="37"/>
    </row>
    <row r="28" spans="1:6" ht="15" customHeight="1">
      <c r="A28" s="37"/>
      <c r="B28" s="84" t="s">
        <v>49</v>
      </c>
      <c r="C28" s="54" t="s">
        <v>182</v>
      </c>
      <c r="D28" s="55">
        <v>4</v>
      </c>
      <c r="E28" s="56">
        <v>9.3240093240089996E-3</v>
      </c>
      <c r="F28" s="37"/>
    </row>
    <row r="29" spans="1:6" ht="15" customHeight="1">
      <c r="A29" s="37"/>
      <c r="B29" s="85"/>
      <c r="C29" s="54" t="s">
        <v>183</v>
      </c>
      <c r="D29" s="55">
        <v>11</v>
      </c>
      <c r="E29" s="56">
        <v>2.5641025641026001E-2</v>
      </c>
      <c r="F29" s="37"/>
    </row>
    <row r="30" spans="1:6" ht="15" customHeight="1">
      <c r="A30" s="37"/>
      <c r="B30" s="86"/>
      <c r="C30" s="67" t="s">
        <v>210</v>
      </c>
      <c r="D30" s="66">
        <v>15</v>
      </c>
      <c r="E30" s="68">
        <v>3.4965034965035002E-2</v>
      </c>
      <c r="F30" s="37"/>
    </row>
    <row r="31" spans="1:6" ht="15" customHeight="1">
      <c r="A31" s="37"/>
      <c r="B31" s="84" t="s">
        <v>50</v>
      </c>
      <c r="C31" s="54" t="s">
        <v>182</v>
      </c>
      <c r="D31" s="55">
        <v>8</v>
      </c>
      <c r="E31" s="56">
        <v>1.8648018648018998E-2</v>
      </c>
      <c r="F31" s="37"/>
    </row>
    <row r="32" spans="1:6" ht="15" customHeight="1">
      <c r="A32" s="37"/>
      <c r="B32" s="85"/>
      <c r="C32" s="54" t="s">
        <v>183</v>
      </c>
      <c r="D32" s="55">
        <v>12</v>
      </c>
      <c r="E32" s="56">
        <v>2.7972027972028E-2</v>
      </c>
      <c r="F32" s="37"/>
    </row>
    <row r="33" spans="1:6" ht="15" customHeight="1">
      <c r="A33" s="37"/>
      <c r="B33" s="86"/>
      <c r="C33" s="67" t="s">
        <v>210</v>
      </c>
      <c r="D33" s="66">
        <v>20</v>
      </c>
      <c r="E33" s="68">
        <v>4.6620046620046998E-2</v>
      </c>
      <c r="F33" s="37"/>
    </row>
    <row r="34" spans="1:6" ht="15" customHeight="1">
      <c r="A34" s="37"/>
      <c r="B34" s="84" t="s">
        <v>68</v>
      </c>
      <c r="C34" s="54" t="s">
        <v>182</v>
      </c>
      <c r="D34" s="55">
        <v>6</v>
      </c>
      <c r="E34" s="56">
        <v>1.3986013986014E-2</v>
      </c>
      <c r="F34" s="37"/>
    </row>
    <row r="35" spans="1:6" ht="15" customHeight="1">
      <c r="A35" s="37"/>
      <c r="B35" s="86"/>
      <c r="C35" s="67" t="s">
        <v>210</v>
      </c>
      <c r="D35" s="66">
        <v>6</v>
      </c>
      <c r="E35" s="68">
        <v>1.3986013986014E-2</v>
      </c>
      <c r="F35" s="37"/>
    </row>
    <row r="36" spans="1:6" ht="15" customHeight="1">
      <c r="A36" s="37"/>
      <c r="B36" s="84" t="s">
        <v>80</v>
      </c>
      <c r="C36" s="54" t="s">
        <v>182</v>
      </c>
      <c r="D36" s="55">
        <v>3</v>
      </c>
      <c r="E36" s="56">
        <v>6.9930069930069999E-3</v>
      </c>
      <c r="F36" s="37"/>
    </row>
    <row r="37" spans="1:6" ht="15" customHeight="1">
      <c r="A37" s="37"/>
      <c r="B37" s="85"/>
      <c r="C37" s="54" t="s">
        <v>183</v>
      </c>
      <c r="D37" s="55">
        <v>8</v>
      </c>
      <c r="E37" s="56">
        <v>1.8648018648018998E-2</v>
      </c>
      <c r="F37" s="37"/>
    </row>
    <row r="38" spans="1:6" ht="15" customHeight="1">
      <c r="A38" s="37"/>
      <c r="B38" s="86"/>
      <c r="C38" s="67" t="s">
        <v>210</v>
      </c>
      <c r="D38" s="66">
        <v>11</v>
      </c>
      <c r="E38" s="68">
        <v>2.5641025641026001E-2</v>
      </c>
      <c r="F38" s="37"/>
    </row>
    <row r="39" spans="1:6" ht="15" customHeight="1">
      <c r="A39" s="37"/>
      <c r="B39" s="84" t="s">
        <v>81</v>
      </c>
      <c r="C39" s="54" t="s">
        <v>182</v>
      </c>
      <c r="D39" s="55">
        <v>1</v>
      </c>
      <c r="E39" s="56">
        <v>2.3310023310020001E-3</v>
      </c>
      <c r="F39" s="37"/>
    </row>
    <row r="40" spans="1:6" ht="15" customHeight="1">
      <c r="A40" s="37"/>
      <c r="B40" s="86"/>
      <c r="C40" s="67" t="s">
        <v>210</v>
      </c>
      <c r="D40" s="66">
        <v>1</v>
      </c>
      <c r="E40" s="68">
        <v>2.3310023310020001E-3</v>
      </c>
      <c r="F40" s="37"/>
    </row>
    <row r="41" spans="1:6" ht="15" customHeight="1">
      <c r="A41" s="37"/>
      <c r="B41" s="84" t="s">
        <v>57</v>
      </c>
      <c r="C41" s="54" t="s">
        <v>182</v>
      </c>
      <c r="D41" s="55">
        <v>2</v>
      </c>
      <c r="E41" s="56">
        <v>4.6620046620050003E-3</v>
      </c>
      <c r="F41" s="37"/>
    </row>
    <row r="42" spans="1:6" ht="15" customHeight="1">
      <c r="A42" s="37"/>
      <c r="B42" s="85"/>
      <c r="C42" s="54" t="s">
        <v>183</v>
      </c>
      <c r="D42" s="55">
        <v>2</v>
      </c>
      <c r="E42" s="56">
        <v>4.6620046620050003E-3</v>
      </c>
      <c r="F42" s="37"/>
    </row>
    <row r="43" spans="1:6" ht="15" customHeight="1">
      <c r="A43" s="37"/>
      <c r="B43" s="86"/>
      <c r="C43" s="67" t="s">
        <v>210</v>
      </c>
      <c r="D43" s="66">
        <v>4</v>
      </c>
      <c r="E43" s="68">
        <v>9.3240093240089996E-3</v>
      </c>
      <c r="F43" s="37"/>
    </row>
    <row r="44" spans="1:6" ht="15" customHeight="1">
      <c r="A44" s="37"/>
      <c r="B44" s="84" t="s">
        <v>48</v>
      </c>
      <c r="C44" s="54" t="s">
        <v>182</v>
      </c>
      <c r="D44" s="55">
        <v>15</v>
      </c>
      <c r="E44" s="56">
        <v>3.4965034965035002E-2</v>
      </c>
      <c r="F44" s="37"/>
    </row>
    <row r="45" spans="1:6" ht="15" customHeight="1">
      <c r="A45" s="37"/>
      <c r="B45" s="85"/>
      <c r="C45" s="54" t="s">
        <v>183</v>
      </c>
      <c r="D45" s="55">
        <v>13</v>
      </c>
      <c r="E45" s="56">
        <v>3.0303030303029999E-2</v>
      </c>
      <c r="F45" s="37"/>
    </row>
    <row r="46" spans="1:6" ht="15" customHeight="1">
      <c r="A46" s="37"/>
      <c r="B46" s="86"/>
      <c r="C46" s="67" t="s">
        <v>210</v>
      </c>
      <c r="D46" s="66">
        <v>28</v>
      </c>
      <c r="E46" s="68">
        <v>6.5268065268065001E-2</v>
      </c>
      <c r="F46" s="37"/>
    </row>
    <row r="47" spans="1:6" ht="15" customHeight="1">
      <c r="A47" s="37"/>
      <c r="B47" s="84" t="s">
        <v>58</v>
      </c>
      <c r="C47" s="54" t="s">
        <v>182</v>
      </c>
      <c r="D47" s="55">
        <v>6</v>
      </c>
      <c r="E47" s="56">
        <v>1.3986013986014E-2</v>
      </c>
      <c r="F47" s="37"/>
    </row>
    <row r="48" spans="1:6" ht="15" customHeight="1">
      <c r="A48" s="37"/>
      <c r="B48" s="85"/>
      <c r="C48" s="54" t="s">
        <v>183</v>
      </c>
      <c r="D48" s="55">
        <v>4</v>
      </c>
      <c r="E48" s="56">
        <v>9.3240093240089996E-3</v>
      </c>
      <c r="F48" s="37"/>
    </row>
    <row r="49" spans="1:6" ht="15" customHeight="1">
      <c r="A49" s="37"/>
      <c r="B49" s="86"/>
      <c r="C49" s="67" t="s">
        <v>210</v>
      </c>
      <c r="D49" s="66">
        <v>10</v>
      </c>
      <c r="E49" s="68">
        <v>2.3310023310022999E-2</v>
      </c>
      <c r="F49" s="37"/>
    </row>
    <row r="50" spans="1:6" ht="15" customHeight="1">
      <c r="A50" s="37"/>
      <c r="B50" s="84" t="s">
        <v>82</v>
      </c>
      <c r="C50" s="54" t="s">
        <v>183</v>
      </c>
      <c r="D50" s="55">
        <v>2</v>
      </c>
      <c r="E50" s="56">
        <v>4.6620046620050003E-3</v>
      </c>
      <c r="F50" s="37"/>
    </row>
    <row r="51" spans="1:6" ht="15" customHeight="1">
      <c r="A51" s="37"/>
      <c r="B51" s="86"/>
      <c r="C51" s="67" t="s">
        <v>210</v>
      </c>
      <c r="D51" s="66">
        <v>2</v>
      </c>
      <c r="E51" s="68">
        <v>4.6620046620050003E-3</v>
      </c>
      <c r="F51" s="37"/>
    </row>
    <row r="52" spans="1:6" ht="15" customHeight="1">
      <c r="A52" s="37"/>
      <c r="B52" s="84" t="s">
        <v>62</v>
      </c>
      <c r="C52" s="54" t="s">
        <v>182</v>
      </c>
      <c r="D52" s="55">
        <v>2</v>
      </c>
      <c r="E52" s="56">
        <v>4.6620046620050003E-3</v>
      </c>
      <c r="F52" s="37"/>
    </row>
    <row r="53" spans="1:6" ht="15" customHeight="1">
      <c r="A53" s="37"/>
      <c r="B53" s="85"/>
      <c r="C53" s="54" t="s">
        <v>183</v>
      </c>
      <c r="D53" s="55">
        <v>5</v>
      </c>
      <c r="E53" s="56">
        <v>1.1655011655011999E-2</v>
      </c>
      <c r="F53" s="37"/>
    </row>
    <row r="54" spans="1:6" ht="15" customHeight="1">
      <c r="A54" s="37"/>
      <c r="B54" s="86"/>
      <c r="C54" s="67" t="s">
        <v>210</v>
      </c>
      <c r="D54" s="66">
        <v>7</v>
      </c>
      <c r="E54" s="68">
        <v>1.6317016317016E-2</v>
      </c>
      <c r="F54" s="37"/>
    </row>
    <row r="55" spans="1:6" ht="15" customHeight="1">
      <c r="A55" s="37"/>
      <c r="B55" s="84" t="s">
        <v>83</v>
      </c>
      <c r="C55" s="54" t="s">
        <v>182</v>
      </c>
      <c r="D55" s="55">
        <v>1</v>
      </c>
      <c r="E55" s="56">
        <v>2.3310023310020001E-3</v>
      </c>
      <c r="F55" s="37"/>
    </row>
    <row r="56" spans="1:6" ht="15" customHeight="1">
      <c r="A56" s="37"/>
      <c r="B56" s="85"/>
      <c r="C56" s="54" t="s">
        <v>183</v>
      </c>
      <c r="D56" s="55">
        <v>1</v>
      </c>
      <c r="E56" s="56">
        <v>2.3310023310020001E-3</v>
      </c>
      <c r="F56" s="37"/>
    </row>
    <row r="57" spans="1:6" ht="15" customHeight="1">
      <c r="A57" s="37"/>
      <c r="B57" s="86"/>
      <c r="C57" s="67" t="s">
        <v>210</v>
      </c>
      <c r="D57" s="66">
        <v>2</v>
      </c>
      <c r="E57" s="68">
        <v>4.6620046620050003E-3</v>
      </c>
      <c r="F57" s="37"/>
    </row>
    <row r="58" spans="1:6" ht="15" customHeight="1">
      <c r="A58" s="37"/>
      <c r="B58" s="84" t="s">
        <v>55</v>
      </c>
      <c r="C58" s="54" t="s">
        <v>182</v>
      </c>
      <c r="D58" s="55">
        <v>3</v>
      </c>
      <c r="E58" s="56">
        <v>6.9930069930069999E-3</v>
      </c>
      <c r="F58" s="37"/>
    </row>
    <row r="59" spans="1:6" ht="15" customHeight="1">
      <c r="A59" s="37"/>
      <c r="B59" s="85"/>
      <c r="C59" s="54" t="s">
        <v>183</v>
      </c>
      <c r="D59" s="55">
        <v>8</v>
      </c>
      <c r="E59" s="56">
        <v>1.8648018648018998E-2</v>
      </c>
      <c r="F59" s="37"/>
    </row>
    <row r="60" spans="1:6" ht="15" customHeight="1">
      <c r="A60" s="37"/>
      <c r="B60" s="86"/>
      <c r="C60" s="67" t="s">
        <v>210</v>
      </c>
      <c r="D60" s="66">
        <v>11</v>
      </c>
      <c r="E60" s="68">
        <v>2.5641025641026001E-2</v>
      </c>
      <c r="F60" s="37"/>
    </row>
    <row r="61" spans="1:6" ht="15" customHeight="1">
      <c r="A61" s="37"/>
      <c r="B61" s="84" t="s">
        <v>65</v>
      </c>
      <c r="C61" s="54" t="s">
        <v>182</v>
      </c>
      <c r="D61" s="55">
        <v>4</v>
      </c>
      <c r="E61" s="56">
        <v>9.3240093240089996E-3</v>
      </c>
      <c r="F61" s="37"/>
    </row>
    <row r="62" spans="1:6" ht="15" customHeight="1">
      <c r="A62" s="37"/>
      <c r="B62" s="85"/>
      <c r="C62" s="54" t="s">
        <v>183</v>
      </c>
      <c r="D62" s="55">
        <v>3</v>
      </c>
      <c r="E62" s="56">
        <v>6.9930069930069999E-3</v>
      </c>
      <c r="F62" s="37"/>
    </row>
    <row r="63" spans="1:6" ht="15" customHeight="1">
      <c r="A63" s="37"/>
      <c r="B63" s="86"/>
      <c r="C63" s="67" t="s">
        <v>210</v>
      </c>
      <c r="D63" s="66">
        <v>7</v>
      </c>
      <c r="E63" s="68">
        <v>1.6317016317016E-2</v>
      </c>
      <c r="F63" s="37"/>
    </row>
    <row r="64" spans="1:6" ht="15" customHeight="1">
      <c r="A64" s="37"/>
      <c r="B64" s="84" t="s">
        <v>47</v>
      </c>
      <c r="C64" s="54" t="s">
        <v>182</v>
      </c>
      <c r="D64" s="55">
        <v>31</v>
      </c>
      <c r="E64" s="56">
        <v>7.2261072261072007E-2</v>
      </c>
      <c r="F64" s="37"/>
    </row>
    <row r="65" spans="1:6" ht="15" customHeight="1">
      <c r="A65" s="37"/>
      <c r="B65" s="85"/>
      <c r="C65" s="54" t="s">
        <v>183</v>
      </c>
      <c r="D65" s="55">
        <v>18</v>
      </c>
      <c r="E65" s="56">
        <v>4.1958041958042001E-2</v>
      </c>
      <c r="F65" s="37"/>
    </row>
    <row r="66" spans="1:6" ht="15" customHeight="1">
      <c r="A66" s="37"/>
      <c r="B66" s="86"/>
      <c r="C66" s="67" t="s">
        <v>210</v>
      </c>
      <c r="D66" s="66">
        <v>49</v>
      </c>
      <c r="E66" s="68">
        <v>0.114219114219114</v>
      </c>
      <c r="F66" s="37"/>
    </row>
    <row r="67" spans="1:6" ht="15" customHeight="1">
      <c r="A67" s="37"/>
      <c r="B67" s="84" t="s">
        <v>84</v>
      </c>
      <c r="C67" s="54" t="s">
        <v>183</v>
      </c>
      <c r="D67" s="55">
        <v>1</v>
      </c>
      <c r="E67" s="56">
        <v>2.3310023310020001E-3</v>
      </c>
      <c r="F67" s="37"/>
    </row>
    <row r="68" spans="1:6" ht="15" customHeight="1">
      <c r="A68" s="37"/>
      <c r="B68" s="86"/>
      <c r="C68" s="67" t="s">
        <v>210</v>
      </c>
      <c r="D68" s="66">
        <v>1</v>
      </c>
      <c r="E68" s="68">
        <v>2.3310023310020001E-3</v>
      </c>
      <c r="F68" s="37"/>
    </row>
    <row r="69" spans="1:6" ht="15" customHeight="1">
      <c r="A69" s="37"/>
      <c r="B69" s="84" t="s">
        <v>71</v>
      </c>
      <c r="C69" s="54" t="s">
        <v>183</v>
      </c>
      <c r="D69" s="55">
        <v>2</v>
      </c>
      <c r="E69" s="56">
        <v>4.6620046620050003E-3</v>
      </c>
      <c r="F69" s="37"/>
    </row>
    <row r="70" spans="1:6" ht="15" customHeight="1">
      <c r="A70" s="37"/>
      <c r="B70" s="86"/>
      <c r="C70" s="67" t="s">
        <v>210</v>
      </c>
      <c r="D70" s="66">
        <v>2</v>
      </c>
      <c r="E70" s="68">
        <v>4.6620046620050003E-3</v>
      </c>
      <c r="F70" s="37"/>
    </row>
    <row r="71" spans="1:6" ht="15" customHeight="1">
      <c r="A71" s="37"/>
      <c r="B71" s="84" t="s">
        <v>88</v>
      </c>
      <c r="C71" s="54" t="s">
        <v>182</v>
      </c>
      <c r="D71" s="55">
        <v>2</v>
      </c>
      <c r="E71" s="56">
        <v>4.6620046620050003E-3</v>
      </c>
      <c r="F71" s="37"/>
    </row>
    <row r="72" spans="1:6" ht="15" customHeight="1">
      <c r="A72" s="37"/>
      <c r="B72" s="85"/>
      <c r="C72" s="54" t="s">
        <v>183</v>
      </c>
      <c r="D72" s="55">
        <v>1</v>
      </c>
      <c r="E72" s="56">
        <v>2.3310023310020001E-3</v>
      </c>
      <c r="F72" s="37"/>
    </row>
    <row r="73" spans="1:6" ht="15" customHeight="1">
      <c r="A73" s="37"/>
      <c r="B73" s="86"/>
      <c r="C73" s="67" t="s">
        <v>210</v>
      </c>
      <c r="D73" s="66">
        <v>3</v>
      </c>
      <c r="E73" s="68">
        <v>6.9930069930069999E-3</v>
      </c>
      <c r="F73" s="37"/>
    </row>
    <row r="74" spans="1:6" ht="15" customHeight="1">
      <c r="A74" s="37"/>
      <c r="B74" s="84" t="s">
        <v>72</v>
      </c>
      <c r="C74" s="54" t="s">
        <v>182</v>
      </c>
      <c r="D74" s="55">
        <v>1</v>
      </c>
      <c r="E74" s="56">
        <v>2.3310023310020001E-3</v>
      </c>
      <c r="F74" s="37"/>
    </row>
    <row r="75" spans="1:6" ht="15" customHeight="1">
      <c r="A75" s="37"/>
      <c r="B75" s="85"/>
      <c r="C75" s="54" t="s">
        <v>183</v>
      </c>
      <c r="D75" s="55">
        <v>1</v>
      </c>
      <c r="E75" s="56">
        <v>2.3310023310020001E-3</v>
      </c>
      <c r="F75" s="37"/>
    </row>
    <row r="76" spans="1:6" ht="15" customHeight="1">
      <c r="A76" s="37"/>
      <c r="B76" s="86"/>
      <c r="C76" s="67" t="s">
        <v>210</v>
      </c>
      <c r="D76" s="66">
        <v>2</v>
      </c>
      <c r="E76" s="68">
        <v>4.6620046620050003E-3</v>
      </c>
      <c r="F76" s="37"/>
    </row>
    <row r="77" spans="1:6" ht="15" customHeight="1">
      <c r="A77" s="37"/>
      <c r="B77" s="84" t="s">
        <v>85</v>
      </c>
      <c r="C77" s="54" t="s">
        <v>182</v>
      </c>
      <c r="D77" s="55">
        <v>1</v>
      </c>
      <c r="E77" s="56">
        <v>2.3310023310020001E-3</v>
      </c>
      <c r="F77" s="37"/>
    </row>
    <row r="78" spans="1:6" ht="15" customHeight="1">
      <c r="A78" s="37"/>
      <c r="B78" s="85"/>
      <c r="C78" s="54" t="s">
        <v>183</v>
      </c>
      <c r="D78" s="55">
        <v>1</v>
      </c>
      <c r="E78" s="56">
        <v>2.3310023310020001E-3</v>
      </c>
      <c r="F78" s="37"/>
    </row>
    <row r="79" spans="1:6" ht="15" customHeight="1">
      <c r="A79" s="37"/>
      <c r="B79" s="86"/>
      <c r="C79" s="67" t="s">
        <v>210</v>
      </c>
      <c r="D79" s="66">
        <v>2</v>
      </c>
      <c r="E79" s="68">
        <v>4.6620046620050003E-3</v>
      </c>
      <c r="F79" s="37"/>
    </row>
    <row r="80" spans="1:6" ht="15" customHeight="1">
      <c r="A80" s="37"/>
      <c r="B80" s="84" t="s">
        <v>86</v>
      </c>
      <c r="C80" s="54" t="s">
        <v>182</v>
      </c>
      <c r="D80" s="55">
        <v>3</v>
      </c>
      <c r="E80" s="56">
        <v>6.9930069930069999E-3</v>
      </c>
      <c r="F80" s="37"/>
    </row>
    <row r="81" spans="1:6" ht="15" customHeight="1">
      <c r="A81" s="37"/>
      <c r="B81" s="85"/>
      <c r="C81" s="54" t="s">
        <v>183</v>
      </c>
      <c r="D81" s="55">
        <v>1</v>
      </c>
      <c r="E81" s="56">
        <v>2.3310023310020001E-3</v>
      </c>
      <c r="F81" s="37"/>
    </row>
    <row r="82" spans="1:6" ht="15" customHeight="1">
      <c r="A82" s="37"/>
      <c r="B82" s="86"/>
      <c r="C82" s="67" t="s">
        <v>210</v>
      </c>
      <c r="D82" s="66">
        <v>4</v>
      </c>
      <c r="E82" s="68">
        <v>9.3240093240089996E-3</v>
      </c>
      <c r="F82" s="37"/>
    </row>
    <row r="83" spans="1:6" ht="15" customHeight="1">
      <c r="A83" s="37"/>
      <c r="B83" s="84" t="s">
        <v>69</v>
      </c>
      <c r="C83" s="54" t="s">
        <v>182</v>
      </c>
      <c r="D83" s="55">
        <v>4</v>
      </c>
      <c r="E83" s="56">
        <v>9.3240093240089996E-3</v>
      </c>
      <c r="F83" s="37"/>
    </row>
    <row r="84" spans="1:6" ht="15" customHeight="1">
      <c r="A84" s="37"/>
      <c r="B84" s="85"/>
      <c r="C84" s="54" t="s">
        <v>183</v>
      </c>
      <c r="D84" s="55">
        <v>3</v>
      </c>
      <c r="E84" s="56">
        <v>6.9930069930069999E-3</v>
      </c>
      <c r="F84" s="37"/>
    </row>
    <row r="85" spans="1:6" ht="15" customHeight="1">
      <c r="A85" s="37"/>
      <c r="B85" s="86"/>
      <c r="C85" s="67" t="s">
        <v>210</v>
      </c>
      <c r="D85" s="66">
        <v>7</v>
      </c>
      <c r="E85" s="68">
        <v>1.6317016317016E-2</v>
      </c>
      <c r="F85" s="37"/>
    </row>
    <row r="86" spans="1:6" ht="15" customHeight="1">
      <c r="A86" s="37"/>
      <c r="B86" s="84" t="s">
        <v>87</v>
      </c>
      <c r="C86" s="54" t="s">
        <v>182</v>
      </c>
      <c r="D86" s="55">
        <v>2</v>
      </c>
      <c r="E86" s="56">
        <v>4.6620046620050003E-3</v>
      </c>
      <c r="F86" s="37"/>
    </row>
    <row r="87" spans="1:6" ht="15" customHeight="1">
      <c r="A87" s="37"/>
      <c r="B87" s="85"/>
      <c r="C87" s="54" t="s">
        <v>183</v>
      </c>
      <c r="D87" s="55">
        <v>2</v>
      </c>
      <c r="E87" s="56">
        <v>4.6620046620050003E-3</v>
      </c>
      <c r="F87" s="37"/>
    </row>
    <row r="88" spans="1:6" ht="15" customHeight="1">
      <c r="A88" s="37"/>
      <c r="B88" s="86"/>
      <c r="C88" s="67" t="s">
        <v>210</v>
      </c>
      <c r="D88" s="66">
        <v>4</v>
      </c>
      <c r="E88" s="68">
        <v>9.3240093240089996E-3</v>
      </c>
      <c r="F88" s="37"/>
    </row>
    <row r="89" spans="1:6" ht="15" customHeight="1">
      <c r="A89" s="37"/>
      <c r="B89" s="84" t="s">
        <v>73</v>
      </c>
      <c r="C89" s="54" t="s">
        <v>182</v>
      </c>
      <c r="D89" s="55">
        <v>6</v>
      </c>
      <c r="E89" s="56">
        <v>1.3986013986014E-2</v>
      </c>
      <c r="F89" s="37"/>
    </row>
    <row r="90" spans="1:6" ht="15" customHeight="1">
      <c r="A90" s="37"/>
      <c r="B90" s="85"/>
      <c r="C90" s="54" t="s">
        <v>183</v>
      </c>
      <c r="D90" s="55">
        <v>6</v>
      </c>
      <c r="E90" s="56">
        <v>1.3986013986014E-2</v>
      </c>
      <c r="F90" s="37"/>
    </row>
    <row r="91" spans="1:6" ht="15" customHeight="1">
      <c r="A91" s="37"/>
      <c r="B91" s="86"/>
      <c r="C91" s="67" t="s">
        <v>210</v>
      </c>
      <c r="D91" s="66">
        <v>12</v>
      </c>
      <c r="E91" s="68">
        <v>2.7972027972028E-2</v>
      </c>
      <c r="F91" s="37"/>
    </row>
    <row r="92" spans="1:6" ht="15" customHeight="1">
      <c r="A92" s="37"/>
      <c r="B92" s="84" t="s">
        <v>51</v>
      </c>
      <c r="C92" s="54" t="s">
        <v>182</v>
      </c>
      <c r="D92" s="55">
        <v>6</v>
      </c>
      <c r="E92" s="56">
        <v>1.3986013986014E-2</v>
      </c>
      <c r="F92" s="37"/>
    </row>
    <row r="93" spans="1:6" ht="15" customHeight="1">
      <c r="A93" s="37"/>
      <c r="B93" s="85"/>
      <c r="C93" s="54" t="s">
        <v>183</v>
      </c>
      <c r="D93" s="55">
        <v>11</v>
      </c>
      <c r="E93" s="56">
        <v>2.5641025641026001E-2</v>
      </c>
      <c r="F93" s="37"/>
    </row>
    <row r="94" spans="1:6" ht="15" customHeight="1">
      <c r="A94" s="37"/>
      <c r="B94" s="86"/>
      <c r="C94" s="67" t="s">
        <v>210</v>
      </c>
      <c r="D94" s="66">
        <v>17</v>
      </c>
      <c r="E94" s="68">
        <v>3.9627039627039999E-2</v>
      </c>
      <c r="F94" s="37"/>
    </row>
    <row r="95" spans="1:6" ht="15" customHeight="1">
      <c r="A95" s="37"/>
      <c r="B95" s="84" t="s">
        <v>56</v>
      </c>
      <c r="C95" s="54" t="s">
        <v>182</v>
      </c>
      <c r="D95" s="55">
        <v>2</v>
      </c>
      <c r="E95" s="56">
        <v>4.6620046620050003E-3</v>
      </c>
      <c r="F95" s="37"/>
    </row>
    <row r="96" spans="1:6" ht="15" customHeight="1">
      <c r="A96" s="37"/>
      <c r="B96" s="85"/>
      <c r="C96" s="54" t="s">
        <v>183</v>
      </c>
      <c r="D96" s="55">
        <v>6</v>
      </c>
      <c r="E96" s="56">
        <v>1.3986013986014E-2</v>
      </c>
      <c r="F96" s="37"/>
    </row>
    <row r="97" spans="1:6" ht="15" customHeight="1">
      <c r="A97" s="37"/>
      <c r="B97" s="86"/>
      <c r="C97" s="67" t="s">
        <v>210</v>
      </c>
      <c r="D97" s="66">
        <v>8</v>
      </c>
      <c r="E97" s="68">
        <v>1.8648018648018998E-2</v>
      </c>
      <c r="F97" s="37"/>
    </row>
    <row r="98" spans="1:6" ht="15" customHeight="1">
      <c r="A98" s="37"/>
      <c r="B98" s="84" t="s">
        <v>76</v>
      </c>
      <c r="C98" s="54" t="s">
        <v>182</v>
      </c>
      <c r="D98" s="55">
        <v>5</v>
      </c>
      <c r="E98" s="56">
        <v>1.1655011655011999E-2</v>
      </c>
      <c r="F98" s="37"/>
    </row>
    <row r="99" spans="1:6" ht="15" customHeight="1">
      <c r="A99" s="37"/>
      <c r="B99" s="85"/>
      <c r="C99" s="54" t="s">
        <v>183</v>
      </c>
      <c r="D99" s="55">
        <v>2</v>
      </c>
      <c r="E99" s="56">
        <v>4.6620046620050003E-3</v>
      </c>
      <c r="F99" s="37"/>
    </row>
    <row r="100" spans="1:6" ht="15" customHeight="1">
      <c r="A100" s="37"/>
      <c r="B100" s="86"/>
      <c r="C100" s="67" t="s">
        <v>210</v>
      </c>
      <c r="D100" s="66">
        <v>7</v>
      </c>
      <c r="E100" s="68">
        <v>1.6317016317016E-2</v>
      </c>
      <c r="F100" s="37"/>
    </row>
    <row r="101" spans="1:6" ht="15" customHeight="1">
      <c r="A101" s="37"/>
      <c r="B101" s="84" t="s">
        <v>89</v>
      </c>
      <c r="C101" s="54" t="s">
        <v>183</v>
      </c>
      <c r="D101" s="55">
        <v>1</v>
      </c>
      <c r="E101" s="56">
        <v>2.3310023310020001E-3</v>
      </c>
      <c r="F101" s="37"/>
    </row>
    <row r="102" spans="1:6" ht="15" customHeight="1">
      <c r="A102" s="37"/>
      <c r="B102" s="86"/>
      <c r="C102" s="67" t="s">
        <v>210</v>
      </c>
      <c r="D102" s="66">
        <v>1</v>
      </c>
      <c r="E102" s="68">
        <v>2.3310023310020001E-3</v>
      </c>
      <c r="F102" s="37"/>
    </row>
    <row r="103" spans="1:6" ht="15" customHeight="1">
      <c r="A103" s="37"/>
      <c r="B103" s="84" t="s">
        <v>54</v>
      </c>
      <c r="C103" s="54" t="s">
        <v>182</v>
      </c>
      <c r="D103" s="55">
        <v>13</v>
      </c>
      <c r="E103" s="56">
        <v>3.0303030303029999E-2</v>
      </c>
      <c r="F103" s="37"/>
    </row>
    <row r="104" spans="1:6" ht="15" customHeight="1">
      <c r="A104" s="37"/>
      <c r="B104" s="85"/>
      <c r="C104" s="54" t="s">
        <v>183</v>
      </c>
      <c r="D104" s="55">
        <v>16</v>
      </c>
      <c r="E104" s="56">
        <v>3.7296037296036998E-2</v>
      </c>
      <c r="F104" s="37"/>
    </row>
    <row r="105" spans="1:6" ht="15" customHeight="1">
      <c r="A105" s="37"/>
      <c r="B105" s="86"/>
      <c r="C105" s="67" t="s">
        <v>210</v>
      </c>
      <c r="D105" s="66">
        <v>29</v>
      </c>
      <c r="E105" s="68">
        <v>6.7599067599068002E-2</v>
      </c>
      <c r="F105" s="37"/>
    </row>
    <row r="106" spans="1:6" ht="15" customHeight="1">
      <c r="A106" s="37"/>
      <c r="B106" s="84" t="s">
        <v>59</v>
      </c>
      <c r="C106" s="54" t="s">
        <v>182</v>
      </c>
      <c r="D106" s="55">
        <v>9</v>
      </c>
      <c r="E106" s="56">
        <v>2.0979020979021001E-2</v>
      </c>
      <c r="F106" s="37"/>
    </row>
    <row r="107" spans="1:6" ht="15" customHeight="1">
      <c r="A107" s="37"/>
      <c r="B107" s="85"/>
      <c r="C107" s="54" t="s">
        <v>183</v>
      </c>
      <c r="D107" s="55">
        <v>8</v>
      </c>
      <c r="E107" s="56">
        <v>1.8648018648018998E-2</v>
      </c>
      <c r="F107" s="37"/>
    </row>
    <row r="108" spans="1:6" ht="15" customHeight="1">
      <c r="A108" s="37"/>
      <c r="B108" s="86"/>
      <c r="C108" s="67" t="s">
        <v>210</v>
      </c>
      <c r="D108" s="66">
        <v>17</v>
      </c>
      <c r="E108" s="68">
        <v>3.9627039627039999E-2</v>
      </c>
      <c r="F108" s="37"/>
    </row>
    <row r="109" spans="1:6" ht="15" customHeight="1">
      <c r="A109" s="37"/>
      <c r="B109" s="84" t="s">
        <v>77</v>
      </c>
      <c r="C109" s="54" t="s">
        <v>182</v>
      </c>
      <c r="D109" s="55">
        <v>6</v>
      </c>
      <c r="E109" s="56">
        <v>1.3986013986014E-2</v>
      </c>
      <c r="F109" s="37"/>
    </row>
    <row r="110" spans="1:6" ht="15" customHeight="1">
      <c r="A110" s="37"/>
      <c r="B110" s="85"/>
      <c r="C110" s="54" t="s">
        <v>183</v>
      </c>
      <c r="D110" s="55">
        <v>2</v>
      </c>
      <c r="E110" s="56">
        <v>4.6620046620050003E-3</v>
      </c>
      <c r="F110" s="37"/>
    </row>
    <row r="111" spans="1:6" ht="15" customHeight="1">
      <c r="A111" s="37"/>
      <c r="B111" s="86"/>
      <c r="C111" s="67" t="s">
        <v>210</v>
      </c>
      <c r="D111" s="66">
        <v>8</v>
      </c>
      <c r="E111" s="68">
        <v>1.8648018648018998E-2</v>
      </c>
      <c r="F111" s="37"/>
    </row>
    <row r="112" spans="1:6" ht="15" customHeight="1">
      <c r="A112" s="37"/>
      <c r="B112" s="84" t="s">
        <v>63</v>
      </c>
      <c r="C112" s="54" t="s">
        <v>182</v>
      </c>
      <c r="D112" s="55">
        <v>8</v>
      </c>
      <c r="E112" s="56">
        <v>1.8648018648018998E-2</v>
      </c>
      <c r="F112" s="37"/>
    </row>
    <row r="113" spans="1:6" ht="15" customHeight="1">
      <c r="A113" s="37"/>
      <c r="B113" s="85"/>
      <c r="C113" s="54" t="s">
        <v>183</v>
      </c>
      <c r="D113" s="55">
        <v>6</v>
      </c>
      <c r="E113" s="56">
        <v>1.3986013986014E-2</v>
      </c>
      <c r="F113" s="37"/>
    </row>
    <row r="114" spans="1:6" ht="15" customHeight="1">
      <c r="A114" s="37"/>
      <c r="B114" s="86"/>
      <c r="C114" s="67" t="s">
        <v>210</v>
      </c>
      <c r="D114" s="66">
        <v>14</v>
      </c>
      <c r="E114" s="68">
        <v>3.2634032634033E-2</v>
      </c>
      <c r="F114" s="37"/>
    </row>
    <row r="115" spans="1:6" ht="15" customHeight="1">
      <c r="A115" s="37"/>
      <c r="B115" s="84" t="s">
        <v>74</v>
      </c>
      <c r="C115" s="54" t="s">
        <v>183</v>
      </c>
      <c r="D115" s="55">
        <v>4</v>
      </c>
      <c r="E115" s="56">
        <v>9.3240093240089996E-3</v>
      </c>
      <c r="F115" s="37"/>
    </row>
    <row r="116" spans="1:6" ht="15" customHeight="1">
      <c r="A116" s="37"/>
      <c r="B116" s="86"/>
      <c r="C116" s="67" t="s">
        <v>210</v>
      </c>
      <c r="D116" s="66">
        <v>4</v>
      </c>
      <c r="E116" s="68">
        <v>9.3240093240089996E-3</v>
      </c>
      <c r="F116" s="37"/>
    </row>
    <row r="117" spans="1:6" ht="15" customHeight="1">
      <c r="A117" s="37"/>
      <c r="B117" s="84" t="s">
        <v>53</v>
      </c>
      <c r="C117" s="54" t="s">
        <v>182</v>
      </c>
      <c r="D117" s="55">
        <v>16</v>
      </c>
      <c r="E117" s="56">
        <v>3.7296037296036998E-2</v>
      </c>
      <c r="F117" s="37"/>
    </row>
    <row r="118" spans="1:6" ht="15" customHeight="1">
      <c r="A118" s="37"/>
      <c r="B118" s="85"/>
      <c r="C118" s="54" t="s">
        <v>183</v>
      </c>
      <c r="D118" s="55">
        <v>6</v>
      </c>
      <c r="E118" s="56">
        <v>1.3986013986014E-2</v>
      </c>
      <c r="F118" s="37"/>
    </row>
    <row r="119" spans="1:6" ht="15" customHeight="1">
      <c r="A119" s="37"/>
      <c r="B119" s="86"/>
      <c r="C119" s="67" t="s">
        <v>210</v>
      </c>
      <c r="D119" s="66">
        <v>22</v>
      </c>
      <c r="E119" s="68">
        <v>5.1282051282051003E-2</v>
      </c>
      <c r="F119" s="37"/>
    </row>
    <row r="120" spans="1:6" ht="15" customHeight="1">
      <c r="A120" s="37"/>
      <c r="B120" s="84" t="s">
        <v>66</v>
      </c>
      <c r="C120" s="54" t="s">
        <v>182</v>
      </c>
      <c r="D120" s="55">
        <v>8</v>
      </c>
      <c r="E120" s="56">
        <v>1.8648018648018998E-2</v>
      </c>
      <c r="F120" s="37"/>
    </row>
    <row r="121" spans="1:6" ht="15" customHeight="1">
      <c r="A121" s="37"/>
      <c r="B121" s="85"/>
      <c r="C121" s="54" t="s">
        <v>183</v>
      </c>
      <c r="D121" s="55">
        <v>7</v>
      </c>
      <c r="E121" s="56">
        <v>1.6317016317016E-2</v>
      </c>
      <c r="F121" s="37"/>
    </row>
    <row r="122" spans="1:6" ht="15" customHeight="1">
      <c r="A122" s="37"/>
      <c r="B122" s="86"/>
      <c r="C122" s="67" t="s">
        <v>210</v>
      </c>
      <c r="D122" s="66">
        <v>15</v>
      </c>
      <c r="E122" s="68">
        <v>3.4965034965035002E-2</v>
      </c>
      <c r="F122" s="37"/>
    </row>
    <row r="123" spans="1:6" ht="15" customHeight="1">
      <c r="A123" s="37"/>
      <c r="B123" s="84" t="s">
        <v>60</v>
      </c>
      <c r="C123" s="54" t="s">
        <v>182</v>
      </c>
      <c r="D123" s="55">
        <v>2</v>
      </c>
      <c r="E123" s="56">
        <v>4.6620046620050003E-3</v>
      </c>
      <c r="F123" s="37"/>
    </row>
    <row r="124" spans="1:6" ht="15" customHeight="1">
      <c r="A124" s="37"/>
      <c r="B124" s="85"/>
      <c r="C124" s="54" t="s">
        <v>183</v>
      </c>
      <c r="D124" s="55">
        <v>4</v>
      </c>
      <c r="E124" s="56">
        <v>9.3240093240089996E-3</v>
      </c>
      <c r="F124" s="37"/>
    </row>
    <row r="125" spans="1:6" ht="15" customHeight="1">
      <c r="A125" s="37"/>
      <c r="B125" s="86"/>
      <c r="C125" s="67" t="s">
        <v>210</v>
      </c>
      <c r="D125" s="66">
        <v>6</v>
      </c>
      <c r="E125" s="68">
        <v>1.3986013986014E-2</v>
      </c>
      <c r="F125" s="37"/>
    </row>
    <row r="126" spans="1:6" ht="15" customHeight="1">
      <c r="A126" s="37"/>
      <c r="B126" s="84" t="s">
        <v>61</v>
      </c>
      <c r="C126" s="54" t="s">
        <v>182</v>
      </c>
      <c r="D126" s="55">
        <v>7</v>
      </c>
      <c r="E126" s="56">
        <v>1.6317016317016E-2</v>
      </c>
      <c r="F126" s="37"/>
    </row>
    <row r="127" spans="1:6" ht="15" customHeight="1">
      <c r="A127" s="37"/>
      <c r="B127" s="85"/>
      <c r="C127" s="54" t="s">
        <v>183</v>
      </c>
      <c r="D127" s="55">
        <v>7</v>
      </c>
      <c r="E127" s="56">
        <v>1.6317016317016E-2</v>
      </c>
      <c r="F127" s="37"/>
    </row>
    <row r="128" spans="1:6" ht="15" customHeight="1">
      <c r="A128" s="37"/>
      <c r="B128" s="86"/>
      <c r="C128" s="67" t="s">
        <v>210</v>
      </c>
      <c r="D128" s="66">
        <v>14</v>
      </c>
      <c r="E128" s="68">
        <v>3.2634032634033E-2</v>
      </c>
      <c r="F128" s="37"/>
    </row>
    <row r="129" spans="1:6" ht="15" customHeight="1">
      <c r="A129" s="37"/>
      <c r="B129" s="84" t="s">
        <v>52</v>
      </c>
      <c r="C129" s="54" t="s">
        <v>182</v>
      </c>
      <c r="D129" s="55">
        <v>7</v>
      </c>
      <c r="E129" s="56">
        <v>1.6317016317016E-2</v>
      </c>
      <c r="F129" s="37"/>
    </row>
    <row r="130" spans="1:6" ht="15" customHeight="1">
      <c r="A130" s="37"/>
      <c r="B130" s="85"/>
      <c r="C130" s="54" t="s">
        <v>183</v>
      </c>
      <c r="D130" s="55">
        <v>13</v>
      </c>
      <c r="E130" s="56">
        <v>3.0303030303029999E-2</v>
      </c>
      <c r="F130" s="37"/>
    </row>
    <row r="131" spans="1:6" ht="15" customHeight="1">
      <c r="A131" s="37"/>
      <c r="B131" s="86"/>
      <c r="C131" s="67" t="s">
        <v>210</v>
      </c>
      <c r="D131" s="66">
        <v>20</v>
      </c>
      <c r="E131" s="68">
        <v>4.6620046620046998E-2</v>
      </c>
      <c r="F131" s="37"/>
    </row>
    <row r="132" spans="1:6" ht="15" customHeight="1">
      <c r="A132" s="37"/>
      <c r="B132" s="84" t="s">
        <v>70</v>
      </c>
      <c r="C132" s="54" t="s">
        <v>183</v>
      </c>
      <c r="D132" s="55">
        <v>2</v>
      </c>
      <c r="E132" s="56">
        <v>4.6620046620050003E-3</v>
      </c>
      <c r="F132" s="37"/>
    </row>
    <row r="133" spans="1:6" ht="15" customHeight="1">
      <c r="A133" s="37"/>
      <c r="B133" s="86"/>
      <c r="C133" s="67" t="s">
        <v>210</v>
      </c>
      <c r="D133" s="66">
        <v>2</v>
      </c>
      <c r="E133" s="68">
        <v>4.6620046620050003E-3</v>
      </c>
      <c r="F133" s="37"/>
    </row>
    <row r="134" spans="1:6" ht="15" customHeight="1">
      <c r="A134" s="37"/>
      <c r="B134" s="84" t="s">
        <v>78</v>
      </c>
      <c r="C134" s="54" t="s">
        <v>182</v>
      </c>
      <c r="D134" s="55">
        <v>3</v>
      </c>
      <c r="E134" s="56">
        <v>6.9930069930069999E-3</v>
      </c>
      <c r="F134" s="37"/>
    </row>
    <row r="135" spans="1:6" ht="15" customHeight="1">
      <c r="A135" s="37"/>
      <c r="B135" s="85"/>
      <c r="C135" s="54" t="s">
        <v>183</v>
      </c>
      <c r="D135" s="55">
        <v>4</v>
      </c>
      <c r="E135" s="56">
        <v>9.3240093240089996E-3</v>
      </c>
      <c r="F135" s="37"/>
    </row>
    <row r="136" spans="1:6" ht="15" customHeight="1">
      <c r="A136" s="37"/>
      <c r="B136" s="86"/>
      <c r="C136" s="67" t="s">
        <v>210</v>
      </c>
      <c r="D136" s="66">
        <v>7</v>
      </c>
      <c r="E136" s="68">
        <v>1.6317016317016E-2</v>
      </c>
      <c r="F136" s="37"/>
    </row>
    <row r="137" spans="1:6" ht="15" customHeight="1">
      <c r="A137" s="37"/>
      <c r="B137" s="84" t="s">
        <v>46</v>
      </c>
      <c r="C137" s="54" t="s">
        <v>182</v>
      </c>
      <c r="D137" s="55">
        <v>3</v>
      </c>
      <c r="E137" s="56">
        <v>6.9930069930069999E-3</v>
      </c>
      <c r="F137" s="37"/>
    </row>
    <row r="138" spans="1:6" ht="15" customHeight="1">
      <c r="A138" s="37"/>
      <c r="B138" s="85"/>
      <c r="C138" s="54" t="s">
        <v>183</v>
      </c>
      <c r="D138" s="55">
        <v>1</v>
      </c>
      <c r="E138" s="56">
        <v>2.3310023310020001E-3</v>
      </c>
      <c r="F138" s="37"/>
    </row>
    <row r="139" spans="1:6" ht="15" customHeight="1">
      <c r="A139" s="37"/>
      <c r="B139" s="86"/>
      <c r="C139" s="67" t="s">
        <v>210</v>
      </c>
      <c r="D139" s="66">
        <v>4</v>
      </c>
      <c r="E139" s="68">
        <v>9.3240093240089996E-3</v>
      </c>
      <c r="F139" s="37"/>
    </row>
    <row r="140" spans="1:6" ht="15" customHeight="1">
      <c r="A140" s="37"/>
      <c r="B140" s="57" t="s">
        <v>213</v>
      </c>
      <c r="C140" s="57"/>
      <c r="D140" s="58">
        <v>429</v>
      </c>
      <c r="E140" s="59">
        <v>1</v>
      </c>
      <c r="F140" s="37"/>
    </row>
    <row r="141" spans="1:6" ht="15" customHeight="1">
      <c r="A141" s="37"/>
      <c r="B141" s="41"/>
      <c r="C141" s="51"/>
      <c r="D141" s="52"/>
      <c r="E141" s="51"/>
      <c r="F141" s="37"/>
    </row>
    <row r="142" spans="1:6" ht="15" customHeight="1">
      <c r="B142" s="39" t="s">
        <v>120</v>
      </c>
      <c r="C142" s="51"/>
      <c r="D142" s="52"/>
      <c r="E142" s="51"/>
      <c r="F142" s="37"/>
    </row>
    <row r="143" spans="1:6" ht="15" customHeight="1">
      <c r="B143" s="41" t="s">
        <v>17</v>
      </c>
      <c r="C143" s="51"/>
      <c r="D143" s="52"/>
      <c r="E143" s="51"/>
      <c r="F143" s="37"/>
    </row>
    <row r="144" spans="1:6" ht="15" customHeight="1">
      <c r="B144" s="42" t="s">
        <v>45</v>
      </c>
      <c r="C144" s="51"/>
      <c r="D144" s="52"/>
      <c r="E144" s="51"/>
      <c r="F144" s="37"/>
    </row>
    <row r="145" spans="2:6" ht="12.75">
      <c r="B145" s="39" t="s">
        <v>16</v>
      </c>
      <c r="C145" s="51"/>
      <c r="D145" s="52"/>
      <c r="E145" s="51"/>
      <c r="F145" s="37"/>
    </row>
    <row r="146" spans="2:6" ht="12.75">
      <c r="B146" s="39" t="s">
        <v>211</v>
      </c>
      <c r="C146" s="51"/>
      <c r="D146" s="52"/>
      <c r="E146" s="51"/>
      <c r="F146" s="37"/>
    </row>
  </sheetData>
  <mergeCells count="46">
    <mergeCell ref="B137:B139"/>
    <mergeCell ref="B123:B125"/>
    <mergeCell ref="B126:B128"/>
    <mergeCell ref="B129:B131"/>
    <mergeCell ref="B132:B133"/>
    <mergeCell ref="B134:B136"/>
    <mergeCell ref="B109:B111"/>
    <mergeCell ref="B112:B114"/>
    <mergeCell ref="B115:B116"/>
    <mergeCell ref="B117:B119"/>
    <mergeCell ref="B120:B122"/>
    <mergeCell ref="B95:B97"/>
    <mergeCell ref="B98:B100"/>
    <mergeCell ref="B101:B102"/>
    <mergeCell ref="B103:B105"/>
    <mergeCell ref="B106:B108"/>
    <mergeCell ref="B80:B82"/>
    <mergeCell ref="B83:B85"/>
    <mergeCell ref="B86:B88"/>
    <mergeCell ref="B89:B91"/>
    <mergeCell ref="B92:B94"/>
    <mergeCell ref="B67:B68"/>
    <mergeCell ref="B69:B70"/>
    <mergeCell ref="B71:B73"/>
    <mergeCell ref="B74:B76"/>
    <mergeCell ref="B77:B79"/>
    <mergeCell ref="B52:B54"/>
    <mergeCell ref="B55:B57"/>
    <mergeCell ref="B58:B60"/>
    <mergeCell ref="B61:B63"/>
    <mergeCell ref="B64:B66"/>
    <mergeCell ref="B39:B40"/>
    <mergeCell ref="B41:B43"/>
    <mergeCell ref="B44:B46"/>
    <mergeCell ref="B47:B49"/>
    <mergeCell ref="B50:B51"/>
    <mergeCell ref="B25:B27"/>
    <mergeCell ref="B28:B30"/>
    <mergeCell ref="B31:B33"/>
    <mergeCell ref="B34:B35"/>
    <mergeCell ref="B36:B38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15"/>
  <sheetViews>
    <sheetView showGridLines="0" view="pageBreakPreview" zoomScale="85" zoomScaleNormal="96" zoomScaleSheetLayoutView="85" workbookViewId="0">
      <selection activeCell="H10" sqref="H10"/>
    </sheetView>
  </sheetViews>
  <sheetFormatPr baseColWidth="10" defaultColWidth="11.42578125" defaultRowHeight="11.25"/>
  <cols>
    <col min="1" max="1" width="5.7109375" style="17" customWidth="1"/>
    <col min="2" max="2" width="19" style="24" customWidth="1"/>
    <col min="3" max="3" width="19.85546875" style="24" customWidth="1"/>
    <col min="4" max="4" width="23.5703125" style="27" customWidth="1"/>
    <col min="5" max="5" width="15.140625" style="24" bestFit="1" customWidth="1"/>
    <col min="6" max="6" width="5.7109375" style="17" customWidth="1"/>
    <col min="7" max="16384" width="11.42578125" style="17"/>
  </cols>
  <sheetData>
    <row r="1" spans="1:6" s="13" customFormat="1" ht="15">
      <c r="B1" s="24"/>
      <c r="C1" s="24"/>
    </row>
    <row r="2" spans="1:6" s="24" customFormat="1">
      <c r="B2" s="30"/>
    </row>
    <row r="3" spans="1:6" ht="15" customHeight="1">
      <c r="B3" s="31"/>
      <c r="C3" s="20"/>
      <c r="D3" s="17"/>
      <c r="F3" s="24"/>
    </row>
    <row r="4" spans="1:6" ht="30" customHeight="1">
      <c r="B4" s="31"/>
      <c r="C4" s="20"/>
      <c r="D4" s="17"/>
      <c r="F4" s="24"/>
    </row>
    <row r="5" spans="1:6" ht="15" customHeight="1">
      <c r="B5" s="31"/>
      <c r="C5" s="20"/>
      <c r="D5" s="17"/>
      <c r="F5" s="24"/>
    </row>
    <row r="6" spans="1:6" s="24" customFormat="1">
      <c r="B6" s="26"/>
      <c r="C6" s="23"/>
    </row>
    <row r="7" spans="1:6" s="24" customFormat="1">
      <c r="B7" s="30"/>
    </row>
    <row r="8" spans="1:6" s="13" customFormat="1" ht="15" customHeight="1">
      <c r="B8" s="89" t="s">
        <v>117</v>
      </c>
      <c r="C8" s="90"/>
      <c r="D8" s="90"/>
      <c r="E8" s="90"/>
    </row>
    <row r="9" spans="1:6" s="13" customFormat="1" ht="23.25" customHeight="1">
      <c r="B9" s="90"/>
      <c r="C9" s="90"/>
      <c r="D9" s="90"/>
      <c r="E9" s="90"/>
      <c r="F9" s="29"/>
    </row>
    <row r="10" spans="1:6" s="13" customFormat="1" ht="27" customHeight="1">
      <c r="B10" s="90"/>
      <c r="C10" s="90"/>
      <c r="D10" s="90"/>
      <c r="E10" s="90"/>
    </row>
    <row r="11" spans="1:6" s="13" customFormat="1" ht="15" customHeight="1">
      <c r="B11" s="32"/>
      <c r="C11" s="32"/>
      <c r="D11" s="32"/>
      <c r="E11" s="32"/>
    </row>
    <row r="12" spans="1:6" s="13" customFormat="1" ht="36.950000000000003" customHeight="1">
      <c r="A12" s="38"/>
      <c r="B12" s="53" t="s">
        <v>24</v>
      </c>
      <c r="C12" s="53" t="s">
        <v>28</v>
      </c>
      <c r="D12" s="53" t="s">
        <v>19</v>
      </c>
      <c r="E12" s="53" t="s">
        <v>18</v>
      </c>
      <c r="F12" s="38"/>
    </row>
    <row r="13" spans="1:6" ht="15" customHeight="1">
      <c r="A13" s="37"/>
      <c r="B13" s="84" t="s">
        <v>154</v>
      </c>
      <c r="C13" s="54" t="s">
        <v>182</v>
      </c>
      <c r="D13" s="55">
        <v>2</v>
      </c>
      <c r="E13" s="56">
        <v>4.6620046620050003E-3</v>
      </c>
      <c r="F13" s="37"/>
    </row>
    <row r="14" spans="1:6" ht="15" customHeight="1">
      <c r="A14" s="37"/>
      <c r="B14" s="86"/>
      <c r="C14" s="67" t="s">
        <v>210</v>
      </c>
      <c r="D14" s="66">
        <v>2</v>
      </c>
      <c r="E14" s="68">
        <v>4.6620046620050003E-3</v>
      </c>
      <c r="F14" s="37"/>
    </row>
    <row r="15" spans="1:6" ht="15" customHeight="1">
      <c r="A15" s="37"/>
      <c r="B15" s="84" t="s">
        <v>132</v>
      </c>
      <c r="C15" s="54" t="s">
        <v>182</v>
      </c>
      <c r="D15" s="55">
        <v>5</v>
      </c>
      <c r="E15" s="56">
        <v>1.1655011655011999E-2</v>
      </c>
      <c r="F15" s="37"/>
    </row>
    <row r="16" spans="1:6" ht="15" customHeight="1">
      <c r="A16" s="37"/>
      <c r="B16" s="85"/>
      <c r="C16" s="54" t="s">
        <v>183</v>
      </c>
      <c r="D16" s="55">
        <v>10</v>
      </c>
      <c r="E16" s="56">
        <v>2.3310023310022999E-2</v>
      </c>
      <c r="F16" s="37"/>
    </row>
    <row r="17" spans="1:6" ht="15" customHeight="1">
      <c r="A17" s="37"/>
      <c r="B17" s="86"/>
      <c r="C17" s="67" t="s">
        <v>210</v>
      </c>
      <c r="D17" s="66">
        <v>15</v>
      </c>
      <c r="E17" s="68">
        <v>3.4965034965035002E-2</v>
      </c>
      <c r="F17" s="37"/>
    </row>
    <row r="18" spans="1:6" ht="15" customHeight="1">
      <c r="A18" s="37"/>
      <c r="B18" s="84" t="s">
        <v>148</v>
      </c>
      <c r="C18" s="54" t="s">
        <v>182</v>
      </c>
      <c r="D18" s="55">
        <v>2</v>
      </c>
      <c r="E18" s="56">
        <v>4.6620046620050003E-3</v>
      </c>
      <c r="F18" s="37"/>
    </row>
    <row r="19" spans="1:6" ht="15" customHeight="1">
      <c r="A19" s="37"/>
      <c r="B19" s="85"/>
      <c r="C19" s="54" t="s">
        <v>183</v>
      </c>
      <c r="D19" s="55">
        <v>2</v>
      </c>
      <c r="E19" s="56">
        <v>4.6620046620050003E-3</v>
      </c>
      <c r="F19" s="37"/>
    </row>
    <row r="20" spans="1:6" ht="15" customHeight="1">
      <c r="A20" s="37"/>
      <c r="B20" s="86"/>
      <c r="C20" s="67" t="s">
        <v>210</v>
      </c>
      <c r="D20" s="66">
        <v>4</v>
      </c>
      <c r="E20" s="68">
        <v>9.3240093240089996E-3</v>
      </c>
      <c r="F20" s="37"/>
    </row>
    <row r="21" spans="1:6" ht="15" customHeight="1">
      <c r="A21" s="37"/>
      <c r="B21" s="84" t="s">
        <v>129</v>
      </c>
      <c r="C21" s="54" t="s">
        <v>182</v>
      </c>
      <c r="D21" s="55">
        <v>102</v>
      </c>
      <c r="E21" s="56">
        <v>0.23776223776223801</v>
      </c>
      <c r="F21" s="37"/>
    </row>
    <row r="22" spans="1:6" ht="15" customHeight="1">
      <c r="A22" s="37"/>
      <c r="B22" s="85"/>
      <c r="C22" s="54" t="s">
        <v>183</v>
      </c>
      <c r="D22" s="55">
        <v>88</v>
      </c>
      <c r="E22" s="56">
        <v>0.20512820512820501</v>
      </c>
      <c r="F22" s="37"/>
    </row>
    <row r="23" spans="1:6" ht="15" customHeight="1">
      <c r="A23" s="37"/>
      <c r="B23" s="86"/>
      <c r="C23" s="67" t="s">
        <v>210</v>
      </c>
      <c r="D23" s="66">
        <v>190</v>
      </c>
      <c r="E23" s="68">
        <v>0.44289044289044299</v>
      </c>
      <c r="F23" s="37"/>
    </row>
    <row r="24" spans="1:6" ht="15" customHeight="1">
      <c r="A24" s="37"/>
      <c r="B24" s="84" t="s">
        <v>142</v>
      </c>
      <c r="C24" s="54" t="s">
        <v>182</v>
      </c>
      <c r="D24" s="55">
        <v>6</v>
      </c>
      <c r="E24" s="56">
        <v>1.3986013986014E-2</v>
      </c>
      <c r="F24" s="37"/>
    </row>
    <row r="25" spans="1:6" ht="15" customHeight="1">
      <c r="A25" s="37"/>
      <c r="B25" s="86"/>
      <c r="C25" s="67" t="s">
        <v>210</v>
      </c>
      <c r="D25" s="66">
        <v>6</v>
      </c>
      <c r="E25" s="68">
        <v>1.3986013986014E-2</v>
      </c>
      <c r="F25" s="37"/>
    </row>
    <row r="26" spans="1:6" ht="15" customHeight="1">
      <c r="A26" s="37"/>
      <c r="B26" s="84" t="s">
        <v>155</v>
      </c>
      <c r="C26" s="54" t="s">
        <v>182</v>
      </c>
      <c r="D26" s="55">
        <v>2</v>
      </c>
      <c r="E26" s="56">
        <v>4.6620046620050003E-3</v>
      </c>
      <c r="F26" s="37"/>
    </row>
    <row r="27" spans="1:6" ht="15" customHeight="1">
      <c r="A27" s="37"/>
      <c r="B27" s="86"/>
      <c r="C27" s="67" t="s">
        <v>210</v>
      </c>
      <c r="D27" s="66">
        <v>2</v>
      </c>
      <c r="E27" s="68">
        <v>4.6620046620050003E-3</v>
      </c>
      <c r="F27" s="37"/>
    </row>
    <row r="28" spans="1:6" ht="15" customHeight="1">
      <c r="A28" s="37"/>
      <c r="B28" s="84" t="s">
        <v>134</v>
      </c>
      <c r="C28" s="54" t="s">
        <v>182</v>
      </c>
      <c r="D28" s="55">
        <v>6</v>
      </c>
      <c r="E28" s="56">
        <v>1.3986013986014E-2</v>
      </c>
      <c r="F28" s="37"/>
    </row>
    <row r="29" spans="1:6" ht="15" customHeight="1">
      <c r="A29" s="37"/>
      <c r="B29" s="85"/>
      <c r="C29" s="54" t="s">
        <v>183</v>
      </c>
      <c r="D29" s="55">
        <v>7</v>
      </c>
      <c r="E29" s="56">
        <v>1.6317016317016E-2</v>
      </c>
      <c r="F29" s="37"/>
    </row>
    <row r="30" spans="1:6" ht="15" customHeight="1">
      <c r="A30" s="37"/>
      <c r="B30" s="86"/>
      <c r="C30" s="67" t="s">
        <v>210</v>
      </c>
      <c r="D30" s="66">
        <v>13</v>
      </c>
      <c r="E30" s="68">
        <v>3.0303030303029999E-2</v>
      </c>
      <c r="F30" s="37"/>
    </row>
    <row r="31" spans="1:6" ht="15" customHeight="1">
      <c r="A31" s="37"/>
      <c r="B31" s="84" t="s">
        <v>139</v>
      </c>
      <c r="C31" s="54" t="s">
        <v>182</v>
      </c>
      <c r="D31" s="55">
        <v>3</v>
      </c>
      <c r="E31" s="56">
        <v>6.9930069930069999E-3</v>
      </c>
      <c r="F31" s="37"/>
    </row>
    <row r="32" spans="1:6" ht="15" customHeight="1">
      <c r="A32" s="37"/>
      <c r="B32" s="85"/>
      <c r="C32" s="54" t="s">
        <v>183</v>
      </c>
      <c r="D32" s="55">
        <v>4</v>
      </c>
      <c r="E32" s="56">
        <v>9.3240093240089996E-3</v>
      </c>
      <c r="F32" s="37"/>
    </row>
    <row r="33" spans="1:6" ht="15" customHeight="1">
      <c r="A33" s="37"/>
      <c r="B33" s="86"/>
      <c r="C33" s="67" t="s">
        <v>210</v>
      </c>
      <c r="D33" s="66">
        <v>7</v>
      </c>
      <c r="E33" s="68">
        <v>1.6317016317016E-2</v>
      </c>
      <c r="F33" s="37"/>
    </row>
    <row r="34" spans="1:6" ht="15" customHeight="1">
      <c r="A34" s="37"/>
      <c r="B34" s="84" t="s">
        <v>145</v>
      </c>
      <c r="C34" s="54" t="s">
        <v>182</v>
      </c>
      <c r="D34" s="55">
        <v>2</v>
      </c>
      <c r="E34" s="56">
        <v>4.6620046620050003E-3</v>
      </c>
      <c r="F34" s="37"/>
    </row>
    <row r="35" spans="1:6" ht="15" customHeight="1">
      <c r="A35" s="37"/>
      <c r="B35" s="85"/>
      <c r="C35" s="54" t="s">
        <v>183</v>
      </c>
      <c r="D35" s="55">
        <v>3</v>
      </c>
      <c r="E35" s="56">
        <v>6.9930069930069999E-3</v>
      </c>
      <c r="F35" s="37"/>
    </row>
    <row r="36" spans="1:6" ht="15" customHeight="1">
      <c r="A36" s="37"/>
      <c r="B36" s="86"/>
      <c r="C36" s="67" t="s">
        <v>210</v>
      </c>
      <c r="D36" s="66">
        <v>5</v>
      </c>
      <c r="E36" s="68">
        <v>1.1655011655011999E-2</v>
      </c>
      <c r="F36" s="37"/>
    </row>
    <row r="37" spans="1:6" ht="15" customHeight="1">
      <c r="A37" s="37"/>
      <c r="B37" s="84" t="s">
        <v>136</v>
      </c>
      <c r="C37" s="54" t="s">
        <v>182</v>
      </c>
      <c r="D37" s="55">
        <v>3</v>
      </c>
      <c r="E37" s="56">
        <v>6.9930069930069999E-3</v>
      </c>
      <c r="F37" s="37"/>
    </row>
    <row r="38" spans="1:6" ht="15" customHeight="1">
      <c r="A38" s="37"/>
      <c r="B38" s="85"/>
      <c r="C38" s="54" t="s">
        <v>183</v>
      </c>
      <c r="D38" s="55">
        <v>7</v>
      </c>
      <c r="E38" s="56">
        <v>1.6317016317016E-2</v>
      </c>
      <c r="F38" s="37"/>
    </row>
    <row r="39" spans="1:6" ht="15" customHeight="1">
      <c r="A39" s="37"/>
      <c r="B39" s="86"/>
      <c r="C39" s="67" t="s">
        <v>210</v>
      </c>
      <c r="D39" s="66">
        <v>10</v>
      </c>
      <c r="E39" s="68">
        <v>2.3310023310022999E-2</v>
      </c>
      <c r="F39" s="37"/>
    </row>
    <row r="40" spans="1:6" ht="15" customHeight="1">
      <c r="A40" s="37"/>
      <c r="B40" s="84" t="s">
        <v>146</v>
      </c>
      <c r="C40" s="54" t="s">
        <v>182</v>
      </c>
      <c r="D40" s="55">
        <v>1</v>
      </c>
      <c r="E40" s="56">
        <v>2.3310023310020001E-3</v>
      </c>
      <c r="F40" s="37"/>
    </row>
    <row r="41" spans="1:6" ht="15" customHeight="1">
      <c r="A41" s="37"/>
      <c r="B41" s="85"/>
      <c r="C41" s="54" t="s">
        <v>183</v>
      </c>
      <c r="D41" s="55">
        <v>4</v>
      </c>
      <c r="E41" s="56">
        <v>9.3240093240089996E-3</v>
      </c>
      <c r="F41" s="37"/>
    </row>
    <row r="42" spans="1:6" ht="15" customHeight="1">
      <c r="A42" s="37"/>
      <c r="B42" s="86"/>
      <c r="C42" s="67" t="s">
        <v>210</v>
      </c>
      <c r="D42" s="66">
        <v>5</v>
      </c>
      <c r="E42" s="68">
        <v>1.1655011655011999E-2</v>
      </c>
      <c r="F42" s="37"/>
    </row>
    <row r="43" spans="1:6" ht="15" customHeight="1">
      <c r="A43" s="37"/>
      <c r="B43" s="84" t="s">
        <v>143</v>
      </c>
      <c r="C43" s="54" t="s">
        <v>182</v>
      </c>
      <c r="D43" s="55">
        <v>2</v>
      </c>
      <c r="E43" s="56">
        <v>4.6620046620050003E-3</v>
      </c>
      <c r="F43" s="37"/>
    </row>
    <row r="44" spans="1:6" ht="15" customHeight="1">
      <c r="A44" s="37"/>
      <c r="B44" s="85"/>
      <c r="C44" s="54" t="s">
        <v>183</v>
      </c>
      <c r="D44" s="55">
        <v>4</v>
      </c>
      <c r="E44" s="56">
        <v>9.3240093240089996E-3</v>
      </c>
      <c r="F44" s="37"/>
    </row>
    <row r="45" spans="1:6" ht="15" customHeight="1">
      <c r="A45" s="37"/>
      <c r="B45" s="86"/>
      <c r="C45" s="67" t="s">
        <v>210</v>
      </c>
      <c r="D45" s="66">
        <v>6</v>
      </c>
      <c r="E45" s="68">
        <v>1.3986013986014E-2</v>
      </c>
      <c r="F45" s="37"/>
    </row>
    <row r="46" spans="1:6" ht="15" customHeight="1">
      <c r="A46" s="37"/>
      <c r="B46" s="84" t="s">
        <v>156</v>
      </c>
      <c r="C46" s="54" t="s">
        <v>183</v>
      </c>
      <c r="D46" s="55">
        <v>2</v>
      </c>
      <c r="E46" s="56">
        <v>4.6620046620050003E-3</v>
      </c>
      <c r="F46" s="37"/>
    </row>
    <row r="47" spans="1:6" ht="15" customHeight="1">
      <c r="A47" s="37"/>
      <c r="B47" s="86"/>
      <c r="C47" s="67" t="s">
        <v>210</v>
      </c>
      <c r="D47" s="66">
        <v>2</v>
      </c>
      <c r="E47" s="68">
        <v>4.6620046620050003E-3</v>
      </c>
      <c r="F47" s="37"/>
    </row>
    <row r="48" spans="1:6" ht="15" customHeight="1">
      <c r="A48" s="37"/>
      <c r="B48" s="84" t="s">
        <v>157</v>
      </c>
      <c r="C48" s="54" t="s">
        <v>182</v>
      </c>
      <c r="D48" s="55">
        <v>1</v>
      </c>
      <c r="E48" s="56">
        <v>2.3310023310020001E-3</v>
      </c>
      <c r="F48" s="37"/>
    </row>
    <row r="49" spans="1:6" ht="15" customHeight="1">
      <c r="A49" s="37"/>
      <c r="B49" s="85"/>
      <c r="C49" s="54" t="s">
        <v>183</v>
      </c>
      <c r="D49" s="55">
        <v>1</v>
      </c>
      <c r="E49" s="56">
        <v>2.3310023310020001E-3</v>
      </c>
      <c r="F49" s="37"/>
    </row>
    <row r="50" spans="1:6" ht="15" customHeight="1">
      <c r="A50" s="37"/>
      <c r="B50" s="86"/>
      <c r="C50" s="67" t="s">
        <v>210</v>
      </c>
      <c r="D50" s="66">
        <v>2</v>
      </c>
      <c r="E50" s="68">
        <v>4.6620046620050003E-3</v>
      </c>
      <c r="F50" s="37"/>
    </row>
    <row r="51" spans="1:6" ht="15" customHeight="1">
      <c r="A51" s="37"/>
      <c r="B51" s="84" t="s">
        <v>160</v>
      </c>
      <c r="C51" s="54" t="s">
        <v>182</v>
      </c>
      <c r="D51" s="55">
        <v>1</v>
      </c>
      <c r="E51" s="56">
        <v>2.3310023310020001E-3</v>
      </c>
      <c r="F51" s="37"/>
    </row>
    <row r="52" spans="1:6" ht="15" customHeight="1">
      <c r="A52" s="37"/>
      <c r="B52" s="86"/>
      <c r="C52" s="67" t="s">
        <v>210</v>
      </c>
      <c r="D52" s="66">
        <v>1</v>
      </c>
      <c r="E52" s="68">
        <v>2.3310023310020001E-3</v>
      </c>
      <c r="F52" s="37"/>
    </row>
    <row r="53" spans="1:6" ht="15" customHeight="1">
      <c r="A53" s="37"/>
      <c r="B53" s="84" t="s">
        <v>144</v>
      </c>
      <c r="C53" s="54" t="s">
        <v>182</v>
      </c>
      <c r="D53" s="55">
        <v>3</v>
      </c>
      <c r="E53" s="56">
        <v>6.9930069930069999E-3</v>
      </c>
      <c r="F53" s="37"/>
    </row>
    <row r="54" spans="1:6" ht="15" customHeight="1">
      <c r="A54" s="37"/>
      <c r="B54" s="85"/>
      <c r="C54" s="54" t="s">
        <v>183</v>
      </c>
      <c r="D54" s="55">
        <v>3</v>
      </c>
      <c r="E54" s="56">
        <v>6.9930069930069999E-3</v>
      </c>
      <c r="F54" s="37"/>
    </row>
    <row r="55" spans="1:6" ht="15" customHeight="1">
      <c r="A55" s="37"/>
      <c r="B55" s="86"/>
      <c r="C55" s="67" t="s">
        <v>210</v>
      </c>
      <c r="D55" s="66">
        <v>6</v>
      </c>
      <c r="E55" s="68">
        <v>1.3986013986014E-2</v>
      </c>
      <c r="F55" s="37"/>
    </row>
    <row r="56" spans="1:6" ht="15" customHeight="1">
      <c r="A56" s="37"/>
      <c r="B56" s="84" t="s">
        <v>140</v>
      </c>
      <c r="C56" s="54" t="s">
        <v>182</v>
      </c>
      <c r="D56" s="55">
        <v>5</v>
      </c>
      <c r="E56" s="56">
        <v>1.1655011655011999E-2</v>
      </c>
      <c r="F56" s="37"/>
    </row>
    <row r="57" spans="1:6" ht="15" customHeight="1">
      <c r="A57" s="37"/>
      <c r="B57" s="85"/>
      <c r="C57" s="54" t="s">
        <v>183</v>
      </c>
      <c r="D57" s="55">
        <v>2</v>
      </c>
      <c r="E57" s="56">
        <v>4.6620046620050003E-3</v>
      </c>
      <c r="F57" s="37"/>
    </row>
    <row r="58" spans="1:6" ht="15" customHeight="1">
      <c r="A58" s="37"/>
      <c r="B58" s="86"/>
      <c r="C58" s="67" t="s">
        <v>210</v>
      </c>
      <c r="D58" s="66">
        <v>7</v>
      </c>
      <c r="E58" s="68">
        <v>1.6317016317016E-2</v>
      </c>
      <c r="F58" s="37"/>
    </row>
    <row r="59" spans="1:6" ht="15" customHeight="1">
      <c r="A59" s="37"/>
      <c r="B59" s="84" t="s">
        <v>161</v>
      </c>
      <c r="C59" s="54" t="s">
        <v>183</v>
      </c>
      <c r="D59" s="55">
        <v>1</v>
      </c>
      <c r="E59" s="56">
        <v>2.3310023310020001E-3</v>
      </c>
      <c r="F59" s="37"/>
    </row>
    <row r="60" spans="1:6" ht="15" customHeight="1">
      <c r="A60" s="37"/>
      <c r="B60" s="86"/>
      <c r="C60" s="67" t="s">
        <v>210</v>
      </c>
      <c r="D60" s="66">
        <v>1</v>
      </c>
      <c r="E60" s="68">
        <v>2.3310023310020001E-3</v>
      </c>
      <c r="F60" s="37"/>
    </row>
    <row r="61" spans="1:6" ht="15" customHeight="1">
      <c r="A61" s="37"/>
      <c r="B61" s="84" t="s">
        <v>149</v>
      </c>
      <c r="C61" s="54" t="s">
        <v>182</v>
      </c>
      <c r="D61" s="55">
        <v>2</v>
      </c>
      <c r="E61" s="56">
        <v>4.6620046620050003E-3</v>
      </c>
      <c r="F61" s="37"/>
    </row>
    <row r="62" spans="1:6" ht="15" customHeight="1">
      <c r="A62" s="37"/>
      <c r="B62" s="85"/>
      <c r="C62" s="54" t="s">
        <v>183</v>
      </c>
      <c r="D62" s="55">
        <v>2</v>
      </c>
      <c r="E62" s="56">
        <v>4.6620046620050003E-3</v>
      </c>
      <c r="F62" s="37"/>
    </row>
    <row r="63" spans="1:6" ht="15" customHeight="1">
      <c r="A63" s="37"/>
      <c r="B63" s="86"/>
      <c r="C63" s="67" t="s">
        <v>210</v>
      </c>
      <c r="D63" s="66">
        <v>4</v>
      </c>
      <c r="E63" s="68">
        <v>9.3240093240089996E-3</v>
      </c>
      <c r="F63" s="37"/>
    </row>
    <row r="64" spans="1:6" ht="15" customHeight="1">
      <c r="A64" s="37"/>
      <c r="B64" s="84" t="s">
        <v>135</v>
      </c>
      <c r="C64" s="54" t="s">
        <v>182</v>
      </c>
      <c r="D64" s="55">
        <v>4</v>
      </c>
      <c r="E64" s="56">
        <v>9.3240093240089996E-3</v>
      </c>
      <c r="F64" s="37"/>
    </row>
    <row r="65" spans="1:6" ht="15" customHeight="1">
      <c r="A65" s="37"/>
      <c r="B65" s="85"/>
      <c r="C65" s="54" t="s">
        <v>183</v>
      </c>
      <c r="D65" s="55">
        <v>9</v>
      </c>
      <c r="E65" s="56">
        <v>2.0979020979021001E-2</v>
      </c>
      <c r="F65" s="37"/>
    </row>
    <row r="66" spans="1:6" ht="15" customHeight="1">
      <c r="A66" s="37"/>
      <c r="B66" s="86"/>
      <c r="C66" s="67" t="s">
        <v>210</v>
      </c>
      <c r="D66" s="66">
        <v>13</v>
      </c>
      <c r="E66" s="68">
        <v>3.0303030303029999E-2</v>
      </c>
      <c r="F66" s="37"/>
    </row>
    <row r="67" spans="1:6" ht="15" customHeight="1">
      <c r="A67" s="37"/>
      <c r="B67" s="84" t="s">
        <v>158</v>
      </c>
      <c r="C67" s="54" t="s">
        <v>182</v>
      </c>
      <c r="D67" s="55">
        <v>1</v>
      </c>
      <c r="E67" s="56">
        <v>2.3310023310020001E-3</v>
      </c>
      <c r="F67" s="37"/>
    </row>
    <row r="68" spans="1:6" ht="15" customHeight="1">
      <c r="A68" s="37"/>
      <c r="B68" s="85"/>
      <c r="C68" s="54" t="s">
        <v>183</v>
      </c>
      <c r="D68" s="55">
        <v>1</v>
      </c>
      <c r="E68" s="56">
        <v>2.3310023310020001E-3</v>
      </c>
      <c r="F68" s="37"/>
    </row>
    <row r="69" spans="1:6" ht="15" customHeight="1">
      <c r="A69" s="37"/>
      <c r="B69" s="86"/>
      <c r="C69" s="67" t="s">
        <v>210</v>
      </c>
      <c r="D69" s="66">
        <v>2</v>
      </c>
      <c r="E69" s="68">
        <v>4.6620046620050003E-3</v>
      </c>
      <c r="F69" s="37"/>
    </row>
    <row r="70" spans="1:6" ht="15" customHeight="1">
      <c r="A70" s="37"/>
      <c r="B70" s="84" t="s">
        <v>162</v>
      </c>
      <c r="C70" s="54" t="s">
        <v>183</v>
      </c>
      <c r="D70" s="55">
        <v>1</v>
      </c>
      <c r="E70" s="56">
        <v>2.3310023310020001E-3</v>
      </c>
      <c r="F70" s="37"/>
    </row>
    <row r="71" spans="1:6" ht="15" customHeight="1">
      <c r="A71" s="37"/>
      <c r="B71" s="86"/>
      <c r="C71" s="67" t="s">
        <v>210</v>
      </c>
      <c r="D71" s="66">
        <v>1</v>
      </c>
      <c r="E71" s="68">
        <v>2.3310023310020001E-3</v>
      </c>
      <c r="F71" s="37"/>
    </row>
    <row r="72" spans="1:6" ht="15" customHeight="1">
      <c r="A72" s="37"/>
      <c r="B72" s="84" t="s">
        <v>150</v>
      </c>
      <c r="C72" s="54" t="s">
        <v>182</v>
      </c>
      <c r="D72" s="55">
        <v>3</v>
      </c>
      <c r="E72" s="56">
        <v>6.9930069930069999E-3</v>
      </c>
      <c r="F72" s="37"/>
    </row>
    <row r="73" spans="1:6" ht="15" customHeight="1">
      <c r="A73" s="37"/>
      <c r="B73" s="85"/>
      <c r="C73" s="54" t="s">
        <v>183</v>
      </c>
      <c r="D73" s="55">
        <v>1</v>
      </c>
      <c r="E73" s="56">
        <v>2.3310023310020001E-3</v>
      </c>
      <c r="F73" s="37"/>
    </row>
    <row r="74" spans="1:6" ht="15" customHeight="1">
      <c r="A74" s="37"/>
      <c r="B74" s="86"/>
      <c r="C74" s="67" t="s">
        <v>210</v>
      </c>
      <c r="D74" s="66">
        <v>4</v>
      </c>
      <c r="E74" s="68">
        <v>9.3240093240089996E-3</v>
      </c>
      <c r="F74" s="37"/>
    </row>
    <row r="75" spans="1:6" ht="15" customHeight="1">
      <c r="A75" s="37"/>
      <c r="B75" s="84" t="s">
        <v>131</v>
      </c>
      <c r="C75" s="54" t="s">
        <v>182</v>
      </c>
      <c r="D75" s="55">
        <v>10</v>
      </c>
      <c r="E75" s="56">
        <v>2.3310023310022999E-2</v>
      </c>
      <c r="F75" s="37"/>
    </row>
    <row r="76" spans="1:6" ht="15" customHeight="1">
      <c r="A76" s="37"/>
      <c r="B76" s="85"/>
      <c r="C76" s="54" t="s">
        <v>183</v>
      </c>
      <c r="D76" s="55">
        <v>9</v>
      </c>
      <c r="E76" s="56">
        <v>2.0979020979021001E-2</v>
      </c>
      <c r="F76" s="37"/>
    </row>
    <row r="77" spans="1:6" ht="15" customHeight="1">
      <c r="A77" s="37"/>
      <c r="B77" s="86"/>
      <c r="C77" s="67" t="s">
        <v>210</v>
      </c>
      <c r="D77" s="66">
        <v>19</v>
      </c>
      <c r="E77" s="68">
        <v>4.4289044289043997E-2</v>
      </c>
      <c r="F77" s="37"/>
    </row>
    <row r="78" spans="1:6" ht="15" customHeight="1">
      <c r="A78" s="37"/>
      <c r="B78" s="84" t="s">
        <v>151</v>
      </c>
      <c r="C78" s="54" t="s">
        <v>183</v>
      </c>
      <c r="D78" s="55">
        <v>4</v>
      </c>
      <c r="E78" s="56">
        <v>9.3240093240089996E-3</v>
      </c>
      <c r="F78" s="37"/>
    </row>
    <row r="79" spans="1:6" ht="15" customHeight="1">
      <c r="A79" s="37"/>
      <c r="B79" s="86"/>
      <c r="C79" s="67" t="s">
        <v>210</v>
      </c>
      <c r="D79" s="66">
        <v>4</v>
      </c>
      <c r="E79" s="68">
        <v>9.3240093240089996E-3</v>
      </c>
      <c r="F79" s="37"/>
    </row>
    <row r="80" spans="1:6" ht="15" customHeight="1">
      <c r="A80" s="37"/>
      <c r="B80" s="84" t="s">
        <v>141</v>
      </c>
      <c r="C80" s="54" t="s">
        <v>182</v>
      </c>
      <c r="D80" s="55">
        <v>4</v>
      </c>
      <c r="E80" s="56">
        <v>9.3240093240089996E-3</v>
      </c>
      <c r="F80" s="37"/>
    </row>
    <row r="81" spans="1:6" ht="15" customHeight="1">
      <c r="A81" s="37"/>
      <c r="B81" s="85"/>
      <c r="C81" s="54" t="s">
        <v>183</v>
      </c>
      <c r="D81" s="55">
        <v>3</v>
      </c>
      <c r="E81" s="56">
        <v>6.9930069930069999E-3</v>
      </c>
      <c r="F81" s="37"/>
    </row>
    <row r="82" spans="1:6" ht="15" customHeight="1">
      <c r="A82" s="37"/>
      <c r="B82" s="86"/>
      <c r="C82" s="67" t="s">
        <v>210</v>
      </c>
      <c r="D82" s="66">
        <v>7</v>
      </c>
      <c r="E82" s="68">
        <v>1.6317016317016E-2</v>
      </c>
      <c r="F82" s="37"/>
    </row>
    <row r="83" spans="1:6" ht="15" customHeight="1">
      <c r="A83" s="37"/>
      <c r="B83" s="84" t="s">
        <v>138</v>
      </c>
      <c r="C83" s="54" t="s">
        <v>182</v>
      </c>
      <c r="D83" s="55">
        <v>6</v>
      </c>
      <c r="E83" s="56">
        <v>1.3986013986014E-2</v>
      </c>
      <c r="F83" s="37"/>
    </row>
    <row r="84" spans="1:6" ht="15" customHeight="1">
      <c r="A84" s="37"/>
      <c r="B84" s="85"/>
      <c r="C84" s="54" t="s">
        <v>183</v>
      </c>
      <c r="D84" s="55">
        <v>2</v>
      </c>
      <c r="E84" s="56">
        <v>4.6620046620050003E-3</v>
      </c>
      <c r="F84" s="37"/>
    </row>
    <row r="85" spans="1:6" ht="15" customHeight="1">
      <c r="A85" s="37"/>
      <c r="B85" s="86"/>
      <c r="C85" s="67" t="s">
        <v>210</v>
      </c>
      <c r="D85" s="66">
        <v>8</v>
      </c>
      <c r="E85" s="68">
        <v>1.8648018648018998E-2</v>
      </c>
      <c r="F85" s="37"/>
    </row>
    <row r="86" spans="1:6" ht="15" customHeight="1">
      <c r="A86" s="37"/>
      <c r="B86" s="84" t="s">
        <v>159</v>
      </c>
      <c r="C86" s="54" t="s">
        <v>183</v>
      </c>
      <c r="D86" s="55">
        <v>2</v>
      </c>
      <c r="E86" s="56">
        <v>4.6620046620050003E-3</v>
      </c>
      <c r="F86" s="37"/>
    </row>
    <row r="87" spans="1:6" ht="15" customHeight="1">
      <c r="A87" s="37"/>
      <c r="B87" s="86"/>
      <c r="C87" s="67" t="s">
        <v>210</v>
      </c>
      <c r="D87" s="66">
        <v>2</v>
      </c>
      <c r="E87" s="68">
        <v>4.6620046620050003E-3</v>
      </c>
      <c r="F87" s="37"/>
    </row>
    <row r="88" spans="1:6" ht="15" customHeight="1">
      <c r="A88" s="37"/>
      <c r="B88" s="84" t="s">
        <v>137</v>
      </c>
      <c r="C88" s="54" t="s">
        <v>182</v>
      </c>
      <c r="D88" s="55">
        <v>3</v>
      </c>
      <c r="E88" s="56">
        <v>6.9930069930069999E-3</v>
      </c>
      <c r="F88" s="37"/>
    </row>
    <row r="89" spans="1:6" ht="15" customHeight="1">
      <c r="A89" s="37"/>
      <c r="B89" s="85"/>
      <c r="C89" s="54" t="s">
        <v>183</v>
      </c>
      <c r="D89" s="55">
        <v>7</v>
      </c>
      <c r="E89" s="56">
        <v>1.6317016317016E-2</v>
      </c>
      <c r="F89" s="37"/>
    </row>
    <row r="90" spans="1:6" ht="15" customHeight="1">
      <c r="A90" s="37"/>
      <c r="B90" s="86"/>
      <c r="C90" s="67" t="s">
        <v>210</v>
      </c>
      <c r="D90" s="66">
        <v>10</v>
      </c>
      <c r="E90" s="68">
        <v>2.3310023310022999E-2</v>
      </c>
      <c r="F90" s="37"/>
    </row>
    <row r="91" spans="1:6" ht="15" customHeight="1">
      <c r="A91" s="37"/>
      <c r="B91" s="84" t="s">
        <v>152</v>
      </c>
      <c r="C91" s="54" t="s">
        <v>182</v>
      </c>
      <c r="D91" s="55">
        <v>2</v>
      </c>
      <c r="E91" s="56">
        <v>4.6620046620050003E-3</v>
      </c>
      <c r="F91" s="37"/>
    </row>
    <row r="92" spans="1:6" ht="15" customHeight="1">
      <c r="A92" s="37"/>
      <c r="B92" s="85"/>
      <c r="C92" s="54" t="s">
        <v>183</v>
      </c>
      <c r="D92" s="55">
        <v>1</v>
      </c>
      <c r="E92" s="56">
        <v>2.3310023310020001E-3</v>
      </c>
      <c r="F92" s="37"/>
    </row>
    <row r="93" spans="1:6" ht="15" customHeight="1">
      <c r="A93" s="37"/>
      <c r="B93" s="86"/>
      <c r="C93" s="67" t="s">
        <v>210</v>
      </c>
      <c r="D93" s="66">
        <v>3</v>
      </c>
      <c r="E93" s="68">
        <v>6.9930069930069999E-3</v>
      </c>
      <c r="F93" s="37"/>
    </row>
    <row r="94" spans="1:6" ht="15" customHeight="1">
      <c r="A94" s="37"/>
      <c r="B94" s="84" t="s">
        <v>130</v>
      </c>
      <c r="C94" s="54" t="s">
        <v>182</v>
      </c>
      <c r="D94" s="55">
        <v>18</v>
      </c>
      <c r="E94" s="56">
        <v>4.1958041958042001E-2</v>
      </c>
      <c r="F94" s="37"/>
    </row>
    <row r="95" spans="1:6" ht="15" customHeight="1">
      <c r="A95" s="37"/>
      <c r="B95" s="85"/>
      <c r="C95" s="54" t="s">
        <v>183</v>
      </c>
      <c r="D95" s="55">
        <v>24</v>
      </c>
      <c r="E95" s="56">
        <v>5.5944055944056E-2</v>
      </c>
      <c r="F95" s="37"/>
    </row>
    <row r="96" spans="1:6" ht="15" customHeight="1">
      <c r="A96" s="37"/>
      <c r="B96" s="86"/>
      <c r="C96" s="67" t="s">
        <v>210</v>
      </c>
      <c r="D96" s="66">
        <v>42</v>
      </c>
      <c r="E96" s="68">
        <v>9.7902097902098001E-2</v>
      </c>
      <c r="F96" s="37"/>
    </row>
    <row r="97" spans="1:6" ht="15" customHeight="1">
      <c r="A97" s="37"/>
      <c r="B97" s="84" t="s">
        <v>133</v>
      </c>
      <c r="C97" s="54" t="s">
        <v>182</v>
      </c>
      <c r="D97" s="55">
        <v>8</v>
      </c>
      <c r="E97" s="56">
        <v>1.8648018648018998E-2</v>
      </c>
      <c r="F97" s="37"/>
    </row>
    <row r="98" spans="1:6" ht="15" customHeight="1">
      <c r="A98" s="37"/>
      <c r="B98" s="85"/>
      <c r="C98" s="54" t="s">
        <v>183</v>
      </c>
      <c r="D98" s="55">
        <v>7</v>
      </c>
      <c r="E98" s="56">
        <v>1.6317016317016E-2</v>
      </c>
      <c r="F98" s="37"/>
    </row>
    <row r="99" spans="1:6" ht="15" customHeight="1">
      <c r="A99" s="37"/>
      <c r="B99" s="86"/>
      <c r="C99" s="67" t="s">
        <v>210</v>
      </c>
      <c r="D99" s="66">
        <v>15</v>
      </c>
      <c r="E99" s="68">
        <v>3.4965034965035002E-2</v>
      </c>
      <c r="F99" s="37"/>
    </row>
    <row r="100" spans="1:6" ht="15" customHeight="1">
      <c r="A100" s="37"/>
      <c r="B100" s="84" t="s">
        <v>153</v>
      </c>
      <c r="C100" s="54" t="s">
        <v>182</v>
      </c>
      <c r="D100" s="55">
        <v>2</v>
      </c>
      <c r="E100" s="56">
        <v>4.6620046620050003E-3</v>
      </c>
      <c r="F100" s="37"/>
    </row>
    <row r="101" spans="1:6" ht="15" customHeight="1">
      <c r="A101" s="37"/>
      <c r="B101" s="85"/>
      <c r="C101" s="54" t="s">
        <v>183</v>
      </c>
      <c r="D101" s="55">
        <v>1</v>
      </c>
      <c r="E101" s="56">
        <v>2.3310023310020001E-3</v>
      </c>
      <c r="F101" s="37"/>
    </row>
    <row r="102" spans="1:6" ht="15" customHeight="1">
      <c r="A102" s="37"/>
      <c r="B102" s="86"/>
      <c r="C102" s="67" t="s">
        <v>210</v>
      </c>
      <c r="D102" s="66">
        <v>3</v>
      </c>
      <c r="E102" s="68">
        <v>6.9930069930069999E-3</v>
      </c>
      <c r="F102" s="37"/>
    </row>
    <row r="103" spans="1:6" ht="15" customHeight="1">
      <c r="A103" s="37"/>
      <c r="B103" s="84" t="s">
        <v>46</v>
      </c>
      <c r="C103" s="54" t="s">
        <v>182</v>
      </c>
      <c r="D103" s="55">
        <v>1</v>
      </c>
      <c r="E103" s="56">
        <v>2.3310023310020001E-3</v>
      </c>
      <c r="F103" s="37"/>
    </row>
    <row r="104" spans="1:6" ht="15" customHeight="1">
      <c r="A104" s="37"/>
      <c r="B104" s="85"/>
      <c r="C104" s="54" t="s">
        <v>183</v>
      </c>
      <c r="D104" s="55">
        <v>2</v>
      </c>
      <c r="E104" s="56">
        <v>4.6620046620050003E-3</v>
      </c>
      <c r="F104" s="37"/>
    </row>
    <row r="105" spans="1:6" ht="15" customHeight="1">
      <c r="A105" s="37"/>
      <c r="B105" s="86"/>
      <c r="C105" s="67" t="s">
        <v>210</v>
      </c>
      <c r="D105" s="66">
        <v>3</v>
      </c>
      <c r="E105" s="68">
        <v>6.9930069930069999E-3</v>
      </c>
      <c r="F105" s="37"/>
    </row>
    <row r="106" spans="1:6" ht="15" customHeight="1">
      <c r="A106" s="37"/>
      <c r="B106" s="84" t="s">
        <v>147</v>
      </c>
      <c r="C106" s="54" t="s">
        <v>182</v>
      </c>
      <c r="D106" s="55">
        <v>3</v>
      </c>
      <c r="E106" s="56">
        <v>6.9930069930069999E-3</v>
      </c>
      <c r="F106" s="37"/>
    </row>
    <row r="107" spans="1:6" ht="15" customHeight="1">
      <c r="A107" s="37"/>
      <c r="B107" s="85"/>
      <c r="C107" s="54" t="s">
        <v>183</v>
      </c>
      <c r="D107" s="55">
        <v>2</v>
      </c>
      <c r="E107" s="56">
        <v>4.6620046620050003E-3</v>
      </c>
      <c r="F107" s="37"/>
    </row>
    <row r="108" spans="1:6" ht="15" customHeight="1">
      <c r="A108" s="37"/>
      <c r="B108" s="86"/>
      <c r="C108" s="67" t="s">
        <v>210</v>
      </c>
      <c r="D108" s="66">
        <v>5</v>
      </c>
      <c r="E108" s="68">
        <v>1.1655011655011999E-2</v>
      </c>
      <c r="F108" s="37"/>
    </row>
    <row r="109" spans="1:6" ht="15" customHeight="1">
      <c r="A109" s="37"/>
      <c r="B109" s="81" t="s">
        <v>210</v>
      </c>
      <c r="C109" s="82"/>
      <c r="D109" s="58">
        <v>429</v>
      </c>
      <c r="E109" s="59">
        <v>1</v>
      </c>
      <c r="F109" s="37"/>
    </row>
    <row r="110" spans="1:6" ht="15" customHeight="1">
      <c r="A110" s="37"/>
      <c r="B110" s="39"/>
      <c r="C110" s="51"/>
      <c r="D110" s="52"/>
      <c r="E110" s="51"/>
      <c r="F110" s="37"/>
    </row>
    <row r="111" spans="1:6" ht="16.5">
      <c r="A111" s="37"/>
      <c r="B111" s="39" t="s">
        <v>120</v>
      </c>
      <c r="D111" s="40"/>
      <c r="E111" s="38"/>
      <c r="F111" s="37"/>
    </row>
    <row r="112" spans="1:6" ht="16.5">
      <c r="A112" s="37"/>
      <c r="B112" s="41" t="s">
        <v>17</v>
      </c>
      <c r="D112" s="40"/>
      <c r="E112" s="38"/>
      <c r="F112" s="37"/>
    </row>
    <row r="113" spans="1:6" ht="16.5">
      <c r="A113" s="37"/>
      <c r="B113" s="42" t="s">
        <v>45</v>
      </c>
      <c r="D113" s="40"/>
      <c r="E113" s="38"/>
      <c r="F113" s="37"/>
    </row>
    <row r="114" spans="1:6" ht="16.5">
      <c r="A114" s="37"/>
      <c r="B114" s="39" t="s">
        <v>16</v>
      </c>
      <c r="D114" s="40"/>
      <c r="E114" s="38"/>
      <c r="F114" s="37"/>
    </row>
    <row r="115" spans="1:6" ht="16.5">
      <c r="A115" s="37"/>
      <c r="B115" s="39" t="s">
        <v>211</v>
      </c>
      <c r="D115" s="40"/>
      <c r="E115" s="38"/>
      <c r="F115" s="37"/>
    </row>
  </sheetData>
  <mergeCells count="37">
    <mergeCell ref="B106:B108"/>
    <mergeCell ref="B91:B93"/>
    <mergeCell ref="B94:B96"/>
    <mergeCell ref="B97:B99"/>
    <mergeCell ref="B100:B102"/>
    <mergeCell ref="B103:B105"/>
    <mergeCell ref="B78:B79"/>
    <mergeCell ref="B80:B82"/>
    <mergeCell ref="B83:B85"/>
    <mergeCell ref="B86:B87"/>
    <mergeCell ref="B88:B90"/>
    <mergeCell ref="B64:B66"/>
    <mergeCell ref="B67:B69"/>
    <mergeCell ref="B70:B71"/>
    <mergeCell ref="B72:B74"/>
    <mergeCell ref="B75:B77"/>
    <mergeCell ref="B51:B52"/>
    <mergeCell ref="B53:B55"/>
    <mergeCell ref="B56:B58"/>
    <mergeCell ref="B59:B60"/>
    <mergeCell ref="B61:B63"/>
    <mergeCell ref="B109:C109"/>
    <mergeCell ref="B8:E10"/>
    <mergeCell ref="B13:B14"/>
    <mergeCell ref="B15:B17"/>
    <mergeCell ref="B18:B20"/>
    <mergeCell ref="B21:B23"/>
    <mergeCell ref="B24:B25"/>
    <mergeCell ref="B26:B27"/>
    <mergeCell ref="B28:B30"/>
    <mergeCell ref="B31:B33"/>
    <mergeCell ref="B34:B36"/>
    <mergeCell ref="B37:B39"/>
    <mergeCell ref="B40:B42"/>
    <mergeCell ref="B43:B45"/>
    <mergeCell ref="B46:B47"/>
    <mergeCell ref="B48:B5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36"/>
  <sheetViews>
    <sheetView showGridLines="0" tabSelected="1" view="pageBreakPreview" zoomScaleNormal="98" zoomScaleSheetLayoutView="100" workbookViewId="0">
      <selection activeCell="L11" sqref="L11"/>
    </sheetView>
  </sheetViews>
  <sheetFormatPr baseColWidth="10" defaultColWidth="11.42578125" defaultRowHeight="11.25"/>
  <cols>
    <col min="1" max="1" width="5.7109375" style="17" customWidth="1"/>
    <col min="2" max="2" width="19" style="24" customWidth="1"/>
    <col min="3" max="3" width="27.7109375" style="24" customWidth="1"/>
    <col min="4" max="4" width="17.140625" style="27" customWidth="1"/>
    <col min="5" max="5" width="16.5703125" style="27" customWidth="1"/>
    <col min="6" max="6" width="16.5703125" style="24" customWidth="1"/>
    <col min="7" max="7" width="5.7109375" style="17" customWidth="1"/>
    <col min="8" max="16384" width="11.42578125" style="17"/>
  </cols>
  <sheetData>
    <row r="1" spans="1:7" s="13" customFormat="1" ht="15">
      <c r="B1" s="24"/>
      <c r="C1" s="24"/>
    </row>
    <row r="2" spans="1:7" s="24" customFormat="1">
      <c r="B2" s="30"/>
    </row>
    <row r="3" spans="1:7" ht="15" customHeight="1">
      <c r="B3" s="31"/>
      <c r="C3" s="20"/>
      <c r="D3" s="17"/>
      <c r="E3" s="17"/>
      <c r="G3" s="24"/>
    </row>
    <row r="4" spans="1:7" ht="30" customHeight="1">
      <c r="B4" s="31"/>
      <c r="C4" s="20"/>
      <c r="D4" s="17"/>
      <c r="E4" s="17"/>
      <c r="G4" s="24"/>
    </row>
    <row r="5" spans="1:7" ht="15" customHeight="1">
      <c r="B5" s="31"/>
      <c r="C5" s="20"/>
      <c r="D5" s="17"/>
      <c r="E5" s="17"/>
      <c r="G5" s="24"/>
    </row>
    <row r="6" spans="1:7" s="24" customFormat="1">
      <c r="B6" s="26"/>
      <c r="C6" s="23"/>
    </row>
    <row r="7" spans="1:7" s="24" customFormat="1">
      <c r="B7" s="30"/>
    </row>
    <row r="8" spans="1:7" s="13" customFormat="1" ht="15" customHeight="1">
      <c r="B8" s="80" t="s">
        <v>32</v>
      </c>
      <c r="C8" s="80"/>
      <c r="D8" s="80"/>
      <c r="E8" s="80"/>
      <c r="F8" s="80"/>
    </row>
    <row r="9" spans="1:7" s="13" customFormat="1" ht="15" customHeight="1">
      <c r="B9" s="80"/>
      <c r="C9" s="80"/>
      <c r="D9" s="80"/>
      <c r="E9" s="80"/>
      <c r="F9" s="80"/>
      <c r="G9" s="29"/>
    </row>
    <row r="10" spans="1:7" s="13" customFormat="1" ht="15" customHeight="1">
      <c r="B10" s="80"/>
      <c r="C10" s="80"/>
      <c r="D10" s="80"/>
      <c r="E10" s="80"/>
      <c r="F10" s="80"/>
    </row>
    <row r="11" spans="1:7" s="13" customFormat="1" ht="21.6" customHeight="1">
      <c r="B11" s="32"/>
      <c r="C11" s="32"/>
      <c r="D11" s="32"/>
      <c r="E11" s="32"/>
      <c r="F11" s="32"/>
    </row>
    <row r="12" spans="1:7" s="13" customFormat="1" ht="2.1" customHeight="1">
      <c r="B12" s="33"/>
      <c r="C12" s="33"/>
      <c r="D12" s="33"/>
      <c r="E12" s="33"/>
      <c r="F12" s="33"/>
    </row>
    <row r="13" spans="1:7" s="13" customFormat="1" ht="44.45" customHeight="1">
      <c r="A13" s="38"/>
      <c r="B13" s="53" t="s">
        <v>28</v>
      </c>
      <c r="C13" s="53" t="s">
        <v>31</v>
      </c>
      <c r="D13" s="53" t="s">
        <v>19</v>
      </c>
      <c r="E13" s="53" t="s">
        <v>30</v>
      </c>
      <c r="F13" s="53" t="s">
        <v>29</v>
      </c>
      <c r="G13" s="38"/>
    </row>
    <row r="14" spans="1:7" ht="15" customHeight="1">
      <c r="A14" s="37"/>
      <c r="B14" s="91" t="s">
        <v>184</v>
      </c>
      <c r="C14" s="60" t="s">
        <v>110</v>
      </c>
      <c r="D14" s="55">
        <v>1</v>
      </c>
      <c r="E14" s="56">
        <f>D14/$D$21</f>
        <v>4.6948356807511738E-3</v>
      </c>
      <c r="F14" s="56">
        <f>D14/$D$29</f>
        <v>2.331002331002331E-3</v>
      </c>
      <c r="G14" s="37"/>
    </row>
    <row r="15" spans="1:7" ht="15" customHeight="1">
      <c r="A15" s="37"/>
      <c r="B15" s="92"/>
      <c r="C15" s="60" t="s">
        <v>111</v>
      </c>
      <c r="D15" s="55">
        <v>44</v>
      </c>
      <c r="E15" s="56">
        <f t="shared" ref="E15:E20" si="0">D15/$D$21</f>
        <v>0.20657276995305165</v>
      </c>
      <c r="F15" s="56">
        <f t="shared" ref="F15:F28" si="1">D15/$D$29</f>
        <v>0.10256410256410256</v>
      </c>
      <c r="G15" s="37"/>
    </row>
    <row r="16" spans="1:7" ht="15" customHeight="1">
      <c r="A16" s="37"/>
      <c r="B16" s="92"/>
      <c r="C16" s="60" t="s">
        <v>112</v>
      </c>
      <c r="D16" s="55">
        <v>55</v>
      </c>
      <c r="E16" s="56">
        <f t="shared" si="0"/>
        <v>0.25821596244131456</v>
      </c>
      <c r="F16" s="56">
        <f t="shared" si="1"/>
        <v>0.12820512820512819</v>
      </c>
      <c r="G16" s="37"/>
    </row>
    <row r="17" spans="1:7" ht="15" customHeight="1">
      <c r="A17" s="37"/>
      <c r="B17" s="92"/>
      <c r="C17" s="60" t="s">
        <v>113</v>
      </c>
      <c r="D17" s="55">
        <v>78</v>
      </c>
      <c r="E17" s="56">
        <f t="shared" si="0"/>
        <v>0.36619718309859156</v>
      </c>
      <c r="F17" s="56">
        <f t="shared" si="1"/>
        <v>0.18181818181818182</v>
      </c>
      <c r="G17" s="37"/>
    </row>
    <row r="18" spans="1:7" ht="15" customHeight="1">
      <c r="A18" s="37"/>
      <c r="B18" s="92"/>
      <c r="C18" s="60" t="s">
        <v>114</v>
      </c>
      <c r="D18" s="55">
        <v>31</v>
      </c>
      <c r="E18" s="56">
        <f t="shared" si="0"/>
        <v>0.14553990610328638</v>
      </c>
      <c r="F18" s="56">
        <f t="shared" si="1"/>
        <v>7.2261072261072257E-2</v>
      </c>
      <c r="G18" s="37"/>
    </row>
    <row r="19" spans="1:7" ht="15" customHeight="1">
      <c r="A19" s="37"/>
      <c r="B19" s="92"/>
      <c r="C19" s="60" t="s">
        <v>115</v>
      </c>
      <c r="D19" s="55">
        <v>2</v>
      </c>
      <c r="E19" s="56">
        <f t="shared" si="0"/>
        <v>9.3896713615023476E-3</v>
      </c>
      <c r="F19" s="56">
        <f t="shared" si="1"/>
        <v>4.662004662004662E-3</v>
      </c>
      <c r="G19" s="37"/>
    </row>
    <row r="20" spans="1:7" ht="15" customHeight="1">
      <c r="A20" s="37"/>
      <c r="B20" s="92"/>
      <c r="C20" s="60" t="s">
        <v>116</v>
      </c>
      <c r="D20" s="55">
        <v>2</v>
      </c>
      <c r="E20" s="56">
        <f t="shared" si="0"/>
        <v>9.3896713615023476E-3</v>
      </c>
      <c r="F20" s="56">
        <f t="shared" si="1"/>
        <v>4.662004662004662E-3</v>
      </c>
      <c r="G20" s="37"/>
    </row>
    <row r="21" spans="1:7" ht="15" customHeight="1">
      <c r="A21" s="37"/>
      <c r="B21" s="93"/>
      <c r="C21" s="69" t="s">
        <v>210</v>
      </c>
      <c r="D21" s="66">
        <v>213</v>
      </c>
      <c r="E21" s="68"/>
      <c r="F21" s="68">
        <f t="shared" si="1"/>
        <v>0.49650349650349651</v>
      </c>
      <c r="G21" s="37"/>
    </row>
    <row r="22" spans="1:7" ht="15" customHeight="1">
      <c r="A22" s="37"/>
      <c r="B22" s="91" t="s">
        <v>185</v>
      </c>
      <c r="C22" s="60" t="s">
        <v>110</v>
      </c>
      <c r="D22" s="55">
        <v>1</v>
      </c>
      <c r="E22" s="56">
        <f>D22/$D$28</f>
        <v>4.6296296296296294E-3</v>
      </c>
      <c r="F22" s="56">
        <f t="shared" si="1"/>
        <v>2.331002331002331E-3</v>
      </c>
      <c r="G22" s="37"/>
    </row>
    <row r="23" spans="1:7" ht="15" customHeight="1">
      <c r="A23" s="37"/>
      <c r="B23" s="92"/>
      <c r="C23" s="60" t="s">
        <v>111</v>
      </c>
      <c r="D23" s="55">
        <v>47</v>
      </c>
      <c r="E23" s="56">
        <f t="shared" ref="E23:E27" si="2">D23/$D$28</f>
        <v>0.21759259259259259</v>
      </c>
      <c r="F23" s="56">
        <f t="shared" si="1"/>
        <v>0.10955710955710955</v>
      </c>
      <c r="G23" s="37"/>
    </row>
    <row r="24" spans="1:7" ht="15" customHeight="1">
      <c r="A24" s="37"/>
      <c r="B24" s="92"/>
      <c r="C24" s="60" t="s">
        <v>112</v>
      </c>
      <c r="D24" s="55">
        <v>70</v>
      </c>
      <c r="E24" s="56">
        <f t="shared" si="2"/>
        <v>0.32407407407407407</v>
      </c>
      <c r="F24" s="56">
        <f t="shared" si="1"/>
        <v>0.16317016317016317</v>
      </c>
      <c r="G24" s="37"/>
    </row>
    <row r="25" spans="1:7" ht="15" customHeight="1">
      <c r="A25" s="37"/>
      <c r="B25" s="92"/>
      <c r="C25" s="60" t="s">
        <v>113</v>
      </c>
      <c r="D25" s="55">
        <v>62</v>
      </c>
      <c r="E25" s="56">
        <f t="shared" si="2"/>
        <v>0.28703703703703703</v>
      </c>
      <c r="F25" s="56">
        <f t="shared" si="1"/>
        <v>0.14452214452214451</v>
      </c>
      <c r="G25" s="37"/>
    </row>
    <row r="26" spans="1:7" ht="15" customHeight="1">
      <c r="A26" s="37"/>
      <c r="B26" s="92"/>
      <c r="C26" s="60" t="s">
        <v>114</v>
      </c>
      <c r="D26" s="55">
        <v>35</v>
      </c>
      <c r="E26" s="56">
        <f t="shared" si="2"/>
        <v>0.16203703703703703</v>
      </c>
      <c r="F26" s="56">
        <f t="shared" si="1"/>
        <v>8.1585081585081584E-2</v>
      </c>
      <c r="G26" s="37"/>
    </row>
    <row r="27" spans="1:7" ht="15" customHeight="1">
      <c r="A27" s="37"/>
      <c r="B27" s="92"/>
      <c r="C27" s="60" t="s">
        <v>115</v>
      </c>
      <c r="D27" s="55">
        <v>1</v>
      </c>
      <c r="E27" s="56">
        <f t="shared" si="2"/>
        <v>4.6296296296296294E-3</v>
      </c>
      <c r="F27" s="56">
        <f t="shared" si="1"/>
        <v>2.331002331002331E-3</v>
      </c>
      <c r="G27" s="37"/>
    </row>
    <row r="28" spans="1:7" ht="15" customHeight="1">
      <c r="A28" s="37"/>
      <c r="B28" s="93"/>
      <c r="C28" s="69" t="s">
        <v>210</v>
      </c>
      <c r="D28" s="66">
        <v>216</v>
      </c>
      <c r="E28" s="68"/>
      <c r="F28" s="68">
        <f t="shared" si="1"/>
        <v>0.50349650349650354</v>
      </c>
      <c r="G28" s="37"/>
    </row>
    <row r="29" spans="1:7" ht="15" customHeight="1">
      <c r="A29" s="37"/>
      <c r="B29" s="70" t="s">
        <v>214</v>
      </c>
      <c r="C29" s="70"/>
      <c r="D29" s="58">
        <v>429</v>
      </c>
      <c r="E29" s="59">
        <v>1</v>
      </c>
      <c r="F29" s="59"/>
      <c r="G29" s="37"/>
    </row>
    <row r="30" spans="1:7" ht="15" customHeight="1">
      <c r="A30" s="37"/>
      <c r="B30" s="41"/>
      <c r="C30" s="51"/>
      <c r="D30" s="52"/>
      <c r="E30" s="52"/>
      <c r="F30" s="51"/>
      <c r="G30" s="37"/>
    </row>
    <row r="31" spans="1:7" ht="15" customHeight="1">
      <c r="A31" s="37"/>
      <c r="B31" s="39" t="s">
        <v>120</v>
      </c>
      <c r="C31" s="41"/>
      <c r="D31" s="52"/>
      <c r="E31" s="52"/>
      <c r="F31" s="51"/>
      <c r="G31" s="37"/>
    </row>
    <row r="32" spans="1:7" ht="15" customHeight="1">
      <c r="A32" s="37"/>
      <c r="B32" s="41" t="s">
        <v>17</v>
      </c>
      <c r="C32" s="42"/>
      <c r="D32" s="52"/>
      <c r="E32" s="52"/>
      <c r="F32" s="51"/>
      <c r="G32" s="37"/>
    </row>
    <row r="33" spans="1:7" ht="15" customHeight="1">
      <c r="A33" s="37"/>
      <c r="B33" s="42" t="s">
        <v>45</v>
      </c>
      <c r="C33" s="39"/>
      <c r="D33" s="52"/>
      <c r="E33" s="52"/>
      <c r="F33" s="51"/>
      <c r="G33" s="37"/>
    </row>
    <row r="34" spans="1:7" ht="12.75">
      <c r="A34" s="37"/>
      <c r="B34" s="39" t="s">
        <v>16</v>
      </c>
      <c r="C34" s="39"/>
      <c r="D34" s="52"/>
      <c r="E34" s="52"/>
      <c r="F34" s="51"/>
      <c r="G34" s="37"/>
    </row>
    <row r="35" spans="1:7" ht="16.5">
      <c r="A35" s="37"/>
      <c r="B35" s="39" t="s">
        <v>211</v>
      </c>
      <c r="C35" s="38"/>
      <c r="D35" s="52"/>
      <c r="E35" s="52"/>
      <c r="F35" s="51"/>
      <c r="G35" s="37"/>
    </row>
    <row r="36" spans="1:7" ht="15">
      <c r="B36" s="15"/>
      <c r="C36" s="13"/>
    </row>
  </sheetData>
  <mergeCells count="3">
    <mergeCell ref="B8:F10"/>
    <mergeCell ref="B14:B21"/>
    <mergeCell ref="B22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42"/>
  <sheetViews>
    <sheetView showGridLines="0" view="pageBreakPreview" zoomScaleNormal="100" zoomScaleSheetLayoutView="100" workbookViewId="0">
      <selection activeCell="P1" sqref="P1"/>
    </sheetView>
  </sheetViews>
  <sheetFormatPr baseColWidth="10" defaultColWidth="11.42578125" defaultRowHeight="15"/>
  <cols>
    <col min="1" max="1" width="9.28515625" style="13" customWidth="1"/>
    <col min="2" max="2" width="42.5703125" style="13" bestFit="1" customWidth="1"/>
    <col min="3" max="3" width="17.7109375" style="14" customWidth="1"/>
    <col min="4" max="4" width="17.7109375" style="13" customWidth="1"/>
    <col min="5" max="5" width="9.28515625" style="13" customWidth="1"/>
    <col min="6" max="6" width="4.5703125" style="13" customWidth="1"/>
    <col min="7" max="16384" width="11.42578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B7" s="80" t="s">
        <v>118</v>
      </c>
      <c r="C7" s="80"/>
      <c r="D7" s="80"/>
    </row>
    <row r="8" spans="1:6" s="17" customFormat="1" ht="15" customHeight="1">
      <c r="B8" s="80"/>
      <c r="C8" s="80"/>
      <c r="D8" s="80"/>
    </row>
    <row r="9" spans="1:6" s="17" customFormat="1" ht="33" customHeight="1">
      <c r="B9" s="80"/>
      <c r="C9" s="80"/>
      <c r="D9" s="80"/>
    </row>
    <row r="10" spans="1:6" s="17" customFormat="1" ht="4.5" customHeight="1">
      <c r="B10" s="18"/>
      <c r="C10" s="18"/>
      <c r="D10" s="18"/>
    </row>
    <row r="11" spans="1:6" s="17" customFormat="1" ht="26.25" customHeight="1">
      <c r="A11" s="37"/>
      <c r="B11" s="34" t="s">
        <v>33</v>
      </c>
      <c r="C11" s="35" t="s">
        <v>19</v>
      </c>
      <c r="D11" s="36" t="s">
        <v>18</v>
      </c>
      <c r="E11" s="37"/>
      <c r="F11" s="37"/>
    </row>
    <row r="12" spans="1:6" ht="16.5">
      <c r="A12" s="38"/>
      <c r="B12" s="54" t="s">
        <v>186</v>
      </c>
      <c r="C12" s="55">
        <v>238</v>
      </c>
      <c r="D12" s="56">
        <v>0.55477855477855498</v>
      </c>
      <c r="E12" s="38"/>
      <c r="F12" s="38"/>
    </row>
    <row r="13" spans="1:6" ht="16.5">
      <c r="A13" s="38"/>
      <c r="B13" s="54" t="s">
        <v>187</v>
      </c>
      <c r="C13" s="55">
        <v>94</v>
      </c>
      <c r="D13" s="56">
        <v>0.21911421911421899</v>
      </c>
      <c r="E13" s="38"/>
      <c r="F13" s="38"/>
    </row>
    <row r="14" spans="1:6" ht="16.5">
      <c r="A14" s="38"/>
      <c r="B14" s="54" t="s">
        <v>188</v>
      </c>
      <c r="C14" s="55">
        <v>15</v>
      </c>
      <c r="D14" s="56">
        <v>3.4965034965035002E-2</v>
      </c>
      <c r="E14" s="38"/>
      <c r="F14" s="38"/>
    </row>
    <row r="15" spans="1:6" ht="16.5">
      <c r="A15" s="38"/>
      <c r="B15" s="54" t="s">
        <v>189</v>
      </c>
      <c r="C15" s="55">
        <v>15</v>
      </c>
      <c r="D15" s="56">
        <v>3.4965034965035002E-2</v>
      </c>
      <c r="E15" s="38"/>
      <c r="F15" s="38"/>
    </row>
    <row r="16" spans="1:6" ht="16.5">
      <c r="A16" s="38"/>
      <c r="B16" s="54" t="s">
        <v>190</v>
      </c>
      <c r="C16" s="55">
        <v>15</v>
      </c>
      <c r="D16" s="56">
        <v>3.4965034965035002E-2</v>
      </c>
      <c r="E16" s="38"/>
      <c r="F16" s="38"/>
    </row>
    <row r="17" spans="1:6" ht="16.5">
      <c r="A17" s="38"/>
      <c r="B17" s="54" t="s">
        <v>191</v>
      </c>
      <c r="C17" s="55">
        <v>8</v>
      </c>
      <c r="D17" s="56">
        <v>1.8648018648018998E-2</v>
      </c>
      <c r="E17" s="38"/>
      <c r="F17" s="38"/>
    </row>
    <row r="18" spans="1:6" ht="16.5">
      <c r="A18" s="38"/>
      <c r="B18" s="54" t="s">
        <v>192</v>
      </c>
      <c r="C18" s="55">
        <v>6</v>
      </c>
      <c r="D18" s="56">
        <v>1.3986013986014E-2</v>
      </c>
      <c r="E18" s="38"/>
      <c r="F18" s="38"/>
    </row>
    <row r="19" spans="1:6" ht="16.5">
      <c r="A19" s="38"/>
      <c r="B19" s="54" t="s">
        <v>193</v>
      </c>
      <c r="C19" s="55">
        <v>6</v>
      </c>
      <c r="D19" s="56">
        <v>1.3986013986014E-2</v>
      </c>
      <c r="E19" s="38"/>
      <c r="F19" s="38"/>
    </row>
    <row r="20" spans="1:6" ht="16.5">
      <c r="A20" s="38"/>
      <c r="B20" s="54" t="s">
        <v>194</v>
      </c>
      <c r="C20" s="55">
        <v>4</v>
      </c>
      <c r="D20" s="56">
        <v>9.3240093240089996E-3</v>
      </c>
      <c r="E20" s="38"/>
      <c r="F20" s="38"/>
    </row>
    <row r="21" spans="1:6" ht="16.5">
      <c r="A21" s="38"/>
      <c r="B21" s="54" t="s">
        <v>195</v>
      </c>
      <c r="C21" s="55">
        <v>4</v>
      </c>
      <c r="D21" s="56">
        <v>9.3240093240089996E-3</v>
      </c>
      <c r="E21" s="38"/>
      <c r="F21" s="38"/>
    </row>
    <row r="22" spans="1:6" ht="16.5">
      <c r="A22" s="38"/>
      <c r="B22" s="54" t="s">
        <v>196</v>
      </c>
      <c r="C22" s="55">
        <v>4</v>
      </c>
      <c r="D22" s="56">
        <v>9.3240093240089996E-3</v>
      </c>
      <c r="E22" s="38"/>
      <c r="F22" s="38"/>
    </row>
    <row r="23" spans="1:6" ht="16.5">
      <c r="A23" s="38"/>
      <c r="B23" s="54" t="s">
        <v>197</v>
      </c>
      <c r="C23" s="55">
        <v>3</v>
      </c>
      <c r="D23" s="56">
        <v>6.9930069930069999E-3</v>
      </c>
      <c r="E23" s="38"/>
      <c r="F23" s="38"/>
    </row>
    <row r="24" spans="1:6" ht="16.5">
      <c r="A24" s="38"/>
      <c r="B24" s="54" t="s">
        <v>198</v>
      </c>
      <c r="C24" s="55">
        <v>3</v>
      </c>
      <c r="D24" s="56">
        <v>6.9930069930069999E-3</v>
      </c>
      <c r="E24" s="38"/>
      <c r="F24" s="38"/>
    </row>
    <row r="25" spans="1:6" ht="16.5">
      <c r="A25" s="38"/>
      <c r="B25" s="54" t="s">
        <v>199</v>
      </c>
      <c r="C25" s="55">
        <v>2</v>
      </c>
      <c r="D25" s="56">
        <v>4.6620046620050003E-3</v>
      </c>
      <c r="E25" s="38"/>
      <c r="F25" s="38"/>
    </row>
    <row r="26" spans="1:6" ht="16.5">
      <c r="A26" s="38"/>
      <c r="B26" s="54" t="s">
        <v>200</v>
      </c>
      <c r="C26" s="55">
        <v>2</v>
      </c>
      <c r="D26" s="56">
        <v>4.6620046620050003E-3</v>
      </c>
      <c r="E26" s="38"/>
      <c r="F26" s="38"/>
    </row>
    <row r="27" spans="1:6" ht="16.5">
      <c r="A27" s="38"/>
      <c r="B27" s="54" t="s">
        <v>201</v>
      </c>
      <c r="C27" s="55">
        <v>2</v>
      </c>
      <c r="D27" s="56">
        <v>4.6620046620050003E-3</v>
      </c>
      <c r="E27" s="38"/>
      <c r="F27" s="38"/>
    </row>
    <row r="28" spans="1:6" ht="16.5">
      <c r="A28" s="38"/>
      <c r="B28" s="54" t="s">
        <v>202</v>
      </c>
      <c r="C28" s="55">
        <v>1</v>
      </c>
      <c r="D28" s="56">
        <v>2.3310023310020001E-3</v>
      </c>
      <c r="E28" s="38"/>
      <c r="F28" s="38"/>
    </row>
    <row r="29" spans="1:6" ht="16.5">
      <c r="A29" s="38"/>
      <c r="B29" s="54" t="s">
        <v>203</v>
      </c>
      <c r="C29" s="55">
        <v>1</v>
      </c>
      <c r="D29" s="56">
        <v>2.3310023310020001E-3</v>
      </c>
      <c r="E29" s="38"/>
      <c r="F29" s="38"/>
    </row>
    <row r="30" spans="1:6" ht="16.5">
      <c r="A30" s="38"/>
      <c r="B30" s="54" t="s">
        <v>204</v>
      </c>
      <c r="C30" s="55">
        <v>1</v>
      </c>
      <c r="D30" s="56">
        <v>2.3310023310020001E-3</v>
      </c>
      <c r="E30" s="38"/>
      <c r="F30" s="38"/>
    </row>
    <row r="31" spans="1:6" ht="16.5">
      <c r="A31" s="38"/>
      <c r="B31" s="54" t="s">
        <v>205</v>
      </c>
      <c r="C31" s="55">
        <v>1</v>
      </c>
      <c r="D31" s="56">
        <v>2.3310023310020001E-3</v>
      </c>
      <c r="E31" s="38"/>
      <c r="F31" s="38"/>
    </row>
    <row r="32" spans="1:6" ht="16.5">
      <c r="A32" s="38"/>
      <c r="B32" s="54" t="s">
        <v>206</v>
      </c>
      <c r="C32" s="55">
        <v>1</v>
      </c>
      <c r="D32" s="56">
        <v>2.3310023310020001E-3</v>
      </c>
      <c r="E32" s="38"/>
      <c r="F32" s="38"/>
    </row>
    <row r="33" spans="1:6" ht="16.5">
      <c r="A33" s="38"/>
      <c r="B33" s="54" t="s">
        <v>207</v>
      </c>
      <c r="C33" s="55">
        <v>1</v>
      </c>
      <c r="D33" s="56">
        <v>2.3310023310020001E-3</v>
      </c>
      <c r="E33" s="38"/>
      <c r="F33" s="38"/>
    </row>
    <row r="34" spans="1:6" ht="16.5">
      <c r="A34" s="38"/>
      <c r="B34" s="54" t="s">
        <v>208</v>
      </c>
      <c r="C34" s="55">
        <v>1</v>
      </c>
      <c r="D34" s="56">
        <v>2.3310023310020001E-3</v>
      </c>
      <c r="E34" s="38"/>
      <c r="F34" s="38"/>
    </row>
    <row r="35" spans="1:6" ht="16.5">
      <c r="A35" s="38"/>
      <c r="B35" s="54" t="s">
        <v>209</v>
      </c>
      <c r="C35" s="55">
        <v>1</v>
      </c>
      <c r="D35" s="56">
        <v>2.3310023310020001E-3</v>
      </c>
      <c r="E35" s="38"/>
      <c r="F35" s="38"/>
    </row>
    <row r="36" spans="1:6" ht="16.5">
      <c r="A36" s="38"/>
      <c r="B36" s="57" t="s">
        <v>213</v>
      </c>
      <c r="C36" s="58">
        <v>429</v>
      </c>
      <c r="D36" s="59">
        <v>1</v>
      </c>
      <c r="E36" s="38"/>
      <c r="F36" s="38"/>
    </row>
    <row r="37" spans="1:6" ht="16.5">
      <c r="A37" s="38"/>
      <c r="B37" s="38"/>
      <c r="C37" s="40"/>
      <c r="D37" s="38"/>
      <c r="E37" s="38"/>
      <c r="F37" s="38"/>
    </row>
    <row r="38" spans="1:6" ht="16.5">
      <c r="B38" s="39" t="s">
        <v>120</v>
      </c>
      <c r="C38" s="52"/>
      <c r="D38" s="38"/>
      <c r="E38" s="38"/>
      <c r="F38" s="38"/>
    </row>
    <row r="39" spans="1:6" ht="16.5">
      <c r="B39" s="41" t="s">
        <v>17</v>
      </c>
      <c r="C39" s="52"/>
      <c r="D39" s="38"/>
      <c r="E39" s="38"/>
      <c r="F39" s="38"/>
    </row>
    <row r="40" spans="1:6" ht="16.5">
      <c r="B40" s="42" t="s">
        <v>45</v>
      </c>
      <c r="C40" s="52"/>
      <c r="D40" s="38"/>
      <c r="E40" s="38"/>
      <c r="F40" s="38"/>
    </row>
    <row r="41" spans="1:6" ht="16.5">
      <c r="B41" s="39" t="s">
        <v>16</v>
      </c>
      <c r="C41" s="52"/>
      <c r="D41" s="38"/>
      <c r="E41" s="38"/>
      <c r="F41" s="38"/>
    </row>
    <row r="42" spans="1:6" ht="16.5">
      <c r="B42" s="39" t="s">
        <v>211</v>
      </c>
      <c r="C42" s="52"/>
      <c r="D42" s="38"/>
      <c r="E42" s="38"/>
      <c r="F42" s="3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fitToWidth="0" fitToHeight="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24</vt:i4>
      </vt:variant>
    </vt:vector>
  </HeadingPairs>
  <TitlesOfParts>
    <vt:vector size="39" baseType="lpstr">
      <vt:lpstr>Índice</vt:lpstr>
      <vt:lpstr>Baja California Sur_EdoUsa</vt:lpstr>
      <vt:lpstr>Baja California Sur_Cons</vt:lpstr>
      <vt:lpstr>Baja California SurXCons</vt:lpstr>
      <vt:lpstr>Baja California Sur_EdoMun</vt:lpstr>
      <vt:lpstr>Baja California Sur_USAMuni</vt:lpstr>
      <vt:lpstr>Baja California Sur_MUNICIPIO</vt:lpstr>
      <vt:lpstr>Baja California Sur_educ_gral</vt:lpstr>
      <vt:lpstr>Baja California Sur_NivelE_Cons</vt:lpstr>
      <vt:lpstr>Baja California Sur_EducCons</vt:lpstr>
      <vt:lpstr>Baja California Sur_GenGral</vt:lpstr>
      <vt:lpstr>Baja California Sur_GENERO</vt:lpstr>
      <vt:lpstr>Baja California Sur_GENERO_EUA</vt:lpstr>
      <vt:lpstr>Baja California Sur_Gen_Edad</vt:lpstr>
      <vt:lpstr>Baja California Sur_ocup_gral</vt:lpstr>
      <vt:lpstr>'Baja California Sur_Cons'!Área_de_impresión</vt:lpstr>
      <vt:lpstr>'Baja California Sur_educ_gral'!Área_de_impresión</vt:lpstr>
      <vt:lpstr>'Baja California Sur_EducCons'!Área_de_impresión</vt:lpstr>
      <vt:lpstr>'Baja California Sur_Gen_Edad'!Área_de_impresión</vt:lpstr>
      <vt:lpstr>'Baja California Sur_GENERO'!Área_de_impresión</vt:lpstr>
      <vt:lpstr>'Baja California Sur_GENERO_EUA'!Área_de_impresión</vt:lpstr>
      <vt:lpstr>'Baja California Sur_MUNICIPIO'!Área_de_impresión</vt:lpstr>
      <vt:lpstr>'Baja California Sur_NivelE_Cons'!Área_de_impresión</vt:lpstr>
      <vt:lpstr>'Baja California Sur_USAMuni'!Área_de_impresión</vt:lpstr>
      <vt:lpstr>'Baja California SurXCons'!Área_de_impresión</vt:lpstr>
      <vt:lpstr>'Baja California Sur_Cons'!Títulos_a_imprimir</vt:lpstr>
      <vt:lpstr>'Baja California Sur_EdoMun'!Títulos_a_imprimir</vt:lpstr>
      <vt:lpstr>'Baja California Sur_EdoUsa'!Títulos_a_imprimir</vt:lpstr>
      <vt:lpstr>'Baja California Sur_educ_gral'!Títulos_a_imprimir</vt:lpstr>
      <vt:lpstr>'Baja California Sur_EducCons'!Títulos_a_imprimir</vt:lpstr>
      <vt:lpstr>'Baja California Sur_Gen_Edad'!Títulos_a_imprimir</vt:lpstr>
      <vt:lpstr>'Baja California Sur_GENERO'!Títulos_a_imprimir</vt:lpstr>
      <vt:lpstr>'Baja California Sur_GENERO_EUA'!Títulos_a_imprimir</vt:lpstr>
      <vt:lpstr>'Baja California Sur_GenGral'!Títulos_a_imprimir</vt:lpstr>
      <vt:lpstr>'Baja California Sur_MUNICIPIO'!Títulos_a_imprimir</vt:lpstr>
      <vt:lpstr>'Baja California Sur_NivelE_Cons'!Títulos_a_imprimir</vt:lpstr>
      <vt:lpstr>'Baja California Sur_ocup_gral'!Títulos_a_imprimir</vt:lpstr>
      <vt:lpstr>'Baja California Sur_USAMuni'!Títulos_a_imprimir</vt:lpstr>
      <vt:lpstr>'Baja California SurXCons'!Títulos_a_imprimir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2025-02-18T15:13:33Z</cp:lastPrinted>
  <dcterms:created xsi:type="dcterms:W3CDTF">2020-06-02T19:13:30Z</dcterms:created>
  <dcterms:modified xsi:type="dcterms:W3CDTF">2025-08-27T16:18:23Z</dcterms:modified>
</cp:coreProperties>
</file>