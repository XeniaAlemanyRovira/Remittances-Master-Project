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A0401178-9E6F-4B99-8D49-A252201EFC8A}" xr6:coauthVersionLast="47" xr6:coauthVersionMax="47" xr10:uidLastSave="{00000000-0000-0000-0000-000000000000}"/>
  <bookViews>
    <workbookView xWindow="-110" yWindow="-110" windowWidth="19420" windowHeight="10420" tabRatio="856" firstSheet="10" activeTab="13" xr2:uid="{00000000-000D-0000-FFFF-FFFF00000000}"/>
  </bookViews>
  <sheets>
    <sheet name="Índice" sheetId="1" r:id="rId1"/>
    <sheet name="Baja California_EdoUsa" sheetId="2" r:id="rId2"/>
    <sheet name="Baja California_Cons" sheetId="16" r:id="rId3"/>
    <sheet name="Baja CaliforniaXCons" sheetId="17" r:id="rId4"/>
    <sheet name="Baja California_EdoMun" sheetId="5" r:id="rId5"/>
    <sheet name="Baja California_USAMuni" sheetId="6" r:id="rId6"/>
    <sheet name="Baja California_MUNICIPIO" sheetId="7" r:id="rId7"/>
    <sheet name="Baja California_educ_gral" sheetId="8" r:id="rId8"/>
    <sheet name="Baja California_NivelE_Cons" sheetId="9" r:id="rId9"/>
    <sheet name="Baja California_EducCons" sheetId="10" r:id="rId10"/>
    <sheet name="Baja California_GenGral" sheetId="11" r:id="rId11"/>
    <sheet name="Baja California_GENERO" sheetId="12" r:id="rId12"/>
    <sheet name="Baja California_GENERO_EUA" sheetId="18" r:id="rId13"/>
    <sheet name="Baja California_Gen_Edad" sheetId="14" r:id="rId14"/>
    <sheet name="Baja California_ocup_gral" sheetId="15" r:id="rId15"/>
  </sheets>
  <definedNames>
    <definedName name="_xlnm._FilterDatabase" localSheetId="2" hidden="1">'Baja California_Cons'!$B$11:$D$11</definedName>
    <definedName name="_xlnm._FilterDatabase" localSheetId="4" hidden="1">'Baja California_EdoMun'!$B$11:$D$11</definedName>
    <definedName name="_xlnm._FilterDatabase" localSheetId="1" hidden="1">'Baja California_EdoUsa'!$B$11:$D$11</definedName>
    <definedName name="_xlnm._FilterDatabase" localSheetId="7" hidden="1">'Baja California_educ_gral'!$B$11:$D$11</definedName>
    <definedName name="_xlnm._FilterDatabase" localSheetId="9" hidden="1">'Baja California_EducCons'!$B$9:$E$658</definedName>
    <definedName name="_xlnm._FilterDatabase" localSheetId="13" hidden="1">'Baja California_Gen_Edad'!$B$13:$F$40</definedName>
    <definedName name="_xlnm._FilterDatabase" localSheetId="11" hidden="1">'Baja California_GENERO'!$B$12:$E$165</definedName>
    <definedName name="_xlnm._FilterDatabase" localSheetId="12" hidden="1">'Baja California_GENERO_EUA'!$B$12:$E$160</definedName>
    <definedName name="_xlnm._FilterDatabase" localSheetId="10" hidden="1">'Baja California_GenGral'!$B$11:$D$11</definedName>
    <definedName name="_xlnm._FilterDatabase" localSheetId="6" hidden="1">'Baja California_MUNICIPIO'!$B$10:$E$281</definedName>
    <definedName name="_xlnm._FilterDatabase" localSheetId="8" hidden="1">'Baja California_NivelE_Cons'!$B$9:$E$450</definedName>
    <definedName name="_xlnm._FilterDatabase" localSheetId="14" hidden="1">'Baja California_ocup_gral'!$B$11:$D$11</definedName>
    <definedName name="_xlnm._FilterDatabase" localSheetId="5" hidden="1">'Baja California_USAMuni'!$B$9:$E$246</definedName>
    <definedName name="_xlnm._FilterDatabase" localSheetId="3" hidden="1">'Baja CaliforniaXCons'!$B$11:$D$11</definedName>
    <definedName name="_xlnm.Print_Area" localSheetId="4">'Baja California_EdoMun'!$A$1:$F$25</definedName>
    <definedName name="_xlnm.Print_Area" localSheetId="1">'Baja California_EdoUsa'!$A$1:$F$69</definedName>
    <definedName name="_xlnm.Print_Area" localSheetId="7">'Baja California_educ_gral'!$A$1:$F$43</definedName>
    <definedName name="_xlnm.Print_Area" localSheetId="9">'Baja California_EducCons'!$A$1:$E$665</definedName>
    <definedName name="_xlnm.Print_Area" localSheetId="13">'Baja California_Gen_Edad'!$A$1:$H$41</definedName>
    <definedName name="_xlnm.Print_Area" localSheetId="11">'Baja California_GENERO'!$A$1:$G$172</definedName>
    <definedName name="_xlnm.Print_Area" localSheetId="12">'Baja California_GENERO_EUA'!$A$1:$G$166</definedName>
    <definedName name="_xlnm.Print_Area" localSheetId="6">'Baja California_MUNICIPIO'!$A$1:$E$288</definedName>
    <definedName name="_xlnm.Print_Area" localSheetId="8">'Baja California_NivelE_Cons'!$A$1:$E$456</definedName>
    <definedName name="_xlnm.Print_Area" localSheetId="14">'Baja California_ocup_gral'!$A$1:$F$69</definedName>
    <definedName name="_xlnm.Print_Area" localSheetId="5">'Baja California_USAMuni'!$A$1:$E$252</definedName>
    <definedName name="_xlnm.Print_Titles" localSheetId="2">'Baja California_Cons'!$1:$11</definedName>
    <definedName name="_xlnm.Print_Titles" localSheetId="4">'Baja California_EdoMun'!$1:$11</definedName>
    <definedName name="_xlnm.Print_Titles" localSheetId="1">'Baja California_EdoUsa'!$1:$11</definedName>
    <definedName name="_xlnm.Print_Titles" localSheetId="7">'Baja California_educ_gral'!$1:$11</definedName>
    <definedName name="_xlnm.Print_Titles" localSheetId="9">'Baja California_EducCons'!$1:$9</definedName>
    <definedName name="_xlnm.Print_Titles" localSheetId="13">'Baja California_Gen_Edad'!$1:$13</definedName>
    <definedName name="_xlnm.Print_Titles" localSheetId="11">'Baja California_GENERO'!$1:$12</definedName>
    <definedName name="_xlnm.Print_Titles" localSheetId="12">'Baja California_GENERO_EUA'!$1:$12</definedName>
    <definedName name="_xlnm.Print_Titles" localSheetId="10">'Baja California_GenGral'!$1:$11</definedName>
    <definedName name="_xlnm.Print_Titles" localSheetId="6">'Baja California_MUNICIPIO'!$1:$10</definedName>
    <definedName name="_xlnm.Print_Titles" localSheetId="8">'Baja California_NivelE_Cons'!$1:$9</definedName>
    <definedName name="_xlnm.Print_Titles" localSheetId="14">'Baja California_ocup_gral'!$1:$11</definedName>
    <definedName name="_xlnm.Print_Titles" localSheetId="5">'Baja California_USAMuni'!$1:$9</definedName>
    <definedName name="_xlnm.Print_Titles" localSheetId="3">'Baja CaliforniaXCons'!$1:$11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5" i="14" l="1"/>
  <c r="E14" i="14" l="1"/>
  <c r="E33" i="14" l="1"/>
  <c r="E32" i="14"/>
  <c r="E23" i="14"/>
  <c r="F14" i="14"/>
  <c r="E30" i="14"/>
  <c r="E29" i="14"/>
  <c r="E28" i="14"/>
  <c r="E27" i="14"/>
  <c r="E26" i="14"/>
  <c r="E25" i="14"/>
  <c r="E24" i="14"/>
  <c r="E21" i="14"/>
  <c r="E20" i="14"/>
  <c r="E19" i="14"/>
  <c r="E18" i="14"/>
  <c r="E17" i="14"/>
  <c r="E16" i="14"/>
  <c r="E15" i="14"/>
  <c r="F34" i="14"/>
  <c r="F33" i="14"/>
  <c r="F32" i="14"/>
  <c r="F31" i="14"/>
  <c r="F30" i="14"/>
  <c r="F29" i="14"/>
  <c r="F28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C22" i="17" l="1"/>
  <c r="D63" i="16" l="1"/>
  <c r="C63" i="16"/>
  <c r="D22" i="17" l="1"/>
</calcChain>
</file>

<file path=xl/sharedStrings.xml><?xml version="1.0" encoding="utf-8"?>
<sst xmlns="http://schemas.openxmlformats.org/spreadsheetml/2006/main" count="2558" uniqueCount="264">
  <si>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</si>
  <si>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</si>
  <si>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</si>
  <si>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</si>
  <si>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</si>
  <si>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</si>
  <si>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</si>
  <si>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</si>
  <si>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</si>
  <si>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</si>
  <si>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</si>
  <si>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</si>
  <si>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</si>
  <si>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</si>
  <si>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</si>
  <si>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</si>
  <si>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</si>
  <si>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</si>
  <si>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</si>
  <si>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</si>
  <si>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</si>
  <si>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</si>
  <si>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</si>
  <si>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</si>
  <si>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</si>
  <si>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</si>
  <si>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</si>
  <si>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</si>
  <si>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</si>
  <si>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</si>
  <si>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</si>
  <si>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</si>
  <si>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Ocupación</t>
  </si>
  <si>
    <t>5.2 Por Circunscripción Consular</t>
  </si>
  <si>
    <t>MATRÍCULAS CONSULARES DE ALTA SEGURIDAD EXPEDIDAS A ORIGINARIOS DE BAJA CALIFORNIA EN LOS CONSULADOS DE MÉXICO EN EE.UU.</t>
  </si>
  <si>
    <t>MATRÍCULAS CONSULARES EXPEDIDAS A ORIGINARIOS DE BAJA CALIFORNIA POR GÉNERO EN EE.UU</t>
  </si>
  <si>
    <t>MATRÍCULAS CONSULARES EXPEDIDAS EN EE.UU. A ORIGINARIOS DE BAJA CALIFORNIA POR NIVEL DE EDUCACIÓN</t>
  </si>
  <si>
    <t>MATRÍCULAS CONSULARES DE ALTA SEGURIDAD EXPEDIDAS POR MUNICIPIO A ORIGINARIOS DEL ESTADO DE BAJA CALIFORNIA EN LOS CONSULADOS DE MÉXICO EN EE.UU.</t>
  </si>
  <si>
    <t>MATRÍCULAS CONSULARES DE ALTA SEGURIDAD EXPEDIDAS A ORIGINARIOS DE BAJA CALIFORNIA POR ESTADO DE LA UNIÓN AMERICANA</t>
  </si>
  <si>
    <t>MATRÍCULAS CONSULARES EXPEDIDAS A ORIGINARIOS DE BAJA CALIFORNIA POR GÉNERO Y CONSULADO</t>
  </si>
  <si>
    <t>MATRÍCULAS CONSULARES EXPEDIDAS A ORIGINARIOS DE AGUASCALIENTES POR GÉNERO Y POR ESTADO DE LA UNIÓN AMERICANA</t>
  </si>
  <si>
    <t>5.3 Por Estado de la Unión Americana</t>
  </si>
  <si>
    <t>LOS 10 CONSULADOS  DE MÉXICO EN EE.UU., CON MAYOR NÚMERO DE EXPEDICIÓN DE  MATRÍCULAS CONSULARES DE ALTA SEGURIDAD A ORIGINARIOS DE BAJA CALIFORNIA</t>
  </si>
  <si>
    <t>TOTAL TOP 10</t>
  </si>
  <si>
    <t>TOTAL GENERAL</t>
  </si>
  <si>
    <t>Elaborado por: Análisis de Información, Instituto de Mexicanas y Mexicanos en el Exterior</t>
  </si>
  <si>
    <t>LOS ANGELES</t>
  </si>
  <si>
    <t>SAN BERNARDINO</t>
  </si>
  <si>
    <t>SAN DIEGO</t>
  </si>
  <si>
    <t>FRESNO</t>
  </si>
  <si>
    <t>LAS VEGAS</t>
  </si>
  <si>
    <t>SANTA ANA</t>
  </si>
  <si>
    <t>CALEXICO</t>
  </si>
  <si>
    <t>CHICAGO</t>
  </si>
  <si>
    <t>PHOENIX</t>
  </si>
  <si>
    <t>SACRAMENTO</t>
  </si>
  <si>
    <t>SAN JOSE</t>
  </si>
  <si>
    <t>OXNARD</t>
  </si>
  <si>
    <t>DALLAS</t>
  </si>
  <si>
    <t>HOUSTON</t>
  </si>
  <si>
    <t>SAN FRANCISCO</t>
  </si>
  <si>
    <t>YUMA</t>
  </si>
  <si>
    <t>SALT LAKE CITY</t>
  </si>
  <si>
    <t>ATLANTA</t>
  </si>
  <si>
    <t>RALEIGH</t>
  </si>
  <si>
    <t>KANSAS CITY</t>
  </si>
  <si>
    <t>DENVER</t>
  </si>
  <si>
    <t>OKLAHOMA CITY</t>
  </si>
  <si>
    <t>LITTLE ROCK</t>
  </si>
  <si>
    <t>PORTLAND</t>
  </si>
  <si>
    <t>BOISE</t>
  </si>
  <si>
    <t>ORLANDO</t>
  </si>
  <si>
    <t>SAINT PAUL</t>
  </si>
  <si>
    <t>SEATTLE</t>
  </si>
  <si>
    <t>MILWAUKEE</t>
  </si>
  <si>
    <t>INDIANAPOLIS</t>
  </si>
  <si>
    <t>NUEVA YORK</t>
  </si>
  <si>
    <t>EL PASO</t>
  </si>
  <si>
    <t>MIAMI</t>
  </si>
  <si>
    <t>FILADELFIA</t>
  </si>
  <si>
    <t>OMAHA</t>
  </si>
  <si>
    <t>TUCSON</t>
  </si>
  <si>
    <t>ALBUQUERQUE</t>
  </si>
  <si>
    <t>AUSTIN</t>
  </si>
  <si>
    <t>DETROIT</t>
  </si>
  <si>
    <t>MCALLEN</t>
  </si>
  <si>
    <t>SAN ANTONIO</t>
  </si>
  <si>
    <t>WASHINGTON</t>
  </si>
  <si>
    <t>NUEVA ORLEANS</t>
  </si>
  <si>
    <t>BROWNSVILLE</t>
  </si>
  <si>
    <t>NEW BRUNSWICK</t>
  </si>
  <si>
    <t>PRESIDIO</t>
  </si>
  <si>
    <t>BOSTON</t>
  </si>
  <si>
    <t>EAGLE PASS</t>
  </si>
  <si>
    <t>LAREDO</t>
  </si>
  <si>
    <t>NOGALES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</si>
  <si>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</si>
  <si>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</si>
  <si>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</si>
  <si>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</si>
  <si>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</si>
  <si>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</si>
  <si>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</si>
  <si>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</si>
  <si>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</si>
  <si>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</si>
  <si>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</si>
  <si>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</si>
  <si>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</si>
  <si>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</si>
  <si>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</si>
  <si>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</si>
  <si>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</si>
  <si>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</si>
  <si>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</si>
  <si>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</si>
  <si>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</si>
  <si>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</si>
  <si>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</si>
  <si>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</si>
  <si>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</si>
  <si>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</si>
  <si>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</si>
  <si>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</si>
  <si>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</si>
  <si>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</si>
  <si>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</si>
  <si>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MATRÍCULAS CONSULARES EXPEDIDAS A ORIGINARIOS DE BAJA CALIFORNIA POR GÉNERO Y EDAD 
EN EE.UU.</t>
  </si>
  <si>
    <t>MATRÍCULAS CONSULARES EXPEDIDAS EN EE.UU. ORIGINARIOS DE BAJA CALIFORNIA POR PERFIL OCUPACIONAL</t>
  </si>
  <si>
    <t>DOUGLAS</t>
  </si>
  <si>
    <t>Tamaño de la muestra: 808,027</t>
  </si>
  <si>
    <t>No Binario</t>
  </si>
  <si>
    <t>KINDERGARTEN</t>
  </si>
  <si>
    <t>ENTRE 00 Y 10 AÑOS</t>
  </si>
  <si>
    <t>CALIFORNIA</t>
  </si>
  <si>
    <t>ARIZONA</t>
  </si>
  <si>
    <t>TEXAS</t>
  </si>
  <si>
    <t>NEVADA</t>
  </si>
  <si>
    <t>ILLINOIS</t>
  </si>
  <si>
    <t>UTAH</t>
  </si>
  <si>
    <t>FLORIDA</t>
  </si>
  <si>
    <t>OKLAHOMA</t>
  </si>
  <si>
    <t>TENNESSEE</t>
  </si>
  <si>
    <t>INDIANA</t>
  </si>
  <si>
    <t>NORTH CAROLINA</t>
  </si>
  <si>
    <t>WISCONSIN</t>
  </si>
  <si>
    <t>COLORADO</t>
  </si>
  <si>
    <t>IDAHO</t>
  </si>
  <si>
    <t>OREGON</t>
  </si>
  <si>
    <t>MINNESOTA</t>
  </si>
  <si>
    <t>ARKANSAS</t>
  </si>
  <si>
    <t>GEORGIA</t>
  </si>
  <si>
    <t>KANSAS</t>
  </si>
  <si>
    <t>NEW YORK</t>
  </si>
  <si>
    <t>MISSOURI</t>
  </si>
  <si>
    <t>NEBRASKA</t>
  </si>
  <si>
    <t>MICHIGAN</t>
  </si>
  <si>
    <t>IOWA</t>
  </si>
  <si>
    <t>OHIO</t>
  </si>
  <si>
    <t>KENTUCKY</t>
  </si>
  <si>
    <t>SOUTH CAROLINA</t>
  </si>
  <si>
    <t>NEW JERSEY</t>
  </si>
  <si>
    <t>NEW MEXICO</t>
  </si>
  <si>
    <t>ALABAMA</t>
  </si>
  <si>
    <t>PENNSYLVANIA</t>
  </si>
  <si>
    <t>VIRGINIA</t>
  </si>
  <si>
    <t>MISSISSIPPI</t>
  </si>
  <si>
    <t>WYOMING</t>
  </si>
  <si>
    <t>LOUISIANA</t>
  </si>
  <si>
    <t>MASSACHUSETTS</t>
  </si>
  <si>
    <t>MARYLAND</t>
  </si>
  <si>
    <t>SOUTH DAKOTA</t>
  </si>
  <si>
    <t>CONNECTICUT</t>
  </si>
  <si>
    <t>DELAWARE</t>
  </si>
  <si>
    <t>NORTH DAKOTA</t>
  </si>
  <si>
    <t>DISTRICT OF COLUMBIA</t>
  </si>
  <si>
    <t>HAWAII</t>
  </si>
  <si>
    <t>MONTANA</t>
  </si>
  <si>
    <t>ALASKA</t>
  </si>
  <si>
    <t>MAINE</t>
  </si>
  <si>
    <t>NEW HAMPSHIRE</t>
  </si>
  <si>
    <t>RHODE ISLAND</t>
  </si>
  <si>
    <t>VERMONT</t>
  </si>
  <si>
    <t>WEST VIRGINIA</t>
  </si>
  <si>
    <t>TIJUANA</t>
  </si>
  <si>
    <t>MEXICALI</t>
  </si>
  <si>
    <t>ENSENADA</t>
  </si>
  <si>
    <t>TECATE</t>
  </si>
  <si>
    <t>PLAYAS DE ROSARITO</t>
  </si>
  <si>
    <t>DESCONOCIDO</t>
  </si>
  <si>
    <t>SAN QUINTÍN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</si>
  <si>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</si>
  <si>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</si>
  <si>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</si>
  <si>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</si>
  <si>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</si>
  <si>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</si>
  <si>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</si>
  <si>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</si>
  <si>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</si>
  <si>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</si>
  <si>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</si>
  <si>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</si>
  <si>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</si>
  <si>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FEMENINO</t>
  </si>
  <si>
    <t>MASCULINO</t>
  </si>
  <si>
    <t>NO BINARIO</t>
  </si>
  <si>
    <t xml:space="preserve">FEMENINO  </t>
  </si>
  <si>
    <t xml:space="preserve">MASCULINO  </t>
  </si>
  <si>
    <t>EMPLEADO(A)</t>
  </si>
  <si>
    <t>HOGAR</t>
  </si>
  <si>
    <t>ESTUDIANTE</t>
  </si>
  <si>
    <t>AGROPECUARIA, TRAB. DE LA INDUSTRIA</t>
  </si>
  <si>
    <t>CONSTRUCCIÓN, TRAB. DE LA IND. DE LA</t>
  </si>
  <si>
    <t>PROFESIONISTA</t>
  </si>
  <si>
    <t>JUBILADO(A)/PENSIONADO(A)</t>
  </si>
  <si>
    <t>ALIMENTOS Y BEBIDAS, ESP. EN PREPARACIÓN DE</t>
  </si>
  <si>
    <t>DESEMPLEADO</t>
  </si>
  <si>
    <t>OBRERO(A)</t>
  </si>
  <si>
    <t>JARDINERO(A)</t>
  </si>
  <si>
    <t>LIMPIEZA, EMPLEADO DE</t>
  </si>
  <si>
    <t>EMPRESARIO(A)</t>
  </si>
  <si>
    <t>PINTOR(A)</t>
  </si>
  <si>
    <t>MECÁNICO(A)</t>
  </si>
  <si>
    <t>CHOFER</t>
  </si>
  <si>
    <t>VENDEDOR(A)</t>
  </si>
  <si>
    <t>SIN ESPECIFICAR</t>
  </si>
  <si>
    <t>OTRO</t>
  </si>
  <si>
    <t>CAJERO(A)/COBRADOR(A)</t>
  </si>
  <si>
    <t>OPERARIO(A)</t>
  </si>
  <si>
    <t>COMERCIANTE</t>
  </si>
  <si>
    <t>MESERO(A)</t>
  </si>
  <si>
    <t>ENFERMERO(A)/TRAB. DE APOYO EN SALUD</t>
  </si>
  <si>
    <t>PROFESOR(A)</t>
  </si>
  <si>
    <t>CARPINTERO/TAPICERO</t>
  </si>
  <si>
    <t>DISCAPACITADO</t>
  </si>
  <si>
    <t>ADMINISTRADOR(A)/CONTADOR(A)</t>
  </si>
  <si>
    <t>GERENTE/DIRECTOR(A)</t>
  </si>
  <si>
    <t>SOLDADOR</t>
  </si>
  <si>
    <t>BELLEZA, PROFESIONAL DE SERVICIOS DE</t>
  </si>
  <si>
    <t>MÉDICO(A) /ESP. EN SALUD</t>
  </si>
  <si>
    <t>POLICÍA/ SERV. SEGURIDAD Y PROTECCIÓN</t>
  </si>
  <si>
    <t>PROFESIONAL TÉCNICO</t>
  </si>
  <si>
    <t>TÉCNICO(A) EN MANTENIMIENTO</t>
  </si>
  <si>
    <t>AUXILIARES ADMINISTRATIVOS Y DE OFICINA</t>
  </si>
  <si>
    <t>INGENIERO(A)</t>
  </si>
  <si>
    <t>AEROCOMERCIAL, TRAB. DE LA INDUSTRIA</t>
  </si>
  <si>
    <t>CARNICERO(A)</t>
  </si>
  <si>
    <t>FOTÓGRAFO(A)</t>
  </si>
  <si>
    <t>MILITAR</t>
  </si>
  <si>
    <t>TRABAJADOR(A) DOMÉSTICO(A)</t>
  </si>
  <si>
    <t>TRABAJADOR(A) SOCIAL</t>
  </si>
  <si>
    <t>ABOGADO(A)</t>
  </si>
  <si>
    <t>ARTESANO(A)</t>
  </si>
  <si>
    <t>CONSULTOR</t>
  </si>
  <si>
    <t>DISEÑADOR(A)</t>
  </si>
  <si>
    <t>MINISTRO(A) RELIGIOSO(A)</t>
  </si>
  <si>
    <t>SUPERVISOR(A)</t>
  </si>
  <si>
    <t>TOTAL</t>
  </si>
  <si>
    <t>Junio de 2025</t>
  </si>
  <si>
    <t xml:space="preserve"> TOTAL</t>
  </si>
  <si>
    <t xml:space="preserve">TOTAL </t>
  </si>
  <si>
    <t xml:space="preserve"> TOTAL </t>
  </si>
  <si>
    <t>Matrículas consulares expedidas a originarios de Baja California  en el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</si>
</sst>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38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10"/>
      <name val="Montserrat"/>
    </font>
    <font>
      <sz val="12"/>
      <color theme="1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sz val="6"/>
      <color indexed="8"/>
      <name val="Montserrat"/>
    </font>
    <font>
      <sz val="6"/>
      <color theme="1"/>
      <name val="Arial"/>
      <family val="2"/>
    </font>
    <font>
      <sz val="10"/>
      <color theme="1"/>
      <name val="Noto Sans"/>
      <family val="2"/>
    </font>
    <font>
      <b/>
      <sz val="9"/>
      <color theme="0"/>
      <name val="Noto Sans"/>
      <family val="2"/>
    </font>
    <font>
      <sz val="8"/>
      <color theme="1"/>
      <name val="Noto Sans"/>
      <family val="2"/>
    </font>
    <font>
      <sz val="8"/>
      <color rgb="FF000000"/>
      <name val="Noto Sans"/>
      <family val="2"/>
    </font>
    <font>
      <sz val="11"/>
      <color theme="1"/>
      <name val="Noto Sans"/>
      <family val="2"/>
    </font>
    <font>
      <sz val="7"/>
      <color indexed="8"/>
      <name val="Noto Sans"/>
      <family val="2"/>
    </font>
    <font>
      <sz val="6"/>
      <color indexed="8"/>
      <name val="Noto Sans"/>
      <family val="2"/>
    </font>
    <font>
      <b/>
      <sz val="9"/>
      <color indexed="9"/>
      <name val="Noto Sans"/>
      <family val="2"/>
    </font>
    <font>
      <sz val="11"/>
      <name val="Noto Sans"/>
      <family val="2"/>
    </font>
    <font>
      <b/>
      <sz val="9"/>
      <color rgb="FFFFFFFF"/>
      <name val="Noto Sans"/>
      <family val="2"/>
    </font>
    <font>
      <sz val="8"/>
      <color indexed="8"/>
      <name val="Noto Sans"/>
      <family val="2"/>
    </font>
    <font>
      <sz val="10"/>
      <name val="Noto Sans"/>
      <family val="2"/>
    </font>
    <font>
      <sz val="9"/>
      <color rgb="FF000000"/>
      <name val="Noto Sans"/>
      <family val="2"/>
    </font>
    <font>
      <sz val="9"/>
      <color theme="1"/>
      <name val="Noto Sans"/>
      <family val="2"/>
    </font>
    <font>
      <sz val="7"/>
      <color theme="1"/>
      <name val="Noto Sans"/>
      <family val="2"/>
    </font>
    <font>
      <sz val="7"/>
      <color theme="1"/>
      <name val="Arial"/>
      <family val="2"/>
    </font>
    <font>
      <sz val="7"/>
      <color theme="1"/>
      <name val="Calibri"/>
      <family val="2"/>
      <scheme val="minor"/>
    </font>
    <font>
      <sz val="7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18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7" fillId="0" borderId="0" xfId="0" applyFont="1"/>
    <xf numFmtId="0" fontId="8" fillId="0" borderId="0" xfId="0" applyFont="1" applyAlignment="1">
      <alignment horizontal="center" vertical="center" wrapText="1"/>
    </xf>
    <xf numFmtId="3" fontId="7" fillId="0" borderId="0" xfId="0" applyNumberFormat="1" applyFont="1"/>
    <xf numFmtId="1" fontId="7" fillId="0" borderId="0" xfId="0" applyNumberFormat="1" applyFont="1"/>
    <xf numFmtId="0" fontId="9" fillId="3" borderId="0" xfId="0" applyFont="1" applyFill="1"/>
    <xf numFmtId="0" fontId="10" fillId="3" borderId="0" xfId="0" applyFont="1" applyFill="1"/>
    <xf numFmtId="0" fontId="11" fillId="3" borderId="0" xfId="0" applyFont="1" applyFill="1"/>
    <xf numFmtId="0" fontId="7" fillId="3" borderId="0" xfId="0" applyFont="1" applyFill="1"/>
    <xf numFmtId="0" fontId="12" fillId="3" borderId="0" xfId="0" applyFont="1" applyFill="1"/>
    <xf numFmtId="0" fontId="11" fillId="3" borderId="0" xfId="0" applyFont="1" applyFill="1" applyAlignment="1">
      <alignment vertical="center"/>
    </xf>
    <xf numFmtId="3" fontId="7" fillId="3" borderId="0" xfId="0" applyNumberFormat="1" applyFont="1" applyFill="1"/>
    <xf numFmtId="1" fontId="7" fillId="3" borderId="0" xfId="0" applyNumberFormat="1" applyFont="1" applyFill="1"/>
    <xf numFmtId="0" fontId="13" fillId="3" borderId="0" xfId="0" applyFont="1" applyFill="1"/>
    <xf numFmtId="0" fontId="3" fillId="3" borderId="0" xfId="0" applyFont="1" applyFill="1"/>
    <xf numFmtId="0" fontId="7" fillId="3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14" fillId="3" borderId="12" xfId="0" applyFont="1" applyFill="1" applyBorder="1" applyAlignment="1">
      <alignment horizontal="center" vertical="distributed"/>
    </xf>
    <xf numFmtId="0" fontId="15" fillId="0" borderId="4" xfId="0" applyFont="1" applyBorder="1"/>
    <xf numFmtId="0" fontId="17" fillId="0" borderId="0" xfId="1" applyFont="1" applyBorder="1" applyAlignment="1">
      <alignment horizontal="left"/>
    </xf>
    <xf numFmtId="0" fontId="14" fillId="3" borderId="0" xfId="0" applyFont="1" applyFill="1" applyAlignment="1">
      <alignment horizontal="center" vertical="center"/>
    </xf>
    <xf numFmtId="0" fontId="5" fillId="0" borderId="0" xfId="0" applyFont="1"/>
    <xf numFmtId="0" fontId="18" fillId="3" borderId="0" xfId="0" applyFont="1" applyFill="1" applyAlignment="1">
      <alignment vertical="center"/>
    </xf>
    <xf numFmtId="0" fontId="18" fillId="3" borderId="0" xfId="0" applyFont="1" applyFill="1" applyAlignment="1">
      <alignment vertical="top"/>
    </xf>
    <xf numFmtId="0" fontId="18" fillId="3" borderId="0" xfId="0" applyFont="1" applyFill="1"/>
    <xf numFmtId="0" fontId="19" fillId="0" borderId="0" xfId="0" applyFont="1"/>
    <xf numFmtId="0" fontId="21" fillId="2" borderId="11" xfId="0" applyFont="1" applyFill="1" applyBorder="1" applyAlignment="1">
      <alignment horizontal="center" vertical="center" wrapText="1"/>
    </xf>
    <xf numFmtId="1" fontId="21" fillId="2" borderId="10" xfId="0" applyNumberFormat="1" applyFont="1" applyFill="1" applyBorder="1" applyAlignment="1">
      <alignment horizontal="center" vertical="center" wrapText="1"/>
    </xf>
    <xf numFmtId="0" fontId="21" fillId="2" borderId="10" xfId="0" applyFont="1" applyFill="1" applyBorder="1" applyAlignment="1">
      <alignment horizontal="center" vertical="center" wrapText="1"/>
    </xf>
    <xf numFmtId="0" fontId="22" fillId="0" borderId="0" xfId="0" applyFont="1"/>
    <xf numFmtId="0" fontId="24" fillId="3" borderId="0" xfId="0" applyFont="1" applyFill="1"/>
    <xf numFmtId="49" fontId="22" fillId="0" borderId="0" xfId="0" applyNumberFormat="1" applyFont="1" applyAlignment="1">
      <alignment horizontal="left" vertical="top" wrapText="1"/>
    </xf>
    <xf numFmtId="165" fontId="23" fillId="6" borderId="0" xfId="0" applyNumberFormat="1" applyFont="1" applyFill="1" applyAlignment="1">
      <alignment horizontal="right" vertical="top" wrapText="1"/>
    </xf>
    <xf numFmtId="164" fontId="23" fillId="6" borderId="0" xfId="0" applyNumberFormat="1" applyFont="1" applyFill="1" applyAlignment="1">
      <alignment horizontal="right" vertical="top" wrapText="1"/>
    </xf>
    <xf numFmtId="0" fontId="25" fillId="3" borderId="0" xfId="0" applyFont="1" applyFill="1"/>
    <xf numFmtId="3" fontId="24" fillId="3" borderId="0" xfId="0" applyNumberFormat="1" applyFont="1" applyFill="1"/>
    <xf numFmtId="0" fontId="25" fillId="3" borderId="0" xfId="0" applyFont="1" applyFill="1" applyAlignment="1">
      <alignment vertical="center"/>
    </xf>
    <xf numFmtId="0" fontId="25" fillId="3" borderId="0" xfId="0" applyFont="1" applyFill="1" applyAlignment="1">
      <alignment vertical="top"/>
    </xf>
    <xf numFmtId="49" fontId="22" fillId="0" borderId="0" xfId="0" applyNumberFormat="1" applyFont="1" applyAlignment="1">
      <alignment vertical="top" wrapText="1"/>
    </xf>
    <xf numFmtId="0" fontId="22" fillId="3" borderId="0" xfId="0" applyFont="1" applyFill="1"/>
    <xf numFmtId="3" fontId="22" fillId="3" borderId="0" xfId="0" applyNumberFormat="1" applyFont="1" applyFill="1"/>
    <xf numFmtId="49" fontId="21" fillId="4" borderId="9" xfId="0" applyNumberFormat="1" applyFont="1" applyFill="1" applyBorder="1" applyAlignment="1">
      <alignment vertical="center" wrapText="1"/>
    </xf>
    <xf numFmtId="3" fontId="21" fillId="4" borderId="9" xfId="0" applyNumberFormat="1" applyFont="1" applyFill="1" applyBorder="1" applyAlignment="1">
      <alignment horizontal="right" vertical="center" wrapText="1"/>
    </xf>
    <xf numFmtId="1" fontId="22" fillId="0" borderId="0" xfId="0" applyNumberFormat="1" applyFont="1"/>
    <xf numFmtId="3" fontId="22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6" fillId="3" borderId="0" xfId="0" applyFont="1" applyFill="1" applyAlignment="1">
      <alignment vertical="center"/>
    </xf>
    <xf numFmtId="0" fontId="26" fillId="3" borderId="0" xfId="0" applyFont="1" applyFill="1" applyAlignment="1">
      <alignment vertical="top"/>
    </xf>
    <xf numFmtId="0" fontId="26" fillId="3" borderId="0" xfId="0" applyFont="1" applyFill="1"/>
    <xf numFmtId="0" fontId="27" fillId="2" borderId="10" xfId="3" applyFont="1" applyFill="1" applyBorder="1" applyAlignment="1">
      <alignment horizontal="center" vertical="center" wrapText="1"/>
    </xf>
    <xf numFmtId="0" fontId="21" fillId="2" borderId="10" xfId="3" applyFont="1" applyFill="1" applyBorder="1" applyAlignment="1">
      <alignment horizontal="center" vertical="center" wrapText="1"/>
    </xf>
    <xf numFmtId="1" fontId="27" fillId="2" borderId="10" xfId="3" applyNumberFormat="1" applyFont="1" applyFill="1" applyBorder="1" applyAlignment="1">
      <alignment horizontal="center" vertical="center" wrapText="1"/>
    </xf>
    <xf numFmtId="0" fontId="28" fillId="3" borderId="0" xfId="0" applyFont="1" applyFill="1"/>
    <xf numFmtId="0" fontId="30" fillId="0" borderId="0" xfId="0" applyFont="1" applyAlignment="1">
      <alignment horizontal="justify" vertical="center"/>
    </xf>
    <xf numFmtId="0" fontId="30" fillId="0" borderId="0" xfId="0" applyFont="1" applyAlignment="1">
      <alignment vertical="top"/>
    </xf>
    <xf numFmtId="0" fontId="29" fillId="5" borderId="10" xfId="3" applyFont="1" applyFill="1" applyBorder="1" applyAlignment="1">
      <alignment horizontal="center" vertical="center" wrapText="1"/>
    </xf>
    <xf numFmtId="0" fontId="32" fillId="0" borderId="9" xfId="0" applyFont="1" applyBorder="1" applyAlignment="1">
      <alignment vertical="center" wrapText="1"/>
    </xf>
    <xf numFmtId="3" fontId="32" fillId="6" borderId="9" xfId="0" applyNumberFormat="1" applyFont="1" applyFill="1" applyBorder="1" applyAlignment="1">
      <alignment horizontal="right" vertical="center" wrapText="1"/>
    </xf>
    <xf numFmtId="10" fontId="32" fillId="6" borderId="9" xfId="0" applyNumberFormat="1" applyFont="1" applyFill="1" applyBorder="1" applyAlignment="1">
      <alignment horizontal="right" vertical="center" wrapText="1"/>
    </xf>
    <xf numFmtId="0" fontId="32" fillId="6" borderId="9" xfId="0" applyFont="1" applyFill="1" applyBorder="1" applyAlignment="1">
      <alignment horizontal="right" vertical="center" wrapText="1"/>
    </xf>
    <xf numFmtId="0" fontId="21" fillId="4" borderId="9" xfId="0" applyFont="1" applyFill="1" applyBorder="1" applyAlignment="1">
      <alignment vertical="center" wrapText="1"/>
    </xf>
    <xf numFmtId="10" fontId="21" fillId="4" borderId="9" xfId="0" applyNumberFormat="1" applyFont="1" applyFill="1" applyBorder="1" applyAlignment="1">
      <alignment horizontal="right" vertical="center" wrapText="1"/>
    </xf>
    <xf numFmtId="49" fontId="33" fillId="0" borderId="9" xfId="0" applyNumberFormat="1" applyFont="1" applyBorder="1" applyAlignment="1">
      <alignment vertical="top" wrapText="1"/>
    </xf>
    <xf numFmtId="165" fontId="32" fillId="6" borderId="9" xfId="0" applyNumberFormat="1" applyFont="1" applyFill="1" applyBorder="1" applyAlignment="1">
      <alignment horizontal="right" vertical="top" wrapText="1"/>
    </xf>
    <xf numFmtId="164" fontId="32" fillId="6" borderId="9" xfId="0" applyNumberFormat="1" applyFont="1" applyFill="1" applyBorder="1" applyAlignment="1">
      <alignment horizontal="right" vertical="top" wrapText="1"/>
    </xf>
    <xf numFmtId="49" fontId="21" fillId="4" borderId="9" xfId="0" applyNumberFormat="1" applyFont="1" applyFill="1" applyBorder="1" applyAlignment="1">
      <alignment vertical="top" wrapText="1"/>
    </xf>
    <xf numFmtId="165" fontId="21" fillId="4" borderId="9" xfId="0" applyNumberFormat="1" applyFont="1" applyFill="1" applyBorder="1" applyAlignment="1">
      <alignment horizontal="right" vertical="top" wrapText="1"/>
    </xf>
    <xf numFmtId="164" fontId="21" fillId="4" borderId="9" xfId="0" applyNumberFormat="1" applyFont="1" applyFill="1" applyBorder="1" applyAlignment="1">
      <alignment horizontal="right" vertical="top" wrapText="1"/>
    </xf>
    <xf numFmtId="0" fontId="33" fillId="3" borderId="9" xfId="0" applyFont="1" applyFill="1" applyBorder="1"/>
    <xf numFmtId="49" fontId="21" fillId="7" borderId="9" xfId="0" applyNumberFormat="1" applyFont="1" applyFill="1" applyBorder="1" applyAlignment="1">
      <alignment vertical="center" wrapText="1"/>
    </xf>
    <xf numFmtId="3" fontId="21" fillId="7" borderId="9" xfId="0" applyNumberFormat="1" applyFont="1" applyFill="1" applyBorder="1" applyAlignment="1">
      <alignment horizontal="right" vertical="center" wrapText="1"/>
    </xf>
    <xf numFmtId="164" fontId="21" fillId="7" borderId="9" xfId="0" applyNumberFormat="1" applyFont="1" applyFill="1" applyBorder="1" applyAlignment="1">
      <alignment horizontal="right" vertical="center" wrapText="1"/>
    </xf>
    <xf numFmtId="3" fontId="34" fillId="3" borderId="0" xfId="0" applyNumberFormat="1" applyFont="1" applyFill="1"/>
    <xf numFmtId="0" fontId="34" fillId="3" borderId="0" xfId="0" applyFont="1" applyFill="1"/>
    <xf numFmtId="3" fontId="35" fillId="3" borderId="0" xfId="0" applyNumberFormat="1" applyFont="1" applyFill="1"/>
    <xf numFmtId="0" fontId="36" fillId="3" borderId="0" xfId="0" applyFont="1" applyFill="1"/>
    <xf numFmtId="165" fontId="21" fillId="7" borderId="9" xfId="0" applyNumberFormat="1" applyFont="1" applyFill="1" applyBorder="1" applyAlignment="1">
      <alignment horizontal="right" vertical="top" wrapText="1"/>
    </xf>
    <xf numFmtId="0" fontId="21" fillId="7" borderId="9" xfId="0" applyFont="1" applyFill="1" applyBorder="1" applyAlignment="1">
      <alignment vertical="center" wrapText="1"/>
    </xf>
    <xf numFmtId="164" fontId="21" fillId="7" borderId="9" xfId="0" applyNumberFormat="1" applyFont="1" applyFill="1" applyBorder="1" applyAlignment="1">
      <alignment horizontal="right" vertical="top" wrapText="1"/>
    </xf>
    <xf numFmtId="0" fontId="37" fillId="3" borderId="0" xfId="0" applyFont="1" applyFill="1"/>
    <xf numFmtId="1" fontId="29" fillId="5" borderId="10" xfId="3" applyNumberFormat="1" applyFont="1" applyFill="1" applyBorder="1" applyAlignment="1">
      <alignment horizontal="center" vertical="center" wrapText="1"/>
    </xf>
    <xf numFmtId="49" fontId="21" fillId="7" borderId="9" xfId="0" applyNumberFormat="1" applyFont="1" applyFill="1" applyBorder="1" applyAlignment="1">
      <alignment vertical="top" wrapText="1"/>
    </xf>
    <xf numFmtId="0" fontId="17" fillId="0" borderId="4" xfId="1" applyFont="1" applyBorder="1" applyAlignment="1">
      <alignment horizontal="left"/>
    </xf>
    <xf numFmtId="0" fontId="17" fillId="0" borderId="0" xfId="1" applyFont="1" applyBorder="1" applyAlignment="1">
      <alignment horizontal="left"/>
    </xf>
    <xf numFmtId="0" fontId="16" fillId="2" borderId="1" xfId="0" applyFont="1" applyFill="1" applyBorder="1" applyAlignment="1">
      <alignment horizontal="center" wrapText="1"/>
    </xf>
    <xf numFmtId="0" fontId="16" fillId="2" borderId="2" xfId="0" applyFont="1" applyFill="1" applyBorder="1" applyAlignment="1">
      <alignment horizontal="center" wrapText="1"/>
    </xf>
    <xf numFmtId="0" fontId="16" fillId="2" borderId="3" xfId="0" applyFont="1" applyFill="1" applyBorder="1" applyAlignment="1">
      <alignment horizontal="center" wrapText="1"/>
    </xf>
    <xf numFmtId="0" fontId="15" fillId="0" borderId="4" xfId="0" applyFont="1" applyBorder="1" applyAlignment="1">
      <alignment horizontal="left" wrapText="1"/>
    </xf>
    <xf numFmtId="0" fontId="15" fillId="0" borderId="0" xfId="0" applyFont="1" applyAlignment="1">
      <alignment horizontal="left" wrapText="1"/>
    </xf>
    <xf numFmtId="0" fontId="15" fillId="0" borderId="5" xfId="0" applyFont="1" applyBorder="1" applyAlignment="1">
      <alignment horizontal="left" wrapText="1"/>
    </xf>
    <xf numFmtId="0" fontId="17" fillId="0" borderId="5" xfId="1" applyFont="1" applyBorder="1" applyAlignment="1">
      <alignment horizontal="left"/>
    </xf>
    <xf numFmtId="0" fontId="20" fillId="0" borderId="0" xfId="0" applyFont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 wrapText="1"/>
    </xf>
    <xf numFmtId="0" fontId="21" fillId="4" borderId="16" xfId="0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wrapText="1"/>
    </xf>
    <xf numFmtId="0" fontId="32" fillId="0" borderId="10" xfId="0" applyFont="1" applyBorder="1" applyAlignment="1">
      <alignment horizontal="center" vertical="center" wrapText="1"/>
    </xf>
    <xf numFmtId="0" fontId="32" fillId="0" borderId="13" xfId="0" applyFont="1" applyBorder="1" applyAlignment="1">
      <alignment horizontal="center" vertical="center" wrapText="1"/>
    </xf>
    <xf numFmtId="0" fontId="32" fillId="0" borderId="14" xfId="0" applyFont="1" applyBorder="1" applyAlignment="1">
      <alignment horizontal="center" vertical="center" wrapText="1"/>
    </xf>
    <xf numFmtId="49" fontId="21" fillId="4" borderId="15" xfId="0" applyNumberFormat="1" applyFont="1" applyFill="1" applyBorder="1" applyAlignment="1">
      <alignment horizontal="center" vertical="top" wrapText="1"/>
    </xf>
    <xf numFmtId="49" fontId="21" fillId="4" borderId="16" xfId="0" applyNumberFormat="1" applyFont="1" applyFill="1" applyBorder="1" applyAlignment="1">
      <alignment horizontal="center" vertical="top" wrapText="1"/>
    </xf>
    <xf numFmtId="0" fontId="31" fillId="3" borderId="0" xfId="0" applyFont="1" applyFill="1" applyAlignment="1">
      <alignment horizontal="center" vertical="center" wrapText="1"/>
    </xf>
    <xf numFmtId="49" fontId="33" fillId="0" borderId="10" xfId="0" applyNumberFormat="1" applyFont="1" applyBorder="1" applyAlignment="1">
      <alignment horizontal="center" vertical="center" wrapText="1"/>
    </xf>
    <xf numFmtId="49" fontId="33" fillId="0" borderId="13" xfId="0" applyNumberFormat="1" applyFont="1" applyBorder="1" applyAlignment="1">
      <alignment horizontal="center" vertical="center" wrapText="1"/>
    </xf>
    <xf numFmtId="49" fontId="33" fillId="0" borderId="14" xfId="0" applyNumberFormat="1" applyFont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537291</xdr:colOff>
      <xdr:row>1</xdr:row>
      <xdr:rowOff>199717</xdr:rowOff>
    </xdr:from>
    <xdr:to>
      <xdr:col>3</xdr:col>
      <xdr:colOff>1049388</xdr:colOff>
      <xdr:row>2</xdr:row>
      <xdr:rowOff>199717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61516" y="73311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257175</xdr:colOff>
      <xdr:row>7</xdr:row>
      <xdr:rowOff>133350</xdr:rowOff>
    </xdr:from>
    <xdr:to>
      <xdr:col>5</xdr:col>
      <xdr:colOff>150147</xdr:colOff>
      <xdr:row>8</xdr:row>
      <xdr:rowOff>133350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305175" y="146685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123265</xdr:colOff>
      <xdr:row>1</xdr:row>
      <xdr:rowOff>156883</xdr:rowOff>
    </xdr:from>
    <xdr:to>
      <xdr:col>1</xdr:col>
      <xdr:colOff>1128262</xdr:colOff>
      <xdr:row>2</xdr:row>
      <xdr:rowOff>188260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807A3BD-E29C-4A60-A660-38AB8D3E07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265" y="347383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348503</xdr:colOff>
      <xdr:row>1</xdr:row>
      <xdr:rowOff>78441</xdr:rowOff>
    </xdr:from>
    <xdr:to>
      <xdr:col>5</xdr:col>
      <xdr:colOff>172400</xdr:colOff>
      <xdr:row>3</xdr:row>
      <xdr:rowOff>165876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F79036A-ABC0-48DD-ADA7-C2E2B59CFB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43768" y="268941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238125</xdr:colOff>
      <xdr:row>8</xdr:row>
      <xdr:rowOff>0</xdr:rowOff>
    </xdr:from>
    <xdr:to>
      <xdr:col>5</xdr:col>
      <xdr:colOff>131097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861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139981</xdr:colOff>
      <xdr:row>1</xdr:row>
      <xdr:rowOff>66264</xdr:rowOff>
    </xdr:from>
    <xdr:to>
      <xdr:col>1</xdr:col>
      <xdr:colOff>1140106</xdr:colOff>
      <xdr:row>2</xdr:row>
      <xdr:rowOff>97641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4BBFF01-A925-42C7-8E1D-D01E6613C8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981" y="25676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330478</xdr:colOff>
      <xdr:row>1</xdr:row>
      <xdr:rowOff>57978</xdr:rowOff>
    </xdr:from>
    <xdr:to>
      <xdr:col>5</xdr:col>
      <xdr:colOff>149502</xdr:colOff>
      <xdr:row>3</xdr:row>
      <xdr:rowOff>145413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C39DD82-0A5E-46B7-8579-4DB3816C00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9956" y="24847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461010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98566</xdr:colOff>
      <xdr:row>1</xdr:row>
      <xdr:rowOff>41415</xdr:rowOff>
    </xdr:from>
    <xdr:to>
      <xdr:col>1</xdr:col>
      <xdr:colOff>1098691</xdr:colOff>
      <xdr:row>2</xdr:row>
      <xdr:rowOff>72792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BA0B4E1-A700-4993-9BD8-044857F099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566" y="231915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429868</xdr:colOff>
      <xdr:row>1</xdr:row>
      <xdr:rowOff>66261</xdr:rowOff>
    </xdr:from>
    <xdr:to>
      <xdr:col>5</xdr:col>
      <xdr:colOff>248892</xdr:colOff>
      <xdr:row>3</xdr:row>
      <xdr:rowOff>153696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CB03F6D-5185-4805-AEF4-D018D6122F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69346" y="256761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209550</xdr:colOff>
      <xdr:row>7</xdr:row>
      <xdr:rowOff>85725</xdr:rowOff>
    </xdr:from>
    <xdr:to>
      <xdr:col>5</xdr:col>
      <xdr:colOff>102522</xdr:colOff>
      <xdr:row>8</xdr:row>
      <xdr:rowOff>85725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3257550" y="1419225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131697</xdr:colOff>
      <xdr:row>1</xdr:row>
      <xdr:rowOff>0</xdr:rowOff>
    </xdr:from>
    <xdr:to>
      <xdr:col>1</xdr:col>
      <xdr:colOff>1131822</xdr:colOff>
      <xdr:row>2</xdr:row>
      <xdr:rowOff>31377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0311D89-33A3-40A7-A94F-B2B3485F5F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697" y="190500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388455</xdr:colOff>
      <xdr:row>1</xdr:row>
      <xdr:rowOff>49695</xdr:rowOff>
    </xdr:from>
    <xdr:to>
      <xdr:col>5</xdr:col>
      <xdr:colOff>207480</xdr:colOff>
      <xdr:row>3</xdr:row>
      <xdr:rowOff>137130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5958B5B-1487-4215-AB25-94A60398C4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24890" y="240195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Noto Sans" panose="020B0502040504020204" pitchFamily="34" charset="0"/>
              <a:ea typeface="Noto Sans" panose="020B0502040504020204" pitchFamily="34" charset="0"/>
            </a:rPr>
            <a:t>MATRÍCULAS </a:t>
          </a:r>
          <a:r>
            <a:rPr lang="es-MX" sz="1050"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CONSULARES</a:t>
          </a:r>
          <a:r>
            <a:rPr lang="es-MX" sz="1050">
              <a:latin typeface="Noto Sans" panose="020B0502040504020204" pitchFamily="34" charset="0"/>
              <a:ea typeface="Noto Sans" panose="020B0502040504020204" pitchFamily="34" charset="0"/>
            </a:rPr>
            <a:t> DE ALTA SEGURIDAD EXPEDIDAS POR MUNICIPIO A ORIGINARIOS DEL ESTADO DE BAJA CALIFORNIA POR ESTADO EN EE.UU.</a:t>
          </a:r>
        </a:p>
      </xdr:txBody>
    </xdr:sp>
    <xdr:clientData/>
  </xdr:twoCellAnchor>
  <xdr:twoCellAnchor>
    <xdr:from>
      <xdr:col>4</xdr:col>
      <xdr:colOff>492673</xdr:colOff>
      <xdr:row>7</xdr:row>
      <xdr:rowOff>87585</xdr:rowOff>
    </xdr:from>
    <xdr:to>
      <xdr:col>4</xdr:col>
      <xdr:colOff>1004770</xdr:colOff>
      <xdr:row>7</xdr:row>
      <xdr:rowOff>273705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123794" y="1817413"/>
          <a:ext cx="512097" cy="18612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65313</xdr:colOff>
      <xdr:row>1</xdr:row>
      <xdr:rowOff>39424</xdr:rowOff>
    </xdr:from>
    <xdr:to>
      <xdr:col>2</xdr:col>
      <xdr:colOff>164335</xdr:colOff>
      <xdr:row>2</xdr:row>
      <xdr:rowOff>74202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F82C15E-C3F1-4875-B1AD-5A7E4147BC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49" y="19250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413997</xdr:colOff>
      <xdr:row>1</xdr:row>
      <xdr:rowOff>98955</xdr:rowOff>
    </xdr:from>
    <xdr:to>
      <xdr:col>4</xdr:col>
      <xdr:colOff>854217</xdr:colOff>
      <xdr:row>3</xdr:row>
      <xdr:rowOff>193193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6961372E-1BD4-4FE1-AC85-84436C31D9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48930" y="252035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8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</a:t>
          </a:r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ESTADO</a:t>
          </a:r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 DE BAJA CALIFORNIA EN LOS CONSULADOS DE MÉXICO EN EE.UU.</a:t>
          </a:r>
        </a:p>
      </xdr:txBody>
    </xdr:sp>
    <xdr:clientData/>
  </xdr:twoCellAnchor>
  <xdr:twoCellAnchor>
    <xdr:from>
      <xdr:col>4</xdr:col>
      <xdr:colOff>382269</xdr:colOff>
      <xdr:row>7</xdr:row>
      <xdr:rowOff>167488</xdr:rowOff>
    </xdr:from>
    <xdr:to>
      <xdr:col>4</xdr:col>
      <xdr:colOff>894366</xdr:colOff>
      <xdr:row>8</xdr:row>
      <xdr:rowOff>176897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230681" y="1915606"/>
          <a:ext cx="512097" cy="18870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88526</xdr:colOff>
      <xdr:row>1</xdr:row>
      <xdr:rowOff>91652</xdr:rowOff>
    </xdr:from>
    <xdr:to>
      <xdr:col>2</xdr:col>
      <xdr:colOff>185847</xdr:colOff>
      <xdr:row>2</xdr:row>
      <xdr:rowOff>123029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F94FDCB-88D3-4D7E-B2CE-5F665DCF25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761" y="24853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413497</xdr:colOff>
      <xdr:row>1</xdr:row>
      <xdr:rowOff>91652</xdr:rowOff>
    </xdr:from>
    <xdr:to>
      <xdr:col>4</xdr:col>
      <xdr:colOff>853717</xdr:colOff>
      <xdr:row>3</xdr:row>
      <xdr:rowOff>179087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8A4FDA33-DC47-4395-B279-1E9D53E37C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52732" y="24853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133350</xdr:colOff>
      <xdr:row>7</xdr:row>
      <xdr:rowOff>114300</xdr:rowOff>
    </xdr:from>
    <xdr:to>
      <xdr:col>5</xdr:col>
      <xdr:colOff>26322</xdr:colOff>
      <xdr:row>8</xdr:row>
      <xdr:rowOff>114300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562475" y="16383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106849</xdr:colOff>
      <xdr:row>1</xdr:row>
      <xdr:rowOff>49698</xdr:rowOff>
    </xdr:from>
    <xdr:to>
      <xdr:col>1</xdr:col>
      <xdr:colOff>1106974</xdr:colOff>
      <xdr:row>2</xdr:row>
      <xdr:rowOff>81075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F36A04A-1FC6-4811-8536-B1063EE2CB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849" y="240198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289065</xdr:colOff>
      <xdr:row>0</xdr:row>
      <xdr:rowOff>190496</xdr:rowOff>
    </xdr:from>
    <xdr:to>
      <xdr:col>5</xdr:col>
      <xdr:colOff>108089</xdr:colOff>
      <xdr:row>3</xdr:row>
      <xdr:rowOff>87431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B3F0082-E2AD-4DCE-8C44-A22B964FBD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40239" y="19049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MATRÍCULAS CONSULARES DE ALTA SEGURIDAD EXPEDIDAS A ORIGINARIOS DEL ESTADO DE BAJA CALIFORNIA POR NIVEL DE EDUCACIÓN Y ESTADO EN EE.UU.</a:t>
          </a:r>
        </a:p>
      </xdr:txBody>
    </xdr:sp>
    <xdr:clientData/>
  </xdr:twoCellAnchor>
  <xdr:twoCellAnchor>
    <xdr:from>
      <xdr:col>4</xdr:col>
      <xdr:colOff>481263</xdr:colOff>
      <xdr:row>7</xdr:row>
      <xdr:rowOff>110289</xdr:rowOff>
    </xdr:from>
    <xdr:to>
      <xdr:col>4</xdr:col>
      <xdr:colOff>993360</xdr:colOff>
      <xdr:row>7</xdr:row>
      <xdr:rowOff>300789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9815763" y="1443789"/>
          <a:ext cx="512097" cy="762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95249</xdr:colOff>
      <xdr:row>1</xdr:row>
      <xdr:rowOff>116304</xdr:rowOff>
    </xdr:from>
    <xdr:to>
      <xdr:col>2</xdr:col>
      <xdr:colOff>192570</xdr:colOff>
      <xdr:row>2</xdr:row>
      <xdr:rowOff>147681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A7CB7DD-52D2-4E3F-9856-A0392979C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1924" y="26870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504824</xdr:colOff>
      <xdr:row>1</xdr:row>
      <xdr:rowOff>87729</xdr:rowOff>
    </xdr:from>
    <xdr:to>
      <xdr:col>4</xdr:col>
      <xdr:colOff>945044</xdr:colOff>
      <xdr:row>3</xdr:row>
      <xdr:rowOff>175164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1F5DBDC8-DF57-48F9-8C92-6054EF9FC3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48249" y="24012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MATRÍCULAS CONSULARES DE ALTA SEGURIDAD EXPEDIDAS A ORIGINARIOS DEL ESTADO DE BAJA CALIFORNIA POR CONSULADO Y NIVEL DE EDUCACIÓN EN EE.UU</a:t>
          </a:r>
          <a:r>
            <a:rPr lang="es-MX" sz="1000">
              <a:latin typeface="Montserrat" panose="00000500000000000000" pitchFamily="2" charset="0"/>
            </a:rPr>
            <a:t>.</a:t>
          </a:r>
        </a:p>
      </xdr:txBody>
    </xdr:sp>
    <xdr:clientData/>
  </xdr:twoCellAnchor>
  <xdr:twoCellAnchor>
    <xdr:from>
      <xdr:col>4</xdr:col>
      <xdr:colOff>510268</xdr:colOff>
      <xdr:row>7</xdr:row>
      <xdr:rowOff>136071</xdr:rowOff>
    </xdr:from>
    <xdr:to>
      <xdr:col>4</xdr:col>
      <xdr:colOff>1022365</xdr:colOff>
      <xdr:row>7</xdr:row>
      <xdr:rowOff>323169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9844768" y="1469571"/>
          <a:ext cx="512097" cy="5374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88526</xdr:colOff>
      <xdr:row>1</xdr:row>
      <xdr:rowOff>69240</xdr:rowOff>
    </xdr:from>
    <xdr:to>
      <xdr:col>2</xdr:col>
      <xdr:colOff>185847</xdr:colOff>
      <xdr:row>2</xdr:row>
      <xdr:rowOff>100617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219D3C8-13A0-4E03-AC58-842C7B5A6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761" y="226122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458320</xdr:colOff>
      <xdr:row>1</xdr:row>
      <xdr:rowOff>58034</xdr:rowOff>
    </xdr:from>
    <xdr:to>
      <xdr:col>4</xdr:col>
      <xdr:colOff>898540</xdr:colOff>
      <xdr:row>3</xdr:row>
      <xdr:rowOff>145469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FB09D4F-047B-447E-8127-49B61184BE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97555" y="21491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247650</xdr:colOff>
      <xdr:row>7</xdr:row>
      <xdr:rowOff>76200</xdr:rowOff>
    </xdr:from>
    <xdr:to>
      <xdr:col>5</xdr:col>
      <xdr:colOff>140622</xdr:colOff>
      <xdr:row>8</xdr:row>
      <xdr:rowOff>76200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3295650" y="140970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148264</xdr:colOff>
      <xdr:row>1</xdr:row>
      <xdr:rowOff>107679</xdr:rowOff>
    </xdr:from>
    <xdr:to>
      <xdr:col>1</xdr:col>
      <xdr:colOff>1148389</xdr:colOff>
      <xdr:row>2</xdr:row>
      <xdr:rowOff>139056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6FDBF4F-001E-4A8C-9596-709DC16755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64" y="298179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380173</xdr:colOff>
      <xdr:row>1</xdr:row>
      <xdr:rowOff>74543</xdr:rowOff>
    </xdr:from>
    <xdr:to>
      <xdr:col>5</xdr:col>
      <xdr:colOff>199197</xdr:colOff>
      <xdr:row>3</xdr:row>
      <xdr:rowOff>161978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C084F88-1BD4-4DA5-86D4-0ACA9BE7C8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19651" y="265043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15421</xdr:colOff>
      <xdr:row>9</xdr:row>
      <xdr:rowOff>26307</xdr:rowOff>
    </xdr:from>
    <xdr:to>
      <xdr:col>6</xdr:col>
      <xdr:colOff>146518</xdr:colOff>
      <xdr:row>10</xdr:row>
      <xdr:rowOff>26307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597071" y="1740807"/>
          <a:ext cx="53114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57150</xdr:colOff>
      <xdr:row>1</xdr:row>
      <xdr:rowOff>59154</xdr:rowOff>
    </xdr:from>
    <xdr:to>
      <xdr:col>2</xdr:col>
      <xdr:colOff>411646</xdr:colOff>
      <xdr:row>2</xdr:row>
      <xdr:rowOff>138156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0314E11-B358-4DDE-A99F-5D77291AAC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24965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485775</xdr:colOff>
      <xdr:row>0</xdr:row>
      <xdr:rowOff>173454</xdr:rowOff>
    </xdr:from>
    <xdr:to>
      <xdr:col>4</xdr:col>
      <xdr:colOff>925995</xdr:colOff>
      <xdr:row>3</xdr:row>
      <xdr:rowOff>118014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50FA498-6D80-41D0-BF7F-BAF5965A5B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00600" y="17345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28121</xdr:colOff>
      <xdr:row>8</xdr:row>
      <xdr:rowOff>166007</xdr:rowOff>
    </xdr:from>
    <xdr:to>
      <xdr:col>6</xdr:col>
      <xdr:colOff>159218</xdr:colOff>
      <xdr:row>9</xdr:row>
      <xdr:rowOff>166007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851071" y="1690007"/>
          <a:ext cx="53114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76200</xdr:colOff>
      <xdr:row>1</xdr:row>
      <xdr:rowOff>97254</xdr:rowOff>
    </xdr:from>
    <xdr:to>
      <xdr:col>2</xdr:col>
      <xdr:colOff>78271</xdr:colOff>
      <xdr:row>2</xdr:row>
      <xdr:rowOff>176256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AC0ED52-DA12-492D-99D1-0A35EFCA64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200" y="28775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485775</xdr:colOff>
      <xdr:row>1</xdr:row>
      <xdr:rowOff>2004</xdr:rowOff>
    </xdr:from>
    <xdr:to>
      <xdr:col>4</xdr:col>
      <xdr:colOff>925995</xdr:colOff>
      <xdr:row>3</xdr:row>
      <xdr:rowOff>137064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3E5ABA4-2F20-4D04-9A00-996A465BDC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9200" y="19250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381000" y="97254"/>
          <a:ext cx="6641824" cy="118448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606927</xdr:colOff>
      <xdr:row>9</xdr:row>
      <xdr:rowOff>118979</xdr:rowOff>
    </xdr:from>
    <xdr:to>
      <xdr:col>6</xdr:col>
      <xdr:colOff>7912</xdr:colOff>
      <xdr:row>10</xdr:row>
      <xdr:rowOff>118979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471014" y="1874892"/>
          <a:ext cx="502572" cy="190500"/>
        </a:xfrm>
        <a:prstGeom prst="roundRect">
          <a:avLst>
            <a:gd name="adj" fmla="val 0"/>
          </a:avLst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95250</xdr:colOff>
      <xdr:row>1</xdr:row>
      <xdr:rowOff>30579</xdr:rowOff>
    </xdr:from>
    <xdr:to>
      <xdr:col>2</xdr:col>
      <xdr:colOff>449746</xdr:colOff>
      <xdr:row>2</xdr:row>
      <xdr:rowOff>109581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B2B2294-3141-45E2-A6D5-6590518EFE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0" y="221079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514350</xdr:colOff>
      <xdr:row>0</xdr:row>
      <xdr:rowOff>154404</xdr:rowOff>
    </xdr:from>
    <xdr:to>
      <xdr:col>5</xdr:col>
      <xdr:colOff>954570</xdr:colOff>
      <xdr:row>3</xdr:row>
      <xdr:rowOff>98964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BA7EFE8-1C09-40A6-B26A-9FA18DE723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78437" y="154404"/>
          <a:ext cx="440220" cy="4663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226392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51371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115956</xdr:colOff>
      <xdr:row>8</xdr:row>
      <xdr:rowOff>38652</xdr:rowOff>
    </xdr:from>
    <xdr:to>
      <xdr:col>4</xdr:col>
      <xdr:colOff>628053</xdr:colOff>
      <xdr:row>8</xdr:row>
      <xdr:rowOff>229152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814391" y="1772478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148264</xdr:colOff>
      <xdr:row>1</xdr:row>
      <xdr:rowOff>44176</xdr:rowOff>
    </xdr:from>
    <xdr:to>
      <xdr:col>1</xdr:col>
      <xdr:colOff>1148389</xdr:colOff>
      <xdr:row>2</xdr:row>
      <xdr:rowOff>75553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3CF197B-1ACB-4DE1-8D3F-3AC8C47487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64" y="234676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247651</xdr:colOff>
      <xdr:row>1</xdr:row>
      <xdr:rowOff>60740</xdr:rowOff>
    </xdr:from>
    <xdr:to>
      <xdr:col>5</xdr:col>
      <xdr:colOff>66676</xdr:colOff>
      <xdr:row>3</xdr:row>
      <xdr:rowOff>148175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213C659-EA99-4B8C-B13A-3D3952DE0D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97608" y="25124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activeCell="K4" sqref="K4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98" t="s">
        <v>263</v>
      </c>
      <c r="B1" s="99"/>
      <c r="C1" s="99"/>
      <c r="D1" s="100"/>
    </row>
    <row r="2" spans="1:4">
      <c r="A2" s="2"/>
      <c r="B2" s="3"/>
      <c r="C2" s="3"/>
      <c r="D2" s="4"/>
    </row>
    <row r="3" spans="1:4">
      <c r="A3" s="101" t="s">
        <v>0</v>
      </c>
      <c r="B3" s="102"/>
      <c r="C3" s="102"/>
      <c r="D3" s="103"/>
    </row>
    <row r="4" spans="1:4">
      <c r="A4" s="101"/>
      <c r="B4" s="102"/>
      <c r="C4" s="102"/>
      <c r="D4" s="103"/>
    </row>
    <row r="5" spans="1:4">
      <c r="A5" s="5"/>
      <c r="B5" s="6"/>
      <c r="C5" s="6"/>
      <c r="D5" s="7"/>
    </row>
    <row r="6" spans="1:4" ht="18.5">
      <c r="A6" s="96" t="s">
        <v>1</v>
      </c>
      <c r="B6" s="97"/>
      <c r="C6" s="97"/>
      <c r="D6" s="104"/>
    </row>
    <row r="7" spans="1:4">
      <c r="A7" s="8"/>
      <c r="D7" s="9"/>
    </row>
    <row r="8" spans="1:4" ht="18.5">
      <c r="A8" s="96" t="s">
        <v>2</v>
      </c>
      <c r="B8" s="97"/>
      <c r="C8" s="97"/>
      <c r="D8" s="104"/>
    </row>
    <row r="9" spans="1:4" ht="18.5">
      <c r="A9" s="8"/>
      <c r="B9" s="96" t="s">
        <v>3</v>
      </c>
      <c r="C9" s="97"/>
      <c r="D9" s="97"/>
    </row>
    <row r="10" spans="1:4">
      <c r="A10" s="8"/>
      <c r="D10" s="9"/>
    </row>
    <row r="11" spans="1:4" ht="18.5">
      <c r="A11" s="32" t="s">
        <v>4</v>
      </c>
      <c r="D11" s="9"/>
    </row>
    <row r="12" spans="1:4" ht="18.5">
      <c r="A12" s="8"/>
      <c r="B12" s="96" t="s">
        <v>5</v>
      </c>
      <c r="C12" s="97"/>
      <c r="D12" s="97"/>
    </row>
    <row r="13" spans="1:4" ht="18.5">
      <c r="A13" s="8"/>
      <c r="B13" s="96" t="s">
        <v>6</v>
      </c>
      <c r="C13" s="97"/>
      <c r="D13" s="97"/>
    </row>
    <row r="14" spans="1:4" ht="18.5">
      <c r="A14" s="8"/>
      <c r="B14" s="96" t="s">
        <v>7</v>
      </c>
      <c r="C14" s="97"/>
      <c r="D14" s="97"/>
    </row>
    <row r="15" spans="1:4">
      <c r="A15" s="8"/>
      <c r="D15" s="9"/>
    </row>
    <row r="16" spans="1:4" ht="18.5">
      <c r="A16" s="32" t="s">
        <v>8</v>
      </c>
      <c r="D16" s="9"/>
    </row>
    <row r="17" spans="1:4" ht="18.5">
      <c r="A17" s="8"/>
      <c r="B17" s="96" t="s">
        <v>9</v>
      </c>
      <c r="C17" s="97"/>
      <c r="D17" s="97"/>
    </row>
    <row r="18" spans="1:4" ht="18.5">
      <c r="A18" s="8"/>
      <c r="B18" s="96" t="s">
        <v>10</v>
      </c>
      <c r="C18" s="97"/>
      <c r="D18" s="97"/>
    </row>
    <row r="19" spans="1:4" ht="18.5">
      <c r="A19" s="8"/>
      <c r="B19" s="96" t="s">
        <v>11</v>
      </c>
      <c r="C19" s="97"/>
      <c r="D19" s="97"/>
    </row>
    <row r="20" spans="1:4">
      <c r="A20" s="8"/>
      <c r="D20" s="9"/>
    </row>
    <row r="21" spans="1:4" ht="18.5">
      <c r="A21" s="32" t="s">
        <v>12</v>
      </c>
      <c r="D21" s="9"/>
    </row>
    <row r="22" spans="1:4" ht="18.5">
      <c r="A22" s="8"/>
      <c r="B22" s="96" t="s">
        <v>13</v>
      </c>
      <c r="C22" s="97"/>
      <c r="D22" s="97"/>
    </row>
    <row r="23" spans="1:4" ht="18.5">
      <c r="A23" s="8"/>
      <c r="B23" s="96" t="s">
        <v>33</v>
      </c>
      <c r="C23" s="97"/>
      <c r="D23" s="97"/>
    </row>
    <row r="24" spans="1:4" ht="18.5">
      <c r="A24" s="8"/>
      <c r="B24" s="96" t="s">
        <v>41</v>
      </c>
      <c r="C24" s="97"/>
      <c r="D24" s="97"/>
    </row>
    <row r="25" spans="1:4" ht="18.5">
      <c r="A25" s="8"/>
      <c r="B25" s="33"/>
      <c r="C25" s="33"/>
      <c r="D25" s="33"/>
    </row>
    <row r="26" spans="1:4" ht="18.5">
      <c r="A26" s="96" t="s">
        <v>14</v>
      </c>
      <c r="B26" s="97"/>
      <c r="C26" s="97"/>
      <c r="D26" s="104"/>
    </row>
    <row r="27" spans="1:4">
      <c r="A27" s="8"/>
      <c r="D27" s="9"/>
    </row>
    <row r="28" spans="1:4" ht="18.5">
      <c r="A28" s="96" t="s">
        <v>15</v>
      </c>
      <c r="B28" s="97"/>
      <c r="C28" s="97"/>
      <c r="D28" s="104"/>
    </row>
    <row r="29" spans="1:4" ht="17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'Baja California_USAMuni'!A1" display="3.2 Por Estado de USA" xr:uid="{00000000-0004-0000-0000-00000D000000}"/>
    <hyperlink ref="A8:D8" location="'Baja California_Cons'!A1" display="2. Por Circunscripción Consular" xr:uid="{00000000-0004-0000-0000-00000E000000}"/>
    <hyperlink ref="B9:D9" location="'Baja CaliforniaXCons'!A1" display="2.1 Top ten por circunscripción consular" xr:uid="{00000000-0004-0000-0000-00000F000000}"/>
    <hyperlink ref="A6:D6" location="'Baja California_EdoUsa'!A1" display="1. Por Estados de USA" xr:uid="{00000000-0004-0000-0000-000010000000}"/>
    <hyperlink ref="B12:D12" location="'Baja California_EdoMun'!A1" display="3.1 Municipio general" xr:uid="{00000000-0004-0000-0000-000011000000}"/>
    <hyperlink ref="B14:D14" location="'Baja California_MUNICIPIO'!A1" display="3.3 Por Circunscripción Consular" xr:uid="{00000000-0004-0000-0000-000012000000}"/>
    <hyperlink ref="B17:D17" location="'Baja California_educ_gral'!A1" display="4.1 Educación general" xr:uid="{00000000-0004-0000-0000-000013000000}"/>
    <hyperlink ref="B18:D18" location="'Baja California_NivelE_Cons'!A1" display="4.2 Por Estado de USA" xr:uid="{00000000-0004-0000-0000-000014000000}"/>
    <hyperlink ref="B19:D19" location="'Baja California_EducCons'!A1" display="4.3 Por Circunscripción Consular" xr:uid="{00000000-0004-0000-0000-000015000000}"/>
    <hyperlink ref="B22:D22" location="'Baja California_GenGral'!A1" display="5.1 Género General" xr:uid="{00000000-0004-0000-0000-000016000000}"/>
    <hyperlink ref="B23:D23" location="'Baja California_GENERO'!A1" display="5.2 Por Circunscripción Consular" xr:uid="{00000000-0004-0000-0000-000017000000}"/>
    <hyperlink ref="A26:D26" location="'Baja California_Gen_Edad'!A1" display="6. Por estructura de Edad" xr:uid="{00000000-0004-0000-0000-000018000000}"/>
    <hyperlink ref="A28:D28" location="'Baja California_ocup_gral'!A1" display="7. Por Ocupación" xr:uid="{00000000-0004-0000-0000-000019000000}"/>
    <hyperlink ref="B24:D24" location="'Baja California_GENERO_EUA'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F70"/>
  <sheetViews>
    <sheetView showGridLines="0" view="pageBreakPreview" topLeftCell="A61" zoomScale="90" zoomScaleNormal="100" zoomScaleSheetLayoutView="90" workbookViewId="0">
      <selection activeCell="D11" sqref="D11"/>
    </sheetView>
  </sheetViews>
  <sheetFormatPr baseColWidth="10" defaultColWidth="11.453125" defaultRowHeight="14.5"/>
  <cols>
    <col min="1" max="1" width="9.26953125" style="13" customWidth="1"/>
    <col min="2" max="2" width="25.81640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6" s="15" customFormat="1" ht="15" customHeight="1">
      <c r="C1" s="18"/>
    </row>
    <row r="2" spans="2:6" s="15" customFormat="1" ht="15" customHeight="1">
      <c r="C2" s="18"/>
    </row>
    <row r="3" spans="2:6" s="15" customFormat="1" ht="15" customHeight="1">
      <c r="C3" s="18"/>
    </row>
    <row r="4" spans="2:6" s="15" customFormat="1" ht="30" customHeight="1">
      <c r="C4" s="18"/>
      <c r="D4" s="17"/>
    </row>
    <row r="5" spans="2:6" s="15" customFormat="1" ht="15" customHeight="1">
      <c r="C5" s="18"/>
      <c r="D5" s="17"/>
    </row>
    <row r="6" spans="2:6" s="15" customFormat="1" ht="15" customHeight="1">
      <c r="C6" s="18"/>
      <c r="D6" s="17"/>
    </row>
    <row r="7" spans="2:6" s="15" customFormat="1" ht="15" customHeight="1">
      <c r="B7" s="105" t="s">
        <v>38</v>
      </c>
      <c r="C7" s="105"/>
      <c r="D7" s="105"/>
    </row>
    <row r="8" spans="2:6" s="15" customFormat="1" ht="15" customHeight="1">
      <c r="B8" s="105"/>
      <c r="C8" s="105"/>
      <c r="D8" s="105"/>
    </row>
    <row r="9" spans="2:6" s="15" customFormat="1" ht="33" customHeight="1">
      <c r="B9" s="105"/>
      <c r="C9" s="105"/>
      <c r="D9" s="105"/>
    </row>
    <row r="10" spans="2:6" s="15" customFormat="1" ht="4.5" customHeight="1">
      <c r="B10" s="16"/>
      <c r="C10" s="16"/>
      <c r="D10" s="16"/>
    </row>
    <row r="11" spans="2:6" s="15" customFormat="1" ht="33" customHeight="1">
      <c r="B11" s="40" t="s">
        <v>20</v>
      </c>
      <c r="C11" s="41" t="s">
        <v>19</v>
      </c>
      <c r="D11" s="42" t="s">
        <v>18</v>
      </c>
      <c r="E11" s="43"/>
      <c r="F11" s="43"/>
    </row>
    <row r="12" spans="2:6" ht="15" customHeight="1">
      <c r="B12" s="70" t="s">
        <v>134</v>
      </c>
      <c r="C12" s="71">
        <v>5097</v>
      </c>
      <c r="D12" s="72">
        <v>0.67100000000000004</v>
      </c>
      <c r="E12" s="44"/>
      <c r="F12" s="44"/>
    </row>
    <row r="13" spans="2:6" ht="15" customHeight="1">
      <c r="B13" s="70" t="s">
        <v>135</v>
      </c>
      <c r="C13" s="73">
        <v>389</v>
      </c>
      <c r="D13" s="72">
        <v>5.0999999999999997E-2</v>
      </c>
      <c r="E13" s="44"/>
      <c r="F13" s="44"/>
    </row>
    <row r="14" spans="2:6" ht="15" customHeight="1">
      <c r="B14" s="70" t="s">
        <v>136</v>
      </c>
      <c r="C14" s="73">
        <v>381</v>
      </c>
      <c r="D14" s="72">
        <v>0.05</v>
      </c>
      <c r="E14" s="44"/>
      <c r="F14" s="44"/>
    </row>
    <row r="15" spans="2:6" ht="15" customHeight="1">
      <c r="B15" s="70" t="s">
        <v>137</v>
      </c>
      <c r="C15" s="73">
        <v>358</v>
      </c>
      <c r="D15" s="72">
        <v>4.7E-2</v>
      </c>
      <c r="E15" s="44"/>
      <c r="F15" s="44"/>
    </row>
    <row r="16" spans="2:6" ht="15" customHeight="1">
      <c r="B16" s="70" t="s">
        <v>138</v>
      </c>
      <c r="C16" s="73">
        <v>195</v>
      </c>
      <c r="D16" s="72">
        <v>2.5999999999999999E-2</v>
      </c>
      <c r="E16" s="44"/>
      <c r="F16" s="44"/>
    </row>
    <row r="17" spans="2:6" ht="15" customHeight="1">
      <c r="B17" s="70" t="s">
        <v>139</v>
      </c>
      <c r="C17" s="73">
        <v>112</v>
      </c>
      <c r="D17" s="72">
        <v>1.4999999999999999E-2</v>
      </c>
      <c r="E17" s="44"/>
      <c r="F17" s="44"/>
    </row>
    <row r="18" spans="2:6" ht="15" customHeight="1">
      <c r="B18" s="70" t="s">
        <v>140</v>
      </c>
      <c r="C18" s="73">
        <v>74</v>
      </c>
      <c r="D18" s="72">
        <v>0.01</v>
      </c>
      <c r="E18" s="44"/>
      <c r="F18" s="44"/>
    </row>
    <row r="19" spans="2:6" ht="15" customHeight="1">
      <c r="B19" s="70" t="s">
        <v>141</v>
      </c>
      <c r="C19" s="73">
        <v>73</v>
      </c>
      <c r="D19" s="72">
        <v>0.01</v>
      </c>
      <c r="E19" s="44"/>
      <c r="F19" s="44"/>
    </row>
    <row r="20" spans="2:6" ht="15" customHeight="1">
      <c r="B20" s="70" t="s">
        <v>142</v>
      </c>
      <c r="C20" s="73">
        <v>65</v>
      </c>
      <c r="D20" s="72">
        <v>8.9999999999999993E-3</v>
      </c>
      <c r="E20" s="44"/>
      <c r="F20" s="44"/>
    </row>
    <row r="21" spans="2:6" ht="15" customHeight="1">
      <c r="B21" s="70" t="s">
        <v>143</v>
      </c>
      <c r="C21" s="73">
        <v>59</v>
      </c>
      <c r="D21" s="72">
        <v>8.0000000000000002E-3</v>
      </c>
      <c r="E21" s="44"/>
      <c r="F21" s="44"/>
    </row>
    <row r="22" spans="2:6" ht="15" customHeight="1">
      <c r="B22" s="70" t="s">
        <v>87</v>
      </c>
      <c r="C22" s="73">
        <v>55</v>
      </c>
      <c r="D22" s="72">
        <v>7.0000000000000001E-3</v>
      </c>
      <c r="E22" s="44"/>
      <c r="F22" s="44"/>
    </row>
    <row r="23" spans="2:6" ht="15" customHeight="1">
      <c r="B23" s="70" t="s">
        <v>144</v>
      </c>
      <c r="C23" s="73">
        <v>53</v>
      </c>
      <c r="D23" s="72">
        <v>7.0000000000000001E-3</v>
      </c>
      <c r="E23" s="44"/>
      <c r="F23" s="44"/>
    </row>
    <row r="24" spans="2:6" ht="15" customHeight="1">
      <c r="B24" s="70" t="s">
        <v>145</v>
      </c>
      <c r="C24" s="73">
        <v>53</v>
      </c>
      <c r="D24" s="72">
        <v>7.0000000000000001E-3</v>
      </c>
      <c r="E24" s="44"/>
      <c r="F24" s="44"/>
    </row>
    <row r="25" spans="2:6" ht="15" customHeight="1">
      <c r="B25" s="70" t="s">
        <v>146</v>
      </c>
      <c r="C25" s="73">
        <v>45</v>
      </c>
      <c r="D25" s="72">
        <v>6.0000000000000001E-3</v>
      </c>
      <c r="E25" s="44"/>
      <c r="F25" s="44"/>
    </row>
    <row r="26" spans="2:6" ht="15" customHeight="1">
      <c r="B26" s="70" t="s">
        <v>147</v>
      </c>
      <c r="C26" s="73">
        <v>43</v>
      </c>
      <c r="D26" s="72">
        <v>6.0000000000000001E-3</v>
      </c>
      <c r="E26" s="44"/>
      <c r="F26" s="44"/>
    </row>
    <row r="27" spans="2:6" ht="15" customHeight="1">
      <c r="B27" s="70" t="s">
        <v>148</v>
      </c>
      <c r="C27" s="73">
        <v>42</v>
      </c>
      <c r="D27" s="72">
        <v>6.0000000000000001E-3</v>
      </c>
      <c r="E27" s="44"/>
      <c r="F27" s="44"/>
    </row>
    <row r="28" spans="2:6" ht="15" customHeight="1">
      <c r="B28" s="70" t="s">
        <v>149</v>
      </c>
      <c r="C28" s="73">
        <v>41</v>
      </c>
      <c r="D28" s="72">
        <v>5.0000000000000001E-3</v>
      </c>
      <c r="E28" s="44"/>
      <c r="F28" s="44"/>
    </row>
    <row r="29" spans="2:6" ht="15" customHeight="1">
      <c r="B29" s="70" t="s">
        <v>150</v>
      </c>
      <c r="C29" s="73">
        <v>40</v>
      </c>
      <c r="D29" s="72">
        <v>5.0000000000000001E-3</v>
      </c>
      <c r="E29" s="44"/>
      <c r="F29" s="44"/>
    </row>
    <row r="30" spans="2:6" ht="15" customHeight="1">
      <c r="B30" s="70" t="s">
        <v>151</v>
      </c>
      <c r="C30" s="73">
        <v>39</v>
      </c>
      <c r="D30" s="72">
        <v>5.0000000000000001E-3</v>
      </c>
      <c r="E30" s="44"/>
      <c r="F30" s="44"/>
    </row>
    <row r="31" spans="2:6" ht="15" customHeight="1">
      <c r="B31" s="70" t="s">
        <v>152</v>
      </c>
      <c r="C31" s="73">
        <v>39</v>
      </c>
      <c r="D31" s="72">
        <v>5.0000000000000001E-3</v>
      </c>
      <c r="E31" s="44"/>
      <c r="F31" s="44"/>
    </row>
    <row r="32" spans="2:6" ht="15" customHeight="1">
      <c r="B32" s="70" t="s">
        <v>153</v>
      </c>
      <c r="C32" s="73">
        <v>39</v>
      </c>
      <c r="D32" s="72">
        <v>5.0000000000000001E-3</v>
      </c>
      <c r="E32" s="44"/>
      <c r="F32" s="44"/>
    </row>
    <row r="33" spans="2:6" ht="15" customHeight="1">
      <c r="B33" s="70" t="s">
        <v>154</v>
      </c>
      <c r="C33" s="73">
        <v>35</v>
      </c>
      <c r="D33" s="72">
        <v>5.0000000000000001E-3</v>
      </c>
      <c r="E33" s="44"/>
      <c r="F33" s="44"/>
    </row>
    <row r="34" spans="2:6" ht="15" customHeight="1">
      <c r="B34" s="70" t="s">
        <v>155</v>
      </c>
      <c r="C34" s="73">
        <v>27</v>
      </c>
      <c r="D34" s="72">
        <v>4.0000000000000001E-3</v>
      </c>
      <c r="E34" s="44"/>
      <c r="F34" s="44"/>
    </row>
    <row r="35" spans="2:6" ht="15" customHeight="1">
      <c r="B35" s="70" t="s">
        <v>156</v>
      </c>
      <c r="C35" s="73">
        <v>25</v>
      </c>
      <c r="D35" s="72">
        <v>3.0000000000000001E-3</v>
      </c>
      <c r="E35" s="44"/>
      <c r="F35" s="44"/>
    </row>
    <row r="36" spans="2:6" ht="15" customHeight="1">
      <c r="B36" s="70" t="s">
        <v>157</v>
      </c>
      <c r="C36" s="73">
        <v>22</v>
      </c>
      <c r="D36" s="72">
        <v>3.0000000000000001E-3</v>
      </c>
      <c r="E36" s="44"/>
      <c r="F36" s="44"/>
    </row>
    <row r="37" spans="2:6" ht="15" customHeight="1">
      <c r="B37" s="70" t="s">
        <v>158</v>
      </c>
      <c r="C37" s="73">
        <v>21</v>
      </c>
      <c r="D37" s="72">
        <v>3.0000000000000001E-3</v>
      </c>
      <c r="E37" s="44"/>
      <c r="F37" s="44"/>
    </row>
    <row r="38" spans="2:6" ht="15" customHeight="1">
      <c r="B38" s="70" t="s">
        <v>159</v>
      </c>
      <c r="C38" s="73">
        <v>20</v>
      </c>
      <c r="D38" s="72">
        <v>3.0000000000000001E-3</v>
      </c>
      <c r="E38" s="44"/>
      <c r="F38" s="44"/>
    </row>
    <row r="39" spans="2:6" ht="15" customHeight="1">
      <c r="B39" s="70" t="s">
        <v>160</v>
      </c>
      <c r="C39" s="73">
        <v>20</v>
      </c>
      <c r="D39" s="72">
        <v>3.0000000000000001E-3</v>
      </c>
      <c r="E39" s="44"/>
      <c r="F39" s="44"/>
    </row>
    <row r="40" spans="2:6" ht="15" customHeight="1">
      <c r="B40" s="70" t="s">
        <v>161</v>
      </c>
      <c r="C40" s="73">
        <v>19</v>
      </c>
      <c r="D40" s="72">
        <v>3.0000000000000001E-3</v>
      </c>
      <c r="E40" s="44"/>
      <c r="F40" s="44"/>
    </row>
    <row r="41" spans="2:6" ht="15" customHeight="1">
      <c r="B41" s="70" t="s">
        <v>162</v>
      </c>
      <c r="C41" s="73">
        <v>19</v>
      </c>
      <c r="D41" s="72">
        <v>3.0000000000000001E-3</v>
      </c>
      <c r="E41" s="44"/>
      <c r="F41" s="44"/>
    </row>
    <row r="42" spans="2:6" ht="15" customHeight="1">
      <c r="B42" s="70" t="s">
        <v>163</v>
      </c>
      <c r="C42" s="73">
        <v>17</v>
      </c>
      <c r="D42" s="72">
        <v>2E-3</v>
      </c>
      <c r="E42" s="44"/>
      <c r="F42" s="44"/>
    </row>
    <row r="43" spans="2:6" ht="15" customHeight="1">
      <c r="B43" s="70" t="s">
        <v>164</v>
      </c>
      <c r="C43" s="73">
        <v>12</v>
      </c>
      <c r="D43" s="72">
        <v>2E-3</v>
      </c>
      <c r="E43" s="44"/>
      <c r="F43" s="44"/>
    </row>
    <row r="44" spans="2:6" ht="15" customHeight="1">
      <c r="B44" s="70" t="s">
        <v>165</v>
      </c>
      <c r="C44" s="73">
        <v>11</v>
      </c>
      <c r="D44" s="72">
        <v>1E-3</v>
      </c>
      <c r="E44" s="44"/>
      <c r="F44" s="44"/>
    </row>
    <row r="45" spans="2:6" ht="15" customHeight="1">
      <c r="B45" s="70" t="s">
        <v>166</v>
      </c>
      <c r="C45" s="73">
        <v>9</v>
      </c>
      <c r="D45" s="72">
        <v>1E-3</v>
      </c>
      <c r="E45" s="44"/>
      <c r="F45" s="44"/>
    </row>
    <row r="46" spans="2:6" ht="15" customHeight="1">
      <c r="B46" s="70" t="s">
        <v>167</v>
      </c>
      <c r="C46" s="73">
        <v>8</v>
      </c>
      <c r="D46" s="72">
        <v>1E-3</v>
      </c>
      <c r="E46" s="44"/>
      <c r="F46" s="44"/>
    </row>
    <row r="47" spans="2:6" ht="15" customHeight="1">
      <c r="B47" s="70" t="s">
        <v>168</v>
      </c>
      <c r="C47" s="73">
        <v>7</v>
      </c>
      <c r="D47" s="72">
        <v>1E-3</v>
      </c>
      <c r="E47" s="44"/>
      <c r="F47" s="44"/>
    </row>
    <row r="48" spans="2:6" ht="15" customHeight="1">
      <c r="B48" s="70" t="s">
        <v>169</v>
      </c>
      <c r="C48" s="73">
        <v>5</v>
      </c>
      <c r="D48" s="72">
        <v>1E-3</v>
      </c>
      <c r="E48" s="44"/>
      <c r="F48" s="44"/>
    </row>
    <row r="49" spans="2:6" ht="15" customHeight="1">
      <c r="B49" s="70" t="s">
        <v>170</v>
      </c>
      <c r="C49" s="73">
        <v>4</v>
      </c>
      <c r="D49" s="72">
        <v>1E-3</v>
      </c>
      <c r="E49" s="44"/>
      <c r="F49" s="44"/>
    </row>
    <row r="50" spans="2:6" ht="15" customHeight="1">
      <c r="B50" s="70" t="s">
        <v>171</v>
      </c>
      <c r="C50" s="73">
        <v>4</v>
      </c>
      <c r="D50" s="72">
        <v>1E-3</v>
      </c>
      <c r="E50" s="44"/>
      <c r="F50" s="44"/>
    </row>
    <row r="51" spans="2:6" ht="15" customHeight="1">
      <c r="B51" s="70" t="s">
        <v>172</v>
      </c>
      <c r="C51" s="73">
        <v>3</v>
      </c>
      <c r="D51" s="72">
        <v>0</v>
      </c>
      <c r="E51" s="44"/>
      <c r="F51" s="44"/>
    </row>
    <row r="52" spans="2:6" ht="15" customHeight="1">
      <c r="B52" s="70" t="s">
        <v>173</v>
      </c>
      <c r="C52" s="73">
        <v>3</v>
      </c>
      <c r="D52" s="72">
        <v>0</v>
      </c>
      <c r="E52" s="44"/>
      <c r="F52" s="44"/>
    </row>
    <row r="53" spans="2:6" ht="15" customHeight="1">
      <c r="B53" s="70" t="s">
        <v>174</v>
      </c>
      <c r="C53" s="73">
        <v>3</v>
      </c>
      <c r="D53" s="72">
        <v>0</v>
      </c>
      <c r="E53" s="44"/>
      <c r="F53" s="44"/>
    </row>
    <row r="54" spans="2:6" ht="15" customHeight="1">
      <c r="B54" s="70" t="s">
        <v>175</v>
      </c>
      <c r="C54" s="73">
        <v>2</v>
      </c>
      <c r="D54" s="72">
        <v>0</v>
      </c>
      <c r="E54" s="44"/>
      <c r="F54" s="44"/>
    </row>
    <row r="55" spans="2:6" ht="15" customHeight="1">
      <c r="B55" s="70" t="s">
        <v>176</v>
      </c>
      <c r="C55" s="73">
        <v>2</v>
      </c>
      <c r="D55" s="72">
        <v>0</v>
      </c>
      <c r="E55" s="44"/>
      <c r="F55" s="44"/>
    </row>
    <row r="56" spans="2:6" ht="15" customHeight="1">
      <c r="B56" s="70" t="s">
        <v>177</v>
      </c>
      <c r="C56" s="73">
        <v>2</v>
      </c>
      <c r="D56" s="72">
        <v>0</v>
      </c>
      <c r="E56" s="44"/>
      <c r="F56" s="44"/>
    </row>
    <row r="57" spans="2:6" ht="15" customHeight="1">
      <c r="B57" s="70" t="s">
        <v>178</v>
      </c>
      <c r="C57" s="73">
        <v>1</v>
      </c>
      <c r="D57" s="72">
        <v>0</v>
      </c>
      <c r="E57" s="44"/>
      <c r="F57" s="44"/>
    </row>
    <row r="58" spans="2:6" ht="16.5">
      <c r="B58" s="70" t="s">
        <v>179</v>
      </c>
      <c r="C58" s="73">
        <v>1</v>
      </c>
      <c r="D58" s="72">
        <v>0</v>
      </c>
      <c r="E58" s="44"/>
      <c r="F58" s="44"/>
    </row>
    <row r="59" spans="2:6" ht="16.5">
      <c r="B59" s="70" t="s">
        <v>180</v>
      </c>
      <c r="C59" s="73">
        <v>1</v>
      </c>
      <c r="D59" s="72">
        <v>0</v>
      </c>
      <c r="E59" s="44"/>
      <c r="F59" s="44"/>
    </row>
    <row r="60" spans="2:6" ht="16.5">
      <c r="B60" s="70" t="s">
        <v>181</v>
      </c>
      <c r="C60" s="73">
        <v>1</v>
      </c>
      <c r="D60" s="72">
        <v>0</v>
      </c>
      <c r="E60" s="44"/>
      <c r="F60" s="44"/>
    </row>
    <row r="61" spans="2:6" ht="16.5">
      <c r="B61" s="70" t="s">
        <v>182</v>
      </c>
      <c r="C61" s="73">
        <v>1</v>
      </c>
      <c r="D61" s="72">
        <v>0</v>
      </c>
      <c r="E61" s="44"/>
      <c r="F61" s="44"/>
    </row>
    <row r="62" spans="2:6" ht="16.5">
      <c r="B62" s="70" t="s">
        <v>183</v>
      </c>
      <c r="C62" s="73">
        <v>1</v>
      </c>
      <c r="D62" s="72">
        <v>0</v>
      </c>
      <c r="E62" s="44"/>
      <c r="F62" s="44"/>
    </row>
    <row r="63" spans="2:6" ht="16.5">
      <c r="B63" s="74" t="s">
        <v>258</v>
      </c>
      <c r="C63" s="56">
        <v>7598</v>
      </c>
      <c r="D63" s="75">
        <v>1</v>
      </c>
      <c r="E63" s="44"/>
      <c r="F63" s="44"/>
    </row>
    <row r="64" spans="2:6" ht="16.5">
      <c r="B64" s="45"/>
      <c r="C64" s="45"/>
      <c r="D64" s="46"/>
      <c r="E64" s="47"/>
      <c r="F64" s="44"/>
    </row>
    <row r="65" spans="1:6" ht="16.5">
      <c r="B65" s="48" t="s">
        <v>130</v>
      </c>
      <c r="C65" s="49"/>
      <c r="D65" s="44"/>
      <c r="E65" s="44"/>
      <c r="F65" s="44"/>
    </row>
    <row r="66" spans="1:6" ht="16.5">
      <c r="B66" s="50" t="s">
        <v>17</v>
      </c>
      <c r="C66" s="49"/>
      <c r="D66" s="44"/>
      <c r="E66" s="44"/>
      <c r="F66" s="44"/>
    </row>
    <row r="67" spans="1:6" ht="16.5">
      <c r="B67" s="51" t="s">
        <v>45</v>
      </c>
      <c r="C67" s="49"/>
      <c r="D67" s="44"/>
      <c r="E67" s="44"/>
      <c r="F67" s="44"/>
    </row>
    <row r="68" spans="1:6" ht="16.5">
      <c r="B68" s="48" t="s">
        <v>16</v>
      </c>
      <c r="C68" s="49"/>
      <c r="D68" s="44"/>
      <c r="E68" s="44"/>
      <c r="F68" s="44"/>
    </row>
    <row r="69" spans="1:6" ht="16.5">
      <c r="B69" s="48" t="s">
        <v>259</v>
      </c>
      <c r="C69" s="49"/>
      <c r="D69" s="44"/>
      <c r="E69" s="44"/>
      <c r="F69" s="44"/>
    </row>
    <row r="70" spans="1:6">
      <c r="A70" s="15"/>
      <c r="B70" s="22"/>
      <c r="C70" s="22"/>
      <c r="D70" s="25"/>
      <c r="E70" s="22"/>
      <c r="F70" s="15"/>
    </row>
  </sheetData>
  <sortState xmlns:xlrd2="http://schemas.microsoft.com/office/spreadsheetml/2017/richdata2" ref="B12:D57">
    <sortCondition descending="1" ref="C12:C57"/>
  </sortState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G70"/>
  <sheetViews>
    <sheetView showGridLines="0" view="pageBreakPreview" zoomScaleNormal="100" zoomScaleSheetLayoutView="100" workbookViewId="0">
      <selection activeCell="C63" sqref="C63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6" s="15" customFormat="1" ht="15" customHeight="1">
      <c r="C1" s="18"/>
    </row>
    <row r="2" spans="2:6" s="15" customFormat="1" ht="15" customHeight="1">
      <c r="C2" s="18"/>
    </row>
    <row r="3" spans="2:6" s="15" customFormat="1" ht="15" customHeight="1">
      <c r="C3" s="18"/>
    </row>
    <row r="4" spans="2:6" s="15" customFormat="1" ht="30" customHeight="1">
      <c r="C4" s="18"/>
      <c r="D4" s="17"/>
    </row>
    <row r="5" spans="2:6" s="15" customFormat="1" ht="15" customHeight="1">
      <c r="C5" s="18"/>
      <c r="D5" s="17"/>
    </row>
    <row r="6" spans="2:6" s="15" customFormat="1" ht="15" customHeight="1">
      <c r="C6" s="18"/>
      <c r="D6" s="17"/>
    </row>
    <row r="7" spans="2:6" s="15" customFormat="1" ht="15" customHeight="1">
      <c r="B7" s="105" t="s">
        <v>34</v>
      </c>
      <c r="C7" s="105"/>
      <c r="D7" s="105"/>
    </row>
    <row r="8" spans="2:6" s="15" customFormat="1" ht="15" customHeight="1">
      <c r="B8" s="105"/>
      <c r="C8" s="105"/>
      <c r="D8" s="105"/>
    </row>
    <row r="9" spans="2:6" s="15" customFormat="1" ht="33" customHeight="1">
      <c r="B9" s="105"/>
      <c r="C9" s="105"/>
      <c r="D9" s="105"/>
    </row>
    <row r="10" spans="2:6" s="15" customFormat="1" ht="4.5" customHeight="1">
      <c r="B10" s="16"/>
      <c r="C10" s="16"/>
      <c r="D10" s="16"/>
    </row>
    <row r="11" spans="2:6" s="15" customFormat="1" ht="33" customHeight="1">
      <c r="B11" s="40" t="s">
        <v>21</v>
      </c>
      <c r="C11" s="41" t="s">
        <v>19</v>
      </c>
      <c r="D11" s="42" t="s">
        <v>18</v>
      </c>
      <c r="E11" s="43"/>
      <c r="F11" s="43"/>
    </row>
    <row r="12" spans="2:6" ht="16.5">
      <c r="B12" s="76" t="s">
        <v>46</v>
      </c>
      <c r="C12" s="77">
        <v>1488</v>
      </c>
      <c r="D12" s="78">
        <v>0.195841010792314</v>
      </c>
      <c r="E12" s="44"/>
      <c r="F12" s="44"/>
    </row>
    <row r="13" spans="2:6" ht="16.5">
      <c r="B13" s="76" t="s">
        <v>48</v>
      </c>
      <c r="C13" s="77">
        <v>846</v>
      </c>
      <c r="D13" s="78">
        <v>0.111345090813372</v>
      </c>
      <c r="E13" s="44"/>
      <c r="F13" s="44"/>
    </row>
    <row r="14" spans="2:6" ht="16.5">
      <c r="B14" s="76" t="s">
        <v>47</v>
      </c>
      <c r="C14" s="77">
        <v>841</v>
      </c>
      <c r="D14" s="78">
        <v>0.110687022900763</v>
      </c>
      <c r="E14" s="44"/>
      <c r="F14" s="44"/>
    </row>
    <row r="15" spans="2:6" ht="16.5">
      <c r="B15" s="76" t="s">
        <v>49</v>
      </c>
      <c r="C15" s="77">
        <v>520</v>
      </c>
      <c r="D15" s="78">
        <v>6.8439062911291995E-2</v>
      </c>
      <c r="E15" s="44"/>
      <c r="F15" s="44"/>
    </row>
    <row r="16" spans="2:6" ht="16.5">
      <c r="B16" s="76" t="s">
        <v>51</v>
      </c>
      <c r="C16" s="77">
        <v>362</v>
      </c>
      <c r="D16" s="78">
        <v>4.7644116872860999E-2</v>
      </c>
      <c r="E16" s="44"/>
      <c r="F16" s="44"/>
    </row>
    <row r="17" spans="2:6" ht="16.5">
      <c r="B17" s="76" t="s">
        <v>50</v>
      </c>
      <c r="C17" s="77">
        <v>332</v>
      </c>
      <c r="D17" s="78">
        <v>4.369570939721E-2</v>
      </c>
      <c r="E17" s="44"/>
      <c r="F17" s="44"/>
    </row>
    <row r="18" spans="2:6" ht="16.5">
      <c r="B18" s="76" t="s">
        <v>52</v>
      </c>
      <c r="C18" s="77">
        <v>301</v>
      </c>
      <c r="D18" s="78">
        <v>3.9615688339037003E-2</v>
      </c>
      <c r="E18" s="44"/>
      <c r="F18" s="44"/>
    </row>
    <row r="19" spans="2:6" ht="16.5">
      <c r="B19" s="76" t="s">
        <v>54</v>
      </c>
      <c r="C19" s="77">
        <v>260</v>
      </c>
      <c r="D19" s="78">
        <v>3.4219531455645998E-2</v>
      </c>
      <c r="E19" s="44"/>
      <c r="F19" s="44"/>
    </row>
    <row r="20" spans="2:6" ht="16.5">
      <c r="B20" s="76" t="s">
        <v>53</v>
      </c>
      <c r="C20" s="77">
        <v>246</v>
      </c>
      <c r="D20" s="78">
        <v>3.2376941300342001E-2</v>
      </c>
      <c r="E20" s="44"/>
      <c r="F20" s="44"/>
    </row>
    <row r="21" spans="2:6" ht="16.5">
      <c r="B21" s="76" t="s">
        <v>56</v>
      </c>
      <c r="C21" s="77">
        <v>238</v>
      </c>
      <c r="D21" s="78">
        <v>3.1324032640167997E-2</v>
      </c>
      <c r="E21" s="44"/>
      <c r="F21" s="44"/>
    </row>
    <row r="22" spans="2:6" ht="16.5">
      <c r="B22" s="76" t="s">
        <v>57</v>
      </c>
      <c r="C22" s="77">
        <v>229</v>
      </c>
      <c r="D22" s="78">
        <v>3.0139510397473E-2</v>
      </c>
      <c r="E22" s="44"/>
      <c r="F22" s="44"/>
    </row>
    <row r="23" spans="2:6" ht="16.5">
      <c r="B23" s="76" t="s">
        <v>55</v>
      </c>
      <c r="C23" s="77">
        <v>180</v>
      </c>
      <c r="D23" s="78">
        <v>2.3690444853909001E-2</v>
      </c>
      <c r="E23" s="44"/>
      <c r="F23" s="44"/>
    </row>
    <row r="24" spans="2:6" ht="16.5">
      <c r="B24" s="76" t="s">
        <v>58</v>
      </c>
      <c r="C24" s="77">
        <v>158</v>
      </c>
      <c r="D24" s="78">
        <v>2.0794946038431E-2</v>
      </c>
      <c r="E24" s="44"/>
      <c r="F24" s="44"/>
    </row>
    <row r="25" spans="2:6" ht="16.5">
      <c r="B25" s="76" t="s">
        <v>59</v>
      </c>
      <c r="C25" s="77">
        <v>114</v>
      </c>
      <c r="D25" s="78">
        <v>1.5003948407476E-2</v>
      </c>
      <c r="E25" s="44"/>
      <c r="F25" s="44"/>
    </row>
    <row r="26" spans="2:6" ht="16.5">
      <c r="B26" s="76" t="s">
        <v>60</v>
      </c>
      <c r="C26" s="77">
        <v>114</v>
      </c>
      <c r="D26" s="78">
        <v>1.5003948407476E-2</v>
      </c>
      <c r="E26" s="44"/>
      <c r="F26" s="44"/>
    </row>
    <row r="27" spans="2:6" ht="16.5">
      <c r="B27" s="76" t="s">
        <v>62</v>
      </c>
      <c r="C27" s="77">
        <v>106</v>
      </c>
      <c r="D27" s="78">
        <v>1.3951039747302E-2</v>
      </c>
      <c r="E27" s="44"/>
      <c r="F27" s="44"/>
    </row>
    <row r="28" spans="2:6" ht="16.5">
      <c r="B28" s="76" t="s">
        <v>61</v>
      </c>
      <c r="C28" s="77">
        <v>94</v>
      </c>
      <c r="D28" s="78">
        <v>1.2371676757040999E-2</v>
      </c>
      <c r="E28" s="44"/>
      <c r="F28" s="44"/>
    </row>
    <row r="29" spans="2:6" ht="16.5">
      <c r="B29" s="76" t="s">
        <v>67</v>
      </c>
      <c r="C29" s="77">
        <v>89</v>
      </c>
      <c r="D29" s="78">
        <v>1.1713608844433E-2</v>
      </c>
      <c r="E29" s="44"/>
      <c r="F29" s="44"/>
    </row>
    <row r="30" spans="2:6" ht="16.5">
      <c r="B30" s="76" t="s">
        <v>64</v>
      </c>
      <c r="C30" s="77">
        <v>82</v>
      </c>
      <c r="D30" s="78">
        <v>1.0792313766780999E-2</v>
      </c>
      <c r="E30" s="44"/>
      <c r="F30" s="44"/>
    </row>
    <row r="31" spans="2:6" ht="16.5">
      <c r="B31" s="76" t="s">
        <v>68</v>
      </c>
      <c r="C31" s="77">
        <v>81</v>
      </c>
      <c r="D31" s="78">
        <v>1.0660700184259001E-2</v>
      </c>
      <c r="E31" s="44"/>
      <c r="F31" s="44"/>
    </row>
    <row r="32" spans="2:6" ht="16.5">
      <c r="B32" s="76" t="s">
        <v>63</v>
      </c>
      <c r="C32" s="77">
        <v>69</v>
      </c>
      <c r="D32" s="78">
        <v>9.081337193998E-3</v>
      </c>
      <c r="E32" s="44"/>
      <c r="F32" s="44"/>
    </row>
    <row r="33" spans="2:6" ht="16.5">
      <c r="B33" s="76" t="s">
        <v>70</v>
      </c>
      <c r="C33" s="77">
        <v>64</v>
      </c>
      <c r="D33" s="78">
        <v>8.4232692813900004E-3</v>
      </c>
      <c r="E33" s="44"/>
      <c r="F33" s="44"/>
    </row>
    <row r="34" spans="2:6" ht="16.5">
      <c r="B34" s="76" t="s">
        <v>65</v>
      </c>
      <c r="C34" s="77">
        <v>60</v>
      </c>
      <c r="D34" s="78">
        <v>7.8968149513030002E-3</v>
      </c>
      <c r="E34" s="44"/>
      <c r="F34" s="44"/>
    </row>
    <row r="35" spans="2:6" ht="16.5">
      <c r="B35" s="76" t="s">
        <v>72</v>
      </c>
      <c r="C35" s="77">
        <v>53</v>
      </c>
      <c r="D35" s="78">
        <v>6.975519873651E-3</v>
      </c>
      <c r="E35" s="44"/>
      <c r="F35" s="44"/>
    </row>
    <row r="36" spans="2:6" ht="16.5">
      <c r="B36" s="76" t="s">
        <v>66</v>
      </c>
      <c r="C36" s="77">
        <v>50</v>
      </c>
      <c r="D36" s="78">
        <v>6.580679126086E-3</v>
      </c>
      <c r="E36" s="44"/>
      <c r="F36" s="44"/>
    </row>
    <row r="37" spans="2:6" ht="16.5">
      <c r="B37" s="76" t="s">
        <v>69</v>
      </c>
      <c r="C37" s="77">
        <v>50</v>
      </c>
      <c r="D37" s="78">
        <v>6.580679126086E-3</v>
      </c>
      <c r="E37" s="44"/>
      <c r="F37" s="44"/>
    </row>
    <row r="38" spans="2:6" ht="16.5">
      <c r="B38" s="76" t="s">
        <v>81</v>
      </c>
      <c r="C38" s="77">
        <v>48</v>
      </c>
      <c r="D38" s="78">
        <v>6.3174519610420003E-3</v>
      </c>
      <c r="E38" s="44"/>
      <c r="F38" s="44"/>
    </row>
    <row r="39" spans="2:6" ht="16.5">
      <c r="B39" s="76" t="s">
        <v>74</v>
      </c>
      <c r="C39" s="77">
        <v>47</v>
      </c>
      <c r="D39" s="78">
        <v>6.1858383785210001E-3</v>
      </c>
      <c r="E39" s="44"/>
      <c r="F39" s="44"/>
    </row>
    <row r="40" spans="2:6" ht="16.5">
      <c r="B40" s="76" t="s">
        <v>84</v>
      </c>
      <c r="C40" s="77">
        <v>44</v>
      </c>
      <c r="D40" s="78">
        <v>5.7909976309560001E-3</v>
      </c>
      <c r="E40" s="44"/>
      <c r="F40" s="44"/>
    </row>
    <row r="41" spans="2:6" ht="16.5">
      <c r="B41" s="76" t="s">
        <v>80</v>
      </c>
      <c r="C41" s="77">
        <v>41</v>
      </c>
      <c r="D41" s="78">
        <v>5.3961568833900001E-3</v>
      </c>
      <c r="E41" s="44"/>
      <c r="F41" s="44"/>
    </row>
    <row r="42" spans="2:6" ht="16.5">
      <c r="B42" s="76" t="s">
        <v>71</v>
      </c>
      <c r="C42" s="77">
        <v>41</v>
      </c>
      <c r="D42" s="78">
        <v>5.3961568833900001E-3</v>
      </c>
      <c r="E42" s="44"/>
      <c r="F42" s="44"/>
    </row>
    <row r="43" spans="2:6" ht="16.5">
      <c r="B43" s="76" t="s">
        <v>76</v>
      </c>
      <c r="C43" s="77">
        <v>39</v>
      </c>
      <c r="D43" s="78">
        <v>5.1329297183470004E-3</v>
      </c>
      <c r="E43" s="44"/>
      <c r="F43" s="44"/>
    </row>
    <row r="44" spans="2:6" ht="16.5">
      <c r="B44" s="76" t="s">
        <v>75</v>
      </c>
      <c r="C44" s="77">
        <v>38</v>
      </c>
      <c r="D44" s="78">
        <v>5.0013161358250001E-3</v>
      </c>
      <c r="E44" s="44"/>
      <c r="F44" s="44"/>
    </row>
    <row r="45" spans="2:6" ht="16.5">
      <c r="B45" s="76" t="s">
        <v>78</v>
      </c>
      <c r="C45" s="77">
        <v>32</v>
      </c>
      <c r="D45" s="78">
        <v>4.2116346406950002E-3</v>
      </c>
      <c r="E45" s="44"/>
      <c r="F45" s="44"/>
    </row>
    <row r="46" spans="2:6" ht="16.5">
      <c r="B46" s="76" t="s">
        <v>73</v>
      </c>
      <c r="C46" s="77">
        <v>30</v>
      </c>
      <c r="D46" s="78">
        <v>3.9484074756509996E-3</v>
      </c>
      <c r="E46" s="44"/>
      <c r="F46" s="44"/>
    </row>
    <row r="47" spans="2:6" ht="16.5">
      <c r="B47" s="76" t="s">
        <v>83</v>
      </c>
      <c r="C47" s="77">
        <v>28</v>
      </c>
      <c r="D47" s="78">
        <v>3.685180310608E-3</v>
      </c>
      <c r="E47" s="44"/>
      <c r="F47" s="44"/>
    </row>
    <row r="48" spans="2:6" ht="16.5">
      <c r="B48" s="76" t="s">
        <v>79</v>
      </c>
      <c r="C48" s="77">
        <v>23</v>
      </c>
      <c r="D48" s="78">
        <v>3.0271123979989998E-3</v>
      </c>
      <c r="E48" s="44"/>
      <c r="F48" s="44"/>
    </row>
    <row r="49" spans="2:6" ht="16.5">
      <c r="B49" s="76" t="s">
        <v>77</v>
      </c>
      <c r="C49" s="77">
        <v>21</v>
      </c>
      <c r="D49" s="78">
        <v>2.7638852329560002E-3</v>
      </c>
      <c r="E49" s="44"/>
      <c r="F49" s="44"/>
    </row>
    <row r="50" spans="2:6" ht="16.5">
      <c r="B50" s="76" t="s">
        <v>88</v>
      </c>
      <c r="C50" s="77">
        <v>20</v>
      </c>
      <c r="D50" s="78">
        <v>2.6322716504339999E-3</v>
      </c>
      <c r="E50" s="44"/>
      <c r="F50" s="44"/>
    </row>
    <row r="51" spans="2:6" ht="16.5">
      <c r="B51" s="76" t="s">
        <v>85</v>
      </c>
      <c r="C51" s="77">
        <v>19</v>
      </c>
      <c r="D51" s="78">
        <v>2.5006580679130001E-3</v>
      </c>
      <c r="E51" s="44"/>
      <c r="F51" s="44"/>
    </row>
    <row r="52" spans="2:6" ht="16.5">
      <c r="B52" s="76" t="s">
        <v>86</v>
      </c>
      <c r="C52" s="77">
        <v>19</v>
      </c>
      <c r="D52" s="78">
        <v>2.5006580679130001E-3</v>
      </c>
      <c r="E52" s="44"/>
      <c r="F52" s="44"/>
    </row>
    <row r="53" spans="2:6" ht="16.5">
      <c r="B53" s="76" t="s">
        <v>87</v>
      </c>
      <c r="C53" s="77">
        <v>18</v>
      </c>
      <c r="D53" s="78">
        <v>2.3690444853909998E-3</v>
      </c>
      <c r="E53" s="44"/>
      <c r="F53" s="44"/>
    </row>
    <row r="54" spans="2:6" ht="16.5">
      <c r="B54" s="76" t="s">
        <v>82</v>
      </c>
      <c r="C54" s="77">
        <v>15</v>
      </c>
      <c r="D54" s="78">
        <v>1.9742037378259998E-3</v>
      </c>
      <c r="E54" s="44"/>
      <c r="F54" s="44"/>
    </row>
    <row r="55" spans="2:6" ht="16.5">
      <c r="B55" s="76" t="s">
        <v>92</v>
      </c>
      <c r="C55" s="77">
        <v>12</v>
      </c>
      <c r="D55" s="78">
        <v>1.5793629902610001E-3</v>
      </c>
      <c r="E55" s="44"/>
      <c r="F55" s="44"/>
    </row>
    <row r="56" spans="2:6" ht="16.5">
      <c r="B56" s="76" t="s">
        <v>90</v>
      </c>
      <c r="C56" s="77">
        <v>12</v>
      </c>
      <c r="D56" s="78">
        <v>1.5793629902610001E-3</v>
      </c>
      <c r="E56" s="44"/>
      <c r="F56" s="44"/>
    </row>
    <row r="57" spans="2:6" ht="16.5">
      <c r="B57" s="76" t="s">
        <v>94</v>
      </c>
      <c r="C57" s="77">
        <v>11</v>
      </c>
      <c r="D57" s="78">
        <v>1.447749407739E-3</v>
      </c>
      <c r="E57" s="44"/>
      <c r="F57" s="44"/>
    </row>
    <row r="58" spans="2:6" ht="16.5">
      <c r="B58" s="76" t="s">
        <v>91</v>
      </c>
      <c r="C58" s="77">
        <v>6</v>
      </c>
      <c r="D58" s="78">
        <v>7.8968149513000002E-4</v>
      </c>
      <c r="E58" s="44"/>
      <c r="F58" s="44"/>
    </row>
    <row r="59" spans="2:6" ht="16.5">
      <c r="B59" s="76" t="s">
        <v>129</v>
      </c>
      <c r="C59" s="77">
        <v>3</v>
      </c>
      <c r="D59" s="78">
        <v>3.9484074756500001E-4</v>
      </c>
      <c r="E59" s="44"/>
      <c r="F59" s="44"/>
    </row>
    <row r="60" spans="2:6" ht="16.5">
      <c r="B60" s="76" t="s">
        <v>89</v>
      </c>
      <c r="C60" s="77">
        <v>2</v>
      </c>
      <c r="D60" s="78">
        <v>2.6322716504299998E-4</v>
      </c>
      <c r="E60" s="44"/>
      <c r="F60" s="44"/>
    </row>
    <row r="61" spans="2:6" ht="16.5">
      <c r="B61" s="76" t="s">
        <v>93</v>
      </c>
      <c r="C61" s="77">
        <v>1</v>
      </c>
      <c r="D61" s="78">
        <v>1.31613582522E-4</v>
      </c>
      <c r="E61" s="44"/>
      <c r="F61" s="44"/>
    </row>
    <row r="62" spans="2:6" ht="16.5">
      <c r="B62" s="76" t="s">
        <v>95</v>
      </c>
      <c r="C62" s="77">
        <v>1</v>
      </c>
      <c r="D62" s="78">
        <v>1.31613582522E-4</v>
      </c>
      <c r="E62" s="44"/>
      <c r="F62" s="44"/>
    </row>
    <row r="63" spans="2:6" ht="16.5">
      <c r="B63" s="79" t="s">
        <v>258</v>
      </c>
      <c r="C63" s="80">
        <f>SUM(C12:C62)</f>
        <v>7598</v>
      </c>
      <c r="D63" s="81">
        <f>SUM(D12:D62)</f>
        <v>0.99999999999999989</v>
      </c>
      <c r="E63" s="44"/>
      <c r="F63" s="44"/>
    </row>
    <row r="64" spans="2:6" ht="16.5">
      <c r="B64" s="52"/>
      <c r="C64" s="46"/>
      <c r="D64" s="47"/>
      <c r="E64" s="44"/>
      <c r="F64" s="44"/>
    </row>
    <row r="65" spans="1:7" ht="16.5">
      <c r="B65" s="48" t="s">
        <v>130</v>
      </c>
      <c r="C65" s="49"/>
      <c r="D65" s="44"/>
      <c r="E65" s="44"/>
      <c r="F65" s="44"/>
      <c r="G65" s="35"/>
    </row>
    <row r="66" spans="1:7" ht="16.5">
      <c r="B66" s="50" t="s">
        <v>17</v>
      </c>
      <c r="C66" s="49"/>
      <c r="D66" s="44"/>
      <c r="E66" s="44"/>
      <c r="F66" s="44"/>
      <c r="G66" s="35"/>
    </row>
    <row r="67" spans="1:7" ht="16.5">
      <c r="B67" s="51" t="s">
        <v>45</v>
      </c>
      <c r="C67" s="49"/>
      <c r="D67" s="44"/>
      <c r="E67" s="44"/>
      <c r="F67" s="44"/>
      <c r="G67" s="35"/>
    </row>
    <row r="68" spans="1:7" ht="16.5">
      <c r="B68" s="48" t="s">
        <v>16</v>
      </c>
      <c r="C68" s="49"/>
      <c r="D68" s="44"/>
      <c r="E68" s="44"/>
      <c r="F68" s="44"/>
      <c r="G68" s="35"/>
    </row>
    <row r="69" spans="1:7" ht="16.5">
      <c r="B69" s="48" t="s">
        <v>259</v>
      </c>
      <c r="C69" s="49"/>
      <c r="D69" s="44"/>
      <c r="E69" s="44"/>
      <c r="F69" s="44"/>
      <c r="G69" s="15"/>
    </row>
    <row r="70" spans="1:7">
      <c r="A70" s="15"/>
      <c r="B70" s="53"/>
      <c r="C70" s="53"/>
      <c r="D70" s="54"/>
      <c r="E70" s="53"/>
      <c r="F70" s="43"/>
      <c r="G70" s="1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F29"/>
  <sheetViews>
    <sheetView showGridLines="0" view="pageBreakPreview" topLeftCell="A10" zoomScale="115" zoomScaleNormal="100" zoomScaleSheetLayoutView="115" workbookViewId="0">
      <selection activeCell="D20" sqref="D20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6" s="15" customFormat="1" ht="15" customHeight="1">
      <c r="C1" s="18"/>
    </row>
    <row r="2" spans="2:6" s="15" customFormat="1" ht="15" customHeight="1">
      <c r="C2" s="18"/>
    </row>
    <row r="3" spans="2:6" s="15" customFormat="1" ht="15" customHeight="1">
      <c r="C3" s="18"/>
    </row>
    <row r="4" spans="2:6" s="15" customFormat="1" ht="30" customHeight="1">
      <c r="C4" s="18"/>
      <c r="D4" s="17"/>
    </row>
    <row r="5" spans="2:6" s="15" customFormat="1" ht="15" customHeight="1">
      <c r="C5" s="18"/>
      <c r="D5" s="17"/>
    </row>
    <row r="6" spans="2:6" s="15" customFormat="1" ht="15" customHeight="1">
      <c r="C6" s="18"/>
      <c r="D6" s="17"/>
    </row>
    <row r="7" spans="2:6" s="15" customFormat="1" ht="15" customHeight="1">
      <c r="B7" s="105" t="s">
        <v>42</v>
      </c>
      <c r="C7" s="105"/>
      <c r="D7" s="105"/>
    </row>
    <row r="8" spans="2:6" s="15" customFormat="1" ht="15" customHeight="1">
      <c r="B8" s="105"/>
      <c r="C8" s="105"/>
      <c r="D8" s="105"/>
    </row>
    <row r="9" spans="2:6" s="15" customFormat="1" ht="33" customHeight="1">
      <c r="B9" s="105"/>
      <c r="C9" s="105"/>
      <c r="D9" s="105"/>
    </row>
    <row r="10" spans="2:6" s="15" customFormat="1" ht="4.5" customHeight="1">
      <c r="B10" s="16"/>
      <c r="C10" s="16"/>
      <c r="D10" s="16"/>
    </row>
    <row r="11" spans="2:6" s="15" customFormat="1" ht="33" customHeight="1">
      <c r="B11" s="40" t="s">
        <v>21</v>
      </c>
      <c r="C11" s="41" t="s">
        <v>19</v>
      </c>
      <c r="D11" s="42" t="s">
        <v>18</v>
      </c>
      <c r="E11" s="43"/>
      <c r="F11" s="43"/>
    </row>
    <row r="12" spans="2:6" ht="16.5">
      <c r="B12" s="76" t="s">
        <v>46</v>
      </c>
      <c r="C12" s="77">
        <v>1488</v>
      </c>
      <c r="D12" s="78">
        <v>0.195841010792314</v>
      </c>
      <c r="E12" s="44"/>
      <c r="F12" s="44"/>
    </row>
    <row r="13" spans="2:6" ht="16.5">
      <c r="B13" s="76" t="s">
        <v>48</v>
      </c>
      <c r="C13" s="77">
        <v>846</v>
      </c>
      <c r="D13" s="78">
        <v>0.111345090813372</v>
      </c>
      <c r="E13" s="44"/>
      <c r="F13" s="44"/>
    </row>
    <row r="14" spans="2:6" ht="16.5">
      <c r="B14" s="76" t="s">
        <v>47</v>
      </c>
      <c r="C14" s="77">
        <v>841</v>
      </c>
      <c r="D14" s="78">
        <v>0.110687022900763</v>
      </c>
      <c r="E14" s="44"/>
      <c r="F14" s="44"/>
    </row>
    <row r="15" spans="2:6" ht="16.5">
      <c r="B15" s="76" t="s">
        <v>49</v>
      </c>
      <c r="C15" s="77">
        <v>520</v>
      </c>
      <c r="D15" s="78">
        <v>6.8439062911291995E-2</v>
      </c>
      <c r="E15" s="44"/>
      <c r="F15" s="44"/>
    </row>
    <row r="16" spans="2:6" ht="16.5">
      <c r="B16" s="76" t="s">
        <v>51</v>
      </c>
      <c r="C16" s="77">
        <v>362</v>
      </c>
      <c r="D16" s="78">
        <v>4.7644116872860999E-2</v>
      </c>
      <c r="E16" s="44"/>
      <c r="F16" s="44"/>
    </row>
    <row r="17" spans="2:6" ht="16.5">
      <c r="B17" s="76" t="s">
        <v>50</v>
      </c>
      <c r="C17" s="77">
        <v>332</v>
      </c>
      <c r="D17" s="78">
        <v>4.369570939721E-2</v>
      </c>
      <c r="E17" s="44"/>
      <c r="F17" s="44"/>
    </row>
    <row r="18" spans="2:6" ht="16.5">
      <c r="B18" s="76" t="s">
        <v>52</v>
      </c>
      <c r="C18" s="77">
        <v>301</v>
      </c>
      <c r="D18" s="78">
        <v>3.9615688339037003E-2</v>
      </c>
      <c r="E18" s="44"/>
      <c r="F18" s="44"/>
    </row>
    <row r="19" spans="2:6" ht="16.5">
      <c r="B19" s="76" t="s">
        <v>54</v>
      </c>
      <c r="C19" s="77">
        <v>260</v>
      </c>
      <c r="D19" s="78">
        <v>3.4219531455645998E-2</v>
      </c>
      <c r="E19" s="44"/>
      <c r="F19" s="44"/>
    </row>
    <row r="20" spans="2:6" ht="16.5">
      <c r="B20" s="76" t="s">
        <v>53</v>
      </c>
      <c r="C20" s="77">
        <v>246</v>
      </c>
      <c r="D20" s="78">
        <v>3.2376941300342001E-2</v>
      </c>
      <c r="E20" s="44"/>
      <c r="F20" s="44"/>
    </row>
    <row r="21" spans="2:6" ht="16.5">
      <c r="B21" s="76" t="s">
        <v>56</v>
      </c>
      <c r="C21" s="77">
        <v>238</v>
      </c>
      <c r="D21" s="78">
        <v>3.1324032640167997E-2</v>
      </c>
      <c r="E21" s="44"/>
      <c r="F21" s="44"/>
    </row>
    <row r="22" spans="2:6" ht="16.5">
      <c r="B22" s="83" t="s">
        <v>43</v>
      </c>
      <c r="C22" s="84">
        <f>SUM(C12:C21)</f>
        <v>5434</v>
      </c>
      <c r="D22" s="85">
        <f t="shared" ref="D22" si="0">C22/$C$22</f>
        <v>1</v>
      </c>
      <c r="E22" s="44"/>
      <c r="F22" s="44"/>
    </row>
    <row r="23" spans="2:6" ht="16.5">
      <c r="B23" s="55" t="s">
        <v>44</v>
      </c>
      <c r="C23" s="56">
        <v>7598</v>
      </c>
      <c r="D23" s="82"/>
      <c r="E23" s="44"/>
      <c r="F23" s="44"/>
    </row>
    <row r="24" spans="2:6" ht="16.5">
      <c r="B24" s="48"/>
      <c r="C24" s="44"/>
      <c r="D24" s="44"/>
      <c r="E24" s="44"/>
      <c r="F24" s="44"/>
    </row>
    <row r="25" spans="2:6" ht="16.5">
      <c r="B25" s="48" t="s">
        <v>130</v>
      </c>
      <c r="C25" s="44"/>
      <c r="D25" s="44"/>
      <c r="E25" s="44"/>
      <c r="F25" s="44"/>
    </row>
    <row r="26" spans="2:6" ht="16.5">
      <c r="B26" s="50" t="s">
        <v>17</v>
      </c>
      <c r="C26" s="44"/>
      <c r="D26" s="44"/>
      <c r="E26" s="44"/>
      <c r="F26" s="44"/>
    </row>
    <row r="27" spans="2:6" ht="16.5">
      <c r="B27" s="51" t="s">
        <v>45</v>
      </c>
      <c r="C27" s="44"/>
      <c r="D27" s="44"/>
      <c r="E27" s="44"/>
      <c r="F27" s="44"/>
    </row>
    <row r="28" spans="2:6" ht="16.5">
      <c r="B28" s="48" t="s">
        <v>16</v>
      </c>
      <c r="C28" s="44"/>
      <c r="D28" s="44"/>
      <c r="E28" s="44"/>
      <c r="F28" s="44"/>
    </row>
    <row r="29" spans="2:6" ht="16.5">
      <c r="B29" s="48" t="s">
        <v>259</v>
      </c>
      <c r="C29" s="49"/>
      <c r="D29" s="44"/>
      <c r="E29" s="44"/>
      <c r="F29" s="4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25"/>
  <sheetViews>
    <sheetView showGridLines="0" view="pageBreakPreview" topLeftCell="A8" zoomScale="90" zoomScaleNormal="100" zoomScaleSheetLayoutView="90" workbookViewId="0">
      <selection activeCell="B12" sqref="B12"/>
    </sheetView>
  </sheetViews>
  <sheetFormatPr baseColWidth="10" defaultColWidth="11.453125" defaultRowHeight="14.5"/>
  <cols>
    <col min="1" max="1" width="9.26953125" style="13" customWidth="1"/>
    <col min="2" max="2" width="29.17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6" s="15" customFormat="1" ht="15" customHeight="1">
      <c r="A1" s="43"/>
      <c r="B1" s="43"/>
      <c r="C1" s="57"/>
      <c r="D1" s="43"/>
      <c r="E1" s="43"/>
      <c r="F1" s="43"/>
    </row>
    <row r="2" spans="1:6" s="15" customFormat="1" ht="15" customHeight="1">
      <c r="A2" s="43"/>
      <c r="B2" s="43"/>
      <c r="C2" s="57"/>
      <c r="D2" s="43"/>
      <c r="E2" s="43"/>
      <c r="F2" s="43"/>
    </row>
    <row r="3" spans="1:6" s="15" customFormat="1" ht="15" customHeight="1">
      <c r="A3" s="43"/>
      <c r="B3" s="43"/>
      <c r="C3" s="57"/>
      <c r="D3" s="43"/>
      <c r="E3" s="43"/>
      <c r="F3" s="43"/>
    </row>
    <row r="4" spans="1:6" s="15" customFormat="1" ht="30" customHeight="1">
      <c r="A4" s="43"/>
      <c r="B4" s="43"/>
      <c r="C4" s="57"/>
      <c r="D4" s="58"/>
      <c r="E4" s="43"/>
      <c r="F4" s="43"/>
    </row>
    <row r="5" spans="1:6" s="15" customFormat="1" ht="15" customHeight="1">
      <c r="A5" s="43"/>
      <c r="B5" s="43"/>
      <c r="C5" s="57"/>
      <c r="D5" s="58"/>
      <c r="E5" s="43"/>
      <c r="F5" s="43"/>
    </row>
    <row r="6" spans="1:6" s="15" customFormat="1" ht="15" customHeight="1">
      <c r="A6" s="43"/>
      <c r="B6" s="43"/>
      <c r="C6" s="57"/>
      <c r="D6" s="58"/>
      <c r="E6" s="43"/>
      <c r="F6" s="43"/>
    </row>
    <row r="7" spans="1:6" s="15" customFormat="1" ht="15" customHeight="1">
      <c r="A7" s="43"/>
      <c r="B7" s="105" t="s">
        <v>37</v>
      </c>
      <c r="C7" s="105"/>
      <c r="D7" s="105"/>
      <c r="E7" s="43"/>
      <c r="F7" s="43"/>
    </row>
    <row r="8" spans="1:6" s="15" customFormat="1" ht="15" customHeight="1">
      <c r="A8" s="43"/>
      <c r="B8" s="105"/>
      <c r="C8" s="105"/>
      <c r="D8" s="105"/>
      <c r="E8" s="43"/>
      <c r="F8" s="43"/>
    </row>
    <row r="9" spans="1:6" s="15" customFormat="1" ht="33" customHeight="1">
      <c r="A9" s="43"/>
      <c r="B9" s="105"/>
      <c r="C9" s="105"/>
      <c r="D9" s="105"/>
      <c r="E9" s="43"/>
      <c r="F9" s="43"/>
    </row>
    <row r="10" spans="1:6" s="15" customFormat="1" ht="4.5" customHeight="1">
      <c r="A10" s="43"/>
      <c r="B10" s="59"/>
      <c r="C10" s="59"/>
      <c r="D10" s="59"/>
      <c r="E10" s="43"/>
      <c r="F10" s="43"/>
    </row>
    <row r="11" spans="1:6" s="15" customFormat="1" ht="33" customHeight="1">
      <c r="A11" s="43"/>
      <c r="B11" s="40" t="s">
        <v>22</v>
      </c>
      <c r="C11" s="41" t="s">
        <v>19</v>
      </c>
      <c r="D11" s="42" t="s">
        <v>18</v>
      </c>
      <c r="E11" s="43"/>
      <c r="F11" s="43"/>
    </row>
    <row r="12" spans="1:6" ht="16.5">
      <c r="A12" s="44"/>
      <c r="B12" s="70" t="s">
        <v>184</v>
      </c>
      <c r="C12" s="77">
        <v>3860</v>
      </c>
      <c r="D12" s="78">
        <v>0.50802842853382502</v>
      </c>
      <c r="E12" s="44"/>
      <c r="F12" s="44"/>
    </row>
    <row r="13" spans="1:6" ht="16.5">
      <c r="A13" s="44"/>
      <c r="B13" s="70" t="s">
        <v>185</v>
      </c>
      <c r="C13" s="77">
        <v>2332</v>
      </c>
      <c r="D13" s="78">
        <v>0.30692287444064198</v>
      </c>
      <c r="E13" s="44"/>
      <c r="F13" s="44"/>
    </row>
    <row r="14" spans="1:6" ht="16.5">
      <c r="A14" s="44"/>
      <c r="B14" s="70" t="s">
        <v>186</v>
      </c>
      <c r="C14" s="77">
        <v>1124</v>
      </c>
      <c r="D14" s="78">
        <v>0.147933666754409</v>
      </c>
      <c r="E14" s="44"/>
      <c r="F14" s="44"/>
    </row>
    <row r="15" spans="1:6" ht="16.5">
      <c r="A15" s="44"/>
      <c r="B15" s="70" t="s">
        <v>187</v>
      </c>
      <c r="C15" s="77">
        <v>168</v>
      </c>
      <c r="D15" s="78">
        <v>2.2111081863648002E-2</v>
      </c>
      <c r="E15" s="44"/>
      <c r="F15" s="44"/>
    </row>
    <row r="16" spans="1:6" ht="16.5">
      <c r="A16" s="44"/>
      <c r="B16" s="70" t="s">
        <v>188</v>
      </c>
      <c r="C16" s="77">
        <v>54</v>
      </c>
      <c r="D16" s="78">
        <v>7.1071334561730003E-3</v>
      </c>
      <c r="E16" s="44"/>
      <c r="F16" s="44"/>
    </row>
    <row r="17" spans="1:6" ht="16.5">
      <c r="A17" s="44"/>
      <c r="B17" s="70" t="s">
        <v>189</v>
      </c>
      <c r="C17" s="77">
        <v>47</v>
      </c>
      <c r="D17" s="78">
        <v>6.1858383785210001E-3</v>
      </c>
      <c r="E17" s="44"/>
      <c r="F17" s="44"/>
    </row>
    <row r="18" spans="1:6" ht="16.5">
      <c r="A18" s="44"/>
      <c r="B18" s="70" t="s">
        <v>190</v>
      </c>
      <c r="C18" s="77">
        <v>13</v>
      </c>
      <c r="D18" s="78">
        <v>1.7109765727819999E-3</v>
      </c>
      <c r="E18" s="44"/>
      <c r="F18" s="44"/>
    </row>
    <row r="19" spans="1:6" ht="16.5">
      <c r="A19" s="44"/>
      <c r="B19" s="74" t="s">
        <v>260</v>
      </c>
      <c r="C19" s="80">
        <v>7598</v>
      </c>
      <c r="D19" s="81">
        <v>1</v>
      </c>
      <c r="E19" s="44"/>
      <c r="F19" s="44"/>
    </row>
    <row r="20" spans="1:6" ht="16.5">
      <c r="A20" s="44"/>
      <c r="B20" s="48"/>
      <c r="C20" s="49"/>
      <c r="D20" s="44"/>
      <c r="E20" s="44"/>
      <c r="F20" s="44"/>
    </row>
    <row r="21" spans="1:6" ht="16.5">
      <c r="A21" s="60"/>
      <c r="B21" s="86" t="s">
        <v>130</v>
      </c>
      <c r="C21" s="87"/>
      <c r="D21" s="87"/>
      <c r="E21" s="44"/>
      <c r="F21" s="44"/>
    </row>
    <row r="22" spans="1:6" ht="16.5">
      <c r="A22" s="61"/>
      <c r="B22" s="86" t="s">
        <v>17</v>
      </c>
      <c r="C22" s="87"/>
      <c r="D22" s="87"/>
      <c r="E22" s="44"/>
      <c r="F22" s="44"/>
    </row>
    <row r="23" spans="1:6" ht="16.5">
      <c r="A23" s="62"/>
      <c r="B23" s="86" t="s">
        <v>45</v>
      </c>
      <c r="C23" s="87"/>
      <c r="D23" s="87"/>
      <c r="E23" s="44"/>
      <c r="F23" s="44"/>
    </row>
    <row r="24" spans="1:6" ht="16.5">
      <c r="A24" s="62"/>
      <c r="B24" s="86" t="s">
        <v>16</v>
      </c>
      <c r="C24" s="87"/>
      <c r="D24" s="87"/>
      <c r="E24" s="44"/>
      <c r="F24" s="44"/>
    </row>
    <row r="25" spans="1:6">
      <c r="A25" s="22"/>
      <c r="B25" s="87" t="s">
        <v>259</v>
      </c>
      <c r="C25" s="88"/>
      <c r="D25" s="89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G252"/>
  <sheetViews>
    <sheetView showGridLines="0" view="pageBreakPreview" topLeftCell="A94" zoomScale="90" zoomScaleNormal="100" zoomScaleSheetLayoutView="90" workbookViewId="0">
      <selection activeCell="C9" sqref="C9"/>
    </sheetView>
  </sheetViews>
  <sheetFormatPr baseColWidth="10" defaultColWidth="35" defaultRowHeight="15" customHeight="1"/>
  <cols>
    <col min="1" max="1" width="1" style="19" customWidth="1"/>
    <col min="2" max="2" width="22.81640625" style="20" customWidth="1"/>
    <col min="3" max="3" width="31.453125" style="20" customWidth="1"/>
    <col min="4" max="4" width="14.26953125" style="20" customWidth="1"/>
    <col min="5" max="5" width="16.8164062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24"/>
      <c r="C6" s="21"/>
      <c r="D6" s="21"/>
      <c r="E6" s="21"/>
    </row>
    <row r="7" spans="1:5" s="22" customFormat="1" ht="26.25" customHeight="1">
      <c r="A7" s="23"/>
      <c r="B7" s="108"/>
      <c r="C7" s="108"/>
      <c r="D7" s="108"/>
      <c r="E7" s="108"/>
    </row>
    <row r="8" spans="1:5" s="22" customFormat="1" ht="33" customHeight="1">
      <c r="A8" s="23"/>
      <c r="B8" s="108"/>
      <c r="C8" s="108"/>
      <c r="D8" s="108"/>
      <c r="E8" s="108"/>
    </row>
    <row r="9" spans="1:5" s="15" customFormat="1" ht="40.5" customHeight="1">
      <c r="B9" s="63" t="s">
        <v>24</v>
      </c>
      <c r="C9" s="64" t="s">
        <v>23</v>
      </c>
      <c r="D9" s="65" t="s">
        <v>19</v>
      </c>
      <c r="E9" s="63" t="s">
        <v>18</v>
      </c>
    </row>
    <row r="10" spans="1:5" ht="15" customHeight="1">
      <c r="B10" s="109" t="s">
        <v>134</v>
      </c>
      <c r="C10" s="70" t="s">
        <v>184</v>
      </c>
      <c r="D10" s="77">
        <v>2543</v>
      </c>
      <c r="E10" s="78">
        <v>0.33469334035272402</v>
      </c>
    </row>
    <row r="11" spans="1:5" ht="15" customHeight="1">
      <c r="B11" s="110"/>
      <c r="C11" s="70" t="s">
        <v>185</v>
      </c>
      <c r="D11" s="77">
        <v>1636</v>
      </c>
      <c r="E11" s="78">
        <v>0.21531982100552799</v>
      </c>
    </row>
    <row r="12" spans="1:5" ht="15" customHeight="1">
      <c r="B12" s="110"/>
      <c r="C12" s="70" t="s">
        <v>186</v>
      </c>
      <c r="D12" s="77">
        <v>754</v>
      </c>
      <c r="E12" s="78">
        <v>9.9236641221374003E-2</v>
      </c>
    </row>
    <row r="13" spans="1:5" ht="15" customHeight="1">
      <c r="B13" s="110"/>
      <c r="C13" s="70" t="s">
        <v>187</v>
      </c>
      <c r="D13" s="77">
        <v>111</v>
      </c>
      <c r="E13" s="78">
        <v>1.4609107659911E-2</v>
      </c>
    </row>
    <row r="14" spans="1:5" ht="15" customHeight="1">
      <c r="B14" s="110"/>
      <c r="C14" s="70" t="s">
        <v>188</v>
      </c>
      <c r="D14" s="77">
        <v>31</v>
      </c>
      <c r="E14" s="78">
        <v>4.0800210581729999E-3</v>
      </c>
    </row>
    <row r="15" spans="1:5" ht="15" customHeight="1">
      <c r="B15" s="110"/>
      <c r="C15" s="70" t="s">
        <v>189</v>
      </c>
      <c r="D15" s="77">
        <v>16</v>
      </c>
      <c r="E15" s="78">
        <v>2.1058173203470001E-3</v>
      </c>
    </row>
    <row r="16" spans="1:5" ht="15" customHeight="1">
      <c r="B16" s="110"/>
      <c r="C16" s="70" t="s">
        <v>190</v>
      </c>
      <c r="D16" s="77">
        <v>6</v>
      </c>
      <c r="E16" s="78">
        <v>7.8968149513000002E-4</v>
      </c>
    </row>
    <row r="17" spans="2:5" ht="15" customHeight="1">
      <c r="B17" s="111"/>
      <c r="C17" s="91" t="s">
        <v>258</v>
      </c>
      <c r="D17" s="90">
        <v>5097</v>
      </c>
      <c r="E17" s="92">
        <v>0.670834430113188</v>
      </c>
    </row>
    <row r="18" spans="2:5" ht="15" customHeight="1">
      <c r="B18" s="109" t="s">
        <v>135</v>
      </c>
      <c r="C18" s="70" t="s">
        <v>185</v>
      </c>
      <c r="D18" s="77">
        <v>234</v>
      </c>
      <c r="E18" s="78">
        <v>3.0797578310082001E-2</v>
      </c>
    </row>
    <row r="19" spans="2:5" ht="15" customHeight="1">
      <c r="B19" s="110"/>
      <c r="C19" s="70" t="s">
        <v>184</v>
      </c>
      <c r="D19" s="77">
        <v>114</v>
      </c>
      <c r="E19" s="78">
        <v>1.5003948407476E-2</v>
      </c>
    </row>
    <row r="20" spans="2:5" ht="15" customHeight="1">
      <c r="B20" s="110"/>
      <c r="C20" s="70" t="s">
        <v>186</v>
      </c>
      <c r="D20" s="77">
        <v>31</v>
      </c>
      <c r="E20" s="78">
        <v>4.0800210581729999E-3</v>
      </c>
    </row>
    <row r="21" spans="2:5" ht="15" customHeight="1">
      <c r="B21" s="110"/>
      <c r="C21" s="70" t="s">
        <v>187</v>
      </c>
      <c r="D21" s="77">
        <v>7</v>
      </c>
      <c r="E21" s="78">
        <v>9.2129507765199999E-4</v>
      </c>
    </row>
    <row r="22" spans="2:5" ht="15" customHeight="1">
      <c r="B22" s="110"/>
      <c r="C22" s="70" t="s">
        <v>188</v>
      </c>
      <c r="D22" s="77">
        <v>2</v>
      </c>
      <c r="E22" s="78">
        <v>2.6322716504299998E-4</v>
      </c>
    </row>
    <row r="23" spans="2:5" ht="15" customHeight="1">
      <c r="B23" s="110"/>
      <c r="C23" s="70" t="s">
        <v>189</v>
      </c>
      <c r="D23" s="77">
        <v>1</v>
      </c>
      <c r="E23" s="78">
        <v>1.31613582522E-4</v>
      </c>
    </row>
    <row r="24" spans="2:5" ht="15" customHeight="1">
      <c r="B24" s="111"/>
      <c r="C24" s="91" t="s">
        <v>258</v>
      </c>
      <c r="D24" s="90">
        <v>389</v>
      </c>
      <c r="E24" s="92">
        <v>5.1197683600948E-2</v>
      </c>
    </row>
    <row r="25" spans="2:5" ht="15" customHeight="1">
      <c r="B25" s="109" t="s">
        <v>136</v>
      </c>
      <c r="C25" s="70" t="s">
        <v>184</v>
      </c>
      <c r="D25" s="77">
        <v>230</v>
      </c>
      <c r="E25" s="78">
        <v>3.0271123979994999E-2</v>
      </c>
    </row>
    <row r="26" spans="2:5" ht="15" customHeight="1">
      <c r="B26" s="110"/>
      <c r="C26" s="70" t="s">
        <v>185</v>
      </c>
      <c r="D26" s="77">
        <v>94</v>
      </c>
      <c r="E26" s="78">
        <v>1.2371676757040999E-2</v>
      </c>
    </row>
    <row r="27" spans="2:5" ht="15" customHeight="1">
      <c r="B27" s="110"/>
      <c r="C27" s="70" t="s">
        <v>186</v>
      </c>
      <c r="D27" s="77">
        <v>39</v>
      </c>
      <c r="E27" s="78">
        <v>5.1329297183470004E-3</v>
      </c>
    </row>
    <row r="28" spans="2:5" ht="15" customHeight="1">
      <c r="B28" s="110"/>
      <c r="C28" s="70" t="s">
        <v>187</v>
      </c>
      <c r="D28" s="77">
        <v>8</v>
      </c>
      <c r="E28" s="78">
        <v>1.0529086601740001E-3</v>
      </c>
    </row>
    <row r="29" spans="2:5" ht="15" customHeight="1">
      <c r="B29" s="110"/>
      <c r="C29" s="70" t="s">
        <v>188</v>
      </c>
      <c r="D29" s="77">
        <v>6</v>
      </c>
      <c r="E29" s="78">
        <v>7.8968149513000002E-4</v>
      </c>
    </row>
    <row r="30" spans="2:5" ht="15" customHeight="1">
      <c r="B30" s="110"/>
      <c r="C30" s="70" t="s">
        <v>189</v>
      </c>
      <c r="D30" s="77">
        <v>3</v>
      </c>
      <c r="E30" s="78">
        <v>3.9484074756500001E-4</v>
      </c>
    </row>
    <row r="31" spans="2:5" ht="15" customHeight="1">
      <c r="B31" s="110"/>
      <c r="C31" s="70" t="s">
        <v>190</v>
      </c>
      <c r="D31" s="77">
        <v>1</v>
      </c>
      <c r="E31" s="78">
        <v>1.31613582522E-4</v>
      </c>
    </row>
    <row r="32" spans="2:5" ht="15" customHeight="1">
      <c r="B32" s="111"/>
      <c r="C32" s="91" t="s">
        <v>258</v>
      </c>
      <c r="D32" s="90">
        <v>381</v>
      </c>
      <c r="E32" s="92">
        <v>5.0144774940774003E-2</v>
      </c>
    </row>
    <row r="33" spans="2:5" ht="15" customHeight="1">
      <c r="B33" s="109" t="s">
        <v>137</v>
      </c>
      <c r="C33" s="70" t="s">
        <v>184</v>
      </c>
      <c r="D33" s="77">
        <v>176</v>
      </c>
      <c r="E33" s="78">
        <v>2.3163990523821999E-2</v>
      </c>
    </row>
    <row r="34" spans="2:5" ht="15" customHeight="1">
      <c r="B34" s="110"/>
      <c r="C34" s="70" t="s">
        <v>185</v>
      </c>
      <c r="D34" s="77">
        <v>102</v>
      </c>
      <c r="E34" s="78">
        <v>1.3424585417215E-2</v>
      </c>
    </row>
    <row r="35" spans="2:5" ht="15" customHeight="1">
      <c r="B35" s="110"/>
      <c r="C35" s="70" t="s">
        <v>186</v>
      </c>
      <c r="D35" s="77">
        <v>46</v>
      </c>
      <c r="E35" s="78">
        <v>6.0542247959989998E-3</v>
      </c>
    </row>
    <row r="36" spans="2:5" ht="15" customHeight="1">
      <c r="B36" s="110"/>
      <c r="C36" s="70" t="s">
        <v>189</v>
      </c>
      <c r="D36" s="77">
        <v>22</v>
      </c>
      <c r="E36" s="78">
        <v>2.8954988154780001E-3</v>
      </c>
    </row>
    <row r="37" spans="2:5" ht="15" customHeight="1">
      <c r="B37" s="110"/>
      <c r="C37" s="70" t="s">
        <v>187</v>
      </c>
      <c r="D37" s="77">
        <v>8</v>
      </c>
      <c r="E37" s="78">
        <v>1.0529086601740001E-3</v>
      </c>
    </row>
    <row r="38" spans="2:5" ht="15" customHeight="1">
      <c r="B38" s="110"/>
      <c r="C38" s="70" t="s">
        <v>188</v>
      </c>
      <c r="D38" s="77">
        <v>4</v>
      </c>
      <c r="E38" s="78">
        <v>5.2645433008700004E-4</v>
      </c>
    </row>
    <row r="39" spans="2:5" ht="15" customHeight="1">
      <c r="B39" s="111"/>
      <c r="C39" s="91" t="s">
        <v>258</v>
      </c>
      <c r="D39" s="90">
        <v>358</v>
      </c>
      <c r="E39" s="92">
        <v>4.7117662542773997E-2</v>
      </c>
    </row>
    <row r="40" spans="2:5" ht="15" customHeight="1">
      <c r="B40" s="109" t="s">
        <v>138</v>
      </c>
      <c r="C40" s="70" t="s">
        <v>184</v>
      </c>
      <c r="D40" s="77">
        <v>125</v>
      </c>
      <c r="E40" s="78">
        <v>1.6451697815215001E-2</v>
      </c>
    </row>
    <row r="41" spans="2:5" ht="15" customHeight="1">
      <c r="B41" s="110"/>
      <c r="C41" s="70" t="s">
        <v>186</v>
      </c>
      <c r="D41" s="77">
        <v>34</v>
      </c>
      <c r="E41" s="78">
        <v>4.4748618057379999E-3</v>
      </c>
    </row>
    <row r="42" spans="2:5" ht="15" customHeight="1">
      <c r="B42" s="110"/>
      <c r="C42" s="70" t="s">
        <v>185</v>
      </c>
      <c r="D42" s="77">
        <v>30</v>
      </c>
      <c r="E42" s="78">
        <v>3.9484074756509996E-3</v>
      </c>
    </row>
    <row r="43" spans="2:5" ht="15" customHeight="1">
      <c r="B43" s="110"/>
      <c r="C43" s="70" t="s">
        <v>187</v>
      </c>
      <c r="D43" s="77">
        <v>4</v>
      </c>
      <c r="E43" s="78">
        <v>5.2645433008700004E-4</v>
      </c>
    </row>
    <row r="44" spans="2:5" ht="15" customHeight="1">
      <c r="B44" s="110"/>
      <c r="C44" s="70" t="s">
        <v>188</v>
      </c>
      <c r="D44" s="77">
        <v>1</v>
      </c>
      <c r="E44" s="78">
        <v>1.31613582522E-4</v>
      </c>
    </row>
    <row r="45" spans="2:5" ht="15" customHeight="1">
      <c r="B45" s="110"/>
      <c r="C45" s="70" t="s">
        <v>190</v>
      </c>
      <c r="D45" s="77">
        <v>1</v>
      </c>
      <c r="E45" s="78">
        <v>1.31613582522E-4</v>
      </c>
    </row>
    <row r="46" spans="2:5" ht="15" customHeight="1">
      <c r="B46" s="111"/>
      <c r="C46" s="91" t="s">
        <v>258</v>
      </c>
      <c r="D46" s="90">
        <v>195</v>
      </c>
      <c r="E46" s="92">
        <v>2.5664648591735E-2</v>
      </c>
    </row>
    <row r="47" spans="2:5" ht="15" customHeight="1">
      <c r="B47" s="109" t="s">
        <v>139</v>
      </c>
      <c r="C47" s="70" t="s">
        <v>184</v>
      </c>
      <c r="D47" s="77">
        <v>71</v>
      </c>
      <c r="E47" s="78">
        <v>9.3445643590420006E-3</v>
      </c>
    </row>
    <row r="48" spans="2:5" ht="15" customHeight="1">
      <c r="B48" s="110"/>
      <c r="C48" s="70" t="s">
        <v>185</v>
      </c>
      <c r="D48" s="77">
        <v>22</v>
      </c>
      <c r="E48" s="78">
        <v>2.8954988154780001E-3</v>
      </c>
    </row>
    <row r="49" spans="2:5" ht="15" customHeight="1">
      <c r="B49" s="110"/>
      <c r="C49" s="70" t="s">
        <v>186</v>
      </c>
      <c r="D49" s="77">
        <v>17</v>
      </c>
      <c r="E49" s="78">
        <v>2.2374309028689999E-3</v>
      </c>
    </row>
    <row r="50" spans="2:5" ht="15" customHeight="1">
      <c r="B50" s="110"/>
      <c r="C50" s="70" t="s">
        <v>187</v>
      </c>
      <c r="D50" s="77">
        <v>2</v>
      </c>
      <c r="E50" s="78">
        <v>2.6322716504299998E-4</v>
      </c>
    </row>
    <row r="51" spans="2:5" ht="15" customHeight="1">
      <c r="B51" s="111"/>
      <c r="C51" s="91" t="s">
        <v>258</v>
      </c>
      <c r="D51" s="90">
        <v>112</v>
      </c>
      <c r="E51" s="92">
        <v>1.4740721242432E-2</v>
      </c>
    </row>
    <row r="52" spans="2:5" ht="15" customHeight="1">
      <c r="B52" s="109" t="s">
        <v>140</v>
      </c>
      <c r="C52" s="70" t="s">
        <v>184</v>
      </c>
      <c r="D52" s="77">
        <v>30</v>
      </c>
      <c r="E52" s="78">
        <v>3.9484074756509996E-3</v>
      </c>
    </row>
    <row r="53" spans="2:5" ht="15" customHeight="1">
      <c r="B53" s="110"/>
      <c r="C53" s="70" t="s">
        <v>186</v>
      </c>
      <c r="D53" s="77">
        <v>22</v>
      </c>
      <c r="E53" s="78">
        <v>2.8954988154780001E-3</v>
      </c>
    </row>
    <row r="54" spans="2:5" ht="15" customHeight="1">
      <c r="B54" s="110"/>
      <c r="C54" s="70" t="s">
        <v>185</v>
      </c>
      <c r="D54" s="77">
        <v>16</v>
      </c>
      <c r="E54" s="78">
        <v>2.1058173203470001E-3</v>
      </c>
    </row>
    <row r="55" spans="2:5" ht="15" customHeight="1">
      <c r="B55" s="110"/>
      <c r="C55" s="70" t="s">
        <v>187</v>
      </c>
      <c r="D55" s="77">
        <v>3</v>
      </c>
      <c r="E55" s="78">
        <v>3.9484074756500001E-4</v>
      </c>
    </row>
    <row r="56" spans="2:5" ht="15" customHeight="1">
      <c r="B56" s="110"/>
      <c r="C56" s="70" t="s">
        <v>190</v>
      </c>
      <c r="D56" s="77">
        <v>2</v>
      </c>
      <c r="E56" s="78">
        <v>2.6322716504299998E-4</v>
      </c>
    </row>
    <row r="57" spans="2:5" ht="15" customHeight="1">
      <c r="B57" s="110"/>
      <c r="C57" s="70" t="s">
        <v>189</v>
      </c>
      <c r="D57" s="77">
        <v>1</v>
      </c>
      <c r="E57" s="78">
        <v>1.31613582522E-4</v>
      </c>
    </row>
    <row r="58" spans="2:5" ht="15" customHeight="1">
      <c r="B58" s="111"/>
      <c r="C58" s="91" t="s">
        <v>258</v>
      </c>
      <c r="D58" s="90">
        <v>74</v>
      </c>
      <c r="E58" s="92">
        <v>9.7394051066070006E-3</v>
      </c>
    </row>
    <row r="59" spans="2:5" ht="15" customHeight="1">
      <c r="B59" s="109" t="s">
        <v>141</v>
      </c>
      <c r="C59" s="70" t="s">
        <v>184</v>
      </c>
      <c r="D59" s="77">
        <v>49</v>
      </c>
      <c r="E59" s="78">
        <v>6.4490655435639997E-3</v>
      </c>
    </row>
    <row r="60" spans="2:5" ht="15" customHeight="1">
      <c r="B60" s="110"/>
      <c r="C60" s="70" t="s">
        <v>186</v>
      </c>
      <c r="D60" s="77">
        <v>12</v>
      </c>
      <c r="E60" s="78">
        <v>1.5793629902610001E-3</v>
      </c>
    </row>
    <row r="61" spans="2:5" ht="15" customHeight="1">
      <c r="B61" s="110"/>
      <c r="C61" s="70" t="s">
        <v>185</v>
      </c>
      <c r="D61" s="77">
        <v>9</v>
      </c>
      <c r="E61" s="78">
        <v>1.1845222426950001E-3</v>
      </c>
    </row>
    <row r="62" spans="2:5" ht="15" customHeight="1">
      <c r="B62" s="110"/>
      <c r="C62" s="70" t="s">
        <v>187</v>
      </c>
      <c r="D62" s="77">
        <v>3</v>
      </c>
      <c r="E62" s="78">
        <v>3.9484074756500001E-4</v>
      </c>
    </row>
    <row r="63" spans="2:5" ht="15" customHeight="1">
      <c r="B63" s="111"/>
      <c r="C63" s="91" t="s">
        <v>258</v>
      </c>
      <c r="D63" s="90">
        <v>73</v>
      </c>
      <c r="E63" s="92">
        <v>9.6077915240850003E-3</v>
      </c>
    </row>
    <row r="64" spans="2:5" ht="15" customHeight="1">
      <c r="B64" s="109" t="s">
        <v>142</v>
      </c>
      <c r="C64" s="70" t="s">
        <v>184</v>
      </c>
      <c r="D64" s="77">
        <v>33</v>
      </c>
      <c r="E64" s="78">
        <v>4.3432482232169996E-3</v>
      </c>
    </row>
    <row r="65" spans="2:5" ht="15" customHeight="1">
      <c r="B65" s="110"/>
      <c r="C65" s="70" t="s">
        <v>185</v>
      </c>
      <c r="D65" s="77">
        <v>19</v>
      </c>
      <c r="E65" s="78">
        <v>2.5006580679130001E-3</v>
      </c>
    </row>
    <row r="66" spans="2:5" ht="15" customHeight="1">
      <c r="B66" s="110"/>
      <c r="C66" s="70" t="s">
        <v>186</v>
      </c>
      <c r="D66" s="77">
        <v>12</v>
      </c>
      <c r="E66" s="78">
        <v>1.5793629902610001E-3</v>
      </c>
    </row>
    <row r="67" spans="2:5" ht="15" customHeight="1">
      <c r="B67" s="110"/>
      <c r="C67" s="70" t="s">
        <v>188</v>
      </c>
      <c r="D67" s="77">
        <v>1</v>
      </c>
      <c r="E67" s="78">
        <v>1.31613582522E-4</v>
      </c>
    </row>
    <row r="68" spans="2:5" ht="15" customHeight="1">
      <c r="B68" s="111"/>
      <c r="C68" s="91" t="s">
        <v>258</v>
      </c>
      <c r="D68" s="90">
        <v>65</v>
      </c>
      <c r="E68" s="92">
        <v>8.5548828639120007E-3</v>
      </c>
    </row>
    <row r="69" spans="2:5" ht="15" customHeight="1">
      <c r="B69" s="109" t="s">
        <v>143</v>
      </c>
      <c r="C69" s="70" t="s">
        <v>184</v>
      </c>
      <c r="D69" s="77">
        <v>36</v>
      </c>
      <c r="E69" s="78">
        <v>4.7380889707819996E-3</v>
      </c>
    </row>
    <row r="70" spans="2:5" ht="15" customHeight="1">
      <c r="B70" s="110"/>
      <c r="C70" s="70" t="s">
        <v>185</v>
      </c>
      <c r="D70" s="77">
        <v>11</v>
      </c>
      <c r="E70" s="78">
        <v>1.447749407739E-3</v>
      </c>
    </row>
    <row r="71" spans="2:5" ht="15" customHeight="1">
      <c r="B71" s="110"/>
      <c r="C71" s="70" t="s">
        <v>186</v>
      </c>
      <c r="D71" s="77">
        <v>10</v>
      </c>
      <c r="E71" s="78">
        <v>1.3161358252169999E-3</v>
      </c>
    </row>
    <row r="72" spans="2:5" ht="15" customHeight="1">
      <c r="B72" s="110"/>
      <c r="C72" s="70" t="s">
        <v>189</v>
      </c>
      <c r="D72" s="77">
        <v>1</v>
      </c>
      <c r="E72" s="78">
        <v>1.31613582522E-4</v>
      </c>
    </row>
    <row r="73" spans="2:5" ht="15" customHeight="1">
      <c r="B73" s="110"/>
      <c r="C73" s="70" t="s">
        <v>187</v>
      </c>
      <c r="D73" s="77">
        <v>1</v>
      </c>
      <c r="E73" s="78">
        <v>1.31613582522E-4</v>
      </c>
    </row>
    <row r="74" spans="2:5" ht="15" customHeight="1">
      <c r="B74" s="111"/>
      <c r="C74" s="91" t="s">
        <v>258</v>
      </c>
      <c r="D74" s="90">
        <v>59</v>
      </c>
      <c r="E74" s="92">
        <v>7.7652013687809999E-3</v>
      </c>
    </row>
    <row r="75" spans="2:5" ht="15" customHeight="1">
      <c r="B75" s="109" t="s">
        <v>87</v>
      </c>
      <c r="C75" s="70" t="s">
        <v>184</v>
      </c>
      <c r="D75" s="77">
        <v>32</v>
      </c>
      <c r="E75" s="78">
        <v>4.2116346406950002E-3</v>
      </c>
    </row>
    <row r="76" spans="2:5" ht="15" customHeight="1">
      <c r="B76" s="110"/>
      <c r="C76" s="70" t="s">
        <v>186</v>
      </c>
      <c r="D76" s="77">
        <v>12</v>
      </c>
      <c r="E76" s="78">
        <v>1.5793629902610001E-3</v>
      </c>
    </row>
    <row r="77" spans="2:5" ht="15" customHeight="1">
      <c r="B77" s="110"/>
      <c r="C77" s="70" t="s">
        <v>185</v>
      </c>
      <c r="D77" s="77">
        <v>9</v>
      </c>
      <c r="E77" s="78">
        <v>1.1845222426950001E-3</v>
      </c>
    </row>
    <row r="78" spans="2:5" ht="15" customHeight="1">
      <c r="B78" s="110"/>
      <c r="C78" s="70" t="s">
        <v>188</v>
      </c>
      <c r="D78" s="77">
        <v>1</v>
      </c>
      <c r="E78" s="78">
        <v>1.31613582522E-4</v>
      </c>
    </row>
    <row r="79" spans="2:5" ht="15" customHeight="1">
      <c r="B79" s="110"/>
      <c r="C79" s="70" t="s">
        <v>187</v>
      </c>
      <c r="D79" s="77">
        <v>1</v>
      </c>
      <c r="E79" s="78">
        <v>1.31613582522E-4</v>
      </c>
    </row>
    <row r="80" spans="2:5" ht="15" customHeight="1">
      <c r="B80" s="111"/>
      <c r="C80" s="91" t="s">
        <v>258</v>
      </c>
      <c r="D80" s="90">
        <v>55</v>
      </c>
      <c r="E80" s="92">
        <v>7.2387470386939996E-3</v>
      </c>
    </row>
    <row r="81" spans="2:5" ht="15" customHeight="1">
      <c r="B81" s="109" t="s">
        <v>144</v>
      </c>
      <c r="C81" s="70" t="s">
        <v>184</v>
      </c>
      <c r="D81" s="77">
        <v>39</v>
      </c>
      <c r="E81" s="78">
        <v>5.1329297183470004E-3</v>
      </c>
    </row>
    <row r="82" spans="2:5" ht="15" customHeight="1">
      <c r="B82" s="110"/>
      <c r="C82" s="70" t="s">
        <v>185</v>
      </c>
      <c r="D82" s="77">
        <v>8</v>
      </c>
      <c r="E82" s="78">
        <v>1.0529086601740001E-3</v>
      </c>
    </row>
    <row r="83" spans="2:5" ht="15" customHeight="1">
      <c r="B83" s="110"/>
      <c r="C83" s="70" t="s">
        <v>186</v>
      </c>
      <c r="D83" s="77">
        <v>5</v>
      </c>
      <c r="E83" s="78">
        <v>6.5806791260900001E-4</v>
      </c>
    </row>
    <row r="84" spans="2:5" ht="15" customHeight="1">
      <c r="B84" s="110"/>
      <c r="C84" s="70" t="s">
        <v>190</v>
      </c>
      <c r="D84" s="77">
        <v>1</v>
      </c>
      <c r="E84" s="78">
        <v>1.31613582522E-4</v>
      </c>
    </row>
    <row r="85" spans="2:5" ht="15" customHeight="1">
      <c r="B85" s="111"/>
      <c r="C85" s="91" t="s">
        <v>258</v>
      </c>
      <c r="D85" s="90">
        <v>53</v>
      </c>
      <c r="E85" s="92">
        <v>6.975519873651E-3</v>
      </c>
    </row>
    <row r="86" spans="2:5" ht="15" customHeight="1">
      <c r="B86" s="109" t="s">
        <v>145</v>
      </c>
      <c r="C86" s="70" t="s">
        <v>184</v>
      </c>
      <c r="D86" s="77">
        <v>39</v>
      </c>
      <c r="E86" s="78">
        <v>5.1329297183470004E-3</v>
      </c>
    </row>
    <row r="87" spans="2:5" ht="15" customHeight="1">
      <c r="B87" s="110"/>
      <c r="C87" s="70" t="s">
        <v>186</v>
      </c>
      <c r="D87" s="77">
        <v>9</v>
      </c>
      <c r="E87" s="78">
        <v>1.1845222426950001E-3</v>
      </c>
    </row>
    <row r="88" spans="2:5" ht="15" customHeight="1">
      <c r="B88" s="110"/>
      <c r="C88" s="70" t="s">
        <v>185</v>
      </c>
      <c r="D88" s="77">
        <v>5</v>
      </c>
      <c r="E88" s="78">
        <v>6.5806791260900001E-4</v>
      </c>
    </row>
    <row r="89" spans="2:5" ht="15" customHeight="1">
      <c r="B89" s="111"/>
      <c r="C89" s="91" t="s">
        <v>258</v>
      </c>
      <c r="D89" s="90">
        <v>53</v>
      </c>
      <c r="E89" s="92">
        <v>6.975519873651E-3</v>
      </c>
    </row>
    <row r="90" spans="2:5" ht="15" customHeight="1">
      <c r="B90" s="109" t="s">
        <v>146</v>
      </c>
      <c r="C90" s="70" t="s">
        <v>184</v>
      </c>
      <c r="D90" s="77">
        <v>25</v>
      </c>
      <c r="E90" s="78">
        <v>3.290339563043E-3</v>
      </c>
    </row>
    <row r="91" spans="2:5" ht="15" customHeight="1">
      <c r="B91" s="110"/>
      <c r="C91" s="70" t="s">
        <v>186</v>
      </c>
      <c r="D91" s="77">
        <v>8</v>
      </c>
      <c r="E91" s="78">
        <v>1.0529086601740001E-3</v>
      </c>
    </row>
    <row r="92" spans="2:5" ht="15" customHeight="1">
      <c r="B92" s="110"/>
      <c r="C92" s="70" t="s">
        <v>187</v>
      </c>
      <c r="D92" s="77">
        <v>6</v>
      </c>
      <c r="E92" s="78">
        <v>7.8968149513000002E-4</v>
      </c>
    </row>
    <row r="93" spans="2:5" ht="15" customHeight="1">
      <c r="B93" s="110"/>
      <c r="C93" s="70" t="s">
        <v>185</v>
      </c>
      <c r="D93" s="77">
        <v>5</v>
      </c>
      <c r="E93" s="78">
        <v>6.5806791260900001E-4</v>
      </c>
    </row>
    <row r="94" spans="2:5" ht="15" customHeight="1">
      <c r="B94" s="110"/>
      <c r="C94" s="70" t="s">
        <v>188</v>
      </c>
      <c r="D94" s="77">
        <v>1</v>
      </c>
      <c r="E94" s="78">
        <v>1.31613582522E-4</v>
      </c>
    </row>
    <row r="95" spans="2:5" ht="15" customHeight="1">
      <c r="B95" s="111"/>
      <c r="C95" s="91" t="s">
        <v>258</v>
      </c>
      <c r="D95" s="90">
        <v>45</v>
      </c>
      <c r="E95" s="92">
        <v>5.9226112134770003E-3</v>
      </c>
    </row>
    <row r="96" spans="2:5" ht="15" customHeight="1">
      <c r="B96" s="109" t="s">
        <v>147</v>
      </c>
      <c r="C96" s="70" t="s">
        <v>184</v>
      </c>
      <c r="D96" s="77">
        <v>22</v>
      </c>
      <c r="E96" s="78">
        <v>2.8954988154780001E-3</v>
      </c>
    </row>
    <row r="97" spans="2:5" ht="15" customHeight="1">
      <c r="B97" s="110"/>
      <c r="C97" s="70" t="s">
        <v>185</v>
      </c>
      <c r="D97" s="77">
        <v>13</v>
      </c>
      <c r="E97" s="78">
        <v>1.7109765727819999E-3</v>
      </c>
    </row>
    <row r="98" spans="2:5" ht="15" customHeight="1">
      <c r="B98" s="110"/>
      <c r="C98" s="70" t="s">
        <v>186</v>
      </c>
      <c r="D98" s="77">
        <v>6</v>
      </c>
      <c r="E98" s="78">
        <v>7.8968149513000002E-4</v>
      </c>
    </row>
    <row r="99" spans="2:5" ht="15" customHeight="1">
      <c r="B99" s="110"/>
      <c r="C99" s="70" t="s">
        <v>188</v>
      </c>
      <c r="D99" s="77">
        <v>1</v>
      </c>
      <c r="E99" s="78">
        <v>1.31613582522E-4</v>
      </c>
    </row>
    <row r="100" spans="2:5" ht="15" customHeight="1">
      <c r="B100" s="110"/>
      <c r="C100" s="70" t="s">
        <v>187</v>
      </c>
      <c r="D100" s="77">
        <v>1</v>
      </c>
      <c r="E100" s="78">
        <v>1.31613582522E-4</v>
      </c>
    </row>
    <row r="101" spans="2:5" ht="15" customHeight="1">
      <c r="B101" s="111"/>
      <c r="C101" s="91" t="s">
        <v>258</v>
      </c>
      <c r="D101" s="90">
        <v>43</v>
      </c>
      <c r="E101" s="92">
        <v>5.6593840484339998E-3</v>
      </c>
    </row>
    <row r="102" spans="2:5" ht="15" customHeight="1">
      <c r="B102" s="109" t="s">
        <v>148</v>
      </c>
      <c r="C102" s="70" t="s">
        <v>184</v>
      </c>
      <c r="D102" s="77">
        <v>21</v>
      </c>
      <c r="E102" s="78">
        <v>2.7638852329560002E-3</v>
      </c>
    </row>
    <row r="103" spans="2:5" ht="15" customHeight="1">
      <c r="B103" s="110"/>
      <c r="C103" s="70" t="s">
        <v>185</v>
      </c>
      <c r="D103" s="77">
        <v>10</v>
      </c>
      <c r="E103" s="78">
        <v>1.3161358252169999E-3</v>
      </c>
    </row>
    <row r="104" spans="2:5" ht="15" customHeight="1">
      <c r="B104" s="110"/>
      <c r="C104" s="70" t="s">
        <v>186</v>
      </c>
      <c r="D104" s="77">
        <v>9</v>
      </c>
      <c r="E104" s="78">
        <v>1.1845222426950001E-3</v>
      </c>
    </row>
    <row r="105" spans="2:5" ht="15" customHeight="1">
      <c r="B105" s="110"/>
      <c r="C105" s="70" t="s">
        <v>188</v>
      </c>
      <c r="D105" s="77">
        <v>1</v>
      </c>
      <c r="E105" s="78">
        <v>1.31613582522E-4</v>
      </c>
    </row>
    <row r="106" spans="2:5" ht="15" customHeight="1">
      <c r="B106" s="110"/>
      <c r="C106" s="70" t="s">
        <v>187</v>
      </c>
      <c r="D106" s="77">
        <v>1</v>
      </c>
      <c r="E106" s="78">
        <v>1.31613582522E-4</v>
      </c>
    </row>
    <row r="107" spans="2:5" ht="15" customHeight="1">
      <c r="B107" s="111"/>
      <c r="C107" s="91" t="s">
        <v>258</v>
      </c>
      <c r="D107" s="90">
        <v>42</v>
      </c>
      <c r="E107" s="92">
        <v>5.5277704659120004E-3</v>
      </c>
    </row>
    <row r="108" spans="2:5" ht="15" customHeight="1">
      <c r="B108" s="109" t="s">
        <v>149</v>
      </c>
      <c r="C108" s="70" t="s">
        <v>184</v>
      </c>
      <c r="D108" s="77">
        <v>17</v>
      </c>
      <c r="E108" s="78">
        <v>2.2374309028689999E-3</v>
      </c>
    </row>
    <row r="109" spans="2:5" ht="15" customHeight="1">
      <c r="B109" s="110"/>
      <c r="C109" s="70" t="s">
        <v>186</v>
      </c>
      <c r="D109" s="77">
        <v>15</v>
      </c>
      <c r="E109" s="78">
        <v>1.9742037378259998E-3</v>
      </c>
    </row>
    <row r="110" spans="2:5" ht="15" customHeight="1">
      <c r="B110" s="110"/>
      <c r="C110" s="70" t="s">
        <v>185</v>
      </c>
      <c r="D110" s="77">
        <v>6</v>
      </c>
      <c r="E110" s="78">
        <v>7.8968149513000002E-4</v>
      </c>
    </row>
    <row r="111" spans="2:5" ht="15" customHeight="1">
      <c r="B111" s="110"/>
      <c r="C111" s="70" t="s">
        <v>187</v>
      </c>
      <c r="D111" s="77">
        <v>2</v>
      </c>
      <c r="E111" s="78">
        <v>2.6322716504299998E-4</v>
      </c>
    </row>
    <row r="112" spans="2:5" ht="15" customHeight="1">
      <c r="B112" s="110"/>
      <c r="C112" s="70" t="s">
        <v>188</v>
      </c>
      <c r="D112" s="77">
        <v>1</v>
      </c>
      <c r="E112" s="78">
        <v>1.31613582522E-4</v>
      </c>
    </row>
    <row r="113" spans="2:5" ht="15" customHeight="1">
      <c r="B113" s="111"/>
      <c r="C113" s="91" t="s">
        <v>258</v>
      </c>
      <c r="D113" s="90">
        <v>41</v>
      </c>
      <c r="E113" s="92">
        <v>5.3961568833900001E-3</v>
      </c>
    </row>
    <row r="114" spans="2:5" ht="15" customHeight="1">
      <c r="B114" s="109" t="s">
        <v>150</v>
      </c>
      <c r="C114" s="70" t="s">
        <v>184</v>
      </c>
      <c r="D114" s="77">
        <v>27</v>
      </c>
      <c r="E114" s="78">
        <v>3.5535667280860001E-3</v>
      </c>
    </row>
    <row r="115" spans="2:5" ht="15" customHeight="1">
      <c r="B115" s="110"/>
      <c r="C115" s="70" t="s">
        <v>186</v>
      </c>
      <c r="D115" s="77">
        <v>6</v>
      </c>
      <c r="E115" s="78">
        <v>7.8968149513000002E-4</v>
      </c>
    </row>
    <row r="116" spans="2:5" ht="15" customHeight="1">
      <c r="B116" s="110"/>
      <c r="C116" s="70" t="s">
        <v>185</v>
      </c>
      <c r="D116" s="77">
        <v>6</v>
      </c>
      <c r="E116" s="78">
        <v>7.8968149513000002E-4</v>
      </c>
    </row>
    <row r="117" spans="2:5" ht="15" customHeight="1">
      <c r="B117" s="110"/>
      <c r="C117" s="70" t="s">
        <v>187</v>
      </c>
      <c r="D117" s="77">
        <v>1</v>
      </c>
      <c r="E117" s="78">
        <v>1.31613582522E-4</v>
      </c>
    </row>
    <row r="118" spans="2:5" ht="15" customHeight="1">
      <c r="B118" s="111"/>
      <c r="C118" s="91" t="s">
        <v>258</v>
      </c>
      <c r="D118" s="90">
        <v>40</v>
      </c>
      <c r="E118" s="92">
        <v>5.2645433008689999E-3</v>
      </c>
    </row>
    <row r="119" spans="2:5" ht="15" customHeight="1">
      <c r="B119" s="109" t="s">
        <v>151</v>
      </c>
      <c r="C119" s="70" t="s">
        <v>184</v>
      </c>
      <c r="D119" s="77">
        <v>26</v>
      </c>
      <c r="E119" s="78">
        <v>3.4219531455649999E-3</v>
      </c>
    </row>
    <row r="120" spans="2:5" ht="15" customHeight="1">
      <c r="B120" s="110"/>
      <c r="C120" s="70" t="s">
        <v>185</v>
      </c>
      <c r="D120" s="77">
        <v>7</v>
      </c>
      <c r="E120" s="78">
        <v>9.2129507765199999E-4</v>
      </c>
    </row>
    <row r="121" spans="2:5" ht="15" customHeight="1">
      <c r="B121" s="110"/>
      <c r="C121" s="70" t="s">
        <v>186</v>
      </c>
      <c r="D121" s="77">
        <v>6</v>
      </c>
      <c r="E121" s="78">
        <v>7.8968149513000002E-4</v>
      </c>
    </row>
    <row r="122" spans="2:5" ht="15" customHeight="1">
      <c r="B122" s="111"/>
      <c r="C122" s="91" t="s">
        <v>258</v>
      </c>
      <c r="D122" s="90">
        <v>39</v>
      </c>
      <c r="E122" s="92">
        <v>5.1329297183470004E-3</v>
      </c>
    </row>
    <row r="123" spans="2:5" ht="15" customHeight="1">
      <c r="B123" s="109" t="s">
        <v>152</v>
      </c>
      <c r="C123" s="70" t="s">
        <v>184</v>
      </c>
      <c r="D123" s="77">
        <v>19</v>
      </c>
      <c r="E123" s="78">
        <v>2.5006580679130001E-3</v>
      </c>
    </row>
    <row r="124" spans="2:5" ht="15" customHeight="1">
      <c r="B124" s="110"/>
      <c r="C124" s="70" t="s">
        <v>186</v>
      </c>
      <c r="D124" s="77">
        <v>8</v>
      </c>
      <c r="E124" s="78">
        <v>1.0529086601740001E-3</v>
      </c>
    </row>
    <row r="125" spans="2:5" ht="15" customHeight="1">
      <c r="B125" s="110"/>
      <c r="C125" s="70" t="s">
        <v>185</v>
      </c>
      <c r="D125" s="77">
        <v>8</v>
      </c>
      <c r="E125" s="78">
        <v>1.0529086601740001E-3</v>
      </c>
    </row>
    <row r="126" spans="2:5" ht="15" customHeight="1">
      <c r="B126" s="110"/>
      <c r="C126" s="70" t="s">
        <v>187</v>
      </c>
      <c r="D126" s="77">
        <v>2</v>
      </c>
      <c r="E126" s="78">
        <v>2.6322716504299998E-4</v>
      </c>
    </row>
    <row r="127" spans="2:5" ht="15" customHeight="1">
      <c r="B127" s="110"/>
      <c r="C127" s="70" t="s">
        <v>189</v>
      </c>
      <c r="D127" s="77">
        <v>1</v>
      </c>
      <c r="E127" s="78">
        <v>1.31613582522E-4</v>
      </c>
    </row>
    <row r="128" spans="2:5" ht="15" customHeight="1">
      <c r="B128" s="110"/>
      <c r="C128" s="70" t="s">
        <v>190</v>
      </c>
      <c r="D128" s="77">
        <v>1</v>
      </c>
      <c r="E128" s="78">
        <v>1.31613582522E-4</v>
      </c>
    </row>
    <row r="129" spans="2:5" ht="15" customHeight="1">
      <c r="B129" s="111"/>
      <c r="C129" s="91" t="s">
        <v>258</v>
      </c>
      <c r="D129" s="90">
        <v>39</v>
      </c>
      <c r="E129" s="92">
        <v>5.1329297183470004E-3</v>
      </c>
    </row>
    <row r="130" spans="2:5" ht="15" customHeight="1">
      <c r="B130" s="109" t="s">
        <v>153</v>
      </c>
      <c r="C130" s="70" t="s">
        <v>184</v>
      </c>
      <c r="D130" s="77">
        <v>25</v>
      </c>
      <c r="E130" s="78">
        <v>3.290339563043E-3</v>
      </c>
    </row>
    <row r="131" spans="2:5" ht="15" customHeight="1">
      <c r="B131" s="110"/>
      <c r="C131" s="70" t="s">
        <v>186</v>
      </c>
      <c r="D131" s="77">
        <v>7</v>
      </c>
      <c r="E131" s="78">
        <v>9.2129507765199999E-4</v>
      </c>
    </row>
    <row r="132" spans="2:5" ht="15" customHeight="1">
      <c r="B132" s="110"/>
      <c r="C132" s="70" t="s">
        <v>185</v>
      </c>
      <c r="D132" s="77">
        <v>6</v>
      </c>
      <c r="E132" s="78">
        <v>7.8968149513000002E-4</v>
      </c>
    </row>
    <row r="133" spans="2:5" ht="15" customHeight="1">
      <c r="B133" s="110"/>
      <c r="C133" s="70" t="s">
        <v>189</v>
      </c>
      <c r="D133" s="77">
        <v>1</v>
      </c>
      <c r="E133" s="78">
        <v>1.31613582522E-4</v>
      </c>
    </row>
    <row r="134" spans="2:5" ht="15" customHeight="1">
      <c r="B134" s="111"/>
      <c r="C134" s="91" t="s">
        <v>258</v>
      </c>
      <c r="D134" s="90">
        <v>39</v>
      </c>
      <c r="E134" s="92">
        <v>5.1329297183470004E-3</v>
      </c>
    </row>
    <row r="135" spans="2:5" ht="15" customHeight="1">
      <c r="B135" s="109" t="s">
        <v>154</v>
      </c>
      <c r="C135" s="70" t="s">
        <v>184</v>
      </c>
      <c r="D135" s="77">
        <v>16</v>
      </c>
      <c r="E135" s="78">
        <v>2.1058173203470001E-3</v>
      </c>
    </row>
    <row r="136" spans="2:5" ht="15" customHeight="1">
      <c r="B136" s="110"/>
      <c r="C136" s="70" t="s">
        <v>185</v>
      </c>
      <c r="D136" s="77">
        <v>10</v>
      </c>
      <c r="E136" s="78">
        <v>1.3161358252169999E-3</v>
      </c>
    </row>
    <row r="137" spans="2:5" ht="15" customHeight="1">
      <c r="B137" s="110"/>
      <c r="C137" s="70" t="s">
        <v>186</v>
      </c>
      <c r="D137" s="77">
        <v>5</v>
      </c>
      <c r="E137" s="78">
        <v>6.5806791260900001E-4</v>
      </c>
    </row>
    <row r="138" spans="2:5" ht="15" customHeight="1">
      <c r="B138" s="110"/>
      <c r="C138" s="70" t="s">
        <v>188</v>
      </c>
      <c r="D138" s="77">
        <v>3</v>
      </c>
      <c r="E138" s="78">
        <v>3.9484074756500001E-4</v>
      </c>
    </row>
    <row r="139" spans="2:5" ht="15" customHeight="1">
      <c r="B139" s="110"/>
      <c r="C139" s="70" t="s">
        <v>189</v>
      </c>
      <c r="D139" s="77">
        <v>1</v>
      </c>
      <c r="E139" s="78">
        <v>1.31613582522E-4</v>
      </c>
    </row>
    <row r="140" spans="2:5" ht="15" customHeight="1">
      <c r="B140" s="111"/>
      <c r="C140" s="91" t="s">
        <v>258</v>
      </c>
      <c r="D140" s="90">
        <v>35</v>
      </c>
      <c r="E140" s="92">
        <v>4.6064753882600002E-3</v>
      </c>
    </row>
    <row r="141" spans="2:5" ht="15" customHeight="1">
      <c r="B141" s="109" t="s">
        <v>155</v>
      </c>
      <c r="C141" s="70" t="s">
        <v>185</v>
      </c>
      <c r="D141" s="77">
        <v>12</v>
      </c>
      <c r="E141" s="78">
        <v>1.5793629902610001E-3</v>
      </c>
    </row>
    <row r="142" spans="2:5" ht="15" customHeight="1">
      <c r="B142" s="110"/>
      <c r="C142" s="70" t="s">
        <v>184</v>
      </c>
      <c r="D142" s="77">
        <v>11</v>
      </c>
      <c r="E142" s="78">
        <v>1.447749407739E-3</v>
      </c>
    </row>
    <row r="143" spans="2:5" ht="15" customHeight="1">
      <c r="B143" s="110"/>
      <c r="C143" s="70" t="s">
        <v>186</v>
      </c>
      <c r="D143" s="77">
        <v>4</v>
      </c>
      <c r="E143" s="78">
        <v>5.2645433008700004E-4</v>
      </c>
    </row>
    <row r="144" spans="2:5" ht="15" customHeight="1">
      <c r="B144" s="111"/>
      <c r="C144" s="91" t="s">
        <v>258</v>
      </c>
      <c r="D144" s="90">
        <v>27</v>
      </c>
      <c r="E144" s="92">
        <v>3.5535667280860001E-3</v>
      </c>
    </row>
    <row r="145" spans="2:5" ht="15" customHeight="1">
      <c r="B145" s="109" t="s">
        <v>156</v>
      </c>
      <c r="C145" s="70" t="s">
        <v>184</v>
      </c>
      <c r="D145" s="77">
        <v>17</v>
      </c>
      <c r="E145" s="78">
        <v>2.2374309028689999E-3</v>
      </c>
    </row>
    <row r="146" spans="2:5" ht="15" customHeight="1">
      <c r="B146" s="110"/>
      <c r="C146" s="70" t="s">
        <v>186</v>
      </c>
      <c r="D146" s="77">
        <v>3</v>
      </c>
      <c r="E146" s="78">
        <v>3.9484074756500001E-4</v>
      </c>
    </row>
    <row r="147" spans="2:5" ht="15" customHeight="1">
      <c r="B147" s="110"/>
      <c r="C147" s="70" t="s">
        <v>185</v>
      </c>
      <c r="D147" s="77">
        <v>3</v>
      </c>
      <c r="E147" s="78">
        <v>3.9484074756500001E-4</v>
      </c>
    </row>
    <row r="148" spans="2:5" ht="15" customHeight="1">
      <c r="B148" s="110"/>
      <c r="C148" s="70" t="s">
        <v>188</v>
      </c>
      <c r="D148" s="77">
        <v>1</v>
      </c>
      <c r="E148" s="78">
        <v>1.31613582522E-4</v>
      </c>
    </row>
    <row r="149" spans="2:5" ht="15" customHeight="1">
      <c r="B149" s="110"/>
      <c r="C149" s="70" t="s">
        <v>187</v>
      </c>
      <c r="D149" s="77">
        <v>1</v>
      </c>
      <c r="E149" s="78">
        <v>1.31613582522E-4</v>
      </c>
    </row>
    <row r="150" spans="2:5" ht="15" customHeight="1">
      <c r="B150" s="111"/>
      <c r="C150" s="91" t="s">
        <v>258</v>
      </c>
      <c r="D150" s="90">
        <v>25</v>
      </c>
      <c r="E150" s="92">
        <v>3.290339563043E-3</v>
      </c>
    </row>
    <row r="151" spans="2:5" ht="15" customHeight="1">
      <c r="B151" s="109" t="s">
        <v>157</v>
      </c>
      <c r="C151" s="70" t="s">
        <v>184</v>
      </c>
      <c r="D151" s="77">
        <v>11</v>
      </c>
      <c r="E151" s="78">
        <v>1.447749407739E-3</v>
      </c>
    </row>
    <row r="152" spans="2:5" ht="15" customHeight="1">
      <c r="B152" s="110"/>
      <c r="C152" s="70" t="s">
        <v>185</v>
      </c>
      <c r="D152" s="77">
        <v>10</v>
      </c>
      <c r="E152" s="78">
        <v>1.3161358252169999E-3</v>
      </c>
    </row>
    <row r="153" spans="2:5" ht="15" customHeight="1">
      <c r="B153" s="110"/>
      <c r="C153" s="70" t="s">
        <v>187</v>
      </c>
      <c r="D153" s="77">
        <v>1</v>
      </c>
      <c r="E153" s="78">
        <v>1.31613582522E-4</v>
      </c>
    </row>
    <row r="154" spans="2:5" ht="15" customHeight="1">
      <c r="B154" s="111"/>
      <c r="C154" s="91" t="s">
        <v>258</v>
      </c>
      <c r="D154" s="90">
        <v>22</v>
      </c>
      <c r="E154" s="92">
        <v>2.8954988154780001E-3</v>
      </c>
    </row>
    <row r="155" spans="2:5" ht="15" customHeight="1">
      <c r="B155" s="109" t="s">
        <v>158</v>
      </c>
      <c r="C155" s="70" t="s">
        <v>186</v>
      </c>
      <c r="D155" s="77">
        <v>8</v>
      </c>
      <c r="E155" s="78">
        <v>1.0529086601740001E-3</v>
      </c>
    </row>
    <row r="156" spans="2:5" ht="15" customHeight="1">
      <c r="B156" s="110"/>
      <c r="C156" s="70" t="s">
        <v>185</v>
      </c>
      <c r="D156" s="77">
        <v>6</v>
      </c>
      <c r="E156" s="78">
        <v>7.8968149513000002E-4</v>
      </c>
    </row>
    <row r="157" spans="2:5" ht="15" customHeight="1">
      <c r="B157" s="110"/>
      <c r="C157" s="70" t="s">
        <v>184</v>
      </c>
      <c r="D157" s="77">
        <v>6</v>
      </c>
      <c r="E157" s="78">
        <v>7.8968149513000002E-4</v>
      </c>
    </row>
    <row r="158" spans="2:5" ht="15" customHeight="1">
      <c r="B158" s="110"/>
      <c r="C158" s="70" t="s">
        <v>187</v>
      </c>
      <c r="D158" s="77">
        <v>1</v>
      </c>
      <c r="E158" s="78">
        <v>1.31613582522E-4</v>
      </c>
    </row>
    <row r="159" spans="2:5" ht="15" customHeight="1">
      <c r="B159" s="111"/>
      <c r="C159" s="91" t="s">
        <v>258</v>
      </c>
      <c r="D159" s="90">
        <v>21</v>
      </c>
      <c r="E159" s="92">
        <v>2.7638852329560002E-3</v>
      </c>
    </row>
    <row r="160" spans="2:5" ht="15" customHeight="1">
      <c r="B160" s="109" t="s">
        <v>159</v>
      </c>
      <c r="C160" s="70" t="s">
        <v>184</v>
      </c>
      <c r="D160" s="77">
        <v>13</v>
      </c>
      <c r="E160" s="78">
        <v>1.7109765727819999E-3</v>
      </c>
    </row>
    <row r="161" spans="2:5" ht="15" customHeight="1">
      <c r="B161" s="110"/>
      <c r="C161" s="70" t="s">
        <v>185</v>
      </c>
      <c r="D161" s="77">
        <v>5</v>
      </c>
      <c r="E161" s="78">
        <v>6.5806791260900001E-4</v>
      </c>
    </row>
    <row r="162" spans="2:5" ht="15" customHeight="1">
      <c r="B162" s="110"/>
      <c r="C162" s="70" t="s">
        <v>186</v>
      </c>
      <c r="D162" s="77">
        <v>2</v>
      </c>
      <c r="E162" s="78">
        <v>2.6322716504299998E-4</v>
      </c>
    </row>
    <row r="163" spans="2:5" ht="15" customHeight="1">
      <c r="B163" s="111"/>
      <c r="C163" s="91" t="s">
        <v>258</v>
      </c>
      <c r="D163" s="90">
        <v>20</v>
      </c>
      <c r="E163" s="92">
        <v>2.6322716504339999E-3</v>
      </c>
    </row>
    <row r="164" spans="2:5" ht="15" customHeight="1">
      <c r="B164" s="109" t="s">
        <v>160</v>
      </c>
      <c r="C164" s="70" t="s">
        <v>184</v>
      </c>
      <c r="D164" s="77">
        <v>12</v>
      </c>
      <c r="E164" s="78">
        <v>1.5793629902610001E-3</v>
      </c>
    </row>
    <row r="165" spans="2:5" ht="15" customHeight="1">
      <c r="B165" s="110"/>
      <c r="C165" s="70" t="s">
        <v>186</v>
      </c>
      <c r="D165" s="77">
        <v>6</v>
      </c>
      <c r="E165" s="78">
        <v>7.8968149513000002E-4</v>
      </c>
    </row>
    <row r="166" spans="2:5" ht="15" customHeight="1">
      <c r="B166" s="110"/>
      <c r="C166" s="70" t="s">
        <v>185</v>
      </c>
      <c r="D166" s="77">
        <v>1</v>
      </c>
      <c r="E166" s="78">
        <v>1.31613582522E-4</v>
      </c>
    </row>
    <row r="167" spans="2:5" ht="15" customHeight="1">
      <c r="B167" s="110"/>
      <c r="C167" s="70" t="s">
        <v>187</v>
      </c>
      <c r="D167" s="77">
        <v>1</v>
      </c>
      <c r="E167" s="78">
        <v>1.31613582522E-4</v>
      </c>
    </row>
    <row r="168" spans="2:5" ht="15" customHeight="1">
      <c r="B168" s="111"/>
      <c r="C168" s="91" t="s">
        <v>258</v>
      </c>
      <c r="D168" s="90">
        <v>20</v>
      </c>
      <c r="E168" s="92">
        <v>2.6322716504339999E-3</v>
      </c>
    </row>
    <row r="169" spans="2:5" ht="15" customHeight="1">
      <c r="B169" s="109" t="s">
        <v>161</v>
      </c>
      <c r="C169" s="70" t="s">
        <v>184</v>
      </c>
      <c r="D169" s="77">
        <v>10</v>
      </c>
      <c r="E169" s="78">
        <v>1.3161358252169999E-3</v>
      </c>
    </row>
    <row r="170" spans="2:5" ht="15" customHeight="1">
      <c r="B170" s="110"/>
      <c r="C170" s="70" t="s">
        <v>185</v>
      </c>
      <c r="D170" s="77">
        <v>5</v>
      </c>
      <c r="E170" s="78">
        <v>6.5806791260900001E-4</v>
      </c>
    </row>
    <row r="171" spans="2:5" ht="15" customHeight="1">
      <c r="B171" s="110"/>
      <c r="C171" s="70" t="s">
        <v>186</v>
      </c>
      <c r="D171" s="77">
        <v>3</v>
      </c>
      <c r="E171" s="78">
        <v>3.9484074756500001E-4</v>
      </c>
    </row>
    <row r="172" spans="2:5" ht="15" customHeight="1">
      <c r="B172" s="110"/>
      <c r="C172" s="70" t="s">
        <v>187</v>
      </c>
      <c r="D172" s="77">
        <v>1</v>
      </c>
      <c r="E172" s="78">
        <v>1.31613582522E-4</v>
      </c>
    </row>
    <row r="173" spans="2:5" ht="15" customHeight="1">
      <c r="B173" s="111"/>
      <c r="C173" s="91" t="s">
        <v>258</v>
      </c>
      <c r="D173" s="90">
        <v>19</v>
      </c>
      <c r="E173" s="92">
        <v>2.5006580679130001E-3</v>
      </c>
    </row>
    <row r="174" spans="2:5" ht="15" customHeight="1">
      <c r="B174" s="109" t="s">
        <v>162</v>
      </c>
      <c r="C174" s="70" t="s">
        <v>184</v>
      </c>
      <c r="D174" s="77">
        <v>11</v>
      </c>
      <c r="E174" s="78">
        <v>1.447749407739E-3</v>
      </c>
    </row>
    <row r="175" spans="2:5" ht="15" customHeight="1">
      <c r="B175" s="110"/>
      <c r="C175" s="70" t="s">
        <v>186</v>
      </c>
      <c r="D175" s="77">
        <v>3</v>
      </c>
      <c r="E175" s="78">
        <v>3.9484074756500001E-4</v>
      </c>
    </row>
    <row r="176" spans="2:5" ht="15" customHeight="1">
      <c r="B176" s="110"/>
      <c r="C176" s="70" t="s">
        <v>185</v>
      </c>
      <c r="D176" s="77">
        <v>3</v>
      </c>
      <c r="E176" s="78">
        <v>3.9484074756500001E-4</v>
      </c>
    </row>
    <row r="177" spans="2:5" ht="15" customHeight="1">
      <c r="B177" s="110"/>
      <c r="C177" s="70" t="s">
        <v>190</v>
      </c>
      <c r="D177" s="77">
        <v>1</v>
      </c>
      <c r="E177" s="78">
        <v>1.31613582522E-4</v>
      </c>
    </row>
    <row r="178" spans="2:5" ht="15" customHeight="1">
      <c r="B178" s="110"/>
      <c r="C178" s="70" t="s">
        <v>187</v>
      </c>
      <c r="D178" s="77">
        <v>1</v>
      </c>
      <c r="E178" s="78">
        <v>1.31613582522E-4</v>
      </c>
    </row>
    <row r="179" spans="2:5" ht="15" customHeight="1">
      <c r="B179" s="111"/>
      <c r="C179" s="91" t="s">
        <v>258</v>
      </c>
      <c r="D179" s="90">
        <v>19</v>
      </c>
      <c r="E179" s="92">
        <v>2.5006580679130001E-3</v>
      </c>
    </row>
    <row r="180" spans="2:5" ht="15" customHeight="1">
      <c r="B180" s="109" t="s">
        <v>163</v>
      </c>
      <c r="C180" s="70" t="s">
        <v>184</v>
      </c>
      <c r="D180" s="77">
        <v>14</v>
      </c>
      <c r="E180" s="78">
        <v>1.842590155304E-3</v>
      </c>
    </row>
    <row r="181" spans="2:5" ht="15" customHeight="1">
      <c r="B181" s="110"/>
      <c r="C181" s="70" t="s">
        <v>185</v>
      </c>
      <c r="D181" s="77">
        <v>2</v>
      </c>
      <c r="E181" s="78">
        <v>2.6322716504299998E-4</v>
      </c>
    </row>
    <row r="182" spans="2:5" ht="15" customHeight="1">
      <c r="B182" s="110"/>
      <c r="C182" s="70" t="s">
        <v>186</v>
      </c>
      <c r="D182" s="77">
        <v>1</v>
      </c>
      <c r="E182" s="78">
        <v>1.31613582522E-4</v>
      </c>
    </row>
    <row r="183" spans="2:5" ht="15" customHeight="1">
      <c r="B183" s="111"/>
      <c r="C183" s="91" t="s">
        <v>258</v>
      </c>
      <c r="D183" s="90">
        <v>17</v>
      </c>
      <c r="E183" s="92">
        <v>2.2374309028689999E-3</v>
      </c>
    </row>
    <row r="184" spans="2:5" ht="15" customHeight="1">
      <c r="B184" s="109" t="s">
        <v>164</v>
      </c>
      <c r="C184" s="70" t="s">
        <v>184</v>
      </c>
      <c r="D184" s="77">
        <v>6</v>
      </c>
      <c r="E184" s="78">
        <v>7.8968149513000002E-4</v>
      </c>
    </row>
    <row r="185" spans="2:5" ht="15" customHeight="1">
      <c r="B185" s="110"/>
      <c r="C185" s="70" t="s">
        <v>185</v>
      </c>
      <c r="D185" s="77">
        <v>4</v>
      </c>
      <c r="E185" s="78">
        <v>5.2645433008700004E-4</v>
      </c>
    </row>
    <row r="186" spans="2:5" ht="15" customHeight="1">
      <c r="B186" s="110"/>
      <c r="C186" s="70" t="s">
        <v>186</v>
      </c>
      <c r="D186" s="77">
        <v>1</v>
      </c>
      <c r="E186" s="78">
        <v>1.31613582522E-4</v>
      </c>
    </row>
    <row r="187" spans="2:5" ht="15" customHeight="1">
      <c r="B187" s="110"/>
      <c r="C187" s="70" t="s">
        <v>187</v>
      </c>
      <c r="D187" s="77">
        <v>1</v>
      </c>
      <c r="E187" s="78">
        <v>1.31613582522E-4</v>
      </c>
    </row>
    <row r="188" spans="2:5" ht="15" customHeight="1">
      <c r="B188" s="111"/>
      <c r="C188" s="91" t="s">
        <v>258</v>
      </c>
      <c r="D188" s="90">
        <v>12</v>
      </c>
      <c r="E188" s="92">
        <v>1.5793629902610001E-3</v>
      </c>
    </row>
    <row r="189" spans="2:5" ht="15" customHeight="1">
      <c r="B189" s="109" t="s">
        <v>165</v>
      </c>
      <c r="C189" s="70" t="s">
        <v>184</v>
      </c>
      <c r="D189" s="77">
        <v>7</v>
      </c>
      <c r="E189" s="78">
        <v>9.2129507765199999E-4</v>
      </c>
    </row>
    <row r="190" spans="2:5" ht="15" customHeight="1">
      <c r="B190" s="110"/>
      <c r="C190" s="70" t="s">
        <v>186</v>
      </c>
      <c r="D190" s="77">
        <v>3</v>
      </c>
      <c r="E190" s="78">
        <v>3.9484074756500001E-4</v>
      </c>
    </row>
    <row r="191" spans="2:5" ht="15" customHeight="1">
      <c r="B191" s="110"/>
      <c r="C191" s="70" t="s">
        <v>185</v>
      </c>
      <c r="D191" s="77">
        <v>1</v>
      </c>
      <c r="E191" s="78">
        <v>1.31613582522E-4</v>
      </c>
    </row>
    <row r="192" spans="2:5" ht="15" customHeight="1">
      <c r="B192" s="111"/>
      <c r="C192" s="91" t="s">
        <v>258</v>
      </c>
      <c r="D192" s="90">
        <v>11</v>
      </c>
      <c r="E192" s="92">
        <v>1.447749407739E-3</v>
      </c>
    </row>
    <row r="193" spans="2:5" ht="15" customHeight="1">
      <c r="B193" s="109" t="s">
        <v>166</v>
      </c>
      <c r="C193" s="70" t="s">
        <v>184</v>
      </c>
      <c r="D193" s="77">
        <v>6</v>
      </c>
      <c r="E193" s="78">
        <v>7.8968149513000002E-4</v>
      </c>
    </row>
    <row r="194" spans="2:5" ht="15" customHeight="1">
      <c r="B194" s="110"/>
      <c r="C194" s="70" t="s">
        <v>186</v>
      </c>
      <c r="D194" s="77">
        <v>2</v>
      </c>
      <c r="E194" s="78">
        <v>2.6322716504299998E-4</v>
      </c>
    </row>
    <row r="195" spans="2:5" ht="15" customHeight="1">
      <c r="B195" s="110"/>
      <c r="C195" s="70" t="s">
        <v>185</v>
      </c>
      <c r="D195" s="77">
        <v>1</v>
      </c>
      <c r="E195" s="78">
        <v>1.31613582522E-4</v>
      </c>
    </row>
    <row r="196" spans="2:5" ht="15" customHeight="1">
      <c r="B196" s="111"/>
      <c r="C196" s="91" t="s">
        <v>258</v>
      </c>
      <c r="D196" s="90">
        <v>9</v>
      </c>
      <c r="E196" s="92">
        <v>1.1845222426950001E-3</v>
      </c>
    </row>
    <row r="197" spans="2:5" ht="15" customHeight="1">
      <c r="B197" s="109" t="s">
        <v>167</v>
      </c>
      <c r="C197" s="70" t="s">
        <v>184</v>
      </c>
      <c r="D197" s="77">
        <v>4</v>
      </c>
      <c r="E197" s="78">
        <v>5.2645433008700004E-4</v>
      </c>
    </row>
    <row r="198" spans="2:5" ht="15" customHeight="1">
      <c r="B198" s="110"/>
      <c r="C198" s="70" t="s">
        <v>185</v>
      </c>
      <c r="D198" s="77">
        <v>3</v>
      </c>
      <c r="E198" s="78">
        <v>3.9484074756500001E-4</v>
      </c>
    </row>
    <row r="199" spans="2:5" ht="15" customHeight="1">
      <c r="B199" s="110"/>
      <c r="C199" s="70" t="s">
        <v>186</v>
      </c>
      <c r="D199" s="77">
        <v>1</v>
      </c>
      <c r="E199" s="78">
        <v>1.31613582522E-4</v>
      </c>
    </row>
    <row r="200" spans="2:5" ht="15" customHeight="1">
      <c r="B200" s="111"/>
      <c r="C200" s="91" t="s">
        <v>258</v>
      </c>
      <c r="D200" s="90">
        <v>8</v>
      </c>
      <c r="E200" s="92">
        <v>1.0529086601740001E-3</v>
      </c>
    </row>
    <row r="201" spans="2:5" ht="15" customHeight="1">
      <c r="B201" s="109" t="s">
        <v>168</v>
      </c>
      <c r="C201" s="70" t="s">
        <v>185</v>
      </c>
      <c r="D201" s="77">
        <v>3</v>
      </c>
      <c r="E201" s="78">
        <v>3.9484074756500001E-4</v>
      </c>
    </row>
    <row r="202" spans="2:5" ht="15" customHeight="1">
      <c r="B202" s="110"/>
      <c r="C202" s="70" t="s">
        <v>184</v>
      </c>
      <c r="D202" s="77">
        <v>3</v>
      </c>
      <c r="E202" s="78">
        <v>3.9484074756500001E-4</v>
      </c>
    </row>
    <row r="203" spans="2:5" ht="15" customHeight="1">
      <c r="B203" s="110"/>
      <c r="C203" s="70" t="s">
        <v>186</v>
      </c>
      <c r="D203" s="77">
        <v>1</v>
      </c>
      <c r="E203" s="78">
        <v>1.31613582522E-4</v>
      </c>
    </row>
    <row r="204" spans="2:5" ht="15" customHeight="1">
      <c r="B204" s="111"/>
      <c r="C204" s="91" t="s">
        <v>258</v>
      </c>
      <c r="D204" s="90">
        <v>7</v>
      </c>
      <c r="E204" s="92">
        <v>9.2129507765199999E-4</v>
      </c>
    </row>
    <row r="205" spans="2:5" ht="15" customHeight="1">
      <c r="B205" s="109" t="s">
        <v>169</v>
      </c>
      <c r="C205" s="70" t="s">
        <v>186</v>
      </c>
      <c r="D205" s="77">
        <v>3</v>
      </c>
      <c r="E205" s="78">
        <v>3.9484074756500001E-4</v>
      </c>
    </row>
    <row r="206" spans="2:5" ht="15" customHeight="1">
      <c r="B206" s="110"/>
      <c r="C206" s="70" t="s">
        <v>184</v>
      </c>
      <c r="D206" s="77">
        <v>2</v>
      </c>
      <c r="E206" s="78">
        <v>2.6322716504299998E-4</v>
      </c>
    </row>
    <row r="207" spans="2:5" ht="15" customHeight="1">
      <c r="B207" s="111"/>
      <c r="C207" s="91" t="s">
        <v>258</v>
      </c>
      <c r="D207" s="90">
        <v>5</v>
      </c>
      <c r="E207" s="92">
        <v>6.5806791260900001E-4</v>
      </c>
    </row>
    <row r="208" spans="2:5" ht="15" customHeight="1">
      <c r="B208" s="109" t="s">
        <v>170</v>
      </c>
      <c r="C208" s="70" t="s">
        <v>184</v>
      </c>
      <c r="D208" s="77">
        <v>2</v>
      </c>
      <c r="E208" s="78">
        <v>2.6322716504299998E-4</v>
      </c>
    </row>
    <row r="209" spans="2:5" ht="15" customHeight="1">
      <c r="B209" s="110"/>
      <c r="C209" s="70" t="s">
        <v>186</v>
      </c>
      <c r="D209" s="77">
        <v>1</v>
      </c>
      <c r="E209" s="78">
        <v>1.31613582522E-4</v>
      </c>
    </row>
    <row r="210" spans="2:5" ht="15" customHeight="1">
      <c r="B210" s="110"/>
      <c r="C210" s="70" t="s">
        <v>185</v>
      </c>
      <c r="D210" s="77">
        <v>1</v>
      </c>
      <c r="E210" s="78">
        <v>1.31613582522E-4</v>
      </c>
    </row>
    <row r="211" spans="2:5" ht="15" customHeight="1">
      <c r="B211" s="111"/>
      <c r="C211" s="91" t="s">
        <v>258</v>
      </c>
      <c r="D211" s="90">
        <v>4</v>
      </c>
      <c r="E211" s="92">
        <v>5.2645433008700004E-4</v>
      </c>
    </row>
    <row r="212" spans="2:5" ht="15" customHeight="1">
      <c r="B212" s="109" t="s">
        <v>171</v>
      </c>
      <c r="C212" s="70" t="s">
        <v>186</v>
      </c>
      <c r="D212" s="77">
        <v>2</v>
      </c>
      <c r="E212" s="78">
        <v>2.6322716504299998E-4</v>
      </c>
    </row>
    <row r="213" spans="2:5" ht="15" customHeight="1">
      <c r="B213" s="110"/>
      <c r="C213" s="70" t="s">
        <v>184</v>
      </c>
      <c r="D213" s="77">
        <v>2</v>
      </c>
      <c r="E213" s="78">
        <v>2.6322716504299998E-4</v>
      </c>
    </row>
    <row r="214" spans="2:5" ht="15" customHeight="1">
      <c r="B214" s="111"/>
      <c r="C214" s="91" t="s">
        <v>258</v>
      </c>
      <c r="D214" s="90">
        <v>4</v>
      </c>
      <c r="E214" s="92">
        <v>5.2645433008700004E-4</v>
      </c>
    </row>
    <row r="215" spans="2:5" ht="15" customHeight="1">
      <c r="B215" s="109" t="s">
        <v>172</v>
      </c>
      <c r="C215" s="70" t="s">
        <v>186</v>
      </c>
      <c r="D215" s="77">
        <v>2</v>
      </c>
      <c r="E215" s="78">
        <v>2.6322716504299998E-4</v>
      </c>
    </row>
    <row r="216" spans="2:5" ht="15" customHeight="1">
      <c r="B216" s="110"/>
      <c r="C216" s="70" t="s">
        <v>184</v>
      </c>
      <c r="D216" s="77">
        <v>1</v>
      </c>
      <c r="E216" s="78">
        <v>1.31613582522E-4</v>
      </c>
    </row>
    <row r="217" spans="2:5" ht="15" customHeight="1">
      <c r="B217" s="111"/>
      <c r="C217" s="91" t="s">
        <v>258</v>
      </c>
      <c r="D217" s="90">
        <v>3</v>
      </c>
      <c r="E217" s="92">
        <v>3.9484074756500001E-4</v>
      </c>
    </row>
    <row r="218" spans="2:5" ht="15" customHeight="1">
      <c r="B218" s="109" t="s">
        <v>173</v>
      </c>
      <c r="C218" s="70" t="s">
        <v>185</v>
      </c>
      <c r="D218" s="77">
        <v>2</v>
      </c>
      <c r="E218" s="78">
        <v>2.6322716504299998E-4</v>
      </c>
    </row>
    <row r="219" spans="2:5" ht="15" customHeight="1">
      <c r="B219" s="110"/>
      <c r="C219" s="70" t="s">
        <v>184</v>
      </c>
      <c r="D219" s="77">
        <v>1</v>
      </c>
      <c r="E219" s="78">
        <v>1.31613582522E-4</v>
      </c>
    </row>
    <row r="220" spans="2:5" ht="15" customHeight="1">
      <c r="B220" s="111"/>
      <c r="C220" s="91" t="s">
        <v>258</v>
      </c>
      <c r="D220" s="90">
        <v>3</v>
      </c>
      <c r="E220" s="92">
        <v>3.9484074756500001E-4</v>
      </c>
    </row>
    <row r="221" spans="2:5" ht="15" customHeight="1">
      <c r="B221" s="109" t="s">
        <v>174</v>
      </c>
      <c r="C221" s="70" t="s">
        <v>186</v>
      </c>
      <c r="D221" s="77">
        <v>1</v>
      </c>
      <c r="E221" s="78">
        <v>1.31613582522E-4</v>
      </c>
    </row>
    <row r="222" spans="2:5" ht="15" customHeight="1">
      <c r="B222" s="110"/>
      <c r="C222" s="70" t="s">
        <v>185</v>
      </c>
      <c r="D222" s="77">
        <v>1</v>
      </c>
      <c r="E222" s="78">
        <v>1.31613582522E-4</v>
      </c>
    </row>
    <row r="223" spans="2:5" ht="15" customHeight="1">
      <c r="B223" s="110"/>
      <c r="C223" s="70" t="s">
        <v>184</v>
      </c>
      <c r="D223" s="77">
        <v>1</v>
      </c>
      <c r="E223" s="78">
        <v>1.31613582522E-4</v>
      </c>
    </row>
    <row r="224" spans="2:5" ht="15" customHeight="1">
      <c r="B224" s="111"/>
      <c r="C224" s="91" t="s">
        <v>258</v>
      </c>
      <c r="D224" s="90">
        <v>3</v>
      </c>
      <c r="E224" s="92">
        <v>3.9484074756500001E-4</v>
      </c>
    </row>
    <row r="225" spans="2:5" ht="15" customHeight="1">
      <c r="B225" s="109" t="s">
        <v>175</v>
      </c>
      <c r="C225" s="70" t="s">
        <v>186</v>
      </c>
      <c r="D225" s="77">
        <v>1</v>
      </c>
      <c r="E225" s="78">
        <v>1.31613582522E-4</v>
      </c>
    </row>
    <row r="226" spans="2:5" ht="15" customHeight="1">
      <c r="B226" s="110"/>
      <c r="C226" s="70" t="s">
        <v>185</v>
      </c>
      <c r="D226" s="77">
        <v>1</v>
      </c>
      <c r="E226" s="78">
        <v>1.31613582522E-4</v>
      </c>
    </row>
    <row r="227" spans="2:5" ht="15" customHeight="1">
      <c r="B227" s="111"/>
      <c r="C227" s="91" t="s">
        <v>258</v>
      </c>
      <c r="D227" s="90">
        <v>2</v>
      </c>
      <c r="E227" s="92">
        <v>2.6322716504299998E-4</v>
      </c>
    </row>
    <row r="228" spans="2:5" ht="15" customHeight="1">
      <c r="B228" s="109" t="s">
        <v>176</v>
      </c>
      <c r="C228" s="70" t="s">
        <v>185</v>
      </c>
      <c r="D228" s="77">
        <v>1</v>
      </c>
      <c r="E228" s="78">
        <v>1.31613582522E-4</v>
      </c>
    </row>
    <row r="229" spans="2:5" ht="15" customHeight="1">
      <c r="B229" s="110"/>
      <c r="C229" s="70" t="s">
        <v>184</v>
      </c>
      <c r="D229" s="77">
        <v>1</v>
      </c>
      <c r="E229" s="78">
        <v>1.31613582522E-4</v>
      </c>
    </row>
    <row r="230" spans="2:5" ht="15" customHeight="1">
      <c r="B230" s="111"/>
      <c r="C230" s="91" t="s">
        <v>258</v>
      </c>
      <c r="D230" s="90">
        <v>2</v>
      </c>
      <c r="E230" s="92">
        <v>2.6322716504299998E-4</v>
      </c>
    </row>
    <row r="231" spans="2:5" ht="15" customHeight="1">
      <c r="B231" s="109" t="s">
        <v>177</v>
      </c>
      <c r="C231" s="70" t="s">
        <v>186</v>
      </c>
      <c r="D231" s="77">
        <v>1</v>
      </c>
      <c r="E231" s="78">
        <v>1.31613582522E-4</v>
      </c>
    </row>
    <row r="232" spans="2:5" ht="15" customHeight="1">
      <c r="B232" s="110"/>
      <c r="C232" s="70" t="s">
        <v>184</v>
      </c>
      <c r="D232" s="77">
        <v>1</v>
      </c>
      <c r="E232" s="78">
        <v>1.31613582522E-4</v>
      </c>
    </row>
    <row r="233" spans="2:5" ht="15" customHeight="1">
      <c r="B233" s="111"/>
      <c r="C233" s="91" t="s">
        <v>258</v>
      </c>
      <c r="D233" s="90">
        <v>2</v>
      </c>
      <c r="E233" s="92">
        <v>2.6322716504299998E-4</v>
      </c>
    </row>
    <row r="234" spans="2:5" ht="15" customHeight="1">
      <c r="B234" s="109" t="s">
        <v>178</v>
      </c>
      <c r="C234" s="70" t="s">
        <v>186</v>
      </c>
      <c r="D234" s="77">
        <v>1</v>
      </c>
      <c r="E234" s="78">
        <v>1.31613582522E-4</v>
      </c>
    </row>
    <row r="235" spans="2:5" ht="15" customHeight="1">
      <c r="B235" s="111"/>
      <c r="C235" s="91" t="s">
        <v>258</v>
      </c>
      <c r="D235" s="90">
        <v>1</v>
      </c>
      <c r="E235" s="92">
        <v>1.31613582522E-4</v>
      </c>
    </row>
    <row r="236" spans="2:5" ht="15" customHeight="1">
      <c r="B236" s="109" t="s">
        <v>179</v>
      </c>
      <c r="C236" s="70" t="s">
        <v>186</v>
      </c>
      <c r="D236" s="77">
        <v>1</v>
      </c>
      <c r="E236" s="78">
        <v>1.31613582522E-4</v>
      </c>
    </row>
    <row r="237" spans="2:5" ht="15" customHeight="1">
      <c r="B237" s="111"/>
      <c r="C237" s="91" t="s">
        <v>258</v>
      </c>
      <c r="D237" s="90">
        <v>1</v>
      </c>
      <c r="E237" s="92">
        <v>1.31613582522E-4</v>
      </c>
    </row>
    <row r="238" spans="2:5" ht="15" customHeight="1">
      <c r="B238" s="109" t="s">
        <v>180</v>
      </c>
      <c r="C238" s="70" t="s">
        <v>185</v>
      </c>
      <c r="D238" s="77">
        <v>1</v>
      </c>
      <c r="E238" s="78">
        <v>1.31613582522E-4</v>
      </c>
    </row>
    <row r="239" spans="2:5" ht="15" customHeight="1">
      <c r="B239" s="111"/>
      <c r="C239" s="91" t="s">
        <v>258</v>
      </c>
      <c r="D239" s="90">
        <v>1</v>
      </c>
      <c r="E239" s="92">
        <v>1.31613582522E-4</v>
      </c>
    </row>
    <row r="240" spans="2:5" ht="15" customHeight="1">
      <c r="B240" s="109" t="s">
        <v>181</v>
      </c>
      <c r="C240" s="70" t="s">
        <v>184</v>
      </c>
      <c r="D240" s="77">
        <v>1</v>
      </c>
      <c r="E240" s="78">
        <v>1.31613582522E-4</v>
      </c>
    </row>
    <row r="241" spans="2:7" ht="15" customHeight="1">
      <c r="B241" s="111"/>
      <c r="C241" s="91" t="s">
        <v>258</v>
      </c>
      <c r="D241" s="90">
        <v>1</v>
      </c>
      <c r="E241" s="92">
        <v>1.31613582522E-4</v>
      </c>
    </row>
    <row r="242" spans="2:7" ht="15" customHeight="1">
      <c r="B242" s="109" t="s">
        <v>182</v>
      </c>
      <c r="C242" s="70" t="s">
        <v>184</v>
      </c>
      <c r="D242" s="77">
        <v>1</v>
      </c>
      <c r="E242" s="78">
        <v>1.31613582522E-4</v>
      </c>
    </row>
    <row r="243" spans="2:7" ht="15" customHeight="1">
      <c r="B243" s="111"/>
      <c r="C243" s="91" t="s">
        <v>258</v>
      </c>
      <c r="D243" s="90">
        <v>1</v>
      </c>
      <c r="E243" s="92">
        <v>1.31613582522E-4</v>
      </c>
    </row>
    <row r="244" spans="2:7" ht="15" customHeight="1">
      <c r="B244" s="109" t="s">
        <v>183</v>
      </c>
      <c r="C244" s="70" t="s">
        <v>184</v>
      </c>
      <c r="D244" s="77">
        <v>1</v>
      </c>
      <c r="E244" s="78">
        <v>1.31613582522E-4</v>
      </c>
    </row>
    <row r="245" spans="2:7" ht="15" customHeight="1">
      <c r="B245" s="111"/>
      <c r="C245" s="91" t="s">
        <v>258</v>
      </c>
      <c r="D245" s="90">
        <v>1</v>
      </c>
      <c r="E245" s="92">
        <v>1.31613582522E-4</v>
      </c>
    </row>
    <row r="246" spans="2:7" ht="15" customHeight="1">
      <c r="B246" s="106" t="s">
        <v>258</v>
      </c>
      <c r="C246" s="107"/>
      <c r="D246" s="80">
        <v>7598</v>
      </c>
      <c r="E246" s="81">
        <v>1</v>
      </c>
    </row>
    <row r="247" spans="2:7" ht="15" customHeight="1">
      <c r="B247" s="66"/>
      <c r="C247" s="66"/>
      <c r="D247" s="66"/>
      <c r="E247" s="66"/>
    </row>
    <row r="248" spans="2:7" ht="15" customHeight="1">
      <c r="B248" s="86" t="s">
        <v>130</v>
      </c>
      <c r="D248" s="87"/>
      <c r="E248" s="87"/>
      <c r="F248" s="13"/>
      <c r="G248" s="15"/>
    </row>
    <row r="249" spans="2:7" ht="15" customHeight="1">
      <c r="B249" s="86" t="s">
        <v>17</v>
      </c>
      <c r="D249" s="87"/>
      <c r="E249" s="87"/>
      <c r="F249" s="13"/>
      <c r="G249" s="15"/>
    </row>
    <row r="250" spans="2:7" ht="15" customHeight="1">
      <c r="B250" s="86" t="s">
        <v>45</v>
      </c>
      <c r="D250" s="87"/>
      <c r="E250" s="87"/>
      <c r="F250" s="13"/>
      <c r="G250" s="15"/>
    </row>
    <row r="251" spans="2:7" ht="15" customHeight="1">
      <c r="B251" s="86" t="s">
        <v>16</v>
      </c>
      <c r="D251" s="87"/>
      <c r="E251" s="87"/>
      <c r="F251" s="13"/>
      <c r="G251" s="15"/>
    </row>
    <row r="252" spans="2:7" ht="15" customHeight="1">
      <c r="B252" s="87" t="s">
        <v>259</v>
      </c>
      <c r="D252" s="86"/>
      <c r="E252" s="87"/>
      <c r="F252" s="15"/>
      <c r="G252" s="15"/>
    </row>
  </sheetData>
  <mergeCells count="53">
    <mergeCell ref="B242:B243"/>
    <mergeCell ref="B244:B245"/>
    <mergeCell ref="B231:B233"/>
    <mergeCell ref="B234:B235"/>
    <mergeCell ref="B236:B237"/>
    <mergeCell ref="B238:B239"/>
    <mergeCell ref="B240:B241"/>
    <mergeCell ref="B215:B217"/>
    <mergeCell ref="B218:B220"/>
    <mergeCell ref="B221:B224"/>
    <mergeCell ref="B225:B227"/>
    <mergeCell ref="B228:B230"/>
    <mergeCell ref="B197:B200"/>
    <mergeCell ref="B201:B204"/>
    <mergeCell ref="B205:B207"/>
    <mergeCell ref="B208:B211"/>
    <mergeCell ref="B212:B214"/>
    <mergeCell ref="B174:B179"/>
    <mergeCell ref="B180:B183"/>
    <mergeCell ref="B184:B188"/>
    <mergeCell ref="B189:B192"/>
    <mergeCell ref="B193:B196"/>
    <mergeCell ref="B151:B154"/>
    <mergeCell ref="B155:B159"/>
    <mergeCell ref="B160:B163"/>
    <mergeCell ref="B164:B168"/>
    <mergeCell ref="B169:B173"/>
    <mergeCell ref="B123:B129"/>
    <mergeCell ref="B130:B134"/>
    <mergeCell ref="B135:B140"/>
    <mergeCell ref="B141:B144"/>
    <mergeCell ref="B145:B150"/>
    <mergeCell ref="B96:B101"/>
    <mergeCell ref="B102:B107"/>
    <mergeCell ref="B108:B113"/>
    <mergeCell ref="B114:B118"/>
    <mergeCell ref="B119:B122"/>
    <mergeCell ref="B246:C246"/>
    <mergeCell ref="B7:E8"/>
    <mergeCell ref="B10:B17"/>
    <mergeCell ref="B18:B24"/>
    <mergeCell ref="B25:B32"/>
    <mergeCell ref="B33:B39"/>
    <mergeCell ref="B40:B46"/>
    <mergeCell ref="B47:B51"/>
    <mergeCell ref="B52:B58"/>
    <mergeCell ref="B59:B63"/>
    <mergeCell ref="B64:B68"/>
    <mergeCell ref="B69:B74"/>
    <mergeCell ref="B75:B80"/>
    <mergeCell ref="B81:B85"/>
    <mergeCell ref="B86:B89"/>
    <mergeCell ref="B90:B9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288"/>
  <sheetViews>
    <sheetView showGridLines="0" view="pageBreakPreview" zoomScale="115" zoomScaleNormal="100" zoomScaleSheetLayoutView="115" workbookViewId="0">
      <selection activeCell="C10" sqref="C10"/>
    </sheetView>
  </sheetViews>
  <sheetFormatPr baseColWidth="10" defaultColWidth="35" defaultRowHeight="15" customHeight="1"/>
  <cols>
    <col min="1" max="1" width="1" style="19" customWidth="1"/>
    <col min="2" max="2" width="22.81640625" style="20" customWidth="1"/>
    <col min="3" max="3" width="31.453125" style="20" customWidth="1"/>
    <col min="4" max="4" width="14.26953125" style="20" customWidth="1"/>
    <col min="5" max="5" width="16.8164062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24"/>
      <c r="C6" s="21"/>
      <c r="D6" s="21"/>
      <c r="E6" s="21"/>
    </row>
    <row r="7" spans="1:5" s="22" customFormat="1" ht="26.25" customHeight="1">
      <c r="A7" s="23"/>
      <c r="B7" s="108"/>
      <c r="C7" s="108"/>
      <c r="D7" s="108"/>
      <c r="E7" s="108"/>
    </row>
    <row r="8" spans="1:5" s="22" customFormat="1" ht="14.15" customHeight="1">
      <c r="A8" s="23"/>
      <c r="B8" s="108"/>
      <c r="C8" s="108"/>
      <c r="D8" s="108"/>
      <c r="E8" s="108"/>
    </row>
    <row r="9" spans="1:5" s="22" customFormat="1" ht="28" customHeight="1">
      <c r="A9" s="23"/>
      <c r="B9" s="108"/>
      <c r="C9" s="108"/>
      <c r="D9" s="108"/>
      <c r="E9" s="108"/>
    </row>
    <row r="10" spans="1:5" s="15" customFormat="1" ht="40.5" customHeight="1">
      <c r="B10" s="63" t="s">
        <v>21</v>
      </c>
      <c r="C10" s="64" t="s">
        <v>23</v>
      </c>
      <c r="D10" s="65" t="s">
        <v>19</v>
      </c>
      <c r="E10" s="63" t="s">
        <v>18</v>
      </c>
    </row>
    <row r="11" spans="1:5" ht="15" customHeight="1">
      <c r="B11" s="109" t="s">
        <v>82</v>
      </c>
      <c r="C11" s="70" t="s">
        <v>186</v>
      </c>
      <c r="D11" s="77">
        <v>2</v>
      </c>
      <c r="E11" s="78">
        <v>2.6322716504299998E-4</v>
      </c>
    </row>
    <row r="12" spans="1:5" ht="15" customHeight="1">
      <c r="B12" s="110"/>
      <c r="C12" s="70" t="s">
        <v>185</v>
      </c>
      <c r="D12" s="77">
        <v>3</v>
      </c>
      <c r="E12" s="78">
        <v>3.9484074756500001E-4</v>
      </c>
    </row>
    <row r="13" spans="1:5" ht="15" customHeight="1">
      <c r="B13" s="110"/>
      <c r="C13" s="70" t="s">
        <v>184</v>
      </c>
      <c r="D13" s="77">
        <v>10</v>
      </c>
      <c r="E13" s="78">
        <v>1.3161358252169999E-3</v>
      </c>
    </row>
    <row r="14" spans="1:5" ht="15" customHeight="1">
      <c r="B14" s="111"/>
      <c r="C14" s="91" t="s">
        <v>258</v>
      </c>
      <c r="D14" s="90">
        <v>15</v>
      </c>
      <c r="E14" s="92">
        <v>1.9742037378259998E-3</v>
      </c>
    </row>
    <row r="15" spans="1:5" ht="15" customHeight="1">
      <c r="B15" s="109" t="s">
        <v>63</v>
      </c>
      <c r="C15" s="70" t="s">
        <v>186</v>
      </c>
      <c r="D15" s="77">
        <v>12</v>
      </c>
      <c r="E15" s="78">
        <v>1.5793629902610001E-3</v>
      </c>
    </row>
    <row r="16" spans="1:5" ht="15" customHeight="1">
      <c r="B16" s="110"/>
      <c r="C16" s="70" t="s">
        <v>185</v>
      </c>
      <c r="D16" s="77">
        <v>15</v>
      </c>
      <c r="E16" s="78">
        <v>1.9742037378259998E-3</v>
      </c>
    </row>
    <row r="17" spans="2:5" ht="15" customHeight="1">
      <c r="B17" s="110"/>
      <c r="C17" s="70" t="s">
        <v>184</v>
      </c>
      <c r="D17" s="77">
        <v>42</v>
      </c>
      <c r="E17" s="78">
        <v>5.5277704659120004E-3</v>
      </c>
    </row>
    <row r="18" spans="2:5" ht="15" customHeight="1">
      <c r="B18" s="111"/>
      <c r="C18" s="91" t="s">
        <v>258</v>
      </c>
      <c r="D18" s="90">
        <v>69</v>
      </c>
      <c r="E18" s="92">
        <v>9.081337193998E-3</v>
      </c>
    </row>
    <row r="19" spans="2:5" ht="15" customHeight="1">
      <c r="B19" s="109" t="s">
        <v>83</v>
      </c>
      <c r="C19" s="70" t="s">
        <v>189</v>
      </c>
      <c r="D19" s="77">
        <v>3</v>
      </c>
      <c r="E19" s="78">
        <v>3.9484074756500001E-4</v>
      </c>
    </row>
    <row r="20" spans="2:5" ht="15" customHeight="1">
      <c r="B20" s="110"/>
      <c r="C20" s="70" t="s">
        <v>186</v>
      </c>
      <c r="D20" s="77">
        <v>2</v>
      </c>
      <c r="E20" s="78">
        <v>2.6322716504299998E-4</v>
      </c>
    </row>
    <row r="21" spans="2:5" ht="15" customHeight="1">
      <c r="B21" s="110"/>
      <c r="C21" s="70" t="s">
        <v>185</v>
      </c>
      <c r="D21" s="77">
        <v>5</v>
      </c>
      <c r="E21" s="78">
        <v>6.5806791260900001E-4</v>
      </c>
    </row>
    <row r="22" spans="2:5" ht="15" customHeight="1">
      <c r="B22" s="110"/>
      <c r="C22" s="70" t="s">
        <v>187</v>
      </c>
      <c r="D22" s="77">
        <v>1</v>
      </c>
      <c r="E22" s="78">
        <v>1.31613582522E-4</v>
      </c>
    </row>
    <row r="23" spans="2:5" ht="15" customHeight="1">
      <c r="B23" s="110"/>
      <c r="C23" s="70" t="s">
        <v>184</v>
      </c>
      <c r="D23" s="77">
        <v>17</v>
      </c>
      <c r="E23" s="78">
        <v>2.2374309028689999E-3</v>
      </c>
    </row>
    <row r="24" spans="2:5" ht="15" customHeight="1">
      <c r="B24" s="111"/>
      <c r="C24" s="91" t="s">
        <v>258</v>
      </c>
      <c r="D24" s="90">
        <v>28</v>
      </c>
      <c r="E24" s="92">
        <v>3.685180310608E-3</v>
      </c>
    </row>
    <row r="25" spans="2:5" ht="15" customHeight="1">
      <c r="B25" s="109" t="s">
        <v>70</v>
      </c>
      <c r="C25" s="70" t="s">
        <v>186</v>
      </c>
      <c r="D25" s="77">
        <v>10</v>
      </c>
      <c r="E25" s="78">
        <v>1.3161358252169999E-3</v>
      </c>
    </row>
    <row r="26" spans="2:5" ht="15" customHeight="1">
      <c r="B26" s="110"/>
      <c r="C26" s="70" t="s">
        <v>185</v>
      </c>
      <c r="D26" s="77">
        <v>19</v>
      </c>
      <c r="E26" s="78">
        <v>2.5006580679130001E-3</v>
      </c>
    </row>
    <row r="27" spans="2:5" ht="15" customHeight="1">
      <c r="B27" s="110"/>
      <c r="C27" s="70" t="s">
        <v>188</v>
      </c>
      <c r="D27" s="77">
        <v>1</v>
      </c>
      <c r="E27" s="78">
        <v>1.31613582522E-4</v>
      </c>
    </row>
    <row r="28" spans="2:5" ht="15" customHeight="1">
      <c r="B28" s="110"/>
      <c r="C28" s="70" t="s">
        <v>187</v>
      </c>
      <c r="D28" s="77">
        <v>2</v>
      </c>
      <c r="E28" s="78">
        <v>2.6322716504299998E-4</v>
      </c>
    </row>
    <row r="29" spans="2:5" ht="15" customHeight="1">
      <c r="B29" s="110"/>
      <c r="C29" s="70" t="s">
        <v>184</v>
      </c>
      <c r="D29" s="77">
        <v>32</v>
      </c>
      <c r="E29" s="78">
        <v>4.2116346406950002E-3</v>
      </c>
    </row>
    <row r="30" spans="2:5" ht="15" customHeight="1">
      <c r="B30" s="111"/>
      <c r="C30" s="91" t="s">
        <v>258</v>
      </c>
      <c r="D30" s="90">
        <v>64</v>
      </c>
      <c r="E30" s="92">
        <v>8.4232692813900004E-3</v>
      </c>
    </row>
    <row r="31" spans="2:5" ht="15" customHeight="1">
      <c r="B31" s="109" t="s">
        <v>92</v>
      </c>
      <c r="C31" s="70" t="s">
        <v>186</v>
      </c>
      <c r="D31" s="77">
        <v>6</v>
      </c>
      <c r="E31" s="78">
        <v>7.8968149513000002E-4</v>
      </c>
    </row>
    <row r="32" spans="2:5" ht="15" customHeight="1">
      <c r="B32" s="110"/>
      <c r="C32" s="70" t="s">
        <v>185</v>
      </c>
      <c r="D32" s="77">
        <v>1</v>
      </c>
      <c r="E32" s="78">
        <v>1.31613582522E-4</v>
      </c>
    </row>
    <row r="33" spans="2:5" ht="15" customHeight="1">
      <c r="B33" s="110"/>
      <c r="C33" s="70" t="s">
        <v>184</v>
      </c>
      <c r="D33" s="77">
        <v>5</v>
      </c>
      <c r="E33" s="78">
        <v>6.5806791260900001E-4</v>
      </c>
    </row>
    <row r="34" spans="2:5" ht="15" customHeight="1">
      <c r="B34" s="111"/>
      <c r="C34" s="91" t="s">
        <v>258</v>
      </c>
      <c r="D34" s="90">
        <v>12</v>
      </c>
      <c r="E34" s="92">
        <v>1.5793629902610001E-3</v>
      </c>
    </row>
    <row r="35" spans="2:5" ht="15" customHeight="1">
      <c r="B35" s="109" t="s">
        <v>89</v>
      </c>
      <c r="C35" s="70" t="s">
        <v>186</v>
      </c>
      <c r="D35" s="77">
        <v>1</v>
      </c>
      <c r="E35" s="78">
        <v>1.31613582522E-4</v>
      </c>
    </row>
    <row r="36" spans="2:5" ht="15" customHeight="1">
      <c r="B36" s="110"/>
      <c r="C36" s="70" t="s">
        <v>184</v>
      </c>
      <c r="D36" s="77">
        <v>1</v>
      </c>
      <c r="E36" s="78">
        <v>1.31613582522E-4</v>
      </c>
    </row>
    <row r="37" spans="2:5" ht="15" customHeight="1">
      <c r="B37" s="111"/>
      <c r="C37" s="91" t="s">
        <v>258</v>
      </c>
      <c r="D37" s="90">
        <v>2</v>
      </c>
      <c r="E37" s="92">
        <v>2.6322716504299998E-4</v>
      </c>
    </row>
    <row r="38" spans="2:5" ht="15" customHeight="1">
      <c r="B38" s="109" t="s">
        <v>52</v>
      </c>
      <c r="C38" s="70" t="s">
        <v>186</v>
      </c>
      <c r="D38" s="77">
        <v>9</v>
      </c>
      <c r="E38" s="78">
        <v>1.1845222426950001E-3</v>
      </c>
    </row>
    <row r="39" spans="2:5" ht="15" customHeight="1">
      <c r="B39" s="110"/>
      <c r="C39" s="70" t="s">
        <v>185</v>
      </c>
      <c r="D39" s="77">
        <v>270</v>
      </c>
      <c r="E39" s="78">
        <v>3.5535667280862999E-2</v>
      </c>
    </row>
    <row r="40" spans="2:5" ht="15" customHeight="1">
      <c r="B40" s="110"/>
      <c r="C40" s="70" t="s">
        <v>184</v>
      </c>
      <c r="D40" s="77">
        <v>22</v>
      </c>
      <c r="E40" s="78">
        <v>2.8954988154780001E-3</v>
      </c>
    </row>
    <row r="41" spans="2:5" ht="15" customHeight="1">
      <c r="B41" s="111"/>
      <c r="C41" s="91" t="s">
        <v>258</v>
      </c>
      <c r="D41" s="90">
        <v>301</v>
      </c>
      <c r="E41" s="92">
        <v>3.9615688339037003E-2</v>
      </c>
    </row>
    <row r="42" spans="2:5" ht="15" customHeight="1">
      <c r="B42" s="109" t="s">
        <v>53</v>
      </c>
      <c r="C42" s="70" t="s">
        <v>186</v>
      </c>
      <c r="D42" s="77">
        <v>43</v>
      </c>
      <c r="E42" s="78">
        <v>5.6593840484339998E-3</v>
      </c>
    </row>
    <row r="43" spans="2:5" ht="15" customHeight="1">
      <c r="B43" s="110"/>
      <c r="C43" s="70" t="s">
        <v>185</v>
      </c>
      <c r="D43" s="77">
        <v>39</v>
      </c>
      <c r="E43" s="78">
        <v>5.1329297183470004E-3</v>
      </c>
    </row>
    <row r="44" spans="2:5" ht="15" customHeight="1">
      <c r="B44" s="110"/>
      <c r="C44" s="70" t="s">
        <v>188</v>
      </c>
      <c r="D44" s="77">
        <v>1</v>
      </c>
      <c r="E44" s="78">
        <v>1.31613582522E-4</v>
      </c>
    </row>
    <row r="45" spans="2:5" ht="15" customHeight="1">
      <c r="B45" s="110"/>
      <c r="C45" s="70" t="s">
        <v>190</v>
      </c>
      <c r="D45" s="77">
        <v>1</v>
      </c>
      <c r="E45" s="78">
        <v>1.31613582522E-4</v>
      </c>
    </row>
    <row r="46" spans="2:5" ht="15" customHeight="1">
      <c r="B46" s="110"/>
      <c r="C46" s="70" t="s">
        <v>187</v>
      </c>
      <c r="D46" s="77">
        <v>6</v>
      </c>
      <c r="E46" s="78">
        <v>7.8968149513000002E-4</v>
      </c>
    </row>
    <row r="47" spans="2:5" ht="15" customHeight="1">
      <c r="B47" s="110"/>
      <c r="C47" s="70" t="s">
        <v>184</v>
      </c>
      <c r="D47" s="77">
        <v>156</v>
      </c>
      <c r="E47" s="78">
        <v>2.0531718873388002E-2</v>
      </c>
    </row>
    <row r="48" spans="2:5" ht="15" customHeight="1">
      <c r="B48" s="111"/>
      <c r="C48" s="91" t="s">
        <v>258</v>
      </c>
      <c r="D48" s="90">
        <v>246</v>
      </c>
      <c r="E48" s="92">
        <v>3.2376941300342001E-2</v>
      </c>
    </row>
    <row r="49" spans="2:5" ht="15" customHeight="1">
      <c r="B49" s="109" t="s">
        <v>58</v>
      </c>
      <c r="C49" s="70" t="s">
        <v>186</v>
      </c>
      <c r="D49" s="77">
        <v>19</v>
      </c>
      <c r="E49" s="78">
        <v>2.5006580679130001E-3</v>
      </c>
    </row>
    <row r="50" spans="2:5" ht="15" customHeight="1">
      <c r="B50" s="110"/>
      <c r="C50" s="70" t="s">
        <v>185</v>
      </c>
      <c r="D50" s="77">
        <v>37</v>
      </c>
      <c r="E50" s="78">
        <v>4.8697025533039999E-3</v>
      </c>
    </row>
    <row r="51" spans="2:5" ht="15" customHeight="1">
      <c r="B51" s="110"/>
      <c r="C51" s="70" t="s">
        <v>188</v>
      </c>
      <c r="D51" s="77">
        <v>6</v>
      </c>
      <c r="E51" s="78">
        <v>7.8968149513000002E-4</v>
      </c>
    </row>
    <row r="52" spans="2:5" ht="15" customHeight="1">
      <c r="B52" s="110"/>
      <c r="C52" s="70" t="s">
        <v>187</v>
      </c>
      <c r="D52" s="77">
        <v>4</v>
      </c>
      <c r="E52" s="78">
        <v>5.2645433008700004E-4</v>
      </c>
    </row>
    <row r="53" spans="2:5" ht="15" customHeight="1">
      <c r="B53" s="110"/>
      <c r="C53" s="70" t="s">
        <v>184</v>
      </c>
      <c r="D53" s="77">
        <v>92</v>
      </c>
      <c r="E53" s="78">
        <v>1.2108449591998E-2</v>
      </c>
    </row>
    <row r="54" spans="2:5" ht="15" customHeight="1">
      <c r="B54" s="111"/>
      <c r="C54" s="91" t="s">
        <v>258</v>
      </c>
      <c r="D54" s="90">
        <v>158</v>
      </c>
      <c r="E54" s="92">
        <v>2.0794946038431E-2</v>
      </c>
    </row>
    <row r="55" spans="2:5" ht="15" customHeight="1">
      <c r="B55" s="109" t="s">
        <v>66</v>
      </c>
      <c r="C55" s="70" t="s">
        <v>186</v>
      </c>
      <c r="D55" s="77">
        <v>9</v>
      </c>
      <c r="E55" s="78">
        <v>1.1845222426950001E-3</v>
      </c>
    </row>
    <row r="56" spans="2:5" ht="15" customHeight="1">
      <c r="B56" s="110"/>
      <c r="C56" s="70" t="s">
        <v>185</v>
      </c>
      <c r="D56" s="77">
        <v>7</v>
      </c>
      <c r="E56" s="78">
        <v>9.2129507765199999E-4</v>
      </c>
    </row>
    <row r="57" spans="2:5" ht="15" customHeight="1">
      <c r="B57" s="110"/>
      <c r="C57" s="70" t="s">
        <v>188</v>
      </c>
      <c r="D57" s="77">
        <v>1</v>
      </c>
      <c r="E57" s="78">
        <v>1.31613582522E-4</v>
      </c>
    </row>
    <row r="58" spans="2:5" ht="15" customHeight="1">
      <c r="B58" s="110"/>
      <c r="C58" s="70" t="s">
        <v>187</v>
      </c>
      <c r="D58" s="77">
        <v>6</v>
      </c>
      <c r="E58" s="78">
        <v>7.8968149513000002E-4</v>
      </c>
    </row>
    <row r="59" spans="2:5" ht="15" customHeight="1">
      <c r="B59" s="110"/>
      <c r="C59" s="70" t="s">
        <v>184</v>
      </c>
      <c r="D59" s="77">
        <v>27</v>
      </c>
      <c r="E59" s="78">
        <v>3.5535667280860001E-3</v>
      </c>
    </row>
    <row r="60" spans="2:5" ht="15" customHeight="1">
      <c r="B60" s="111"/>
      <c r="C60" s="91" t="s">
        <v>258</v>
      </c>
      <c r="D60" s="90">
        <v>50</v>
      </c>
      <c r="E60" s="92">
        <v>6.580679126086E-3</v>
      </c>
    </row>
    <row r="61" spans="2:5" ht="15" customHeight="1">
      <c r="B61" s="109" t="s">
        <v>84</v>
      </c>
      <c r="C61" s="70" t="s">
        <v>186</v>
      </c>
      <c r="D61" s="77">
        <v>9</v>
      </c>
      <c r="E61" s="78">
        <v>1.1845222426950001E-3</v>
      </c>
    </row>
    <row r="62" spans="2:5" ht="15" customHeight="1">
      <c r="B62" s="110"/>
      <c r="C62" s="70" t="s">
        <v>185</v>
      </c>
      <c r="D62" s="77">
        <v>8</v>
      </c>
      <c r="E62" s="78">
        <v>1.0529086601740001E-3</v>
      </c>
    </row>
    <row r="63" spans="2:5" ht="15" customHeight="1">
      <c r="B63" s="110"/>
      <c r="C63" s="70" t="s">
        <v>188</v>
      </c>
      <c r="D63" s="77">
        <v>1</v>
      </c>
      <c r="E63" s="78">
        <v>1.31613582522E-4</v>
      </c>
    </row>
    <row r="64" spans="2:5" ht="15" customHeight="1">
      <c r="B64" s="110"/>
      <c r="C64" s="70" t="s">
        <v>187</v>
      </c>
      <c r="D64" s="77">
        <v>1</v>
      </c>
      <c r="E64" s="78">
        <v>1.31613582522E-4</v>
      </c>
    </row>
    <row r="65" spans="2:5" ht="15" customHeight="1">
      <c r="B65" s="110"/>
      <c r="C65" s="70" t="s">
        <v>184</v>
      </c>
      <c r="D65" s="77">
        <v>25</v>
      </c>
      <c r="E65" s="78">
        <v>3.290339563043E-3</v>
      </c>
    </row>
    <row r="66" spans="2:5" ht="15" customHeight="1">
      <c r="B66" s="111"/>
      <c r="C66" s="91" t="s">
        <v>258</v>
      </c>
      <c r="D66" s="90">
        <v>44</v>
      </c>
      <c r="E66" s="92">
        <v>5.7909976309560001E-3</v>
      </c>
    </row>
    <row r="67" spans="2:5" ht="15" customHeight="1">
      <c r="B67" s="109" t="s">
        <v>129</v>
      </c>
      <c r="C67" s="70" t="s">
        <v>186</v>
      </c>
      <c r="D67" s="77">
        <v>1</v>
      </c>
      <c r="E67" s="78">
        <v>1.31613582522E-4</v>
      </c>
    </row>
    <row r="68" spans="2:5" ht="15" customHeight="1">
      <c r="B68" s="110"/>
      <c r="C68" s="70" t="s">
        <v>185</v>
      </c>
      <c r="D68" s="77">
        <v>1</v>
      </c>
      <c r="E68" s="78">
        <v>1.31613582522E-4</v>
      </c>
    </row>
    <row r="69" spans="2:5" ht="15" customHeight="1">
      <c r="B69" s="110"/>
      <c r="C69" s="70" t="s">
        <v>184</v>
      </c>
      <c r="D69" s="77">
        <v>1</v>
      </c>
      <c r="E69" s="78">
        <v>1.31613582522E-4</v>
      </c>
    </row>
    <row r="70" spans="2:5" ht="15" customHeight="1">
      <c r="B70" s="111"/>
      <c r="C70" s="91" t="s">
        <v>258</v>
      </c>
      <c r="D70" s="90">
        <v>3</v>
      </c>
      <c r="E70" s="92">
        <v>3.9484074756500001E-4</v>
      </c>
    </row>
    <row r="71" spans="2:5" ht="15" customHeight="1">
      <c r="B71" s="109" t="s">
        <v>93</v>
      </c>
      <c r="C71" s="70" t="s">
        <v>185</v>
      </c>
      <c r="D71" s="77">
        <v>1</v>
      </c>
      <c r="E71" s="78">
        <v>1.31613582522E-4</v>
      </c>
    </row>
    <row r="72" spans="2:5" ht="15" customHeight="1">
      <c r="B72" s="111"/>
      <c r="C72" s="91" t="s">
        <v>258</v>
      </c>
      <c r="D72" s="90">
        <v>1</v>
      </c>
      <c r="E72" s="92">
        <v>1.31613582522E-4</v>
      </c>
    </row>
    <row r="73" spans="2:5" ht="15" customHeight="1">
      <c r="B73" s="109" t="s">
        <v>77</v>
      </c>
      <c r="C73" s="70" t="s">
        <v>186</v>
      </c>
      <c r="D73" s="77">
        <v>3</v>
      </c>
      <c r="E73" s="78">
        <v>3.9484074756500001E-4</v>
      </c>
    </row>
    <row r="74" spans="2:5" ht="15" customHeight="1">
      <c r="B74" s="110"/>
      <c r="C74" s="70" t="s">
        <v>185</v>
      </c>
      <c r="D74" s="77">
        <v>8</v>
      </c>
      <c r="E74" s="78">
        <v>1.0529086601740001E-3</v>
      </c>
    </row>
    <row r="75" spans="2:5" ht="15" customHeight="1">
      <c r="B75" s="110"/>
      <c r="C75" s="70" t="s">
        <v>190</v>
      </c>
      <c r="D75" s="77">
        <v>2</v>
      </c>
      <c r="E75" s="78">
        <v>2.6322716504299998E-4</v>
      </c>
    </row>
    <row r="76" spans="2:5" ht="15" customHeight="1">
      <c r="B76" s="110"/>
      <c r="C76" s="70" t="s">
        <v>187</v>
      </c>
      <c r="D76" s="77">
        <v>1</v>
      </c>
      <c r="E76" s="78">
        <v>1.31613582522E-4</v>
      </c>
    </row>
    <row r="77" spans="2:5" ht="15" customHeight="1">
      <c r="B77" s="110"/>
      <c r="C77" s="70" t="s">
        <v>184</v>
      </c>
      <c r="D77" s="77">
        <v>7</v>
      </c>
      <c r="E77" s="78">
        <v>9.2129507765199999E-4</v>
      </c>
    </row>
    <row r="78" spans="2:5" ht="15" customHeight="1">
      <c r="B78" s="111"/>
      <c r="C78" s="91" t="s">
        <v>258</v>
      </c>
      <c r="D78" s="90">
        <v>21</v>
      </c>
      <c r="E78" s="92">
        <v>2.7638852329560002E-3</v>
      </c>
    </row>
    <row r="79" spans="2:5" ht="15" customHeight="1">
      <c r="B79" s="109" t="s">
        <v>79</v>
      </c>
      <c r="C79" s="70" t="s">
        <v>186</v>
      </c>
      <c r="D79" s="77">
        <v>4</v>
      </c>
      <c r="E79" s="78">
        <v>5.2645433008700004E-4</v>
      </c>
    </row>
    <row r="80" spans="2:5" ht="15" customHeight="1">
      <c r="B80" s="110"/>
      <c r="C80" s="70" t="s">
        <v>185</v>
      </c>
      <c r="D80" s="77">
        <v>7</v>
      </c>
      <c r="E80" s="78">
        <v>9.2129507765199999E-4</v>
      </c>
    </row>
    <row r="81" spans="2:5" ht="15" customHeight="1">
      <c r="B81" s="110"/>
      <c r="C81" s="70" t="s">
        <v>187</v>
      </c>
      <c r="D81" s="77">
        <v>1</v>
      </c>
      <c r="E81" s="78">
        <v>1.31613582522E-4</v>
      </c>
    </row>
    <row r="82" spans="2:5" ht="15" customHeight="1">
      <c r="B82" s="110"/>
      <c r="C82" s="70" t="s">
        <v>184</v>
      </c>
      <c r="D82" s="77">
        <v>11</v>
      </c>
      <c r="E82" s="78">
        <v>1.447749407739E-3</v>
      </c>
    </row>
    <row r="83" spans="2:5" ht="15" customHeight="1">
      <c r="B83" s="111"/>
      <c r="C83" s="91" t="s">
        <v>258</v>
      </c>
      <c r="D83" s="90">
        <v>23</v>
      </c>
      <c r="E83" s="92">
        <v>3.0271123979989998E-3</v>
      </c>
    </row>
    <row r="84" spans="2:5" ht="15" customHeight="1">
      <c r="B84" s="109" t="s">
        <v>49</v>
      </c>
      <c r="C84" s="70" t="s">
        <v>189</v>
      </c>
      <c r="D84" s="77">
        <v>2</v>
      </c>
      <c r="E84" s="78">
        <v>2.6322716504299998E-4</v>
      </c>
    </row>
    <row r="85" spans="2:5" ht="15" customHeight="1">
      <c r="B85" s="110"/>
      <c r="C85" s="70" t="s">
        <v>186</v>
      </c>
      <c r="D85" s="77">
        <v>95</v>
      </c>
      <c r="E85" s="78">
        <v>1.2503290339562999E-2</v>
      </c>
    </row>
    <row r="86" spans="2:5" ht="15" customHeight="1">
      <c r="B86" s="110"/>
      <c r="C86" s="70" t="s">
        <v>185</v>
      </c>
      <c r="D86" s="77">
        <v>202</v>
      </c>
      <c r="E86" s="78">
        <v>2.6585943669387001E-2</v>
      </c>
    </row>
    <row r="87" spans="2:5" ht="15" customHeight="1">
      <c r="B87" s="110"/>
      <c r="C87" s="70" t="s">
        <v>188</v>
      </c>
      <c r="D87" s="77">
        <v>6</v>
      </c>
      <c r="E87" s="78">
        <v>7.8968149513000002E-4</v>
      </c>
    </row>
    <row r="88" spans="2:5" ht="15" customHeight="1">
      <c r="B88" s="110"/>
      <c r="C88" s="70" t="s">
        <v>190</v>
      </c>
      <c r="D88" s="77">
        <v>3</v>
      </c>
      <c r="E88" s="78">
        <v>3.9484074756500001E-4</v>
      </c>
    </row>
    <row r="89" spans="2:5" ht="15" customHeight="1">
      <c r="B89" s="110"/>
      <c r="C89" s="70" t="s">
        <v>187</v>
      </c>
      <c r="D89" s="77">
        <v>11</v>
      </c>
      <c r="E89" s="78">
        <v>1.447749407739E-3</v>
      </c>
    </row>
    <row r="90" spans="2:5" ht="15" customHeight="1">
      <c r="B90" s="110"/>
      <c r="C90" s="70" t="s">
        <v>184</v>
      </c>
      <c r="D90" s="77">
        <v>201</v>
      </c>
      <c r="E90" s="78">
        <v>2.6454330086864999E-2</v>
      </c>
    </row>
    <row r="91" spans="2:5" ht="15" customHeight="1">
      <c r="B91" s="111"/>
      <c r="C91" s="91" t="s">
        <v>258</v>
      </c>
      <c r="D91" s="90">
        <v>520</v>
      </c>
      <c r="E91" s="92">
        <v>6.8439062911291995E-2</v>
      </c>
    </row>
    <row r="92" spans="2:5" ht="15" customHeight="1">
      <c r="B92" s="109" t="s">
        <v>59</v>
      </c>
      <c r="C92" s="70" t="s">
        <v>186</v>
      </c>
      <c r="D92" s="77">
        <v>9</v>
      </c>
      <c r="E92" s="78">
        <v>1.1845222426950001E-3</v>
      </c>
    </row>
    <row r="93" spans="2:5" ht="15" customHeight="1">
      <c r="B93" s="110"/>
      <c r="C93" s="70" t="s">
        <v>185</v>
      </c>
      <c r="D93" s="77">
        <v>29</v>
      </c>
      <c r="E93" s="78">
        <v>3.8167938931299998E-3</v>
      </c>
    </row>
    <row r="94" spans="2:5" ht="15" customHeight="1">
      <c r="B94" s="110"/>
      <c r="C94" s="70" t="s">
        <v>187</v>
      </c>
      <c r="D94" s="77">
        <v>2</v>
      </c>
      <c r="E94" s="78">
        <v>2.6322716504299998E-4</v>
      </c>
    </row>
    <row r="95" spans="2:5" ht="15" customHeight="1">
      <c r="B95" s="110"/>
      <c r="C95" s="70" t="s">
        <v>184</v>
      </c>
      <c r="D95" s="77">
        <v>74</v>
      </c>
      <c r="E95" s="78">
        <v>9.7394051066070006E-3</v>
      </c>
    </row>
    <row r="96" spans="2:5" ht="15" customHeight="1">
      <c r="B96" s="111"/>
      <c r="C96" s="91" t="s">
        <v>258</v>
      </c>
      <c r="D96" s="90">
        <v>114</v>
      </c>
      <c r="E96" s="92">
        <v>1.5003948407476E-2</v>
      </c>
    </row>
    <row r="97" spans="2:5" ht="15" customHeight="1">
      <c r="B97" s="109" t="s">
        <v>75</v>
      </c>
      <c r="C97" s="70" t="s">
        <v>189</v>
      </c>
      <c r="D97" s="77">
        <v>1</v>
      </c>
      <c r="E97" s="78">
        <v>1.31613582522E-4</v>
      </c>
    </row>
    <row r="98" spans="2:5" ht="15" customHeight="1">
      <c r="B98" s="110"/>
      <c r="C98" s="70" t="s">
        <v>186</v>
      </c>
      <c r="D98" s="77">
        <v>5</v>
      </c>
      <c r="E98" s="78">
        <v>6.5806791260900001E-4</v>
      </c>
    </row>
    <row r="99" spans="2:5" ht="15" customHeight="1">
      <c r="B99" s="110"/>
      <c r="C99" s="70" t="s">
        <v>185</v>
      </c>
      <c r="D99" s="77">
        <v>9</v>
      </c>
      <c r="E99" s="78">
        <v>1.1845222426950001E-3</v>
      </c>
    </row>
    <row r="100" spans="2:5" ht="15" customHeight="1">
      <c r="B100" s="110"/>
      <c r="C100" s="70" t="s">
        <v>184</v>
      </c>
      <c r="D100" s="77">
        <v>23</v>
      </c>
      <c r="E100" s="78">
        <v>3.0271123979989998E-3</v>
      </c>
    </row>
    <row r="101" spans="2:5" ht="15" customHeight="1">
      <c r="B101" s="111"/>
      <c r="C101" s="91" t="s">
        <v>258</v>
      </c>
      <c r="D101" s="90">
        <v>38</v>
      </c>
      <c r="E101" s="92">
        <v>5.0013161358250001E-3</v>
      </c>
    </row>
    <row r="102" spans="2:5" ht="15" customHeight="1">
      <c r="B102" s="109" t="s">
        <v>65</v>
      </c>
      <c r="C102" s="70" t="s">
        <v>189</v>
      </c>
      <c r="D102" s="77">
        <v>2</v>
      </c>
      <c r="E102" s="78">
        <v>2.6322716504299998E-4</v>
      </c>
    </row>
    <row r="103" spans="2:5" ht="15" customHeight="1">
      <c r="B103" s="110"/>
      <c r="C103" s="70" t="s">
        <v>186</v>
      </c>
      <c r="D103" s="77">
        <v>9</v>
      </c>
      <c r="E103" s="78">
        <v>1.1845222426950001E-3</v>
      </c>
    </row>
    <row r="104" spans="2:5" ht="15" customHeight="1">
      <c r="B104" s="110"/>
      <c r="C104" s="70" t="s">
        <v>185</v>
      </c>
      <c r="D104" s="77">
        <v>16</v>
      </c>
      <c r="E104" s="78">
        <v>2.1058173203470001E-3</v>
      </c>
    </row>
    <row r="105" spans="2:5" ht="15" customHeight="1">
      <c r="B105" s="110"/>
      <c r="C105" s="70" t="s">
        <v>188</v>
      </c>
      <c r="D105" s="77">
        <v>3</v>
      </c>
      <c r="E105" s="78">
        <v>3.9484074756500001E-4</v>
      </c>
    </row>
    <row r="106" spans="2:5" ht="15" customHeight="1">
      <c r="B106" s="110"/>
      <c r="C106" s="70" t="s">
        <v>190</v>
      </c>
      <c r="D106" s="77">
        <v>1</v>
      </c>
      <c r="E106" s="78">
        <v>1.31613582522E-4</v>
      </c>
    </row>
    <row r="107" spans="2:5" ht="15" customHeight="1">
      <c r="B107" s="110"/>
      <c r="C107" s="70" t="s">
        <v>187</v>
      </c>
      <c r="D107" s="77">
        <v>2</v>
      </c>
      <c r="E107" s="78">
        <v>2.6322716504299998E-4</v>
      </c>
    </row>
    <row r="108" spans="2:5" ht="15" customHeight="1">
      <c r="B108" s="110"/>
      <c r="C108" s="70" t="s">
        <v>184</v>
      </c>
      <c r="D108" s="77">
        <v>27</v>
      </c>
      <c r="E108" s="78">
        <v>3.5535667280860001E-3</v>
      </c>
    </row>
    <row r="109" spans="2:5" ht="15" customHeight="1">
      <c r="B109" s="111"/>
      <c r="C109" s="91" t="s">
        <v>258</v>
      </c>
      <c r="D109" s="90">
        <v>60</v>
      </c>
      <c r="E109" s="92">
        <v>7.8968149513030002E-3</v>
      </c>
    </row>
    <row r="110" spans="2:5" ht="15" customHeight="1">
      <c r="B110" s="109" t="s">
        <v>94</v>
      </c>
      <c r="C110" s="70" t="s">
        <v>185</v>
      </c>
      <c r="D110" s="77">
        <v>1</v>
      </c>
      <c r="E110" s="78">
        <v>1.31613582522E-4</v>
      </c>
    </row>
    <row r="111" spans="2:5" ht="15" customHeight="1">
      <c r="B111" s="110"/>
      <c r="C111" s="70" t="s">
        <v>184</v>
      </c>
      <c r="D111" s="77">
        <v>10</v>
      </c>
      <c r="E111" s="78">
        <v>1.3161358252169999E-3</v>
      </c>
    </row>
    <row r="112" spans="2:5" ht="15" customHeight="1">
      <c r="B112" s="111"/>
      <c r="C112" s="91" t="s">
        <v>258</v>
      </c>
      <c r="D112" s="90">
        <v>11</v>
      </c>
      <c r="E112" s="92">
        <v>1.447749407739E-3</v>
      </c>
    </row>
    <row r="113" spans="2:5" ht="15" customHeight="1">
      <c r="B113" s="109" t="s">
        <v>50</v>
      </c>
      <c r="C113" s="70" t="s">
        <v>189</v>
      </c>
      <c r="D113" s="77">
        <v>22</v>
      </c>
      <c r="E113" s="78">
        <v>2.8954988154780001E-3</v>
      </c>
    </row>
    <row r="114" spans="2:5" ht="15" customHeight="1">
      <c r="B114" s="110"/>
      <c r="C114" s="70" t="s">
        <v>186</v>
      </c>
      <c r="D114" s="77">
        <v>43</v>
      </c>
      <c r="E114" s="78">
        <v>5.6593840484339998E-3</v>
      </c>
    </row>
    <row r="115" spans="2:5" ht="15" customHeight="1">
      <c r="B115" s="110"/>
      <c r="C115" s="70" t="s">
        <v>185</v>
      </c>
      <c r="D115" s="77">
        <v>90</v>
      </c>
      <c r="E115" s="78">
        <v>1.1845222426954001E-2</v>
      </c>
    </row>
    <row r="116" spans="2:5" ht="15" customHeight="1">
      <c r="B116" s="110"/>
      <c r="C116" s="70" t="s">
        <v>188</v>
      </c>
      <c r="D116" s="77">
        <v>4</v>
      </c>
      <c r="E116" s="78">
        <v>5.2645433008700004E-4</v>
      </c>
    </row>
    <row r="117" spans="2:5" ht="15" customHeight="1">
      <c r="B117" s="110"/>
      <c r="C117" s="70" t="s">
        <v>187</v>
      </c>
      <c r="D117" s="77">
        <v>9</v>
      </c>
      <c r="E117" s="78">
        <v>1.1845222426950001E-3</v>
      </c>
    </row>
    <row r="118" spans="2:5" ht="15" customHeight="1">
      <c r="B118" s="110"/>
      <c r="C118" s="70" t="s">
        <v>184</v>
      </c>
      <c r="D118" s="77">
        <v>164</v>
      </c>
      <c r="E118" s="78">
        <v>2.1584627533561E-2</v>
      </c>
    </row>
    <row r="119" spans="2:5" ht="15" customHeight="1">
      <c r="B119" s="111"/>
      <c r="C119" s="91" t="s">
        <v>258</v>
      </c>
      <c r="D119" s="90">
        <v>332</v>
      </c>
      <c r="E119" s="92">
        <v>4.369570939721E-2</v>
      </c>
    </row>
    <row r="120" spans="2:5" ht="15" customHeight="1">
      <c r="B120" s="109" t="s">
        <v>68</v>
      </c>
      <c r="C120" s="70" t="s">
        <v>186</v>
      </c>
      <c r="D120" s="77">
        <v>12</v>
      </c>
      <c r="E120" s="78">
        <v>1.5793629902610001E-3</v>
      </c>
    </row>
    <row r="121" spans="2:5" ht="15" customHeight="1">
      <c r="B121" s="110"/>
      <c r="C121" s="70" t="s">
        <v>185</v>
      </c>
      <c r="D121" s="77">
        <v>14</v>
      </c>
      <c r="E121" s="78">
        <v>1.842590155304E-3</v>
      </c>
    </row>
    <row r="122" spans="2:5" ht="15" customHeight="1">
      <c r="B122" s="110"/>
      <c r="C122" s="70" t="s">
        <v>188</v>
      </c>
      <c r="D122" s="77">
        <v>1</v>
      </c>
      <c r="E122" s="78">
        <v>1.31613582522E-4</v>
      </c>
    </row>
    <row r="123" spans="2:5" ht="15" customHeight="1">
      <c r="B123" s="110"/>
      <c r="C123" s="70" t="s">
        <v>187</v>
      </c>
      <c r="D123" s="77">
        <v>1</v>
      </c>
      <c r="E123" s="78">
        <v>1.31613582522E-4</v>
      </c>
    </row>
    <row r="124" spans="2:5" ht="15" customHeight="1">
      <c r="B124" s="110"/>
      <c r="C124" s="70" t="s">
        <v>184</v>
      </c>
      <c r="D124" s="77">
        <v>53</v>
      </c>
      <c r="E124" s="78">
        <v>6.975519873651E-3</v>
      </c>
    </row>
    <row r="125" spans="2:5" ht="15" customHeight="1">
      <c r="B125" s="111"/>
      <c r="C125" s="91" t="s">
        <v>258</v>
      </c>
      <c r="D125" s="90">
        <v>81</v>
      </c>
      <c r="E125" s="92">
        <v>1.0660700184259001E-2</v>
      </c>
    </row>
    <row r="126" spans="2:5" ht="15" customHeight="1">
      <c r="B126" s="109" t="s">
        <v>46</v>
      </c>
      <c r="C126" s="70" t="s">
        <v>189</v>
      </c>
      <c r="D126" s="77">
        <v>5</v>
      </c>
      <c r="E126" s="78">
        <v>6.5806791260900001E-4</v>
      </c>
    </row>
    <row r="127" spans="2:5" ht="15" customHeight="1">
      <c r="B127" s="110"/>
      <c r="C127" s="70" t="s">
        <v>186</v>
      </c>
      <c r="D127" s="77">
        <v>206</v>
      </c>
      <c r="E127" s="78">
        <v>2.7112397999474E-2</v>
      </c>
    </row>
    <row r="128" spans="2:5" ht="15" customHeight="1">
      <c r="B128" s="110"/>
      <c r="C128" s="70" t="s">
        <v>185</v>
      </c>
      <c r="D128" s="77">
        <v>384</v>
      </c>
      <c r="E128" s="78">
        <v>5.0539615688339E-2</v>
      </c>
    </row>
    <row r="129" spans="2:5" ht="15" customHeight="1">
      <c r="B129" s="110"/>
      <c r="C129" s="70" t="s">
        <v>188</v>
      </c>
      <c r="D129" s="77">
        <v>6</v>
      </c>
      <c r="E129" s="78">
        <v>7.8968149513000002E-4</v>
      </c>
    </row>
    <row r="130" spans="2:5" ht="15" customHeight="1">
      <c r="B130" s="110"/>
      <c r="C130" s="70" t="s">
        <v>187</v>
      </c>
      <c r="D130" s="77">
        <v>30</v>
      </c>
      <c r="E130" s="78">
        <v>3.9484074756509996E-3</v>
      </c>
    </row>
    <row r="131" spans="2:5" ht="15" customHeight="1">
      <c r="B131" s="110"/>
      <c r="C131" s="70" t="s">
        <v>184</v>
      </c>
      <c r="D131" s="77">
        <v>857</v>
      </c>
      <c r="E131" s="78">
        <v>0.112792840221111</v>
      </c>
    </row>
    <row r="132" spans="2:5" ht="15" customHeight="1">
      <c r="B132" s="111"/>
      <c r="C132" s="91" t="s">
        <v>258</v>
      </c>
      <c r="D132" s="90">
        <v>1488</v>
      </c>
      <c r="E132" s="92">
        <v>0.195841010792314</v>
      </c>
    </row>
    <row r="133" spans="2:5" ht="15" customHeight="1">
      <c r="B133" s="109" t="s">
        <v>85</v>
      </c>
      <c r="C133" s="70" t="s">
        <v>186</v>
      </c>
      <c r="D133" s="77">
        <v>1</v>
      </c>
      <c r="E133" s="78">
        <v>1.31613582522E-4</v>
      </c>
    </row>
    <row r="134" spans="2:5" ht="15" customHeight="1">
      <c r="B134" s="110"/>
      <c r="C134" s="70" t="s">
        <v>185</v>
      </c>
      <c r="D134" s="77">
        <v>7</v>
      </c>
      <c r="E134" s="78">
        <v>9.2129507765199999E-4</v>
      </c>
    </row>
    <row r="135" spans="2:5" ht="15" customHeight="1">
      <c r="B135" s="110"/>
      <c r="C135" s="70" t="s">
        <v>184</v>
      </c>
      <c r="D135" s="77">
        <v>11</v>
      </c>
      <c r="E135" s="78">
        <v>1.447749407739E-3</v>
      </c>
    </row>
    <row r="136" spans="2:5" ht="15" customHeight="1">
      <c r="B136" s="111"/>
      <c r="C136" s="91" t="s">
        <v>258</v>
      </c>
      <c r="D136" s="90">
        <v>19</v>
      </c>
      <c r="E136" s="92">
        <v>2.5006580679130001E-3</v>
      </c>
    </row>
    <row r="137" spans="2:5" ht="15" customHeight="1">
      <c r="B137" s="109" t="s">
        <v>78</v>
      </c>
      <c r="C137" s="70" t="s">
        <v>186</v>
      </c>
      <c r="D137" s="77">
        <v>9</v>
      </c>
      <c r="E137" s="78">
        <v>1.1845222426950001E-3</v>
      </c>
    </row>
    <row r="138" spans="2:5" ht="15" customHeight="1">
      <c r="B138" s="110"/>
      <c r="C138" s="70" t="s">
        <v>185</v>
      </c>
      <c r="D138" s="77">
        <v>9</v>
      </c>
      <c r="E138" s="78">
        <v>1.1845222426950001E-3</v>
      </c>
    </row>
    <row r="139" spans="2:5" ht="15" customHeight="1">
      <c r="B139" s="110"/>
      <c r="C139" s="70" t="s">
        <v>190</v>
      </c>
      <c r="D139" s="77">
        <v>1</v>
      </c>
      <c r="E139" s="78">
        <v>1.31613582522E-4</v>
      </c>
    </row>
    <row r="140" spans="2:5" ht="15" customHeight="1">
      <c r="B140" s="110"/>
      <c r="C140" s="70" t="s">
        <v>187</v>
      </c>
      <c r="D140" s="77">
        <v>1</v>
      </c>
      <c r="E140" s="78">
        <v>1.31613582522E-4</v>
      </c>
    </row>
    <row r="141" spans="2:5" ht="15" customHeight="1">
      <c r="B141" s="110"/>
      <c r="C141" s="70" t="s">
        <v>184</v>
      </c>
      <c r="D141" s="77">
        <v>12</v>
      </c>
      <c r="E141" s="78">
        <v>1.5793629902610001E-3</v>
      </c>
    </row>
    <row r="142" spans="2:5" ht="15" customHeight="1">
      <c r="B142" s="111"/>
      <c r="C142" s="91" t="s">
        <v>258</v>
      </c>
      <c r="D142" s="90">
        <v>32</v>
      </c>
      <c r="E142" s="92">
        <v>4.2116346406950002E-3</v>
      </c>
    </row>
    <row r="143" spans="2:5" ht="15" customHeight="1">
      <c r="B143" s="109" t="s">
        <v>74</v>
      </c>
      <c r="C143" s="70" t="s">
        <v>186</v>
      </c>
      <c r="D143" s="77">
        <v>7</v>
      </c>
      <c r="E143" s="78">
        <v>9.2129507765199999E-4</v>
      </c>
    </row>
    <row r="144" spans="2:5" ht="15" customHeight="1">
      <c r="B144" s="110"/>
      <c r="C144" s="70" t="s">
        <v>185</v>
      </c>
      <c r="D144" s="77">
        <v>5</v>
      </c>
      <c r="E144" s="78">
        <v>6.5806791260900001E-4</v>
      </c>
    </row>
    <row r="145" spans="2:5" ht="15" customHeight="1">
      <c r="B145" s="110"/>
      <c r="C145" s="70" t="s">
        <v>187</v>
      </c>
      <c r="D145" s="77">
        <v>1</v>
      </c>
      <c r="E145" s="78">
        <v>1.31613582522E-4</v>
      </c>
    </row>
    <row r="146" spans="2:5" ht="15" customHeight="1">
      <c r="B146" s="110"/>
      <c r="C146" s="70" t="s">
        <v>184</v>
      </c>
      <c r="D146" s="77">
        <v>34</v>
      </c>
      <c r="E146" s="78">
        <v>4.4748618057379999E-3</v>
      </c>
    </row>
    <row r="147" spans="2:5" ht="15" customHeight="1">
      <c r="B147" s="111"/>
      <c r="C147" s="91" t="s">
        <v>258</v>
      </c>
      <c r="D147" s="90">
        <v>47</v>
      </c>
      <c r="E147" s="92">
        <v>6.1858383785210001E-3</v>
      </c>
    </row>
    <row r="148" spans="2:5" ht="15" customHeight="1">
      <c r="B148" s="109" t="s">
        <v>90</v>
      </c>
      <c r="C148" s="70" t="s">
        <v>186</v>
      </c>
      <c r="D148" s="77">
        <v>1</v>
      </c>
      <c r="E148" s="78">
        <v>1.31613582522E-4</v>
      </c>
    </row>
    <row r="149" spans="2:5" ht="15" customHeight="1">
      <c r="B149" s="110"/>
      <c r="C149" s="70" t="s">
        <v>185</v>
      </c>
      <c r="D149" s="77">
        <v>4</v>
      </c>
      <c r="E149" s="78">
        <v>5.2645433008700004E-4</v>
      </c>
    </row>
    <row r="150" spans="2:5" ht="15" customHeight="1">
      <c r="B150" s="110"/>
      <c r="C150" s="70" t="s">
        <v>187</v>
      </c>
      <c r="D150" s="77">
        <v>1</v>
      </c>
      <c r="E150" s="78">
        <v>1.31613582522E-4</v>
      </c>
    </row>
    <row r="151" spans="2:5" ht="15" customHeight="1">
      <c r="B151" s="110"/>
      <c r="C151" s="70" t="s">
        <v>184</v>
      </c>
      <c r="D151" s="77">
        <v>6</v>
      </c>
      <c r="E151" s="78">
        <v>7.8968149513000002E-4</v>
      </c>
    </row>
    <row r="152" spans="2:5" ht="15" customHeight="1">
      <c r="B152" s="111"/>
      <c r="C152" s="91" t="s">
        <v>258</v>
      </c>
      <c r="D152" s="90">
        <v>12</v>
      </c>
      <c r="E152" s="92">
        <v>1.5793629902610001E-3</v>
      </c>
    </row>
    <row r="153" spans="2:5" ht="15" customHeight="1">
      <c r="B153" s="109" t="s">
        <v>95</v>
      </c>
      <c r="C153" s="70" t="s">
        <v>185</v>
      </c>
      <c r="D153" s="77">
        <v>1</v>
      </c>
      <c r="E153" s="78">
        <v>1.31613582522E-4</v>
      </c>
    </row>
    <row r="154" spans="2:5" ht="15" customHeight="1">
      <c r="B154" s="111"/>
      <c r="C154" s="91" t="s">
        <v>258</v>
      </c>
      <c r="D154" s="90">
        <v>1</v>
      </c>
      <c r="E154" s="92">
        <v>1.31613582522E-4</v>
      </c>
    </row>
    <row r="155" spans="2:5" ht="15" customHeight="1">
      <c r="B155" s="109" t="s">
        <v>88</v>
      </c>
      <c r="C155" s="70" t="s">
        <v>186</v>
      </c>
      <c r="D155" s="77">
        <v>4</v>
      </c>
      <c r="E155" s="78">
        <v>5.2645433008700004E-4</v>
      </c>
    </row>
    <row r="156" spans="2:5" ht="15" customHeight="1">
      <c r="B156" s="110"/>
      <c r="C156" s="70" t="s">
        <v>185</v>
      </c>
      <c r="D156" s="77">
        <v>4</v>
      </c>
      <c r="E156" s="78">
        <v>5.2645433008700004E-4</v>
      </c>
    </row>
    <row r="157" spans="2:5" ht="15" customHeight="1">
      <c r="B157" s="110"/>
      <c r="C157" s="70" t="s">
        <v>187</v>
      </c>
      <c r="D157" s="77">
        <v>1</v>
      </c>
      <c r="E157" s="78">
        <v>1.31613582522E-4</v>
      </c>
    </row>
    <row r="158" spans="2:5" ht="15" customHeight="1">
      <c r="B158" s="110"/>
      <c r="C158" s="70" t="s">
        <v>184</v>
      </c>
      <c r="D158" s="77">
        <v>11</v>
      </c>
      <c r="E158" s="78">
        <v>1.447749407739E-3</v>
      </c>
    </row>
    <row r="159" spans="2:5" ht="15" customHeight="1">
      <c r="B159" s="111"/>
      <c r="C159" s="91" t="s">
        <v>258</v>
      </c>
      <c r="D159" s="90">
        <v>20</v>
      </c>
      <c r="E159" s="92">
        <v>2.6322716504339999E-3</v>
      </c>
    </row>
    <row r="160" spans="2:5" ht="15" customHeight="1">
      <c r="B160" s="109" t="s">
        <v>76</v>
      </c>
      <c r="C160" s="70" t="s">
        <v>189</v>
      </c>
      <c r="D160" s="77">
        <v>1</v>
      </c>
      <c r="E160" s="78">
        <v>1.31613582522E-4</v>
      </c>
    </row>
    <row r="161" spans="2:5" ht="15" customHeight="1">
      <c r="B161" s="110"/>
      <c r="C161" s="70" t="s">
        <v>186</v>
      </c>
      <c r="D161" s="77">
        <v>7</v>
      </c>
      <c r="E161" s="78">
        <v>9.2129507765199999E-4</v>
      </c>
    </row>
    <row r="162" spans="2:5" ht="15" customHeight="1">
      <c r="B162" s="110"/>
      <c r="C162" s="70" t="s">
        <v>185</v>
      </c>
      <c r="D162" s="77">
        <v>5</v>
      </c>
      <c r="E162" s="78">
        <v>6.5806791260900001E-4</v>
      </c>
    </row>
    <row r="163" spans="2:5" ht="15" customHeight="1">
      <c r="B163" s="110"/>
      <c r="C163" s="70" t="s">
        <v>184</v>
      </c>
      <c r="D163" s="77">
        <v>26</v>
      </c>
      <c r="E163" s="78">
        <v>3.4219531455649999E-3</v>
      </c>
    </row>
    <row r="164" spans="2:5" ht="15" customHeight="1">
      <c r="B164" s="111"/>
      <c r="C164" s="91" t="s">
        <v>258</v>
      </c>
      <c r="D164" s="90">
        <v>39</v>
      </c>
      <c r="E164" s="92">
        <v>5.1329297183470004E-3</v>
      </c>
    </row>
    <row r="165" spans="2:5" ht="15" customHeight="1">
      <c r="B165" s="109" t="s">
        <v>67</v>
      </c>
      <c r="C165" s="70" t="s">
        <v>186</v>
      </c>
      <c r="D165" s="77">
        <v>15</v>
      </c>
      <c r="E165" s="78">
        <v>1.9742037378259998E-3</v>
      </c>
    </row>
    <row r="166" spans="2:5" ht="15" customHeight="1">
      <c r="B166" s="110"/>
      <c r="C166" s="70" t="s">
        <v>185</v>
      </c>
      <c r="D166" s="77">
        <v>13</v>
      </c>
      <c r="E166" s="78">
        <v>1.7109765727819999E-3</v>
      </c>
    </row>
    <row r="167" spans="2:5" ht="15" customHeight="1">
      <c r="B167" s="110"/>
      <c r="C167" s="70" t="s">
        <v>187</v>
      </c>
      <c r="D167" s="77">
        <v>4</v>
      </c>
      <c r="E167" s="78">
        <v>5.2645433008700004E-4</v>
      </c>
    </row>
    <row r="168" spans="2:5" ht="15" customHeight="1">
      <c r="B168" s="110"/>
      <c r="C168" s="70" t="s">
        <v>184</v>
      </c>
      <c r="D168" s="77">
        <v>57</v>
      </c>
      <c r="E168" s="78">
        <v>7.5019742037380002E-3</v>
      </c>
    </row>
    <row r="169" spans="2:5" ht="15" customHeight="1">
      <c r="B169" s="111"/>
      <c r="C169" s="91" t="s">
        <v>258</v>
      </c>
      <c r="D169" s="90">
        <v>89</v>
      </c>
      <c r="E169" s="92">
        <v>1.1713608844433E-2</v>
      </c>
    </row>
    <row r="170" spans="2:5" ht="15" customHeight="1">
      <c r="B170" s="109" t="s">
        <v>80</v>
      </c>
      <c r="C170" s="70" t="s">
        <v>186</v>
      </c>
      <c r="D170" s="77">
        <v>4</v>
      </c>
      <c r="E170" s="78">
        <v>5.2645433008700004E-4</v>
      </c>
    </row>
    <row r="171" spans="2:5" ht="15" customHeight="1">
      <c r="B171" s="110"/>
      <c r="C171" s="70" t="s">
        <v>185</v>
      </c>
      <c r="D171" s="77">
        <v>18</v>
      </c>
      <c r="E171" s="78">
        <v>2.3690444853909998E-3</v>
      </c>
    </row>
    <row r="172" spans="2:5" ht="15" customHeight="1">
      <c r="B172" s="110"/>
      <c r="C172" s="70" t="s">
        <v>184</v>
      </c>
      <c r="D172" s="77">
        <v>19</v>
      </c>
      <c r="E172" s="78">
        <v>2.5006580679130001E-3</v>
      </c>
    </row>
    <row r="173" spans="2:5" ht="15" customHeight="1">
      <c r="B173" s="111"/>
      <c r="C173" s="91" t="s">
        <v>258</v>
      </c>
      <c r="D173" s="90">
        <v>41</v>
      </c>
      <c r="E173" s="92">
        <v>5.3961568833900001E-3</v>
      </c>
    </row>
    <row r="174" spans="2:5" ht="15" customHeight="1">
      <c r="B174" s="109" t="s">
        <v>71</v>
      </c>
      <c r="C174" s="70" t="s">
        <v>189</v>
      </c>
      <c r="D174" s="77">
        <v>1</v>
      </c>
      <c r="E174" s="78">
        <v>1.31613582522E-4</v>
      </c>
    </row>
    <row r="175" spans="2:5" ht="15" customHeight="1">
      <c r="B175" s="110"/>
      <c r="C175" s="70" t="s">
        <v>186</v>
      </c>
      <c r="D175" s="77">
        <v>12</v>
      </c>
      <c r="E175" s="78">
        <v>1.5793629902610001E-3</v>
      </c>
    </row>
    <row r="176" spans="2:5" ht="15" customHeight="1">
      <c r="B176" s="110"/>
      <c r="C176" s="70" t="s">
        <v>185</v>
      </c>
      <c r="D176" s="77">
        <v>8</v>
      </c>
      <c r="E176" s="78">
        <v>1.0529086601740001E-3</v>
      </c>
    </row>
    <row r="177" spans="2:5" ht="15" customHeight="1">
      <c r="B177" s="110"/>
      <c r="C177" s="70" t="s">
        <v>190</v>
      </c>
      <c r="D177" s="77">
        <v>1</v>
      </c>
      <c r="E177" s="78">
        <v>1.31613582522E-4</v>
      </c>
    </row>
    <row r="178" spans="2:5" ht="15" customHeight="1">
      <c r="B178" s="110"/>
      <c r="C178" s="70" t="s">
        <v>187</v>
      </c>
      <c r="D178" s="77">
        <v>1</v>
      </c>
      <c r="E178" s="78">
        <v>1.31613582522E-4</v>
      </c>
    </row>
    <row r="179" spans="2:5" ht="15" customHeight="1">
      <c r="B179" s="110"/>
      <c r="C179" s="70" t="s">
        <v>184</v>
      </c>
      <c r="D179" s="77">
        <v>18</v>
      </c>
      <c r="E179" s="78">
        <v>2.3690444853909998E-3</v>
      </c>
    </row>
    <row r="180" spans="2:5" ht="15" customHeight="1">
      <c r="B180" s="111"/>
      <c r="C180" s="91" t="s">
        <v>258</v>
      </c>
      <c r="D180" s="90">
        <v>41</v>
      </c>
      <c r="E180" s="92">
        <v>5.3961568833900001E-3</v>
      </c>
    </row>
    <row r="181" spans="2:5" ht="15" customHeight="1">
      <c r="B181" s="109" t="s">
        <v>57</v>
      </c>
      <c r="C181" s="70" t="s">
        <v>186</v>
      </c>
      <c r="D181" s="77">
        <v>123</v>
      </c>
      <c r="E181" s="78">
        <v>1.6188470650171E-2</v>
      </c>
    </row>
    <row r="182" spans="2:5" ht="15" customHeight="1">
      <c r="B182" s="110"/>
      <c r="C182" s="70" t="s">
        <v>185</v>
      </c>
      <c r="D182" s="77">
        <v>24</v>
      </c>
      <c r="E182" s="78">
        <v>3.1587259805210001E-3</v>
      </c>
    </row>
    <row r="183" spans="2:5" ht="15" customHeight="1">
      <c r="B183" s="110"/>
      <c r="C183" s="70" t="s">
        <v>188</v>
      </c>
      <c r="D183" s="77">
        <v>2</v>
      </c>
      <c r="E183" s="78">
        <v>2.6322716504299998E-4</v>
      </c>
    </row>
    <row r="184" spans="2:5" ht="15" customHeight="1">
      <c r="B184" s="110"/>
      <c r="C184" s="70" t="s">
        <v>187</v>
      </c>
      <c r="D184" s="77">
        <v>3</v>
      </c>
      <c r="E184" s="78">
        <v>3.9484074756500001E-4</v>
      </c>
    </row>
    <row r="185" spans="2:5" ht="15" customHeight="1">
      <c r="B185" s="110"/>
      <c r="C185" s="70" t="s">
        <v>184</v>
      </c>
      <c r="D185" s="77">
        <v>77</v>
      </c>
      <c r="E185" s="78">
        <v>1.0134245854172001E-2</v>
      </c>
    </row>
    <row r="186" spans="2:5" ht="15" customHeight="1">
      <c r="B186" s="111"/>
      <c r="C186" s="91" t="s">
        <v>258</v>
      </c>
      <c r="D186" s="90">
        <v>229</v>
      </c>
      <c r="E186" s="92">
        <v>3.0139510397473E-2</v>
      </c>
    </row>
    <row r="187" spans="2:5" ht="15" customHeight="1">
      <c r="B187" s="109" t="s">
        <v>54</v>
      </c>
      <c r="C187" s="70" t="s">
        <v>189</v>
      </c>
      <c r="D187" s="77">
        <v>2</v>
      </c>
      <c r="E187" s="78">
        <v>2.6322716504299998E-4</v>
      </c>
    </row>
    <row r="188" spans="2:5" ht="15" customHeight="1">
      <c r="B188" s="110"/>
      <c r="C188" s="70" t="s">
        <v>186</v>
      </c>
      <c r="D188" s="77">
        <v>26</v>
      </c>
      <c r="E188" s="78">
        <v>3.4219531455649999E-3</v>
      </c>
    </row>
    <row r="189" spans="2:5" ht="15" customHeight="1">
      <c r="B189" s="110"/>
      <c r="C189" s="70" t="s">
        <v>185</v>
      </c>
      <c r="D189" s="77">
        <v>135</v>
      </c>
      <c r="E189" s="78">
        <v>1.7767833640431999E-2</v>
      </c>
    </row>
    <row r="190" spans="2:5" ht="15" customHeight="1">
      <c r="B190" s="110"/>
      <c r="C190" s="70" t="s">
        <v>188</v>
      </c>
      <c r="D190" s="77">
        <v>2</v>
      </c>
      <c r="E190" s="78">
        <v>2.6322716504299998E-4</v>
      </c>
    </row>
    <row r="191" spans="2:5" ht="15" customHeight="1">
      <c r="B191" s="110"/>
      <c r="C191" s="70" t="s">
        <v>187</v>
      </c>
      <c r="D191" s="77">
        <v>4</v>
      </c>
      <c r="E191" s="78">
        <v>5.2645433008700004E-4</v>
      </c>
    </row>
    <row r="192" spans="2:5" ht="15" customHeight="1">
      <c r="B192" s="110"/>
      <c r="C192" s="70" t="s">
        <v>184</v>
      </c>
      <c r="D192" s="77">
        <v>91</v>
      </c>
      <c r="E192" s="78">
        <v>1.1976836009475999E-2</v>
      </c>
    </row>
    <row r="193" spans="2:5" ht="15" customHeight="1">
      <c r="B193" s="111"/>
      <c r="C193" s="91" t="s">
        <v>258</v>
      </c>
      <c r="D193" s="90">
        <v>260</v>
      </c>
      <c r="E193" s="92">
        <v>3.4219531455645998E-2</v>
      </c>
    </row>
    <row r="194" spans="2:5" ht="15" customHeight="1">
      <c r="B194" s="109" t="s">
        <v>69</v>
      </c>
      <c r="C194" s="70" t="s">
        <v>186</v>
      </c>
      <c r="D194" s="77">
        <v>12</v>
      </c>
      <c r="E194" s="78">
        <v>1.5793629902610001E-3</v>
      </c>
    </row>
    <row r="195" spans="2:5" ht="15" customHeight="1">
      <c r="B195" s="110"/>
      <c r="C195" s="70" t="s">
        <v>185</v>
      </c>
      <c r="D195" s="77">
        <v>12</v>
      </c>
      <c r="E195" s="78">
        <v>1.5793629902610001E-3</v>
      </c>
    </row>
    <row r="196" spans="2:5" ht="15" customHeight="1">
      <c r="B196" s="110"/>
      <c r="C196" s="70" t="s">
        <v>188</v>
      </c>
      <c r="D196" s="77">
        <v>1</v>
      </c>
      <c r="E196" s="78">
        <v>1.31613582522E-4</v>
      </c>
    </row>
    <row r="197" spans="2:5" ht="15" customHeight="1">
      <c r="B197" s="110"/>
      <c r="C197" s="70" t="s">
        <v>184</v>
      </c>
      <c r="D197" s="77">
        <v>25</v>
      </c>
      <c r="E197" s="78">
        <v>3.290339563043E-3</v>
      </c>
    </row>
    <row r="198" spans="2:5" ht="15" customHeight="1">
      <c r="B198" s="111"/>
      <c r="C198" s="91" t="s">
        <v>258</v>
      </c>
      <c r="D198" s="90">
        <v>50</v>
      </c>
      <c r="E198" s="92">
        <v>6.580679126086E-3</v>
      </c>
    </row>
    <row r="199" spans="2:5" ht="15" customHeight="1">
      <c r="B199" s="109" t="s">
        <v>91</v>
      </c>
      <c r="C199" s="70" t="s">
        <v>186</v>
      </c>
      <c r="D199" s="77">
        <v>3</v>
      </c>
      <c r="E199" s="78">
        <v>3.9484074756500001E-4</v>
      </c>
    </row>
    <row r="200" spans="2:5" ht="15" customHeight="1">
      <c r="B200" s="110"/>
      <c r="C200" s="70" t="s">
        <v>184</v>
      </c>
      <c r="D200" s="77">
        <v>3</v>
      </c>
      <c r="E200" s="78">
        <v>3.9484074756500001E-4</v>
      </c>
    </row>
    <row r="201" spans="2:5" ht="15" customHeight="1">
      <c r="B201" s="111"/>
      <c r="C201" s="91" t="s">
        <v>258</v>
      </c>
      <c r="D201" s="90">
        <v>6</v>
      </c>
      <c r="E201" s="92">
        <v>7.8968149513000002E-4</v>
      </c>
    </row>
    <row r="202" spans="2:5" ht="15" customHeight="1">
      <c r="B202" s="109" t="s">
        <v>64</v>
      </c>
      <c r="C202" s="70" t="s">
        <v>186</v>
      </c>
      <c r="D202" s="77">
        <v>11</v>
      </c>
      <c r="E202" s="78">
        <v>1.447749407739E-3</v>
      </c>
    </row>
    <row r="203" spans="2:5" ht="15" customHeight="1">
      <c r="B203" s="110"/>
      <c r="C203" s="70" t="s">
        <v>185</v>
      </c>
      <c r="D203" s="77">
        <v>13</v>
      </c>
      <c r="E203" s="78">
        <v>1.7109765727819999E-3</v>
      </c>
    </row>
    <row r="204" spans="2:5" ht="15" customHeight="1">
      <c r="B204" s="110"/>
      <c r="C204" s="70" t="s">
        <v>190</v>
      </c>
      <c r="D204" s="77">
        <v>1</v>
      </c>
      <c r="E204" s="78">
        <v>1.31613582522E-4</v>
      </c>
    </row>
    <row r="205" spans="2:5" ht="15" customHeight="1">
      <c r="B205" s="110"/>
      <c r="C205" s="70" t="s">
        <v>187</v>
      </c>
      <c r="D205" s="77">
        <v>1</v>
      </c>
      <c r="E205" s="78">
        <v>1.31613582522E-4</v>
      </c>
    </row>
    <row r="206" spans="2:5" ht="15" customHeight="1">
      <c r="B206" s="110"/>
      <c r="C206" s="70" t="s">
        <v>184</v>
      </c>
      <c r="D206" s="77">
        <v>56</v>
      </c>
      <c r="E206" s="78">
        <v>7.3703606212159999E-3</v>
      </c>
    </row>
    <row r="207" spans="2:5" ht="15" customHeight="1">
      <c r="B207" s="111"/>
      <c r="C207" s="91" t="s">
        <v>258</v>
      </c>
      <c r="D207" s="90">
        <v>82</v>
      </c>
      <c r="E207" s="92">
        <v>1.0792313766780999E-2</v>
      </c>
    </row>
    <row r="208" spans="2:5" ht="15" customHeight="1">
      <c r="B208" s="109" t="s">
        <v>55</v>
      </c>
      <c r="C208" s="70" t="s">
        <v>189</v>
      </c>
      <c r="D208" s="77">
        <v>3</v>
      </c>
      <c r="E208" s="78">
        <v>3.9484074756500001E-4</v>
      </c>
    </row>
    <row r="209" spans="2:5" ht="15" customHeight="1">
      <c r="B209" s="110"/>
      <c r="C209" s="70" t="s">
        <v>186</v>
      </c>
      <c r="D209" s="77">
        <v>31</v>
      </c>
      <c r="E209" s="78">
        <v>4.0800210581729999E-3</v>
      </c>
    </row>
    <row r="210" spans="2:5" ht="15" customHeight="1">
      <c r="B210" s="110"/>
      <c r="C210" s="70" t="s">
        <v>185</v>
      </c>
      <c r="D210" s="77">
        <v>51</v>
      </c>
      <c r="E210" s="78">
        <v>6.7122927086080003E-3</v>
      </c>
    </row>
    <row r="211" spans="2:5" ht="15" customHeight="1">
      <c r="B211" s="110"/>
      <c r="C211" s="70" t="s">
        <v>187</v>
      </c>
      <c r="D211" s="77">
        <v>6</v>
      </c>
      <c r="E211" s="78">
        <v>7.8968149513000002E-4</v>
      </c>
    </row>
    <row r="212" spans="2:5" ht="15" customHeight="1">
      <c r="B212" s="110"/>
      <c r="C212" s="70" t="s">
        <v>184</v>
      </c>
      <c r="D212" s="77">
        <v>89</v>
      </c>
      <c r="E212" s="78">
        <v>1.1713608844433E-2</v>
      </c>
    </row>
    <row r="213" spans="2:5" ht="15" customHeight="1">
      <c r="B213" s="111"/>
      <c r="C213" s="91" t="s">
        <v>258</v>
      </c>
      <c r="D213" s="90">
        <v>180</v>
      </c>
      <c r="E213" s="92">
        <v>2.3690444853909001E-2</v>
      </c>
    </row>
    <row r="214" spans="2:5" ht="15" customHeight="1">
      <c r="B214" s="109" t="s">
        <v>72</v>
      </c>
      <c r="C214" s="70" t="s">
        <v>186</v>
      </c>
      <c r="D214" s="77">
        <v>20</v>
      </c>
      <c r="E214" s="78">
        <v>2.6322716504339999E-3</v>
      </c>
    </row>
    <row r="215" spans="2:5" ht="15" customHeight="1">
      <c r="B215" s="110"/>
      <c r="C215" s="70" t="s">
        <v>185</v>
      </c>
      <c r="D215" s="77">
        <v>9</v>
      </c>
      <c r="E215" s="78">
        <v>1.1845222426950001E-3</v>
      </c>
    </row>
    <row r="216" spans="2:5" ht="15" customHeight="1">
      <c r="B216" s="110"/>
      <c r="C216" s="70" t="s">
        <v>188</v>
      </c>
      <c r="D216" s="77">
        <v>1</v>
      </c>
      <c r="E216" s="78">
        <v>1.31613582522E-4</v>
      </c>
    </row>
    <row r="217" spans="2:5" ht="15" customHeight="1">
      <c r="B217" s="110"/>
      <c r="C217" s="70" t="s">
        <v>187</v>
      </c>
      <c r="D217" s="77">
        <v>2</v>
      </c>
      <c r="E217" s="78">
        <v>2.6322716504299998E-4</v>
      </c>
    </row>
    <row r="218" spans="2:5" ht="15" customHeight="1">
      <c r="B218" s="110"/>
      <c r="C218" s="70" t="s">
        <v>184</v>
      </c>
      <c r="D218" s="77">
        <v>21</v>
      </c>
      <c r="E218" s="78">
        <v>2.7638852329560002E-3</v>
      </c>
    </row>
    <row r="219" spans="2:5" ht="15" customHeight="1">
      <c r="B219" s="111"/>
      <c r="C219" s="91" t="s">
        <v>258</v>
      </c>
      <c r="D219" s="90">
        <v>53</v>
      </c>
      <c r="E219" s="92">
        <v>6.975519873651E-3</v>
      </c>
    </row>
    <row r="220" spans="2:5" ht="15" customHeight="1">
      <c r="B220" s="109" t="s">
        <v>62</v>
      </c>
      <c r="C220" s="70" t="s">
        <v>186</v>
      </c>
      <c r="D220" s="77">
        <v>15</v>
      </c>
      <c r="E220" s="78">
        <v>1.9742037378259998E-3</v>
      </c>
    </row>
    <row r="221" spans="2:5" ht="15" customHeight="1">
      <c r="B221" s="110"/>
      <c r="C221" s="70" t="s">
        <v>185</v>
      </c>
      <c r="D221" s="77">
        <v>22</v>
      </c>
      <c r="E221" s="78">
        <v>2.8954988154780001E-3</v>
      </c>
    </row>
    <row r="222" spans="2:5" ht="15" customHeight="1">
      <c r="B222" s="110"/>
      <c r="C222" s="70" t="s">
        <v>187</v>
      </c>
      <c r="D222" s="77">
        <v>2</v>
      </c>
      <c r="E222" s="78">
        <v>2.6322716504299998E-4</v>
      </c>
    </row>
    <row r="223" spans="2:5" ht="15" customHeight="1">
      <c r="B223" s="110"/>
      <c r="C223" s="70" t="s">
        <v>184</v>
      </c>
      <c r="D223" s="77">
        <v>67</v>
      </c>
      <c r="E223" s="78">
        <v>8.8181100289550004E-3</v>
      </c>
    </row>
    <row r="224" spans="2:5" ht="15" customHeight="1">
      <c r="B224" s="111"/>
      <c r="C224" s="91" t="s">
        <v>258</v>
      </c>
      <c r="D224" s="90">
        <v>106</v>
      </c>
      <c r="E224" s="92">
        <v>1.3951039747302E-2</v>
      </c>
    </row>
    <row r="225" spans="2:5" ht="15" customHeight="1">
      <c r="B225" s="109" t="s">
        <v>86</v>
      </c>
      <c r="C225" s="70" t="s">
        <v>186</v>
      </c>
      <c r="D225" s="77">
        <v>1</v>
      </c>
      <c r="E225" s="78">
        <v>1.31613582522E-4</v>
      </c>
    </row>
    <row r="226" spans="2:5" ht="15" customHeight="1">
      <c r="B226" s="110"/>
      <c r="C226" s="70" t="s">
        <v>185</v>
      </c>
      <c r="D226" s="77">
        <v>5</v>
      </c>
      <c r="E226" s="78">
        <v>6.5806791260900001E-4</v>
      </c>
    </row>
    <row r="227" spans="2:5" ht="15" customHeight="1">
      <c r="B227" s="110"/>
      <c r="C227" s="70" t="s">
        <v>184</v>
      </c>
      <c r="D227" s="77">
        <v>13</v>
      </c>
      <c r="E227" s="78">
        <v>1.7109765727819999E-3</v>
      </c>
    </row>
    <row r="228" spans="2:5" ht="15" customHeight="1">
      <c r="B228" s="111"/>
      <c r="C228" s="91" t="s">
        <v>258</v>
      </c>
      <c r="D228" s="90">
        <v>19</v>
      </c>
      <c r="E228" s="92">
        <v>2.5006580679130001E-3</v>
      </c>
    </row>
    <row r="229" spans="2:5" ht="15" customHeight="1">
      <c r="B229" s="109" t="s">
        <v>47</v>
      </c>
      <c r="C229" s="70" t="s">
        <v>186</v>
      </c>
      <c r="D229" s="77">
        <v>81</v>
      </c>
      <c r="E229" s="78">
        <v>1.0660700184259001E-2</v>
      </c>
    </row>
    <row r="230" spans="2:5" ht="15" customHeight="1">
      <c r="B230" s="110"/>
      <c r="C230" s="70" t="s">
        <v>185</v>
      </c>
      <c r="D230" s="77">
        <v>393</v>
      </c>
      <c r="E230" s="78">
        <v>5.1724137931034003E-2</v>
      </c>
    </row>
    <row r="231" spans="2:5" ht="15" customHeight="1">
      <c r="B231" s="110"/>
      <c r="C231" s="70" t="s">
        <v>188</v>
      </c>
      <c r="D231" s="77">
        <v>9</v>
      </c>
      <c r="E231" s="78">
        <v>1.1845222426950001E-3</v>
      </c>
    </row>
    <row r="232" spans="2:5" ht="15" customHeight="1">
      <c r="B232" s="110"/>
      <c r="C232" s="70" t="s">
        <v>187</v>
      </c>
      <c r="D232" s="77">
        <v>19</v>
      </c>
      <c r="E232" s="78">
        <v>2.5006580679130001E-3</v>
      </c>
    </row>
    <row r="233" spans="2:5" ht="15" customHeight="1">
      <c r="B233" s="110"/>
      <c r="C233" s="70" t="s">
        <v>184</v>
      </c>
      <c r="D233" s="77">
        <v>339</v>
      </c>
      <c r="E233" s="78">
        <v>4.4617004474861999E-2</v>
      </c>
    </row>
    <row r="234" spans="2:5" ht="15" customHeight="1">
      <c r="B234" s="111"/>
      <c r="C234" s="91" t="s">
        <v>258</v>
      </c>
      <c r="D234" s="90">
        <v>841</v>
      </c>
      <c r="E234" s="92">
        <v>0.110687022900763</v>
      </c>
    </row>
    <row r="235" spans="2:5" ht="15" customHeight="1">
      <c r="B235" s="109" t="s">
        <v>48</v>
      </c>
      <c r="C235" s="70" t="s">
        <v>186</v>
      </c>
      <c r="D235" s="77">
        <v>79</v>
      </c>
      <c r="E235" s="78">
        <v>1.0397473019215999E-2</v>
      </c>
    </row>
    <row r="236" spans="2:5" ht="15" customHeight="1">
      <c r="B236" s="110"/>
      <c r="C236" s="70" t="s">
        <v>185</v>
      </c>
      <c r="D236" s="77">
        <v>114</v>
      </c>
      <c r="E236" s="78">
        <v>1.5003948407476E-2</v>
      </c>
    </row>
    <row r="237" spans="2:5" ht="15" customHeight="1">
      <c r="B237" s="110"/>
      <c r="C237" s="70" t="s">
        <v>188</v>
      </c>
      <c r="D237" s="77">
        <v>4</v>
      </c>
      <c r="E237" s="78">
        <v>5.2645433008700004E-4</v>
      </c>
    </row>
    <row r="238" spans="2:5" ht="15" customHeight="1">
      <c r="B238" s="110"/>
      <c r="C238" s="70" t="s">
        <v>187</v>
      </c>
      <c r="D238" s="77">
        <v>25</v>
      </c>
      <c r="E238" s="78">
        <v>3.290339563043E-3</v>
      </c>
    </row>
    <row r="239" spans="2:5" ht="15" customHeight="1">
      <c r="B239" s="110"/>
      <c r="C239" s="70" t="s">
        <v>184</v>
      </c>
      <c r="D239" s="77">
        <v>624</v>
      </c>
      <c r="E239" s="78">
        <v>8.2126875493550994E-2</v>
      </c>
    </row>
    <row r="240" spans="2:5" ht="15" customHeight="1">
      <c r="B240" s="111"/>
      <c r="C240" s="91" t="s">
        <v>258</v>
      </c>
      <c r="D240" s="90">
        <v>846</v>
      </c>
      <c r="E240" s="92">
        <v>0.111345090813372</v>
      </c>
    </row>
    <row r="241" spans="2:5" ht="15" customHeight="1">
      <c r="B241" s="109" t="s">
        <v>60</v>
      </c>
      <c r="C241" s="70" t="s">
        <v>189</v>
      </c>
      <c r="D241" s="77">
        <v>2</v>
      </c>
      <c r="E241" s="78">
        <v>2.6322716504299998E-4</v>
      </c>
    </row>
    <row r="242" spans="2:5" ht="15" customHeight="1">
      <c r="B242" s="110"/>
      <c r="C242" s="70" t="s">
        <v>186</v>
      </c>
      <c r="D242" s="77">
        <v>16</v>
      </c>
      <c r="E242" s="78">
        <v>2.1058173203470001E-3</v>
      </c>
    </row>
    <row r="243" spans="2:5" ht="15" customHeight="1">
      <c r="B243" s="110"/>
      <c r="C243" s="70" t="s">
        <v>185</v>
      </c>
      <c r="D243" s="77">
        <v>28</v>
      </c>
      <c r="E243" s="78">
        <v>3.685180310608E-3</v>
      </c>
    </row>
    <row r="244" spans="2:5" ht="15" customHeight="1">
      <c r="B244" s="110"/>
      <c r="C244" s="70" t="s">
        <v>188</v>
      </c>
      <c r="D244" s="77">
        <v>1</v>
      </c>
      <c r="E244" s="78">
        <v>1.31613582522E-4</v>
      </c>
    </row>
    <row r="245" spans="2:5" ht="15" customHeight="1">
      <c r="B245" s="110"/>
      <c r="C245" s="70" t="s">
        <v>187</v>
      </c>
      <c r="D245" s="77">
        <v>1</v>
      </c>
      <c r="E245" s="78">
        <v>1.31613582522E-4</v>
      </c>
    </row>
    <row r="246" spans="2:5" ht="15" customHeight="1">
      <c r="B246" s="110"/>
      <c r="C246" s="70" t="s">
        <v>184</v>
      </c>
      <c r="D246" s="77">
        <v>66</v>
      </c>
      <c r="E246" s="78">
        <v>8.6864964464330001E-3</v>
      </c>
    </row>
    <row r="247" spans="2:5" ht="15" customHeight="1">
      <c r="B247" s="111"/>
      <c r="C247" s="91" t="s">
        <v>258</v>
      </c>
      <c r="D247" s="90">
        <v>114</v>
      </c>
      <c r="E247" s="92">
        <v>1.5003948407476E-2</v>
      </c>
    </row>
    <row r="248" spans="2:5" ht="15" customHeight="1">
      <c r="B248" s="109" t="s">
        <v>56</v>
      </c>
      <c r="C248" s="70" t="s">
        <v>189</v>
      </c>
      <c r="D248" s="77">
        <v>1</v>
      </c>
      <c r="E248" s="78">
        <v>1.31613582522E-4</v>
      </c>
    </row>
    <row r="249" spans="2:5" ht="15" customHeight="1">
      <c r="B249" s="110"/>
      <c r="C249" s="70" t="s">
        <v>186</v>
      </c>
      <c r="D249" s="77">
        <v>62</v>
      </c>
      <c r="E249" s="78">
        <v>8.1600421163459998E-3</v>
      </c>
    </row>
    <row r="250" spans="2:5" ht="15" customHeight="1">
      <c r="B250" s="110"/>
      <c r="C250" s="70" t="s">
        <v>185</v>
      </c>
      <c r="D250" s="77">
        <v>78</v>
      </c>
      <c r="E250" s="78">
        <v>1.0265859436694001E-2</v>
      </c>
    </row>
    <row r="251" spans="2:5" ht="15" customHeight="1">
      <c r="B251" s="110"/>
      <c r="C251" s="70" t="s">
        <v>190</v>
      </c>
      <c r="D251" s="77">
        <v>2</v>
      </c>
      <c r="E251" s="78">
        <v>2.6322716504299998E-4</v>
      </c>
    </row>
    <row r="252" spans="2:5" ht="15" customHeight="1">
      <c r="B252" s="110"/>
      <c r="C252" s="70" t="s">
        <v>187</v>
      </c>
      <c r="D252" s="77">
        <v>3</v>
      </c>
      <c r="E252" s="78">
        <v>3.9484074756500001E-4</v>
      </c>
    </row>
    <row r="253" spans="2:5" ht="15" customHeight="1">
      <c r="B253" s="110"/>
      <c r="C253" s="70" t="s">
        <v>184</v>
      </c>
      <c r="D253" s="77">
        <v>92</v>
      </c>
      <c r="E253" s="78">
        <v>1.2108449591998E-2</v>
      </c>
    </row>
    <row r="254" spans="2:5" ht="15" customHeight="1">
      <c r="B254" s="111"/>
      <c r="C254" s="91" t="s">
        <v>258</v>
      </c>
      <c r="D254" s="90">
        <v>238</v>
      </c>
      <c r="E254" s="92">
        <v>3.1324032640167997E-2</v>
      </c>
    </row>
    <row r="255" spans="2:5" ht="15" customHeight="1">
      <c r="B255" s="109" t="s">
        <v>51</v>
      </c>
      <c r="C255" s="70" t="s">
        <v>189</v>
      </c>
      <c r="D255" s="77">
        <v>2</v>
      </c>
      <c r="E255" s="78">
        <v>2.6322716504299998E-4</v>
      </c>
    </row>
    <row r="256" spans="2:5" ht="15" customHeight="1">
      <c r="B256" s="110"/>
      <c r="C256" s="70" t="s">
        <v>186</v>
      </c>
      <c r="D256" s="77">
        <v>55</v>
      </c>
      <c r="E256" s="78">
        <v>7.2387470386939996E-3</v>
      </c>
    </row>
    <row r="257" spans="2:5" ht="15" customHeight="1">
      <c r="B257" s="110"/>
      <c r="C257" s="70" t="s">
        <v>185</v>
      </c>
      <c r="D257" s="77">
        <v>98</v>
      </c>
      <c r="E257" s="78">
        <v>1.2898131087127999E-2</v>
      </c>
    </row>
    <row r="258" spans="2:5" ht="15" customHeight="1">
      <c r="B258" s="110"/>
      <c r="C258" s="70" t="s">
        <v>188</v>
      </c>
      <c r="D258" s="77">
        <v>3</v>
      </c>
      <c r="E258" s="78">
        <v>3.9484074756500001E-4</v>
      </c>
    </row>
    <row r="259" spans="2:5" ht="15" customHeight="1">
      <c r="B259" s="110"/>
      <c r="C259" s="70" t="s">
        <v>190</v>
      </c>
      <c r="D259" s="77">
        <v>1</v>
      </c>
      <c r="E259" s="78">
        <v>1.31613582522E-4</v>
      </c>
    </row>
    <row r="260" spans="2:5" ht="15" customHeight="1">
      <c r="B260" s="110"/>
      <c r="C260" s="70" t="s">
        <v>187</v>
      </c>
      <c r="D260" s="77">
        <v>13</v>
      </c>
      <c r="E260" s="78">
        <v>1.7109765727819999E-3</v>
      </c>
    </row>
    <row r="261" spans="2:5" ht="15" customHeight="1">
      <c r="B261" s="110"/>
      <c r="C261" s="70" t="s">
        <v>184</v>
      </c>
      <c r="D261" s="77">
        <v>190</v>
      </c>
      <c r="E261" s="78">
        <v>2.5006580679125999E-2</v>
      </c>
    </row>
    <row r="262" spans="2:5" ht="15" customHeight="1">
      <c r="B262" s="111"/>
      <c r="C262" s="91" t="s">
        <v>258</v>
      </c>
      <c r="D262" s="90">
        <v>362</v>
      </c>
      <c r="E262" s="92">
        <v>4.7644116872860999E-2</v>
      </c>
    </row>
    <row r="263" spans="2:5" ht="15" customHeight="1">
      <c r="B263" s="109" t="s">
        <v>73</v>
      </c>
      <c r="C263" s="70" t="s">
        <v>186</v>
      </c>
      <c r="D263" s="77">
        <v>8</v>
      </c>
      <c r="E263" s="78">
        <v>1.0529086601740001E-3</v>
      </c>
    </row>
    <row r="264" spans="2:5" ht="15" customHeight="1">
      <c r="B264" s="110"/>
      <c r="C264" s="70" t="s">
        <v>185</v>
      </c>
      <c r="D264" s="77">
        <v>1</v>
      </c>
      <c r="E264" s="78">
        <v>1.31613582522E-4</v>
      </c>
    </row>
    <row r="265" spans="2:5" ht="15" customHeight="1">
      <c r="B265" s="110"/>
      <c r="C265" s="70" t="s">
        <v>188</v>
      </c>
      <c r="D265" s="77">
        <v>1</v>
      </c>
      <c r="E265" s="78">
        <v>1.31613582522E-4</v>
      </c>
    </row>
    <row r="266" spans="2:5" ht="15" customHeight="1">
      <c r="B266" s="110"/>
      <c r="C266" s="70" t="s">
        <v>184</v>
      </c>
      <c r="D266" s="77">
        <v>20</v>
      </c>
      <c r="E266" s="78">
        <v>2.6322716504339999E-3</v>
      </c>
    </row>
    <row r="267" spans="2:5" ht="15" customHeight="1">
      <c r="B267" s="111"/>
      <c r="C267" s="91" t="s">
        <v>258</v>
      </c>
      <c r="D267" s="90">
        <v>30</v>
      </c>
      <c r="E267" s="92">
        <v>3.9484074756509996E-3</v>
      </c>
    </row>
    <row r="268" spans="2:5" ht="15" customHeight="1">
      <c r="B268" s="109" t="s">
        <v>81</v>
      </c>
      <c r="C268" s="70" t="s">
        <v>186</v>
      </c>
      <c r="D268" s="77">
        <v>4</v>
      </c>
      <c r="E268" s="78">
        <v>5.2645433008700004E-4</v>
      </c>
    </row>
    <row r="269" spans="2:5" ht="15" customHeight="1">
      <c r="B269" s="110"/>
      <c r="C269" s="70" t="s">
        <v>185</v>
      </c>
      <c r="D269" s="77">
        <v>24</v>
      </c>
      <c r="E269" s="78">
        <v>3.1587259805210001E-3</v>
      </c>
    </row>
    <row r="270" spans="2:5" ht="15" customHeight="1">
      <c r="B270" s="110"/>
      <c r="C270" s="70" t="s">
        <v>187</v>
      </c>
      <c r="D270" s="77">
        <v>3</v>
      </c>
      <c r="E270" s="78">
        <v>3.9484074756500001E-4</v>
      </c>
    </row>
    <row r="271" spans="2:5" ht="15" customHeight="1">
      <c r="B271" s="110"/>
      <c r="C271" s="70" t="s">
        <v>184</v>
      </c>
      <c r="D271" s="77">
        <v>17</v>
      </c>
      <c r="E271" s="78">
        <v>2.2374309028689999E-3</v>
      </c>
    </row>
    <row r="272" spans="2:5" ht="15" customHeight="1">
      <c r="B272" s="111"/>
      <c r="C272" s="91" t="s">
        <v>258</v>
      </c>
      <c r="D272" s="90">
        <v>48</v>
      </c>
      <c r="E272" s="92">
        <v>6.3174519610420003E-3</v>
      </c>
    </row>
    <row r="273" spans="2:5" ht="15" customHeight="1">
      <c r="B273" s="109" t="s">
        <v>87</v>
      </c>
      <c r="C273" s="70" t="s">
        <v>186</v>
      </c>
      <c r="D273" s="77">
        <v>6</v>
      </c>
      <c r="E273" s="78">
        <v>7.8968149513000002E-4</v>
      </c>
    </row>
    <row r="274" spans="2:5" ht="15" customHeight="1">
      <c r="B274" s="110"/>
      <c r="C274" s="70" t="s">
        <v>185</v>
      </c>
      <c r="D274" s="77">
        <v>3</v>
      </c>
      <c r="E274" s="78">
        <v>3.9484074756500001E-4</v>
      </c>
    </row>
    <row r="275" spans="2:5" ht="15" customHeight="1">
      <c r="B275" s="110"/>
      <c r="C275" s="70" t="s">
        <v>184</v>
      </c>
      <c r="D275" s="77">
        <v>9</v>
      </c>
      <c r="E275" s="78">
        <v>1.1845222426950001E-3</v>
      </c>
    </row>
    <row r="276" spans="2:5" ht="15" customHeight="1">
      <c r="B276" s="111"/>
      <c r="C276" s="91" t="s">
        <v>258</v>
      </c>
      <c r="D276" s="90">
        <v>18</v>
      </c>
      <c r="E276" s="92">
        <v>2.3690444853909998E-3</v>
      </c>
    </row>
    <row r="277" spans="2:5" ht="15" customHeight="1">
      <c r="B277" s="109" t="s">
        <v>61</v>
      </c>
      <c r="C277" s="70" t="s">
        <v>186</v>
      </c>
      <c r="D277" s="77">
        <v>2</v>
      </c>
      <c r="E277" s="78">
        <v>2.6322716504299998E-4</v>
      </c>
    </row>
    <row r="278" spans="2:5" ht="15" customHeight="1">
      <c r="B278" s="110"/>
      <c r="C278" s="70" t="s">
        <v>185</v>
      </c>
      <c r="D278" s="77">
        <v>82</v>
      </c>
      <c r="E278" s="78">
        <v>1.0792313766780999E-2</v>
      </c>
    </row>
    <row r="279" spans="2:5" ht="15" customHeight="1">
      <c r="B279" s="110"/>
      <c r="C279" s="70" t="s">
        <v>184</v>
      </c>
      <c r="D279" s="77">
        <v>10</v>
      </c>
      <c r="E279" s="78">
        <v>1.3161358252169999E-3</v>
      </c>
    </row>
    <row r="280" spans="2:5" ht="15" customHeight="1">
      <c r="B280" s="111"/>
      <c r="C280" s="91" t="s">
        <v>258</v>
      </c>
      <c r="D280" s="90">
        <v>94</v>
      </c>
      <c r="E280" s="92">
        <v>1.2371676757040999E-2</v>
      </c>
    </row>
    <row r="281" spans="2:5" ht="15" customHeight="1">
      <c r="B281" s="74" t="s">
        <v>260</v>
      </c>
      <c r="C281" s="74"/>
      <c r="D281" s="80">
        <v>7598</v>
      </c>
      <c r="E281" s="81">
        <v>1</v>
      </c>
    </row>
    <row r="282" spans="2:5" ht="15" customHeight="1">
      <c r="B282" s="66"/>
      <c r="C282" s="66"/>
      <c r="D282" s="66"/>
      <c r="E282" s="66"/>
    </row>
    <row r="283" spans="2:5" ht="15" customHeight="1">
      <c r="B283" s="66"/>
      <c r="C283" s="66"/>
      <c r="D283" s="66"/>
      <c r="E283" s="66"/>
    </row>
    <row r="284" spans="2:5" ht="15" customHeight="1">
      <c r="B284" s="86" t="s">
        <v>130</v>
      </c>
      <c r="D284" s="93"/>
      <c r="E284" s="93"/>
    </row>
    <row r="285" spans="2:5" ht="15" customHeight="1">
      <c r="B285" s="86" t="s">
        <v>17</v>
      </c>
      <c r="D285" s="93"/>
      <c r="E285" s="93"/>
    </row>
    <row r="286" spans="2:5" ht="15" customHeight="1">
      <c r="B286" s="86" t="s">
        <v>45</v>
      </c>
      <c r="D286" s="93"/>
      <c r="E286" s="93"/>
    </row>
    <row r="287" spans="2:5" ht="15" customHeight="1">
      <c r="B287" s="86" t="s">
        <v>16</v>
      </c>
      <c r="D287" s="93"/>
      <c r="E287" s="93"/>
    </row>
    <row r="288" spans="2:5" ht="15" customHeight="1">
      <c r="B288" s="93" t="s">
        <v>259</v>
      </c>
      <c r="D288" s="66"/>
      <c r="E288" s="66"/>
    </row>
  </sheetData>
  <mergeCells count="52">
    <mergeCell ref="B273:B276"/>
    <mergeCell ref="B277:B280"/>
    <mergeCell ref="B241:B247"/>
    <mergeCell ref="B248:B254"/>
    <mergeCell ref="B255:B262"/>
    <mergeCell ref="B263:B267"/>
    <mergeCell ref="B268:B272"/>
    <mergeCell ref="B214:B219"/>
    <mergeCell ref="B220:B224"/>
    <mergeCell ref="B225:B228"/>
    <mergeCell ref="B229:B234"/>
    <mergeCell ref="B235:B240"/>
    <mergeCell ref="B187:B193"/>
    <mergeCell ref="B194:B198"/>
    <mergeCell ref="B199:B201"/>
    <mergeCell ref="B202:B207"/>
    <mergeCell ref="B208:B213"/>
    <mergeCell ref="B160:B164"/>
    <mergeCell ref="B165:B169"/>
    <mergeCell ref="B170:B173"/>
    <mergeCell ref="B174:B180"/>
    <mergeCell ref="B181:B186"/>
    <mergeCell ref="B137:B142"/>
    <mergeCell ref="B143:B147"/>
    <mergeCell ref="B148:B152"/>
    <mergeCell ref="B153:B154"/>
    <mergeCell ref="B155:B159"/>
    <mergeCell ref="B110:B112"/>
    <mergeCell ref="B113:B119"/>
    <mergeCell ref="B120:B125"/>
    <mergeCell ref="B126:B132"/>
    <mergeCell ref="B133:B136"/>
    <mergeCell ref="B79:B83"/>
    <mergeCell ref="B84:B91"/>
    <mergeCell ref="B92:B96"/>
    <mergeCell ref="B97:B101"/>
    <mergeCell ref="B102:B109"/>
    <mergeCell ref="B55:B60"/>
    <mergeCell ref="B61:B66"/>
    <mergeCell ref="B67:B70"/>
    <mergeCell ref="B71:B72"/>
    <mergeCell ref="B73:B78"/>
    <mergeCell ref="B31:B34"/>
    <mergeCell ref="B35:B37"/>
    <mergeCell ref="B38:B41"/>
    <mergeCell ref="B42:B48"/>
    <mergeCell ref="B49:B54"/>
    <mergeCell ref="B7:E9"/>
    <mergeCell ref="B11:B14"/>
    <mergeCell ref="B15:B18"/>
    <mergeCell ref="B19:B24"/>
    <mergeCell ref="B25:B3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74"/>
  <sheetViews>
    <sheetView showGridLines="0" view="pageBreakPreview" topLeftCell="A13" zoomScaleNormal="116" zoomScaleSheetLayoutView="100" workbookViewId="0">
      <selection activeCell="D37" sqref="D37"/>
    </sheetView>
  </sheetViews>
  <sheetFormatPr baseColWidth="10" defaultColWidth="11.453125" defaultRowHeight="14.5"/>
  <cols>
    <col min="1" max="1" width="9.26953125" style="13" customWidth="1"/>
    <col min="2" max="2" width="33.81640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6" s="15" customFormat="1" ht="15" customHeight="1">
      <c r="C1" s="18"/>
    </row>
    <row r="2" spans="2:6" s="15" customFormat="1" ht="15" customHeight="1">
      <c r="C2" s="18"/>
    </row>
    <row r="3" spans="2:6" s="15" customFormat="1" ht="15" customHeight="1">
      <c r="C3" s="18"/>
    </row>
    <row r="4" spans="2:6" s="15" customFormat="1" ht="30" customHeight="1">
      <c r="C4" s="18"/>
      <c r="D4" s="17"/>
    </row>
    <row r="5" spans="2:6" s="15" customFormat="1" ht="15" customHeight="1">
      <c r="C5" s="18"/>
      <c r="D5" s="17"/>
    </row>
    <row r="6" spans="2:6" s="15" customFormat="1" ht="15" customHeight="1">
      <c r="C6" s="18"/>
      <c r="D6" s="17"/>
    </row>
    <row r="7" spans="2:6" s="15" customFormat="1" ht="15" customHeight="1">
      <c r="B7" s="105" t="s">
        <v>36</v>
      </c>
      <c r="C7" s="105"/>
      <c r="D7" s="105"/>
    </row>
    <row r="8" spans="2:6" s="15" customFormat="1" ht="15" customHeight="1">
      <c r="B8" s="105"/>
      <c r="C8" s="105"/>
      <c r="D8" s="105"/>
    </row>
    <row r="9" spans="2:6" s="15" customFormat="1" ht="33" customHeight="1">
      <c r="B9" s="105"/>
      <c r="C9" s="105"/>
      <c r="D9" s="105"/>
    </row>
    <row r="10" spans="2:6" s="15" customFormat="1" ht="4.5" customHeight="1">
      <c r="B10" s="16"/>
      <c r="C10" s="16"/>
      <c r="D10" s="16"/>
    </row>
    <row r="11" spans="2:6" s="15" customFormat="1" ht="33" customHeight="1">
      <c r="B11" s="40" t="s">
        <v>26</v>
      </c>
      <c r="C11" s="41" t="s">
        <v>25</v>
      </c>
      <c r="D11" s="42" t="s">
        <v>18</v>
      </c>
      <c r="E11" s="43"/>
      <c r="F11" s="43"/>
    </row>
    <row r="12" spans="2:6" ht="15" customHeight="1">
      <c r="B12" s="76" t="s">
        <v>96</v>
      </c>
      <c r="C12" s="77">
        <v>58</v>
      </c>
      <c r="D12" s="78">
        <v>7.6335877862599997E-3</v>
      </c>
      <c r="E12" s="44"/>
      <c r="F12" s="44"/>
    </row>
    <row r="13" spans="2:6" ht="15" customHeight="1">
      <c r="B13" s="76" t="s">
        <v>132</v>
      </c>
      <c r="C13" s="77">
        <v>1</v>
      </c>
      <c r="D13" s="78">
        <v>1.31613582522E-4</v>
      </c>
      <c r="E13" s="44"/>
      <c r="F13" s="44"/>
    </row>
    <row r="14" spans="2:6" ht="15" customHeight="1">
      <c r="B14" s="76" t="s">
        <v>97</v>
      </c>
      <c r="C14" s="77">
        <v>23</v>
      </c>
      <c r="D14" s="78">
        <v>3.0271123979989998E-3</v>
      </c>
      <c r="E14" s="44"/>
      <c r="F14" s="44"/>
    </row>
    <row r="15" spans="2:6" ht="15" customHeight="1">
      <c r="B15" s="76" t="s">
        <v>98</v>
      </c>
      <c r="C15" s="77">
        <v>27</v>
      </c>
      <c r="D15" s="78">
        <v>3.5535667280860001E-3</v>
      </c>
      <c r="E15" s="44"/>
      <c r="F15" s="44"/>
    </row>
    <row r="16" spans="2:6" ht="15" customHeight="1">
      <c r="B16" s="76" t="s">
        <v>99</v>
      </c>
      <c r="C16" s="77">
        <v>56</v>
      </c>
      <c r="D16" s="78">
        <v>7.3703606212159999E-3</v>
      </c>
      <c r="E16" s="44"/>
      <c r="F16" s="44"/>
    </row>
    <row r="17" spans="2:6" ht="15" customHeight="1">
      <c r="B17" s="76" t="s">
        <v>100</v>
      </c>
      <c r="C17" s="77">
        <v>37</v>
      </c>
      <c r="D17" s="78">
        <v>4.8697025533039999E-3</v>
      </c>
      <c r="E17" s="44"/>
      <c r="F17" s="44"/>
    </row>
    <row r="18" spans="2:6" ht="15" customHeight="1">
      <c r="B18" s="76" t="s">
        <v>101</v>
      </c>
      <c r="C18" s="77">
        <v>72</v>
      </c>
      <c r="D18" s="78">
        <v>9.4761779415639992E-3</v>
      </c>
      <c r="E18" s="44"/>
      <c r="F18" s="44"/>
    </row>
    <row r="19" spans="2:6" ht="15" customHeight="1">
      <c r="B19" s="76" t="s">
        <v>102</v>
      </c>
      <c r="C19" s="77">
        <v>302</v>
      </c>
      <c r="D19" s="78">
        <v>3.9747301921558002E-2</v>
      </c>
      <c r="E19" s="44"/>
      <c r="F19" s="44"/>
    </row>
    <row r="20" spans="2:6" ht="15" customHeight="1">
      <c r="B20" s="76" t="s">
        <v>103</v>
      </c>
      <c r="C20" s="77">
        <v>552</v>
      </c>
      <c r="D20" s="78">
        <v>7.2650697551986998E-2</v>
      </c>
      <c r="E20" s="44"/>
      <c r="F20" s="44"/>
    </row>
    <row r="21" spans="2:6" ht="15" customHeight="1">
      <c r="B21" s="76" t="s">
        <v>104</v>
      </c>
      <c r="C21" s="77">
        <v>83</v>
      </c>
      <c r="D21" s="78">
        <v>1.0923927349302E-2</v>
      </c>
      <c r="E21" s="44"/>
      <c r="F21" s="44"/>
    </row>
    <row r="22" spans="2:6" ht="15" customHeight="1">
      <c r="B22" s="76" t="s">
        <v>105</v>
      </c>
      <c r="C22" s="77">
        <v>163</v>
      </c>
      <c r="D22" s="78">
        <v>2.145301395104E-2</v>
      </c>
      <c r="E22" s="44"/>
      <c r="F22" s="44"/>
    </row>
    <row r="23" spans="2:6" ht="15" customHeight="1">
      <c r="B23" s="76" t="s">
        <v>106</v>
      </c>
      <c r="C23" s="77">
        <v>289</v>
      </c>
      <c r="D23" s="78">
        <v>3.8036325348775997E-2</v>
      </c>
      <c r="E23" s="44"/>
      <c r="F23" s="44"/>
    </row>
    <row r="24" spans="2:6" ht="15" customHeight="1">
      <c r="B24" s="76" t="s">
        <v>107</v>
      </c>
      <c r="C24" s="77">
        <v>1637</v>
      </c>
      <c r="D24" s="78">
        <v>0.21545143458804999</v>
      </c>
      <c r="E24" s="44"/>
      <c r="F24" s="44"/>
    </row>
    <row r="25" spans="2:6" ht="15" customHeight="1">
      <c r="B25" s="76" t="s">
        <v>108</v>
      </c>
      <c r="C25" s="77">
        <v>204</v>
      </c>
      <c r="D25" s="78">
        <v>2.6849170834429999E-2</v>
      </c>
      <c r="E25" s="44"/>
      <c r="F25" s="44"/>
    </row>
    <row r="26" spans="2:6" ht="15" customHeight="1">
      <c r="B26" s="76" t="s">
        <v>109</v>
      </c>
      <c r="C26" s="77">
        <v>719</v>
      </c>
      <c r="D26" s="78">
        <v>9.4630165833113997E-2</v>
      </c>
      <c r="E26" s="44"/>
      <c r="F26" s="44"/>
    </row>
    <row r="27" spans="2:6" ht="15" customHeight="1">
      <c r="B27" s="76" t="s">
        <v>110</v>
      </c>
      <c r="C27" s="77">
        <v>2455</v>
      </c>
      <c r="D27" s="78">
        <v>0.32311134509081302</v>
      </c>
      <c r="E27" s="44"/>
      <c r="F27" s="44"/>
    </row>
    <row r="28" spans="2:6" ht="15" customHeight="1">
      <c r="B28" s="76" t="s">
        <v>111</v>
      </c>
      <c r="C28" s="77">
        <v>63</v>
      </c>
      <c r="D28" s="78">
        <v>8.2916556988680001E-3</v>
      </c>
      <c r="E28" s="44"/>
      <c r="F28" s="44"/>
    </row>
    <row r="29" spans="2:6" ht="15" customHeight="1">
      <c r="B29" s="76" t="s">
        <v>112</v>
      </c>
      <c r="C29" s="77">
        <v>69</v>
      </c>
      <c r="D29" s="78">
        <v>9.081337193998E-3</v>
      </c>
      <c r="E29" s="44"/>
      <c r="F29" s="44"/>
    </row>
    <row r="30" spans="2:6" ht="15" customHeight="1">
      <c r="B30" s="76" t="s">
        <v>113</v>
      </c>
      <c r="C30" s="77">
        <v>33</v>
      </c>
      <c r="D30" s="78">
        <v>4.3432482232169996E-3</v>
      </c>
      <c r="E30" s="44"/>
      <c r="F30" s="44"/>
    </row>
    <row r="31" spans="2:6" ht="15" customHeight="1">
      <c r="B31" s="76" t="s">
        <v>114</v>
      </c>
      <c r="C31" s="77">
        <v>14</v>
      </c>
      <c r="D31" s="78">
        <v>1.842590155304E-3</v>
      </c>
      <c r="E31" s="44"/>
      <c r="F31" s="44"/>
    </row>
    <row r="32" spans="2:6" ht="15" customHeight="1">
      <c r="B32" s="76" t="s">
        <v>115</v>
      </c>
      <c r="C32" s="77">
        <v>175</v>
      </c>
      <c r="D32" s="78">
        <v>2.30323769413E-2</v>
      </c>
      <c r="E32" s="44"/>
      <c r="F32" s="44"/>
    </row>
    <row r="33" spans="1:6" ht="15" customHeight="1">
      <c r="B33" s="76" t="s">
        <v>116</v>
      </c>
      <c r="C33" s="77">
        <v>509</v>
      </c>
      <c r="D33" s="78">
        <v>6.6991313503554001E-2</v>
      </c>
      <c r="E33" s="44"/>
      <c r="F33" s="44"/>
    </row>
    <row r="34" spans="1:6" ht="15" customHeight="1">
      <c r="B34" s="76" t="s">
        <v>117</v>
      </c>
      <c r="C34" s="77">
        <v>19</v>
      </c>
      <c r="D34" s="78">
        <v>2.5006580679130001E-3</v>
      </c>
      <c r="E34" s="44"/>
      <c r="F34" s="44"/>
    </row>
    <row r="35" spans="1:6" ht="15" customHeight="1">
      <c r="B35" s="76" t="s">
        <v>118</v>
      </c>
      <c r="C35" s="77">
        <v>34</v>
      </c>
      <c r="D35" s="78">
        <v>4.4748618057379999E-3</v>
      </c>
      <c r="E35" s="44"/>
      <c r="F35" s="44"/>
    </row>
    <row r="36" spans="1:6" ht="15" customHeight="1">
      <c r="B36" s="76" t="s">
        <v>119</v>
      </c>
      <c r="C36" s="77">
        <v>4</v>
      </c>
      <c r="D36" s="78">
        <v>5.2645433008700004E-4</v>
      </c>
      <c r="E36" s="44"/>
      <c r="F36" s="44"/>
    </row>
    <row r="37" spans="1:6" ht="16.5">
      <c r="B37" s="79" t="s">
        <v>258</v>
      </c>
      <c r="C37" s="80">
        <v>7598</v>
      </c>
      <c r="D37" s="81">
        <v>1</v>
      </c>
      <c r="E37" s="44"/>
      <c r="F37" s="44"/>
    </row>
    <row r="38" spans="1:6" ht="16.5">
      <c r="A38" s="27"/>
      <c r="B38" s="48"/>
      <c r="C38" s="49"/>
      <c r="D38" s="44"/>
      <c r="E38" s="44"/>
      <c r="F38" s="44"/>
    </row>
    <row r="39" spans="1:6" ht="16.5">
      <c r="A39" s="36"/>
      <c r="B39" s="86" t="s">
        <v>130</v>
      </c>
      <c r="C39" s="87"/>
      <c r="D39" s="87"/>
      <c r="E39" s="44"/>
      <c r="F39" s="44"/>
    </row>
    <row r="40" spans="1:6" ht="16.5">
      <c r="A40" s="37"/>
      <c r="B40" s="86" t="s">
        <v>17</v>
      </c>
      <c r="C40" s="87"/>
      <c r="D40" s="87"/>
      <c r="E40" s="44"/>
      <c r="F40" s="44"/>
    </row>
    <row r="41" spans="1:6" ht="16.5">
      <c r="A41" s="38"/>
      <c r="B41" s="86" t="s">
        <v>45</v>
      </c>
      <c r="C41" s="87"/>
      <c r="D41" s="87"/>
      <c r="E41" s="44"/>
      <c r="F41" s="44"/>
    </row>
    <row r="42" spans="1:6" ht="16.5">
      <c r="A42" s="38"/>
      <c r="B42" s="86" t="s">
        <v>16</v>
      </c>
      <c r="C42" s="87"/>
      <c r="D42" s="87"/>
      <c r="E42" s="44"/>
      <c r="F42" s="44"/>
    </row>
    <row r="43" spans="1:6">
      <c r="A43" s="22"/>
      <c r="B43" s="87" t="s">
        <v>259</v>
      </c>
      <c r="C43" s="25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  <row r="73" spans="3:3">
      <c r="C73" s="13"/>
    </row>
    <row r="74" spans="3:3">
      <c r="C74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G456"/>
  <sheetViews>
    <sheetView showGridLines="0" view="pageBreakPreview" topLeftCell="A425" zoomScaleNormal="100" zoomScaleSheetLayoutView="100" workbookViewId="0">
      <selection activeCell="E450" sqref="E450"/>
    </sheetView>
  </sheetViews>
  <sheetFormatPr baseColWidth="10" defaultColWidth="35" defaultRowHeight="15" customHeight="1"/>
  <cols>
    <col min="1" max="1" width="1" style="19" customWidth="1"/>
    <col min="2" max="2" width="22.81640625" style="20" customWidth="1"/>
    <col min="3" max="3" width="30" style="20" customWidth="1"/>
    <col min="4" max="4" width="14.26953125" style="20" customWidth="1"/>
    <col min="5" max="5" width="16.8164062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24"/>
      <c r="C6" s="21"/>
      <c r="D6" s="21"/>
      <c r="E6" s="21"/>
    </row>
    <row r="7" spans="1:5" s="22" customFormat="1" ht="26.25" customHeight="1">
      <c r="A7" s="23"/>
      <c r="B7" s="108"/>
      <c r="C7" s="108"/>
      <c r="D7" s="108"/>
      <c r="E7" s="108"/>
    </row>
    <row r="8" spans="1:5" s="22" customFormat="1" ht="33" customHeight="1">
      <c r="A8" s="23"/>
      <c r="B8" s="108"/>
      <c r="C8" s="108"/>
      <c r="D8" s="108"/>
      <c r="E8" s="108"/>
    </row>
    <row r="9" spans="1:5" s="15" customFormat="1" ht="40.5" customHeight="1">
      <c r="B9" s="63" t="s">
        <v>27</v>
      </c>
      <c r="C9" s="64" t="s">
        <v>24</v>
      </c>
      <c r="D9" s="65" t="s">
        <v>19</v>
      </c>
      <c r="E9" s="63" t="s">
        <v>18</v>
      </c>
    </row>
    <row r="10" spans="1:5" ht="15" customHeight="1">
      <c r="B10" s="109" t="s">
        <v>96</v>
      </c>
      <c r="C10" s="70" t="s">
        <v>135</v>
      </c>
      <c r="D10" s="77">
        <v>2</v>
      </c>
      <c r="E10" s="78">
        <v>2.6322716504299998E-4</v>
      </c>
    </row>
    <row r="11" spans="1:5" ht="15" customHeight="1">
      <c r="B11" s="110"/>
      <c r="C11" s="70" t="s">
        <v>134</v>
      </c>
      <c r="D11" s="77">
        <v>49</v>
      </c>
      <c r="E11" s="78">
        <v>6.4490655435639997E-3</v>
      </c>
    </row>
    <row r="12" spans="1:5" ht="15" customHeight="1">
      <c r="B12" s="110"/>
      <c r="C12" s="70" t="s">
        <v>138</v>
      </c>
      <c r="D12" s="77">
        <v>2</v>
      </c>
      <c r="E12" s="78">
        <v>2.6322716504299998E-4</v>
      </c>
    </row>
    <row r="13" spans="1:5" ht="15" customHeight="1">
      <c r="B13" s="110"/>
      <c r="C13" s="70" t="s">
        <v>157</v>
      </c>
      <c r="D13" s="77">
        <v>1</v>
      </c>
      <c r="E13" s="78">
        <v>1.31613582522E-4</v>
      </c>
    </row>
    <row r="14" spans="1:5" ht="15" customHeight="1">
      <c r="B14" s="110"/>
      <c r="C14" s="70" t="s">
        <v>161</v>
      </c>
      <c r="D14" s="77">
        <v>2</v>
      </c>
      <c r="E14" s="78">
        <v>2.6322716504299998E-4</v>
      </c>
    </row>
    <row r="15" spans="1:5" ht="15" customHeight="1">
      <c r="B15" s="110"/>
      <c r="C15" s="70" t="s">
        <v>162</v>
      </c>
      <c r="D15" s="77">
        <v>1</v>
      </c>
      <c r="E15" s="78">
        <v>1.31613582522E-4</v>
      </c>
    </row>
    <row r="16" spans="1:5" ht="15" customHeight="1">
      <c r="B16" s="110"/>
      <c r="C16" s="70" t="s">
        <v>164</v>
      </c>
      <c r="D16" s="77">
        <v>1</v>
      </c>
      <c r="E16" s="78">
        <v>1.31613582522E-4</v>
      </c>
    </row>
    <row r="17" spans="2:5" ht="15" customHeight="1">
      <c r="B17" s="111"/>
      <c r="C17" s="91" t="s">
        <v>258</v>
      </c>
      <c r="D17" s="90">
        <v>58</v>
      </c>
      <c r="E17" s="92">
        <v>7.6335877862599997E-3</v>
      </c>
    </row>
    <row r="18" spans="2:5" ht="15" customHeight="1">
      <c r="B18" s="109" t="s">
        <v>132</v>
      </c>
      <c r="C18" s="70" t="s">
        <v>138</v>
      </c>
      <c r="D18" s="77">
        <v>1</v>
      </c>
      <c r="E18" s="78">
        <v>1.31613582522E-4</v>
      </c>
    </row>
    <row r="19" spans="2:5" ht="15" customHeight="1">
      <c r="B19" s="111"/>
      <c r="C19" s="91" t="s">
        <v>258</v>
      </c>
      <c r="D19" s="90">
        <v>1</v>
      </c>
      <c r="E19" s="92">
        <v>1.31613582522E-4</v>
      </c>
    </row>
    <row r="20" spans="2:5" ht="15" customHeight="1">
      <c r="B20" s="109" t="s">
        <v>191</v>
      </c>
      <c r="C20" s="70" t="s">
        <v>135</v>
      </c>
      <c r="D20" s="77">
        <v>2</v>
      </c>
      <c r="E20" s="78">
        <v>2.6322716504299998E-4</v>
      </c>
    </row>
    <row r="21" spans="2:5" ht="15" customHeight="1">
      <c r="B21" s="110"/>
      <c r="C21" s="70" t="s">
        <v>134</v>
      </c>
      <c r="D21" s="77">
        <v>18</v>
      </c>
      <c r="E21" s="78">
        <v>2.3690444853909998E-3</v>
      </c>
    </row>
    <row r="22" spans="2:5" ht="15" customHeight="1">
      <c r="B22" s="110"/>
      <c r="C22" s="70" t="s">
        <v>140</v>
      </c>
      <c r="D22" s="77">
        <v>1</v>
      </c>
      <c r="E22" s="78">
        <v>1.31613582522E-4</v>
      </c>
    </row>
    <row r="23" spans="2:5" ht="15" customHeight="1">
      <c r="B23" s="110"/>
      <c r="C23" s="70" t="s">
        <v>147</v>
      </c>
      <c r="D23" s="77">
        <v>1</v>
      </c>
      <c r="E23" s="78">
        <v>1.31613582522E-4</v>
      </c>
    </row>
    <row r="24" spans="2:5" ht="15" customHeight="1">
      <c r="B24" s="110"/>
      <c r="C24" s="70" t="s">
        <v>137</v>
      </c>
      <c r="D24" s="77">
        <v>1</v>
      </c>
      <c r="E24" s="78">
        <v>1.31613582522E-4</v>
      </c>
    </row>
    <row r="25" spans="2:5" ht="15" customHeight="1">
      <c r="B25" s="111"/>
      <c r="C25" s="91" t="s">
        <v>258</v>
      </c>
      <c r="D25" s="90">
        <v>23</v>
      </c>
      <c r="E25" s="92">
        <v>3.0271123979989998E-3</v>
      </c>
    </row>
    <row r="26" spans="2:5" ht="15" customHeight="1">
      <c r="B26" s="109" t="s">
        <v>192</v>
      </c>
      <c r="C26" s="70" t="s">
        <v>135</v>
      </c>
      <c r="D26" s="77">
        <v>3</v>
      </c>
      <c r="E26" s="78">
        <v>3.9484074756500001E-4</v>
      </c>
    </row>
    <row r="27" spans="2:5" ht="15" customHeight="1">
      <c r="B27" s="110"/>
      <c r="C27" s="70" t="s">
        <v>134</v>
      </c>
      <c r="D27" s="77">
        <v>19</v>
      </c>
      <c r="E27" s="78">
        <v>2.5006580679130001E-3</v>
      </c>
    </row>
    <row r="28" spans="2:5" ht="15" customHeight="1">
      <c r="B28" s="110"/>
      <c r="C28" s="70" t="s">
        <v>140</v>
      </c>
      <c r="D28" s="77">
        <v>1</v>
      </c>
      <c r="E28" s="78">
        <v>1.31613582522E-4</v>
      </c>
    </row>
    <row r="29" spans="2:5" ht="15" customHeight="1">
      <c r="B29" s="110"/>
      <c r="C29" s="70" t="s">
        <v>137</v>
      </c>
      <c r="D29" s="77">
        <v>1</v>
      </c>
      <c r="E29" s="78">
        <v>1.31613582522E-4</v>
      </c>
    </row>
    <row r="30" spans="2:5" ht="15" customHeight="1">
      <c r="B30" s="110"/>
      <c r="C30" s="70" t="s">
        <v>141</v>
      </c>
      <c r="D30" s="77">
        <v>1</v>
      </c>
      <c r="E30" s="78">
        <v>1.31613582522E-4</v>
      </c>
    </row>
    <row r="31" spans="2:5" ht="15" customHeight="1">
      <c r="B31" s="110"/>
      <c r="C31" s="70" t="s">
        <v>136</v>
      </c>
      <c r="D31" s="77">
        <v>1</v>
      </c>
      <c r="E31" s="78">
        <v>1.31613582522E-4</v>
      </c>
    </row>
    <row r="32" spans="2:5" ht="15" customHeight="1">
      <c r="B32" s="110"/>
      <c r="C32" s="70" t="s">
        <v>139</v>
      </c>
      <c r="D32" s="77">
        <v>1</v>
      </c>
      <c r="E32" s="78">
        <v>1.31613582522E-4</v>
      </c>
    </row>
    <row r="33" spans="2:5" ht="15" customHeight="1">
      <c r="B33" s="111"/>
      <c r="C33" s="91" t="s">
        <v>258</v>
      </c>
      <c r="D33" s="90">
        <v>27</v>
      </c>
      <c r="E33" s="92">
        <v>3.5535667280860001E-3</v>
      </c>
    </row>
    <row r="34" spans="2:5" ht="15" customHeight="1">
      <c r="B34" s="109" t="s">
        <v>193</v>
      </c>
      <c r="C34" s="70" t="s">
        <v>135</v>
      </c>
      <c r="D34" s="77">
        <v>2</v>
      </c>
      <c r="E34" s="78">
        <v>2.6322716504299998E-4</v>
      </c>
    </row>
    <row r="35" spans="2:5" ht="15" customHeight="1">
      <c r="B35" s="110"/>
      <c r="C35" s="70" t="s">
        <v>134</v>
      </c>
      <c r="D35" s="77">
        <v>44</v>
      </c>
      <c r="E35" s="78">
        <v>5.7909976309560001E-3</v>
      </c>
    </row>
    <row r="36" spans="2:5" ht="15" customHeight="1">
      <c r="B36" s="110"/>
      <c r="C36" s="70" t="s">
        <v>140</v>
      </c>
      <c r="D36" s="77">
        <v>1</v>
      </c>
      <c r="E36" s="78">
        <v>1.31613582522E-4</v>
      </c>
    </row>
    <row r="37" spans="2:5" ht="15" customHeight="1">
      <c r="B37" s="110"/>
      <c r="C37" s="70" t="s">
        <v>147</v>
      </c>
      <c r="D37" s="77">
        <v>1</v>
      </c>
      <c r="E37" s="78">
        <v>1.31613582522E-4</v>
      </c>
    </row>
    <row r="38" spans="2:5" ht="15" customHeight="1">
      <c r="B38" s="110"/>
      <c r="C38" s="70" t="s">
        <v>138</v>
      </c>
      <c r="D38" s="77">
        <v>2</v>
      </c>
      <c r="E38" s="78">
        <v>2.6322716504299998E-4</v>
      </c>
    </row>
    <row r="39" spans="2:5" ht="15" customHeight="1">
      <c r="B39" s="110"/>
      <c r="C39" s="70" t="s">
        <v>141</v>
      </c>
      <c r="D39" s="77">
        <v>1</v>
      </c>
      <c r="E39" s="78">
        <v>1.31613582522E-4</v>
      </c>
    </row>
    <row r="40" spans="2:5" ht="15" customHeight="1">
      <c r="B40" s="110"/>
      <c r="C40" s="70" t="s">
        <v>148</v>
      </c>
      <c r="D40" s="77">
        <v>1</v>
      </c>
      <c r="E40" s="78">
        <v>1.31613582522E-4</v>
      </c>
    </row>
    <row r="41" spans="2:5" ht="15" customHeight="1">
      <c r="B41" s="110"/>
      <c r="C41" s="70" t="s">
        <v>136</v>
      </c>
      <c r="D41" s="77">
        <v>2</v>
      </c>
      <c r="E41" s="78">
        <v>2.6322716504299998E-4</v>
      </c>
    </row>
    <row r="42" spans="2:5" ht="15" customHeight="1">
      <c r="B42" s="110"/>
      <c r="C42" s="70" t="s">
        <v>87</v>
      </c>
      <c r="D42" s="77">
        <v>1</v>
      </c>
      <c r="E42" s="78">
        <v>1.31613582522E-4</v>
      </c>
    </row>
    <row r="43" spans="2:5" ht="15" customHeight="1">
      <c r="B43" s="110"/>
      <c r="C43" s="70" t="s">
        <v>145</v>
      </c>
      <c r="D43" s="77">
        <v>1</v>
      </c>
      <c r="E43" s="78">
        <v>1.31613582522E-4</v>
      </c>
    </row>
    <row r="44" spans="2:5" ht="15" customHeight="1">
      <c r="B44" s="111"/>
      <c r="C44" s="91" t="s">
        <v>258</v>
      </c>
      <c r="D44" s="90">
        <v>56</v>
      </c>
      <c r="E44" s="92">
        <v>7.3703606212159999E-3</v>
      </c>
    </row>
    <row r="45" spans="2:5" ht="15" customHeight="1">
      <c r="B45" s="109" t="s">
        <v>194</v>
      </c>
      <c r="C45" s="70" t="s">
        <v>135</v>
      </c>
      <c r="D45" s="77">
        <v>1</v>
      </c>
      <c r="E45" s="78">
        <v>1.31613582522E-4</v>
      </c>
    </row>
    <row r="46" spans="2:5" ht="15" customHeight="1">
      <c r="B46" s="110"/>
      <c r="C46" s="70" t="s">
        <v>134</v>
      </c>
      <c r="D46" s="77">
        <v>26</v>
      </c>
      <c r="E46" s="78">
        <v>3.4219531455649999E-3</v>
      </c>
    </row>
    <row r="47" spans="2:5" ht="15" customHeight="1">
      <c r="B47" s="110"/>
      <c r="C47" s="70" t="s">
        <v>140</v>
      </c>
      <c r="D47" s="77">
        <v>1</v>
      </c>
      <c r="E47" s="78">
        <v>1.31613582522E-4</v>
      </c>
    </row>
    <row r="48" spans="2:5" ht="15" customHeight="1">
      <c r="B48" s="110"/>
      <c r="C48" s="70" t="s">
        <v>138</v>
      </c>
      <c r="D48" s="77">
        <v>1</v>
      </c>
      <c r="E48" s="78">
        <v>1.31613582522E-4</v>
      </c>
    </row>
    <row r="49" spans="2:5" ht="15" customHeight="1">
      <c r="B49" s="110"/>
      <c r="C49" s="70" t="s">
        <v>143</v>
      </c>
      <c r="D49" s="77">
        <v>1</v>
      </c>
      <c r="E49" s="78">
        <v>1.31613582522E-4</v>
      </c>
    </row>
    <row r="50" spans="2:5" ht="15" customHeight="1">
      <c r="B50" s="110"/>
      <c r="C50" s="70" t="s">
        <v>149</v>
      </c>
      <c r="D50" s="77">
        <v>1</v>
      </c>
      <c r="E50" s="78">
        <v>1.31613582522E-4</v>
      </c>
    </row>
    <row r="51" spans="2:5" ht="15" customHeight="1">
      <c r="B51" s="110"/>
      <c r="C51" s="70" t="s">
        <v>137</v>
      </c>
      <c r="D51" s="77">
        <v>2</v>
      </c>
      <c r="E51" s="78">
        <v>2.6322716504299998E-4</v>
      </c>
    </row>
    <row r="52" spans="2:5" ht="15" customHeight="1">
      <c r="B52" s="110"/>
      <c r="C52" s="70" t="s">
        <v>136</v>
      </c>
      <c r="D52" s="77">
        <v>1</v>
      </c>
      <c r="E52" s="78">
        <v>1.31613582522E-4</v>
      </c>
    </row>
    <row r="53" spans="2:5" ht="15" customHeight="1">
      <c r="B53" s="110"/>
      <c r="C53" s="70" t="s">
        <v>87</v>
      </c>
      <c r="D53" s="77">
        <v>1</v>
      </c>
      <c r="E53" s="78">
        <v>1.31613582522E-4</v>
      </c>
    </row>
    <row r="54" spans="2:5" ht="15" customHeight="1">
      <c r="B54" s="110"/>
      <c r="C54" s="70" t="s">
        <v>145</v>
      </c>
      <c r="D54" s="77">
        <v>1</v>
      </c>
      <c r="E54" s="78">
        <v>1.31613582522E-4</v>
      </c>
    </row>
    <row r="55" spans="2:5" ht="15" customHeight="1">
      <c r="B55" s="110"/>
      <c r="C55" s="70" t="s">
        <v>167</v>
      </c>
      <c r="D55" s="77">
        <v>1</v>
      </c>
      <c r="E55" s="78">
        <v>1.31613582522E-4</v>
      </c>
    </row>
    <row r="56" spans="2:5" ht="15" customHeight="1">
      <c r="B56" s="111"/>
      <c r="C56" s="91" t="s">
        <v>258</v>
      </c>
      <c r="D56" s="90">
        <v>37</v>
      </c>
      <c r="E56" s="92">
        <v>4.8697025533039999E-3</v>
      </c>
    </row>
    <row r="57" spans="2:5" ht="15" customHeight="1">
      <c r="B57" s="109" t="s">
        <v>195</v>
      </c>
      <c r="C57" s="70" t="s">
        <v>135</v>
      </c>
      <c r="D57" s="77">
        <v>7</v>
      </c>
      <c r="E57" s="78">
        <v>9.2129507765199999E-4</v>
      </c>
    </row>
    <row r="58" spans="2:5" ht="15" customHeight="1">
      <c r="B58" s="110"/>
      <c r="C58" s="70" t="s">
        <v>150</v>
      </c>
      <c r="D58" s="77">
        <v>1</v>
      </c>
      <c r="E58" s="78">
        <v>1.31613582522E-4</v>
      </c>
    </row>
    <row r="59" spans="2:5" ht="15" customHeight="1">
      <c r="B59" s="110"/>
      <c r="C59" s="70" t="s">
        <v>134</v>
      </c>
      <c r="D59" s="77">
        <v>48</v>
      </c>
      <c r="E59" s="78">
        <v>6.3174519610420003E-3</v>
      </c>
    </row>
    <row r="60" spans="2:5" ht="15" customHeight="1">
      <c r="B60" s="110"/>
      <c r="C60" s="70" t="s">
        <v>151</v>
      </c>
      <c r="D60" s="77">
        <v>1</v>
      </c>
      <c r="E60" s="78">
        <v>1.31613582522E-4</v>
      </c>
    </row>
    <row r="61" spans="2:5" ht="15" customHeight="1">
      <c r="B61" s="110"/>
      <c r="C61" s="70" t="s">
        <v>138</v>
      </c>
      <c r="D61" s="77">
        <v>1</v>
      </c>
      <c r="E61" s="78">
        <v>1.31613582522E-4</v>
      </c>
    </row>
    <row r="62" spans="2:5" ht="15" customHeight="1">
      <c r="B62" s="110"/>
      <c r="C62" s="70" t="s">
        <v>152</v>
      </c>
      <c r="D62" s="77">
        <v>1</v>
      </c>
      <c r="E62" s="78">
        <v>1.31613582522E-4</v>
      </c>
    </row>
    <row r="63" spans="2:5" ht="15" customHeight="1">
      <c r="B63" s="110"/>
      <c r="C63" s="70" t="s">
        <v>154</v>
      </c>
      <c r="D63" s="77">
        <v>1</v>
      </c>
      <c r="E63" s="78">
        <v>1.31613582522E-4</v>
      </c>
    </row>
    <row r="64" spans="2:5" ht="15" customHeight="1">
      <c r="B64" s="110"/>
      <c r="C64" s="70" t="s">
        <v>155</v>
      </c>
      <c r="D64" s="77">
        <v>1</v>
      </c>
      <c r="E64" s="78">
        <v>1.31613582522E-4</v>
      </c>
    </row>
    <row r="65" spans="2:5" ht="15" customHeight="1">
      <c r="B65" s="110"/>
      <c r="C65" s="70" t="s">
        <v>137</v>
      </c>
      <c r="D65" s="77">
        <v>2</v>
      </c>
      <c r="E65" s="78">
        <v>2.6322716504299998E-4</v>
      </c>
    </row>
    <row r="66" spans="2:5" ht="15" customHeight="1">
      <c r="B66" s="110"/>
      <c r="C66" s="70" t="s">
        <v>141</v>
      </c>
      <c r="D66" s="77">
        <v>1</v>
      </c>
      <c r="E66" s="78">
        <v>1.31613582522E-4</v>
      </c>
    </row>
    <row r="67" spans="2:5" ht="15" customHeight="1">
      <c r="B67" s="110"/>
      <c r="C67" s="70" t="s">
        <v>136</v>
      </c>
      <c r="D67" s="77">
        <v>4</v>
      </c>
      <c r="E67" s="78">
        <v>5.2645433008700004E-4</v>
      </c>
    </row>
    <row r="68" spans="2:5" ht="15" customHeight="1">
      <c r="B68" s="110"/>
      <c r="C68" s="70" t="s">
        <v>139</v>
      </c>
      <c r="D68" s="77">
        <v>3</v>
      </c>
      <c r="E68" s="78">
        <v>3.9484074756500001E-4</v>
      </c>
    </row>
    <row r="69" spans="2:5" ht="15" customHeight="1">
      <c r="B69" s="110"/>
      <c r="C69" s="70" t="s">
        <v>145</v>
      </c>
      <c r="D69" s="77">
        <v>1</v>
      </c>
      <c r="E69" s="78">
        <v>1.31613582522E-4</v>
      </c>
    </row>
    <row r="70" spans="2:5" ht="15" customHeight="1">
      <c r="B70" s="111"/>
      <c r="C70" s="91" t="s">
        <v>258</v>
      </c>
      <c r="D70" s="90">
        <v>72</v>
      </c>
      <c r="E70" s="92">
        <v>9.4761779415639992E-3</v>
      </c>
    </row>
    <row r="71" spans="2:5" ht="15" customHeight="1">
      <c r="B71" s="109" t="s">
        <v>196</v>
      </c>
      <c r="C71" s="70" t="s">
        <v>135</v>
      </c>
      <c r="D71" s="77">
        <v>12</v>
      </c>
      <c r="E71" s="78">
        <v>1.5793629902610001E-3</v>
      </c>
    </row>
    <row r="72" spans="2:5" ht="15" customHeight="1">
      <c r="B72" s="110"/>
      <c r="C72" s="70" t="s">
        <v>134</v>
      </c>
      <c r="D72" s="77">
        <v>230</v>
      </c>
      <c r="E72" s="78">
        <v>3.0271123979994999E-2</v>
      </c>
    </row>
    <row r="73" spans="2:5" ht="15" customHeight="1">
      <c r="B73" s="110"/>
      <c r="C73" s="70" t="s">
        <v>146</v>
      </c>
      <c r="D73" s="77">
        <v>2</v>
      </c>
      <c r="E73" s="78">
        <v>2.6322716504299998E-4</v>
      </c>
    </row>
    <row r="74" spans="2:5" ht="15" customHeight="1">
      <c r="B74" s="110"/>
      <c r="C74" s="70" t="s">
        <v>173</v>
      </c>
      <c r="D74" s="77">
        <v>1</v>
      </c>
      <c r="E74" s="78">
        <v>1.31613582522E-4</v>
      </c>
    </row>
    <row r="75" spans="2:5" ht="15" customHeight="1">
      <c r="B75" s="110"/>
      <c r="C75" s="70" t="s">
        <v>140</v>
      </c>
      <c r="D75" s="77">
        <v>5</v>
      </c>
      <c r="E75" s="78">
        <v>6.5806791260900001E-4</v>
      </c>
    </row>
    <row r="76" spans="2:5" ht="15" customHeight="1">
      <c r="B76" s="110"/>
      <c r="C76" s="70" t="s">
        <v>151</v>
      </c>
      <c r="D76" s="77">
        <v>3</v>
      </c>
      <c r="E76" s="78">
        <v>3.9484074756500001E-4</v>
      </c>
    </row>
    <row r="77" spans="2:5" ht="15" customHeight="1">
      <c r="B77" s="110"/>
      <c r="C77" s="70" t="s">
        <v>138</v>
      </c>
      <c r="D77" s="77">
        <v>5</v>
      </c>
      <c r="E77" s="78">
        <v>6.5806791260900001E-4</v>
      </c>
    </row>
    <row r="78" spans="2:5" ht="15" customHeight="1">
      <c r="B78" s="110"/>
      <c r="C78" s="70" t="s">
        <v>143</v>
      </c>
      <c r="D78" s="77">
        <v>1</v>
      </c>
      <c r="E78" s="78">
        <v>1.31613582522E-4</v>
      </c>
    </row>
    <row r="79" spans="2:5" ht="15" customHeight="1">
      <c r="B79" s="110"/>
      <c r="C79" s="70" t="s">
        <v>157</v>
      </c>
      <c r="D79" s="77">
        <v>1</v>
      </c>
      <c r="E79" s="78">
        <v>1.31613582522E-4</v>
      </c>
    </row>
    <row r="80" spans="2:5" ht="15" customHeight="1">
      <c r="B80" s="110"/>
      <c r="C80" s="70" t="s">
        <v>152</v>
      </c>
      <c r="D80" s="77">
        <v>4</v>
      </c>
      <c r="E80" s="78">
        <v>5.2645433008700004E-4</v>
      </c>
    </row>
    <row r="81" spans="2:5" ht="15" customHeight="1">
      <c r="B81" s="110"/>
      <c r="C81" s="70" t="s">
        <v>159</v>
      </c>
      <c r="D81" s="77">
        <v>1</v>
      </c>
      <c r="E81" s="78">
        <v>1.31613582522E-4</v>
      </c>
    </row>
    <row r="82" spans="2:5" ht="15" customHeight="1">
      <c r="B82" s="110"/>
      <c r="C82" s="70" t="s">
        <v>149</v>
      </c>
      <c r="D82" s="77">
        <v>1</v>
      </c>
      <c r="E82" s="78">
        <v>1.31613582522E-4</v>
      </c>
    </row>
    <row r="83" spans="2:5" ht="15" customHeight="1">
      <c r="B83" s="110"/>
      <c r="C83" s="70" t="s">
        <v>154</v>
      </c>
      <c r="D83" s="77">
        <v>1</v>
      </c>
      <c r="E83" s="78">
        <v>1.31613582522E-4</v>
      </c>
    </row>
    <row r="84" spans="2:5" ht="15" customHeight="1">
      <c r="B84" s="110"/>
      <c r="C84" s="70" t="s">
        <v>155</v>
      </c>
      <c r="D84" s="77">
        <v>1</v>
      </c>
      <c r="E84" s="78">
        <v>1.31613582522E-4</v>
      </c>
    </row>
    <row r="85" spans="2:5" ht="15" customHeight="1">
      <c r="B85" s="110"/>
      <c r="C85" s="70" t="s">
        <v>137</v>
      </c>
      <c r="D85" s="77">
        <v>8</v>
      </c>
      <c r="E85" s="78">
        <v>1.0529086601740001E-3</v>
      </c>
    </row>
    <row r="86" spans="2:5" ht="15" customHeight="1">
      <c r="B86" s="110"/>
      <c r="C86" s="70" t="s">
        <v>161</v>
      </c>
      <c r="D86" s="77">
        <v>1</v>
      </c>
      <c r="E86" s="78">
        <v>1.31613582522E-4</v>
      </c>
    </row>
    <row r="87" spans="2:5" ht="15" customHeight="1">
      <c r="B87" s="110"/>
      <c r="C87" s="70" t="s">
        <v>162</v>
      </c>
      <c r="D87" s="77">
        <v>1</v>
      </c>
      <c r="E87" s="78">
        <v>1.31613582522E-4</v>
      </c>
    </row>
    <row r="88" spans="2:5" ht="15" customHeight="1">
      <c r="B88" s="110"/>
      <c r="C88" s="70" t="s">
        <v>153</v>
      </c>
      <c r="D88" s="77">
        <v>2</v>
      </c>
      <c r="E88" s="78">
        <v>2.6322716504299998E-4</v>
      </c>
    </row>
    <row r="89" spans="2:5" ht="15" customHeight="1">
      <c r="B89" s="110"/>
      <c r="C89" s="70" t="s">
        <v>144</v>
      </c>
      <c r="D89" s="77">
        <v>2</v>
      </c>
      <c r="E89" s="78">
        <v>2.6322716504299998E-4</v>
      </c>
    </row>
    <row r="90" spans="2:5" ht="15" customHeight="1">
      <c r="B90" s="110"/>
      <c r="C90" s="70" t="s">
        <v>158</v>
      </c>
      <c r="D90" s="77">
        <v>1</v>
      </c>
      <c r="E90" s="78">
        <v>1.31613582522E-4</v>
      </c>
    </row>
    <row r="91" spans="2:5" ht="15" customHeight="1">
      <c r="B91" s="110"/>
      <c r="C91" s="70" t="s">
        <v>148</v>
      </c>
      <c r="D91" s="77">
        <v>2</v>
      </c>
      <c r="E91" s="78">
        <v>2.6322716504299998E-4</v>
      </c>
    </row>
    <row r="92" spans="2:5" ht="15" customHeight="1">
      <c r="B92" s="110"/>
      <c r="C92" s="70" t="s">
        <v>164</v>
      </c>
      <c r="D92" s="77">
        <v>1</v>
      </c>
      <c r="E92" s="78">
        <v>1.31613582522E-4</v>
      </c>
    </row>
    <row r="93" spans="2:5" ht="15" customHeight="1">
      <c r="B93" s="110"/>
      <c r="C93" s="70" t="s">
        <v>142</v>
      </c>
      <c r="D93" s="77">
        <v>1</v>
      </c>
      <c r="E93" s="78">
        <v>1.31613582522E-4</v>
      </c>
    </row>
    <row r="94" spans="2:5" ht="15" customHeight="1">
      <c r="B94" s="110"/>
      <c r="C94" s="70" t="s">
        <v>136</v>
      </c>
      <c r="D94" s="77">
        <v>7</v>
      </c>
      <c r="E94" s="78">
        <v>9.2129507765199999E-4</v>
      </c>
    </row>
    <row r="95" spans="2:5" ht="15" customHeight="1">
      <c r="B95" s="110"/>
      <c r="C95" s="70" t="s">
        <v>139</v>
      </c>
      <c r="D95" s="77">
        <v>2</v>
      </c>
      <c r="E95" s="78">
        <v>2.6322716504299998E-4</v>
      </c>
    </row>
    <row r="96" spans="2:5" ht="15" customHeight="1">
      <c r="B96" s="110"/>
      <c r="C96" s="70" t="s">
        <v>87</v>
      </c>
      <c r="D96" s="77">
        <v>3</v>
      </c>
      <c r="E96" s="78">
        <v>3.9484074756500001E-4</v>
      </c>
    </row>
    <row r="97" spans="2:5" ht="15" customHeight="1">
      <c r="B97" s="110"/>
      <c r="C97" s="70" t="s">
        <v>145</v>
      </c>
      <c r="D97" s="77">
        <v>2</v>
      </c>
      <c r="E97" s="78">
        <v>2.6322716504299998E-4</v>
      </c>
    </row>
    <row r="98" spans="2:5" ht="15" customHeight="1">
      <c r="B98" s="110"/>
      <c r="C98" s="70" t="s">
        <v>167</v>
      </c>
      <c r="D98" s="77">
        <v>1</v>
      </c>
      <c r="E98" s="78">
        <v>1.31613582522E-4</v>
      </c>
    </row>
    <row r="99" spans="2:5" ht="15" customHeight="1">
      <c r="B99" s="111"/>
      <c r="C99" s="91" t="s">
        <v>258</v>
      </c>
      <c r="D99" s="90">
        <v>302</v>
      </c>
      <c r="E99" s="92">
        <v>3.9747301921558002E-2</v>
      </c>
    </row>
    <row r="100" spans="2:5" ht="15" customHeight="1">
      <c r="B100" s="109" t="s">
        <v>103</v>
      </c>
      <c r="C100" s="70" t="s">
        <v>163</v>
      </c>
      <c r="D100" s="77">
        <v>1</v>
      </c>
      <c r="E100" s="78">
        <v>1.31613582522E-4</v>
      </c>
    </row>
    <row r="101" spans="2:5" ht="15" customHeight="1">
      <c r="B101" s="110"/>
      <c r="C101" s="70" t="s">
        <v>135</v>
      </c>
      <c r="D101" s="77">
        <v>26</v>
      </c>
      <c r="E101" s="78">
        <v>3.4219531455649999E-3</v>
      </c>
    </row>
    <row r="102" spans="2:5" ht="15" customHeight="1">
      <c r="B102" s="110"/>
      <c r="C102" s="70" t="s">
        <v>150</v>
      </c>
      <c r="D102" s="77">
        <v>4</v>
      </c>
      <c r="E102" s="78">
        <v>5.2645433008700004E-4</v>
      </c>
    </row>
    <row r="103" spans="2:5" ht="15" customHeight="1">
      <c r="B103" s="110"/>
      <c r="C103" s="70" t="s">
        <v>134</v>
      </c>
      <c r="D103" s="77">
        <v>384</v>
      </c>
      <c r="E103" s="78">
        <v>5.0539615688339E-2</v>
      </c>
    </row>
    <row r="104" spans="2:5" ht="15" customHeight="1">
      <c r="B104" s="110"/>
      <c r="C104" s="70" t="s">
        <v>146</v>
      </c>
      <c r="D104" s="77">
        <v>2</v>
      </c>
      <c r="E104" s="78">
        <v>2.6322716504299998E-4</v>
      </c>
    </row>
    <row r="105" spans="2:5" ht="15" customHeight="1">
      <c r="B105" s="110"/>
      <c r="C105" s="70" t="s">
        <v>140</v>
      </c>
      <c r="D105" s="77">
        <v>3</v>
      </c>
      <c r="E105" s="78">
        <v>3.9484074756500001E-4</v>
      </c>
    </row>
    <row r="106" spans="2:5" ht="15" customHeight="1">
      <c r="B106" s="110"/>
      <c r="C106" s="70" t="s">
        <v>151</v>
      </c>
      <c r="D106" s="77">
        <v>1</v>
      </c>
      <c r="E106" s="78">
        <v>1.31613582522E-4</v>
      </c>
    </row>
    <row r="107" spans="2:5" ht="15" customHeight="1">
      <c r="B107" s="110"/>
      <c r="C107" s="70" t="s">
        <v>147</v>
      </c>
      <c r="D107" s="77">
        <v>4</v>
      </c>
      <c r="E107" s="78">
        <v>5.2645433008700004E-4</v>
      </c>
    </row>
    <row r="108" spans="2:5" ht="15" customHeight="1">
      <c r="B108" s="110"/>
      <c r="C108" s="70" t="s">
        <v>138</v>
      </c>
      <c r="D108" s="77">
        <v>18</v>
      </c>
      <c r="E108" s="78">
        <v>2.3690444853909998E-3</v>
      </c>
    </row>
    <row r="109" spans="2:5" ht="15" customHeight="1">
      <c r="B109" s="110"/>
      <c r="C109" s="70" t="s">
        <v>143</v>
      </c>
      <c r="D109" s="77">
        <v>7</v>
      </c>
      <c r="E109" s="78">
        <v>9.2129507765199999E-4</v>
      </c>
    </row>
    <row r="110" spans="2:5" ht="15" customHeight="1">
      <c r="B110" s="110"/>
      <c r="C110" s="70" t="s">
        <v>157</v>
      </c>
      <c r="D110" s="77">
        <v>1</v>
      </c>
      <c r="E110" s="78">
        <v>1.31613582522E-4</v>
      </c>
    </row>
    <row r="111" spans="2:5" ht="15" customHeight="1">
      <c r="B111" s="110"/>
      <c r="C111" s="70" t="s">
        <v>152</v>
      </c>
      <c r="D111" s="77">
        <v>3</v>
      </c>
      <c r="E111" s="78">
        <v>3.9484074756500001E-4</v>
      </c>
    </row>
    <row r="112" spans="2:5" ht="15" customHeight="1">
      <c r="B112" s="110"/>
      <c r="C112" s="70" t="s">
        <v>159</v>
      </c>
      <c r="D112" s="77">
        <v>1</v>
      </c>
      <c r="E112" s="78">
        <v>1.31613582522E-4</v>
      </c>
    </row>
    <row r="113" spans="2:5" ht="15" customHeight="1">
      <c r="B113" s="110"/>
      <c r="C113" s="70" t="s">
        <v>156</v>
      </c>
      <c r="D113" s="77">
        <v>2</v>
      </c>
      <c r="E113" s="78">
        <v>2.6322716504299998E-4</v>
      </c>
    </row>
    <row r="114" spans="2:5" ht="15" customHeight="1">
      <c r="B114" s="110"/>
      <c r="C114" s="70" t="s">
        <v>149</v>
      </c>
      <c r="D114" s="77">
        <v>1</v>
      </c>
      <c r="E114" s="78">
        <v>1.31613582522E-4</v>
      </c>
    </row>
    <row r="115" spans="2:5" ht="15" customHeight="1">
      <c r="B115" s="110"/>
      <c r="C115" s="70" t="s">
        <v>166</v>
      </c>
      <c r="D115" s="77">
        <v>2</v>
      </c>
      <c r="E115" s="78">
        <v>2.6322716504299998E-4</v>
      </c>
    </row>
    <row r="116" spans="2:5" ht="15" customHeight="1">
      <c r="B116" s="110"/>
      <c r="C116" s="70" t="s">
        <v>154</v>
      </c>
      <c r="D116" s="77">
        <v>3</v>
      </c>
      <c r="E116" s="78">
        <v>3.9484074756500001E-4</v>
      </c>
    </row>
    <row r="117" spans="2:5" ht="15" customHeight="1">
      <c r="B117" s="110"/>
      <c r="C117" s="70" t="s">
        <v>155</v>
      </c>
      <c r="D117" s="77">
        <v>3</v>
      </c>
      <c r="E117" s="78">
        <v>3.9484074756500001E-4</v>
      </c>
    </row>
    <row r="118" spans="2:5" ht="15" customHeight="1">
      <c r="B118" s="110"/>
      <c r="C118" s="70" t="s">
        <v>137</v>
      </c>
      <c r="D118" s="77">
        <v>22</v>
      </c>
      <c r="E118" s="78">
        <v>2.8954988154780001E-3</v>
      </c>
    </row>
    <row r="119" spans="2:5" ht="15" customHeight="1">
      <c r="B119" s="110"/>
      <c r="C119" s="70" t="s">
        <v>162</v>
      </c>
      <c r="D119" s="77">
        <v>2</v>
      </c>
      <c r="E119" s="78">
        <v>2.6322716504299998E-4</v>
      </c>
    </row>
    <row r="120" spans="2:5" ht="15" customHeight="1">
      <c r="B120" s="110"/>
      <c r="C120" s="70" t="s">
        <v>153</v>
      </c>
      <c r="D120" s="77">
        <v>2</v>
      </c>
      <c r="E120" s="78">
        <v>2.6322716504299998E-4</v>
      </c>
    </row>
    <row r="121" spans="2:5" ht="15" customHeight="1">
      <c r="B121" s="110"/>
      <c r="C121" s="70" t="s">
        <v>144</v>
      </c>
      <c r="D121" s="77">
        <v>4</v>
      </c>
      <c r="E121" s="78">
        <v>5.2645433008700004E-4</v>
      </c>
    </row>
    <row r="122" spans="2:5" ht="15" customHeight="1">
      <c r="B122" s="110"/>
      <c r="C122" s="70" t="s">
        <v>158</v>
      </c>
      <c r="D122" s="77">
        <v>1</v>
      </c>
      <c r="E122" s="78">
        <v>1.31613582522E-4</v>
      </c>
    </row>
    <row r="123" spans="2:5" ht="15" customHeight="1">
      <c r="B123" s="110"/>
      <c r="C123" s="70" t="s">
        <v>141</v>
      </c>
      <c r="D123" s="77">
        <v>4</v>
      </c>
      <c r="E123" s="78">
        <v>5.2645433008700004E-4</v>
      </c>
    </row>
    <row r="124" spans="2:5" ht="15" customHeight="1">
      <c r="B124" s="110"/>
      <c r="C124" s="70" t="s">
        <v>148</v>
      </c>
      <c r="D124" s="77">
        <v>2</v>
      </c>
      <c r="E124" s="78">
        <v>2.6322716504299998E-4</v>
      </c>
    </row>
    <row r="125" spans="2:5" ht="15" customHeight="1">
      <c r="B125" s="110"/>
      <c r="C125" s="70" t="s">
        <v>142</v>
      </c>
      <c r="D125" s="77">
        <v>6</v>
      </c>
      <c r="E125" s="78">
        <v>7.8968149513000002E-4</v>
      </c>
    </row>
    <row r="126" spans="2:5" ht="15" customHeight="1">
      <c r="B126" s="110"/>
      <c r="C126" s="70" t="s">
        <v>136</v>
      </c>
      <c r="D126" s="77">
        <v>24</v>
      </c>
      <c r="E126" s="78">
        <v>3.1587259805210001E-3</v>
      </c>
    </row>
    <row r="127" spans="2:5" ht="15" customHeight="1">
      <c r="B127" s="110"/>
      <c r="C127" s="70" t="s">
        <v>139</v>
      </c>
      <c r="D127" s="77">
        <v>5</v>
      </c>
      <c r="E127" s="78">
        <v>6.5806791260900001E-4</v>
      </c>
    </row>
    <row r="128" spans="2:5" ht="15" customHeight="1">
      <c r="B128" s="110"/>
      <c r="C128" s="70" t="s">
        <v>165</v>
      </c>
      <c r="D128" s="77">
        <v>2</v>
      </c>
      <c r="E128" s="78">
        <v>2.6322716504299998E-4</v>
      </c>
    </row>
    <row r="129" spans="2:5" ht="15" customHeight="1">
      <c r="B129" s="110"/>
      <c r="C129" s="70" t="s">
        <v>87</v>
      </c>
      <c r="D129" s="77">
        <v>2</v>
      </c>
      <c r="E129" s="78">
        <v>2.6322716504299998E-4</v>
      </c>
    </row>
    <row r="130" spans="2:5" ht="15" customHeight="1">
      <c r="B130" s="110"/>
      <c r="C130" s="70" t="s">
        <v>145</v>
      </c>
      <c r="D130" s="77">
        <v>9</v>
      </c>
      <c r="E130" s="78">
        <v>1.1845222426950001E-3</v>
      </c>
    </row>
    <row r="131" spans="2:5" ht="15" customHeight="1">
      <c r="B131" s="110"/>
      <c r="C131" s="70" t="s">
        <v>167</v>
      </c>
      <c r="D131" s="77">
        <v>1</v>
      </c>
      <c r="E131" s="78">
        <v>1.31613582522E-4</v>
      </c>
    </row>
    <row r="132" spans="2:5" ht="15" customHeight="1">
      <c r="B132" s="111"/>
      <c r="C132" s="91" t="s">
        <v>258</v>
      </c>
      <c r="D132" s="90">
        <v>552</v>
      </c>
      <c r="E132" s="92">
        <v>7.2650697551986998E-2</v>
      </c>
    </row>
    <row r="133" spans="2:5" ht="15" customHeight="1">
      <c r="B133" s="109" t="s">
        <v>197</v>
      </c>
      <c r="C133" s="70" t="s">
        <v>135</v>
      </c>
      <c r="D133" s="77">
        <v>4</v>
      </c>
      <c r="E133" s="78">
        <v>5.2645433008700004E-4</v>
      </c>
    </row>
    <row r="134" spans="2:5" ht="15" customHeight="1">
      <c r="B134" s="110"/>
      <c r="C134" s="70" t="s">
        <v>134</v>
      </c>
      <c r="D134" s="77">
        <v>53</v>
      </c>
      <c r="E134" s="78">
        <v>6.975519873651E-3</v>
      </c>
    </row>
    <row r="135" spans="2:5" ht="15" customHeight="1">
      <c r="B135" s="110"/>
      <c r="C135" s="70" t="s">
        <v>140</v>
      </c>
      <c r="D135" s="77">
        <v>2</v>
      </c>
      <c r="E135" s="78">
        <v>2.6322716504299998E-4</v>
      </c>
    </row>
    <row r="136" spans="2:5" ht="15" customHeight="1">
      <c r="B136" s="110"/>
      <c r="C136" s="70" t="s">
        <v>147</v>
      </c>
      <c r="D136" s="77">
        <v>1</v>
      </c>
      <c r="E136" s="78">
        <v>1.31613582522E-4</v>
      </c>
    </row>
    <row r="137" spans="2:5" ht="15" customHeight="1">
      <c r="B137" s="110"/>
      <c r="C137" s="70" t="s">
        <v>138</v>
      </c>
      <c r="D137" s="77">
        <v>1</v>
      </c>
      <c r="E137" s="78">
        <v>1.31613582522E-4</v>
      </c>
    </row>
    <row r="138" spans="2:5" ht="15" customHeight="1">
      <c r="B138" s="110"/>
      <c r="C138" s="70" t="s">
        <v>157</v>
      </c>
      <c r="D138" s="77">
        <v>1</v>
      </c>
      <c r="E138" s="78">
        <v>1.31613582522E-4</v>
      </c>
    </row>
    <row r="139" spans="2:5" ht="15" customHeight="1">
      <c r="B139" s="110"/>
      <c r="C139" s="70" t="s">
        <v>152</v>
      </c>
      <c r="D139" s="77">
        <v>1</v>
      </c>
      <c r="E139" s="78">
        <v>1.31613582522E-4</v>
      </c>
    </row>
    <row r="140" spans="2:5" ht="15" customHeight="1">
      <c r="B140" s="110"/>
      <c r="C140" s="70" t="s">
        <v>170</v>
      </c>
      <c r="D140" s="77">
        <v>1</v>
      </c>
      <c r="E140" s="78">
        <v>1.31613582522E-4</v>
      </c>
    </row>
    <row r="141" spans="2:5" ht="15" customHeight="1">
      <c r="B141" s="110"/>
      <c r="C141" s="70" t="s">
        <v>156</v>
      </c>
      <c r="D141" s="77">
        <v>1</v>
      </c>
      <c r="E141" s="78">
        <v>1.31613582522E-4</v>
      </c>
    </row>
    <row r="142" spans="2:5" ht="15" customHeight="1">
      <c r="B142" s="110"/>
      <c r="C142" s="70" t="s">
        <v>149</v>
      </c>
      <c r="D142" s="77">
        <v>1</v>
      </c>
      <c r="E142" s="78">
        <v>1.31613582522E-4</v>
      </c>
    </row>
    <row r="143" spans="2:5" ht="15" customHeight="1">
      <c r="B143" s="110"/>
      <c r="C143" s="70" t="s">
        <v>155</v>
      </c>
      <c r="D143" s="77">
        <v>1</v>
      </c>
      <c r="E143" s="78">
        <v>1.31613582522E-4</v>
      </c>
    </row>
    <row r="144" spans="2:5" ht="15" customHeight="1">
      <c r="B144" s="110"/>
      <c r="C144" s="70" t="s">
        <v>137</v>
      </c>
      <c r="D144" s="77">
        <v>2</v>
      </c>
      <c r="E144" s="78">
        <v>2.6322716504299998E-4</v>
      </c>
    </row>
    <row r="145" spans="2:5" ht="15" customHeight="1">
      <c r="B145" s="110"/>
      <c r="C145" s="70" t="s">
        <v>162</v>
      </c>
      <c r="D145" s="77">
        <v>1</v>
      </c>
      <c r="E145" s="78">
        <v>1.31613582522E-4</v>
      </c>
    </row>
    <row r="146" spans="2:5" ht="15" customHeight="1">
      <c r="B146" s="110"/>
      <c r="C146" s="70" t="s">
        <v>144</v>
      </c>
      <c r="D146" s="77">
        <v>1</v>
      </c>
      <c r="E146" s="78">
        <v>1.31613582522E-4</v>
      </c>
    </row>
    <row r="147" spans="2:5" ht="15" customHeight="1">
      <c r="B147" s="110"/>
      <c r="C147" s="70" t="s">
        <v>141</v>
      </c>
      <c r="D147" s="77">
        <v>3</v>
      </c>
      <c r="E147" s="78">
        <v>3.9484074756500001E-4</v>
      </c>
    </row>
    <row r="148" spans="2:5" ht="15" customHeight="1">
      <c r="B148" s="110"/>
      <c r="C148" s="70" t="s">
        <v>148</v>
      </c>
      <c r="D148" s="77">
        <v>1</v>
      </c>
      <c r="E148" s="78">
        <v>1.31613582522E-4</v>
      </c>
    </row>
    <row r="149" spans="2:5" ht="15" customHeight="1">
      <c r="B149" s="110"/>
      <c r="C149" s="70" t="s">
        <v>142</v>
      </c>
      <c r="D149" s="77">
        <v>1</v>
      </c>
      <c r="E149" s="78">
        <v>1.31613582522E-4</v>
      </c>
    </row>
    <row r="150" spans="2:5" ht="15" customHeight="1">
      <c r="B150" s="110"/>
      <c r="C150" s="70" t="s">
        <v>136</v>
      </c>
      <c r="D150" s="77">
        <v>2</v>
      </c>
      <c r="E150" s="78">
        <v>2.6322716504299998E-4</v>
      </c>
    </row>
    <row r="151" spans="2:5" ht="15" customHeight="1">
      <c r="B151" s="110"/>
      <c r="C151" s="70" t="s">
        <v>139</v>
      </c>
      <c r="D151" s="77">
        <v>2</v>
      </c>
      <c r="E151" s="78">
        <v>2.6322716504299998E-4</v>
      </c>
    </row>
    <row r="152" spans="2:5" ht="15" customHeight="1">
      <c r="B152" s="110"/>
      <c r="C152" s="70" t="s">
        <v>87</v>
      </c>
      <c r="D152" s="77">
        <v>2</v>
      </c>
      <c r="E152" s="78">
        <v>2.6322716504299998E-4</v>
      </c>
    </row>
    <row r="153" spans="2:5" ht="15" customHeight="1">
      <c r="B153" s="110"/>
      <c r="C153" s="70" t="s">
        <v>145</v>
      </c>
      <c r="D153" s="77">
        <v>1</v>
      </c>
      <c r="E153" s="78">
        <v>1.31613582522E-4</v>
      </c>
    </row>
    <row r="154" spans="2:5" ht="15" customHeight="1">
      <c r="B154" s="111"/>
      <c r="C154" s="91" t="s">
        <v>258</v>
      </c>
      <c r="D154" s="90">
        <v>83</v>
      </c>
      <c r="E154" s="92">
        <v>1.0923927349302E-2</v>
      </c>
    </row>
    <row r="155" spans="2:5" ht="15" customHeight="1">
      <c r="B155" s="109" t="s">
        <v>198</v>
      </c>
      <c r="C155" s="70" t="s">
        <v>135</v>
      </c>
      <c r="D155" s="77">
        <v>7</v>
      </c>
      <c r="E155" s="78">
        <v>9.2129507765199999E-4</v>
      </c>
    </row>
    <row r="156" spans="2:5" ht="15" customHeight="1">
      <c r="B156" s="110"/>
      <c r="C156" s="70" t="s">
        <v>134</v>
      </c>
      <c r="D156" s="77">
        <v>117</v>
      </c>
      <c r="E156" s="78">
        <v>1.5398789155041E-2</v>
      </c>
    </row>
    <row r="157" spans="2:5" ht="15" customHeight="1">
      <c r="B157" s="110"/>
      <c r="C157" s="70" t="s">
        <v>146</v>
      </c>
      <c r="D157" s="77">
        <v>2</v>
      </c>
      <c r="E157" s="78">
        <v>2.6322716504299998E-4</v>
      </c>
    </row>
    <row r="158" spans="2:5" ht="15" customHeight="1">
      <c r="B158" s="110"/>
      <c r="C158" s="70" t="s">
        <v>140</v>
      </c>
      <c r="D158" s="77">
        <v>2</v>
      </c>
      <c r="E158" s="78">
        <v>2.6322716504299998E-4</v>
      </c>
    </row>
    <row r="159" spans="2:5" ht="15" customHeight="1">
      <c r="B159" s="110"/>
      <c r="C159" s="70" t="s">
        <v>151</v>
      </c>
      <c r="D159" s="77">
        <v>1</v>
      </c>
      <c r="E159" s="78">
        <v>1.31613582522E-4</v>
      </c>
    </row>
    <row r="160" spans="2:5" ht="15" customHeight="1">
      <c r="B160" s="110"/>
      <c r="C160" s="70" t="s">
        <v>143</v>
      </c>
      <c r="D160" s="77">
        <v>1</v>
      </c>
      <c r="E160" s="78">
        <v>1.31613582522E-4</v>
      </c>
    </row>
    <row r="161" spans="2:5" ht="15" customHeight="1">
      <c r="B161" s="110"/>
      <c r="C161" s="70" t="s">
        <v>157</v>
      </c>
      <c r="D161" s="77">
        <v>1</v>
      </c>
      <c r="E161" s="78">
        <v>1.31613582522E-4</v>
      </c>
    </row>
    <row r="162" spans="2:5" ht="15" customHeight="1">
      <c r="B162" s="110"/>
      <c r="C162" s="70" t="s">
        <v>152</v>
      </c>
      <c r="D162" s="77">
        <v>2</v>
      </c>
      <c r="E162" s="78">
        <v>2.6322716504299998E-4</v>
      </c>
    </row>
    <row r="163" spans="2:5" ht="15" customHeight="1">
      <c r="B163" s="110"/>
      <c r="C163" s="70" t="s">
        <v>159</v>
      </c>
      <c r="D163" s="77">
        <v>1</v>
      </c>
      <c r="E163" s="78">
        <v>1.31613582522E-4</v>
      </c>
    </row>
    <row r="164" spans="2:5" ht="15" customHeight="1">
      <c r="B164" s="110"/>
      <c r="C164" s="70" t="s">
        <v>168</v>
      </c>
      <c r="D164" s="77">
        <v>1</v>
      </c>
      <c r="E164" s="78">
        <v>1.31613582522E-4</v>
      </c>
    </row>
    <row r="165" spans="2:5" ht="15" customHeight="1">
      <c r="B165" s="110"/>
      <c r="C165" s="70" t="s">
        <v>156</v>
      </c>
      <c r="D165" s="77">
        <v>1</v>
      </c>
      <c r="E165" s="78">
        <v>1.31613582522E-4</v>
      </c>
    </row>
    <row r="166" spans="2:5" ht="15" customHeight="1">
      <c r="B166" s="110"/>
      <c r="C166" s="70" t="s">
        <v>149</v>
      </c>
      <c r="D166" s="77">
        <v>1</v>
      </c>
      <c r="E166" s="78">
        <v>1.31613582522E-4</v>
      </c>
    </row>
    <row r="167" spans="2:5" ht="15" customHeight="1">
      <c r="B167" s="110"/>
      <c r="C167" s="70" t="s">
        <v>166</v>
      </c>
      <c r="D167" s="77">
        <v>2</v>
      </c>
      <c r="E167" s="78">
        <v>2.6322716504299998E-4</v>
      </c>
    </row>
    <row r="168" spans="2:5" ht="15" customHeight="1">
      <c r="B168" s="110"/>
      <c r="C168" s="70" t="s">
        <v>154</v>
      </c>
      <c r="D168" s="77">
        <v>2</v>
      </c>
      <c r="E168" s="78">
        <v>2.6322716504299998E-4</v>
      </c>
    </row>
    <row r="169" spans="2:5" ht="15" customHeight="1">
      <c r="B169" s="110"/>
      <c r="C169" s="70" t="s">
        <v>137</v>
      </c>
      <c r="D169" s="77">
        <v>10</v>
      </c>
      <c r="E169" s="78">
        <v>1.3161358252169999E-3</v>
      </c>
    </row>
    <row r="170" spans="2:5" ht="15" customHeight="1">
      <c r="B170" s="110"/>
      <c r="C170" s="70" t="s">
        <v>161</v>
      </c>
      <c r="D170" s="77">
        <v>1</v>
      </c>
      <c r="E170" s="78">
        <v>1.31613582522E-4</v>
      </c>
    </row>
    <row r="171" spans="2:5" ht="15" customHeight="1">
      <c r="B171" s="110"/>
      <c r="C171" s="70" t="s">
        <v>162</v>
      </c>
      <c r="D171" s="77">
        <v>1</v>
      </c>
      <c r="E171" s="78">
        <v>1.31613582522E-4</v>
      </c>
    </row>
    <row r="172" spans="2:5" ht="15" customHeight="1">
      <c r="B172" s="110"/>
      <c r="C172" s="70" t="s">
        <v>144</v>
      </c>
      <c r="D172" s="77">
        <v>1</v>
      </c>
      <c r="E172" s="78">
        <v>1.31613582522E-4</v>
      </c>
    </row>
    <row r="173" spans="2:5" ht="15" customHeight="1">
      <c r="B173" s="110"/>
      <c r="C173" s="70" t="s">
        <v>142</v>
      </c>
      <c r="D173" s="77">
        <v>2</v>
      </c>
      <c r="E173" s="78">
        <v>2.6322716504299998E-4</v>
      </c>
    </row>
    <row r="174" spans="2:5" ht="15" customHeight="1">
      <c r="B174" s="110"/>
      <c r="C174" s="70" t="s">
        <v>136</v>
      </c>
      <c r="D174" s="77">
        <v>5</v>
      </c>
      <c r="E174" s="78">
        <v>6.5806791260900001E-4</v>
      </c>
    </row>
    <row r="175" spans="2:5" ht="15" customHeight="1">
      <c r="B175" s="110"/>
      <c r="C175" s="70" t="s">
        <v>145</v>
      </c>
      <c r="D175" s="77">
        <v>1</v>
      </c>
      <c r="E175" s="78">
        <v>1.31613582522E-4</v>
      </c>
    </row>
    <row r="176" spans="2:5" ht="15" customHeight="1">
      <c r="B176" s="110"/>
      <c r="C176" s="70" t="s">
        <v>167</v>
      </c>
      <c r="D176" s="77">
        <v>1</v>
      </c>
      <c r="E176" s="78">
        <v>1.31613582522E-4</v>
      </c>
    </row>
    <row r="177" spans="2:5" ht="15" customHeight="1">
      <c r="B177" s="111"/>
      <c r="C177" s="91" t="s">
        <v>258</v>
      </c>
      <c r="D177" s="90">
        <v>163</v>
      </c>
      <c r="E177" s="92">
        <v>2.145301395104E-2</v>
      </c>
    </row>
    <row r="178" spans="2:5" ht="15" customHeight="1">
      <c r="B178" s="109" t="s">
        <v>199</v>
      </c>
      <c r="C178" s="70" t="s">
        <v>135</v>
      </c>
      <c r="D178" s="77">
        <v>20</v>
      </c>
      <c r="E178" s="78">
        <v>2.6322716504339999E-3</v>
      </c>
    </row>
    <row r="179" spans="2:5" ht="15" customHeight="1">
      <c r="B179" s="110"/>
      <c r="C179" s="70" t="s">
        <v>150</v>
      </c>
      <c r="D179" s="77">
        <v>1</v>
      </c>
      <c r="E179" s="78">
        <v>1.31613582522E-4</v>
      </c>
    </row>
    <row r="180" spans="2:5" ht="15" customHeight="1">
      <c r="B180" s="110"/>
      <c r="C180" s="70" t="s">
        <v>134</v>
      </c>
      <c r="D180" s="77">
        <v>199</v>
      </c>
      <c r="E180" s="78">
        <v>2.6191102921822002E-2</v>
      </c>
    </row>
    <row r="181" spans="2:5" ht="15" customHeight="1">
      <c r="B181" s="110"/>
      <c r="C181" s="70" t="s">
        <v>146</v>
      </c>
      <c r="D181" s="77">
        <v>1</v>
      </c>
      <c r="E181" s="78">
        <v>1.31613582522E-4</v>
      </c>
    </row>
    <row r="182" spans="2:5" ht="15" customHeight="1">
      <c r="B182" s="110"/>
      <c r="C182" s="70" t="s">
        <v>140</v>
      </c>
      <c r="D182" s="77">
        <v>2</v>
      </c>
      <c r="E182" s="78">
        <v>2.6322716504299998E-4</v>
      </c>
    </row>
    <row r="183" spans="2:5" ht="15" customHeight="1">
      <c r="B183" s="110"/>
      <c r="C183" s="70" t="s">
        <v>147</v>
      </c>
      <c r="D183" s="77">
        <v>2</v>
      </c>
      <c r="E183" s="78">
        <v>2.6322716504299998E-4</v>
      </c>
    </row>
    <row r="184" spans="2:5" ht="15" customHeight="1">
      <c r="B184" s="110"/>
      <c r="C184" s="70" t="s">
        <v>138</v>
      </c>
      <c r="D184" s="77">
        <v>11</v>
      </c>
      <c r="E184" s="78">
        <v>1.447749407739E-3</v>
      </c>
    </row>
    <row r="185" spans="2:5" ht="15" customHeight="1">
      <c r="B185" s="110"/>
      <c r="C185" s="70" t="s">
        <v>143</v>
      </c>
      <c r="D185" s="77">
        <v>3</v>
      </c>
      <c r="E185" s="78">
        <v>3.9484074756500001E-4</v>
      </c>
    </row>
    <row r="186" spans="2:5" ht="15" customHeight="1">
      <c r="B186" s="110"/>
      <c r="C186" s="70" t="s">
        <v>157</v>
      </c>
      <c r="D186" s="77">
        <v>1</v>
      </c>
      <c r="E186" s="78">
        <v>1.31613582522E-4</v>
      </c>
    </row>
    <row r="187" spans="2:5" ht="15" customHeight="1">
      <c r="B187" s="110"/>
      <c r="C187" s="70" t="s">
        <v>156</v>
      </c>
      <c r="D187" s="77">
        <v>1</v>
      </c>
      <c r="E187" s="78">
        <v>1.31613582522E-4</v>
      </c>
    </row>
    <row r="188" spans="2:5" ht="15" customHeight="1">
      <c r="B188" s="110"/>
      <c r="C188" s="70" t="s">
        <v>154</v>
      </c>
      <c r="D188" s="77">
        <v>1</v>
      </c>
      <c r="E188" s="78">
        <v>1.31613582522E-4</v>
      </c>
    </row>
    <row r="189" spans="2:5" ht="15" customHeight="1">
      <c r="B189" s="110"/>
      <c r="C189" s="70" t="s">
        <v>155</v>
      </c>
      <c r="D189" s="77">
        <v>1</v>
      </c>
      <c r="E189" s="78">
        <v>1.31613582522E-4</v>
      </c>
    </row>
    <row r="190" spans="2:5" ht="15" customHeight="1">
      <c r="B190" s="110"/>
      <c r="C190" s="70" t="s">
        <v>137</v>
      </c>
      <c r="D190" s="77">
        <v>14</v>
      </c>
      <c r="E190" s="78">
        <v>1.842590155304E-3</v>
      </c>
    </row>
    <row r="191" spans="2:5" ht="15" customHeight="1">
      <c r="B191" s="110"/>
      <c r="C191" s="70" t="s">
        <v>161</v>
      </c>
      <c r="D191" s="77">
        <v>1</v>
      </c>
      <c r="E191" s="78">
        <v>1.31613582522E-4</v>
      </c>
    </row>
    <row r="192" spans="2:5" ht="15" customHeight="1">
      <c r="B192" s="110"/>
      <c r="C192" s="70" t="s">
        <v>153</v>
      </c>
      <c r="D192" s="77">
        <v>1</v>
      </c>
      <c r="E192" s="78">
        <v>1.31613582522E-4</v>
      </c>
    </row>
    <row r="193" spans="2:5" ht="15" customHeight="1">
      <c r="B193" s="110"/>
      <c r="C193" s="70" t="s">
        <v>144</v>
      </c>
      <c r="D193" s="77">
        <v>1</v>
      </c>
      <c r="E193" s="78">
        <v>1.31613582522E-4</v>
      </c>
    </row>
    <row r="194" spans="2:5" ht="15" customHeight="1">
      <c r="B194" s="110"/>
      <c r="C194" s="70" t="s">
        <v>141</v>
      </c>
      <c r="D194" s="77">
        <v>1</v>
      </c>
      <c r="E194" s="78">
        <v>1.31613582522E-4</v>
      </c>
    </row>
    <row r="195" spans="2:5" ht="15" customHeight="1">
      <c r="B195" s="110"/>
      <c r="C195" s="70" t="s">
        <v>142</v>
      </c>
      <c r="D195" s="77">
        <v>3</v>
      </c>
      <c r="E195" s="78">
        <v>3.9484074756500001E-4</v>
      </c>
    </row>
    <row r="196" spans="2:5" ht="15" customHeight="1">
      <c r="B196" s="110"/>
      <c r="C196" s="70" t="s">
        <v>136</v>
      </c>
      <c r="D196" s="77">
        <v>17</v>
      </c>
      <c r="E196" s="78">
        <v>2.2374309028689999E-3</v>
      </c>
    </row>
    <row r="197" spans="2:5" ht="15" customHeight="1">
      <c r="B197" s="110"/>
      <c r="C197" s="70" t="s">
        <v>139</v>
      </c>
      <c r="D197" s="77">
        <v>7</v>
      </c>
      <c r="E197" s="78">
        <v>9.2129507765199999E-4</v>
      </c>
    </row>
    <row r="198" spans="2:5" ht="15" customHeight="1">
      <c r="B198" s="110"/>
      <c r="C198" s="70" t="s">
        <v>145</v>
      </c>
      <c r="D198" s="77">
        <v>1</v>
      </c>
      <c r="E198" s="78">
        <v>1.31613582522E-4</v>
      </c>
    </row>
    <row r="199" spans="2:5" ht="15" customHeight="1">
      <c r="B199" s="111"/>
      <c r="C199" s="91" t="s">
        <v>258</v>
      </c>
      <c r="D199" s="90">
        <v>289</v>
      </c>
      <c r="E199" s="92">
        <v>3.8036325348775997E-2</v>
      </c>
    </row>
    <row r="200" spans="2:5" ht="15" customHeight="1">
      <c r="B200" s="109" t="s">
        <v>107</v>
      </c>
      <c r="C200" s="70" t="s">
        <v>163</v>
      </c>
      <c r="D200" s="77">
        <v>3</v>
      </c>
      <c r="E200" s="78">
        <v>3.9484074756500001E-4</v>
      </c>
    </row>
    <row r="201" spans="2:5" ht="15" customHeight="1">
      <c r="B201" s="110"/>
      <c r="C201" s="70" t="s">
        <v>178</v>
      </c>
      <c r="D201" s="77">
        <v>1</v>
      </c>
      <c r="E201" s="78">
        <v>1.31613582522E-4</v>
      </c>
    </row>
    <row r="202" spans="2:5" ht="15" customHeight="1">
      <c r="B202" s="110"/>
      <c r="C202" s="70" t="s">
        <v>135</v>
      </c>
      <c r="D202" s="77">
        <v>68</v>
      </c>
      <c r="E202" s="78">
        <v>8.9497236114770007E-3</v>
      </c>
    </row>
    <row r="203" spans="2:5" ht="15" customHeight="1">
      <c r="B203" s="110"/>
      <c r="C203" s="70" t="s">
        <v>150</v>
      </c>
      <c r="D203" s="77">
        <v>9</v>
      </c>
      <c r="E203" s="78">
        <v>1.1845222426950001E-3</v>
      </c>
    </row>
    <row r="204" spans="2:5" ht="15" customHeight="1">
      <c r="B204" s="110"/>
      <c r="C204" s="70" t="s">
        <v>134</v>
      </c>
      <c r="D204" s="77">
        <v>1063</v>
      </c>
      <c r="E204" s="78">
        <v>0.13990523822058401</v>
      </c>
    </row>
    <row r="205" spans="2:5" ht="15" customHeight="1">
      <c r="B205" s="110"/>
      <c r="C205" s="70" t="s">
        <v>146</v>
      </c>
      <c r="D205" s="77">
        <v>18</v>
      </c>
      <c r="E205" s="78">
        <v>2.3690444853909998E-3</v>
      </c>
    </row>
    <row r="206" spans="2:5" ht="15" customHeight="1">
      <c r="B206" s="110"/>
      <c r="C206" s="70" t="s">
        <v>172</v>
      </c>
      <c r="D206" s="77">
        <v>1</v>
      </c>
      <c r="E206" s="78">
        <v>1.31613582522E-4</v>
      </c>
    </row>
    <row r="207" spans="2:5" ht="15" customHeight="1">
      <c r="B207" s="110"/>
      <c r="C207" s="70" t="s">
        <v>173</v>
      </c>
      <c r="D207" s="77">
        <v>1</v>
      </c>
      <c r="E207" s="78">
        <v>1.31613582522E-4</v>
      </c>
    </row>
    <row r="208" spans="2:5" ht="15" customHeight="1">
      <c r="B208" s="110"/>
      <c r="C208" s="70" t="s">
        <v>140</v>
      </c>
      <c r="D208" s="77">
        <v>12</v>
      </c>
      <c r="E208" s="78">
        <v>1.5793629902610001E-3</v>
      </c>
    </row>
    <row r="209" spans="2:5" ht="15" customHeight="1">
      <c r="B209" s="110"/>
      <c r="C209" s="70" t="s">
        <v>151</v>
      </c>
      <c r="D209" s="77">
        <v>8</v>
      </c>
      <c r="E209" s="78">
        <v>1.0529086601740001E-3</v>
      </c>
    </row>
    <row r="210" spans="2:5" ht="15" customHeight="1">
      <c r="B210" s="110"/>
      <c r="C210" s="70" t="s">
        <v>147</v>
      </c>
      <c r="D210" s="77">
        <v>8</v>
      </c>
      <c r="E210" s="78">
        <v>1.0529086601740001E-3</v>
      </c>
    </row>
    <row r="211" spans="2:5" ht="15" customHeight="1">
      <c r="B211" s="110"/>
      <c r="C211" s="70" t="s">
        <v>138</v>
      </c>
      <c r="D211" s="77">
        <v>64</v>
      </c>
      <c r="E211" s="78">
        <v>8.4232692813900004E-3</v>
      </c>
    </row>
    <row r="212" spans="2:5" ht="15" customHeight="1">
      <c r="B212" s="110"/>
      <c r="C212" s="70" t="s">
        <v>143</v>
      </c>
      <c r="D212" s="77">
        <v>12</v>
      </c>
      <c r="E212" s="78">
        <v>1.5793629902610001E-3</v>
      </c>
    </row>
    <row r="213" spans="2:5" ht="15" customHeight="1">
      <c r="B213" s="110"/>
      <c r="C213" s="70" t="s">
        <v>157</v>
      </c>
      <c r="D213" s="77">
        <v>3</v>
      </c>
      <c r="E213" s="78">
        <v>3.9484074756500001E-4</v>
      </c>
    </row>
    <row r="214" spans="2:5" ht="15" customHeight="1">
      <c r="B214" s="110"/>
      <c r="C214" s="70" t="s">
        <v>152</v>
      </c>
      <c r="D214" s="77">
        <v>10</v>
      </c>
      <c r="E214" s="78">
        <v>1.3161358252169999E-3</v>
      </c>
    </row>
    <row r="215" spans="2:5" ht="15" customHeight="1">
      <c r="B215" s="110"/>
      <c r="C215" s="70" t="s">
        <v>159</v>
      </c>
      <c r="D215" s="77">
        <v>7</v>
      </c>
      <c r="E215" s="78">
        <v>9.2129507765199999E-4</v>
      </c>
    </row>
    <row r="216" spans="2:5" ht="15" customHeight="1">
      <c r="B216" s="110"/>
      <c r="C216" s="70" t="s">
        <v>168</v>
      </c>
      <c r="D216" s="77">
        <v>3</v>
      </c>
      <c r="E216" s="78">
        <v>3.9484074756500001E-4</v>
      </c>
    </row>
    <row r="217" spans="2:5" ht="15" customHeight="1">
      <c r="B217" s="110"/>
      <c r="C217" s="70" t="s">
        <v>179</v>
      </c>
      <c r="D217" s="77">
        <v>1</v>
      </c>
      <c r="E217" s="78">
        <v>1.31613582522E-4</v>
      </c>
    </row>
    <row r="218" spans="2:5" ht="15" customHeight="1">
      <c r="B218" s="110"/>
      <c r="C218" s="70" t="s">
        <v>170</v>
      </c>
      <c r="D218" s="77">
        <v>1</v>
      </c>
      <c r="E218" s="78">
        <v>1.31613582522E-4</v>
      </c>
    </row>
    <row r="219" spans="2:5" ht="15" customHeight="1">
      <c r="B219" s="110"/>
      <c r="C219" s="70" t="s">
        <v>156</v>
      </c>
      <c r="D219" s="77">
        <v>9</v>
      </c>
      <c r="E219" s="78">
        <v>1.1845222426950001E-3</v>
      </c>
    </row>
    <row r="220" spans="2:5" ht="15" customHeight="1">
      <c r="B220" s="110"/>
      <c r="C220" s="70" t="s">
        <v>149</v>
      </c>
      <c r="D220" s="77">
        <v>8</v>
      </c>
      <c r="E220" s="78">
        <v>1.0529086601740001E-3</v>
      </c>
    </row>
    <row r="221" spans="2:5" ht="15" customHeight="1">
      <c r="B221" s="110"/>
      <c r="C221" s="70" t="s">
        <v>166</v>
      </c>
      <c r="D221" s="77">
        <v>2</v>
      </c>
      <c r="E221" s="78">
        <v>2.6322716504299998E-4</v>
      </c>
    </row>
    <row r="222" spans="2:5" ht="15" customHeight="1">
      <c r="B222" s="110"/>
      <c r="C222" s="70" t="s">
        <v>154</v>
      </c>
      <c r="D222" s="77">
        <v>8</v>
      </c>
      <c r="E222" s="78">
        <v>1.0529086601740001E-3</v>
      </c>
    </row>
    <row r="223" spans="2:5" ht="15" customHeight="1">
      <c r="B223" s="110"/>
      <c r="C223" s="70" t="s">
        <v>155</v>
      </c>
      <c r="D223" s="77">
        <v>1</v>
      </c>
      <c r="E223" s="78">
        <v>1.31613582522E-4</v>
      </c>
    </row>
    <row r="224" spans="2:5" ht="15" customHeight="1">
      <c r="B224" s="110"/>
      <c r="C224" s="70" t="s">
        <v>137</v>
      </c>
      <c r="D224" s="77">
        <v>73</v>
      </c>
      <c r="E224" s="78">
        <v>9.6077915240850003E-3</v>
      </c>
    </row>
    <row r="225" spans="2:5" ht="15" customHeight="1">
      <c r="B225" s="110"/>
      <c r="C225" s="70" t="s">
        <v>180</v>
      </c>
      <c r="D225" s="77">
        <v>1</v>
      </c>
      <c r="E225" s="78">
        <v>1.31613582522E-4</v>
      </c>
    </row>
    <row r="226" spans="2:5" ht="15" customHeight="1">
      <c r="B226" s="110"/>
      <c r="C226" s="70" t="s">
        <v>161</v>
      </c>
      <c r="D226" s="77">
        <v>5</v>
      </c>
      <c r="E226" s="78">
        <v>6.5806791260900001E-4</v>
      </c>
    </row>
    <row r="227" spans="2:5" ht="15" customHeight="1">
      <c r="B227" s="110"/>
      <c r="C227" s="70" t="s">
        <v>162</v>
      </c>
      <c r="D227" s="77">
        <v>2</v>
      </c>
      <c r="E227" s="78">
        <v>2.6322716504299998E-4</v>
      </c>
    </row>
    <row r="228" spans="2:5" ht="15" customHeight="1">
      <c r="B228" s="110"/>
      <c r="C228" s="70" t="s">
        <v>153</v>
      </c>
      <c r="D228" s="77">
        <v>9</v>
      </c>
      <c r="E228" s="78">
        <v>1.1845222426950001E-3</v>
      </c>
    </row>
    <row r="229" spans="2:5" ht="15" customHeight="1">
      <c r="B229" s="110"/>
      <c r="C229" s="70" t="s">
        <v>144</v>
      </c>
      <c r="D229" s="77">
        <v>12</v>
      </c>
      <c r="E229" s="78">
        <v>1.5793629902610001E-3</v>
      </c>
    </row>
    <row r="230" spans="2:5" ht="15" customHeight="1">
      <c r="B230" s="110"/>
      <c r="C230" s="70" t="s">
        <v>158</v>
      </c>
      <c r="D230" s="77">
        <v>5</v>
      </c>
      <c r="E230" s="78">
        <v>6.5806791260900001E-4</v>
      </c>
    </row>
    <row r="231" spans="2:5" ht="15" customHeight="1">
      <c r="B231" s="110"/>
      <c r="C231" s="70" t="s">
        <v>141</v>
      </c>
      <c r="D231" s="77">
        <v>21</v>
      </c>
      <c r="E231" s="78">
        <v>2.7638852329560002E-3</v>
      </c>
    </row>
    <row r="232" spans="2:5" ht="15" customHeight="1">
      <c r="B232" s="110"/>
      <c r="C232" s="70" t="s">
        <v>148</v>
      </c>
      <c r="D232" s="77">
        <v>9</v>
      </c>
      <c r="E232" s="78">
        <v>1.1845222426950001E-3</v>
      </c>
    </row>
    <row r="233" spans="2:5" ht="15" customHeight="1">
      <c r="B233" s="110"/>
      <c r="C233" s="70" t="s">
        <v>164</v>
      </c>
      <c r="D233" s="77">
        <v>6</v>
      </c>
      <c r="E233" s="78">
        <v>7.8968149513000002E-4</v>
      </c>
    </row>
    <row r="234" spans="2:5" ht="15" customHeight="1">
      <c r="B234" s="110"/>
      <c r="C234" s="70" t="s">
        <v>160</v>
      </c>
      <c r="D234" s="77">
        <v>8</v>
      </c>
      <c r="E234" s="78">
        <v>1.0529086601740001E-3</v>
      </c>
    </row>
    <row r="235" spans="2:5" ht="15" customHeight="1">
      <c r="B235" s="110"/>
      <c r="C235" s="70" t="s">
        <v>142</v>
      </c>
      <c r="D235" s="77">
        <v>21</v>
      </c>
      <c r="E235" s="78">
        <v>2.7638852329560002E-3</v>
      </c>
    </row>
    <row r="236" spans="2:5" ht="15" customHeight="1">
      <c r="B236" s="110"/>
      <c r="C236" s="70" t="s">
        <v>136</v>
      </c>
      <c r="D236" s="77">
        <v>91</v>
      </c>
      <c r="E236" s="78">
        <v>1.1976836009475999E-2</v>
      </c>
    </row>
    <row r="237" spans="2:5" ht="15" customHeight="1">
      <c r="B237" s="110"/>
      <c r="C237" s="70" t="s">
        <v>139</v>
      </c>
      <c r="D237" s="77">
        <v>28</v>
      </c>
      <c r="E237" s="78">
        <v>3.685180310608E-3</v>
      </c>
    </row>
    <row r="238" spans="2:5" ht="15" customHeight="1">
      <c r="B238" s="110"/>
      <c r="C238" s="70" t="s">
        <v>182</v>
      </c>
      <c r="D238" s="77">
        <v>1</v>
      </c>
      <c r="E238" s="78">
        <v>1.31613582522E-4</v>
      </c>
    </row>
    <row r="239" spans="2:5" ht="15" customHeight="1">
      <c r="B239" s="110"/>
      <c r="C239" s="70" t="s">
        <v>165</v>
      </c>
      <c r="D239" s="77">
        <v>2</v>
      </c>
      <c r="E239" s="78">
        <v>2.6322716504299998E-4</v>
      </c>
    </row>
    <row r="240" spans="2:5" ht="15" customHeight="1">
      <c r="B240" s="110"/>
      <c r="C240" s="70" t="s">
        <v>87</v>
      </c>
      <c r="D240" s="77">
        <v>11</v>
      </c>
      <c r="E240" s="78">
        <v>1.447749407739E-3</v>
      </c>
    </row>
    <row r="241" spans="2:5" ht="15" customHeight="1">
      <c r="B241" s="110"/>
      <c r="C241" s="70" t="s">
        <v>145</v>
      </c>
      <c r="D241" s="77">
        <v>9</v>
      </c>
      <c r="E241" s="78">
        <v>1.1845222426950001E-3</v>
      </c>
    </row>
    <row r="242" spans="2:5" ht="15" customHeight="1">
      <c r="B242" s="110"/>
      <c r="C242" s="70" t="s">
        <v>167</v>
      </c>
      <c r="D242" s="77">
        <v>2</v>
      </c>
      <c r="E242" s="78">
        <v>2.6322716504299998E-4</v>
      </c>
    </row>
    <row r="243" spans="2:5" ht="15" customHeight="1">
      <c r="B243" s="111"/>
      <c r="C243" s="91" t="s">
        <v>258</v>
      </c>
      <c r="D243" s="90">
        <v>1637</v>
      </c>
      <c r="E243" s="92">
        <v>0.21545143458804999</v>
      </c>
    </row>
    <row r="244" spans="2:5" ht="15" customHeight="1">
      <c r="B244" s="109" t="s">
        <v>108</v>
      </c>
      <c r="C244" s="70" t="s">
        <v>135</v>
      </c>
      <c r="D244" s="77">
        <v>18</v>
      </c>
      <c r="E244" s="78">
        <v>2.3690444853909998E-3</v>
      </c>
    </row>
    <row r="245" spans="2:5" ht="15" customHeight="1">
      <c r="B245" s="110"/>
      <c r="C245" s="70" t="s">
        <v>134</v>
      </c>
      <c r="D245" s="77">
        <v>150</v>
      </c>
      <c r="E245" s="78">
        <v>1.9742037378256999E-2</v>
      </c>
    </row>
    <row r="246" spans="2:5" ht="15" customHeight="1">
      <c r="B246" s="110"/>
      <c r="C246" s="70" t="s">
        <v>146</v>
      </c>
      <c r="D246" s="77">
        <v>1</v>
      </c>
      <c r="E246" s="78">
        <v>1.31613582522E-4</v>
      </c>
    </row>
    <row r="247" spans="2:5" ht="15" customHeight="1">
      <c r="B247" s="110"/>
      <c r="C247" s="70" t="s">
        <v>140</v>
      </c>
      <c r="D247" s="77">
        <v>1</v>
      </c>
      <c r="E247" s="78">
        <v>1.31613582522E-4</v>
      </c>
    </row>
    <row r="248" spans="2:5" ht="15" customHeight="1">
      <c r="B248" s="110"/>
      <c r="C248" s="70" t="s">
        <v>151</v>
      </c>
      <c r="D248" s="77">
        <v>1</v>
      </c>
      <c r="E248" s="78">
        <v>1.31613582522E-4</v>
      </c>
    </row>
    <row r="249" spans="2:5" ht="15" customHeight="1">
      <c r="B249" s="110"/>
      <c r="C249" s="70" t="s">
        <v>138</v>
      </c>
      <c r="D249" s="77">
        <v>4</v>
      </c>
      <c r="E249" s="78">
        <v>5.2645433008700004E-4</v>
      </c>
    </row>
    <row r="250" spans="2:5" ht="15" customHeight="1">
      <c r="B250" s="110"/>
      <c r="C250" s="70" t="s">
        <v>149</v>
      </c>
      <c r="D250" s="77">
        <v>2</v>
      </c>
      <c r="E250" s="78">
        <v>2.6322716504299998E-4</v>
      </c>
    </row>
    <row r="251" spans="2:5" ht="15" customHeight="1">
      <c r="B251" s="110"/>
      <c r="C251" s="70" t="s">
        <v>137</v>
      </c>
      <c r="D251" s="77">
        <v>11</v>
      </c>
      <c r="E251" s="78">
        <v>1.447749407739E-3</v>
      </c>
    </row>
    <row r="252" spans="2:5" ht="15" customHeight="1">
      <c r="B252" s="110"/>
      <c r="C252" s="70" t="s">
        <v>144</v>
      </c>
      <c r="D252" s="77">
        <v>1</v>
      </c>
      <c r="E252" s="78">
        <v>1.31613582522E-4</v>
      </c>
    </row>
    <row r="253" spans="2:5" ht="15" customHeight="1">
      <c r="B253" s="110"/>
      <c r="C253" s="70" t="s">
        <v>174</v>
      </c>
      <c r="D253" s="77">
        <v>1</v>
      </c>
      <c r="E253" s="78">
        <v>1.31613582522E-4</v>
      </c>
    </row>
    <row r="254" spans="2:5" ht="15" customHeight="1">
      <c r="B254" s="110"/>
      <c r="C254" s="70" t="s">
        <v>141</v>
      </c>
      <c r="D254" s="77">
        <v>2</v>
      </c>
      <c r="E254" s="78">
        <v>2.6322716504299998E-4</v>
      </c>
    </row>
    <row r="255" spans="2:5" ht="15" customHeight="1">
      <c r="B255" s="110"/>
      <c r="C255" s="70" t="s">
        <v>148</v>
      </c>
      <c r="D255" s="77">
        <v>1</v>
      </c>
      <c r="E255" s="78">
        <v>1.31613582522E-4</v>
      </c>
    </row>
    <row r="256" spans="2:5" ht="15" customHeight="1">
      <c r="B256" s="110"/>
      <c r="C256" s="70" t="s">
        <v>136</v>
      </c>
      <c r="D256" s="77">
        <v>5</v>
      </c>
      <c r="E256" s="78">
        <v>6.5806791260900001E-4</v>
      </c>
    </row>
    <row r="257" spans="2:5" ht="15" customHeight="1">
      <c r="B257" s="110"/>
      <c r="C257" s="70" t="s">
        <v>139</v>
      </c>
      <c r="D257" s="77">
        <v>2</v>
      </c>
      <c r="E257" s="78">
        <v>2.6322716504299998E-4</v>
      </c>
    </row>
    <row r="258" spans="2:5" ht="15" customHeight="1">
      <c r="B258" s="110"/>
      <c r="C258" s="70" t="s">
        <v>165</v>
      </c>
      <c r="D258" s="77">
        <v>1</v>
      </c>
      <c r="E258" s="78">
        <v>1.31613582522E-4</v>
      </c>
    </row>
    <row r="259" spans="2:5" ht="15" customHeight="1">
      <c r="B259" s="110"/>
      <c r="C259" s="70" t="s">
        <v>87</v>
      </c>
      <c r="D259" s="77">
        <v>1</v>
      </c>
      <c r="E259" s="78">
        <v>1.31613582522E-4</v>
      </c>
    </row>
    <row r="260" spans="2:5" ht="15" customHeight="1">
      <c r="B260" s="110"/>
      <c r="C260" s="70" t="s">
        <v>145</v>
      </c>
      <c r="D260" s="77">
        <v>2</v>
      </c>
      <c r="E260" s="78">
        <v>2.6322716504299998E-4</v>
      </c>
    </row>
    <row r="261" spans="2:5" ht="15" customHeight="1">
      <c r="B261" s="111"/>
      <c r="C261" s="91" t="s">
        <v>258</v>
      </c>
      <c r="D261" s="90">
        <v>204</v>
      </c>
      <c r="E261" s="92">
        <v>2.6849170834429999E-2</v>
      </c>
    </row>
    <row r="262" spans="2:5" ht="15" customHeight="1">
      <c r="B262" s="109" t="s">
        <v>109</v>
      </c>
      <c r="C262" s="70" t="s">
        <v>163</v>
      </c>
      <c r="D262" s="77">
        <v>4</v>
      </c>
      <c r="E262" s="78">
        <v>5.2645433008700004E-4</v>
      </c>
    </row>
    <row r="263" spans="2:5" ht="15" customHeight="1">
      <c r="B263" s="110"/>
      <c r="C263" s="70" t="s">
        <v>135</v>
      </c>
      <c r="D263" s="77">
        <v>38</v>
      </c>
      <c r="E263" s="78">
        <v>5.0013161358250001E-3</v>
      </c>
    </row>
    <row r="264" spans="2:5" ht="15" customHeight="1">
      <c r="B264" s="110"/>
      <c r="C264" s="70" t="s">
        <v>150</v>
      </c>
      <c r="D264" s="77">
        <v>6</v>
      </c>
      <c r="E264" s="78">
        <v>7.8968149513000002E-4</v>
      </c>
    </row>
    <row r="265" spans="2:5" ht="15" customHeight="1">
      <c r="B265" s="110"/>
      <c r="C265" s="70" t="s">
        <v>134</v>
      </c>
      <c r="D265" s="77">
        <v>458</v>
      </c>
      <c r="E265" s="78">
        <v>6.0279020794946001E-2</v>
      </c>
    </row>
    <row r="266" spans="2:5" ht="15" customHeight="1">
      <c r="B266" s="110"/>
      <c r="C266" s="70" t="s">
        <v>146</v>
      </c>
      <c r="D266" s="77">
        <v>6</v>
      </c>
      <c r="E266" s="78">
        <v>7.8968149513000002E-4</v>
      </c>
    </row>
    <row r="267" spans="2:5" ht="15" customHeight="1">
      <c r="B267" s="110"/>
      <c r="C267" s="70" t="s">
        <v>140</v>
      </c>
      <c r="D267" s="77">
        <v>6</v>
      </c>
      <c r="E267" s="78">
        <v>7.8968149513000002E-4</v>
      </c>
    </row>
    <row r="268" spans="2:5" ht="15" customHeight="1">
      <c r="B268" s="110"/>
      <c r="C268" s="70" t="s">
        <v>151</v>
      </c>
      <c r="D268" s="77">
        <v>10</v>
      </c>
      <c r="E268" s="78">
        <v>1.3161358252169999E-3</v>
      </c>
    </row>
    <row r="269" spans="2:5" ht="15" customHeight="1">
      <c r="B269" s="110"/>
      <c r="C269" s="70" t="s">
        <v>147</v>
      </c>
      <c r="D269" s="77">
        <v>5</v>
      </c>
      <c r="E269" s="78">
        <v>6.5806791260900001E-4</v>
      </c>
    </row>
    <row r="270" spans="2:5" ht="15" customHeight="1">
      <c r="B270" s="110"/>
      <c r="C270" s="70" t="s">
        <v>138</v>
      </c>
      <c r="D270" s="77">
        <v>12</v>
      </c>
      <c r="E270" s="78">
        <v>1.5793629902610001E-3</v>
      </c>
    </row>
    <row r="271" spans="2:5" ht="15" customHeight="1">
      <c r="B271" s="110"/>
      <c r="C271" s="70" t="s">
        <v>143</v>
      </c>
      <c r="D271" s="77">
        <v>5</v>
      </c>
      <c r="E271" s="78">
        <v>6.5806791260900001E-4</v>
      </c>
    </row>
    <row r="272" spans="2:5" ht="15" customHeight="1">
      <c r="B272" s="110"/>
      <c r="C272" s="70" t="s">
        <v>157</v>
      </c>
      <c r="D272" s="77">
        <v>2</v>
      </c>
      <c r="E272" s="78">
        <v>2.6322716504299998E-4</v>
      </c>
    </row>
    <row r="273" spans="2:5" ht="15" customHeight="1">
      <c r="B273" s="110"/>
      <c r="C273" s="70" t="s">
        <v>152</v>
      </c>
      <c r="D273" s="77">
        <v>6</v>
      </c>
      <c r="E273" s="78">
        <v>7.8968149513000002E-4</v>
      </c>
    </row>
    <row r="274" spans="2:5" ht="15" customHeight="1">
      <c r="B274" s="110"/>
      <c r="C274" s="70" t="s">
        <v>159</v>
      </c>
      <c r="D274" s="77">
        <v>3</v>
      </c>
      <c r="E274" s="78">
        <v>3.9484074756500001E-4</v>
      </c>
    </row>
    <row r="275" spans="2:5" ht="15" customHeight="1">
      <c r="B275" s="110"/>
      <c r="C275" s="70" t="s">
        <v>156</v>
      </c>
      <c r="D275" s="77">
        <v>3</v>
      </c>
      <c r="E275" s="78">
        <v>3.9484074756500001E-4</v>
      </c>
    </row>
    <row r="276" spans="2:5" ht="15" customHeight="1">
      <c r="B276" s="110"/>
      <c r="C276" s="70" t="s">
        <v>149</v>
      </c>
      <c r="D276" s="77">
        <v>3</v>
      </c>
      <c r="E276" s="78">
        <v>3.9484074756500001E-4</v>
      </c>
    </row>
    <row r="277" spans="2:5" ht="15" customHeight="1">
      <c r="B277" s="110"/>
      <c r="C277" s="70" t="s">
        <v>154</v>
      </c>
      <c r="D277" s="77">
        <v>8</v>
      </c>
      <c r="E277" s="78">
        <v>1.0529086601740001E-3</v>
      </c>
    </row>
    <row r="278" spans="2:5" ht="15" customHeight="1">
      <c r="B278" s="110"/>
      <c r="C278" s="70" t="s">
        <v>177</v>
      </c>
      <c r="D278" s="77">
        <v>1</v>
      </c>
      <c r="E278" s="78">
        <v>1.31613582522E-4</v>
      </c>
    </row>
    <row r="279" spans="2:5" ht="15" customHeight="1">
      <c r="B279" s="110"/>
      <c r="C279" s="70" t="s">
        <v>155</v>
      </c>
      <c r="D279" s="77">
        <v>3</v>
      </c>
      <c r="E279" s="78">
        <v>3.9484074756500001E-4</v>
      </c>
    </row>
    <row r="280" spans="2:5" ht="15" customHeight="1">
      <c r="B280" s="110"/>
      <c r="C280" s="70" t="s">
        <v>137</v>
      </c>
      <c r="D280" s="77">
        <v>43</v>
      </c>
      <c r="E280" s="78">
        <v>5.6593840484339998E-3</v>
      </c>
    </row>
    <row r="281" spans="2:5" ht="15" customHeight="1">
      <c r="B281" s="110"/>
      <c r="C281" s="70" t="s">
        <v>161</v>
      </c>
      <c r="D281" s="77">
        <v>1</v>
      </c>
      <c r="E281" s="78">
        <v>1.31613582522E-4</v>
      </c>
    </row>
    <row r="282" spans="2:5" ht="15" customHeight="1">
      <c r="B282" s="110"/>
      <c r="C282" s="70" t="s">
        <v>162</v>
      </c>
      <c r="D282" s="77">
        <v>3</v>
      </c>
      <c r="E282" s="78">
        <v>3.9484074756500001E-4</v>
      </c>
    </row>
    <row r="283" spans="2:5" ht="15" customHeight="1">
      <c r="B283" s="110"/>
      <c r="C283" s="70" t="s">
        <v>153</v>
      </c>
      <c r="D283" s="77">
        <v>4</v>
      </c>
      <c r="E283" s="78">
        <v>5.2645433008700004E-4</v>
      </c>
    </row>
    <row r="284" spans="2:5" ht="15" customHeight="1">
      <c r="B284" s="110"/>
      <c r="C284" s="70" t="s">
        <v>144</v>
      </c>
      <c r="D284" s="77">
        <v>5</v>
      </c>
      <c r="E284" s="78">
        <v>6.5806791260900001E-4</v>
      </c>
    </row>
    <row r="285" spans="2:5" ht="15" customHeight="1">
      <c r="B285" s="110"/>
      <c r="C285" s="70" t="s">
        <v>174</v>
      </c>
      <c r="D285" s="77">
        <v>1</v>
      </c>
      <c r="E285" s="78">
        <v>1.31613582522E-4</v>
      </c>
    </row>
    <row r="286" spans="2:5" ht="15" customHeight="1">
      <c r="B286" s="110"/>
      <c r="C286" s="70" t="s">
        <v>158</v>
      </c>
      <c r="D286" s="77">
        <v>3</v>
      </c>
      <c r="E286" s="78">
        <v>3.9484074756500001E-4</v>
      </c>
    </row>
    <row r="287" spans="2:5" ht="15" customHeight="1">
      <c r="B287" s="110"/>
      <c r="C287" s="70" t="s">
        <v>141</v>
      </c>
      <c r="D287" s="77">
        <v>9</v>
      </c>
      <c r="E287" s="78">
        <v>1.1845222426950001E-3</v>
      </c>
    </row>
    <row r="288" spans="2:5" ht="15" customHeight="1">
      <c r="B288" s="110"/>
      <c r="C288" s="70" t="s">
        <v>148</v>
      </c>
      <c r="D288" s="77">
        <v>3</v>
      </c>
      <c r="E288" s="78">
        <v>3.9484074756500001E-4</v>
      </c>
    </row>
    <row r="289" spans="2:5" ht="15" customHeight="1">
      <c r="B289" s="110"/>
      <c r="C289" s="70" t="s">
        <v>164</v>
      </c>
      <c r="D289" s="77">
        <v>2</v>
      </c>
      <c r="E289" s="78">
        <v>2.6322716504299998E-4</v>
      </c>
    </row>
    <row r="290" spans="2:5" ht="15" customHeight="1">
      <c r="B290" s="110"/>
      <c r="C290" s="70" t="s">
        <v>160</v>
      </c>
      <c r="D290" s="77">
        <v>3</v>
      </c>
      <c r="E290" s="78">
        <v>3.9484074756500001E-4</v>
      </c>
    </row>
    <row r="291" spans="2:5" ht="15" customHeight="1">
      <c r="B291" s="110"/>
      <c r="C291" s="70" t="s">
        <v>171</v>
      </c>
      <c r="D291" s="77">
        <v>1</v>
      </c>
      <c r="E291" s="78">
        <v>1.31613582522E-4</v>
      </c>
    </row>
    <row r="292" spans="2:5" ht="15" customHeight="1">
      <c r="B292" s="110"/>
      <c r="C292" s="70" t="s">
        <v>142</v>
      </c>
      <c r="D292" s="77">
        <v>5</v>
      </c>
      <c r="E292" s="78">
        <v>6.5806791260900001E-4</v>
      </c>
    </row>
    <row r="293" spans="2:5" ht="15" customHeight="1">
      <c r="B293" s="110"/>
      <c r="C293" s="70" t="s">
        <v>136</v>
      </c>
      <c r="D293" s="77">
        <v>33</v>
      </c>
      <c r="E293" s="78">
        <v>4.3432482232169996E-3</v>
      </c>
    </row>
    <row r="294" spans="2:5" ht="15" customHeight="1">
      <c r="B294" s="110"/>
      <c r="C294" s="70" t="s">
        <v>139</v>
      </c>
      <c r="D294" s="77">
        <v>12</v>
      </c>
      <c r="E294" s="78">
        <v>1.5793629902610001E-3</v>
      </c>
    </row>
    <row r="295" spans="2:5" ht="15" customHeight="1">
      <c r="B295" s="110"/>
      <c r="C295" s="70" t="s">
        <v>165</v>
      </c>
      <c r="D295" s="77">
        <v>2</v>
      </c>
      <c r="E295" s="78">
        <v>2.6322716504299998E-4</v>
      </c>
    </row>
    <row r="296" spans="2:5" ht="15" customHeight="1">
      <c r="B296" s="110"/>
      <c r="C296" s="70" t="s">
        <v>87</v>
      </c>
      <c r="D296" s="77">
        <v>6</v>
      </c>
      <c r="E296" s="78">
        <v>7.8968149513000002E-4</v>
      </c>
    </row>
    <row r="297" spans="2:5" ht="15" customHeight="1">
      <c r="B297" s="110"/>
      <c r="C297" s="70" t="s">
        <v>145</v>
      </c>
      <c r="D297" s="77">
        <v>4</v>
      </c>
      <c r="E297" s="78">
        <v>5.2645433008700004E-4</v>
      </c>
    </row>
    <row r="298" spans="2:5" ht="15" customHeight="1">
      <c r="B298" s="111"/>
      <c r="C298" s="91" t="s">
        <v>258</v>
      </c>
      <c r="D298" s="90">
        <v>719</v>
      </c>
      <c r="E298" s="92">
        <v>9.4630165833113997E-2</v>
      </c>
    </row>
    <row r="299" spans="2:5" ht="15" customHeight="1">
      <c r="B299" s="109" t="s">
        <v>110</v>
      </c>
      <c r="C299" s="70" t="s">
        <v>163</v>
      </c>
      <c r="D299" s="77">
        <v>8</v>
      </c>
      <c r="E299" s="78">
        <v>1.0529086601740001E-3</v>
      </c>
    </row>
    <row r="300" spans="2:5" ht="15" customHeight="1">
      <c r="B300" s="110"/>
      <c r="C300" s="70" t="s">
        <v>135</v>
      </c>
      <c r="D300" s="77">
        <v>122</v>
      </c>
      <c r="E300" s="78">
        <v>1.6056857067648998E-2</v>
      </c>
    </row>
    <row r="301" spans="2:5" ht="15" customHeight="1">
      <c r="B301" s="110"/>
      <c r="C301" s="70" t="s">
        <v>150</v>
      </c>
      <c r="D301" s="77">
        <v>15</v>
      </c>
      <c r="E301" s="78">
        <v>1.9742037378259998E-3</v>
      </c>
    </row>
    <row r="302" spans="2:5" ht="15" customHeight="1">
      <c r="B302" s="110"/>
      <c r="C302" s="70" t="s">
        <v>134</v>
      </c>
      <c r="D302" s="77">
        <v>1626</v>
      </c>
      <c r="E302" s="78">
        <v>0.21400368518031099</v>
      </c>
    </row>
    <row r="303" spans="2:5" ht="15" customHeight="1">
      <c r="B303" s="110"/>
      <c r="C303" s="70" t="s">
        <v>146</v>
      </c>
      <c r="D303" s="77">
        <v>10</v>
      </c>
      <c r="E303" s="78">
        <v>1.3161358252169999E-3</v>
      </c>
    </row>
    <row r="304" spans="2:5" ht="15" customHeight="1">
      <c r="B304" s="110"/>
      <c r="C304" s="70" t="s">
        <v>172</v>
      </c>
      <c r="D304" s="77">
        <v>2</v>
      </c>
      <c r="E304" s="78">
        <v>2.6322716504299998E-4</v>
      </c>
    </row>
    <row r="305" spans="2:5" ht="15" customHeight="1">
      <c r="B305" s="110"/>
      <c r="C305" s="70" t="s">
        <v>173</v>
      </c>
      <c r="D305" s="77">
        <v>1</v>
      </c>
      <c r="E305" s="78">
        <v>1.31613582522E-4</v>
      </c>
    </row>
    <row r="306" spans="2:5" ht="15" customHeight="1">
      <c r="B306" s="110"/>
      <c r="C306" s="70" t="s">
        <v>175</v>
      </c>
      <c r="D306" s="77">
        <v>2</v>
      </c>
      <c r="E306" s="78">
        <v>2.6322716504299998E-4</v>
      </c>
    </row>
    <row r="307" spans="2:5" ht="15" customHeight="1">
      <c r="B307" s="110"/>
      <c r="C307" s="70" t="s">
        <v>140</v>
      </c>
      <c r="D307" s="77">
        <v>21</v>
      </c>
      <c r="E307" s="78">
        <v>2.7638852329560002E-3</v>
      </c>
    </row>
    <row r="308" spans="2:5" ht="15" customHeight="1">
      <c r="B308" s="110"/>
      <c r="C308" s="70" t="s">
        <v>151</v>
      </c>
      <c r="D308" s="77">
        <v>8</v>
      </c>
      <c r="E308" s="78">
        <v>1.0529086601740001E-3</v>
      </c>
    </row>
    <row r="309" spans="2:5" ht="15" customHeight="1">
      <c r="B309" s="110"/>
      <c r="C309" s="70" t="s">
        <v>176</v>
      </c>
      <c r="D309" s="77">
        <v>2</v>
      </c>
      <c r="E309" s="78">
        <v>2.6322716504299998E-4</v>
      </c>
    </row>
    <row r="310" spans="2:5" ht="15" customHeight="1">
      <c r="B310" s="110"/>
      <c r="C310" s="70" t="s">
        <v>147</v>
      </c>
      <c r="D310" s="77">
        <v>16</v>
      </c>
      <c r="E310" s="78">
        <v>2.1058173203470001E-3</v>
      </c>
    </row>
    <row r="311" spans="2:5" ht="15" customHeight="1">
      <c r="B311" s="110"/>
      <c r="C311" s="70" t="s">
        <v>138</v>
      </c>
      <c r="D311" s="77">
        <v>50</v>
      </c>
      <c r="E311" s="78">
        <v>6.580679126086E-3</v>
      </c>
    </row>
    <row r="312" spans="2:5" ht="15" customHeight="1">
      <c r="B312" s="110"/>
      <c r="C312" s="70" t="s">
        <v>143</v>
      </c>
      <c r="D312" s="77">
        <v>23</v>
      </c>
      <c r="E312" s="78">
        <v>3.0271123979989998E-3</v>
      </c>
    </row>
    <row r="313" spans="2:5" ht="15" customHeight="1">
      <c r="B313" s="110"/>
      <c r="C313" s="70" t="s">
        <v>157</v>
      </c>
      <c r="D313" s="77">
        <v>8</v>
      </c>
      <c r="E313" s="78">
        <v>1.0529086601740001E-3</v>
      </c>
    </row>
    <row r="314" spans="2:5" ht="15" customHeight="1">
      <c r="B314" s="110"/>
      <c r="C314" s="70" t="s">
        <v>152</v>
      </c>
      <c r="D314" s="77">
        <v>10</v>
      </c>
      <c r="E314" s="78">
        <v>1.3161358252169999E-3</v>
      </c>
    </row>
    <row r="315" spans="2:5" ht="15" customHeight="1">
      <c r="B315" s="110"/>
      <c r="C315" s="70" t="s">
        <v>159</v>
      </c>
      <c r="D315" s="77">
        <v>5</v>
      </c>
      <c r="E315" s="78">
        <v>6.5806791260900001E-4</v>
      </c>
    </row>
    <row r="316" spans="2:5" ht="15" customHeight="1">
      <c r="B316" s="110"/>
      <c r="C316" s="70" t="s">
        <v>168</v>
      </c>
      <c r="D316" s="77">
        <v>3</v>
      </c>
      <c r="E316" s="78">
        <v>3.9484074756500001E-4</v>
      </c>
    </row>
    <row r="317" spans="2:5" ht="15" customHeight="1">
      <c r="B317" s="110"/>
      <c r="C317" s="70" t="s">
        <v>170</v>
      </c>
      <c r="D317" s="77">
        <v>2</v>
      </c>
      <c r="E317" s="78">
        <v>2.6322716504299998E-4</v>
      </c>
    </row>
    <row r="318" spans="2:5" ht="15" customHeight="1">
      <c r="B318" s="110"/>
      <c r="C318" s="70" t="s">
        <v>169</v>
      </c>
      <c r="D318" s="77">
        <v>3</v>
      </c>
      <c r="E318" s="78">
        <v>3.9484074756500001E-4</v>
      </c>
    </row>
    <row r="319" spans="2:5" ht="15" customHeight="1">
      <c r="B319" s="110"/>
      <c r="C319" s="70" t="s">
        <v>156</v>
      </c>
      <c r="D319" s="77">
        <v>6</v>
      </c>
      <c r="E319" s="78">
        <v>7.8968149513000002E-4</v>
      </c>
    </row>
    <row r="320" spans="2:5" ht="15" customHeight="1">
      <c r="B320" s="110"/>
      <c r="C320" s="70" t="s">
        <v>149</v>
      </c>
      <c r="D320" s="77">
        <v>17</v>
      </c>
      <c r="E320" s="78">
        <v>2.2374309028689999E-3</v>
      </c>
    </row>
    <row r="321" spans="2:5" ht="15" customHeight="1">
      <c r="B321" s="110"/>
      <c r="C321" s="70" t="s">
        <v>166</v>
      </c>
      <c r="D321" s="77">
        <v>3</v>
      </c>
      <c r="E321" s="78">
        <v>3.9484074756500001E-4</v>
      </c>
    </row>
    <row r="322" spans="2:5" ht="15" customHeight="1">
      <c r="B322" s="110"/>
      <c r="C322" s="70" t="s">
        <v>154</v>
      </c>
      <c r="D322" s="77">
        <v>9</v>
      </c>
      <c r="E322" s="78">
        <v>1.1845222426950001E-3</v>
      </c>
    </row>
    <row r="323" spans="2:5" ht="15" customHeight="1">
      <c r="B323" s="110"/>
      <c r="C323" s="70" t="s">
        <v>155</v>
      </c>
      <c r="D323" s="77">
        <v>11</v>
      </c>
      <c r="E323" s="78">
        <v>1.447749407739E-3</v>
      </c>
    </row>
    <row r="324" spans="2:5" ht="15" customHeight="1">
      <c r="B324" s="110"/>
      <c r="C324" s="70" t="s">
        <v>137</v>
      </c>
      <c r="D324" s="77">
        <v>136</v>
      </c>
      <c r="E324" s="78">
        <v>1.7899447222952999E-2</v>
      </c>
    </row>
    <row r="325" spans="2:5" ht="15" customHeight="1">
      <c r="B325" s="110"/>
      <c r="C325" s="70" t="s">
        <v>161</v>
      </c>
      <c r="D325" s="77">
        <v>3</v>
      </c>
      <c r="E325" s="78">
        <v>3.9484074756500001E-4</v>
      </c>
    </row>
    <row r="326" spans="2:5" ht="15" customHeight="1">
      <c r="B326" s="110"/>
      <c r="C326" s="70" t="s">
        <v>162</v>
      </c>
      <c r="D326" s="77">
        <v>7</v>
      </c>
      <c r="E326" s="78">
        <v>9.2129507765199999E-4</v>
      </c>
    </row>
    <row r="327" spans="2:5" ht="15" customHeight="1">
      <c r="B327" s="110"/>
      <c r="C327" s="70" t="s">
        <v>153</v>
      </c>
      <c r="D327" s="77">
        <v>10</v>
      </c>
      <c r="E327" s="78">
        <v>1.3161358252169999E-3</v>
      </c>
    </row>
    <row r="328" spans="2:5" ht="15" customHeight="1">
      <c r="B328" s="110"/>
      <c r="C328" s="70" t="s">
        <v>144</v>
      </c>
      <c r="D328" s="77">
        <v>20</v>
      </c>
      <c r="E328" s="78">
        <v>2.6322716504339999E-3</v>
      </c>
    </row>
    <row r="329" spans="2:5" ht="15" customHeight="1">
      <c r="B329" s="110"/>
      <c r="C329" s="70" t="s">
        <v>174</v>
      </c>
      <c r="D329" s="77">
        <v>1</v>
      </c>
      <c r="E329" s="78">
        <v>1.31613582522E-4</v>
      </c>
    </row>
    <row r="330" spans="2:5" ht="15" customHeight="1">
      <c r="B330" s="110"/>
      <c r="C330" s="70" t="s">
        <v>158</v>
      </c>
      <c r="D330" s="77">
        <v>10</v>
      </c>
      <c r="E330" s="78">
        <v>1.3161358252169999E-3</v>
      </c>
    </row>
    <row r="331" spans="2:5" ht="15" customHeight="1">
      <c r="B331" s="110"/>
      <c r="C331" s="70" t="s">
        <v>141</v>
      </c>
      <c r="D331" s="77">
        <v>22</v>
      </c>
      <c r="E331" s="78">
        <v>2.8954988154780001E-3</v>
      </c>
    </row>
    <row r="332" spans="2:5" ht="15" customHeight="1">
      <c r="B332" s="110"/>
      <c r="C332" s="70" t="s">
        <v>148</v>
      </c>
      <c r="D332" s="77">
        <v>12</v>
      </c>
      <c r="E332" s="78">
        <v>1.5793629902610001E-3</v>
      </c>
    </row>
    <row r="333" spans="2:5" ht="15" customHeight="1">
      <c r="B333" s="110"/>
      <c r="C333" s="70" t="s">
        <v>164</v>
      </c>
      <c r="D333" s="77">
        <v>2</v>
      </c>
      <c r="E333" s="78">
        <v>2.6322716504299998E-4</v>
      </c>
    </row>
    <row r="334" spans="2:5" ht="15" customHeight="1">
      <c r="B334" s="110"/>
      <c r="C334" s="70" t="s">
        <v>181</v>
      </c>
      <c r="D334" s="77">
        <v>1</v>
      </c>
      <c r="E334" s="78">
        <v>1.31613582522E-4</v>
      </c>
    </row>
    <row r="335" spans="2:5" ht="15" customHeight="1">
      <c r="B335" s="110"/>
      <c r="C335" s="70" t="s">
        <v>160</v>
      </c>
      <c r="D335" s="77">
        <v>8</v>
      </c>
      <c r="E335" s="78">
        <v>1.0529086601740001E-3</v>
      </c>
    </row>
    <row r="336" spans="2:5" ht="15" customHeight="1">
      <c r="B336" s="110"/>
      <c r="C336" s="70" t="s">
        <v>171</v>
      </c>
      <c r="D336" s="77">
        <v>2</v>
      </c>
      <c r="E336" s="78">
        <v>2.6322716504299998E-4</v>
      </c>
    </row>
    <row r="337" spans="2:5" ht="15" customHeight="1">
      <c r="B337" s="110"/>
      <c r="C337" s="70" t="s">
        <v>142</v>
      </c>
      <c r="D337" s="77">
        <v>21</v>
      </c>
      <c r="E337" s="78">
        <v>2.7638852329560002E-3</v>
      </c>
    </row>
    <row r="338" spans="2:5" ht="15" customHeight="1">
      <c r="B338" s="110"/>
      <c r="C338" s="70" t="s">
        <v>136</v>
      </c>
      <c r="D338" s="77">
        <v>137</v>
      </c>
      <c r="E338" s="78">
        <v>1.8031060805475001E-2</v>
      </c>
    </row>
    <row r="339" spans="2:5" ht="15" customHeight="1">
      <c r="B339" s="110"/>
      <c r="C339" s="70" t="s">
        <v>139</v>
      </c>
      <c r="D339" s="77">
        <v>34</v>
      </c>
      <c r="E339" s="78">
        <v>4.4748618057379999E-3</v>
      </c>
    </row>
    <row r="340" spans="2:5" ht="15" customHeight="1">
      <c r="B340" s="110"/>
      <c r="C340" s="70" t="s">
        <v>165</v>
      </c>
      <c r="D340" s="77">
        <v>4</v>
      </c>
      <c r="E340" s="78">
        <v>5.2645433008700004E-4</v>
      </c>
    </row>
    <row r="341" spans="2:5" ht="15" customHeight="1">
      <c r="B341" s="110"/>
      <c r="C341" s="70" t="s">
        <v>87</v>
      </c>
      <c r="D341" s="77">
        <v>24</v>
      </c>
      <c r="E341" s="78">
        <v>3.1587259805210001E-3</v>
      </c>
    </row>
    <row r="342" spans="2:5" ht="15" customHeight="1">
      <c r="B342" s="110"/>
      <c r="C342" s="70" t="s">
        <v>183</v>
      </c>
      <c r="D342" s="77">
        <v>1</v>
      </c>
      <c r="E342" s="78">
        <v>1.31613582522E-4</v>
      </c>
    </row>
    <row r="343" spans="2:5" ht="15" customHeight="1">
      <c r="B343" s="110"/>
      <c r="C343" s="70" t="s">
        <v>145</v>
      </c>
      <c r="D343" s="77">
        <v>16</v>
      </c>
      <c r="E343" s="78">
        <v>2.1058173203470001E-3</v>
      </c>
    </row>
    <row r="344" spans="2:5" ht="15" customHeight="1">
      <c r="B344" s="110"/>
      <c r="C344" s="70" t="s">
        <v>167</v>
      </c>
      <c r="D344" s="77">
        <v>1</v>
      </c>
      <c r="E344" s="78">
        <v>1.31613582522E-4</v>
      </c>
    </row>
    <row r="345" spans="2:5" ht="15" customHeight="1">
      <c r="B345" s="111"/>
      <c r="C345" s="91" t="s">
        <v>258</v>
      </c>
      <c r="D345" s="90">
        <v>2455</v>
      </c>
      <c r="E345" s="92">
        <v>0.32311134509081302</v>
      </c>
    </row>
    <row r="346" spans="2:5" ht="15" customHeight="1">
      <c r="B346" s="109" t="s">
        <v>200</v>
      </c>
      <c r="C346" s="70" t="s">
        <v>135</v>
      </c>
      <c r="D346" s="77">
        <v>2</v>
      </c>
      <c r="E346" s="78">
        <v>2.6322716504299998E-4</v>
      </c>
    </row>
    <row r="347" spans="2:5" ht="15" customHeight="1">
      <c r="B347" s="110"/>
      <c r="C347" s="70" t="s">
        <v>134</v>
      </c>
      <c r="D347" s="77">
        <v>49</v>
      </c>
      <c r="E347" s="78">
        <v>6.4490655435639997E-3</v>
      </c>
    </row>
    <row r="348" spans="2:5" ht="15" customHeight="1">
      <c r="B348" s="110"/>
      <c r="C348" s="70" t="s">
        <v>152</v>
      </c>
      <c r="D348" s="77">
        <v>1</v>
      </c>
      <c r="E348" s="78">
        <v>1.31613582522E-4</v>
      </c>
    </row>
    <row r="349" spans="2:5" ht="15" customHeight="1">
      <c r="B349" s="110"/>
      <c r="C349" s="70" t="s">
        <v>149</v>
      </c>
      <c r="D349" s="77">
        <v>1</v>
      </c>
      <c r="E349" s="78">
        <v>1.31613582522E-4</v>
      </c>
    </row>
    <row r="350" spans="2:5" ht="15" customHeight="1">
      <c r="B350" s="110"/>
      <c r="C350" s="70" t="s">
        <v>137</v>
      </c>
      <c r="D350" s="77">
        <v>2</v>
      </c>
      <c r="E350" s="78">
        <v>2.6322716504299998E-4</v>
      </c>
    </row>
    <row r="351" spans="2:5" ht="15" customHeight="1">
      <c r="B351" s="110"/>
      <c r="C351" s="70" t="s">
        <v>141</v>
      </c>
      <c r="D351" s="77">
        <v>1</v>
      </c>
      <c r="E351" s="78">
        <v>1.31613582522E-4</v>
      </c>
    </row>
    <row r="352" spans="2:5" ht="15" customHeight="1">
      <c r="B352" s="110"/>
      <c r="C352" s="70" t="s">
        <v>136</v>
      </c>
      <c r="D352" s="77">
        <v>6</v>
      </c>
      <c r="E352" s="78">
        <v>7.8968149513000002E-4</v>
      </c>
    </row>
    <row r="353" spans="2:5" ht="15" customHeight="1">
      <c r="B353" s="110"/>
      <c r="C353" s="70" t="s">
        <v>139</v>
      </c>
      <c r="D353" s="77">
        <v>1</v>
      </c>
      <c r="E353" s="78">
        <v>1.31613582522E-4</v>
      </c>
    </row>
    <row r="354" spans="2:5" ht="15" customHeight="1">
      <c r="B354" s="111"/>
      <c r="C354" s="91" t="s">
        <v>258</v>
      </c>
      <c r="D354" s="90">
        <v>63</v>
      </c>
      <c r="E354" s="92">
        <v>8.2916556988680001E-3</v>
      </c>
    </row>
    <row r="355" spans="2:5" ht="15" customHeight="1">
      <c r="B355" s="109" t="s">
        <v>201</v>
      </c>
      <c r="C355" s="70" t="s">
        <v>135</v>
      </c>
      <c r="D355" s="77">
        <v>2</v>
      </c>
      <c r="E355" s="78">
        <v>2.6322716504299998E-4</v>
      </c>
    </row>
    <row r="356" spans="2:5" ht="15" customHeight="1">
      <c r="B356" s="110"/>
      <c r="C356" s="70" t="s">
        <v>134</v>
      </c>
      <c r="D356" s="77">
        <v>51</v>
      </c>
      <c r="E356" s="78">
        <v>6.7122927086080003E-3</v>
      </c>
    </row>
    <row r="357" spans="2:5" ht="15" customHeight="1">
      <c r="B357" s="110"/>
      <c r="C357" s="70" t="s">
        <v>143</v>
      </c>
      <c r="D357" s="77">
        <v>2</v>
      </c>
      <c r="E357" s="78">
        <v>2.6322716504299998E-4</v>
      </c>
    </row>
    <row r="358" spans="2:5" ht="15" customHeight="1">
      <c r="B358" s="110"/>
      <c r="C358" s="70" t="s">
        <v>137</v>
      </c>
      <c r="D358" s="77">
        <v>3</v>
      </c>
      <c r="E358" s="78">
        <v>3.9484074756500001E-4</v>
      </c>
    </row>
    <row r="359" spans="2:5" ht="15" customHeight="1">
      <c r="B359" s="110"/>
      <c r="C359" s="70" t="s">
        <v>141</v>
      </c>
      <c r="D359" s="77">
        <v>1</v>
      </c>
      <c r="E359" s="78">
        <v>1.31613582522E-4</v>
      </c>
    </row>
    <row r="360" spans="2:5" ht="15" customHeight="1">
      <c r="B360" s="110"/>
      <c r="C360" s="70" t="s">
        <v>148</v>
      </c>
      <c r="D360" s="77">
        <v>2</v>
      </c>
      <c r="E360" s="78">
        <v>2.6322716504299998E-4</v>
      </c>
    </row>
    <row r="361" spans="2:5" ht="15" customHeight="1">
      <c r="B361" s="110"/>
      <c r="C361" s="70" t="s">
        <v>136</v>
      </c>
      <c r="D361" s="77">
        <v>6</v>
      </c>
      <c r="E361" s="78">
        <v>7.8968149513000002E-4</v>
      </c>
    </row>
    <row r="362" spans="2:5" ht="15" customHeight="1">
      <c r="B362" s="110"/>
      <c r="C362" s="70" t="s">
        <v>139</v>
      </c>
      <c r="D362" s="77">
        <v>2</v>
      </c>
      <c r="E362" s="78">
        <v>2.6322716504299998E-4</v>
      </c>
    </row>
    <row r="363" spans="2:5" ht="15" customHeight="1">
      <c r="B363" s="111"/>
      <c r="C363" s="91" t="s">
        <v>258</v>
      </c>
      <c r="D363" s="90">
        <v>69</v>
      </c>
      <c r="E363" s="92">
        <v>9.081337193998E-3</v>
      </c>
    </row>
    <row r="364" spans="2:5" ht="15" customHeight="1">
      <c r="B364" s="109" t="s">
        <v>202</v>
      </c>
      <c r="C364" s="70" t="s">
        <v>135</v>
      </c>
      <c r="D364" s="77">
        <v>1</v>
      </c>
      <c r="E364" s="78">
        <v>1.31613582522E-4</v>
      </c>
    </row>
    <row r="365" spans="2:5" ht="15" customHeight="1">
      <c r="B365" s="110"/>
      <c r="C365" s="70" t="s">
        <v>134</v>
      </c>
      <c r="D365" s="77">
        <v>27</v>
      </c>
      <c r="E365" s="78">
        <v>3.5535667280860001E-3</v>
      </c>
    </row>
    <row r="366" spans="2:5" ht="15" customHeight="1">
      <c r="B366" s="110"/>
      <c r="C366" s="70" t="s">
        <v>137</v>
      </c>
      <c r="D366" s="77">
        <v>2</v>
      </c>
      <c r="E366" s="78">
        <v>2.6322716504299998E-4</v>
      </c>
    </row>
    <row r="367" spans="2:5" ht="15" customHeight="1">
      <c r="B367" s="110"/>
      <c r="C367" s="70" t="s">
        <v>162</v>
      </c>
      <c r="D367" s="77">
        <v>1</v>
      </c>
      <c r="E367" s="78">
        <v>1.31613582522E-4</v>
      </c>
    </row>
    <row r="368" spans="2:5" ht="15" customHeight="1">
      <c r="B368" s="110"/>
      <c r="C368" s="70" t="s">
        <v>136</v>
      </c>
      <c r="D368" s="77">
        <v>1</v>
      </c>
      <c r="E368" s="78">
        <v>1.31613582522E-4</v>
      </c>
    </row>
    <row r="369" spans="2:5" ht="15" customHeight="1">
      <c r="B369" s="110"/>
      <c r="C369" s="70" t="s">
        <v>139</v>
      </c>
      <c r="D369" s="77">
        <v>1</v>
      </c>
      <c r="E369" s="78">
        <v>1.31613582522E-4</v>
      </c>
    </row>
    <row r="370" spans="2:5" ht="15" customHeight="1">
      <c r="B370" s="111"/>
      <c r="C370" s="91" t="s">
        <v>258</v>
      </c>
      <c r="D370" s="90">
        <v>33</v>
      </c>
      <c r="E370" s="92">
        <v>4.3432482232169996E-3</v>
      </c>
    </row>
    <row r="371" spans="2:5" ht="15" customHeight="1">
      <c r="B371" s="109" t="s">
        <v>203</v>
      </c>
      <c r="C371" s="70" t="s">
        <v>134</v>
      </c>
      <c r="D371" s="77">
        <v>13</v>
      </c>
      <c r="E371" s="78">
        <v>1.7109765727819999E-3</v>
      </c>
    </row>
    <row r="372" spans="2:5" ht="15" customHeight="1">
      <c r="B372" s="110"/>
      <c r="C372" s="70" t="s">
        <v>138</v>
      </c>
      <c r="D372" s="77">
        <v>1</v>
      </c>
      <c r="E372" s="78">
        <v>1.31613582522E-4</v>
      </c>
    </row>
    <row r="373" spans="2:5" ht="15" customHeight="1">
      <c r="B373" s="111"/>
      <c r="C373" s="91" t="s">
        <v>258</v>
      </c>
      <c r="D373" s="90">
        <v>14</v>
      </c>
      <c r="E373" s="92">
        <v>1.842590155304E-3</v>
      </c>
    </row>
    <row r="374" spans="2:5" ht="15" customHeight="1">
      <c r="B374" s="109" t="s">
        <v>115</v>
      </c>
      <c r="C374" s="70" t="s">
        <v>135</v>
      </c>
      <c r="D374" s="77">
        <v>16</v>
      </c>
      <c r="E374" s="78">
        <v>2.1058173203470001E-3</v>
      </c>
    </row>
    <row r="375" spans="2:5" ht="15" customHeight="1">
      <c r="B375" s="110"/>
      <c r="C375" s="70" t="s">
        <v>134</v>
      </c>
      <c r="D375" s="77">
        <v>111</v>
      </c>
      <c r="E375" s="78">
        <v>1.4609107659911E-2</v>
      </c>
    </row>
    <row r="376" spans="2:5" ht="15" customHeight="1">
      <c r="B376" s="110"/>
      <c r="C376" s="70" t="s">
        <v>146</v>
      </c>
      <c r="D376" s="77">
        <v>1</v>
      </c>
      <c r="E376" s="78">
        <v>1.31613582522E-4</v>
      </c>
    </row>
    <row r="377" spans="2:5" ht="15" customHeight="1">
      <c r="B377" s="110"/>
      <c r="C377" s="70" t="s">
        <v>140</v>
      </c>
      <c r="D377" s="77">
        <v>3</v>
      </c>
      <c r="E377" s="78">
        <v>3.9484074756500001E-4</v>
      </c>
    </row>
    <row r="378" spans="2:5" ht="15" customHeight="1">
      <c r="B378" s="110"/>
      <c r="C378" s="70" t="s">
        <v>151</v>
      </c>
      <c r="D378" s="77">
        <v>1</v>
      </c>
      <c r="E378" s="78">
        <v>1.31613582522E-4</v>
      </c>
    </row>
    <row r="379" spans="2:5" ht="15" customHeight="1">
      <c r="B379" s="110"/>
      <c r="C379" s="70" t="s">
        <v>147</v>
      </c>
      <c r="D379" s="77">
        <v>1</v>
      </c>
      <c r="E379" s="78">
        <v>1.31613582522E-4</v>
      </c>
    </row>
    <row r="380" spans="2:5" ht="15" customHeight="1">
      <c r="B380" s="110"/>
      <c r="C380" s="70" t="s">
        <v>138</v>
      </c>
      <c r="D380" s="77">
        <v>7</v>
      </c>
      <c r="E380" s="78">
        <v>9.2129507765199999E-4</v>
      </c>
    </row>
    <row r="381" spans="2:5" ht="15" customHeight="1">
      <c r="B381" s="110"/>
      <c r="C381" s="70" t="s">
        <v>157</v>
      </c>
      <c r="D381" s="77">
        <v>1</v>
      </c>
      <c r="E381" s="78">
        <v>1.31613582522E-4</v>
      </c>
    </row>
    <row r="382" spans="2:5" ht="15" customHeight="1">
      <c r="B382" s="110"/>
      <c r="C382" s="70" t="s">
        <v>149</v>
      </c>
      <c r="D382" s="77">
        <v>1</v>
      </c>
      <c r="E382" s="78">
        <v>1.31613582522E-4</v>
      </c>
    </row>
    <row r="383" spans="2:5" ht="15" customHeight="1">
      <c r="B383" s="110"/>
      <c r="C383" s="70" t="s">
        <v>177</v>
      </c>
      <c r="D383" s="77">
        <v>1</v>
      </c>
      <c r="E383" s="78">
        <v>1.31613582522E-4</v>
      </c>
    </row>
    <row r="384" spans="2:5" ht="15" customHeight="1">
      <c r="B384" s="110"/>
      <c r="C384" s="70" t="s">
        <v>155</v>
      </c>
      <c r="D384" s="77">
        <v>1</v>
      </c>
      <c r="E384" s="78">
        <v>1.31613582522E-4</v>
      </c>
    </row>
    <row r="385" spans="2:5" ht="15" customHeight="1">
      <c r="B385" s="110"/>
      <c r="C385" s="70" t="s">
        <v>137</v>
      </c>
      <c r="D385" s="77">
        <v>5</v>
      </c>
      <c r="E385" s="78">
        <v>6.5806791260900001E-4</v>
      </c>
    </row>
    <row r="386" spans="2:5" ht="15" customHeight="1">
      <c r="B386" s="110"/>
      <c r="C386" s="70" t="s">
        <v>153</v>
      </c>
      <c r="D386" s="77">
        <v>1</v>
      </c>
      <c r="E386" s="78">
        <v>1.31613582522E-4</v>
      </c>
    </row>
    <row r="387" spans="2:5" ht="15" customHeight="1">
      <c r="B387" s="110"/>
      <c r="C387" s="70" t="s">
        <v>144</v>
      </c>
      <c r="D387" s="77">
        <v>3</v>
      </c>
      <c r="E387" s="78">
        <v>3.9484074756500001E-4</v>
      </c>
    </row>
    <row r="388" spans="2:5" ht="15" customHeight="1">
      <c r="B388" s="110"/>
      <c r="C388" s="70" t="s">
        <v>141</v>
      </c>
      <c r="D388" s="77">
        <v>2</v>
      </c>
      <c r="E388" s="78">
        <v>2.6322716504299998E-4</v>
      </c>
    </row>
    <row r="389" spans="2:5" ht="15" customHeight="1">
      <c r="B389" s="110"/>
      <c r="C389" s="70" t="s">
        <v>148</v>
      </c>
      <c r="D389" s="77">
        <v>2</v>
      </c>
      <c r="E389" s="78">
        <v>2.6322716504299998E-4</v>
      </c>
    </row>
    <row r="390" spans="2:5" ht="15" customHeight="1">
      <c r="B390" s="110"/>
      <c r="C390" s="70" t="s">
        <v>136</v>
      </c>
      <c r="D390" s="77">
        <v>11</v>
      </c>
      <c r="E390" s="78">
        <v>1.447749407739E-3</v>
      </c>
    </row>
    <row r="391" spans="2:5" ht="15" customHeight="1">
      <c r="B391" s="110"/>
      <c r="C391" s="70" t="s">
        <v>139</v>
      </c>
      <c r="D391" s="77">
        <v>5</v>
      </c>
      <c r="E391" s="78">
        <v>6.5806791260900001E-4</v>
      </c>
    </row>
    <row r="392" spans="2:5" ht="15" customHeight="1">
      <c r="B392" s="110"/>
      <c r="C392" s="70" t="s">
        <v>145</v>
      </c>
      <c r="D392" s="77">
        <v>1</v>
      </c>
      <c r="E392" s="78">
        <v>1.31613582522E-4</v>
      </c>
    </row>
    <row r="393" spans="2:5" ht="15" customHeight="1">
      <c r="B393" s="110"/>
      <c r="C393" s="70" t="s">
        <v>167</v>
      </c>
      <c r="D393" s="77">
        <v>1</v>
      </c>
      <c r="E393" s="78">
        <v>1.31613582522E-4</v>
      </c>
    </row>
    <row r="394" spans="2:5" ht="15" customHeight="1">
      <c r="B394" s="111"/>
      <c r="C394" s="91" t="s">
        <v>258</v>
      </c>
      <c r="D394" s="90">
        <v>175</v>
      </c>
      <c r="E394" s="92">
        <v>2.30323769413E-2</v>
      </c>
    </row>
    <row r="395" spans="2:5" ht="15" customHeight="1">
      <c r="B395" s="109" t="s">
        <v>116</v>
      </c>
      <c r="C395" s="70" t="s">
        <v>163</v>
      </c>
      <c r="D395" s="77">
        <v>1</v>
      </c>
      <c r="E395" s="78">
        <v>1.31613582522E-4</v>
      </c>
    </row>
    <row r="396" spans="2:5" ht="15" customHeight="1">
      <c r="B396" s="110"/>
      <c r="C396" s="70" t="s">
        <v>135</v>
      </c>
      <c r="D396" s="77">
        <v>32</v>
      </c>
      <c r="E396" s="78">
        <v>4.2116346406950002E-3</v>
      </c>
    </row>
    <row r="397" spans="2:5" ht="15" customHeight="1">
      <c r="B397" s="110"/>
      <c r="C397" s="70" t="s">
        <v>150</v>
      </c>
      <c r="D397" s="77">
        <v>3</v>
      </c>
      <c r="E397" s="78">
        <v>3.9484074756500001E-4</v>
      </c>
    </row>
    <row r="398" spans="2:5" ht="15" customHeight="1">
      <c r="B398" s="110"/>
      <c r="C398" s="70" t="s">
        <v>134</v>
      </c>
      <c r="D398" s="77">
        <v>334</v>
      </c>
      <c r="E398" s="78">
        <v>4.3958936562252998E-2</v>
      </c>
    </row>
    <row r="399" spans="2:5" ht="15" customHeight="1">
      <c r="B399" s="110"/>
      <c r="C399" s="70" t="s">
        <v>146</v>
      </c>
      <c r="D399" s="77">
        <v>1</v>
      </c>
      <c r="E399" s="78">
        <v>1.31613582522E-4</v>
      </c>
    </row>
    <row r="400" spans="2:5" ht="15" customHeight="1">
      <c r="B400" s="110"/>
      <c r="C400" s="70" t="s">
        <v>140</v>
      </c>
      <c r="D400" s="77">
        <v>11</v>
      </c>
      <c r="E400" s="78">
        <v>1.447749407739E-3</v>
      </c>
    </row>
    <row r="401" spans="2:5" ht="15" customHeight="1">
      <c r="B401" s="110"/>
      <c r="C401" s="70" t="s">
        <v>151</v>
      </c>
      <c r="D401" s="77">
        <v>4</v>
      </c>
      <c r="E401" s="78">
        <v>5.2645433008700004E-4</v>
      </c>
    </row>
    <row r="402" spans="2:5" ht="15" customHeight="1">
      <c r="B402" s="110"/>
      <c r="C402" s="70" t="s">
        <v>147</v>
      </c>
      <c r="D402" s="77">
        <v>3</v>
      </c>
      <c r="E402" s="78">
        <v>3.9484074756500001E-4</v>
      </c>
    </row>
    <row r="403" spans="2:5" ht="15" customHeight="1">
      <c r="B403" s="110"/>
      <c r="C403" s="70" t="s">
        <v>138</v>
      </c>
      <c r="D403" s="77">
        <v>15</v>
      </c>
      <c r="E403" s="78">
        <v>1.9742037378259998E-3</v>
      </c>
    </row>
    <row r="404" spans="2:5" ht="15" customHeight="1">
      <c r="B404" s="110"/>
      <c r="C404" s="70" t="s">
        <v>143</v>
      </c>
      <c r="D404" s="77">
        <v>3</v>
      </c>
      <c r="E404" s="78">
        <v>3.9484074756500001E-4</v>
      </c>
    </row>
    <row r="405" spans="2:5" ht="15" customHeight="1">
      <c r="B405" s="110"/>
      <c r="C405" s="70" t="s">
        <v>159</v>
      </c>
      <c r="D405" s="77">
        <v>2</v>
      </c>
      <c r="E405" s="78">
        <v>2.6322716504299998E-4</v>
      </c>
    </row>
    <row r="406" spans="2:5" ht="15" customHeight="1">
      <c r="B406" s="110"/>
      <c r="C406" s="70" t="s">
        <v>169</v>
      </c>
      <c r="D406" s="77">
        <v>2</v>
      </c>
      <c r="E406" s="78">
        <v>2.6322716504299998E-4</v>
      </c>
    </row>
    <row r="407" spans="2:5" ht="15" customHeight="1">
      <c r="B407" s="110"/>
      <c r="C407" s="70" t="s">
        <v>156</v>
      </c>
      <c r="D407" s="77">
        <v>2</v>
      </c>
      <c r="E407" s="78">
        <v>2.6322716504299998E-4</v>
      </c>
    </row>
    <row r="408" spans="2:5" ht="15" customHeight="1">
      <c r="B408" s="110"/>
      <c r="C408" s="70" t="s">
        <v>149</v>
      </c>
      <c r="D408" s="77">
        <v>4</v>
      </c>
      <c r="E408" s="78">
        <v>5.2645433008700004E-4</v>
      </c>
    </row>
    <row r="409" spans="2:5" ht="15" customHeight="1">
      <c r="B409" s="110"/>
      <c r="C409" s="70" t="s">
        <v>154</v>
      </c>
      <c r="D409" s="77">
        <v>2</v>
      </c>
      <c r="E409" s="78">
        <v>2.6322716504299998E-4</v>
      </c>
    </row>
    <row r="410" spans="2:5" ht="15" customHeight="1">
      <c r="B410" s="110"/>
      <c r="C410" s="70" t="s">
        <v>155</v>
      </c>
      <c r="D410" s="77">
        <v>4</v>
      </c>
      <c r="E410" s="78">
        <v>5.2645433008700004E-4</v>
      </c>
    </row>
    <row r="411" spans="2:5" ht="15" customHeight="1">
      <c r="B411" s="110"/>
      <c r="C411" s="70" t="s">
        <v>137</v>
      </c>
      <c r="D411" s="77">
        <v>21</v>
      </c>
      <c r="E411" s="78">
        <v>2.7638852329560002E-3</v>
      </c>
    </row>
    <row r="412" spans="2:5" ht="15" customHeight="1">
      <c r="B412" s="110"/>
      <c r="C412" s="70" t="s">
        <v>161</v>
      </c>
      <c r="D412" s="77">
        <v>3</v>
      </c>
      <c r="E412" s="78">
        <v>3.9484074756500001E-4</v>
      </c>
    </row>
    <row r="413" spans="2:5" ht="15" customHeight="1">
      <c r="B413" s="110"/>
      <c r="C413" s="70" t="s">
        <v>153</v>
      </c>
      <c r="D413" s="77">
        <v>9</v>
      </c>
      <c r="E413" s="78">
        <v>1.1845222426950001E-3</v>
      </c>
    </row>
    <row r="414" spans="2:5" ht="15" customHeight="1">
      <c r="B414" s="110"/>
      <c r="C414" s="70" t="s">
        <v>144</v>
      </c>
      <c r="D414" s="77">
        <v>3</v>
      </c>
      <c r="E414" s="78">
        <v>3.9484074756500001E-4</v>
      </c>
    </row>
    <row r="415" spans="2:5" ht="15" customHeight="1">
      <c r="B415" s="110"/>
      <c r="C415" s="70" t="s">
        <v>158</v>
      </c>
      <c r="D415" s="77">
        <v>1</v>
      </c>
      <c r="E415" s="78">
        <v>1.31613582522E-4</v>
      </c>
    </row>
    <row r="416" spans="2:5" ht="15" customHeight="1">
      <c r="B416" s="110"/>
      <c r="C416" s="70" t="s">
        <v>141</v>
      </c>
      <c r="D416" s="77">
        <v>4</v>
      </c>
      <c r="E416" s="78">
        <v>5.2645433008700004E-4</v>
      </c>
    </row>
    <row r="417" spans="2:5" ht="15" customHeight="1">
      <c r="B417" s="110"/>
      <c r="C417" s="70" t="s">
        <v>148</v>
      </c>
      <c r="D417" s="77">
        <v>5</v>
      </c>
      <c r="E417" s="78">
        <v>6.5806791260900001E-4</v>
      </c>
    </row>
    <row r="418" spans="2:5" ht="15" customHeight="1">
      <c r="B418" s="110"/>
      <c r="C418" s="70" t="s">
        <v>160</v>
      </c>
      <c r="D418" s="77">
        <v>1</v>
      </c>
      <c r="E418" s="78">
        <v>1.31613582522E-4</v>
      </c>
    </row>
    <row r="419" spans="2:5" ht="15" customHeight="1">
      <c r="B419" s="110"/>
      <c r="C419" s="70" t="s">
        <v>171</v>
      </c>
      <c r="D419" s="77">
        <v>1</v>
      </c>
      <c r="E419" s="78">
        <v>1.31613582522E-4</v>
      </c>
    </row>
    <row r="420" spans="2:5" ht="15" customHeight="1">
      <c r="B420" s="110"/>
      <c r="C420" s="70" t="s">
        <v>142</v>
      </c>
      <c r="D420" s="77">
        <v>1</v>
      </c>
      <c r="E420" s="78">
        <v>1.31613582522E-4</v>
      </c>
    </row>
    <row r="421" spans="2:5" ht="15" customHeight="1">
      <c r="B421" s="110"/>
      <c r="C421" s="70" t="s">
        <v>136</v>
      </c>
      <c r="D421" s="77">
        <v>23</v>
      </c>
      <c r="E421" s="78">
        <v>3.0271123979989998E-3</v>
      </c>
    </row>
    <row r="422" spans="2:5" ht="15" customHeight="1">
      <c r="B422" s="110"/>
      <c r="C422" s="70" t="s">
        <v>139</v>
      </c>
      <c r="D422" s="77">
        <v>7</v>
      </c>
      <c r="E422" s="78">
        <v>9.2129507765199999E-4</v>
      </c>
    </row>
    <row r="423" spans="2:5" ht="15" customHeight="1">
      <c r="B423" s="110"/>
      <c r="C423" s="70" t="s">
        <v>87</v>
      </c>
      <c r="D423" s="77">
        <v>3</v>
      </c>
      <c r="E423" s="78">
        <v>3.9484074756500001E-4</v>
      </c>
    </row>
    <row r="424" spans="2:5" ht="15" customHeight="1">
      <c r="B424" s="110"/>
      <c r="C424" s="70" t="s">
        <v>145</v>
      </c>
      <c r="D424" s="77">
        <v>4</v>
      </c>
      <c r="E424" s="78">
        <v>5.2645433008700004E-4</v>
      </c>
    </row>
    <row r="425" spans="2:5" ht="15" customHeight="1">
      <c r="B425" s="111"/>
      <c r="C425" s="91" t="s">
        <v>258</v>
      </c>
      <c r="D425" s="90">
        <v>509</v>
      </c>
      <c r="E425" s="92">
        <v>6.6991313503554001E-2</v>
      </c>
    </row>
    <row r="426" spans="2:5" ht="15" customHeight="1">
      <c r="B426" s="109" t="s">
        <v>117</v>
      </c>
      <c r="C426" s="70" t="s">
        <v>150</v>
      </c>
      <c r="D426" s="77">
        <v>1</v>
      </c>
      <c r="E426" s="78">
        <v>1.31613582522E-4</v>
      </c>
    </row>
    <row r="427" spans="2:5" ht="15" customHeight="1">
      <c r="B427" s="110"/>
      <c r="C427" s="70" t="s">
        <v>134</v>
      </c>
      <c r="D427" s="77">
        <v>3</v>
      </c>
      <c r="E427" s="78">
        <v>3.9484074756500001E-4</v>
      </c>
    </row>
    <row r="428" spans="2:5" ht="15" customHeight="1">
      <c r="B428" s="110"/>
      <c r="C428" s="70" t="s">
        <v>140</v>
      </c>
      <c r="D428" s="77">
        <v>1</v>
      </c>
      <c r="E428" s="78">
        <v>1.31613582522E-4</v>
      </c>
    </row>
    <row r="429" spans="2:5" ht="15" customHeight="1">
      <c r="B429" s="110"/>
      <c r="C429" s="70" t="s">
        <v>147</v>
      </c>
      <c r="D429" s="77">
        <v>1</v>
      </c>
      <c r="E429" s="78">
        <v>1.31613582522E-4</v>
      </c>
    </row>
    <row r="430" spans="2:5" ht="15" customHeight="1">
      <c r="B430" s="110"/>
      <c r="C430" s="70" t="s">
        <v>143</v>
      </c>
      <c r="D430" s="77">
        <v>1</v>
      </c>
      <c r="E430" s="78">
        <v>1.31613582522E-4</v>
      </c>
    </row>
    <row r="431" spans="2:5" ht="15" customHeight="1">
      <c r="B431" s="110"/>
      <c r="C431" s="70" t="s">
        <v>157</v>
      </c>
      <c r="D431" s="77">
        <v>2</v>
      </c>
      <c r="E431" s="78">
        <v>2.6322716504299998E-4</v>
      </c>
    </row>
    <row r="432" spans="2:5" ht="15" customHeight="1">
      <c r="B432" s="110"/>
      <c r="C432" s="70" t="s">
        <v>152</v>
      </c>
      <c r="D432" s="77">
        <v>1</v>
      </c>
      <c r="E432" s="78">
        <v>1.31613582522E-4</v>
      </c>
    </row>
    <row r="433" spans="2:5" ht="15" customHeight="1">
      <c r="B433" s="110"/>
      <c r="C433" s="70" t="s">
        <v>161</v>
      </c>
      <c r="D433" s="77">
        <v>2</v>
      </c>
      <c r="E433" s="78">
        <v>2.6322716504299998E-4</v>
      </c>
    </row>
    <row r="434" spans="2:5" ht="15" customHeight="1">
      <c r="B434" s="110"/>
      <c r="C434" s="70" t="s">
        <v>153</v>
      </c>
      <c r="D434" s="77">
        <v>1</v>
      </c>
      <c r="E434" s="78">
        <v>1.31613582522E-4</v>
      </c>
    </row>
    <row r="435" spans="2:5" ht="15" customHeight="1">
      <c r="B435" s="110"/>
      <c r="C435" s="70" t="s">
        <v>142</v>
      </c>
      <c r="D435" s="77">
        <v>4</v>
      </c>
      <c r="E435" s="78">
        <v>5.2645433008700004E-4</v>
      </c>
    </row>
    <row r="436" spans="2:5" ht="15" customHeight="1">
      <c r="B436" s="110"/>
      <c r="C436" s="70" t="s">
        <v>136</v>
      </c>
      <c r="D436" s="77">
        <v>2</v>
      </c>
      <c r="E436" s="78">
        <v>2.6322716504299998E-4</v>
      </c>
    </row>
    <row r="437" spans="2:5" ht="15" customHeight="1">
      <c r="B437" s="111"/>
      <c r="C437" s="91" t="s">
        <v>258</v>
      </c>
      <c r="D437" s="90">
        <v>19</v>
      </c>
      <c r="E437" s="92">
        <v>2.5006580679130001E-3</v>
      </c>
    </row>
    <row r="438" spans="2:5" ht="15" customHeight="1">
      <c r="B438" s="109" t="s">
        <v>118</v>
      </c>
      <c r="C438" s="70" t="s">
        <v>135</v>
      </c>
      <c r="D438" s="77">
        <v>4</v>
      </c>
      <c r="E438" s="78">
        <v>5.2645433008700004E-4</v>
      </c>
    </row>
    <row r="439" spans="2:5" ht="15" customHeight="1">
      <c r="B439" s="110"/>
      <c r="C439" s="70" t="s">
        <v>134</v>
      </c>
      <c r="D439" s="77">
        <v>24</v>
      </c>
      <c r="E439" s="78">
        <v>3.1587259805210001E-3</v>
      </c>
    </row>
    <row r="440" spans="2:5" ht="15" customHeight="1">
      <c r="B440" s="110"/>
      <c r="C440" s="70" t="s">
        <v>146</v>
      </c>
      <c r="D440" s="77">
        <v>1</v>
      </c>
      <c r="E440" s="78">
        <v>1.31613582522E-4</v>
      </c>
    </row>
    <row r="441" spans="2:5" ht="15" customHeight="1">
      <c r="B441" s="110"/>
      <c r="C441" s="70" t="s">
        <v>140</v>
      </c>
      <c r="D441" s="77">
        <v>1</v>
      </c>
      <c r="E441" s="78">
        <v>1.31613582522E-4</v>
      </c>
    </row>
    <row r="442" spans="2:5" ht="15" customHeight="1">
      <c r="B442" s="110"/>
      <c r="C442" s="70" t="s">
        <v>151</v>
      </c>
      <c r="D442" s="77">
        <v>1</v>
      </c>
      <c r="E442" s="78">
        <v>1.31613582522E-4</v>
      </c>
    </row>
    <row r="443" spans="2:5" ht="15" customHeight="1">
      <c r="B443" s="110"/>
      <c r="C443" s="70" t="s">
        <v>136</v>
      </c>
      <c r="D443" s="77">
        <v>2</v>
      </c>
      <c r="E443" s="78">
        <v>2.6322716504299998E-4</v>
      </c>
    </row>
    <row r="444" spans="2:5" ht="15" customHeight="1">
      <c r="B444" s="110"/>
      <c r="C444" s="70" t="s">
        <v>87</v>
      </c>
      <c r="D444" s="77">
        <v>1</v>
      </c>
      <c r="E444" s="78">
        <v>1.31613582522E-4</v>
      </c>
    </row>
    <row r="445" spans="2:5" ht="15" customHeight="1">
      <c r="B445" s="111"/>
      <c r="C445" s="91" t="s">
        <v>258</v>
      </c>
      <c r="D445" s="90">
        <v>34</v>
      </c>
      <c r="E445" s="92">
        <v>4.4748618057379999E-3</v>
      </c>
    </row>
    <row r="446" spans="2:5" ht="15" customHeight="1">
      <c r="B446" s="109" t="s">
        <v>119</v>
      </c>
      <c r="C446" s="70" t="s">
        <v>134</v>
      </c>
      <c r="D446" s="77">
        <v>1</v>
      </c>
      <c r="E446" s="78">
        <v>1.31613582522E-4</v>
      </c>
    </row>
    <row r="447" spans="2:5" ht="15" customHeight="1">
      <c r="B447" s="110"/>
      <c r="C447" s="70" t="s">
        <v>148</v>
      </c>
      <c r="D447" s="77">
        <v>2</v>
      </c>
      <c r="E447" s="78">
        <v>2.6322716504299998E-4</v>
      </c>
    </row>
    <row r="448" spans="2:5" ht="15" customHeight="1">
      <c r="B448" s="110"/>
      <c r="C448" s="70" t="s">
        <v>136</v>
      </c>
      <c r="D448" s="77">
        <v>1</v>
      </c>
      <c r="E448" s="78">
        <v>1.31613582522E-4</v>
      </c>
    </row>
    <row r="449" spans="2:7" ht="16" customHeight="1">
      <c r="B449" s="111"/>
      <c r="C449" s="91" t="s">
        <v>258</v>
      </c>
      <c r="D449" s="90">
        <v>4</v>
      </c>
      <c r="E449" s="92">
        <v>5.2645433008700004E-4</v>
      </c>
    </row>
    <row r="450" spans="2:7" ht="15" customHeight="1">
      <c r="B450" s="106" t="s">
        <v>258</v>
      </c>
      <c r="C450" s="107"/>
      <c r="D450" s="80">
        <v>7598</v>
      </c>
      <c r="E450" s="81">
        <v>1</v>
      </c>
    </row>
    <row r="451" spans="2:7" ht="15" customHeight="1">
      <c r="B451" s="66"/>
      <c r="C451" s="66"/>
      <c r="D451" s="66"/>
      <c r="E451" s="66"/>
    </row>
    <row r="452" spans="2:7" ht="15" customHeight="1">
      <c r="B452" s="48" t="s">
        <v>130</v>
      </c>
      <c r="D452" s="49"/>
      <c r="E452" s="44"/>
      <c r="F452" s="13"/>
      <c r="G452" s="13"/>
    </row>
    <row r="453" spans="2:7" ht="15" customHeight="1">
      <c r="B453" s="50" t="s">
        <v>17</v>
      </c>
      <c r="D453" s="49"/>
      <c r="E453" s="44"/>
      <c r="F453" s="13"/>
      <c r="G453" s="13"/>
    </row>
    <row r="454" spans="2:7" ht="15" customHeight="1">
      <c r="B454" s="51" t="s">
        <v>45</v>
      </c>
      <c r="D454" s="49"/>
      <c r="E454" s="44"/>
      <c r="F454" s="13"/>
      <c r="G454" s="13"/>
    </row>
    <row r="455" spans="2:7" ht="15" customHeight="1">
      <c r="B455" s="48" t="s">
        <v>16</v>
      </c>
      <c r="D455" s="49"/>
      <c r="E455" s="44"/>
      <c r="F455" s="13"/>
      <c r="G455" s="13"/>
    </row>
    <row r="456" spans="2:7" ht="15" customHeight="1">
      <c r="B456" s="48" t="s">
        <v>259</v>
      </c>
      <c r="D456" s="49"/>
      <c r="E456" s="44"/>
      <c r="F456" s="13"/>
      <c r="G456" s="13"/>
    </row>
  </sheetData>
  <mergeCells count="27">
    <mergeCell ref="B446:B449"/>
    <mergeCell ref="B371:B373"/>
    <mergeCell ref="B374:B394"/>
    <mergeCell ref="B395:B425"/>
    <mergeCell ref="B426:B437"/>
    <mergeCell ref="B438:B445"/>
    <mergeCell ref="B262:B298"/>
    <mergeCell ref="B299:B345"/>
    <mergeCell ref="B346:B354"/>
    <mergeCell ref="B355:B363"/>
    <mergeCell ref="B364:B370"/>
    <mergeCell ref="B450:C450"/>
    <mergeCell ref="B7:E8"/>
    <mergeCell ref="B10:B17"/>
    <mergeCell ref="B18:B19"/>
    <mergeCell ref="B20:B25"/>
    <mergeCell ref="B26:B33"/>
    <mergeCell ref="B34:B44"/>
    <mergeCell ref="B45:B56"/>
    <mergeCell ref="B57:B70"/>
    <mergeCell ref="B71:B99"/>
    <mergeCell ref="B100:B132"/>
    <mergeCell ref="B133:B154"/>
    <mergeCell ref="B155:B177"/>
    <mergeCell ref="B178:B199"/>
    <mergeCell ref="B200:B243"/>
    <mergeCell ref="B244:B26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2" orientation="portrait" r:id="rId1"/>
  <rowBreaks count="1" manualBreakCount="1">
    <brk id="405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665"/>
  <sheetViews>
    <sheetView showGridLines="0" view="pageBreakPreview" topLeftCell="A632" zoomScale="90" zoomScaleNormal="100" zoomScaleSheetLayoutView="90" workbookViewId="0">
      <selection activeCell="H664" sqref="H664"/>
    </sheetView>
  </sheetViews>
  <sheetFormatPr baseColWidth="10" defaultColWidth="35" defaultRowHeight="15" customHeight="1"/>
  <cols>
    <col min="1" max="1" width="1" style="19" customWidth="1"/>
    <col min="2" max="2" width="22.81640625" style="20" customWidth="1"/>
    <col min="3" max="3" width="31.453125" style="20" customWidth="1"/>
    <col min="4" max="4" width="14.26953125" style="20" customWidth="1"/>
    <col min="5" max="5" width="16.8164062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24"/>
      <c r="C6" s="21"/>
      <c r="D6" s="21"/>
      <c r="E6" s="21"/>
    </row>
    <row r="7" spans="1:5" s="22" customFormat="1" ht="26.25" customHeight="1">
      <c r="A7" s="23"/>
      <c r="B7" s="108"/>
      <c r="C7" s="108"/>
      <c r="D7" s="108"/>
      <c r="E7" s="108"/>
    </row>
    <row r="8" spans="1:5" s="22" customFormat="1" ht="33" customHeight="1">
      <c r="A8" s="23"/>
      <c r="B8" s="108"/>
      <c r="C8" s="108"/>
      <c r="D8" s="108"/>
      <c r="E8" s="108"/>
    </row>
    <row r="9" spans="1:5" s="15" customFormat="1" ht="40.5" customHeight="1">
      <c r="B9" s="69" t="s">
        <v>21</v>
      </c>
      <c r="C9" s="69" t="s">
        <v>26</v>
      </c>
      <c r="D9" s="94" t="s">
        <v>19</v>
      </c>
      <c r="E9" s="69" t="s">
        <v>18</v>
      </c>
    </row>
    <row r="10" spans="1:5" ht="15" customHeight="1">
      <c r="B10" s="109" t="s">
        <v>82</v>
      </c>
      <c r="C10" s="76" t="s">
        <v>98</v>
      </c>
      <c r="D10" s="77">
        <v>1</v>
      </c>
      <c r="E10" s="78">
        <v>1.31613582522E-4</v>
      </c>
    </row>
    <row r="11" spans="1:5" ht="15" customHeight="1">
      <c r="B11" s="110"/>
      <c r="C11" s="76" t="s">
        <v>103</v>
      </c>
      <c r="D11" s="77">
        <v>1</v>
      </c>
      <c r="E11" s="78">
        <v>1.31613582522E-4</v>
      </c>
    </row>
    <row r="12" spans="1:5" ht="15" customHeight="1">
      <c r="B12" s="110"/>
      <c r="C12" s="76" t="s">
        <v>107</v>
      </c>
      <c r="D12" s="77">
        <v>1</v>
      </c>
      <c r="E12" s="78">
        <v>1.31613582522E-4</v>
      </c>
    </row>
    <row r="13" spans="1:5" ht="15" customHeight="1">
      <c r="B13" s="110"/>
      <c r="C13" s="76" t="s">
        <v>108</v>
      </c>
      <c r="D13" s="77">
        <v>1</v>
      </c>
      <c r="E13" s="78">
        <v>1.31613582522E-4</v>
      </c>
    </row>
    <row r="14" spans="1:5" ht="15" customHeight="1">
      <c r="B14" s="110"/>
      <c r="C14" s="76" t="s">
        <v>109</v>
      </c>
      <c r="D14" s="77">
        <v>3</v>
      </c>
      <c r="E14" s="78">
        <v>3.9484074756500001E-4</v>
      </c>
    </row>
    <row r="15" spans="1:5" ht="15" customHeight="1">
      <c r="B15" s="110"/>
      <c r="C15" s="76" t="s">
        <v>110</v>
      </c>
      <c r="D15" s="77">
        <v>7</v>
      </c>
      <c r="E15" s="78">
        <v>9.2129507765199999E-4</v>
      </c>
    </row>
    <row r="16" spans="1:5" ht="15" customHeight="1">
      <c r="B16" s="110"/>
      <c r="C16" s="76" t="s">
        <v>113</v>
      </c>
      <c r="D16" s="77">
        <v>1</v>
      </c>
      <c r="E16" s="78">
        <v>1.31613582522E-4</v>
      </c>
    </row>
    <row r="17" spans="2:5" ht="15" customHeight="1">
      <c r="B17" s="111"/>
      <c r="C17" s="95" t="s">
        <v>258</v>
      </c>
      <c r="D17" s="90">
        <v>15</v>
      </c>
      <c r="E17" s="92">
        <v>1.9742037378259998E-3</v>
      </c>
    </row>
    <row r="18" spans="2:5" ht="15" customHeight="1">
      <c r="B18" s="109" t="s">
        <v>63</v>
      </c>
      <c r="C18" s="76" t="s">
        <v>101</v>
      </c>
      <c r="D18" s="77">
        <v>1</v>
      </c>
      <c r="E18" s="78">
        <v>1.31613582522E-4</v>
      </c>
    </row>
    <row r="19" spans="2:5" ht="15" customHeight="1">
      <c r="B19" s="110"/>
      <c r="C19" s="76" t="s">
        <v>102</v>
      </c>
      <c r="D19" s="77">
        <v>3</v>
      </c>
      <c r="E19" s="78">
        <v>3.9484074756500001E-4</v>
      </c>
    </row>
    <row r="20" spans="2:5" ht="15" customHeight="1">
      <c r="B20" s="110"/>
      <c r="C20" s="76" t="s">
        <v>103</v>
      </c>
      <c r="D20" s="77">
        <v>4</v>
      </c>
      <c r="E20" s="78">
        <v>5.2645433008700004E-4</v>
      </c>
    </row>
    <row r="21" spans="2:5" ht="15" customHeight="1">
      <c r="B21" s="110"/>
      <c r="C21" s="76" t="s">
        <v>105</v>
      </c>
      <c r="D21" s="77">
        <v>3</v>
      </c>
      <c r="E21" s="78">
        <v>3.9484074756500001E-4</v>
      </c>
    </row>
    <row r="22" spans="2:5" ht="15" customHeight="1">
      <c r="B22" s="110"/>
      <c r="C22" s="76" t="s">
        <v>106</v>
      </c>
      <c r="D22" s="77">
        <v>1</v>
      </c>
      <c r="E22" s="78">
        <v>1.31613582522E-4</v>
      </c>
    </row>
    <row r="23" spans="2:5" ht="15" customHeight="1">
      <c r="B23" s="110"/>
      <c r="C23" s="76" t="s">
        <v>107</v>
      </c>
      <c r="D23" s="77">
        <v>14</v>
      </c>
      <c r="E23" s="78">
        <v>1.842590155304E-3</v>
      </c>
    </row>
    <row r="24" spans="2:5" ht="15" customHeight="1">
      <c r="B24" s="110"/>
      <c r="C24" s="76" t="s">
        <v>108</v>
      </c>
      <c r="D24" s="77">
        <v>1</v>
      </c>
      <c r="E24" s="78">
        <v>1.31613582522E-4</v>
      </c>
    </row>
    <row r="25" spans="2:5" ht="15" customHeight="1">
      <c r="B25" s="110"/>
      <c r="C25" s="76" t="s">
        <v>109</v>
      </c>
      <c r="D25" s="77">
        <v>14</v>
      </c>
      <c r="E25" s="78">
        <v>1.842590155304E-3</v>
      </c>
    </row>
    <row r="26" spans="2:5" ht="15" customHeight="1">
      <c r="B26" s="110"/>
      <c r="C26" s="76" t="s">
        <v>110</v>
      </c>
      <c r="D26" s="77">
        <v>20</v>
      </c>
      <c r="E26" s="78">
        <v>2.6322716504339999E-3</v>
      </c>
    </row>
    <row r="27" spans="2:5" ht="15" customHeight="1">
      <c r="B27" s="110"/>
      <c r="C27" s="76" t="s">
        <v>116</v>
      </c>
      <c r="D27" s="77">
        <v>6</v>
      </c>
      <c r="E27" s="78">
        <v>7.8968149513000002E-4</v>
      </c>
    </row>
    <row r="28" spans="2:5" ht="15" customHeight="1">
      <c r="B28" s="110"/>
      <c r="C28" s="76" t="s">
        <v>117</v>
      </c>
      <c r="D28" s="77">
        <v>1</v>
      </c>
      <c r="E28" s="78">
        <v>1.31613582522E-4</v>
      </c>
    </row>
    <row r="29" spans="2:5" ht="15" customHeight="1">
      <c r="B29" s="110"/>
      <c r="C29" s="76" t="s">
        <v>118</v>
      </c>
      <c r="D29" s="77">
        <v>1</v>
      </c>
      <c r="E29" s="78">
        <v>1.31613582522E-4</v>
      </c>
    </row>
    <row r="30" spans="2:5" ht="15" customHeight="1">
      <c r="B30" s="111"/>
      <c r="C30" s="95" t="s">
        <v>258</v>
      </c>
      <c r="D30" s="90">
        <v>69</v>
      </c>
      <c r="E30" s="92">
        <v>9.081337193998E-3</v>
      </c>
    </row>
    <row r="31" spans="2:5" ht="15" customHeight="1">
      <c r="B31" s="109" t="s">
        <v>83</v>
      </c>
      <c r="C31" s="76" t="s">
        <v>99</v>
      </c>
      <c r="D31" s="77">
        <v>2</v>
      </c>
      <c r="E31" s="78">
        <v>2.6322716504299998E-4</v>
      </c>
    </row>
    <row r="32" spans="2:5" ht="15" customHeight="1">
      <c r="B32" s="110"/>
      <c r="C32" s="76" t="s">
        <v>102</v>
      </c>
      <c r="D32" s="77">
        <v>1</v>
      </c>
      <c r="E32" s="78">
        <v>1.31613582522E-4</v>
      </c>
    </row>
    <row r="33" spans="2:5" ht="15" customHeight="1">
      <c r="B33" s="110"/>
      <c r="C33" s="76" t="s">
        <v>103</v>
      </c>
      <c r="D33" s="77">
        <v>3</v>
      </c>
      <c r="E33" s="78">
        <v>3.9484074756500001E-4</v>
      </c>
    </row>
    <row r="34" spans="2:5" ht="15" customHeight="1">
      <c r="B34" s="110"/>
      <c r="C34" s="76" t="s">
        <v>104</v>
      </c>
      <c r="D34" s="77">
        <v>1</v>
      </c>
      <c r="E34" s="78">
        <v>1.31613582522E-4</v>
      </c>
    </row>
    <row r="35" spans="2:5" ht="15" customHeight="1">
      <c r="B35" s="110"/>
      <c r="C35" s="76" t="s">
        <v>106</v>
      </c>
      <c r="D35" s="77">
        <v>1</v>
      </c>
      <c r="E35" s="78">
        <v>1.31613582522E-4</v>
      </c>
    </row>
    <row r="36" spans="2:5" ht="15" customHeight="1">
      <c r="B36" s="110"/>
      <c r="C36" s="76" t="s">
        <v>107</v>
      </c>
      <c r="D36" s="77">
        <v>6</v>
      </c>
      <c r="E36" s="78">
        <v>7.8968149513000002E-4</v>
      </c>
    </row>
    <row r="37" spans="2:5" ht="15" customHeight="1">
      <c r="B37" s="110"/>
      <c r="C37" s="76" t="s">
        <v>109</v>
      </c>
      <c r="D37" s="77">
        <v>2</v>
      </c>
      <c r="E37" s="78">
        <v>2.6322716504299998E-4</v>
      </c>
    </row>
    <row r="38" spans="2:5" ht="15" customHeight="1">
      <c r="B38" s="110"/>
      <c r="C38" s="76" t="s">
        <v>110</v>
      </c>
      <c r="D38" s="77">
        <v>10</v>
      </c>
      <c r="E38" s="78">
        <v>1.3161358252169999E-3</v>
      </c>
    </row>
    <row r="39" spans="2:5" ht="15" customHeight="1">
      <c r="B39" s="110"/>
      <c r="C39" s="76" t="s">
        <v>112</v>
      </c>
      <c r="D39" s="77">
        <v>1</v>
      </c>
      <c r="E39" s="78">
        <v>1.31613582522E-4</v>
      </c>
    </row>
    <row r="40" spans="2:5" ht="15" customHeight="1">
      <c r="B40" s="110"/>
      <c r="C40" s="76" t="s">
        <v>116</v>
      </c>
      <c r="D40" s="77">
        <v>1</v>
      </c>
      <c r="E40" s="78">
        <v>1.31613582522E-4</v>
      </c>
    </row>
    <row r="41" spans="2:5" ht="15" customHeight="1">
      <c r="B41" s="111"/>
      <c r="C41" s="95" t="s">
        <v>258</v>
      </c>
      <c r="D41" s="90">
        <v>28</v>
      </c>
      <c r="E41" s="92">
        <v>3.685180310608E-3</v>
      </c>
    </row>
    <row r="42" spans="2:5" ht="15" customHeight="1">
      <c r="B42" s="109" t="s">
        <v>70</v>
      </c>
      <c r="C42" s="76" t="s">
        <v>97</v>
      </c>
      <c r="D42" s="77">
        <v>1</v>
      </c>
      <c r="E42" s="78">
        <v>1.31613582522E-4</v>
      </c>
    </row>
    <row r="43" spans="2:5" ht="15" customHeight="1">
      <c r="B43" s="110"/>
      <c r="C43" s="76" t="s">
        <v>99</v>
      </c>
      <c r="D43" s="77">
        <v>1</v>
      </c>
      <c r="E43" s="78">
        <v>1.31613582522E-4</v>
      </c>
    </row>
    <row r="44" spans="2:5" ht="15" customHeight="1">
      <c r="B44" s="110"/>
      <c r="C44" s="76" t="s">
        <v>101</v>
      </c>
      <c r="D44" s="77">
        <v>1</v>
      </c>
      <c r="E44" s="78">
        <v>1.31613582522E-4</v>
      </c>
    </row>
    <row r="45" spans="2:5" ht="15" customHeight="1">
      <c r="B45" s="110"/>
      <c r="C45" s="76" t="s">
        <v>102</v>
      </c>
      <c r="D45" s="77">
        <v>2</v>
      </c>
      <c r="E45" s="78">
        <v>2.6322716504299998E-4</v>
      </c>
    </row>
    <row r="46" spans="2:5" ht="15" customHeight="1">
      <c r="B46" s="110"/>
      <c r="C46" s="76" t="s">
        <v>103</v>
      </c>
      <c r="D46" s="77">
        <v>7</v>
      </c>
      <c r="E46" s="78">
        <v>9.2129507765199999E-4</v>
      </c>
    </row>
    <row r="47" spans="2:5" ht="15" customHeight="1">
      <c r="B47" s="110"/>
      <c r="C47" s="76" t="s">
        <v>104</v>
      </c>
      <c r="D47" s="77">
        <v>1</v>
      </c>
      <c r="E47" s="78">
        <v>1.31613582522E-4</v>
      </c>
    </row>
    <row r="48" spans="2:5" ht="15" customHeight="1">
      <c r="B48" s="110"/>
      <c r="C48" s="76" t="s">
        <v>106</v>
      </c>
      <c r="D48" s="77">
        <v>2</v>
      </c>
      <c r="E48" s="78">
        <v>2.6322716504299998E-4</v>
      </c>
    </row>
    <row r="49" spans="2:5" ht="15" customHeight="1">
      <c r="B49" s="110"/>
      <c r="C49" s="76" t="s">
        <v>107</v>
      </c>
      <c r="D49" s="77">
        <v>11</v>
      </c>
      <c r="E49" s="78">
        <v>1.447749407739E-3</v>
      </c>
    </row>
    <row r="50" spans="2:5" ht="15" customHeight="1">
      <c r="B50" s="110"/>
      <c r="C50" s="76" t="s">
        <v>109</v>
      </c>
      <c r="D50" s="77">
        <v>7</v>
      </c>
      <c r="E50" s="78">
        <v>9.2129507765199999E-4</v>
      </c>
    </row>
    <row r="51" spans="2:5" ht="15" customHeight="1">
      <c r="B51" s="110"/>
      <c r="C51" s="76" t="s">
        <v>110</v>
      </c>
      <c r="D51" s="77">
        <v>24</v>
      </c>
      <c r="E51" s="78">
        <v>3.1587259805210001E-3</v>
      </c>
    </row>
    <row r="52" spans="2:5" ht="15" customHeight="1">
      <c r="B52" s="110"/>
      <c r="C52" s="76" t="s">
        <v>115</v>
      </c>
      <c r="D52" s="77">
        <v>1</v>
      </c>
      <c r="E52" s="78">
        <v>1.31613582522E-4</v>
      </c>
    </row>
    <row r="53" spans="2:5" ht="15" customHeight="1">
      <c r="B53" s="110"/>
      <c r="C53" s="76" t="s">
        <v>116</v>
      </c>
      <c r="D53" s="77">
        <v>5</v>
      </c>
      <c r="E53" s="78">
        <v>6.5806791260900001E-4</v>
      </c>
    </row>
    <row r="54" spans="2:5" ht="15" customHeight="1">
      <c r="B54" s="110"/>
      <c r="C54" s="76" t="s">
        <v>117</v>
      </c>
      <c r="D54" s="77">
        <v>1</v>
      </c>
      <c r="E54" s="78">
        <v>1.31613582522E-4</v>
      </c>
    </row>
    <row r="55" spans="2:5" ht="15" customHeight="1">
      <c r="B55" s="111"/>
      <c r="C55" s="95" t="s">
        <v>258</v>
      </c>
      <c r="D55" s="90">
        <v>64</v>
      </c>
      <c r="E55" s="92">
        <v>8.4232692813900004E-3</v>
      </c>
    </row>
    <row r="56" spans="2:5" ht="15" customHeight="1">
      <c r="B56" s="109" t="s">
        <v>92</v>
      </c>
      <c r="C56" s="76" t="s">
        <v>107</v>
      </c>
      <c r="D56" s="77">
        <v>4</v>
      </c>
      <c r="E56" s="78">
        <v>5.2645433008700004E-4</v>
      </c>
    </row>
    <row r="57" spans="2:5" ht="15" customHeight="1">
      <c r="B57" s="110"/>
      <c r="C57" s="76" t="s">
        <v>110</v>
      </c>
      <c r="D57" s="77">
        <v>6</v>
      </c>
      <c r="E57" s="78">
        <v>7.8968149513000002E-4</v>
      </c>
    </row>
    <row r="58" spans="2:5" ht="15" customHeight="1">
      <c r="B58" s="110"/>
      <c r="C58" s="76" t="s">
        <v>116</v>
      </c>
      <c r="D58" s="77">
        <v>2</v>
      </c>
      <c r="E58" s="78">
        <v>2.6322716504299998E-4</v>
      </c>
    </row>
    <row r="59" spans="2:5" ht="15" customHeight="1">
      <c r="B59" s="111"/>
      <c r="C59" s="95" t="s">
        <v>258</v>
      </c>
      <c r="D59" s="90">
        <v>12</v>
      </c>
      <c r="E59" s="92">
        <v>1.5793629902610001E-3</v>
      </c>
    </row>
    <row r="60" spans="2:5" ht="15" customHeight="1">
      <c r="B60" s="109" t="s">
        <v>89</v>
      </c>
      <c r="C60" s="76" t="s">
        <v>107</v>
      </c>
      <c r="D60" s="77">
        <v>1</v>
      </c>
      <c r="E60" s="78">
        <v>1.31613582522E-4</v>
      </c>
    </row>
    <row r="61" spans="2:5" ht="15" customHeight="1">
      <c r="B61" s="110"/>
      <c r="C61" s="76" t="s">
        <v>110</v>
      </c>
      <c r="D61" s="77">
        <v>1</v>
      </c>
      <c r="E61" s="78">
        <v>1.31613582522E-4</v>
      </c>
    </row>
    <row r="62" spans="2:5" ht="15" customHeight="1">
      <c r="B62" s="111"/>
      <c r="C62" s="95" t="s">
        <v>258</v>
      </c>
      <c r="D62" s="90">
        <v>2</v>
      </c>
      <c r="E62" s="92">
        <v>2.6322716504299998E-4</v>
      </c>
    </row>
    <row r="63" spans="2:5" ht="15" customHeight="1">
      <c r="B63" s="109" t="s">
        <v>52</v>
      </c>
      <c r="C63" s="76" t="s">
        <v>96</v>
      </c>
      <c r="D63" s="77">
        <v>1</v>
      </c>
      <c r="E63" s="78">
        <v>1.31613582522E-4</v>
      </c>
    </row>
    <row r="64" spans="2:5" ht="15" customHeight="1">
      <c r="B64" s="110"/>
      <c r="C64" s="76" t="s">
        <v>98</v>
      </c>
      <c r="D64" s="77">
        <v>1</v>
      </c>
      <c r="E64" s="78">
        <v>1.31613582522E-4</v>
      </c>
    </row>
    <row r="65" spans="2:5" ht="15" customHeight="1">
      <c r="B65" s="110"/>
      <c r="C65" s="76" t="s">
        <v>102</v>
      </c>
      <c r="D65" s="77">
        <v>4</v>
      </c>
      <c r="E65" s="78">
        <v>5.2645433008700004E-4</v>
      </c>
    </row>
    <row r="66" spans="2:5" ht="15" customHeight="1">
      <c r="B66" s="110"/>
      <c r="C66" s="76" t="s">
        <v>103</v>
      </c>
      <c r="D66" s="77">
        <v>6</v>
      </c>
      <c r="E66" s="78">
        <v>7.8968149513000002E-4</v>
      </c>
    </row>
    <row r="67" spans="2:5" ht="15" customHeight="1">
      <c r="B67" s="110"/>
      <c r="C67" s="76" t="s">
        <v>104</v>
      </c>
      <c r="D67" s="77">
        <v>1</v>
      </c>
      <c r="E67" s="78">
        <v>1.31613582522E-4</v>
      </c>
    </row>
    <row r="68" spans="2:5" ht="15" customHeight="1">
      <c r="B68" s="110"/>
      <c r="C68" s="76" t="s">
        <v>105</v>
      </c>
      <c r="D68" s="77">
        <v>4</v>
      </c>
      <c r="E68" s="78">
        <v>5.2645433008700004E-4</v>
      </c>
    </row>
    <row r="69" spans="2:5" ht="15" customHeight="1">
      <c r="B69" s="110"/>
      <c r="C69" s="76" t="s">
        <v>106</v>
      </c>
      <c r="D69" s="77">
        <v>5</v>
      </c>
      <c r="E69" s="78">
        <v>6.5806791260900001E-4</v>
      </c>
    </row>
    <row r="70" spans="2:5" ht="15" customHeight="1">
      <c r="B70" s="110"/>
      <c r="C70" s="76" t="s">
        <v>107</v>
      </c>
      <c r="D70" s="77">
        <v>45</v>
      </c>
      <c r="E70" s="78">
        <v>5.9226112134770003E-3</v>
      </c>
    </row>
    <row r="71" spans="2:5" ht="15" customHeight="1">
      <c r="B71" s="110"/>
      <c r="C71" s="76" t="s">
        <v>108</v>
      </c>
      <c r="D71" s="77">
        <v>34</v>
      </c>
      <c r="E71" s="78">
        <v>4.4748618057379999E-3</v>
      </c>
    </row>
    <row r="72" spans="2:5" ht="15" customHeight="1">
      <c r="B72" s="110"/>
      <c r="C72" s="76" t="s">
        <v>109</v>
      </c>
      <c r="D72" s="77">
        <v>14</v>
      </c>
      <c r="E72" s="78">
        <v>1.842590155304E-3</v>
      </c>
    </row>
    <row r="73" spans="2:5" ht="15" customHeight="1">
      <c r="B73" s="110"/>
      <c r="C73" s="76" t="s">
        <v>110</v>
      </c>
      <c r="D73" s="77">
        <v>103</v>
      </c>
      <c r="E73" s="78">
        <v>1.3556198999737E-2</v>
      </c>
    </row>
    <row r="74" spans="2:5" ht="15" customHeight="1">
      <c r="B74" s="110"/>
      <c r="C74" s="76" t="s">
        <v>112</v>
      </c>
      <c r="D74" s="77">
        <v>2</v>
      </c>
      <c r="E74" s="78">
        <v>2.6322716504299998E-4</v>
      </c>
    </row>
    <row r="75" spans="2:5" ht="15" customHeight="1">
      <c r="B75" s="110"/>
      <c r="C75" s="76" t="s">
        <v>113</v>
      </c>
      <c r="D75" s="77">
        <v>1</v>
      </c>
      <c r="E75" s="78">
        <v>1.31613582522E-4</v>
      </c>
    </row>
    <row r="76" spans="2:5" ht="15" customHeight="1">
      <c r="B76" s="110"/>
      <c r="C76" s="76" t="s">
        <v>114</v>
      </c>
      <c r="D76" s="77">
        <v>3</v>
      </c>
      <c r="E76" s="78">
        <v>3.9484074756500001E-4</v>
      </c>
    </row>
    <row r="77" spans="2:5" ht="15" customHeight="1">
      <c r="B77" s="110"/>
      <c r="C77" s="76" t="s">
        <v>115</v>
      </c>
      <c r="D77" s="77">
        <v>9</v>
      </c>
      <c r="E77" s="78">
        <v>1.1845222426950001E-3</v>
      </c>
    </row>
    <row r="78" spans="2:5" ht="15" customHeight="1">
      <c r="B78" s="110"/>
      <c r="C78" s="76" t="s">
        <v>116</v>
      </c>
      <c r="D78" s="77">
        <v>59</v>
      </c>
      <c r="E78" s="78">
        <v>7.7652013687809999E-3</v>
      </c>
    </row>
    <row r="79" spans="2:5" ht="15" customHeight="1">
      <c r="B79" s="110"/>
      <c r="C79" s="76" t="s">
        <v>118</v>
      </c>
      <c r="D79" s="77">
        <v>9</v>
      </c>
      <c r="E79" s="78">
        <v>1.1845222426950001E-3</v>
      </c>
    </row>
    <row r="80" spans="2:5" ht="15" customHeight="1">
      <c r="B80" s="111"/>
      <c r="C80" s="95" t="s">
        <v>258</v>
      </c>
      <c r="D80" s="90">
        <v>301</v>
      </c>
      <c r="E80" s="92">
        <v>3.9615688339037003E-2</v>
      </c>
    </row>
    <row r="81" spans="2:5" ht="15" customHeight="1">
      <c r="B81" s="109" t="s">
        <v>53</v>
      </c>
      <c r="C81" s="76" t="s">
        <v>96</v>
      </c>
      <c r="D81" s="77">
        <v>3</v>
      </c>
      <c r="E81" s="78">
        <v>3.9484074756500001E-4</v>
      </c>
    </row>
    <row r="82" spans="2:5" ht="15" customHeight="1">
      <c r="B82" s="110"/>
      <c r="C82" s="76" t="s">
        <v>132</v>
      </c>
      <c r="D82" s="77">
        <v>1</v>
      </c>
      <c r="E82" s="78">
        <v>1.31613582522E-4</v>
      </c>
    </row>
    <row r="83" spans="2:5" ht="15" customHeight="1">
      <c r="B83" s="110"/>
      <c r="C83" s="76" t="s">
        <v>99</v>
      </c>
      <c r="D83" s="77">
        <v>2</v>
      </c>
      <c r="E83" s="78">
        <v>2.6322716504299998E-4</v>
      </c>
    </row>
    <row r="84" spans="2:5" ht="15" customHeight="1">
      <c r="B84" s="110"/>
      <c r="C84" s="76" t="s">
        <v>100</v>
      </c>
      <c r="D84" s="77">
        <v>2</v>
      </c>
      <c r="E84" s="78">
        <v>2.6322716504299998E-4</v>
      </c>
    </row>
    <row r="85" spans="2:5" ht="15" customHeight="1">
      <c r="B85" s="110"/>
      <c r="C85" s="76" t="s">
        <v>101</v>
      </c>
      <c r="D85" s="77">
        <v>1</v>
      </c>
      <c r="E85" s="78">
        <v>1.31613582522E-4</v>
      </c>
    </row>
    <row r="86" spans="2:5" ht="15" customHeight="1">
      <c r="B86" s="110"/>
      <c r="C86" s="76" t="s">
        <v>102</v>
      </c>
      <c r="D86" s="77">
        <v>5</v>
      </c>
      <c r="E86" s="78">
        <v>6.5806791260900001E-4</v>
      </c>
    </row>
    <row r="87" spans="2:5" ht="15" customHeight="1">
      <c r="B87" s="110"/>
      <c r="C87" s="76" t="s">
        <v>103</v>
      </c>
      <c r="D87" s="77">
        <v>26</v>
      </c>
      <c r="E87" s="78">
        <v>3.4219531455649999E-3</v>
      </c>
    </row>
    <row r="88" spans="2:5" ht="15" customHeight="1">
      <c r="B88" s="110"/>
      <c r="C88" s="76" t="s">
        <v>104</v>
      </c>
      <c r="D88" s="77">
        <v>1</v>
      </c>
      <c r="E88" s="78">
        <v>1.31613582522E-4</v>
      </c>
    </row>
    <row r="89" spans="2:5" ht="15" customHeight="1">
      <c r="B89" s="110"/>
      <c r="C89" s="76" t="s">
        <v>106</v>
      </c>
      <c r="D89" s="77">
        <v>14</v>
      </c>
      <c r="E89" s="78">
        <v>1.842590155304E-3</v>
      </c>
    </row>
    <row r="90" spans="2:5" ht="15" customHeight="1">
      <c r="B90" s="110"/>
      <c r="C90" s="76" t="s">
        <v>107</v>
      </c>
      <c r="D90" s="77">
        <v>79</v>
      </c>
      <c r="E90" s="78">
        <v>1.0397473019215999E-2</v>
      </c>
    </row>
    <row r="91" spans="2:5" ht="15" customHeight="1">
      <c r="B91" s="110"/>
      <c r="C91" s="76" t="s">
        <v>108</v>
      </c>
      <c r="D91" s="77">
        <v>3</v>
      </c>
      <c r="E91" s="78">
        <v>3.9484074756500001E-4</v>
      </c>
    </row>
    <row r="92" spans="2:5" ht="15" customHeight="1">
      <c r="B92" s="110"/>
      <c r="C92" s="76" t="s">
        <v>109</v>
      </c>
      <c r="D92" s="77">
        <v>19</v>
      </c>
      <c r="E92" s="78">
        <v>2.5006580679130001E-3</v>
      </c>
    </row>
    <row r="93" spans="2:5" ht="15" customHeight="1">
      <c r="B93" s="110"/>
      <c r="C93" s="76" t="s">
        <v>110</v>
      </c>
      <c r="D93" s="77">
        <v>61</v>
      </c>
      <c r="E93" s="78">
        <v>8.0284285338250005E-3</v>
      </c>
    </row>
    <row r="94" spans="2:5" ht="15" customHeight="1">
      <c r="B94" s="110"/>
      <c r="C94" s="76" t="s">
        <v>112</v>
      </c>
      <c r="D94" s="77">
        <v>2</v>
      </c>
      <c r="E94" s="78">
        <v>2.6322716504299998E-4</v>
      </c>
    </row>
    <row r="95" spans="2:5" ht="15" customHeight="1">
      <c r="B95" s="110"/>
      <c r="C95" s="76" t="s">
        <v>114</v>
      </c>
      <c r="D95" s="77">
        <v>1</v>
      </c>
      <c r="E95" s="78">
        <v>1.31613582522E-4</v>
      </c>
    </row>
    <row r="96" spans="2:5" ht="15" customHeight="1">
      <c r="B96" s="110"/>
      <c r="C96" s="76" t="s">
        <v>115</v>
      </c>
      <c r="D96" s="77">
        <v>8</v>
      </c>
      <c r="E96" s="78">
        <v>1.0529086601740001E-3</v>
      </c>
    </row>
    <row r="97" spans="2:5" ht="15" customHeight="1">
      <c r="B97" s="110"/>
      <c r="C97" s="76" t="s">
        <v>116</v>
      </c>
      <c r="D97" s="77">
        <v>17</v>
      </c>
      <c r="E97" s="78">
        <v>2.2374309028689999E-3</v>
      </c>
    </row>
    <row r="98" spans="2:5" ht="15" customHeight="1">
      <c r="B98" s="110"/>
      <c r="C98" s="76" t="s">
        <v>117</v>
      </c>
      <c r="D98" s="77">
        <v>1</v>
      </c>
      <c r="E98" s="78">
        <v>1.31613582522E-4</v>
      </c>
    </row>
    <row r="99" spans="2:5" ht="15" customHeight="1">
      <c r="B99" s="111"/>
      <c r="C99" s="95" t="s">
        <v>258</v>
      </c>
      <c r="D99" s="90">
        <v>246</v>
      </c>
      <c r="E99" s="92">
        <v>3.2376941300342001E-2</v>
      </c>
    </row>
    <row r="100" spans="2:5" ht="15" customHeight="1">
      <c r="B100" s="109" t="s">
        <v>58</v>
      </c>
      <c r="C100" s="76" t="s">
        <v>96</v>
      </c>
      <c r="D100" s="77">
        <v>1</v>
      </c>
      <c r="E100" s="78">
        <v>1.31613582522E-4</v>
      </c>
    </row>
    <row r="101" spans="2:5" ht="15" customHeight="1">
      <c r="B101" s="110"/>
      <c r="C101" s="76" t="s">
        <v>100</v>
      </c>
      <c r="D101" s="77">
        <v>1</v>
      </c>
      <c r="E101" s="78">
        <v>1.31613582522E-4</v>
      </c>
    </row>
    <row r="102" spans="2:5" ht="15" customHeight="1">
      <c r="B102" s="110"/>
      <c r="C102" s="76" t="s">
        <v>101</v>
      </c>
      <c r="D102" s="77">
        <v>1</v>
      </c>
      <c r="E102" s="78">
        <v>1.31613582522E-4</v>
      </c>
    </row>
    <row r="103" spans="2:5" ht="15" customHeight="1">
      <c r="B103" s="110"/>
      <c r="C103" s="76" t="s">
        <v>102</v>
      </c>
      <c r="D103" s="77">
        <v>4</v>
      </c>
      <c r="E103" s="78">
        <v>5.2645433008700004E-4</v>
      </c>
    </row>
    <row r="104" spans="2:5" ht="15" customHeight="1">
      <c r="B104" s="110"/>
      <c r="C104" s="76" t="s">
        <v>103</v>
      </c>
      <c r="D104" s="77">
        <v>11</v>
      </c>
      <c r="E104" s="78">
        <v>1.447749407739E-3</v>
      </c>
    </row>
    <row r="105" spans="2:5" ht="15" customHeight="1">
      <c r="B105" s="110"/>
      <c r="C105" s="76" t="s">
        <v>104</v>
      </c>
      <c r="D105" s="77">
        <v>1</v>
      </c>
      <c r="E105" s="78">
        <v>1.31613582522E-4</v>
      </c>
    </row>
    <row r="106" spans="2:5" ht="15" customHeight="1">
      <c r="B106" s="110"/>
      <c r="C106" s="76" t="s">
        <v>105</v>
      </c>
      <c r="D106" s="77">
        <v>3</v>
      </c>
      <c r="E106" s="78">
        <v>3.9484074756500001E-4</v>
      </c>
    </row>
    <row r="107" spans="2:5" ht="15" customHeight="1">
      <c r="B107" s="110"/>
      <c r="C107" s="76" t="s">
        <v>106</v>
      </c>
      <c r="D107" s="77">
        <v>10</v>
      </c>
      <c r="E107" s="78">
        <v>1.3161358252169999E-3</v>
      </c>
    </row>
    <row r="108" spans="2:5" ht="15" customHeight="1">
      <c r="B108" s="110"/>
      <c r="C108" s="76" t="s">
        <v>107</v>
      </c>
      <c r="D108" s="77">
        <v>38</v>
      </c>
      <c r="E108" s="78">
        <v>5.0013161358250001E-3</v>
      </c>
    </row>
    <row r="109" spans="2:5" ht="15" customHeight="1">
      <c r="B109" s="110"/>
      <c r="C109" s="76" t="s">
        <v>108</v>
      </c>
      <c r="D109" s="77">
        <v>1</v>
      </c>
      <c r="E109" s="78">
        <v>1.31613582522E-4</v>
      </c>
    </row>
    <row r="110" spans="2:5" ht="15" customHeight="1">
      <c r="B110" s="110"/>
      <c r="C110" s="76" t="s">
        <v>109</v>
      </c>
      <c r="D110" s="77">
        <v>16</v>
      </c>
      <c r="E110" s="78">
        <v>2.1058173203470001E-3</v>
      </c>
    </row>
    <row r="111" spans="2:5" ht="15" customHeight="1">
      <c r="B111" s="110"/>
      <c r="C111" s="76" t="s">
        <v>110</v>
      </c>
      <c r="D111" s="77">
        <v>54</v>
      </c>
      <c r="E111" s="78">
        <v>7.1071334561730003E-3</v>
      </c>
    </row>
    <row r="112" spans="2:5" ht="15" customHeight="1">
      <c r="B112" s="110"/>
      <c r="C112" s="76" t="s">
        <v>111</v>
      </c>
      <c r="D112" s="77">
        <v>3</v>
      </c>
      <c r="E112" s="78">
        <v>3.9484074756500001E-4</v>
      </c>
    </row>
    <row r="113" spans="2:5" ht="15" customHeight="1">
      <c r="B113" s="110"/>
      <c r="C113" s="76" t="s">
        <v>112</v>
      </c>
      <c r="D113" s="77">
        <v>4</v>
      </c>
      <c r="E113" s="78">
        <v>5.2645433008700004E-4</v>
      </c>
    </row>
    <row r="114" spans="2:5" ht="15" customHeight="1">
      <c r="B114" s="110"/>
      <c r="C114" s="76" t="s">
        <v>115</v>
      </c>
      <c r="D114" s="77">
        <v>5</v>
      </c>
      <c r="E114" s="78">
        <v>6.5806791260900001E-4</v>
      </c>
    </row>
    <row r="115" spans="2:5" ht="15" customHeight="1">
      <c r="B115" s="110"/>
      <c r="C115" s="76" t="s">
        <v>116</v>
      </c>
      <c r="D115" s="77">
        <v>4</v>
      </c>
      <c r="E115" s="78">
        <v>5.2645433008700004E-4</v>
      </c>
    </row>
    <row r="116" spans="2:5" ht="15" customHeight="1">
      <c r="B116" s="110"/>
      <c r="C116" s="76" t="s">
        <v>118</v>
      </c>
      <c r="D116" s="77">
        <v>1</v>
      </c>
      <c r="E116" s="78">
        <v>1.31613582522E-4</v>
      </c>
    </row>
    <row r="117" spans="2:5" ht="15" customHeight="1">
      <c r="B117" s="111"/>
      <c r="C117" s="95" t="s">
        <v>258</v>
      </c>
      <c r="D117" s="90">
        <v>158</v>
      </c>
      <c r="E117" s="92">
        <v>2.0794946038431E-2</v>
      </c>
    </row>
    <row r="118" spans="2:5" ht="15" customHeight="1">
      <c r="B118" s="109" t="s">
        <v>66</v>
      </c>
      <c r="C118" s="76" t="s">
        <v>100</v>
      </c>
      <c r="D118" s="77">
        <v>1</v>
      </c>
      <c r="E118" s="78">
        <v>1.31613582522E-4</v>
      </c>
    </row>
    <row r="119" spans="2:5" ht="15" customHeight="1">
      <c r="B119" s="110"/>
      <c r="C119" s="76" t="s">
        <v>102</v>
      </c>
      <c r="D119" s="77">
        <v>3</v>
      </c>
      <c r="E119" s="78">
        <v>3.9484074756500001E-4</v>
      </c>
    </row>
    <row r="120" spans="2:5" ht="15" customHeight="1">
      <c r="B120" s="110"/>
      <c r="C120" s="76" t="s">
        <v>103</v>
      </c>
      <c r="D120" s="77">
        <v>2</v>
      </c>
      <c r="E120" s="78">
        <v>2.6322716504299998E-4</v>
      </c>
    </row>
    <row r="121" spans="2:5" ht="15" customHeight="1">
      <c r="B121" s="110"/>
      <c r="C121" s="76" t="s">
        <v>105</v>
      </c>
      <c r="D121" s="77">
        <v>3</v>
      </c>
      <c r="E121" s="78">
        <v>3.9484074756500001E-4</v>
      </c>
    </row>
    <row r="122" spans="2:5" ht="15" customHeight="1">
      <c r="B122" s="110"/>
      <c r="C122" s="76" t="s">
        <v>106</v>
      </c>
      <c r="D122" s="77">
        <v>1</v>
      </c>
      <c r="E122" s="78">
        <v>1.31613582522E-4</v>
      </c>
    </row>
    <row r="123" spans="2:5" ht="15" customHeight="1">
      <c r="B123" s="110"/>
      <c r="C123" s="76" t="s">
        <v>107</v>
      </c>
      <c r="D123" s="77">
        <v>19</v>
      </c>
      <c r="E123" s="78">
        <v>2.5006580679130001E-3</v>
      </c>
    </row>
    <row r="124" spans="2:5" ht="15" customHeight="1">
      <c r="B124" s="110"/>
      <c r="C124" s="76" t="s">
        <v>108</v>
      </c>
      <c r="D124" s="77">
        <v>1</v>
      </c>
      <c r="E124" s="78">
        <v>1.31613582522E-4</v>
      </c>
    </row>
    <row r="125" spans="2:5" ht="15" customHeight="1">
      <c r="B125" s="110"/>
      <c r="C125" s="76" t="s">
        <v>109</v>
      </c>
      <c r="D125" s="77">
        <v>6</v>
      </c>
      <c r="E125" s="78">
        <v>7.8968149513000002E-4</v>
      </c>
    </row>
    <row r="126" spans="2:5" ht="15" customHeight="1">
      <c r="B126" s="110"/>
      <c r="C126" s="76" t="s">
        <v>110</v>
      </c>
      <c r="D126" s="77">
        <v>10</v>
      </c>
      <c r="E126" s="78">
        <v>1.3161358252169999E-3</v>
      </c>
    </row>
    <row r="127" spans="2:5" ht="15" customHeight="1">
      <c r="B127" s="110"/>
      <c r="C127" s="76" t="s">
        <v>115</v>
      </c>
      <c r="D127" s="77">
        <v>2</v>
      </c>
      <c r="E127" s="78">
        <v>2.6322716504299998E-4</v>
      </c>
    </row>
    <row r="128" spans="2:5" ht="15" customHeight="1">
      <c r="B128" s="110"/>
      <c r="C128" s="76" t="s">
        <v>116</v>
      </c>
      <c r="D128" s="77">
        <v>1</v>
      </c>
      <c r="E128" s="78">
        <v>1.31613582522E-4</v>
      </c>
    </row>
    <row r="129" spans="2:5" ht="15" customHeight="1">
      <c r="B129" s="110"/>
      <c r="C129" s="76" t="s">
        <v>118</v>
      </c>
      <c r="D129" s="77">
        <v>1</v>
      </c>
      <c r="E129" s="78">
        <v>1.31613582522E-4</v>
      </c>
    </row>
    <row r="130" spans="2:5" ht="15" customHeight="1">
      <c r="B130" s="111"/>
      <c r="C130" s="95" t="s">
        <v>258</v>
      </c>
      <c r="D130" s="90">
        <v>50</v>
      </c>
      <c r="E130" s="92">
        <v>6.580679126086E-3</v>
      </c>
    </row>
    <row r="131" spans="2:5" ht="15" customHeight="1">
      <c r="B131" s="109" t="s">
        <v>84</v>
      </c>
      <c r="C131" s="76" t="s">
        <v>103</v>
      </c>
      <c r="D131" s="77">
        <v>4</v>
      </c>
      <c r="E131" s="78">
        <v>5.2645433008700004E-4</v>
      </c>
    </row>
    <row r="132" spans="2:5" ht="15" customHeight="1">
      <c r="B132" s="110"/>
      <c r="C132" s="76" t="s">
        <v>104</v>
      </c>
      <c r="D132" s="77">
        <v>1</v>
      </c>
      <c r="E132" s="78">
        <v>1.31613582522E-4</v>
      </c>
    </row>
    <row r="133" spans="2:5" ht="15" customHeight="1">
      <c r="B133" s="110"/>
      <c r="C133" s="76" t="s">
        <v>105</v>
      </c>
      <c r="D133" s="77">
        <v>1</v>
      </c>
      <c r="E133" s="78">
        <v>1.31613582522E-4</v>
      </c>
    </row>
    <row r="134" spans="2:5" ht="15" customHeight="1">
      <c r="B134" s="110"/>
      <c r="C134" s="76" t="s">
        <v>106</v>
      </c>
      <c r="D134" s="77">
        <v>1</v>
      </c>
      <c r="E134" s="78">
        <v>1.31613582522E-4</v>
      </c>
    </row>
    <row r="135" spans="2:5" ht="15" customHeight="1">
      <c r="B135" s="110"/>
      <c r="C135" s="76" t="s">
        <v>107</v>
      </c>
      <c r="D135" s="77">
        <v>11</v>
      </c>
      <c r="E135" s="78">
        <v>1.447749407739E-3</v>
      </c>
    </row>
    <row r="136" spans="2:5" ht="15" customHeight="1">
      <c r="B136" s="110"/>
      <c r="C136" s="76" t="s">
        <v>109</v>
      </c>
      <c r="D136" s="77">
        <v>7</v>
      </c>
      <c r="E136" s="78">
        <v>9.2129507765199999E-4</v>
      </c>
    </row>
    <row r="137" spans="2:5" ht="15" customHeight="1">
      <c r="B137" s="110"/>
      <c r="C137" s="76" t="s">
        <v>110</v>
      </c>
      <c r="D137" s="77">
        <v>15</v>
      </c>
      <c r="E137" s="78">
        <v>1.9742037378259998E-3</v>
      </c>
    </row>
    <row r="138" spans="2:5" ht="15" customHeight="1">
      <c r="B138" s="110"/>
      <c r="C138" s="76" t="s">
        <v>116</v>
      </c>
      <c r="D138" s="77">
        <v>4</v>
      </c>
      <c r="E138" s="78">
        <v>5.2645433008700004E-4</v>
      </c>
    </row>
    <row r="139" spans="2:5" ht="15" customHeight="1">
      <c r="B139" s="111"/>
      <c r="C139" s="95" t="s">
        <v>258</v>
      </c>
      <c r="D139" s="90">
        <v>44</v>
      </c>
      <c r="E139" s="92">
        <v>5.7909976309560001E-3</v>
      </c>
    </row>
    <row r="140" spans="2:5" ht="15" customHeight="1">
      <c r="B140" s="109" t="s">
        <v>129</v>
      </c>
      <c r="C140" s="76" t="s">
        <v>107</v>
      </c>
      <c r="D140" s="77">
        <v>1</v>
      </c>
      <c r="E140" s="78">
        <v>1.31613582522E-4</v>
      </c>
    </row>
    <row r="141" spans="2:5" ht="15" customHeight="1">
      <c r="B141" s="110"/>
      <c r="C141" s="76" t="s">
        <v>110</v>
      </c>
      <c r="D141" s="77">
        <v>1</v>
      </c>
      <c r="E141" s="78">
        <v>1.31613582522E-4</v>
      </c>
    </row>
    <row r="142" spans="2:5" ht="15" customHeight="1">
      <c r="B142" s="110"/>
      <c r="C142" s="76" t="s">
        <v>116</v>
      </c>
      <c r="D142" s="77">
        <v>1</v>
      </c>
      <c r="E142" s="78">
        <v>1.31613582522E-4</v>
      </c>
    </row>
    <row r="143" spans="2:5" ht="15" customHeight="1">
      <c r="B143" s="111"/>
      <c r="C143" s="95" t="s">
        <v>258</v>
      </c>
      <c r="D143" s="90">
        <v>3</v>
      </c>
      <c r="E143" s="92">
        <v>3.9484074756500001E-4</v>
      </c>
    </row>
    <row r="144" spans="2:5" ht="15" customHeight="1">
      <c r="B144" s="109" t="s">
        <v>93</v>
      </c>
      <c r="C144" s="76" t="s">
        <v>110</v>
      </c>
      <c r="D144" s="77">
        <v>1</v>
      </c>
      <c r="E144" s="78">
        <v>1.31613582522E-4</v>
      </c>
    </row>
    <row r="145" spans="2:5" ht="15" customHeight="1">
      <c r="B145" s="111"/>
      <c r="C145" s="95" t="s">
        <v>258</v>
      </c>
      <c r="D145" s="90">
        <v>1</v>
      </c>
      <c r="E145" s="92">
        <v>1.31613582522E-4</v>
      </c>
    </row>
    <row r="146" spans="2:5" ht="15" customHeight="1">
      <c r="B146" s="109" t="s">
        <v>77</v>
      </c>
      <c r="C146" s="76" t="s">
        <v>101</v>
      </c>
      <c r="D146" s="77">
        <v>1</v>
      </c>
      <c r="E146" s="78">
        <v>1.31613582522E-4</v>
      </c>
    </row>
    <row r="147" spans="2:5" ht="15" customHeight="1">
      <c r="B147" s="110"/>
      <c r="C147" s="76" t="s">
        <v>102</v>
      </c>
      <c r="D147" s="77">
        <v>1</v>
      </c>
      <c r="E147" s="78">
        <v>1.31613582522E-4</v>
      </c>
    </row>
    <row r="148" spans="2:5" ht="15" customHeight="1">
      <c r="B148" s="110"/>
      <c r="C148" s="76" t="s">
        <v>103</v>
      </c>
      <c r="D148" s="77">
        <v>1</v>
      </c>
      <c r="E148" s="78">
        <v>1.31613582522E-4</v>
      </c>
    </row>
    <row r="149" spans="2:5" ht="15" customHeight="1">
      <c r="B149" s="110"/>
      <c r="C149" s="76" t="s">
        <v>104</v>
      </c>
      <c r="D149" s="77">
        <v>1</v>
      </c>
      <c r="E149" s="78">
        <v>1.31613582522E-4</v>
      </c>
    </row>
    <row r="150" spans="2:5" ht="15" customHeight="1">
      <c r="B150" s="110"/>
      <c r="C150" s="76" t="s">
        <v>105</v>
      </c>
      <c r="D150" s="77">
        <v>1</v>
      </c>
      <c r="E150" s="78">
        <v>1.31613582522E-4</v>
      </c>
    </row>
    <row r="151" spans="2:5" ht="15" customHeight="1">
      <c r="B151" s="110"/>
      <c r="C151" s="76" t="s">
        <v>107</v>
      </c>
      <c r="D151" s="77">
        <v>8</v>
      </c>
      <c r="E151" s="78">
        <v>1.0529086601740001E-3</v>
      </c>
    </row>
    <row r="152" spans="2:5" ht="15" customHeight="1">
      <c r="B152" s="110"/>
      <c r="C152" s="76" t="s">
        <v>109</v>
      </c>
      <c r="D152" s="77">
        <v>2</v>
      </c>
      <c r="E152" s="78">
        <v>2.6322716504299998E-4</v>
      </c>
    </row>
    <row r="153" spans="2:5" ht="15" customHeight="1">
      <c r="B153" s="110"/>
      <c r="C153" s="76" t="s">
        <v>110</v>
      </c>
      <c r="D153" s="77">
        <v>4</v>
      </c>
      <c r="E153" s="78">
        <v>5.2645433008700004E-4</v>
      </c>
    </row>
    <row r="154" spans="2:5" ht="15" customHeight="1">
      <c r="B154" s="110"/>
      <c r="C154" s="76" t="s">
        <v>116</v>
      </c>
      <c r="D154" s="77">
        <v>2</v>
      </c>
      <c r="E154" s="78">
        <v>2.6322716504299998E-4</v>
      </c>
    </row>
    <row r="155" spans="2:5" ht="15" customHeight="1">
      <c r="B155" s="111"/>
      <c r="C155" s="95" t="s">
        <v>258</v>
      </c>
      <c r="D155" s="90">
        <v>21</v>
      </c>
      <c r="E155" s="92">
        <v>2.7638852329560002E-3</v>
      </c>
    </row>
    <row r="156" spans="2:5" ht="15" customHeight="1">
      <c r="B156" s="109" t="s">
        <v>79</v>
      </c>
      <c r="C156" s="76" t="s">
        <v>96</v>
      </c>
      <c r="D156" s="77">
        <v>2</v>
      </c>
      <c r="E156" s="78">
        <v>2.6322716504299998E-4</v>
      </c>
    </row>
    <row r="157" spans="2:5" ht="15" customHeight="1">
      <c r="B157" s="110"/>
      <c r="C157" s="76" t="s">
        <v>102</v>
      </c>
      <c r="D157" s="77">
        <v>2</v>
      </c>
      <c r="E157" s="78">
        <v>2.6322716504299998E-4</v>
      </c>
    </row>
    <row r="158" spans="2:5" ht="15" customHeight="1">
      <c r="B158" s="110"/>
      <c r="C158" s="76" t="s">
        <v>107</v>
      </c>
      <c r="D158" s="77">
        <v>11</v>
      </c>
      <c r="E158" s="78">
        <v>1.447749407739E-3</v>
      </c>
    </row>
    <row r="159" spans="2:5" ht="15" customHeight="1">
      <c r="B159" s="110"/>
      <c r="C159" s="76" t="s">
        <v>109</v>
      </c>
      <c r="D159" s="77">
        <v>3</v>
      </c>
      <c r="E159" s="78">
        <v>3.9484074756500001E-4</v>
      </c>
    </row>
    <row r="160" spans="2:5" ht="15" customHeight="1">
      <c r="B160" s="110"/>
      <c r="C160" s="76" t="s">
        <v>110</v>
      </c>
      <c r="D160" s="77">
        <v>4</v>
      </c>
      <c r="E160" s="78">
        <v>5.2645433008700004E-4</v>
      </c>
    </row>
    <row r="161" spans="2:5" ht="15" customHeight="1">
      <c r="B161" s="110"/>
      <c r="C161" s="76" t="s">
        <v>117</v>
      </c>
      <c r="D161" s="77">
        <v>1</v>
      </c>
      <c r="E161" s="78">
        <v>1.31613582522E-4</v>
      </c>
    </row>
    <row r="162" spans="2:5" ht="15" customHeight="1">
      <c r="B162" s="111"/>
      <c r="C162" s="95" t="s">
        <v>258</v>
      </c>
      <c r="D162" s="90">
        <v>23</v>
      </c>
      <c r="E162" s="92">
        <v>3.0271123979989998E-3</v>
      </c>
    </row>
    <row r="163" spans="2:5" ht="15" customHeight="1">
      <c r="B163" s="109" t="s">
        <v>49</v>
      </c>
      <c r="C163" s="76" t="s">
        <v>96</v>
      </c>
      <c r="D163" s="77">
        <v>4</v>
      </c>
      <c r="E163" s="78">
        <v>5.2645433008700004E-4</v>
      </c>
    </row>
    <row r="164" spans="2:5" ht="15" customHeight="1">
      <c r="B164" s="110"/>
      <c r="C164" s="76" t="s">
        <v>97</v>
      </c>
      <c r="D164" s="77">
        <v>2</v>
      </c>
      <c r="E164" s="78">
        <v>2.6322716504299998E-4</v>
      </c>
    </row>
    <row r="165" spans="2:5" ht="15" customHeight="1">
      <c r="B165" s="110"/>
      <c r="C165" s="76" t="s">
        <v>98</v>
      </c>
      <c r="D165" s="77">
        <v>1</v>
      </c>
      <c r="E165" s="78">
        <v>1.31613582522E-4</v>
      </c>
    </row>
    <row r="166" spans="2:5" ht="15" customHeight="1">
      <c r="B166" s="110"/>
      <c r="C166" s="76" t="s">
        <v>99</v>
      </c>
      <c r="D166" s="77">
        <v>8</v>
      </c>
      <c r="E166" s="78">
        <v>1.0529086601740001E-3</v>
      </c>
    </row>
    <row r="167" spans="2:5" ht="15" customHeight="1">
      <c r="B167" s="110"/>
      <c r="C167" s="76" t="s">
        <v>100</v>
      </c>
      <c r="D167" s="77">
        <v>3</v>
      </c>
      <c r="E167" s="78">
        <v>3.9484074756500001E-4</v>
      </c>
    </row>
    <row r="168" spans="2:5" ht="15" customHeight="1">
      <c r="B168" s="110"/>
      <c r="C168" s="76" t="s">
        <v>101</v>
      </c>
      <c r="D168" s="77">
        <v>5</v>
      </c>
      <c r="E168" s="78">
        <v>6.5806791260900001E-4</v>
      </c>
    </row>
    <row r="169" spans="2:5" ht="15" customHeight="1">
      <c r="B169" s="110"/>
      <c r="C169" s="76" t="s">
        <v>102</v>
      </c>
      <c r="D169" s="77">
        <v>32</v>
      </c>
      <c r="E169" s="78">
        <v>4.2116346406950002E-3</v>
      </c>
    </row>
    <row r="170" spans="2:5" ht="15" customHeight="1">
      <c r="B170" s="110"/>
      <c r="C170" s="76" t="s">
        <v>103</v>
      </c>
      <c r="D170" s="77">
        <v>47</v>
      </c>
      <c r="E170" s="78">
        <v>6.1858383785210001E-3</v>
      </c>
    </row>
    <row r="171" spans="2:5" ht="15" customHeight="1">
      <c r="B171" s="110"/>
      <c r="C171" s="76" t="s">
        <v>104</v>
      </c>
      <c r="D171" s="77">
        <v>9</v>
      </c>
      <c r="E171" s="78">
        <v>1.1845222426950001E-3</v>
      </c>
    </row>
    <row r="172" spans="2:5" ht="15" customHeight="1">
      <c r="B172" s="110"/>
      <c r="C172" s="76" t="s">
        <v>105</v>
      </c>
      <c r="D172" s="77">
        <v>13</v>
      </c>
      <c r="E172" s="78">
        <v>1.7109765727819999E-3</v>
      </c>
    </row>
    <row r="173" spans="2:5" ht="15" customHeight="1">
      <c r="B173" s="110"/>
      <c r="C173" s="76" t="s">
        <v>106</v>
      </c>
      <c r="D173" s="77">
        <v>37</v>
      </c>
      <c r="E173" s="78">
        <v>4.8697025533039999E-3</v>
      </c>
    </row>
    <row r="174" spans="2:5" ht="15" customHeight="1">
      <c r="B174" s="110"/>
      <c r="C174" s="76" t="s">
        <v>107</v>
      </c>
      <c r="D174" s="77">
        <v>108</v>
      </c>
      <c r="E174" s="78">
        <v>1.4214266912345E-2</v>
      </c>
    </row>
    <row r="175" spans="2:5" ht="15" customHeight="1">
      <c r="B175" s="110"/>
      <c r="C175" s="76" t="s">
        <v>108</v>
      </c>
      <c r="D175" s="77">
        <v>11</v>
      </c>
      <c r="E175" s="78">
        <v>1.447749407739E-3</v>
      </c>
    </row>
    <row r="176" spans="2:5" ht="15" customHeight="1">
      <c r="B176" s="110"/>
      <c r="C176" s="76" t="s">
        <v>109</v>
      </c>
      <c r="D176" s="77">
        <v>51</v>
      </c>
      <c r="E176" s="78">
        <v>6.7122927086080003E-3</v>
      </c>
    </row>
    <row r="177" spans="2:5" ht="15" customHeight="1">
      <c r="B177" s="110"/>
      <c r="C177" s="76" t="s">
        <v>110</v>
      </c>
      <c r="D177" s="77">
        <v>142</v>
      </c>
      <c r="E177" s="78">
        <v>1.8689128718084001E-2</v>
      </c>
    </row>
    <row r="178" spans="2:5" ht="15" customHeight="1">
      <c r="B178" s="110"/>
      <c r="C178" s="76" t="s">
        <v>111</v>
      </c>
      <c r="D178" s="77">
        <v>8</v>
      </c>
      <c r="E178" s="78">
        <v>1.0529086601740001E-3</v>
      </c>
    </row>
    <row r="179" spans="2:5" ht="15" customHeight="1">
      <c r="B179" s="110"/>
      <c r="C179" s="76" t="s">
        <v>112</v>
      </c>
      <c r="D179" s="77">
        <v>4</v>
      </c>
      <c r="E179" s="78">
        <v>5.2645433008700004E-4</v>
      </c>
    </row>
    <row r="180" spans="2:5" ht="15" customHeight="1">
      <c r="B180" s="110"/>
      <c r="C180" s="76" t="s">
        <v>113</v>
      </c>
      <c r="D180" s="77">
        <v>4</v>
      </c>
      <c r="E180" s="78">
        <v>5.2645433008700004E-4</v>
      </c>
    </row>
    <row r="181" spans="2:5" ht="15" customHeight="1">
      <c r="B181" s="110"/>
      <c r="C181" s="76" t="s">
        <v>114</v>
      </c>
      <c r="D181" s="77">
        <v>1</v>
      </c>
      <c r="E181" s="78">
        <v>1.31613582522E-4</v>
      </c>
    </row>
    <row r="182" spans="2:5" ht="15" customHeight="1">
      <c r="B182" s="110"/>
      <c r="C182" s="76" t="s">
        <v>115</v>
      </c>
      <c r="D182" s="77">
        <v>12</v>
      </c>
      <c r="E182" s="78">
        <v>1.5793629902610001E-3</v>
      </c>
    </row>
    <row r="183" spans="2:5" ht="15" customHeight="1">
      <c r="B183" s="110"/>
      <c r="C183" s="76" t="s">
        <v>116</v>
      </c>
      <c r="D183" s="77">
        <v>16</v>
      </c>
      <c r="E183" s="78">
        <v>2.1058173203470001E-3</v>
      </c>
    </row>
    <row r="184" spans="2:5" ht="15" customHeight="1">
      <c r="B184" s="110"/>
      <c r="C184" s="76" t="s">
        <v>118</v>
      </c>
      <c r="D184" s="77">
        <v>2</v>
      </c>
      <c r="E184" s="78">
        <v>2.6322716504299998E-4</v>
      </c>
    </row>
    <row r="185" spans="2:5" ht="15" customHeight="1">
      <c r="B185" s="111"/>
      <c r="C185" s="95" t="s">
        <v>258</v>
      </c>
      <c r="D185" s="90">
        <v>520</v>
      </c>
      <c r="E185" s="92">
        <v>6.8439062911291995E-2</v>
      </c>
    </row>
    <row r="186" spans="2:5" ht="15" customHeight="1">
      <c r="B186" s="109" t="s">
        <v>59</v>
      </c>
      <c r="C186" s="76" t="s">
        <v>101</v>
      </c>
      <c r="D186" s="77">
        <v>1</v>
      </c>
      <c r="E186" s="78">
        <v>1.31613582522E-4</v>
      </c>
    </row>
    <row r="187" spans="2:5" ht="15" customHeight="1">
      <c r="B187" s="110"/>
      <c r="C187" s="76" t="s">
        <v>102</v>
      </c>
      <c r="D187" s="77">
        <v>2</v>
      </c>
      <c r="E187" s="78">
        <v>2.6322716504299998E-4</v>
      </c>
    </row>
    <row r="188" spans="2:5" ht="15" customHeight="1">
      <c r="B188" s="110"/>
      <c r="C188" s="76" t="s">
        <v>103</v>
      </c>
      <c r="D188" s="77">
        <v>8</v>
      </c>
      <c r="E188" s="78">
        <v>1.0529086601740001E-3</v>
      </c>
    </row>
    <row r="189" spans="2:5" ht="15" customHeight="1">
      <c r="B189" s="110"/>
      <c r="C189" s="76" t="s">
        <v>105</v>
      </c>
      <c r="D189" s="77">
        <v>1</v>
      </c>
      <c r="E189" s="78">
        <v>1.31613582522E-4</v>
      </c>
    </row>
    <row r="190" spans="2:5" ht="15" customHeight="1">
      <c r="B190" s="110"/>
      <c r="C190" s="76" t="s">
        <v>106</v>
      </c>
      <c r="D190" s="77">
        <v>3</v>
      </c>
      <c r="E190" s="78">
        <v>3.9484074756500001E-4</v>
      </c>
    </row>
    <row r="191" spans="2:5" ht="15" customHeight="1">
      <c r="B191" s="110"/>
      <c r="C191" s="76" t="s">
        <v>107</v>
      </c>
      <c r="D191" s="77">
        <v>25</v>
      </c>
      <c r="E191" s="78">
        <v>3.290339563043E-3</v>
      </c>
    </row>
    <row r="192" spans="2:5" ht="15" customHeight="1">
      <c r="B192" s="110"/>
      <c r="C192" s="76" t="s">
        <v>108</v>
      </c>
      <c r="D192" s="77">
        <v>1</v>
      </c>
      <c r="E192" s="78">
        <v>1.31613582522E-4</v>
      </c>
    </row>
    <row r="193" spans="2:5" ht="15" customHeight="1">
      <c r="B193" s="110"/>
      <c r="C193" s="76" t="s">
        <v>109</v>
      </c>
      <c r="D193" s="77">
        <v>10</v>
      </c>
      <c r="E193" s="78">
        <v>1.3161358252169999E-3</v>
      </c>
    </row>
    <row r="194" spans="2:5" ht="15" customHeight="1">
      <c r="B194" s="110"/>
      <c r="C194" s="76" t="s">
        <v>110</v>
      </c>
      <c r="D194" s="77">
        <v>45</v>
      </c>
      <c r="E194" s="78">
        <v>5.9226112134770003E-3</v>
      </c>
    </row>
    <row r="195" spans="2:5" ht="15" customHeight="1">
      <c r="B195" s="110"/>
      <c r="C195" s="76" t="s">
        <v>111</v>
      </c>
      <c r="D195" s="77">
        <v>1</v>
      </c>
      <c r="E195" s="78">
        <v>1.31613582522E-4</v>
      </c>
    </row>
    <row r="196" spans="2:5" ht="15" customHeight="1">
      <c r="B196" s="110"/>
      <c r="C196" s="76" t="s">
        <v>112</v>
      </c>
      <c r="D196" s="77">
        <v>1</v>
      </c>
      <c r="E196" s="78">
        <v>1.31613582522E-4</v>
      </c>
    </row>
    <row r="197" spans="2:5" ht="15" customHeight="1">
      <c r="B197" s="110"/>
      <c r="C197" s="76" t="s">
        <v>115</v>
      </c>
      <c r="D197" s="77">
        <v>4</v>
      </c>
      <c r="E197" s="78">
        <v>5.2645433008700004E-4</v>
      </c>
    </row>
    <row r="198" spans="2:5" ht="15" customHeight="1">
      <c r="B198" s="110"/>
      <c r="C198" s="76" t="s">
        <v>116</v>
      </c>
      <c r="D198" s="77">
        <v>9</v>
      </c>
      <c r="E198" s="78">
        <v>1.1845222426950001E-3</v>
      </c>
    </row>
    <row r="199" spans="2:5" ht="15" customHeight="1">
      <c r="B199" s="110"/>
      <c r="C199" s="76" t="s">
        <v>117</v>
      </c>
      <c r="D199" s="77">
        <v>2</v>
      </c>
      <c r="E199" s="78">
        <v>2.6322716504299998E-4</v>
      </c>
    </row>
    <row r="200" spans="2:5" ht="15" customHeight="1">
      <c r="B200" s="110"/>
      <c r="C200" s="76" t="s">
        <v>119</v>
      </c>
      <c r="D200" s="77">
        <v>1</v>
      </c>
      <c r="E200" s="78">
        <v>1.31613582522E-4</v>
      </c>
    </row>
    <row r="201" spans="2:5" ht="15" customHeight="1">
      <c r="B201" s="111"/>
      <c r="C201" s="95" t="s">
        <v>258</v>
      </c>
      <c r="D201" s="90">
        <v>114</v>
      </c>
      <c r="E201" s="92">
        <v>1.5003948407476E-2</v>
      </c>
    </row>
    <row r="202" spans="2:5" ht="15" customHeight="1">
      <c r="B202" s="109" t="s">
        <v>75</v>
      </c>
      <c r="C202" s="76" t="s">
        <v>102</v>
      </c>
      <c r="D202" s="77">
        <v>3</v>
      </c>
      <c r="E202" s="78">
        <v>3.9484074756500001E-4</v>
      </c>
    </row>
    <row r="203" spans="2:5" ht="15" customHeight="1">
      <c r="B203" s="110"/>
      <c r="C203" s="76" t="s">
        <v>103</v>
      </c>
      <c r="D203" s="77">
        <v>2</v>
      </c>
      <c r="E203" s="78">
        <v>2.6322716504299998E-4</v>
      </c>
    </row>
    <row r="204" spans="2:5" ht="15" customHeight="1">
      <c r="B204" s="110"/>
      <c r="C204" s="76" t="s">
        <v>105</v>
      </c>
      <c r="D204" s="77">
        <v>2</v>
      </c>
      <c r="E204" s="78">
        <v>2.6322716504299998E-4</v>
      </c>
    </row>
    <row r="205" spans="2:5" ht="15" customHeight="1">
      <c r="B205" s="110"/>
      <c r="C205" s="76" t="s">
        <v>107</v>
      </c>
      <c r="D205" s="77">
        <v>5</v>
      </c>
      <c r="E205" s="78">
        <v>6.5806791260900001E-4</v>
      </c>
    </row>
    <row r="206" spans="2:5" ht="15" customHeight="1">
      <c r="B206" s="110"/>
      <c r="C206" s="76" t="s">
        <v>109</v>
      </c>
      <c r="D206" s="77">
        <v>3</v>
      </c>
      <c r="E206" s="78">
        <v>3.9484074756500001E-4</v>
      </c>
    </row>
    <row r="207" spans="2:5" ht="15" customHeight="1">
      <c r="B207" s="110"/>
      <c r="C207" s="76" t="s">
        <v>110</v>
      </c>
      <c r="D207" s="77">
        <v>20</v>
      </c>
      <c r="E207" s="78">
        <v>2.6322716504339999E-3</v>
      </c>
    </row>
    <row r="208" spans="2:5" ht="15" customHeight="1">
      <c r="B208" s="110"/>
      <c r="C208" s="76" t="s">
        <v>116</v>
      </c>
      <c r="D208" s="77">
        <v>2</v>
      </c>
      <c r="E208" s="78">
        <v>2.6322716504299998E-4</v>
      </c>
    </row>
    <row r="209" spans="2:5" ht="15" customHeight="1">
      <c r="B209" s="110"/>
      <c r="C209" s="76" t="s">
        <v>117</v>
      </c>
      <c r="D209" s="77">
        <v>1</v>
      </c>
      <c r="E209" s="78">
        <v>1.31613582522E-4</v>
      </c>
    </row>
    <row r="210" spans="2:5" ht="15" customHeight="1">
      <c r="B210" s="111"/>
      <c r="C210" s="95" t="s">
        <v>258</v>
      </c>
      <c r="D210" s="90">
        <v>38</v>
      </c>
      <c r="E210" s="92">
        <v>5.0013161358250001E-3</v>
      </c>
    </row>
    <row r="211" spans="2:5" ht="15" customHeight="1">
      <c r="B211" s="109" t="s">
        <v>65</v>
      </c>
      <c r="C211" s="76" t="s">
        <v>101</v>
      </c>
      <c r="D211" s="77">
        <v>2</v>
      </c>
      <c r="E211" s="78">
        <v>2.6322716504299998E-4</v>
      </c>
    </row>
    <row r="212" spans="2:5" ht="15" customHeight="1">
      <c r="B212" s="110"/>
      <c r="C212" s="76" t="s">
        <v>102</v>
      </c>
      <c r="D212" s="77">
        <v>5</v>
      </c>
      <c r="E212" s="78">
        <v>6.5806791260900001E-4</v>
      </c>
    </row>
    <row r="213" spans="2:5" ht="15" customHeight="1">
      <c r="B213" s="110"/>
      <c r="C213" s="76" t="s">
        <v>103</v>
      </c>
      <c r="D213" s="77">
        <v>6</v>
      </c>
      <c r="E213" s="78">
        <v>7.8968149513000002E-4</v>
      </c>
    </row>
    <row r="214" spans="2:5" ht="15" customHeight="1">
      <c r="B214" s="110"/>
      <c r="C214" s="76" t="s">
        <v>104</v>
      </c>
      <c r="D214" s="77">
        <v>1</v>
      </c>
      <c r="E214" s="78">
        <v>1.31613582522E-4</v>
      </c>
    </row>
    <row r="215" spans="2:5" ht="15" customHeight="1">
      <c r="B215" s="110"/>
      <c r="C215" s="76" t="s">
        <v>105</v>
      </c>
      <c r="D215" s="77">
        <v>4</v>
      </c>
      <c r="E215" s="78">
        <v>5.2645433008700004E-4</v>
      </c>
    </row>
    <row r="216" spans="2:5" ht="15" customHeight="1">
      <c r="B216" s="110"/>
      <c r="C216" s="76" t="s">
        <v>106</v>
      </c>
      <c r="D216" s="77">
        <v>1</v>
      </c>
      <c r="E216" s="78">
        <v>1.31613582522E-4</v>
      </c>
    </row>
    <row r="217" spans="2:5" ht="15" customHeight="1">
      <c r="B217" s="110"/>
      <c r="C217" s="76" t="s">
        <v>107</v>
      </c>
      <c r="D217" s="77">
        <v>15</v>
      </c>
      <c r="E217" s="78">
        <v>1.9742037378259998E-3</v>
      </c>
    </row>
    <row r="218" spans="2:5" ht="15" customHeight="1">
      <c r="B218" s="110"/>
      <c r="C218" s="76" t="s">
        <v>109</v>
      </c>
      <c r="D218" s="77">
        <v>10</v>
      </c>
      <c r="E218" s="78">
        <v>1.3161358252169999E-3</v>
      </c>
    </row>
    <row r="219" spans="2:5" ht="15" customHeight="1">
      <c r="B219" s="110"/>
      <c r="C219" s="76" t="s">
        <v>110</v>
      </c>
      <c r="D219" s="77">
        <v>13</v>
      </c>
      <c r="E219" s="78">
        <v>1.7109765727819999E-3</v>
      </c>
    </row>
    <row r="220" spans="2:5" ht="15" customHeight="1">
      <c r="B220" s="110"/>
      <c r="C220" s="76" t="s">
        <v>111</v>
      </c>
      <c r="D220" s="77">
        <v>1</v>
      </c>
      <c r="E220" s="78">
        <v>1.31613582522E-4</v>
      </c>
    </row>
    <row r="221" spans="2:5" ht="15" customHeight="1">
      <c r="B221" s="110"/>
      <c r="C221" s="76" t="s">
        <v>116</v>
      </c>
      <c r="D221" s="77">
        <v>2</v>
      </c>
      <c r="E221" s="78">
        <v>2.6322716504299998E-4</v>
      </c>
    </row>
    <row r="222" spans="2:5" ht="15" customHeight="1">
      <c r="B222" s="111"/>
      <c r="C222" s="95" t="s">
        <v>258</v>
      </c>
      <c r="D222" s="90">
        <v>60</v>
      </c>
      <c r="E222" s="92">
        <v>7.8968149513030002E-3</v>
      </c>
    </row>
    <row r="223" spans="2:5" ht="15" customHeight="1">
      <c r="B223" s="109" t="s">
        <v>94</v>
      </c>
      <c r="C223" s="76" t="s">
        <v>106</v>
      </c>
      <c r="D223" s="77">
        <v>1</v>
      </c>
      <c r="E223" s="78">
        <v>1.31613582522E-4</v>
      </c>
    </row>
    <row r="224" spans="2:5" ht="15" customHeight="1">
      <c r="B224" s="110"/>
      <c r="C224" s="76" t="s">
        <v>107</v>
      </c>
      <c r="D224" s="77">
        <v>3</v>
      </c>
      <c r="E224" s="78">
        <v>3.9484074756500001E-4</v>
      </c>
    </row>
    <row r="225" spans="2:5" ht="15" customHeight="1">
      <c r="B225" s="110"/>
      <c r="C225" s="76" t="s">
        <v>108</v>
      </c>
      <c r="D225" s="77">
        <v>1</v>
      </c>
      <c r="E225" s="78">
        <v>1.31613582522E-4</v>
      </c>
    </row>
    <row r="226" spans="2:5" ht="15" customHeight="1">
      <c r="B226" s="110"/>
      <c r="C226" s="76" t="s">
        <v>110</v>
      </c>
      <c r="D226" s="77">
        <v>3</v>
      </c>
      <c r="E226" s="78">
        <v>3.9484074756500001E-4</v>
      </c>
    </row>
    <row r="227" spans="2:5" ht="15" customHeight="1">
      <c r="B227" s="110"/>
      <c r="C227" s="76" t="s">
        <v>113</v>
      </c>
      <c r="D227" s="77">
        <v>1</v>
      </c>
      <c r="E227" s="78">
        <v>1.31613582522E-4</v>
      </c>
    </row>
    <row r="228" spans="2:5" ht="15" customHeight="1">
      <c r="B228" s="110"/>
      <c r="C228" s="76" t="s">
        <v>116</v>
      </c>
      <c r="D228" s="77">
        <v>2</v>
      </c>
      <c r="E228" s="78">
        <v>2.6322716504299998E-4</v>
      </c>
    </row>
    <row r="229" spans="2:5" ht="15" customHeight="1">
      <c r="B229" s="111"/>
      <c r="C229" s="95" t="s">
        <v>258</v>
      </c>
      <c r="D229" s="90">
        <v>11</v>
      </c>
      <c r="E229" s="92">
        <v>1.447749407739E-3</v>
      </c>
    </row>
    <row r="230" spans="2:5" ht="15" customHeight="1">
      <c r="B230" s="109" t="s">
        <v>50</v>
      </c>
      <c r="C230" s="76" t="s">
        <v>97</v>
      </c>
      <c r="D230" s="77">
        <v>1</v>
      </c>
      <c r="E230" s="78">
        <v>1.31613582522E-4</v>
      </c>
    </row>
    <row r="231" spans="2:5" ht="15" customHeight="1">
      <c r="B231" s="110"/>
      <c r="C231" s="76" t="s">
        <v>98</v>
      </c>
      <c r="D231" s="77">
        <v>1</v>
      </c>
      <c r="E231" s="78">
        <v>1.31613582522E-4</v>
      </c>
    </row>
    <row r="232" spans="2:5" ht="15" customHeight="1">
      <c r="B232" s="110"/>
      <c r="C232" s="76" t="s">
        <v>100</v>
      </c>
      <c r="D232" s="77">
        <v>2</v>
      </c>
      <c r="E232" s="78">
        <v>2.6322716504299998E-4</v>
      </c>
    </row>
    <row r="233" spans="2:5" ht="15" customHeight="1">
      <c r="B233" s="110"/>
      <c r="C233" s="76" t="s">
        <v>101</v>
      </c>
      <c r="D233" s="77">
        <v>2</v>
      </c>
      <c r="E233" s="78">
        <v>2.6322716504299998E-4</v>
      </c>
    </row>
    <row r="234" spans="2:5" ht="15" customHeight="1">
      <c r="B234" s="110"/>
      <c r="C234" s="76" t="s">
        <v>102</v>
      </c>
      <c r="D234" s="77">
        <v>8</v>
      </c>
      <c r="E234" s="78">
        <v>1.0529086601740001E-3</v>
      </c>
    </row>
    <row r="235" spans="2:5" ht="15" customHeight="1">
      <c r="B235" s="110"/>
      <c r="C235" s="76" t="s">
        <v>103</v>
      </c>
      <c r="D235" s="77">
        <v>19</v>
      </c>
      <c r="E235" s="78">
        <v>2.5006580679130001E-3</v>
      </c>
    </row>
    <row r="236" spans="2:5" ht="15" customHeight="1">
      <c r="B236" s="110"/>
      <c r="C236" s="76" t="s">
        <v>104</v>
      </c>
      <c r="D236" s="77">
        <v>2</v>
      </c>
      <c r="E236" s="78">
        <v>2.6322716504299998E-4</v>
      </c>
    </row>
    <row r="237" spans="2:5" ht="15" customHeight="1">
      <c r="B237" s="110"/>
      <c r="C237" s="76" t="s">
        <v>105</v>
      </c>
      <c r="D237" s="77">
        <v>10</v>
      </c>
      <c r="E237" s="78">
        <v>1.3161358252169999E-3</v>
      </c>
    </row>
    <row r="238" spans="2:5" ht="15" customHeight="1">
      <c r="B238" s="110"/>
      <c r="C238" s="76" t="s">
        <v>106</v>
      </c>
      <c r="D238" s="77">
        <v>14</v>
      </c>
      <c r="E238" s="78">
        <v>1.842590155304E-3</v>
      </c>
    </row>
    <row r="239" spans="2:5" ht="15" customHeight="1">
      <c r="B239" s="110"/>
      <c r="C239" s="76" t="s">
        <v>107</v>
      </c>
      <c r="D239" s="77">
        <v>63</v>
      </c>
      <c r="E239" s="78">
        <v>8.2916556988680001E-3</v>
      </c>
    </row>
    <row r="240" spans="2:5" ht="15" customHeight="1">
      <c r="B240" s="110"/>
      <c r="C240" s="76" t="s">
        <v>108</v>
      </c>
      <c r="D240" s="77">
        <v>11</v>
      </c>
      <c r="E240" s="78">
        <v>1.447749407739E-3</v>
      </c>
    </row>
    <row r="241" spans="2:5" ht="15" customHeight="1">
      <c r="B241" s="110"/>
      <c r="C241" s="76" t="s">
        <v>109</v>
      </c>
      <c r="D241" s="77">
        <v>39</v>
      </c>
      <c r="E241" s="78">
        <v>5.1329297183470004E-3</v>
      </c>
    </row>
    <row r="242" spans="2:5" ht="15" customHeight="1">
      <c r="B242" s="110"/>
      <c r="C242" s="76" t="s">
        <v>110</v>
      </c>
      <c r="D242" s="77">
        <v>130</v>
      </c>
      <c r="E242" s="78">
        <v>1.7109765727822999E-2</v>
      </c>
    </row>
    <row r="243" spans="2:5" ht="15" customHeight="1">
      <c r="B243" s="110"/>
      <c r="C243" s="76" t="s">
        <v>111</v>
      </c>
      <c r="D243" s="77">
        <v>2</v>
      </c>
      <c r="E243" s="78">
        <v>2.6322716504299998E-4</v>
      </c>
    </row>
    <row r="244" spans="2:5" ht="15" customHeight="1">
      <c r="B244" s="110"/>
      <c r="C244" s="76" t="s">
        <v>112</v>
      </c>
      <c r="D244" s="77">
        <v>2</v>
      </c>
      <c r="E244" s="78">
        <v>2.6322716504299998E-4</v>
      </c>
    </row>
    <row r="245" spans="2:5" ht="15" customHeight="1">
      <c r="B245" s="110"/>
      <c r="C245" s="76" t="s">
        <v>113</v>
      </c>
      <c r="D245" s="77">
        <v>2</v>
      </c>
      <c r="E245" s="78">
        <v>2.6322716504299998E-4</v>
      </c>
    </row>
    <row r="246" spans="2:5" ht="15" customHeight="1">
      <c r="B246" s="110"/>
      <c r="C246" s="76" t="s">
        <v>115</v>
      </c>
      <c r="D246" s="77">
        <v>5</v>
      </c>
      <c r="E246" s="78">
        <v>6.5806791260900001E-4</v>
      </c>
    </row>
    <row r="247" spans="2:5" ht="15" customHeight="1">
      <c r="B247" s="110"/>
      <c r="C247" s="76" t="s">
        <v>116</v>
      </c>
      <c r="D247" s="77">
        <v>19</v>
      </c>
      <c r="E247" s="78">
        <v>2.5006580679130001E-3</v>
      </c>
    </row>
    <row r="248" spans="2:5" ht="15" customHeight="1">
      <c r="B248" s="111"/>
      <c r="C248" s="95" t="s">
        <v>258</v>
      </c>
      <c r="D248" s="90">
        <v>332</v>
      </c>
      <c r="E248" s="92">
        <v>4.369570939721E-2</v>
      </c>
    </row>
    <row r="249" spans="2:5" ht="15" customHeight="1">
      <c r="B249" s="109" t="s">
        <v>68</v>
      </c>
      <c r="C249" s="76" t="s">
        <v>101</v>
      </c>
      <c r="D249" s="77">
        <v>1</v>
      </c>
      <c r="E249" s="78">
        <v>1.31613582522E-4</v>
      </c>
    </row>
    <row r="250" spans="2:5" ht="15" customHeight="1">
      <c r="B250" s="110"/>
      <c r="C250" s="76" t="s">
        <v>103</v>
      </c>
      <c r="D250" s="77">
        <v>8</v>
      </c>
      <c r="E250" s="78">
        <v>1.0529086601740001E-3</v>
      </c>
    </row>
    <row r="251" spans="2:5" ht="15" customHeight="1">
      <c r="B251" s="110"/>
      <c r="C251" s="76" t="s">
        <v>104</v>
      </c>
      <c r="D251" s="77">
        <v>1</v>
      </c>
      <c r="E251" s="78">
        <v>1.31613582522E-4</v>
      </c>
    </row>
    <row r="252" spans="2:5" ht="15" customHeight="1">
      <c r="B252" s="110"/>
      <c r="C252" s="76" t="s">
        <v>106</v>
      </c>
      <c r="D252" s="77">
        <v>3</v>
      </c>
      <c r="E252" s="78">
        <v>3.9484074756500001E-4</v>
      </c>
    </row>
    <row r="253" spans="2:5" ht="15" customHeight="1">
      <c r="B253" s="110"/>
      <c r="C253" s="76" t="s">
        <v>107</v>
      </c>
      <c r="D253" s="77">
        <v>21</v>
      </c>
      <c r="E253" s="78">
        <v>2.7638852329560002E-3</v>
      </c>
    </row>
    <row r="254" spans="2:5" ht="15" customHeight="1">
      <c r="B254" s="110"/>
      <c r="C254" s="76" t="s">
        <v>109</v>
      </c>
      <c r="D254" s="77">
        <v>10</v>
      </c>
      <c r="E254" s="78">
        <v>1.3161358252169999E-3</v>
      </c>
    </row>
    <row r="255" spans="2:5" ht="15" customHeight="1">
      <c r="B255" s="110"/>
      <c r="C255" s="76" t="s">
        <v>110</v>
      </c>
      <c r="D255" s="77">
        <v>30</v>
      </c>
      <c r="E255" s="78">
        <v>3.9484074756509996E-3</v>
      </c>
    </row>
    <row r="256" spans="2:5" ht="15" customHeight="1">
      <c r="B256" s="110"/>
      <c r="C256" s="76" t="s">
        <v>116</v>
      </c>
      <c r="D256" s="77">
        <v>3</v>
      </c>
      <c r="E256" s="78">
        <v>3.9484074756500001E-4</v>
      </c>
    </row>
    <row r="257" spans="2:5" ht="15" customHeight="1">
      <c r="B257" s="110"/>
      <c r="C257" s="76" t="s">
        <v>117</v>
      </c>
      <c r="D257" s="77">
        <v>4</v>
      </c>
      <c r="E257" s="78">
        <v>5.2645433008700004E-4</v>
      </c>
    </row>
    <row r="258" spans="2:5" ht="15" customHeight="1">
      <c r="B258" s="111"/>
      <c r="C258" s="95" t="s">
        <v>258</v>
      </c>
      <c r="D258" s="90">
        <v>81</v>
      </c>
      <c r="E258" s="92">
        <v>1.0660700184259001E-2</v>
      </c>
    </row>
    <row r="259" spans="2:5" ht="15" customHeight="1">
      <c r="B259" s="109" t="s">
        <v>46</v>
      </c>
      <c r="C259" s="76" t="s">
        <v>96</v>
      </c>
      <c r="D259" s="77">
        <v>11</v>
      </c>
      <c r="E259" s="78">
        <v>1.447749407739E-3</v>
      </c>
    </row>
    <row r="260" spans="2:5" ht="15" customHeight="1">
      <c r="B260" s="110"/>
      <c r="C260" s="76" t="s">
        <v>97</v>
      </c>
      <c r="D260" s="77">
        <v>8</v>
      </c>
      <c r="E260" s="78">
        <v>1.0529086601740001E-3</v>
      </c>
    </row>
    <row r="261" spans="2:5" ht="15" customHeight="1">
      <c r="B261" s="110"/>
      <c r="C261" s="76" t="s">
        <v>98</v>
      </c>
      <c r="D261" s="77">
        <v>8</v>
      </c>
      <c r="E261" s="78">
        <v>1.0529086601740001E-3</v>
      </c>
    </row>
    <row r="262" spans="2:5" ht="15" customHeight="1">
      <c r="B262" s="110"/>
      <c r="C262" s="76" t="s">
        <v>99</v>
      </c>
      <c r="D262" s="77">
        <v>10</v>
      </c>
      <c r="E262" s="78">
        <v>1.3161358252169999E-3</v>
      </c>
    </row>
    <row r="263" spans="2:5" ht="15" customHeight="1">
      <c r="B263" s="110"/>
      <c r="C263" s="76" t="s">
        <v>100</v>
      </c>
      <c r="D263" s="77">
        <v>7</v>
      </c>
      <c r="E263" s="78">
        <v>9.2129507765199999E-4</v>
      </c>
    </row>
    <row r="264" spans="2:5" ht="15" customHeight="1">
      <c r="B264" s="110"/>
      <c r="C264" s="76" t="s">
        <v>101</v>
      </c>
      <c r="D264" s="77">
        <v>17</v>
      </c>
      <c r="E264" s="78">
        <v>2.2374309028689999E-3</v>
      </c>
    </row>
    <row r="265" spans="2:5" ht="15" customHeight="1">
      <c r="B265" s="110"/>
      <c r="C265" s="76" t="s">
        <v>102</v>
      </c>
      <c r="D265" s="77">
        <v>80</v>
      </c>
      <c r="E265" s="78">
        <v>1.0529086601737001E-2</v>
      </c>
    </row>
    <row r="266" spans="2:5" ht="15" customHeight="1">
      <c r="B266" s="110"/>
      <c r="C266" s="76" t="s">
        <v>103</v>
      </c>
      <c r="D266" s="77">
        <v>116</v>
      </c>
      <c r="E266" s="78">
        <v>1.5267175572519E-2</v>
      </c>
    </row>
    <row r="267" spans="2:5" ht="15" customHeight="1">
      <c r="B267" s="110"/>
      <c r="C267" s="76" t="s">
        <v>104</v>
      </c>
      <c r="D267" s="77">
        <v>10</v>
      </c>
      <c r="E267" s="78">
        <v>1.3161358252169999E-3</v>
      </c>
    </row>
    <row r="268" spans="2:5" ht="15" customHeight="1">
      <c r="B268" s="110"/>
      <c r="C268" s="76" t="s">
        <v>105</v>
      </c>
      <c r="D268" s="77">
        <v>28</v>
      </c>
      <c r="E268" s="78">
        <v>3.685180310608E-3</v>
      </c>
    </row>
    <row r="269" spans="2:5" ht="15" customHeight="1">
      <c r="B269" s="110"/>
      <c r="C269" s="76" t="s">
        <v>106</v>
      </c>
      <c r="D269" s="77">
        <v>67</v>
      </c>
      <c r="E269" s="78">
        <v>8.8181100289550004E-3</v>
      </c>
    </row>
    <row r="270" spans="2:5" ht="15" customHeight="1">
      <c r="B270" s="110"/>
      <c r="C270" s="76" t="s">
        <v>107</v>
      </c>
      <c r="D270" s="77">
        <v>352</v>
      </c>
      <c r="E270" s="78">
        <v>4.6327981047643997E-2</v>
      </c>
    </row>
    <row r="271" spans="2:5" ht="15" customHeight="1">
      <c r="B271" s="110"/>
      <c r="C271" s="76" t="s">
        <v>108</v>
      </c>
      <c r="D271" s="77">
        <v>22</v>
      </c>
      <c r="E271" s="78">
        <v>2.8954988154780001E-3</v>
      </c>
    </row>
    <row r="272" spans="2:5" ht="15" customHeight="1">
      <c r="B272" s="110"/>
      <c r="C272" s="76" t="s">
        <v>109</v>
      </c>
      <c r="D272" s="77">
        <v>131</v>
      </c>
      <c r="E272" s="78">
        <v>1.7241379310345001E-2</v>
      </c>
    </row>
    <row r="273" spans="2:5" ht="15" customHeight="1">
      <c r="B273" s="110"/>
      <c r="C273" s="76" t="s">
        <v>110</v>
      </c>
      <c r="D273" s="77">
        <v>451</v>
      </c>
      <c r="E273" s="78">
        <v>5.9357725717294002E-2</v>
      </c>
    </row>
    <row r="274" spans="2:5" ht="15" customHeight="1">
      <c r="B274" s="110"/>
      <c r="C274" s="76" t="s">
        <v>111</v>
      </c>
      <c r="D274" s="77">
        <v>7</v>
      </c>
      <c r="E274" s="78">
        <v>9.2129507765199999E-4</v>
      </c>
    </row>
    <row r="275" spans="2:5" ht="15" customHeight="1">
      <c r="B275" s="110"/>
      <c r="C275" s="76" t="s">
        <v>112</v>
      </c>
      <c r="D275" s="77">
        <v>11</v>
      </c>
      <c r="E275" s="78">
        <v>1.447749407739E-3</v>
      </c>
    </row>
    <row r="276" spans="2:5" ht="15" customHeight="1">
      <c r="B276" s="110"/>
      <c r="C276" s="76" t="s">
        <v>113</v>
      </c>
      <c r="D276" s="77">
        <v>5</v>
      </c>
      <c r="E276" s="78">
        <v>6.5806791260900001E-4</v>
      </c>
    </row>
    <row r="277" spans="2:5" ht="15" customHeight="1">
      <c r="B277" s="110"/>
      <c r="C277" s="76" t="s">
        <v>114</v>
      </c>
      <c r="D277" s="77">
        <v>4</v>
      </c>
      <c r="E277" s="78">
        <v>5.2645433008700004E-4</v>
      </c>
    </row>
    <row r="278" spans="2:5" ht="15" customHeight="1">
      <c r="B278" s="110"/>
      <c r="C278" s="76" t="s">
        <v>115</v>
      </c>
      <c r="D278" s="77">
        <v>42</v>
      </c>
      <c r="E278" s="78">
        <v>5.5277704659120004E-3</v>
      </c>
    </row>
    <row r="279" spans="2:5" ht="15" customHeight="1">
      <c r="B279" s="110"/>
      <c r="C279" s="76" t="s">
        <v>116</v>
      </c>
      <c r="D279" s="77">
        <v>97</v>
      </c>
      <c r="E279" s="78">
        <v>1.2766517504605999E-2</v>
      </c>
    </row>
    <row r="280" spans="2:5" ht="15" customHeight="1">
      <c r="B280" s="110"/>
      <c r="C280" s="76" t="s">
        <v>118</v>
      </c>
      <c r="D280" s="77">
        <v>4</v>
      </c>
      <c r="E280" s="78">
        <v>5.2645433008700004E-4</v>
      </c>
    </row>
    <row r="281" spans="2:5" ht="15" customHeight="1">
      <c r="B281" s="111"/>
      <c r="C281" s="95" t="s">
        <v>258</v>
      </c>
      <c r="D281" s="90">
        <v>1488</v>
      </c>
      <c r="E281" s="92">
        <v>0.195841010792314</v>
      </c>
    </row>
    <row r="282" spans="2:5" ht="15" customHeight="1">
      <c r="B282" s="109" t="s">
        <v>85</v>
      </c>
      <c r="C282" s="76" t="s">
        <v>105</v>
      </c>
      <c r="D282" s="77">
        <v>1</v>
      </c>
      <c r="E282" s="78">
        <v>1.31613582522E-4</v>
      </c>
    </row>
    <row r="283" spans="2:5" ht="15" customHeight="1">
      <c r="B283" s="110"/>
      <c r="C283" s="76" t="s">
        <v>106</v>
      </c>
      <c r="D283" s="77">
        <v>1</v>
      </c>
      <c r="E283" s="78">
        <v>1.31613582522E-4</v>
      </c>
    </row>
    <row r="284" spans="2:5" ht="15" customHeight="1">
      <c r="B284" s="110"/>
      <c r="C284" s="76" t="s">
        <v>107</v>
      </c>
      <c r="D284" s="77">
        <v>4</v>
      </c>
      <c r="E284" s="78">
        <v>5.2645433008700004E-4</v>
      </c>
    </row>
    <row r="285" spans="2:5" ht="15" customHeight="1">
      <c r="B285" s="110"/>
      <c r="C285" s="76" t="s">
        <v>108</v>
      </c>
      <c r="D285" s="77">
        <v>1</v>
      </c>
      <c r="E285" s="78">
        <v>1.31613582522E-4</v>
      </c>
    </row>
    <row r="286" spans="2:5" ht="15" customHeight="1">
      <c r="B286" s="110"/>
      <c r="C286" s="76" t="s">
        <v>109</v>
      </c>
      <c r="D286" s="77">
        <v>1</v>
      </c>
      <c r="E286" s="78">
        <v>1.31613582522E-4</v>
      </c>
    </row>
    <row r="287" spans="2:5" ht="15" customHeight="1">
      <c r="B287" s="110"/>
      <c r="C287" s="76" t="s">
        <v>110</v>
      </c>
      <c r="D287" s="77">
        <v>5</v>
      </c>
      <c r="E287" s="78">
        <v>6.5806791260900001E-4</v>
      </c>
    </row>
    <row r="288" spans="2:5" ht="15" customHeight="1">
      <c r="B288" s="110"/>
      <c r="C288" s="76" t="s">
        <v>111</v>
      </c>
      <c r="D288" s="77">
        <v>1</v>
      </c>
      <c r="E288" s="78">
        <v>1.31613582522E-4</v>
      </c>
    </row>
    <row r="289" spans="2:5" ht="15" customHeight="1">
      <c r="B289" s="110"/>
      <c r="C289" s="76" t="s">
        <v>116</v>
      </c>
      <c r="D289" s="77">
        <v>4</v>
      </c>
      <c r="E289" s="78">
        <v>5.2645433008700004E-4</v>
      </c>
    </row>
    <row r="290" spans="2:5" ht="15" customHeight="1">
      <c r="B290" s="110"/>
      <c r="C290" s="76" t="s">
        <v>118</v>
      </c>
      <c r="D290" s="77">
        <v>1</v>
      </c>
      <c r="E290" s="78">
        <v>1.31613582522E-4</v>
      </c>
    </row>
    <row r="291" spans="2:5" ht="15" customHeight="1">
      <c r="B291" s="111"/>
      <c r="C291" s="95" t="s">
        <v>258</v>
      </c>
      <c r="D291" s="90">
        <v>19</v>
      </c>
      <c r="E291" s="92">
        <v>2.5006580679130001E-3</v>
      </c>
    </row>
    <row r="292" spans="2:5" ht="15" customHeight="1">
      <c r="B292" s="109" t="s">
        <v>78</v>
      </c>
      <c r="C292" s="76" t="s">
        <v>98</v>
      </c>
      <c r="D292" s="77">
        <v>1</v>
      </c>
      <c r="E292" s="78">
        <v>1.31613582522E-4</v>
      </c>
    </row>
    <row r="293" spans="2:5" ht="15" customHeight="1">
      <c r="B293" s="110"/>
      <c r="C293" s="76" t="s">
        <v>100</v>
      </c>
      <c r="D293" s="77">
        <v>1</v>
      </c>
      <c r="E293" s="78">
        <v>1.31613582522E-4</v>
      </c>
    </row>
    <row r="294" spans="2:5" ht="15" customHeight="1">
      <c r="B294" s="110"/>
      <c r="C294" s="76" t="s">
        <v>102</v>
      </c>
      <c r="D294" s="77">
        <v>2</v>
      </c>
      <c r="E294" s="78">
        <v>2.6322716504299998E-4</v>
      </c>
    </row>
    <row r="295" spans="2:5" ht="15" customHeight="1">
      <c r="B295" s="110"/>
      <c r="C295" s="76" t="s">
        <v>103</v>
      </c>
      <c r="D295" s="77">
        <v>2</v>
      </c>
      <c r="E295" s="78">
        <v>2.6322716504299998E-4</v>
      </c>
    </row>
    <row r="296" spans="2:5" ht="15" customHeight="1">
      <c r="B296" s="110"/>
      <c r="C296" s="76" t="s">
        <v>104</v>
      </c>
      <c r="D296" s="77">
        <v>1</v>
      </c>
      <c r="E296" s="78">
        <v>1.31613582522E-4</v>
      </c>
    </row>
    <row r="297" spans="2:5" ht="15" customHeight="1">
      <c r="B297" s="110"/>
      <c r="C297" s="76" t="s">
        <v>107</v>
      </c>
      <c r="D297" s="77">
        <v>4</v>
      </c>
      <c r="E297" s="78">
        <v>5.2645433008700004E-4</v>
      </c>
    </row>
    <row r="298" spans="2:5" ht="15" customHeight="1">
      <c r="B298" s="110"/>
      <c r="C298" s="76" t="s">
        <v>109</v>
      </c>
      <c r="D298" s="77">
        <v>4</v>
      </c>
      <c r="E298" s="78">
        <v>5.2645433008700004E-4</v>
      </c>
    </row>
    <row r="299" spans="2:5" ht="15" customHeight="1">
      <c r="B299" s="110"/>
      <c r="C299" s="76" t="s">
        <v>110</v>
      </c>
      <c r="D299" s="77">
        <v>10</v>
      </c>
      <c r="E299" s="78">
        <v>1.3161358252169999E-3</v>
      </c>
    </row>
    <row r="300" spans="2:5" ht="15" customHeight="1">
      <c r="B300" s="110"/>
      <c r="C300" s="76" t="s">
        <v>115</v>
      </c>
      <c r="D300" s="77">
        <v>1</v>
      </c>
      <c r="E300" s="78">
        <v>1.31613582522E-4</v>
      </c>
    </row>
    <row r="301" spans="2:5" ht="15" customHeight="1">
      <c r="B301" s="110"/>
      <c r="C301" s="76" t="s">
        <v>116</v>
      </c>
      <c r="D301" s="77">
        <v>5</v>
      </c>
      <c r="E301" s="78">
        <v>6.5806791260900001E-4</v>
      </c>
    </row>
    <row r="302" spans="2:5" ht="15" customHeight="1">
      <c r="B302" s="110"/>
      <c r="C302" s="76" t="s">
        <v>118</v>
      </c>
      <c r="D302" s="77">
        <v>1</v>
      </c>
      <c r="E302" s="78">
        <v>1.31613582522E-4</v>
      </c>
    </row>
    <row r="303" spans="2:5" ht="15" customHeight="1">
      <c r="B303" s="111"/>
      <c r="C303" s="95" t="s">
        <v>258</v>
      </c>
      <c r="D303" s="90">
        <v>32</v>
      </c>
      <c r="E303" s="92">
        <v>4.2116346406950002E-3</v>
      </c>
    </row>
    <row r="304" spans="2:5" ht="15" customHeight="1">
      <c r="B304" s="109" t="s">
        <v>74</v>
      </c>
      <c r="C304" s="76" t="s">
        <v>99</v>
      </c>
      <c r="D304" s="77">
        <v>1</v>
      </c>
      <c r="E304" s="78">
        <v>1.31613582522E-4</v>
      </c>
    </row>
    <row r="305" spans="2:5" ht="15" customHeight="1">
      <c r="B305" s="110"/>
      <c r="C305" s="76" t="s">
        <v>100</v>
      </c>
      <c r="D305" s="77">
        <v>1</v>
      </c>
      <c r="E305" s="78">
        <v>1.31613582522E-4</v>
      </c>
    </row>
    <row r="306" spans="2:5" ht="15" customHeight="1">
      <c r="B306" s="110"/>
      <c r="C306" s="76" t="s">
        <v>101</v>
      </c>
      <c r="D306" s="77">
        <v>1</v>
      </c>
      <c r="E306" s="78">
        <v>1.31613582522E-4</v>
      </c>
    </row>
    <row r="307" spans="2:5" ht="15" customHeight="1">
      <c r="B307" s="110"/>
      <c r="C307" s="76" t="s">
        <v>102</v>
      </c>
      <c r="D307" s="77">
        <v>2</v>
      </c>
      <c r="E307" s="78">
        <v>2.6322716504299998E-4</v>
      </c>
    </row>
    <row r="308" spans="2:5" ht="15" customHeight="1">
      <c r="B308" s="110"/>
      <c r="C308" s="76" t="s">
        <v>103</v>
      </c>
      <c r="D308" s="77">
        <v>5</v>
      </c>
      <c r="E308" s="78">
        <v>6.5806791260900001E-4</v>
      </c>
    </row>
    <row r="309" spans="2:5" ht="15" customHeight="1">
      <c r="B309" s="110"/>
      <c r="C309" s="76" t="s">
        <v>104</v>
      </c>
      <c r="D309" s="77">
        <v>1</v>
      </c>
      <c r="E309" s="78">
        <v>1.31613582522E-4</v>
      </c>
    </row>
    <row r="310" spans="2:5" ht="15" customHeight="1">
      <c r="B310" s="110"/>
      <c r="C310" s="76" t="s">
        <v>105</v>
      </c>
      <c r="D310" s="77">
        <v>1</v>
      </c>
      <c r="E310" s="78">
        <v>1.31613582522E-4</v>
      </c>
    </row>
    <row r="311" spans="2:5" ht="15" customHeight="1">
      <c r="B311" s="110"/>
      <c r="C311" s="76" t="s">
        <v>106</v>
      </c>
      <c r="D311" s="77">
        <v>1</v>
      </c>
      <c r="E311" s="78">
        <v>1.31613582522E-4</v>
      </c>
    </row>
    <row r="312" spans="2:5" ht="15" customHeight="1">
      <c r="B312" s="110"/>
      <c r="C312" s="76" t="s">
        <v>107</v>
      </c>
      <c r="D312" s="77">
        <v>9</v>
      </c>
      <c r="E312" s="78">
        <v>1.1845222426950001E-3</v>
      </c>
    </row>
    <row r="313" spans="2:5" ht="15" customHeight="1">
      <c r="B313" s="110"/>
      <c r="C313" s="76" t="s">
        <v>108</v>
      </c>
      <c r="D313" s="77">
        <v>3</v>
      </c>
      <c r="E313" s="78">
        <v>3.9484074756500001E-4</v>
      </c>
    </row>
    <row r="314" spans="2:5" ht="15" customHeight="1">
      <c r="B314" s="110"/>
      <c r="C314" s="76" t="s">
        <v>109</v>
      </c>
      <c r="D314" s="77">
        <v>3</v>
      </c>
      <c r="E314" s="78">
        <v>3.9484074756500001E-4</v>
      </c>
    </row>
    <row r="315" spans="2:5" ht="15" customHeight="1">
      <c r="B315" s="110"/>
      <c r="C315" s="76" t="s">
        <v>110</v>
      </c>
      <c r="D315" s="77">
        <v>15</v>
      </c>
      <c r="E315" s="78">
        <v>1.9742037378259998E-3</v>
      </c>
    </row>
    <row r="316" spans="2:5" ht="15" customHeight="1">
      <c r="B316" s="110"/>
      <c r="C316" s="76" t="s">
        <v>115</v>
      </c>
      <c r="D316" s="77">
        <v>1</v>
      </c>
      <c r="E316" s="78">
        <v>1.31613582522E-4</v>
      </c>
    </row>
    <row r="317" spans="2:5" ht="15" customHeight="1">
      <c r="B317" s="110"/>
      <c r="C317" s="76" t="s">
        <v>116</v>
      </c>
      <c r="D317" s="77">
        <v>3</v>
      </c>
      <c r="E317" s="78">
        <v>3.9484074756500001E-4</v>
      </c>
    </row>
    <row r="318" spans="2:5" ht="15" customHeight="1">
      <c r="B318" s="111"/>
      <c r="C318" s="95" t="s">
        <v>258</v>
      </c>
      <c r="D318" s="90">
        <v>47</v>
      </c>
      <c r="E318" s="92">
        <v>6.1858383785210001E-3</v>
      </c>
    </row>
    <row r="319" spans="2:5" ht="15" customHeight="1">
      <c r="B319" s="109" t="s">
        <v>90</v>
      </c>
      <c r="C319" s="76" t="s">
        <v>96</v>
      </c>
      <c r="D319" s="77">
        <v>1</v>
      </c>
      <c r="E319" s="78">
        <v>1.31613582522E-4</v>
      </c>
    </row>
    <row r="320" spans="2:5" ht="15" customHeight="1">
      <c r="B320" s="110"/>
      <c r="C320" s="76" t="s">
        <v>102</v>
      </c>
      <c r="D320" s="77">
        <v>1</v>
      </c>
      <c r="E320" s="78">
        <v>1.31613582522E-4</v>
      </c>
    </row>
    <row r="321" spans="2:5" ht="15" customHeight="1">
      <c r="B321" s="110"/>
      <c r="C321" s="76" t="s">
        <v>106</v>
      </c>
      <c r="D321" s="77">
        <v>1</v>
      </c>
      <c r="E321" s="78">
        <v>1.31613582522E-4</v>
      </c>
    </row>
    <row r="322" spans="2:5" ht="15" customHeight="1">
      <c r="B322" s="110"/>
      <c r="C322" s="76" t="s">
        <v>107</v>
      </c>
      <c r="D322" s="77">
        <v>2</v>
      </c>
      <c r="E322" s="78">
        <v>2.6322716504299998E-4</v>
      </c>
    </row>
    <row r="323" spans="2:5" ht="15" customHeight="1">
      <c r="B323" s="110"/>
      <c r="C323" s="76" t="s">
        <v>109</v>
      </c>
      <c r="D323" s="77">
        <v>1</v>
      </c>
      <c r="E323" s="78">
        <v>1.31613582522E-4</v>
      </c>
    </row>
    <row r="324" spans="2:5" ht="15" customHeight="1">
      <c r="B324" s="110"/>
      <c r="C324" s="76" t="s">
        <v>110</v>
      </c>
      <c r="D324" s="77">
        <v>2</v>
      </c>
      <c r="E324" s="78">
        <v>2.6322716504299998E-4</v>
      </c>
    </row>
    <row r="325" spans="2:5" ht="15" customHeight="1">
      <c r="B325" s="110"/>
      <c r="C325" s="76" t="s">
        <v>116</v>
      </c>
      <c r="D325" s="77">
        <v>3</v>
      </c>
      <c r="E325" s="78">
        <v>3.9484074756500001E-4</v>
      </c>
    </row>
    <row r="326" spans="2:5" ht="15" customHeight="1">
      <c r="B326" s="110"/>
      <c r="C326" s="76" t="s">
        <v>117</v>
      </c>
      <c r="D326" s="77">
        <v>1</v>
      </c>
      <c r="E326" s="78">
        <v>1.31613582522E-4</v>
      </c>
    </row>
    <row r="327" spans="2:5" ht="15" customHeight="1">
      <c r="B327" s="111"/>
      <c r="C327" s="95" t="s">
        <v>258</v>
      </c>
      <c r="D327" s="90">
        <v>12</v>
      </c>
      <c r="E327" s="92">
        <v>1.5793629902610001E-3</v>
      </c>
    </row>
    <row r="328" spans="2:5" ht="15" customHeight="1">
      <c r="B328" s="109" t="s">
        <v>95</v>
      </c>
      <c r="C328" s="76" t="s">
        <v>116</v>
      </c>
      <c r="D328" s="77">
        <v>1</v>
      </c>
      <c r="E328" s="78">
        <v>1.31613582522E-4</v>
      </c>
    </row>
    <row r="329" spans="2:5" ht="15" customHeight="1">
      <c r="B329" s="111"/>
      <c r="C329" s="95" t="s">
        <v>258</v>
      </c>
      <c r="D329" s="90">
        <v>1</v>
      </c>
      <c r="E329" s="92">
        <v>1.31613582522E-4</v>
      </c>
    </row>
    <row r="330" spans="2:5" ht="15" customHeight="1">
      <c r="B330" s="109" t="s">
        <v>88</v>
      </c>
      <c r="C330" s="76" t="s">
        <v>103</v>
      </c>
      <c r="D330" s="77">
        <v>2</v>
      </c>
      <c r="E330" s="78">
        <v>2.6322716504299998E-4</v>
      </c>
    </row>
    <row r="331" spans="2:5" ht="15" customHeight="1">
      <c r="B331" s="110"/>
      <c r="C331" s="76" t="s">
        <v>105</v>
      </c>
      <c r="D331" s="77">
        <v>3</v>
      </c>
      <c r="E331" s="78">
        <v>3.9484074756500001E-4</v>
      </c>
    </row>
    <row r="332" spans="2:5" ht="15" customHeight="1">
      <c r="B332" s="110"/>
      <c r="C332" s="76" t="s">
        <v>107</v>
      </c>
      <c r="D332" s="77">
        <v>6</v>
      </c>
      <c r="E332" s="78">
        <v>7.8968149513000002E-4</v>
      </c>
    </row>
    <row r="333" spans="2:5" ht="15" customHeight="1">
      <c r="B333" s="110"/>
      <c r="C333" s="76" t="s">
        <v>110</v>
      </c>
      <c r="D333" s="77">
        <v>9</v>
      </c>
      <c r="E333" s="78">
        <v>1.1845222426950001E-3</v>
      </c>
    </row>
    <row r="334" spans="2:5" ht="15" customHeight="1">
      <c r="B334" s="111"/>
      <c r="C334" s="95" t="s">
        <v>258</v>
      </c>
      <c r="D334" s="90">
        <v>20</v>
      </c>
      <c r="E334" s="92">
        <v>2.6322716504339999E-3</v>
      </c>
    </row>
    <row r="335" spans="2:5" ht="15" customHeight="1">
      <c r="B335" s="109" t="s">
        <v>76</v>
      </c>
      <c r="C335" s="76" t="s">
        <v>102</v>
      </c>
      <c r="D335" s="77">
        <v>2</v>
      </c>
      <c r="E335" s="78">
        <v>2.6322716504299998E-4</v>
      </c>
    </row>
    <row r="336" spans="2:5" ht="15" customHeight="1">
      <c r="B336" s="110"/>
      <c r="C336" s="76" t="s">
        <v>103</v>
      </c>
      <c r="D336" s="77">
        <v>2</v>
      </c>
      <c r="E336" s="78">
        <v>2.6322716504299998E-4</v>
      </c>
    </row>
    <row r="337" spans="2:5" ht="15" customHeight="1">
      <c r="B337" s="110"/>
      <c r="C337" s="76" t="s">
        <v>105</v>
      </c>
      <c r="D337" s="77">
        <v>1</v>
      </c>
      <c r="E337" s="78">
        <v>1.31613582522E-4</v>
      </c>
    </row>
    <row r="338" spans="2:5" ht="15" customHeight="1">
      <c r="B338" s="110"/>
      <c r="C338" s="76" t="s">
        <v>106</v>
      </c>
      <c r="D338" s="77">
        <v>1</v>
      </c>
      <c r="E338" s="78">
        <v>1.31613582522E-4</v>
      </c>
    </row>
    <row r="339" spans="2:5" ht="15" customHeight="1">
      <c r="B339" s="110"/>
      <c r="C339" s="76" t="s">
        <v>107</v>
      </c>
      <c r="D339" s="77">
        <v>11</v>
      </c>
      <c r="E339" s="78">
        <v>1.447749407739E-3</v>
      </c>
    </row>
    <row r="340" spans="2:5" ht="15" customHeight="1">
      <c r="B340" s="110"/>
      <c r="C340" s="76" t="s">
        <v>109</v>
      </c>
      <c r="D340" s="77">
        <v>3</v>
      </c>
      <c r="E340" s="78">
        <v>3.9484074756500001E-4</v>
      </c>
    </row>
    <row r="341" spans="2:5" ht="15" customHeight="1">
      <c r="B341" s="110"/>
      <c r="C341" s="76" t="s">
        <v>110</v>
      </c>
      <c r="D341" s="77">
        <v>9</v>
      </c>
      <c r="E341" s="78">
        <v>1.1845222426950001E-3</v>
      </c>
    </row>
    <row r="342" spans="2:5" ht="15" customHeight="1">
      <c r="B342" s="110"/>
      <c r="C342" s="76" t="s">
        <v>115</v>
      </c>
      <c r="D342" s="77">
        <v>1</v>
      </c>
      <c r="E342" s="78">
        <v>1.31613582522E-4</v>
      </c>
    </row>
    <row r="343" spans="2:5" ht="15" customHeight="1">
      <c r="B343" s="110"/>
      <c r="C343" s="76" t="s">
        <v>116</v>
      </c>
      <c r="D343" s="77">
        <v>8</v>
      </c>
      <c r="E343" s="78">
        <v>1.0529086601740001E-3</v>
      </c>
    </row>
    <row r="344" spans="2:5" ht="15" customHeight="1">
      <c r="B344" s="110"/>
      <c r="C344" s="76" t="s">
        <v>117</v>
      </c>
      <c r="D344" s="77">
        <v>1</v>
      </c>
      <c r="E344" s="78">
        <v>1.31613582522E-4</v>
      </c>
    </row>
    <row r="345" spans="2:5" ht="15" customHeight="1">
      <c r="B345" s="111"/>
      <c r="C345" s="95" t="s">
        <v>258</v>
      </c>
      <c r="D345" s="90">
        <v>39</v>
      </c>
      <c r="E345" s="92">
        <v>5.1329297183470004E-3</v>
      </c>
    </row>
    <row r="346" spans="2:5" ht="15" customHeight="1">
      <c r="B346" s="109" t="s">
        <v>67</v>
      </c>
      <c r="C346" s="76" t="s">
        <v>98</v>
      </c>
      <c r="D346" s="77">
        <v>1</v>
      </c>
      <c r="E346" s="78">
        <v>1.31613582522E-4</v>
      </c>
    </row>
    <row r="347" spans="2:5" ht="15" customHeight="1">
      <c r="B347" s="110"/>
      <c r="C347" s="76" t="s">
        <v>99</v>
      </c>
      <c r="D347" s="77">
        <v>1</v>
      </c>
      <c r="E347" s="78">
        <v>1.31613582522E-4</v>
      </c>
    </row>
    <row r="348" spans="2:5" ht="15" customHeight="1">
      <c r="B348" s="110"/>
      <c r="C348" s="76" t="s">
        <v>101</v>
      </c>
      <c r="D348" s="77">
        <v>1</v>
      </c>
      <c r="E348" s="78">
        <v>1.31613582522E-4</v>
      </c>
    </row>
    <row r="349" spans="2:5" ht="15" customHeight="1">
      <c r="B349" s="110"/>
      <c r="C349" s="76" t="s">
        <v>103</v>
      </c>
      <c r="D349" s="77">
        <v>4</v>
      </c>
      <c r="E349" s="78">
        <v>5.2645433008700004E-4</v>
      </c>
    </row>
    <row r="350" spans="2:5" ht="15" customHeight="1">
      <c r="B350" s="110"/>
      <c r="C350" s="76" t="s">
        <v>104</v>
      </c>
      <c r="D350" s="77">
        <v>3</v>
      </c>
      <c r="E350" s="78">
        <v>3.9484074756500001E-4</v>
      </c>
    </row>
    <row r="351" spans="2:5" ht="15" customHeight="1">
      <c r="B351" s="110"/>
      <c r="C351" s="76" t="s">
        <v>106</v>
      </c>
      <c r="D351" s="77">
        <v>1</v>
      </c>
      <c r="E351" s="78">
        <v>1.31613582522E-4</v>
      </c>
    </row>
    <row r="352" spans="2:5" ht="15" customHeight="1">
      <c r="B352" s="110"/>
      <c r="C352" s="76" t="s">
        <v>107</v>
      </c>
      <c r="D352" s="77">
        <v>27</v>
      </c>
      <c r="E352" s="78">
        <v>3.5535667280860001E-3</v>
      </c>
    </row>
    <row r="353" spans="2:5" ht="15" customHeight="1">
      <c r="B353" s="110"/>
      <c r="C353" s="76" t="s">
        <v>108</v>
      </c>
      <c r="D353" s="77">
        <v>2</v>
      </c>
      <c r="E353" s="78">
        <v>2.6322716504299998E-4</v>
      </c>
    </row>
    <row r="354" spans="2:5" ht="15" customHeight="1">
      <c r="B354" s="110"/>
      <c r="C354" s="76" t="s">
        <v>109</v>
      </c>
      <c r="D354" s="77">
        <v>11</v>
      </c>
      <c r="E354" s="78">
        <v>1.447749407739E-3</v>
      </c>
    </row>
    <row r="355" spans="2:5" ht="15" customHeight="1">
      <c r="B355" s="110"/>
      <c r="C355" s="76" t="s">
        <v>110</v>
      </c>
      <c r="D355" s="77">
        <v>28</v>
      </c>
      <c r="E355" s="78">
        <v>3.685180310608E-3</v>
      </c>
    </row>
    <row r="356" spans="2:5" ht="15" customHeight="1">
      <c r="B356" s="110"/>
      <c r="C356" s="76" t="s">
        <v>111</v>
      </c>
      <c r="D356" s="77">
        <v>2</v>
      </c>
      <c r="E356" s="78">
        <v>2.6322716504299998E-4</v>
      </c>
    </row>
    <row r="357" spans="2:5" ht="15" customHeight="1">
      <c r="B357" s="110"/>
      <c r="C357" s="76" t="s">
        <v>112</v>
      </c>
      <c r="D357" s="77">
        <v>1</v>
      </c>
      <c r="E357" s="78">
        <v>1.31613582522E-4</v>
      </c>
    </row>
    <row r="358" spans="2:5" ht="15" customHeight="1">
      <c r="B358" s="110"/>
      <c r="C358" s="76" t="s">
        <v>115</v>
      </c>
      <c r="D358" s="77">
        <v>2</v>
      </c>
      <c r="E358" s="78">
        <v>2.6322716504299998E-4</v>
      </c>
    </row>
    <row r="359" spans="2:5" ht="15" customHeight="1">
      <c r="B359" s="110"/>
      <c r="C359" s="76" t="s">
        <v>116</v>
      </c>
      <c r="D359" s="77">
        <v>4</v>
      </c>
      <c r="E359" s="78">
        <v>5.2645433008700004E-4</v>
      </c>
    </row>
    <row r="360" spans="2:5" ht="15" customHeight="1">
      <c r="B360" s="110"/>
      <c r="C360" s="76" t="s">
        <v>117</v>
      </c>
      <c r="D360" s="77">
        <v>1</v>
      </c>
      <c r="E360" s="78">
        <v>1.31613582522E-4</v>
      </c>
    </row>
    <row r="361" spans="2:5" ht="15" customHeight="1">
      <c r="B361" s="111"/>
      <c r="C361" s="95" t="s">
        <v>258</v>
      </c>
      <c r="D361" s="90">
        <v>89</v>
      </c>
      <c r="E361" s="92">
        <v>1.1713608844433E-2</v>
      </c>
    </row>
    <row r="362" spans="2:5" ht="15" customHeight="1">
      <c r="B362" s="109" t="s">
        <v>80</v>
      </c>
      <c r="C362" s="76" t="s">
        <v>101</v>
      </c>
      <c r="D362" s="77">
        <v>1</v>
      </c>
      <c r="E362" s="78">
        <v>1.31613582522E-4</v>
      </c>
    </row>
    <row r="363" spans="2:5" ht="15" customHeight="1">
      <c r="B363" s="110"/>
      <c r="C363" s="76" t="s">
        <v>102</v>
      </c>
      <c r="D363" s="77">
        <v>2</v>
      </c>
      <c r="E363" s="78">
        <v>2.6322716504299998E-4</v>
      </c>
    </row>
    <row r="364" spans="2:5" ht="15" customHeight="1">
      <c r="B364" s="110"/>
      <c r="C364" s="76" t="s">
        <v>103</v>
      </c>
      <c r="D364" s="77">
        <v>3</v>
      </c>
      <c r="E364" s="78">
        <v>3.9484074756500001E-4</v>
      </c>
    </row>
    <row r="365" spans="2:5" ht="15" customHeight="1">
      <c r="B365" s="110"/>
      <c r="C365" s="76" t="s">
        <v>105</v>
      </c>
      <c r="D365" s="77">
        <v>1</v>
      </c>
      <c r="E365" s="78">
        <v>1.31613582522E-4</v>
      </c>
    </row>
    <row r="366" spans="2:5" ht="15" customHeight="1">
      <c r="B366" s="110"/>
      <c r="C366" s="76" t="s">
        <v>106</v>
      </c>
      <c r="D366" s="77">
        <v>2</v>
      </c>
      <c r="E366" s="78">
        <v>2.6322716504299998E-4</v>
      </c>
    </row>
    <row r="367" spans="2:5" ht="15" customHeight="1">
      <c r="B367" s="110"/>
      <c r="C367" s="76" t="s">
        <v>107</v>
      </c>
      <c r="D367" s="77">
        <v>4</v>
      </c>
      <c r="E367" s="78">
        <v>5.2645433008700004E-4</v>
      </c>
    </row>
    <row r="368" spans="2:5" ht="15" customHeight="1">
      <c r="B368" s="110"/>
      <c r="C368" s="76" t="s">
        <v>109</v>
      </c>
      <c r="D368" s="77">
        <v>4</v>
      </c>
      <c r="E368" s="78">
        <v>5.2645433008700004E-4</v>
      </c>
    </row>
    <row r="369" spans="2:5" ht="15" customHeight="1">
      <c r="B369" s="110"/>
      <c r="C369" s="76" t="s">
        <v>110</v>
      </c>
      <c r="D369" s="77">
        <v>18</v>
      </c>
      <c r="E369" s="78">
        <v>2.3690444853909998E-3</v>
      </c>
    </row>
    <row r="370" spans="2:5" ht="15" customHeight="1">
      <c r="B370" s="110"/>
      <c r="C370" s="76" t="s">
        <v>115</v>
      </c>
      <c r="D370" s="77">
        <v>1</v>
      </c>
      <c r="E370" s="78">
        <v>1.31613582522E-4</v>
      </c>
    </row>
    <row r="371" spans="2:5" ht="15" customHeight="1">
      <c r="B371" s="110"/>
      <c r="C371" s="76" t="s">
        <v>116</v>
      </c>
      <c r="D371" s="77">
        <v>4</v>
      </c>
      <c r="E371" s="78">
        <v>5.2645433008700004E-4</v>
      </c>
    </row>
    <row r="372" spans="2:5" ht="15" customHeight="1">
      <c r="B372" s="110"/>
      <c r="C372" s="76" t="s">
        <v>117</v>
      </c>
      <c r="D372" s="77">
        <v>1</v>
      </c>
      <c r="E372" s="78">
        <v>1.31613582522E-4</v>
      </c>
    </row>
    <row r="373" spans="2:5" ht="15" customHeight="1">
      <c r="B373" s="111"/>
      <c r="C373" s="95" t="s">
        <v>258</v>
      </c>
      <c r="D373" s="90">
        <v>41</v>
      </c>
      <c r="E373" s="92">
        <v>5.3961568833900001E-3</v>
      </c>
    </row>
    <row r="374" spans="2:5" ht="15" customHeight="1">
      <c r="B374" s="109" t="s">
        <v>71</v>
      </c>
      <c r="C374" s="76" t="s">
        <v>97</v>
      </c>
      <c r="D374" s="77">
        <v>1</v>
      </c>
      <c r="E374" s="78">
        <v>1.31613582522E-4</v>
      </c>
    </row>
    <row r="375" spans="2:5" ht="15" customHeight="1">
      <c r="B375" s="110"/>
      <c r="C375" s="76" t="s">
        <v>99</v>
      </c>
      <c r="D375" s="77">
        <v>1</v>
      </c>
      <c r="E375" s="78">
        <v>1.31613582522E-4</v>
      </c>
    </row>
    <row r="376" spans="2:5" ht="15" customHeight="1">
      <c r="B376" s="110"/>
      <c r="C376" s="76" t="s">
        <v>102</v>
      </c>
      <c r="D376" s="77">
        <v>3</v>
      </c>
      <c r="E376" s="78">
        <v>3.9484074756500001E-4</v>
      </c>
    </row>
    <row r="377" spans="2:5" ht="15" customHeight="1">
      <c r="B377" s="110"/>
      <c r="C377" s="76" t="s">
        <v>104</v>
      </c>
      <c r="D377" s="77">
        <v>1</v>
      </c>
      <c r="E377" s="78">
        <v>1.31613582522E-4</v>
      </c>
    </row>
    <row r="378" spans="2:5" ht="15" customHeight="1">
      <c r="B378" s="110"/>
      <c r="C378" s="76" t="s">
        <v>105</v>
      </c>
      <c r="D378" s="77">
        <v>2</v>
      </c>
      <c r="E378" s="78">
        <v>2.6322716504299998E-4</v>
      </c>
    </row>
    <row r="379" spans="2:5" ht="15" customHeight="1">
      <c r="B379" s="110"/>
      <c r="C379" s="76" t="s">
        <v>106</v>
      </c>
      <c r="D379" s="77">
        <v>2</v>
      </c>
      <c r="E379" s="78">
        <v>2.6322716504299998E-4</v>
      </c>
    </row>
    <row r="380" spans="2:5" ht="15" customHeight="1">
      <c r="B380" s="110"/>
      <c r="C380" s="76" t="s">
        <v>107</v>
      </c>
      <c r="D380" s="77">
        <v>8</v>
      </c>
      <c r="E380" s="78">
        <v>1.0529086601740001E-3</v>
      </c>
    </row>
    <row r="381" spans="2:5" ht="15" customHeight="1">
      <c r="B381" s="110"/>
      <c r="C381" s="76" t="s">
        <v>108</v>
      </c>
      <c r="D381" s="77">
        <v>1</v>
      </c>
      <c r="E381" s="78">
        <v>1.31613582522E-4</v>
      </c>
    </row>
    <row r="382" spans="2:5" ht="15" customHeight="1">
      <c r="B382" s="110"/>
      <c r="C382" s="76" t="s">
        <v>109</v>
      </c>
      <c r="D382" s="77">
        <v>2</v>
      </c>
      <c r="E382" s="78">
        <v>2.6322716504299998E-4</v>
      </c>
    </row>
    <row r="383" spans="2:5" ht="15" customHeight="1">
      <c r="B383" s="110"/>
      <c r="C383" s="76" t="s">
        <v>110</v>
      </c>
      <c r="D383" s="77">
        <v>11</v>
      </c>
      <c r="E383" s="78">
        <v>1.447749407739E-3</v>
      </c>
    </row>
    <row r="384" spans="2:5" ht="15" customHeight="1">
      <c r="B384" s="110"/>
      <c r="C384" s="76" t="s">
        <v>115</v>
      </c>
      <c r="D384" s="77">
        <v>2</v>
      </c>
      <c r="E384" s="78">
        <v>2.6322716504299998E-4</v>
      </c>
    </row>
    <row r="385" spans="2:5" ht="15" customHeight="1">
      <c r="B385" s="110"/>
      <c r="C385" s="76" t="s">
        <v>116</v>
      </c>
      <c r="D385" s="77">
        <v>6</v>
      </c>
      <c r="E385" s="78">
        <v>7.8968149513000002E-4</v>
      </c>
    </row>
    <row r="386" spans="2:5" ht="15" customHeight="1">
      <c r="B386" s="110"/>
      <c r="C386" s="76" t="s">
        <v>117</v>
      </c>
      <c r="D386" s="77">
        <v>1</v>
      </c>
      <c r="E386" s="78">
        <v>1.31613582522E-4</v>
      </c>
    </row>
    <row r="387" spans="2:5" ht="15" customHeight="1">
      <c r="B387" s="111"/>
      <c r="C387" s="95" t="s">
        <v>258</v>
      </c>
      <c r="D387" s="90">
        <v>41</v>
      </c>
      <c r="E387" s="92">
        <v>5.3961568833900001E-3</v>
      </c>
    </row>
    <row r="388" spans="2:5" ht="15" customHeight="1">
      <c r="B388" s="109" t="s">
        <v>57</v>
      </c>
      <c r="C388" s="76" t="s">
        <v>96</v>
      </c>
      <c r="D388" s="77">
        <v>9</v>
      </c>
      <c r="E388" s="78">
        <v>1.1845222426950001E-3</v>
      </c>
    </row>
    <row r="389" spans="2:5" ht="15" customHeight="1">
      <c r="B389" s="110"/>
      <c r="C389" s="76" t="s">
        <v>97</v>
      </c>
      <c r="D389" s="77">
        <v>1</v>
      </c>
      <c r="E389" s="78">
        <v>1.31613582522E-4</v>
      </c>
    </row>
    <row r="390" spans="2:5" ht="15" customHeight="1">
      <c r="B390" s="110"/>
      <c r="C390" s="76" t="s">
        <v>98</v>
      </c>
      <c r="D390" s="77">
        <v>3</v>
      </c>
      <c r="E390" s="78">
        <v>3.9484074756500001E-4</v>
      </c>
    </row>
    <row r="391" spans="2:5" ht="15" customHeight="1">
      <c r="B391" s="110"/>
      <c r="C391" s="76" t="s">
        <v>99</v>
      </c>
      <c r="D391" s="77">
        <v>3</v>
      </c>
      <c r="E391" s="78">
        <v>3.9484074756500001E-4</v>
      </c>
    </row>
    <row r="392" spans="2:5" ht="15" customHeight="1">
      <c r="B392" s="110"/>
      <c r="C392" s="76" t="s">
        <v>100</v>
      </c>
      <c r="D392" s="77">
        <v>4</v>
      </c>
      <c r="E392" s="78">
        <v>5.2645433008700004E-4</v>
      </c>
    </row>
    <row r="393" spans="2:5" ht="15" customHeight="1">
      <c r="B393" s="110"/>
      <c r="C393" s="76" t="s">
        <v>101</v>
      </c>
      <c r="D393" s="77">
        <v>4</v>
      </c>
      <c r="E393" s="78">
        <v>5.2645433008700004E-4</v>
      </c>
    </row>
    <row r="394" spans="2:5" ht="15" customHeight="1">
      <c r="B394" s="110"/>
      <c r="C394" s="76" t="s">
        <v>102</v>
      </c>
      <c r="D394" s="77">
        <v>18</v>
      </c>
      <c r="E394" s="78">
        <v>2.3690444853909998E-3</v>
      </c>
    </row>
    <row r="395" spans="2:5" ht="15" customHeight="1">
      <c r="B395" s="110"/>
      <c r="C395" s="76" t="s">
        <v>103</v>
      </c>
      <c r="D395" s="77">
        <v>32</v>
      </c>
      <c r="E395" s="78">
        <v>4.2116346406950002E-3</v>
      </c>
    </row>
    <row r="396" spans="2:5" ht="15" customHeight="1">
      <c r="B396" s="110"/>
      <c r="C396" s="76" t="s">
        <v>104</v>
      </c>
      <c r="D396" s="77">
        <v>6</v>
      </c>
      <c r="E396" s="78">
        <v>7.8968149513000002E-4</v>
      </c>
    </row>
    <row r="397" spans="2:5" ht="15" customHeight="1">
      <c r="B397" s="110"/>
      <c r="C397" s="76" t="s">
        <v>105</v>
      </c>
      <c r="D397" s="77">
        <v>7</v>
      </c>
      <c r="E397" s="78">
        <v>9.2129507765199999E-4</v>
      </c>
    </row>
    <row r="398" spans="2:5" ht="15" customHeight="1">
      <c r="B398" s="110"/>
      <c r="C398" s="76" t="s">
        <v>106</v>
      </c>
      <c r="D398" s="77">
        <v>5</v>
      </c>
      <c r="E398" s="78">
        <v>6.5806791260900001E-4</v>
      </c>
    </row>
    <row r="399" spans="2:5" ht="15" customHeight="1">
      <c r="B399" s="110"/>
      <c r="C399" s="76" t="s">
        <v>107</v>
      </c>
      <c r="D399" s="77">
        <v>37</v>
      </c>
      <c r="E399" s="78">
        <v>4.8697025533039999E-3</v>
      </c>
    </row>
    <row r="400" spans="2:5" ht="15" customHeight="1">
      <c r="B400" s="110"/>
      <c r="C400" s="76" t="s">
        <v>108</v>
      </c>
      <c r="D400" s="77">
        <v>2</v>
      </c>
      <c r="E400" s="78">
        <v>2.6322716504299998E-4</v>
      </c>
    </row>
    <row r="401" spans="2:5" ht="15" customHeight="1">
      <c r="B401" s="110"/>
      <c r="C401" s="76" t="s">
        <v>109</v>
      </c>
      <c r="D401" s="77">
        <v>21</v>
      </c>
      <c r="E401" s="78">
        <v>2.7638852329560002E-3</v>
      </c>
    </row>
    <row r="402" spans="2:5" ht="15" customHeight="1">
      <c r="B402" s="110"/>
      <c r="C402" s="76" t="s">
        <v>110</v>
      </c>
      <c r="D402" s="77">
        <v>52</v>
      </c>
      <c r="E402" s="78">
        <v>6.8439062911289997E-3</v>
      </c>
    </row>
    <row r="403" spans="2:5" ht="15" customHeight="1">
      <c r="B403" s="110"/>
      <c r="C403" s="76" t="s">
        <v>111</v>
      </c>
      <c r="D403" s="77">
        <v>7</v>
      </c>
      <c r="E403" s="78">
        <v>9.2129507765199999E-4</v>
      </c>
    </row>
    <row r="404" spans="2:5" ht="15" customHeight="1">
      <c r="B404" s="110"/>
      <c r="C404" s="76" t="s">
        <v>112</v>
      </c>
      <c r="D404" s="77">
        <v>4</v>
      </c>
      <c r="E404" s="78">
        <v>5.2645433008700004E-4</v>
      </c>
    </row>
    <row r="405" spans="2:5" ht="15" customHeight="1">
      <c r="B405" s="110"/>
      <c r="C405" s="76" t="s">
        <v>113</v>
      </c>
      <c r="D405" s="77">
        <v>1</v>
      </c>
      <c r="E405" s="78">
        <v>1.31613582522E-4</v>
      </c>
    </row>
    <row r="406" spans="2:5" ht="15" customHeight="1">
      <c r="B406" s="110"/>
      <c r="C406" s="76" t="s">
        <v>115</v>
      </c>
      <c r="D406" s="77">
        <v>2</v>
      </c>
      <c r="E406" s="78">
        <v>2.6322716504299998E-4</v>
      </c>
    </row>
    <row r="407" spans="2:5" ht="15" customHeight="1">
      <c r="B407" s="110"/>
      <c r="C407" s="76" t="s">
        <v>116</v>
      </c>
      <c r="D407" s="77">
        <v>11</v>
      </c>
      <c r="E407" s="78">
        <v>1.447749407739E-3</v>
      </c>
    </row>
    <row r="408" spans="2:5" ht="15" customHeight="1">
      <c r="B408" s="111"/>
      <c r="C408" s="95" t="s">
        <v>258</v>
      </c>
      <c r="D408" s="90">
        <v>229</v>
      </c>
      <c r="E408" s="92">
        <v>3.0139510397473E-2</v>
      </c>
    </row>
    <row r="409" spans="2:5" ht="15" customHeight="1">
      <c r="B409" s="109" t="s">
        <v>54</v>
      </c>
      <c r="C409" s="76" t="s">
        <v>96</v>
      </c>
      <c r="D409" s="77">
        <v>2</v>
      </c>
      <c r="E409" s="78">
        <v>2.6322716504299998E-4</v>
      </c>
    </row>
    <row r="410" spans="2:5" ht="15" customHeight="1">
      <c r="B410" s="110"/>
      <c r="C410" s="76" t="s">
        <v>97</v>
      </c>
      <c r="D410" s="77">
        <v>2</v>
      </c>
      <c r="E410" s="78">
        <v>2.6322716504299998E-4</v>
      </c>
    </row>
    <row r="411" spans="2:5" ht="15" customHeight="1">
      <c r="B411" s="110"/>
      <c r="C411" s="76" t="s">
        <v>98</v>
      </c>
      <c r="D411" s="77">
        <v>3</v>
      </c>
      <c r="E411" s="78">
        <v>3.9484074756500001E-4</v>
      </c>
    </row>
    <row r="412" spans="2:5" ht="15" customHeight="1">
      <c r="B412" s="110"/>
      <c r="C412" s="76" t="s">
        <v>99</v>
      </c>
      <c r="D412" s="77">
        <v>3</v>
      </c>
      <c r="E412" s="78">
        <v>3.9484074756500001E-4</v>
      </c>
    </row>
    <row r="413" spans="2:5" ht="15" customHeight="1">
      <c r="B413" s="110"/>
      <c r="C413" s="76" t="s">
        <v>100</v>
      </c>
      <c r="D413" s="77">
        <v>1</v>
      </c>
      <c r="E413" s="78">
        <v>1.31613582522E-4</v>
      </c>
    </row>
    <row r="414" spans="2:5" ht="15" customHeight="1">
      <c r="B414" s="110"/>
      <c r="C414" s="76" t="s">
        <v>101</v>
      </c>
      <c r="D414" s="77">
        <v>3</v>
      </c>
      <c r="E414" s="78">
        <v>3.9484074756500001E-4</v>
      </c>
    </row>
    <row r="415" spans="2:5" ht="15" customHeight="1">
      <c r="B415" s="110"/>
      <c r="C415" s="76" t="s">
        <v>102</v>
      </c>
      <c r="D415" s="77">
        <v>8</v>
      </c>
      <c r="E415" s="78">
        <v>1.0529086601740001E-3</v>
      </c>
    </row>
    <row r="416" spans="2:5" ht="15" customHeight="1">
      <c r="B416" s="110"/>
      <c r="C416" s="76" t="s">
        <v>103</v>
      </c>
      <c r="D416" s="77">
        <v>21</v>
      </c>
      <c r="E416" s="78">
        <v>2.7638852329560002E-3</v>
      </c>
    </row>
    <row r="417" spans="2:5" ht="15" customHeight="1">
      <c r="B417" s="110"/>
      <c r="C417" s="76" t="s">
        <v>104</v>
      </c>
      <c r="D417" s="77">
        <v>2</v>
      </c>
      <c r="E417" s="78">
        <v>2.6322716504299998E-4</v>
      </c>
    </row>
    <row r="418" spans="2:5" ht="15" customHeight="1">
      <c r="B418" s="110"/>
      <c r="C418" s="76" t="s">
        <v>105</v>
      </c>
      <c r="D418" s="77">
        <v>6</v>
      </c>
      <c r="E418" s="78">
        <v>7.8968149513000002E-4</v>
      </c>
    </row>
    <row r="419" spans="2:5" ht="15" customHeight="1">
      <c r="B419" s="110"/>
      <c r="C419" s="76" t="s">
        <v>106</v>
      </c>
      <c r="D419" s="77">
        <v>12</v>
      </c>
      <c r="E419" s="78">
        <v>1.5793629902610001E-3</v>
      </c>
    </row>
    <row r="420" spans="2:5" ht="15" customHeight="1">
      <c r="B420" s="110"/>
      <c r="C420" s="76" t="s">
        <v>107</v>
      </c>
      <c r="D420" s="77">
        <v>55</v>
      </c>
      <c r="E420" s="78">
        <v>7.2387470386939996E-3</v>
      </c>
    </row>
    <row r="421" spans="2:5" ht="15" customHeight="1">
      <c r="B421" s="110"/>
      <c r="C421" s="76" t="s">
        <v>108</v>
      </c>
      <c r="D421" s="77">
        <v>7</v>
      </c>
      <c r="E421" s="78">
        <v>9.2129507765199999E-4</v>
      </c>
    </row>
    <row r="422" spans="2:5" ht="15" customHeight="1">
      <c r="B422" s="110"/>
      <c r="C422" s="76" t="s">
        <v>109</v>
      </c>
      <c r="D422" s="77">
        <v>29</v>
      </c>
      <c r="E422" s="78">
        <v>3.8167938931299998E-3</v>
      </c>
    </row>
    <row r="423" spans="2:5" ht="15" customHeight="1">
      <c r="B423" s="110"/>
      <c r="C423" s="76" t="s">
        <v>110</v>
      </c>
      <c r="D423" s="77">
        <v>85</v>
      </c>
      <c r="E423" s="78">
        <v>1.1187154514345999E-2</v>
      </c>
    </row>
    <row r="424" spans="2:5" ht="15" customHeight="1">
      <c r="B424" s="110"/>
      <c r="C424" s="76" t="s">
        <v>111</v>
      </c>
      <c r="D424" s="77">
        <v>2</v>
      </c>
      <c r="E424" s="78">
        <v>2.6322716504299998E-4</v>
      </c>
    </row>
    <row r="425" spans="2:5" ht="15" customHeight="1">
      <c r="B425" s="110"/>
      <c r="C425" s="76" t="s">
        <v>113</v>
      </c>
      <c r="D425" s="77">
        <v>1</v>
      </c>
      <c r="E425" s="78">
        <v>1.31613582522E-4</v>
      </c>
    </row>
    <row r="426" spans="2:5" ht="15" customHeight="1">
      <c r="B426" s="110"/>
      <c r="C426" s="76" t="s">
        <v>115</v>
      </c>
      <c r="D426" s="77">
        <v>8</v>
      </c>
      <c r="E426" s="78">
        <v>1.0529086601740001E-3</v>
      </c>
    </row>
    <row r="427" spans="2:5" ht="15" customHeight="1">
      <c r="B427" s="110"/>
      <c r="C427" s="76" t="s">
        <v>116</v>
      </c>
      <c r="D427" s="77">
        <v>9</v>
      </c>
      <c r="E427" s="78">
        <v>1.1845222426950001E-3</v>
      </c>
    </row>
    <row r="428" spans="2:5" ht="15" customHeight="1">
      <c r="B428" s="110"/>
      <c r="C428" s="76" t="s">
        <v>118</v>
      </c>
      <c r="D428" s="77">
        <v>1</v>
      </c>
      <c r="E428" s="78">
        <v>1.31613582522E-4</v>
      </c>
    </row>
    <row r="429" spans="2:5" ht="15" customHeight="1">
      <c r="B429" s="111"/>
      <c r="C429" s="95" t="s">
        <v>258</v>
      </c>
      <c r="D429" s="90">
        <v>260</v>
      </c>
      <c r="E429" s="92">
        <v>3.4219531455645998E-2</v>
      </c>
    </row>
    <row r="430" spans="2:5" ht="15" customHeight="1">
      <c r="B430" s="109" t="s">
        <v>69</v>
      </c>
      <c r="C430" s="76" t="s">
        <v>99</v>
      </c>
      <c r="D430" s="77">
        <v>1</v>
      </c>
      <c r="E430" s="78">
        <v>1.31613582522E-4</v>
      </c>
    </row>
    <row r="431" spans="2:5" ht="15" customHeight="1">
      <c r="B431" s="110"/>
      <c r="C431" s="76" t="s">
        <v>102</v>
      </c>
      <c r="D431" s="77">
        <v>2</v>
      </c>
      <c r="E431" s="78">
        <v>2.6322716504299998E-4</v>
      </c>
    </row>
    <row r="432" spans="2:5" ht="15" customHeight="1">
      <c r="B432" s="110"/>
      <c r="C432" s="76" t="s">
        <v>103</v>
      </c>
      <c r="D432" s="77">
        <v>1</v>
      </c>
      <c r="E432" s="78">
        <v>1.31613582522E-4</v>
      </c>
    </row>
    <row r="433" spans="2:5" ht="15" customHeight="1">
      <c r="B433" s="110"/>
      <c r="C433" s="76" t="s">
        <v>104</v>
      </c>
      <c r="D433" s="77">
        <v>1</v>
      </c>
      <c r="E433" s="78">
        <v>1.31613582522E-4</v>
      </c>
    </row>
    <row r="434" spans="2:5" ht="15" customHeight="1">
      <c r="B434" s="110"/>
      <c r="C434" s="76" t="s">
        <v>107</v>
      </c>
      <c r="D434" s="77">
        <v>12</v>
      </c>
      <c r="E434" s="78">
        <v>1.5793629902610001E-3</v>
      </c>
    </row>
    <row r="435" spans="2:5" ht="15" customHeight="1">
      <c r="B435" s="110"/>
      <c r="C435" s="76" t="s">
        <v>108</v>
      </c>
      <c r="D435" s="77">
        <v>1</v>
      </c>
      <c r="E435" s="78">
        <v>1.31613582522E-4</v>
      </c>
    </row>
    <row r="436" spans="2:5" ht="15" customHeight="1">
      <c r="B436" s="110"/>
      <c r="C436" s="76" t="s">
        <v>109</v>
      </c>
      <c r="D436" s="77">
        <v>5</v>
      </c>
      <c r="E436" s="78">
        <v>6.5806791260900001E-4</v>
      </c>
    </row>
    <row r="437" spans="2:5" ht="15" customHeight="1">
      <c r="B437" s="110"/>
      <c r="C437" s="76" t="s">
        <v>110</v>
      </c>
      <c r="D437" s="77">
        <v>16</v>
      </c>
      <c r="E437" s="78">
        <v>2.1058173203470001E-3</v>
      </c>
    </row>
    <row r="438" spans="2:5" ht="15" customHeight="1">
      <c r="B438" s="110"/>
      <c r="C438" s="76" t="s">
        <v>112</v>
      </c>
      <c r="D438" s="77">
        <v>2</v>
      </c>
      <c r="E438" s="78">
        <v>2.6322716504299998E-4</v>
      </c>
    </row>
    <row r="439" spans="2:5" ht="15" customHeight="1">
      <c r="B439" s="110"/>
      <c r="C439" s="76" t="s">
        <v>115</v>
      </c>
      <c r="D439" s="77">
        <v>2</v>
      </c>
      <c r="E439" s="78">
        <v>2.6322716504299998E-4</v>
      </c>
    </row>
    <row r="440" spans="2:5" ht="15" customHeight="1">
      <c r="B440" s="110"/>
      <c r="C440" s="76" t="s">
        <v>116</v>
      </c>
      <c r="D440" s="77">
        <v>4</v>
      </c>
      <c r="E440" s="78">
        <v>5.2645433008700004E-4</v>
      </c>
    </row>
    <row r="441" spans="2:5" ht="15" customHeight="1">
      <c r="B441" s="110"/>
      <c r="C441" s="76" t="s">
        <v>118</v>
      </c>
      <c r="D441" s="77">
        <v>1</v>
      </c>
      <c r="E441" s="78">
        <v>1.31613582522E-4</v>
      </c>
    </row>
    <row r="442" spans="2:5" ht="15" customHeight="1">
      <c r="B442" s="110"/>
      <c r="C442" s="76" t="s">
        <v>119</v>
      </c>
      <c r="D442" s="77">
        <v>2</v>
      </c>
      <c r="E442" s="78">
        <v>2.6322716504299998E-4</v>
      </c>
    </row>
    <row r="443" spans="2:5" ht="15" customHeight="1">
      <c r="B443" s="111"/>
      <c r="C443" s="95" t="s">
        <v>258</v>
      </c>
      <c r="D443" s="90">
        <v>50</v>
      </c>
      <c r="E443" s="92">
        <v>6.580679126086E-3</v>
      </c>
    </row>
    <row r="444" spans="2:5" ht="15" customHeight="1">
      <c r="B444" s="109" t="s">
        <v>91</v>
      </c>
      <c r="C444" s="76" t="s">
        <v>101</v>
      </c>
      <c r="D444" s="77">
        <v>1</v>
      </c>
      <c r="E444" s="78">
        <v>1.31613582522E-4</v>
      </c>
    </row>
    <row r="445" spans="2:5" ht="15" customHeight="1">
      <c r="B445" s="110"/>
      <c r="C445" s="76" t="s">
        <v>107</v>
      </c>
      <c r="D445" s="77">
        <v>1</v>
      </c>
      <c r="E445" s="78">
        <v>1.31613582522E-4</v>
      </c>
    </row>
    <row r="446" spans="2:5" ht="15" customHeight="1">
      <c r="B446" s="110"/>
      <c r="C446" s="76" t="s">
        <v>109</v>
      </c>
      <c r="D446" s="77">
        <v>1</v>
      </c>
      <c r="E446" s="78">
        <v>1.31613582522E-4</v>
      </c>
    </row>
    <row r="447" spans="2:5" ht="15" customHeight="1">
      <c r="B447" s="110"/>
      <c r="C447" s="76" t="s">
        <v>110</v>
      </c>
      <c r="D447" s="77">
        <v>3</v>
      </c>
      <c r="E447" s="78">
        <v>3.9484074756500001E-4</v>
      </c>
    </row>
    <row r="448" spans="2:5" ht="15" customHeight="1">
      <c r="B448" s="111"/>
      <c r="C448" s="95" t="s">
        <v>258</v>
      </c>
      <c r="D448" s="90">
        <v>6</v>
      </c>
      <c r="E448" s="92">
        <v>7.8968149513000002E-4</v>
      </c>
    </row>
    <row r="449" spans="2:5" ht="15" customHeight="1">
      <c r="B449" s="109" t="s">
        <v>64</v>
      </c>
      <c r="C449" s="76" t="s">
        <v>102</v>
      </c>
      <c r="D449" s="77">
        <v>3</v>
      </c>
      <c r="E449" s="78">
        <v>3.9484074756500001E-4</v>
      </c>
    </row>
    <row r="450" spans="2:5" ht="15" customHeight="1">
      <c r="B450" s="110"/>
      <c r="C450" s="76" t="s">
        <v>103</v>
      </c>
      <c r="D450" s="77">
        <v>5</v>
      </c>
      <c r="E450" s="78">
        <v>6.5806791260900001E-4</v>
      </c>
    </row>
    <row r="451" spans="2:5" ht="15" customHeight="1">
      <c r="B451" s="110"/>
      <c r="C451" s="76" t="s">
        <v>104</v>
      </c>
      <c r="D451" s="77">
        <v>1</v>
      </c>
      <c r="E451" s="78">
        <v>1.31613582522E-4</v>
      </c>
    </row>
    <row r="452" spans="2:5" ht="15" customHeight="1">
      <c r="B452" s="110"/>
      <c r="C452" s="76" t="s">
        <v>105</v>
      </c>
      <c r="D452" s="77">
        <v>1</v>
      </c>
      <c r="E452" s="78">
        <v>1.31613582522E-4</v>
      </c>
    </row>
    <row r="453" spans="2:5" ht="15" customHeight="1">
      <c r="B453" s="110"/>
      <c r="C453" s="76" t="s">
        <v>106</v>
      </c>
      <c r="D453" s="77">
        <v>1</v>
      </c>
      <c r="E453" s="78">
        <v>1.31613582522E-4</v>
      </c>
    </row>
    <row r="454" spans="2:5" ht="15" customHeight="1">
      <c r="B454" s="110"/>
      <c r="C454" s="76" t="s">
        <v>107</v>
      </c>
      <c r="D454" s="77">
        <v>23</v>
      </c>
      <c r="E454" s="78">
        <v>3.0271123979989998E-3</v>
      </c>
    </row>
    <row r="455" spans="2:5" ht="15" customHeight="1">
      <c r="B455" s="110"/>
      <c r="C455" s="76" t="s">
        <v>108</v>
      </c>
      <c r="D455" s="77">
        <v>1</v>
      </c>
      <c r="E455" s="78">
        <v>1.31613582522E-4</v>
      </c>
    </row>
    <row r="456" spans="2:5" ht="15" customHeight="1">
      <c r="B456" s="110"/>
      <c r="C456" s="76" t="s">
        <v>109</v>
      </c>
      <c r="D456" s="77">
        <v>9</v>
      </c>
      <c r="E456" s="78">
        <v>1.1845222426950001E-3</v>
      </c>
    </row>
    <row r="457" spans="2:5" ht="15" customHeight="1">
      <c r="B457" s="110"/>
      <c r="C457" s="76" t="s">
        <v>110</v>
      </c>
      <c r="D457" s="77">
        <v>30</v>
      </c>
      <c r="E457" s="78">
        <v>3.9484074756509996E-3</v>
      </c>
    </row>
    <row r="458" spans="2:5" ht="15" customHeight="1">
      <c r="B458" s="110"/>
      <c r="C458" s="76" t="s">
        <v>115</v>
      </c>
      <c r="D458" s="77">
        <v>4</v>
      </c>
      <c r="E458" s="78">
        <v>5.2645433008700004E-4</v>
      </c>
    </row>
    <row r="459" spans="2:5" ht="15" customHeight="1">
      <c r="B459" s="110"/>
      <c r="C459" s="76" t="s">
        <v>116</v>
      </c>
      <c r="D459" s="77">
        <v>4</v>
      </c>
      <c r="E459" s="78">
        <v>5.2645433008700004E-4</v>
      </c>
    </row>
    <row r="460" spans="2:5" ht="15" customHeight="1">
      <c r="B460" s="111"/>
      <c r="C460" s="95" t="s">
        <v>258</v>
      </c>
      <c r="D460" s="90">
        <v>82</v>
      </c>
      <c r="E460" s="92">
        <v>1.0792313766780999E-2</v>
      </c>
    </row>
    <row r="461" spans="2:5" ht="15" customHeight="1">
      <c r="B461" s="109" t="s">
        <v>55</v>
      </c>
      <c r="C461" s="76" t="s">
        <v>96</v>
      </c>
      <c r="D461" s="77">
        <v>4</v>
      </c>
      <c r="E461" s="78">
        <v>5.2645433008700004E-4</v>
      </c>
    </row>
    <row r="462" spans="2:5" ht="15" customHeight="1">
      <c r="B462" s="110"/>
      <c r="C462" s="76" t="s">
        <v>99</v>
      </c>
      <c r="D462" s="77">
        <v>2</v>
      </c>
      <c r="E462" s="78">
        <v>2.6322716504299998E-4</v>
      </c>
    </row>
    <row r="463" spans="2:5" ht="15" customHeight="1">
      <c r="B463" s="110"/>
      <c r="C463" s="76" t="s">
        <v>100</v>
      </c>
      <c r="D463" s="77">
        <v>2</v>
      </c>
      <c r="E463" s="78">
        <v>2.6322716504299998E-4</v>
      </c>
    </row>
    <row r="464" spans="2:5" ht="15" customHeight="1">
      <c r="B464" s="110"/>
      <c r="C464" s="76" t="s">
        <v>101</v>
      </c>
      <c r="D464" s="77">
        <v>1</v>
      </c>
      <c r="E464" s="78">
        <v>1.31613582522E-4</v>
      </c>
    </row>
    <row r="465" spans="2:5" ht="15" customHeight="1">
      <c r="B465" s="110"/>
      <c r="C465" s="76" t="s">
        <v>102</v>
      </c>
      <c r="D465" s="77">
        <v>8</v>
      </c>
      <c r="E465" s="78">
        <v>1.0529086601740001E-3</v>
      </c>
    </row>
    <row r="466" spans="2:5" ht="15" customHeight="1">
      <c r="B466" s="110"/>
      <c r="C466" s="76" t="s">
        <v>103</v>
      </c>
      <c r="D466" s="77">
        <v>18</v>
      </c>
      <c r="E466" s="78">
        <v>2.3690444853909998E-3</v>
      </c>
    </row>
    <row r="467" spans="2:5" ht="15" customHeight="1">
      <c r="B467" s="110"/>
      <c r="C467" s="76" t="s">
        <v>105</v>
      </c>
      <c r="D467" s="77">
        <v>5</v>
      </c>
      <c r="E467" s="78">
        <v>6.5806791260900001E-4</v>
      </c>
    </row>
    <row r="468" spans="2:5" ht="15" customHeight="1">
      <c r="B468" s="110"/>
      <c r="C468" s="76" t="s">
        <v>106</v>
      </c>
      <c r="D468" s="77">
        <v>11</v>
      </c>
      <c r="E468" s="78">
        <v>1.447749407739E-3</v>
      </c>
    </row>
    <row r="469" spans="2:5" ht="15" customHeight="1">
      <c r="B469" s="110"/>
      <c r="C469" s="76" t="s">
        <v>107</v>
      </c>
      <c r="D469" s="77">
        <v>42</v>
      </c>
      <c r="E469" s="78">
        <v>5.5277704659120004E-3</v>
      </c>
    </row>
    <row r="470" spans="2:5" ht="15" customHeight="1">
      <c r="B470" s="110"/>
      <c r="C470" s="76" t="s">
        <v>108</v>
      </c>
      <c r="D470" s="77">
        <v>5</v>
      </c>
      <c r="E470" s="78">
        <v>6.5806791260900001E-4</v>
      </c>
    </row>
    <row r="471" spans="2:5" ht="15" customHeight="1">
      <c r="B471" s="110"/>
      <c r="C471" s="76" t="s">
        <v>109</v>
      </c>
      <c r="D471" s="77">
        <v>20</v>
      </c>
      <c r="E471" s="78">
        <v>2.6322716504339999E-3</v>
      </c>
    </row>
    <row r="472" spans="2:5" ht="15" customHeight="1">
      <c r="B472" s="110"/>
      <c r="C472" s="76" t="s">
        <v>110</v>
      </c>
      <c r="D472" s="77">
        <v>53</v>
      </c>
      <c r="E472" s="78">
        <v>6.975519873651E-3</v>
      </c>
    </row>
    <row r="473" spans="2:5" ht="15" customHeight="1">
      <c r="B473" s="110"/>
      <c r="C473" s="76" t="s">
        <v>111</v>
      </c>
      <c r="D473" s="77">
        <v>1</v>
      </c>
      <c r="E473" s="78">
        <v>1.31613582522E-4</v>
      </c>
    </row>
    <row r="474" spans="2:5" ht="15" customHeight="1">
      <c r="B474" s="110"/>
      <c r="C474" s="76" t="s">
        <v>115</v>
      </c>
      <c r="D474" s="77">
        <v>1</v>
      </c>
      <c r="E474" s="78">
        <v>1.31613582522E-4</v>
      </c>
    </row>
    <row r="475" spans="2:5" ht="15" customHeight="1">
      <c r="B475" s="110"/>
      <c r="C475" s="76" t="s">
        <v>116</v>
      </c>
      <c r="D475" s="77">
        <v>7</v>
      </c>
      <c r="E475" s="78">
        <v>9.2129507765199999E-4</v>
      </c>
    </row>
    <row r="476" spans="2:5" ht="15" customHeight="1">
      <c r="B476" s="111"/>
      <c r="C476" s="95" t="s">
        <v>258</v>
      </c>
      <c r="D476" s="90">
        <v>180</v>
      </c>
      <c r="E476" s="92">
        <v>2.3690444853909001E-2</v>
      </c>
    </row>
    <row r="477" spans="2:5" ht="15" customHeight="1">
      <c r="B477" s="109" t="s">
        <v>72</v>
      </c>
      <c r="C477" s="76" t="s">
        <v>100</v>
      </c>
      <c r="D477" s="77">
        <v>1</v>
      </c>
      <c r="E477" s="78">
        <v>1.31613582522E-4</v>
      </c>
    </row>
    <row r="478" spans="2:5" ht="15" customHeight="1">
      <c r="B478" s="110"/>
      <c r="C478" s="76" t="s">
        <v>102</v>
      </c>
      <c r="D478" s="77">
        <v>1</v>
      </c>
      <c r="E478" s="78">
        <v>1.31613582522E-4</v>
      </c>
    </row>
    <row r="479" spans="2:5" ht="15" customHeight="1">
      <c r="B479" s="110"/>
      <c r="C479" s="76" t="s">
        <v>103</v>
      </c>
      <c r="D479" s="77">
        <v>3</v>
      </c>
      <c r="E479" s="78">
        <v>3.9484074756500001E-4</v>
      </c>
    </row>
    <row r="480" spans="2:5" ht="15" customHeight="1">
      <c r="B480" s="110"/>
      <c r="C480" s="76" t="s">
        <v>104</v>
      </c>
      <c r="D480" s="77">
        <v>3</v>
      </c>
      <c r="E480" s="78">
        <v>3.9484074756500001E-4</v>
      </c>
    </row>
    <row r="481" spans="2:5" ht="15" customHeight="1">
      <c r="B481" s="110"/>
      <c r="C481" s="76" t="s">
        <v>105</v>
      </c>
      <c r="D481" s="77">
        <v>1</v>
      </c>
      <c r="E481" s="78">
        <v>1.31613582522E-4</v>
      </c>
    </row>
    <row r="482" spans="2:5" ht="15" customHeight="1">
      <c r="B482" s="110"/>
      <c r="C482" s="76" t="s">
        <v>107</v>
      </c>
      <c r="D482" s="77">
        <v>8</v>
      </c>
      <c r="E482" s="78">
        <v>1.0529086601740001E-3</v>
      </c>
    </row>
    <row r="483" spans="2:5" ht="15" customHeight="1">
      <c r="B483" s="110"/>
      <c r="C483" s="76" t="s">
        <v>108</v>
      </c>
      <c r="D483" s="77">
        <v>3</v>
      </c>
      <c r="E483" s="78">
        <v>3.9484074756500001E-4</v>
      </c>
    </row>
    <row r="484" spans="2:5" ht="15" customHeight="1">
      <c r="B484" s="110"/>
      <c r="C484" s="76" t="s">
        <v>109</v>
      </c>
      <c r="D484" s="77">
        <v>6</v>
      </c>
      <c r="E484" s="78">
        <v>7.8968149513000002E-4</v>
      </c>
    </row>
    <row r="485" spans="2:5" ht="15" customHeight="1">
      <c r="B485" s="110"/>
      <c r="C485" s="76" t="s">
        <v>110</v>
      </c>
      <c r="D485" s="77">
        <v>21</v>
      </c>
      <c r="E485" s="78">
        <v>2.7638852329560002E-3</v>
      </c>
    </row>
    <row r="486" spans="2:5" ht="15" customHeight="1">
      <c r="B486" s="110"/>
      <c r="C486" s="76" t="s">
        <v>111</v>
      </c>
      <c r="D486" s="77">
        <v>1</v>
      </c>
      <c r="E486" s="78">
        <v>1.31613582522E-4</v>
      </c>
    </row>
    <row r="487" spans="2:5" ht="15" customHeight="1">
      <c r="B487" s="110"/>
      <c r="C487" s="76" t="s">
        <v>115</v>
      </c>
      <c r="D487" s="77">
        <v>1</v>
      </c>
      <c r="E487" s="78">
        <v>1.31613582522E-4</v>
      </c>
    </row>
    <row r="488" spans="2:5" ht="15" customHeight="1">
      <c r="B488" s="110"/>
      <c r="C488" s="76" t="s">
        <v>116</v>
      </c>
      <c r="D488" s="77">
        <v>4</v>
      </c>
      <c r="E488" s="78">
        <v>5.2645433008700004E-4</v>
      </c>
    </row>
    <row r="489" spans="2:5" ht="15" customHeight="1">
      <c r="B489" s="111"/>
      <c r="C489" s="95" t="s">
        <v>258</v>
      </c>
      <c r="D489" s="90">
        <v>53</v>
      </c>
      <c r="E489" s="92">
        <v>6.975519873651E-3</v>
      </c>
    </row>
    <row r="490" spans="2:5" ht="15" customHeight="1">
      <c r="B490" s="109" t="s">
        <v>62</v>
      </c>
      <c r="C490" s="76" t="s">
        <v>98</v>
      </c>
      <c r="D490" s="77">
        <v>1</v>
      </c>
      <c r="E490" s="78">
        <v>1.31613582522E-4</v>
      </c>
    </row>
    <row r="491" spans="2:5" ht="15" customHeight="1">
      <c r="B491" s="110"/>
      <c r="C491" s="76" t="s">
        <v>101</v>
      </c>
      <c r="D491" s="77">
        <v>2</v>
      </c>
      <c r="E491" s="78">
        <v>2.6322716504299998E-4</v>
      </c>
    </row>
    <row r="492" spans="2:5" ht="15" customHeight="1">
      <c r="B492" s="110"/>
      <c r="C492" s="76" t="s">
        <v>102</v>
      </c>
      <c r="D492" s="77">
        <v>2</v>
      </c>
      <c r="E492" s="78">
        <v>2.6322716504299998E-4</v>
      </c>
    </row>
    <row r="493" spans="2:5" ht="15" customHeight="1">
      <c r="B493" s="110"/>
      <c r="C493" s="76" t="s">
        <v>103</v>
      </c>
      <c r="D493" s="77">
        <v>6</v>
      </c>
      <c r="E493" s="78">
        <v>7.8968149513000002E-4</v>
      </c>
    </row>
    <row r="494" spans="2:5" ht="15" customHeight="1">
      <c r="B494" s="110"/>
      <c r="C494" s="76" t="s">
        <v>104</v>
      </c>
      <c r="D494" s="77">
        <v>2</v>
      </c>
      <c r="E494" s="78">
        <v>2.6322716504299998E-4</v>
      </c>
    </row>
    <row r="495" spans="2:5" ht="15" customHeight="1">
      <c r="B495" s="110"/>
      <c r="C495" s="76" t="s">
        <v>106</v>
      </c>
      <c r="D495" s="77">
        <v>6</v>
      </c>
      <c r="E495" s="78">
        <v>7.8968149513000002E-4</v>
      </c>
    </row>
    <row r="496" spans="2:5" ht="15" customHeight="1">
      <c r="B496" s="110"/>
      <c r="C496" s="76" t="s">
        <v>107</v>
      </c>
      <c r="D496" s="77">
        <v>25</v>
      </c>
      <c r="E496" s="78">
        <v>3.290339563043E-3</v>
      </c>
    </row>
    <row r="497" spans="2:5" ht="15" customHeight="1">
      <c r="B497" s="110"/>
      <c r="C497" s="76" t="s">
        <v>108</v>
      </c>
      <c r="D497" s="77">
        <v>2</v>
      </c>
      <c r="E497" s="78">
        <v>2.6322716504299998E-4</v>
      </c>
    </row>
    <row r="498" spans="2:5" ht="15" customHeight="1">
      <c r="B498" s="110"/>
      <c r="C498" s="76" t="s">
        <v>109</v>
      </c>
      <c r="D498" s="77">
        <v>9</v>
      </c>
      <c r="E498" s="78">
        <v>1.1845222426950001E-3</v>
      </c>
    </row>
    <row r="499" spans="2:5" ht="15" customHeight="1">
      <c r="B499" s="110"/>
      <c r="C499" s="76" t="s">
        <v>110</v>
      </c>
      <c r="D499" s="77">
        <v>35</v>
      </c>
      <c r="E499" s="78">
        <v>4.6064753882600002E-3</v>
      </c>
    </row>
    <row r="500" spans="2:5" ht="15" customHeight="1">
      <c r="B500" s="110"/>
      <c r="C500" s="76" t="s">
        <v>112</v>
      </c>
      <c r="D500" s="77">
        <v>2</v>
      </c>
      <c r="E500" s="78">
        <v>2.6322716504299998E-4</v>
      </c>
    </row>
    <row r="501" spans="2:5" ht="15" customHeight="1">
      <c r="B501" s="110"/>
      <c r="C501" s="76" t="s">
        <v>113</v>
      </c>
      <c r="D501" s="77">
        <v>1</v>
      </c>
      <c r="E501" s="78">
        <v>1.31613582522E-4</v>
      </c>
    </row>
    <row r="502" spans="2:5" ht="15" customHeight="1">
      <c r="B502" s="110"/>
      <c r="C502" s="76" t="s">
        <v>115</v>
      </c>
      <c r="D502" s="77">
        <v>6</v>
      </c>
      <c r="E502" s="78">
        <v>7.8968149513000002E-4</v>
      </c>
    </row>
    <row r="503" spans="2:5" ht="15" customHeight="1">
      <c r="B503" s="110"/>
      <c r="C503" s="76" t="s">
        <v>116</v>
      </c>
      <c r="D503" s="77">
        <v>7</v>
      </c>
      <c r="E503" s="78">
        <v>9.2129507765199999E-4</v>
      </c>
    </row>
    <row r="504" spans="2:5" ht="15" customHeight="1">
      <c r="B504" s="111"/>
      <c r="C504" s="95" t="s">
        <v>258</v>
      </c>
      <c r="D504" s="90">
        <v>106</v>
      </c>
      <c r="E504" s="92">
        <v>1.3951039747302E-2</v>
      </c>
    </row>
    <row r="505" spans="2:5" ht="15" customHeight="1">
      <c r="B505" s="109" t="s">
        <v>86</v>
      </c>
      <c r="C505" s="76" t="s">
        <v>103</v>
      </c>
      <c r="D505" s="77">
        <v>2</v>
      </c>
      <c r="E505" s="78">
        <v>2.6322716504299998E-4</v>
      </c>
    </row>
    <row r="506" spans="2:5" ht="15" customHeight="1">
      <c r="B506" s="110"/>
      <c r="C506" s="76" t="s">
        <v>106</v>
      </c>
      <c r="D506" s="77">
        <v>1</v>
      </c>
      <c r="E506" s="78">
        <v>1.31613582522E-4</v>
      </c>
    </row>
    <row r="507" spans="2:5" ht="15" customHeight="1">
      <c r="B507" s="110"/>
      <c r="C507" s="76" t="s">
        <v>107</v>
      </c>
      <c r="D507" s="77">
        <v>4</v>
      </c>
      <c r="E507" s="78">
        <v>5.2645433008700004E-4</v>
      </c>
    </row>
    <row r="508" spans="2:5" ht="15" customHeight="1">
      <c r="B508" s="110"/>
      <c r="C508" s="76" t="s">
        <v>110</v>
      </c>
      <c r="D508" s="77">
        <v>9</v>
      </c>
      <c r="E508" s="78">
        <v>1.1845222426950001E-3</v>
      </c>
    </row>
    <row r="509" spans="2:5" ht="15" customHeight="1">
      <c r="B509" s="110"/>
      <c r="C509" s="76" t="s">
        <v>115</v>
      </c>
      <c r="D509" s="77">
        <v>2</v>
      </c>
      <c r="E509" s="78">
        <v>2.6322716504299998E-4</v>
      </c>
    </row>
    <row r="510" spans="2:5" ht="15" customHeight="1">
      <c r="B510" s="110"/>
      <c r="C510" s="76" t="s">
        <v>116</v>
      </c>
      <c r="D510" s="77">
        <v>1</v>
      </c>
      <c r="E510" s="78">
        <v>1.31613582522E-4</v>
      </c>
    </row>
    <row r="511" spans="2:5" ht="15" customHeight="1">
      <c r="B511" s="111"/>
      <c r="C511" s="95" t="s">
        <v>258</v>
      </c>
      <c r="D511" s="90">
        <v>19</v>
      </c>
      <c r="E511" s="92">
        <v>2.5006580679130001E-3</v>
      </c>
    </row>
    <row r="512" spans="2:5" ht="15" customHeight="1">
      <c r="B512" s="109" t="s">
        <v>47</v>
      </c>
      <c r="C512" s="76" t="s">
        <v>96</v>
      </c>
      <c r="D512" s="77">
        <v>11</v>
      </c>
      <c r="E512" s="78">
        <v>1.447749407739E-3</v>
      </c>
    </row>
    <row r="513" spans="2:5" ht="15" customHeight="1">
      <c r="B513" s="110"/>
      <c r="C513" s="76" t="s">
        <v>97</v>
      </c>
      <c r="D513" s="77">
        <v>6</v>
      </c>
      <c r="E513" s="78">
        <v>7.8968149513000002E-4</v>
      </c>
    </row>
    <row r="514" spans="2:5" ht="15" customHeight="1">
      <c r="B514" s="110"/>
      <c r="C514" s="76" t="s">
        <v>98</v>
      </c>
      <c r="D514" s="77">
        <v>3</v>
      </c>
      <c r="E514" s="78">
        <v>3.9484074756500001E-4</v>
      </c>
    </row>
    <row r="515" spans="2:5" ht="15" customHeight="1">
      <c r="B515" s="110"/>
      <c r="C515" s="76" t="s">
        <v>99</v>
      </c>
      <c r="D515" s="77">
        <v>9</v>
      </c>
      <c r="E515" s="78">
        <v>1.1845222426950001E-3</v>
      </c>
    </row>
    <row r="516" spans="2:5" ht="15" customHeight="1">
      <c r="B516" s="110"/>
      <c r="C516" s="76" t="s">
        <v>100</v>
      </c>
      <c r="D516" s="77">
        <v>6</v>
      </c>
      <c r="E516" s="78">
        <v>7.8968149513000002E-4</v>
      </c>
    </row>
    <row r="517" spans="2:5" ht="15" customHeight="1">
      <c r="B517" s="110"/>
      <c r="C517" s="76" t="s">
        <v>101</v>
      </c>
      <c r="D517" s="77">
        <v>8</v>
      </c>
      <c r="E517" s="78">
        <v>1.0529086601740001E-3</v>
      </c>
    </row>
    <row r="518" spans="2:5" ht="15" customHeight="1">
      <c r="B518" s="110"/>
      <c r="C518" s="76" t="s">
        <v>102</v>
      </c>
      <c r="D518" s="77">
        <v>36</v>
      </c>
      <c r="E518" s="78">
        <v>4.7380889707819996E-3</v>
      </c>
    </row>
    <row r="519" spans="2:5" ht="15" customHeight="1">
      <c r="B519" s="110"/>
      <c r="C519" s="76" t="s">
        <v>103</v>
      </c>
      <c r="D519" s="77">
        <v>60</v>
      </c>
      <c r="E519" s="78">
        <v>7.8968149513030002E-3</v>
      </c>
    </row>
    <row r="520" spans="2:5" ht="15" customHeight="1">
      <c r="B520" s="110"/>
      <c r="C520" s="76" t="s">
        <v>104</v>
      </c>
      <c r="D520" s="77">
        <v>6</v>
      </c>
      <c r="E520" s="78">
        <v>7.8968149513000002E-4</v>
      </c>
    </row>
    <row r="521" spans="2:5" ht="15" customHeight="1">
      <c r="B521" s="110"/>
      <c r="C521" s="76" t="s">
        <v>105</v>
      </c>
      <c r="D521" s="77">
        <v>26</v>
      </c>
      <c r="E521" s="78">
        <v>3.4219531455649999E-3</v>
      </c>
    </row>
    <row r="522" spans="2:5" ht="15" customHeight="1">
      <c r="B522" s="110"/>
      <c r="C522" s="76" t="s">
        <v>106</v>
      </c>
      <c r="D522" s="77">
        <v>38</v>
      </c>
      <c r="E522" s="78">
        <v>5.0013161358250001E-3</v>
      </c>
    </row>
    <row r="523" spans="2:5" ht="15" customHeight="1">
      <c r="B523" s="110"/>
      <c r="C523" s="76" t="s">
        <v>107</v>
      </c>
      <c r="D523" s="77">
        <v>161</v>
      </c>
      <c r="E523" s="78">
        <v>2.1189786785996E-2</v>
      </c>
    </row>
    <row r="524" spans="2:5" ht="15" customHeight="1">
      <c r="B524" s="110"/>
      <c r="C524" s="76" t="s">
        <v>108</v>
      </c>
      <c r="D524" s="77">
        <v>38</v>
      </c>
      <c r="E524" s="78">
        <v>5.0013161358250001E-3</v>
      </c>
    </row>
    <row r="525" spans="2:5" ht="15" customHeight="1">
      <c r="B525" s="110"/>
      <c r="C525" s="76" t="s">
        <v>109</v>
      </c>
      <c r="D525" s="77">
        <v>85</v>
      </c>
      <c r="E525" s="78">
        <v>1.1187154514345999E-2</v>
      </c>
    </row>
    <row r="526" spans="2:5" ht="15" customHeight="1">
      <c r="B526" s="110"/>
      <c r="C526" s="76" t="s">
        <v>110</v>
      </c>
      <c r="D526" s="77">
        <v>294</v>
      </c>
      <c r="E526" s="78">
        <v>3.8694393261384998E-2</v>
      </c>
    </row>
    <row r="527" spans="2:5" ht="15" customHeight="1">
      <c r="B527" s="110"/>
      <c r="C527" s="76" t="s">
        <v>111</v>
      </c>
      <c r="D527" s="77">
        <v>6</v>
      </c>
      <c r="E527" s="78">
        <v>7.8968149513000002E-4</v>
      </c>
    </row>
    <row r="528" spans="2:5" ht="15" customHeight="1">
      <c r="B528" s="110"/>
      <c r="C528" s="76" t="s">
        <v>112</v>
      </c>
      <c r="D528" s="77">
        <v>7</v>
      </c>
      <c r="E528" s="78">
        <v>9.2129507765199999E-4</v>
      </c>
    </row>
    <row r="529" spans="2:5" ht="15" customHeight="1">
      <c r="B529" s="110"/>
      <c r="C529" s="76" t="s">
        <v>113</v>
      </c>
      <c r="D529" s="77">
        <v>1</v>
      </c>
      <c r="E529" s="78">
        <v>1.31613582522E-4</v>
      </c>
    </row>
    <row r="530" spans="2:5" ht="15" customHeight="1">
      <c r="B530" s="110"/>
      <c r="C530" s="76" t="s">
        <v>114</v>
      </c>
      <c r="D530" s="77">
        <v>2</v>
      </c>
      <c r="E530" s="78">
        <v>2.6322716504299998E-4</v>
      </c>
    </row>
    <row r="531" spans="2:5" ht="15" customHeight="1">
      <c r="B531" s="110"/>
      <c r="C531" s="76" t="s">
        <v>115</v>
      </c>
      <c r="D531" s="77">
        <v>8</v>
      </c>
      <c r="E531" s="78">
        <v>1.0529086601740001E-3</v>
      </c>
    </row>
    <row r="532" spans="2:5" ht="15" customHeight="1">
      <c r="B532" s="110"/>
      <c r="C532" s="76" t="s">
        <v>116</v>
      </c>
      <c r="D532" s="77">
        <v>27</v>
      </c>
      <c r="E532" s="78">
        <v>3.5535667280860001E-3</v>
      </c>
    </row>
    <row r="533" spans="2:5" ht="15" customHeight="1">
      <c r="B533" s="110"/>
      <c r="C533" s="76" t="s">
        <v>117</v>
      </c>
      <c r="D533" s="77">
        <v>2</v>
      </c>
      <c r="E533" s="78">
        <v>2.6322716504299998E-4</v>
      </c>
    </row>
    <row r="534" spans="2:5" ht="15" customHeight="1">
      <c r="B534" s="110"/>
      <c r="C534" s="76" t="s">
        <v>118</v>
      </c>
      <c r="D534" s="77">
        <v>1</v>
      </c>
      <c r="E534" s="78">
        <v>1.31613582522E-4</v>
      </c>
    </row>
    <row r="535" spans="2:5" ht="15" customHeight="1">
      <c r="B535" s="111"/>
      <c r="C535" s="95" t="s">
        <v>258</v>
      </c>
      <c r="D535" s="90">
        <v>841</v>
      </c>
      <c r="E535" s="92">
        <v>0.110687022900763</v>
      </c>
    </row>
    <row r="536" spans="2:5" ht="15" customHeight="1">
      <c r="B536" s="109" t="s">
        <v>48</v>
      </c>
      <c r="C536" s="76" t="s">
        <v>96</v>
      </c>
      <c r="D536" s="77">
        <v>3</v>
      </c>
      <c r="E536" s="78">
        <v>3.9484074756500001E-4</v>
      </c>
    </row>
    <row r="537" spans="2:5" ht="15" customHeight="1">
      <c r="B537" s="110"/>
      <c r="C537" s="76" t="s">
        <v>99</v>
      </c>
      <c r="D537" s="77">
        <v>5</v>
      </c>
      <c r="E537" s="78">
        <v>6.5806791260900001E-4</v>
      </c>
    </row>
    <row r="538" spans="2:5" ht="15" customHeight="1">
      <c r="B538" s="110"/>
      <c r="C538" s="76" t="s">
        <v>100</v>
      </c>
      <c r="D538" s="77">
        <v>2</v>
      </c>
      <c r="E538" s="78">
        <v>2.6322716504299998E-4</v>
      </c>
    </row>
    <row r="539" spans="2:5" ht="15" customHeight="1">
      <c r="B539" s="110"/>
      <c r="C539" s="76" t="s">
        <v>101</v>
      </c>
      <c r="D539" s="77">
        <v>6</v>
      </c>
      <c r="E539" s="78">
        <v>7.8968149513000002E-4</v>
      </c>
    </row>
    <row r="540" spans="2:5" ht="15" customHeight="1">
      <c r="B540" s="110"/>
      <c r="C540" s="76" t="s">
        <v>102</v>
      </c>
      <c r="D540" s="77">
        <v>15</v>
      </c>
      <c r="E540" s="78">
        <v>1.9742037378259998E-3</v>
      </c>
    </row>
    <row r="541" spans="2:5" ht="15" customHeight="1">
      <c r="B541" s="110"/>
      <c r="C541" s="76" t="s">
        <v>103</v>
      </c>
      <c r="D541" s="77">
        <v>61</v>
      </c>
      <c r="E541" s="78">
        <v>8.0284285338250005E-3</v>
      </c>
    </row>
    <row r="542" spans="2:5" ht="15" customHeight="1">
      <c r="B542" s="110"/>
      <c r="C542" s="76" t="s">
        <v>104</v>
      </c>
      <c r="D542" s="77">
        <v>12</v>
      </c>
      <c r="E542" s="78">
        <v>1.5793629902610001E-3</v>
      </c>
    </row>
    <row r="543" spans="2:5" ht="15" customHeight="1">
      <c r="B543" s="110"/>
      <c r="C543" s="76" t="s">
        <v>105</v>
      </c>
      <c r="D543" s="77">
        <v>23</v>
      </c>
      <c r="E543" s="78">
        <v>3.0271123979989998E-3</v>
      </c>
    </row>
    <row r="544" spans="2:5" ht="15" customHeight="1">
      <c r="B544" s="110"/>
      <c r="C544" s="76" t="s">
        <v>106</v>
      </c>
      <c r="D544" s="77">
        <v>18</v>
      </c>
      <c r="E544" s="78">
        <v>2.3690444853909998E-3</v>
      </c>
    </row>
    <row r="545" spans="2:5" ht="15" customHeight="1">
      <c r="B545" s="110"/>
      <c r="C545" s="76" t="s">
        <v>107</v>
      </c>
      <c r="D545" s="77">
        <v>168</v>
      </c>
      <c r="E545" s="78">
        <v>2.2111081863648002E-2</v>
      </c>
    </row>
    <row r="546" spans="2:5" ht="15" customHeight="1">
      <c r="B546" s="110"/>
      <c r="C546" s="76" t="s">
        <v>108</v>
      </c>
      <c r="D546" s="77">
        <v>21</v>
      </c>
      <c r="E546" s="78">
        <v>2.7638852329560002E-3</v>
      </c>
    </row>
    <row r="547" spans="2:5" ht="15" customHeight="1">
      <c r="B547" s="110"/>
      <c r="C547" s="76" t="s">
        <v>109</v>
      </c>
      <c r="D547" s="77">
        <v>68</v>
      </c>
      <c r="E547" s="78">
        <v>8.9497236114770007E-3</v>
      </c>
    </row>
    <row r="548" spans="2:5" ht="15" customHeight="1">
      <c r="B548" s="110"/>
      <c r="C548" s="76" t="s">
        <v>110</v>
      </c>
      <c r="D548" s="77">
        <v>296</v>
      </c>
      <c r="E548" s="78">
        <v>3.8957620426428002E-2</v>
      </c>
    </row>
    <row r="549" spans="2:5" ht="15" customHeight="1">
      <c r="B549" s="110"/>
      <c r="C549" s="76" t="s">
        <v>111</v>
      </c>
      <c r="D549" s="77">
        <v>14</v>
      </c>
      <c r="E549" s="78">
        <v>1.842590155304E-3</v>
      </c>
    </row>
    <row r="550" spans="2:5" ht="15" customHeight="1">
      <c r="B550" s="110"/>
      <c r="C550" s="76" t="s">
        <v>112</v>
      </c>
      <c r="D550" s="77">
        <v>15</v>
      </c>
      <c r="E550" s="78">
        <v>1.9742037378259998E-3</v>
      </c>
    </row>
    <row r="551" spans="2:5" ht="15" customHeight="1">
      <c r="B551" s="110"/>
      <c r="C551" s="76" t="s">
        <v>113</v>
      </c>
      <c r="D551" s="77">
        <v>9</v>
      </c>
      <c r="E551" s="78">
        <v>1.1845222426950001E-3</v>
      </c>
    </row>
    <row r="552" spans="2:5" ht="15" customHeight="1">
      <c r="B552" s="110"/>
      <c r="C552" s="76" t="s">
        <v>114</v>
      </c>
      <c r="D552" s="77">
        <v>1</v>
      </c>
      <c r="E552" s="78">
        <v>1.31613582522E-4</v>
      </c>
    </row>
    <row r="553" spans="2:5" ht="15" customHeight="1">
      <c r="B553" s="110"/>
      <c r="C553" s="76" t="s">
        <v>115</v>
      </c>
      <c r="D553" s="77">
        <v>17</v>
      </c>
      <c r="E553" s="78">
        <v>2.2374309028689999E-3</v>
      </c>
    </row>
    <row r="554" spans="2:5" ht="15" customHeight="1">
      <c r="B554" s="110"/>
      <c r="C554" s="76" t="s">
        <v>116</v>
      </c>
      <c r="D554" s="77">
        <v>83</v>
      </c>
      <c r="E554" s="78">
        <v>1.0923927349302E-2</v>
      </c>
    </row>
    <row r="555" spans="2:5" ht="15" customHeight="1">
      <c r="B555" s="110"/>
      <c r="C555" s="76" t="s">
        <v>117</v>
      </c>
      <c r="D555" s="77">
        <v>1</v>
      </c>
      <c r="E555" s="78">
        <v>1.31613582522E-4</v>
      </c>
    </row>
    <row r="556" spans="2:5" ht="15" customHeight="1">
      <c r="B556" s="110"/>
      <c r="C556" s="76" t="s">
        <v>118</v>
      </c>
      <c r="D556" s="77">
        <v>7</v>
      </c>
      <c r="E556" s="78">
        <v>9.2129507765199999E-4</v>
      </c>
    </row>
    <row r="557" spans="2:5" ht="15" customHeight="1">
      <c r="B557" s="110"/>
      <c r="C557" s="76" t="s">
        <v>119</v>
      </c>
      <c r="D557" s="77">
        <v>1</v>
      </c>
      <c r="E557" s="78">
        <v>1.31613582522E-4</v>
      </c>
    </row>
    <row r="558" spans="2:5" ht="15" customHeight="1">
      <c r="B558" s="111"/>
      <c r="C558" s="95" t="s">
        <v>258</v>
      </c>
      <c r="D558" s="90">
        <v>846</v>
      </c>
      <c r="E558" s="92">
        <v>0.111345090813372</v>
      </c>
    </row>
    <row r="559" spans="2:5" ht="15" customHeight="1">
      <c r="B559" s="109" t="s">
        <v>60</v>
      </c>
      <c r="C559" s="76" t="s">
        <v>99</v>
      </c>
      <c r="D559" s="77">
        <v>1</v>
      </c>
      <c r="E559" s="78">
        <v>1.31613582522E-4</v>
      </c>
    </row>
    <row r="560" spans="2:5" ht="15" customHeight="1">
      <c r="B560" s="110"/>
      <c r="C560" s="76" t="s">
        <v>100</v>
      </c>
      <c r="D560" s="77">
        <v>1</v>
      </c>
      <c r="E560" s="78">
        <v>1.31613582522E-4</v>
      </c>
    </row>
    <row r="561" spans="2:5" ht="15" customHeight="1">
      <c r="B561" s="110"/>
      <c r="C561" s="76" t="s">
        <v>101</v>
      </c>
      <c r="D561" s="77">
        <v>2</v>
      </c>
      <c r="E561" s="78">
        <v>2.6322716504299998E-4</v>
      </c>
    </row>
    <row r="562" spans="2:5" ht="15" customHeight="1">
      <c r="B562" s="110"/>
      <c r="C562" s="76" t="s">
        <v>102</v>
      </c>
      <c r="D562" s="77">
        <v>4</v>
      </c>
      <c r="E562" s="78">
        <v>5.2645433008700004E-4</v>
      </c>
    </row>
    <row r="563" spans="2:5" ht="15" customHeight="1">
      <c r="B563" s="110"/>
      <c r="C563" s="76" t="s">
        <v>103</v>
      </c>
      <c r="D563" s="77">
        <v>7</v>
      </c>
      <c r="E563" s="78">
        <v>9.2129507765199999E-4</v>
      </c>
    </row>
    <row r="564" spans="2:5" ht="15" customHeight="1">
      <c r="B564" s="110"/>
      <c r="C564" s="76" t="s">
        <v>104</v>
      </c>
      <c r="D564" s="77">
        <v>1</v>
      </c>
      <c r="E564" s="78">
        <v>1.31613582522E-4</v>
      </c>
    </row>
    <row r="565" spans="2:5" ht="15" customHeight="1">
      <c r="B565" s="110"/>
      <c r="C565" s="76" t="s">
        <v>105</v>
      </c>
      <c r="D565" s="77">
        <v>3</v>
      </c>
      <c r="E565" s="78">
        <v>3.9484074756500001E-4</v>
      </c>
    </row>
    <row r="566" spans="2:5" ht="15" customHeight="1">
      <c r="B566" s="110"/>
      <c r="C566" s="76" t="s">
        <v>106</v>
      </c>
      <c r="D566" s="77">
        <v>4</v>
      </c>
      <c r="E566" s="78">
        <v>5.2645433008700004E-4</v>
      </c>
    </row>
    <row r="567" spans="2:5" ht="15" customHeight="1">
      <c r="B567" s="110"/>
      <c r="C567" s="76" t="s">
        <v>107</v>
      </c>
      <c r="D567" s="77">
        <v>31</v>
      </c>
      <c r="E567" s="78">
        <v>4.0800210581729999E-3</v>
      </c>
    </row>
    <row r="568" spans="2:5" ht="15" customHeight="1">
      <c r="B568" s="110"/>
      <c r="C568" s="76" t="s">
        <v>109</v>
      </c>
      <c r="D568" s="77">
        <v>9</v>
      </c>
      <c r="E568" s="78">
        <v>1.1845222426950001E-3</v>
      </c>
    </row>
    <row r="569" spans="2:5" ht="15" customHeight="1">
      <c r="B569" s="110"/>
      <c r="C569" s="76" t="s">
        <v>110</v>
      </c>
      <c r="D569" s="77">
        <v>40</v>
      </c>
      <c r="E569" s="78">
        <v>5.2645433008689999E-3</v>
      </c>
    </row>
    <row r="570" spans="2:5" ht="15" customHeight="1">
      <c r="B570" s="110"/>
      <c r="C570" s="76" t="s">
        <v>115</v>
      </c>
      <c r="D570" s="77">
        <v>2</v>
      </c>
      <c r="E570" s="78">
        <v>2.6322716504299998E-4</v>
      </c>
    </row>
    <row r="571" spans="2:5" ht="15" customHeight="1">
      <c r="B571" s="110"/>
      <c r="C571" s="76" t="s">
        <v>116</v>
      </c>
      <c r="D571" s="77">
        <v>8</v>
      </c>
      <c r="E571" s="78">
        <v>1.0529086601740001E-3</v>
      </c>
    </row>
    <row r="572" spans="2:5" ht="15" customHeight="1">
      <c r="B572" s="110"/>
      <c r="C572" s="76" t="s">
        <v>118</v>
      </c>
      <c r="D572" s="77">
        <v>1</v>
      </c>
      <c r="E572" s="78">
        <v>1.31613582522E-4</v>
      </c>
    </row>
    <row r="573" spans="2:5" ht="15" customHeight="1">
      <c r="B573" s="111"/>
      <c r="C573" s="95" t="s">
        <v>258</v>
      </c>
      <c r="D573" s="90">
        <v>114</v>
      </c>
      <c r="E573" s="92">
        <v>1.5003948407476E-2</v>
      </c>
    </row>
    <row r="574" spans="2:5" ht="15" customHeight="1">
      <c r="B574" s="109" t="s">
        <v>56</v>
      </c>
      <c r="C574" s="76" t="s">
        <v>96</v>
      </c>
      <c r="D574" s="77">
        <v>4</v>
      </c>
      <c r="E574" s="78">
        <v>5.2645433008700004E-4</v>
      </c>
    </row>
    <row r="575" spans="2:5" ht="15" customHeight="1">
      <c r="B575" s="110"/>
      <c r="C575" s="76" t="s">
        <v>98</v>
      </c>
      <c r="D575" s="77">
        <v>3</v>
      </c>
      <c r="E575" s="78">
        <v>3.9484074756500001E-4</v>
      </c>
    </row>
    <row r="576" spans="2:5" ht="15" customHeight="1">
      <c r="B576" s="110"/>
      <c r="C576" s="76" t="s">
        <v>99</v>
      </c>
      <c r="D576" s="77">
        <v>3</v>
      </c>
      <c r="E576" s="78">
        <v>3.9484074756500001E-4</v>
      </c>
    </row>
    <row r="577" spans="2:5" ht="15" customHeight="1">
      <c r="B577" s="110"/>
      <c r="C577" s="76" t="s">
        <v>101</v>
      </c>
      <c r="D577" s="77">
        <v>1</v>
      </c>
      <c r="E577" s="78">
        <v>1.31613582522E-4</v>
      </c>
    </row>
    <row r="578" spans="2:5" ht="15" customHeight="1">
      <c r="B578" s="110"/>
      <c r="C578" s="76" t="s">
        <v>102</v>
      </c>
      <c r="D578" s="77">
        <v>13</v>
      </c>
      <c r="E578" s="78">
        <v>1.7109765727819999E-3</v>
      </c>
    </row>
    <row r="579" spans="2:5" ht="15" customHeight="1">
      <c r="B579" s="110"/>
      <c r="C579" s="76" t="s">
        <v>103</v>
      </c>
      <c r="D579" s="77">
        <v>18</v>
      </c>
      <c r="E579" s="78">
        <v>2.3690444853909998E-3</v>
      </c>
    </row>
    <row r="580" spans="2:5" ht="15" customHeight="1">
      <c r="B580" s="110"/>
      <c r="C580" s="76" t="s">
        <v>104</v>
      </c>
      <c r="D580" s="77">
        <v>4</v>
      </c>
      <c r="E580" s="78">
        <v>5.2645433008700004E-4</v>
      </c>
    </row>
    <row r="581" spans="2:5" ht="15" customHeight="1">
      <c r="B581" s="110"/>
      <c r="C581" s="76" t="s">
        <v>105</v>
      </c>
      <c r="D581" s="77">
        <v>5</v>
      </c>
      <c r="E581" s="78">
        <v>6.5806791260900001E-4</v>
      </c>
    </row>
    <row r="582" spans="2:5" ht="15" customHeight="1">
      <c r="B582" s="110"/>
      <c r="C582" s="76" t="s">
        <v>106</v>
      </c>
      <c r="D582" s="77">
        <v>3</v>
      </c>
      <c r="E582" s="78">
        <v>3.9484074756500001E-4</v>
      </c>
    </row>
    <row r="583" spans="2:5" ht="15" customHeight="1">
      <c r="B583" s="110"/>
      <c r="C583" s="76" t="s">
        <v>107</v>
      </c>
      <c r="D583" s="77">
        <v>48</v>
      </c>
      <c r="E583" s="78">
        <v>6.3174519610420003E-3</v>
      </c>
    </row>
    <row r="584" spans="2:5" ht="15" customHeight="1">
      <c r="B584" s="110"/>
      <c r="C584" s="76" t="s">
        <v>108</v>
      </c>
      <c r="D584" s="77">
        <v>5</v>
      </c>
      <c r="E584" s="78">
        <v>6.5806791260900001E-4</v>
      </c>
    </row>
    <row r="585" spans="2:5" ht="15" customHeight="1">
      <c r="B585" s="110"/>
      <c r="C585" s="76" t="s">
        <v>109</v>
      </c>
      <c r="D585" s="77">
        <v>28</v>
      </c>
      <c r="E585" s="78">
        <v>3.685180310608E-3</v>
      </c>
    </row>
    <row r="586" spans="2:5" ht="15" customHeight="1">
      <c r="B586" s="110"/>
      <c r="C586" s="76" t="s">
        <v>110</v>
      </c>
      <c r="D586" s="77">
        <v>80</v>
      </c>
      <c r="E586" s="78">
        <v>1.0529086601737001E-2</v>
      </c>
    </row>
    <row r="587" spans="2:5" ht="15" customHeight="1">
      <c r="B587" s="110"/>
      <c r="C587" s="76" t="s">
        <v>112</v>
      </c>
      <c r="D587" s="77">
        <v>4</v>
      </c>
      <c r="E587" s="78">
        <v>5.2645433008700004E-4</v>
      </c>
    </row>
    <row r="588" spans="2:5" ht="15" customHeight="1">
      <c r="B588" s="110"/>
      <c r="C588" s="76" t="s">
        <v>113</v>
      </c>
      <c r="D588" s="77">
        <v>2</v>
      </c>
      <c r="E588" s="78">
        <v>2.6322716504299998E-4</v>
      </c>
    </row>
    <row r="589" spans="2:5" ht="15" customHeight="1">
      <c r="B589" s="110"/>
      <c r="C589" s="76" t="s">
        <v>115</v>
      </c>
      <c r="D589" s="77">
        <v>6</v>
      </c>
      <c r="E589" s="78">
        <v>7.8968149513000002E-4</v>
      </c>
    </row>
    <row r="590" spans="2:5" ht="15" customHeight="1">
      <c r="B590" s="110"/>
      <c r="C590" s="76" t="s">
        <v>116</v>
      </c>
      <c r="D590" s="77">
        <v>11</v>
      </c>
      <c r="E590" s="78">
        <v>1.447749407739E-3</v>
      </c>
    </row>
    <row r="591" spans="2:5" ht="15" customHeight="1">
      <c r="B591" s="111"/>
      <c r="C591" s="95" t="s">
        <v>258</v>
      </c>
      <c r="D591" s="90">
        <v>238</v>
      </c>
      <c r="E591" s="92">
        <v>3.1324032640167997E-2</v>
      </c>
    </row>
    <row r="592" spans="2:5" ht="15" customHeight="1">
      <c r="B592" s="109" t="s">
        <v>51</v>
      </c>
      <c r="C592" s="76" t="s">
        <v>96</v>
      </c>
      <c r="D592" s="77">
        <v>2</v>
      </c>
      <c r="E592" s="78">
        <v>2.6322716504299998E-4</v>
      </c>
    </row>
    <row r="593" spans="2:5" ht="15" customHeight="1">
      <c r="B593" s="110"/>
      <c r="C593" s="76" t="s">
        <v>97</v>
      </c>
      <c r="D593" s="77">
        <v>1</v>
      </c>
      <c r="E593" s="78">
        <v>1.31613582522E-4</v>
      </c>
    </row>
    <row r="594" spans="2:5" ht="15" customHeight="1">
      <c r="B594" s="110"/>
      <c r="C594" s="76" t="s">
        <v>99</v>
      </c>
      <c r="D594" s="77">
        <v>2</v>
      </c>
      <c r="E594" s="78">
        <v>2.6322716504299998E-4</v>
      </c>
    </row>
    <row r="595" spans="2:5" ht="15" customHeight="1">
      <c r="B595" s="110"/>
      <c r="C595" s="76" t="s">
        <v>100</v>
      </c>
      <c r="D595" s="77">
        <v>1</v>
      </c>
      <c r="E595" s="78">
        <v>1.31613582522E-4</v>
      </c>
    </row>
    <row r="596" spans="2:5" ht="15" customHeight="1">
      <c r="B596" s="110"/>
      <c r="C596" s="76" t="s">
        <v>101</v>
      </c>
      <c r="D596" s="77">
        <v>4</v>
      </c>
      <c r="E596" s="78">
        <v>5.2645433008700004E-4</v>
      </c>
    </row>
    <row r="597" spans="2:5" ht="15" customHeight="1">
      <c r="B597" s="110"/>
      <c r="C597" s="76" t="s">
        <v>102</v>
      </c>
      <c r="D597" s="77">
        <v>20</v>
      </c>
      <c r="E597" s="78">
        <v>2.6322716504339999E-3</v>
      </c>
    </row>
    <row r="598" spans="2:5" ht="15" customHeight="1">
      <c r="B598" s="110"/>
      <c r="C598" s="76" t="s">
        <v>103</v>
      </c>
      <c r="D598" s="77">
        <v>21</v>
      </c>
      <c r="E598" s="78">
        <v>2.7638852329560002E-3</v>
      </c>
    </row>
    <row r="599" spans="2:5" ht="15" customHeight="1">
      <c r="B599" s="110"/>
      <c r="C599" s="76" t="s">
        <v>104</v>
      </c>
      <c r="D599" s="77">
        <v>4</v>
      </c>
      <c r="E599" s="78">
        <v>5.2645433008700004E-4</v>
      </c>
    </row>
    <row r="600" spans="2:5" ht="15" customHeight="1">
      <c r="B600" s="110"/>
      <c r="C600" s="76" t="s">
        <v>105</v>
      </c>
      <c r="D600" s="77">
        <v>3</v>
      </c>
      <c r="E600" s="78">
        <v>3.9484074756500001E-4</v>
      </c>
    </row>
    <row r="601" spans="2:5" ht="15" customHeight="1">
      <c r="B601" s="110"/>
      <c r="C601" s="76" t="s">
        <v>106</v>
      </c>
      <c r="D601" s="77">
        <v>10</v>
      </c>
      <c r="E601" s="78">
        <v>1.3161358252169999E-3</v>
      </c>
    </row>
    <row r="602" spans="2:5" ht="15" customHeight="1">
      <c r="B602" s="110"/>
      <c r="C602" s="76" t="s">
        <v>107</v>
      </c>
      <c r="D602" s="77">
        <v>78</v>
      </c>
      <c r="E602" s="78">
        <v>1.0265859436694001E-2</v>
      </c>
    </row>
    <row r="603" spans="2:5" ht="15" customHeight="1">
      <c r="B603" s="110"/>
      <c r="C603" s="76" t="s">
        <v>108</v>
      </c>
      <c r="D603" s="77">
        <v>12</v>
      </c>
      <c r="E603" s="78">
        <v>1.5793629902610001E-3</v>
      </c>
    </row>
    <row r="604" spans="2:5" ht="15" customHeight="1">
      <c r="B604" s="110"/>
      <c r="C604" s="76" t="s">
        <v>109</v>
      </c>
      <c r="D604" s="77">
        <v>35</v>
      </c>
      <c r="E604" s="78">
        <v>4.6064753882600002E-3</v>
      </c>
    </row>
    <row r="605" spans="2:5" ht="15" customHeight="1">
      <c r="B605" s="110"/>
      <c r="C605" s="76" t="s">
        <v>110</v>
      </c>
      <c r="D605" s="77">
        <v>121</v>
      </c>
      <c r="E605" s="78">
        <v>1.5925243485127999E-2</v>
      </c>
    </row>
    <row r="606" spans="2:5" ht="15" customHeight="1">
      <c r="B606" s="110"/>
      <c r="C606" s="76" t="s">
        <v>111</v>
      </c>
      <c r="D606" s="77">
        <v>7</v>
      </c>
      <c r="E606" s="78">
        <v>9.2129507765199999E-4</v>
      </c>
    </row>
    <row r="607" spans="2:5" ht="15" customHeight="1">
      <c r="B607" s="110"/>
      <c r="C607" s="76" t="s">
        <v>112</v>
      </c>
      <c r="D607" s="77">
        <v>5</v>
      </c>
      <c r="E607" s="78">
        <v>6.5806791260900001E-4</v>
      </c>
    </row>
    <row r="608" spans="2:5" ht="15" customHeight="1">
      <c r="B608" s="110"/>
      <c r="C608" s="76" t="s">
        <v>113</v>
      </c>
      <c r="D608" s="77">
        <v>4</v>
      </c>
      <c r="E608" s="78">
        <v>5.2645433008700004E-4</v>
      </c>
    </row>
    <row r="609" spans="2:5" ht="15" customHeight="1">
      <c r="B609" s="110"/>
      <c r="C609" s="76" t="s">
        <v>114</v>
      </c>
      <c r="D609" s="77">
        <v>2</v>
      </c>
      <c r="E609" s="78">
        <v>2.6322716504299998E-4</v>
      </c>
    </row>
    <row r="610" spans="2:5" ht="15" customHeight="1">
      <c r="B610" s="110"/>
      <c r="C610" s="76" t="s">
        <v>115</v>
      </c>
      <c r="D610" s="77">
        <v>13</v>
      </c>
      <c r="E610" s="78">
        <v>1.7109765727819999E-3</v>
      </c>
    </row>
    <row r="611" spans="2:5" ht="15" customHeight="1">
      <c r="B611" s="110"/>
      <c r="C611" s="76" t="s">
        <v>116</v>
      </c>
      <c r="D611" s="77">
        <v>17</v>
      </c>
      <c r="E611" s="78">
        <v>2.2374309028689999E-3</v>
      </c>
    </row>
    <row r="612" spans="2:5" ht="15" customHeight="1">
      <c r="B612" s="111"/>
      <c r="C612" s="95" t="s">
        <v>258</v>
      </c>
      <c r="D612" s="90">
        <v>362</v>
      </c>
      <c r="E612" s="92">
        <v>4.7644116872860999E-2</v>
      </c>
    </row>
    <row r="613" spans="2:5" ht="15" customHeight="1">
      <c r="B613" s="109" t="s">
        <v>73</v>
      </c>
      <c r="C613" s="76" t="s">
        <v>99</v>
      </c>
      <c r="D613" s="77">
        <v>1</v>
      </c>
      <c r="E613" s="78">
        <v>1.31613582522E-4</v>
      </c>
    </row>
    <row r="614" spans="2:5" ht="15" customHeight="1">
      <c r="B614" s="110"/>
      <c r="C614" s="76" t="s">
        <v>100</v>
      </c>
      <c r="D614" s="77">
        <v>1</v>
      </c>
      <c r="E614" s="78">
        <v>1.31613582522E-4</v>
      </c>
    </row>
    <row r="615" spans="2:5" ht="15" customHeight="1">
      <c r="B615" s="110"/>
      <c r="C615" s="76" t="s">
        <v>102</v>
      </c>
      <c r="D615" s="77">
        <v>1</v>
      </c>
      <c r="E615" s="78">
        <v>1.31613582522E-4</v>
      </c>
    </row>
    <row r="616" spans="2:5" ht="15" customHeight="1">
      <c r="B616" s="110"/>
      <c r="C616" s="76" t="s">
        <v>103</v>
      </c>
      <c r="D616" s="77">
        <v>1</v>
      </c>
      <c r="E616" s="78">
        <v>1.31613582522E-4</v>
      </c>
    </row>
    <row r="617" spans="2:5" ht="15" customHeight="1">
      <c r="B617" s="110"/>
      <c r="C617" s="76" t="s">
        <v>104</v>
      </c>
      <c r="D617" s="77">
        <v>2</v>
      </c>
      <c r="E617" s="78">
        <v>2.6322716504299998E-4</v>
      </c>
    </row>
    <row r="618" spans="2:5" ht="15" customHeight="1">
      <c r="B618" s="110"/>
      <c r="C618" s="76" t="s">
        <v>107</v>
      </c>
      <c r="D618" s="77">
        <v>8</v>
      </c>
      <c r="E618" s="78">
        <v>1.0529086601740001E-3</v>
      </c>
    </row>
    <row r="619" spans="2:5" ht="15" customHeight="1">
      <c r="B619" s="110"/>
      <c r="C619" s="76" t="s">
        <v>108</v>
      </c>
      <c r="D619" s="77">
        <v>1</v>
      </c>
      <c r="E619" s="78">
        <v>1.31613582522E-4</v>
      </c>
    </row>
    <row r="620" spans="2:5" ht="15" customHeight="1">
      <c r="B620" s="110"/>
      <c r="C620" s="76" t="s">
        <v>109</v>
      </c>
      <c r="D620" s="77">
        <v>4</v>
      </c>
      <c r="E620" s="78">
        <v>5.2645433008700004E-4</v>
      </c>
    </row>
    <row r="621" spans="2:5" ht="15" customHeight="1">
      <c r="B621" s="110"/>
      <c r="C621" s="76" t="s">
        <v>110</v>
      </c>
      <c r="D621" s="77">
        <v>10</v>
      </c>
      <c r="E621" s="78">
        <v>1.3161358252169999E-3</v>
      </c>
    </row>
    <row r="622" spans="2:5" ht="15" customHeight="1">
      <c r="B622" s="110"/>
      <c r="C622" s="76" t="s">
        <v>116</v>
      </c>
      <c r="D622" s="77">
        <v>1</v>
      </c>
      <c r="E622" s="78">
        <v>1.31613582522E-4</v>
      </c>
    </row>
    <row r="623" spans="2:5" ht="15" customHeight="1">
      <c r="B623" s="111"/>
      <c r="C623" s="95" t="s">
        <v>258</v>
      </c>
      <c r="D623" s="90">
        <v>30</v>
      </c>
      <c r="E623" s="92">
        <v>3.9484074756509996E-3</v>
      </c>
    </row>
    <row r="624" spans="2:5" ht="15" customHeight="1">
      <c r="B624" s="109" t="s">
        <v>81</v>
      </c>
      <c r="C624" s="76" t="s">
        <v>101</v>
      </c>
      <c r="D624" s="77">
        <v>2</v>
      </c>
      <c r="E624" s="78">
        <v>2.6322716504299998E-4</v>
      </c>
    </row>
    <row r="625" spans="2:5" ht="15" customHeight="1">
      <c r="B625" s="110"/>
      <c r="C625" s="76" t="s">
        <v>102</v>
      </c>
      <c r="D625" s="77">
        <v>1</v>
      </c>
      <c r="E625" s="78">
        <v>1.31613582522E-4</v>
      </c>
    </row>
    <row r="626" spans="2:5" ht="15" customHeight="1">
      <c r="B626" s="110"/>
      <c r="C626" s="76" t="s">
        <v>103</v>
      </c>
      <c r="D626" s="77">
        <v>2</v>
      </c>
      <c r="E626" s="78">
        <v>2.6322716504299998E-4</v>
      </c>
    </row>
    <row r="627" spans="2:5" ht="15" customHeight="1">
      <c r="B627" s="110"/>
      <c r="C627" s="76" t="s">
        <v>105</v>
      </c>
      <c r="D627" s="77">
        <v>1</v>
      </c>
      <c r="E627" s="78">
        <v>1.31613582522E-4</v>
      </c>
    </row>
    <row r="628" spans="2:5" ht="15" customHeight="1">
      <c r="B628" s="110"/>
      <c r="C628" s="76" t="s">
        <v>106</v>
      </c>
      <c r="D628" s="77">
        <v>2</v>
      </c>
      <c r="E628" s="78">
        <v>2.6322716504299998E-4</v>
      </c>
    </row>
    <row r="629" spans="2:5" ht="15" customHeight="1">
      <c r="B629" s="110"/>
      <c r="C629" s="76" t="s">
        <v>107</v>
      </c>
      <c r="D629" s="77">
        <v>3</v>
      </c>
      <c r="E629" s="78">
        <v>3.9484074756500001E-4</v>
      </c>
    </row>
    <row r="630" spans="2:5" ht="15" customHeight="1">
      <c r="B630" s="110"/>
      <c r="C630" s="76" t="s">
        <v>108</v>
      </c>
      <c r="D630" s="77">
        <v>6</v>
      </c>
      <c r="E630" s="78">
        <v>7.8968149513000002E-4</v>
      </c>
    </row>
    <row r="631" spans="2:5" ht="15" customHeight="1">
      <c r="B631" s="110"/>
      <c r="C631" s="76" t="s">
        <v>109</v>
      </c>
      <c r="D631" s="77">
        <v>7</v>
      </c>
      <c r="E631" s="78">
        <v>9.2129507765199999E-4</v>
      </c>
    </row>
    <row r="632" spans="2:5" ht="15" customHeight="1">
      <c r="B632" s="110"/>
      <c r="C632" s="76" t="s">
        <v>110</v>
      </c>
      <c r="D632" s="77">
        <v>14</v>
      </c>
      <c r="E632" s="78">
        <v>1.842590155304E-3</v>
      </c>
    </row>
    <row r="633" spans="2:5" ht="15" customHeight="1">
      <c r="B633" s="110"/>
      <c r="C633" s="76" t="s">
        <v>115</v>
      </c>
      <c r="D633" s="77">
        <v>4</v>
      </c>
      <c r="E633" s="78">
        <v>5.2645433008700004E-4</v>
      </c>
    </row>
    <row r="634" spans="2:5" ht="15" customHeight="1">
      <c r="B634" s="110"/>
      <c r="C634" s="76" t="s">
        <v>116</v>
      </c>
      <c r="D634" s="77">
        <v>6</v>
      </c>
      <c r="E634" s="78">
        <v>7.8968149513000002E-4</v>
      </c>
    </row>
    <row r="635" spans="2:5" ht="15" customHeight="1">
      <c r="B635" s="111"/>
      <c r="C635" s="95" t="s">
        <v>258</v>
      </c>
      <c r="D635" s="90">
        <v>48</v>
      </c>
      <c r="E635" s="92">
        <v>6.3174519610420003E-3</v>
      </c>
    </row>
    <row r="636" spans="2:5" ht="15" customHeight="1">
      <c r="B636" s="109" t="s">
        <v>87</v>
      </c>
      <c r="C636" s="76" t="s">
        <v>103</v>
      </c>
      <c r="D636" s="77">
        <v>2</v>
      </c>
      <c r="E636" s="78">
        <v>2.6322716504299998E-4</v>
      </c>
    </row>
    <row r="637" spans="2:5" ht="15" customHeight="1">
      <c r="B637" s="110"/>
      <c r="C637" s="76" t="s">
        <v>104</v>
      </c>
      <c r="D637" s="77">
        <v>1</v>
      </c>
      <c r="E637" s="78">
        <v>1.31613582522E-4</v>
      </c>
    </row>
    <row r="638" spans="2:5" ht="15" customHeight="1">
      <c r="B638" s="110"/>
      <c r="C638" s="76" t="s">
        <v>107</v>
      </c>
      <c r="D638" s="77">
        <v>3</v>
      </c>
      <c r="E638" s="78">
        <v>3.9484074756500001E-4</v>
      </c>
    </row>
    <row r="639" spans="2:5" ht="15" customHeight="1">
      <c r="B639" s="110"/>
      <c r="C639" s="76" t="s">
        <v>108</v>
      </c>
      <c r="D639" s="77">
        <v>1</v>
      </c>
      <c r="E639" s="78">
        <v>1.31613582522E-4</v>
      </c>
    </row>
    <row r="640" spans="2:5" ht="15" customHeight="1">
      <c r="B640" s="110"/>
      <c r="C640" s="76" t="s">
        <v>109</v>
      </c>
      <c r="D640" s="77">
        <v>2</v>
      </c>
      <c r="E640" s="78">
        <v>2.6322716504299998E-4</v>
      </c>
    </row>
    <row r="641" spans="2:5" ht="15" customHeight="1">
      <c r="B641" s="110"/>
      <c r="C641" s="76" t="s">
        <v>110</v>
      </c>
      <c r="D641" s="77">
        <v>8</v>
      </c>
      <c r="E641" s="78">
        <v>1.0529086601740001E-3</v>
      </c>
    </row>
    <row r="642" spans="2:5" ht="15" customHeight="1">
      <c r="B642" s="110"/>
      <c r="C642" s="76" t="s">
        <v>116</v>
      </c>
      <c r="D642" s="77">
        <v>1</v>
      </c>
      <c r="E642" s="78">
        <v>1.31613582522E-4</v>
      </c>
    </row>
    <row r="643" spans="2:5" ht="15" customHeight="1">
      <c r="B643" s="111"/>
      <c r="C643" s="95" t="s">
        <v>258</v>
      </c>
      <c r="D643" s="90">
        <v>18</v>
      </c>
      <c r="E643" s="92">
        <v>2.3690444853909998E-3</v>
      </c>
    </row>
    <row r="644" spans="2:5" ht="15" customHeight="1">
      <c r="B644" s="109" t="s">
        <v>61</v>
      </c>
      <c r="C644" s="76" t="s">
        <v>101</v>
      </c>
      <c r="D644" s="77">
        <v>2</v>
      </c>
      <c r="E644" s="78">
        <v>2.6322716504299998E-4</v>
      </c>
    </row>
    <row r="645" spans="2:5" ht="15" customHeight="1">
      <c r="B645" s="110"/>
      <c r="C645" s="76" t="s">
        <v>102</v>
      </c>
      <c r="D645" s="77">
        <v>3</v>
      </c>
      <c r="E645" s="78">
        <v>3.9484074756500001E-4</v>
      </c>
    </row>
    <row r="646" spans="2:5" ht="15" customHeight="1">
      <c r="B646" s="110"/>
      <c r="C646" s="76" t="s">
        <v>103</v>
      </c>
      <c r="D646" s="77">
        <v>3</v>
      </c>
      <c r="E646" s="78">
        <v>3.9484074756500001E-4</v>
      </c>
    </row>
    <row r="647" spans="2:5" ht="15" customHeight="1">
      <c r="B647" s="110"/>
      <c r="C647" s="76" t="s">
        <v>104</v>
      </c>
      <c r="D647" s="77">
        <v>2</v>
      </c>
      <c r="E647" s="78">
        <v>2.6322716504299998E-4</v>
      </c>
    </row>
    <row r="648" spans="2:5" ht="15" customHeight="1">
      <c r="B648" s="110"/>
      <c r="C648" s="76" t="s">
        <v>106</v>
      </c>
      <c r="D648" s="77">
        <v>8</v>
      </c>
      <c r="E648" s="78">
        <v>1.0529086601740001E-3</v>
      </c>
    </row>
    <row r="649" spans="2:5" ht="15" customHeight="1">
      <c r="B649" s="110"/>
      <c r="C649" s="76" t="s">
        <v>107</v>
      </c>
      <c r="D649" s="77">
        <v>14</v>
      </c>
      <c r="E649" s="78">
        <v>1.842590155304E-3</v>
      </c>
    </row>
    <row r="650" spans="2:5" ht="15" customHeight="1">
      <c r="B650" s="110"/>
      <c r="C650" s="76" t="s">
        <v>108</v>
      </c>
      <c r="D650" s="77">
        <v>5</v>
      </c>
      <c r="E650" s="78">
        <v>6.5806791260900001E-4</v>
      </c>
    </row>
    <row r="651" spans="2:5" ht="15" customHeight="1">
      <c r="B651" s="110"/>
      <c r="C651" s="76" t="s">
        <v>109</v>
      </c>
      <c r="D651" s="77">
        <v>5</v>
      </c>
      <c r="E651" s="78">
        <v>6.5806791260900001E-4</v>
      </c>
    </row>
    <row r="652" spans="2:5" ht="15" customHeight="1">
      <c r="B652" s="110"/>
      <c r="C652" s="76" t="s">
        <v>110</v>
      </c>
      <c r="D652" s="77">
        <v>26</v>
      </c>
      <c r="E652" s="78">
        <v>3.4219531455649999E-3</v>
      </c>
    </row>
    <row r="653" spans="2:5" ht="15" customHeight="1">
      <c r="B653" s="110"/>
      <c r="C653" s="76" t="s">
        <v>112</v>
      </c>
      <c r="D653" s="77">
        <v>2</v>
      </c>
      <c r="E653" s="78">
        <v>2.6322716504299998E-4</v>
      </c>
    </row>
    <row r="654" spans="2:5" ht="15" customHeight="1">
      <c r="B654" s="110"/>
      <c r="C654" s="76" t="s">
        <v>115</v>
      </c>
      <c r="D654" s="77">
        <v>3</v>
      </c>
      <c r="E654" s="78">
        <v>3.9484074756500001E-4</v>
      </c>
    </row>
    <row r="655" spans="2:5" ht="15" customHeight="1">
      <c r="B655" s="110"/>
      <c r="C655" s="76" t="s">
        <v>116</v>
      </c>
      <c r="D655" s="77">
        <v>18</v>
      </c>
      <c r="E655" s="78">
        <v>2.3690444853909998E-3</v>
      </c>
    </row>
    <row r="656" spans="2:5" ht="15" customHeight="1">
      <c r="B656" s="110"/>
      <c r="C656" s="76" t="s">
        <v>118</v>
      </c>
      <c r="D656" s="77">
        <v>3</v>
      </c>
      <c r="E656" s="78">
        <v>3.9484074756500001E-4</v>
      </c>
    </row>
    <row r="657" spans="1:5" ht="15" customHeight="1">
      <c r="B657" s="111"/>
      <c r="C657" s="95" t="s">
        <v>258</v>
      </c>
      <c r="D657" s="90">
        <v>94</v>
      </c>
      <c r="E657" s="92">
        <v>1.2371676757040999E-2</v>
      </c>
    </row>
    <row r="658" spans="1:5" ht="15" customHeight="1">
      <c r="B658" s="106" t="s">
        <v>260</v>
      </c>
      <c r="C658" s="107"/>
      <c r="D658" s="80">
        <v>7598</v>
      </c>
      <c r="E658" s="81">
        <v>1</v>
      </c>
    </row>
    <row r="659" spans="1:5" ht="15" customHeight="1">
      <c r="B659" s="66"/>
      <c r="C659" s="66"/>
      <c r="D659" s="66"/>
      <c r="E659" s="66"/>
    </row>
    <row r="660" spans="1:5" ht="15" customHeight="1">
      <c r="A660" s="13"/>
      <c r="B660" s="48" t="s">
        <v>130</v>
      </c>
      <c r="C660" s="49"/>
      <c r="D660" s="66"/>
      <c r="E660" s="66"/>
    </row>
    <row r="661" spans="1:5" ht="15" customHeight="1">
      <c r="A661" s="13"/>
      <c r="B661" s="50" t="s">
        <v>17</v>
      </c>
      <c r="C661" s="67"/>
      <c r="D661" s="66"/>
      <c r="E661" s="66"/>
    </row>
    <row r="662" spans="1:5" ht="15" customHeight="1">
      <c r="A662" s="13"/>
      <c r="B662" s="51" t="s">
        <v>45</v>
      </c>
      <c r="C662" s="68"/>
      <c r="D662" s="66"/>
      <c r="E662" s="66"/>
    </row>
    <row r="663" spans="1:5" ht="15" customHeight="1">
      <c r="A663" s="13"/>
      <c r="B663" s="48" t="s">
        <v>16</v>
      </c>
      <c r="C663" s="49"/>
      <c r="D663" s="66"/>
      <c r="E663" s="66"/>
    </row>
    <row r="664" spans="1:5" ht="15" customHeight="1">
      <c r="A664" s="13"/>
      <c r="B664" s="48" t="s">
        <v>259</v>
      </c>
      <c r="C664" s="49"/>
      <c r="D664" s="66"/>
      <c r="E664" s="66"/>
    </row>
    <row r="665" spans="1:5" ht="15" customHeight="1">
      <c r="B665" s="66"/>
      <c r="C665" s="66"/>
      <c r="D665" s="66"/>
      <c r="E665" s="66"/>
    </row>
  </sheetData>
  <mergeCells count="53">
    <mergeCell ref="B636:B643"/>
    <mergeCell ref="B644:B657"/>
    <mergeCell ref="B559:B573"/>
    <mergeCell ref="B574:B591"/>
    <mergeCell ref="B592:B612"/>
    <mergeCell ref="B613:B623"/>
    <mergeCell ref="B624:B635"/>
    <mergeCell ref="B477:B489"/>
    <mergeCell ref="B490:B504"/>
    <mergeCell ref="B505:B511"/>
    <mergeCell ref="B512:B535"/>
    <mergeCell ref="B536:B558"/>
    <mergeCell ref="B409:B429"/>
    <mergeCell ref="B430:B443"/>
    <mergeCell ref="B444:B448"/>
    <mergeCell ref="B449:B460"/>
    <mergeCell ref="B461:B476"/>
    <mergeCell ref="B335:B345"/>
    <mergeCell ref="B346:B361"/>
    <mergeCell ref="B362:B373"/>
    <mergeCell ref="B374:B387"/>
    <mergeCell ref="B388:B408"/>
    <mergeCell ref="B292:B303"/>
    <mergeCell ref="B304:B318"/>
    <mergeCell ref="B319:B327"/>
    <mergeCell ref="B328:B329"/>
    <mergeCell ref="B330:B334"/>
    <mergeCell ref="B223:B229"/>
    <mergeCell ref="B230:B248"/>
    <mergeCell ref="B249:B258"/>
    <mergeCell ref="B259:B281"/>
    <mergeCell ref="B282:B291"/>
    <mergeCell ref="B156:B162"/>
    <mergeCell ref="B163:B185"/>
    <mergeCell ref="B186:B201"/>
    <mergeCell ref="B202:B210"/>
    <mergeCell ref="B211:B222"/>
    <mergeCell ref="B658:C658"/>
    <mergeCell ref="B7:E8"/>
    <mergeCell ref="B10:B17"/>
    <mergeCell ref="B18:B30"/>
    <mergeCell ref="B31:B41"/>
    <mergeCell ref="B42:B55"/>
    <mergeCell ref="B56:B59"/>
    <mergeCell ref="B60:B62"/>
    <mergeCell ref="B63:B80"/>
    <mergeCell ref="B81:B99"/>
    <mergeCell ref="B100:B117"/>
    <mergeCell ref="B118:B130"/>
    <mergeCell ref="B131:B139"/>
    <mergeCell ref="B140:B143"/>
    <mergeCell ref="B144:B145"/>
    <mergeCell ref="B146:B15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F21"/>
  <sheetViews>
    <sheetView showGridLines="0" view="pageBreakPreview" zoomScale="130" zoomScaleNormal="100" zoomScaleSheetLayoutView="130" workbookViewId="0">
      <selection activeCell="E9" sqref="E9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6" s="15" customFormat="1" ht="15" customHeight="1">
      <c r="C1" s="18"/>
    </row>
    <row r="2" spans="2:6" s="15" customFormat="1" ht="15" customHeight="1">
      <c r="C2" s="18"/>
    </row>
    <row r="3" spans="2:6" s="15" customFormat="1" ht="15" customHeight="1">
      <c r="C3" s="18"/>
    </row>
    <row r="4" spans="2:6" s="15" customFormat="1" ht="30" customHeight="1">
      <c r="C4" s="18"/>
      <c r="D4" s="17"/>
    </row>
    <row r="5" spans="2:6" s="15" customFormat="1" ht="15" customHeight="1">
      <c r="C5" s="18"/>
      <c r="D5" s="17"/>
    </row>
    <row r="6" spans="2:6" s="15" customFormat="1" ht="15" customHeight="1">
      <c r="C6" s="18"/>
      <c r="D6" s="17"/>
    </row>
    <row r="7" spans="2:6" s="15" customFormat="1" ht="15" customHeight="1">
      <c r="B7" s="105" t="s">
        <v>35</v>
      </c>
      <c r="C7" s="105"/>
      <c r="D7" s="105"/>
    </row>
    <row r="8" spans="2:6" s="15" customFormat="1" ht="15" customHeight="1">
      <c r="B8" s="105"/>
      <c r="C8" s="105"/>
      <c r="D8" s="105"/>
    </row>
    <row r="9" spans="2:6" s="15" customFormat="1" ht="33" customHeight="1">
      <c r="B9" s="105"/>
      <c r="C9" s="105"/>
      <c r="D9" s="105"/>
    </row>
    <row r="10" spans="2:6" s="15" customFormat="1" ht="4.5" customHeight="1">
      <c r="B10" s="16"/>
      <c r="C10" s="16"/>
      <c r="D10" s="16"/>
    </row>
    <row r="11" spans="2:6" s="15" customFormat="1" ht="33" customHeight="1">
      <c r="B11" s="40" t="s">
        <v>28</v>
      </c>
      <c r="C11" s="41" t="s">
        <v>19</v>
      </c>
      <c r="D11" s="42" t="s">
        <v>18</v>
      </c>
      <c r="E11" s="43"/>
      <c r="F11" s="43"/>
    </row>
    <row r="12" spans="2:6" ht="15" customHeight="1">
      <c r="B12" s="76" t="s">
        <v>204</v>
      </c>
      <c r="C12" s="77">
        <v>3918</v>
      </c>
      <c r="D12" s="78">
        <v>0.51566201632008402</v>
      </c>
      <c r="E12" s="44"/>
      <c r="F12" s="44"/>
    </row>
    <row r="13" spans="2:6" ht="15" customHeight="1">
      <c r="B13" s="76" t="s">
        <v>205</v>
      </c>
      <c r="C13" s="77">
        <v>3678</v>
      </c>
      <c r="D13" s="78">
        <v>0.48407475651487197</v>
      </c>
      <c r="E13" s="44"/>
      <c r="F13" s="44"/>
    </row>
    <row r="14" spans="2:6" ht="15" customHeight="1">
      <c r="B14" s="76" t="s">
        <v>206</v>
      </c>
      <c r="C14" s="77">
        <v>2</v>
      </c>
      <c r="D14" s="78">
        <v>2.6322716504299998E-4</v>
      </c>
      <c r="E14" s="44"/>
      <c r="F14" s="44"/>
    </row>
    <row r="15" spans="2:6" ht="15" customHeight="1">
      <c r="B15" s="79" t="s">
        <v>261</v>
      </c>
      <c r="C15" s="80">
        <v>7598</v>
      </c>
      <c r="D15" s="81">
        <v>1</v>
      </c>
      <c r="E15" s="44"/>
      <c r="F15" s="44"/>
    </row>
    <row r="16" spans="2:6" ht="16.5">
      <c r="B16" s="44"/>
      <c r="C16" s="49"/>
      <c r="D16" s="49"/>
      <c r="E16" s="44"/>
      <c r="F16" s="44"/>
    </row>
    <row r="17" spans="2:6" ht="16.5">
      <c r="B17" s="48" t="s">
        <v>130</v>
      </c>
      <c r="C17" s="49"/>
      <c r="D17" s="49"/>
      <c r="E17" s="44"/>
      <c r="F17" s="44"/>
    </row>
    <row r="18" spans="2:6" ht="16.5">
      <c r="B18" s="50" t="s">
        <v>17</v>
      </c>
      <c r="C18" s="67"/>
      <c r="D18" s="67"/>
      <c r="E18" s="44"/>
      <c r="F18" s="44"/>
    </row>
    <row r="19" spans="2:6" ht="16.5">
      <c r="B19" s="51" t="s">
        <v>45</v>
      </c>
      <c r="C19" s="68"/>
      <c r="D19" s="68"/>
      <c r="E19" s="44"/>
      <c r="F19" s="44"/>
    </row>
    <row r="20" spans="2:6" ht="16.5">
      <c r="B20" s="48" t="s">
        <v>16</v>
      </c>
      <c r="C20" s="49"/>
      <c r="D20" s="44"/>
      <c r="E20" s="44"/>
      <c r="F20" s="44"/>
    </row>
    <row r="21" spans="2:6" ht="16.5">
      <c r="B21" s="48" t="s">
        <v>259</v>
      </c>
      <c r="C21" s="49"/>
      <c r="D21" s="44"/>
      <c r="E21" s="44"/>
      <c r="F21" s="4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B1:G172"/>
  <sheetViews>
    <sheetView showGridLines="0" view="pageBreakPreview" zoomScaleNormal="115" zoomScaleSheetLayoutView="100" workbookViewId="0"/>
  </sheetViews>
  <sheetFormatPr baseColWidth="10" defaultColWidth="11.453125" defaultRowHeight="10"/>
  <cols>
    <col min="1" max="1" width="5.7265625" style="15" customWidth="1"/>
    <col min="2" max="2" width="19" style="22" customWidth="1"/>
    <col min="3" max="3" width="22.81640625" style="22" customWidth="1"/>
    <col min="4" max="4" width="17.1796875" style="25" customWidth="1"/>
    <col min="5" max="5" width="15.1796875" style="22" bestFit="1" customWidth="1"/>
    <col min="6" max="6" width="5.7265625" style="15" customWidth="1"/>
    <col min="7" max="7" width="6.54296875" style="15" customWidth="1"/>
    <col min="8" max="16384" width="11.453125" style="15"/>
  </cols>
  <sheetData>
    <row r="1" spans="2:7" s="13" customFormat="1" ht="14.5">
      <c r="B1" s="22"/>
      <c r="C1" s="22"/>
    </row>
    <row r="2" spans="2:7" s="22" customFormat="1">
      <c r="B2" s="29"/>
    </row>
    <row r="3" spans="2:7" ht="15" customHeight="1">
      <c r="B3" s="30"/>
      <c r="C3" s="18"/>
      <c r="D3" s="15"/>
      <c r="F3" s="22"/>
    </row>
    <row r="4" spans="2:7" ht="30" customHeight="1">
      <c r="B4" s="30"/>
      <c r="C4" s="18"/>
      <c r="D4" s="15"/>
      <c r="F4" s="22"/>
    </row>
    <row r="5" spans="2:7" ht="15" customHeight="1">
      <c r="B5" s="30"/>
      <c r="C5" s="18"/>
      <c r="D5" s="15"/>
      <c r="F5" s="22"/>
    </row>
    <row r="6" spans="2:7" s="22" customFormat="1" ht="10.5">
      <c r="B6" s="24"/>
      <c r="C6" s="21"/>
    </row>
    <row r="7" spans="2:7" s="22" customFormat="1">
      <c r="B7" s="29"/>
    </row>
    <row r="8" spans="2:7" s="13" customFormat="1" ht="15" customHeight="1">
      <c r="B8" s="105" t="s">
        <v>39</v>
      </c>
      <c r="C8" s="105"/>
      <c r="D8" s="105"/>
      <c r="E8" s="105"/>
    </row>
    <row r="9" spans="2:7" s="13" customFormat="1" ht="15" customHeight="1">
      <c r="B9" s="105"/>
      <c r="C9" s="105"/>
      <c r="D9" s="105"/>
      <c r="E9" s="105"/>
      <c r="F9" s="28"/>
    </row>
    <row r="10" spans="2:7" s="13" customFormat="1" ht="15" customHeight="1">
      <c r="B10" s="105"/>
      <c r="C10" s="105"/>
      <c r="D10" s="105"/>
      <c r="E10" s="105"/>
    </row>
    <row r="11" spans="2:7" s="13" customFormat="1" ht="15" customHeight="1">
      <c r="B11" s="31"/>
      <c r="C11" s="31"/>
      <c r="D11" s="31"/>
      <c r="E11" s="31"/>
    </row>
    <row r="12" spans="2:7" s="13" customFormat="1" ht="37" customHeight="1">
      <c r="B12" s="69" t="s">
        <v>21</v>
      </c>
      <c r="C12" s="69" t="s">
        <v>28</v>
      </c>
      <c r="D12" s="69" t="s">
        <v>19</v>
      </c>
      <c r="E12" s="69" t="s">
        <v>18</v>
      </c>
      <c r="F12" s="44"/>
      <c r="G12" s="44"/>
    </row>
    <row r="13" spans="2:7" ht="15" customHeight="1">
      <c r="B13" s="109" t="s">
        <v>82</v>
      </c>
      <c r="C13" s="70" t="s">
        <v>204</v>
      </c>
      <c r="D13" s="77">
        <v>8</v>
      </c>
      <c r="E13" s="78">
        <v>1.0529086601740001E-3</v>
      </c>
      <c r="F13" s="43"/>
      <c r="G13" s="43"/>
    </row>
    <row r="14" spans="2:7" ht="15" customHeight="1">
      <c r="B14" s="110"/>
      <c r="C14" s="70" t="s">
        <v>205</v>
      </c>
      <c r="D14" s="77">
        <v>7</v>
      </c>
      <c r="E14" s="78">
        <v>9.2129507765199999E-4</v>
      </c>
      <c r="F14" s="43"/>
      <c r="G14" s="43"/>
    </row>
    <row r="15" spans="2:7" ht="15" customHeight="1">
      <c r="B15" s="111"/>
      <c r="C15" s="91" t="s">
        <v>258</v>
      </c>
      <c r="D15" s="90">
        <v>15</v>
      </c>
      <c r="E15" s="92">
        <v>1.9742037378259998E-3</v>
      </c>
      <c r="F15" s="43"/>
      <c r="G15" s="43"/>
    </row>
    <row r="16" spans="2:7" ht="15" customHeight="1">
      <c r="B16" s="109" t="s">
        <v>63</v>
      </c>
      <c r="C16" s="70" t="s">
        <v>204</v>
      </c>
      <c r="D16" s="77">
        <v>29</v>
      </c>
      <c r="E16" s="78">
        <v>3.8167938931299998E-3</v>
      </c>
      <c r="F16" s="43"/>
      <c r="G16" s="43"/>
    </row>
    <row r="17" spans="2:7" ht="15" customHeight="1">
      <c r="B17" s="110"/>
      <c r="C17" s="70" t="s">
        <v>205</v>
      </c>
      <c r="D17" s="77">
        <v>40</v>
      </c>
      <c r="E17" s="78">
        <v>5.2645433008689999E-3</v>
      </c>
      <c r="F17" s="43"/>
      <c r="G17" s="43"/>
    </row>
    <row r="18" spans="2:7" ht="15" customHeight="1">
      <c r="B18" s="111"/>
      <c r="C18" s="91" t="s">
        <v>258</v>
      </c>
      <c r="D18" s="90">
        <v>69</v>
      </c>
      <c r="E18" s="92">
        <v>9.081337193998E-3</v>
      </c>
      <c r="F18" s="43"/>
      <c r="G18" s="43"/>
    </row>
    <row r="19" spans="2:7" ht="15" customHeight="1">
      <c r="B19" s="109" t="s">
        <v>83</v>
      </c>
      <c r="C19" s="70" t="s">
        <v>204</v>
      </c>
      <c r="D19" s="77">
        <v>16</v>
      </c>
      <c r="E19" s="78">
        <v>2.1058173203470001E-3</v>
      </c>
      <c r="F19" s="43"/>
      <c r="G19" s="43"/>
    </row>
    <row r="20" spans="2:7" ht="15" customHeight="1">
      <c r="B20" s="110"/>
      <c r="C20" s="70" t="s">
        <v>205</v>
      </c>
      <c r="D20" s="77">
        <v>12</v>
      </c>
      <c r="E20" s="78">
        <v>1.5793629902610001E-3</v>
      </c>
      <c r="F20" s="43"/>
      <c r="G20" s="43"/>
    </row>
    <row r="21" spans="2:7" ht="15" customHeight="1">
      <c r="B21" s="111"/>
      <c r="C21" s="91" t="s">
        <v>258</v>
      </c>
      <c r="D21" s="90">
        <v>28</v>
      </c>
      <c r="E21" s="92">
        <v>3.685180310608E-3</v>
      </c>
      <c r="F21" s="43"/>
      <c r="G21" s="43"/>
    </row>
    <row r="22" spans="2:7" ht="15" customHeight="1">
      <c r="B22" s="109" t="s">
        <v>70</v>
      </c>
      <c r="C22" s="70" t="s">
        <v>204</v>
      </c>
      <c r="D22" s="77">
        <v>28</v>
      </c>
      <c r="E22" s="78">
        <v>3.685180310608E-3</v>
      </c>
      <c r="F22" s="43"/>
      <c r="G22" s="43"/>
    </row>
    <row r="23" spans="2:7" ht="15" customHeight="1">
      <c r="B23" s="110"/>
      <c r="C23" s="70" t="s">
        <v>205</v>
      </c>
      <c r="D23" s="77">
        <v>36</v>
      </c>
      <c r="E23" s="78">
        <v>4.7380889707819996E-3</v>
      </c>
      <c r="F23" s="43"/>
      <c r="G23" s="43"/>
    </row>
    <row r="24" spans="2:7" ht="15" customHeight="1">
      <c r="B24" s="111"/>
      <c r="C24" s="91" t="s">
        <v>258</v>
      </c>
      <c r="D24" s="90">
        <v>64</v>
      </c>
      <c r="E24" s="92">
        <v>8.4232692813900004E-3</v>
      </c>
      <c r="F24" s="43"/>
      <c r="G24" s="43"/>
    </row>
    <row r="25" spans="2:7" ht="15" customHeight="1">
      <c r="B25" s="109" t="s">
        <v>92</v>
      </c>
      <c r="C25" s="70" t="s">
        <v>204</v>
      </c>
      <c r="D25" s="77">
        <v>3</v>
      </c>
      <c r="E25" s="78">
        <v>3.9484074756500001E-4</v>
      </c>
      <c r="F25" s="43"/>
      <c r="G25" s="43"/>
    </row>
    <row r="26" spans="2:7" ht="15" customHeight="1">
      <c r="B26" s="110"/>
      <c r="C26" s="70" t="s">
        <v>205</v>
      </c>
      <c r="D26" s="77">
        <v>9</v>
      </c>
      <c r="E26" s="78">
        <v>1.1845222426950001E-3</v>
      </c>
      <c r="F26" s="43"/>
      <c r="G26" s="43"/>
    </row>
    <row r="27" spans="2:7" ht="15" customHeight="1">
      <c r="B27" s="111"/>
      <c r="C27" s="91" t="s">
        <v>258</v>
      </c>
      <c r="D27" s="90">
        <v>12</v>
      </c>
      <c r="E27" s="92">
        <v>1.5793629902610001E-3</v>
      </c>
      <c r="F27" s="43"/>
      <c r="G27" s="43"/>
    </row>
    <row r="28" spans="2:7" ht="15" customHeight="1">
      <c r="B28" s="109" t="s">
        <v>89</v>
      </c>
      <c r="C28" s="70" t="s">
        <v>205</v>
      </c>
      <c r="D28" s="77">
        <v>2</v>
      </c>
      <c r="E28" s="78">
        <v>2.6322716504299998E-4</v>
      </c>
      <c r="F28" s="43"/>
      <c r="G28" s="43"/>
    </row>
    <row r="29" spans="2:7" ht="15" customHeight="1">
      <c r="B29" s="111"/>
      <c r="C29" s="91" t="s">
        <v>258</v>
      </c>
      <c r="D29" s="90">
        <v>2</v>
      </c>
      <c r="E29" s="92">
        <v>2.6322716504299998E-4</v>
      </c>
      <c r="F29" s="43"/>
      <c r="G29" s="43"/>
    </row>
    <row r="30" spans="2:7" ht="15" customHeight="1">
      <c r="B30" s="109" t="s">
        <v>52</v>
      </c>
      <c r="C30" s="70" t="s">
        <v>204</v>
      </c>
      <c r="D30" s="77">
        <v>159</v>
      </c>
      <c r="E30" s="78">
        <v>2.0926559620953002E-2</v>
      </c>
      <c r="F30" s="43"/>
      <c r="G30" s="43"/>
    </row>
    <row r="31" spans="2:7" ht="15" customHeight="1">
      <c r="B31" s="110"/>
      <c r="C31" s="70" t="s">
        <v>205</v>
      </c>
      <c r="D31" s="77">
        <v>142</v>
      </c>
      <c r="E31" s="78">
        <v>1.8689128718084001E-2</v>
      </c>
      <c r="F31" s="43"/>
      <c r="G31" s="43"/>
    </row>
    <row r="32" spans="2:7" ht="15" customHeight="1">
      <c r="B32" s="111"/>
      <c r="C32" s="91" t="s">
        <v>258</v>
      </c>
      <c r="D32" s="90">
        <v>301</v>
      </c>
      <c r="E32" s="92">
        <v>3.9615688339037003E-2</v>
      </c>
      <c r="F32" s="43"/>
      <c r="G32" s="43"/>
    </row>
    <row r="33" spans="2:7" ht="15" customHeight="1">
      <c r="B33" s="109" t="s">
        <v>53</v>
      </c>
      <c r="C33" s="70" t="s">
        <v>204</v>
      </c>
      <c r="D33" s="77">
        <v>111</v>
      </c>
      <c r="E33" s="78">
        <v>1.4609107659911E-2</v>
      </c>
      <c r="F33" s="43"/>
      <c r="G33" s="43"/>
    </row>
    <row r="34" spans="2:7" ht="15" customHeight="1">
      <c r="B34" s="110"/>
      <c r="C34" s="70" t="s">
        <v>205</v>
      </c>
      <c r="D34" s="77">
        <v>135</v>
      </c>
      <c r="E34" s="78">
        <v>1.7767833640431999E-2</v>
      </c>
      <c r="F34" s="43"/>
      <c r="G34" s="43"/>
    </row>
    <row r="35" spans="2:7" ht="15" customHeight="1">
      <c r="B35" s="111"/>
      <c r="C35" s="91" t="s">
        <v>258</v>
      </c>
      <c r="D35" s="90">
        <v>246</v>
      </c>
      <c r="E35" s="92">
        <v>3.2376941300342001E-2</v>
      </c>
      <c r="F35" s="43"/>
      <c r="G35" s="43"/>
    </row>
    <row r="36" spans="2:7" ht="15" customHeight="1">
      <c r="B36" s="109" t="s">
        <v>58</v>
      </c>
      <c r="C36" s="70" t="s">
        <v>204</v>
      </c>
      <c r="D36" s="77">
        <v>71</v>
      </c>
      <c r="E36" s="78">
        <v>9.3445643590420006E-3</v>
      </c>
      <c r="F36" s="43"/>
      <c r="G36" s="43"/>
    </row>
    <row r="37" spans="2:7" ht="15" customHeight="1">
      <c r="B37" s="110"/>
      <c r="C37" s="70" t="s">
        <v>205</v>
      </c>
      <c r="D37" s="77">
        <v>87</v>
      </c>
      <c r="E37" s="78">
        <v>1.1450381679389001E-2</v>
      </c>
      <c r="F37" s="43"/>
      <c r="G37" s="43"/>
    </row>
    <row r="38" spans="2:7" ht="15" customHeight="1">
      <c r="B38" s="111"/>
      <c r="C38" s="91" t="s">
        <v>258</v>
      </c>
      <c r="D38" s="90">
        <v>158</v>
      </c>
      <c r="E38" s="92">
        <v>2.0794946038431E-2</v>
      </c>
      <c r="F38" s="43"/>
      <c r="G38" s="43"/>
    </row>
    <row r="39" spans="2:7" ht="15" customHeight="1">
      <c r="B39" s="109" t="s">
        <v>66</v>
      </c>
      <c r="C39" s="70" t="s">
        <v>204</v>
      </c>
      <c r="D39" s="77">
        <v>24</v>
      </c>
      <c r="E39" s="78">
        <v>3.1587259805210001E-3</v>
      </c>
      <c r="F39" s="43"/>
      <c r="G39" s="43"/>
    </row>
    <row r="40" spans="2:7" ht="15" customHeight="1">
      <c r="B40" s="110"/>
      <c r="C40" s="70" t="s">
        <v>205</v>
      </c>
      <c r="D40" s="77">
        <v>26</v>
      </c>
      <c r="E40" s="78">
        <v>3.4219531455649999E-3</v>
      </c>
      <c r="F40" s="43"/>
      <c r="G40" s="43"/>
    </row>
    <row r="41" spans="2:7" ht="15" customHeight="1">
      <c r="B41" s="111"/>
      <c r="C41" s="91" t="s">
        <v>258</v>
      </c>
      <c r="D41" s="90">
        <v>50</v>
      </c>
      <c r="E41" s="92">
        <v>6.580679126086E-3</v>
      </c>
      <c r="F41" s="43"/>
      <c r="G41" s="43"/>
    </row>
    <row r="42" spans="2:7" ht="15" customHeight="1">
      <c r="B42" s="109" t="s">
        <v>84</v>
      </c>
      <c r="C42" s="70" t="s">
        <v>204</v>
      </c>
      <c r="D42" s="77">
        <v>23</v>
      </c>
      <c r="E42" s="78">
        <v>3.0271123979989998E-3</v>
      </c>
      <c r="F42" s="43"/>
      <c r="G42" s="43"/>
    </row>
    <row r="43" spans="2:7" ht="15" customHeight="1">
      <c r="B43" s="110"/>
      <c r="C43" s="70" t="s">
        <v>205</v>
      </c>
      <c r="D43" s="77">
        <v>21</v>
      </c>
      <c r="E43" s="78">
        <v>2.7638852329560002E-3</v>
      </c>
      <c r="F43" s="43"/>
      <c r="G43" s="43"/>
    </row>
    <row r="44" spans="2:7" ht="15" customHeight="1">
      <c r="B44" s="111"/>
      <c r="C44" s="91" t="s">
        <v>258</v>
      </c>
      <c r="D44" s="90">
        <v>44</v>
      </c>
      <c r="E44" s="92">
        <v>5.7909976309560001E-3</v>
      </c>
      <c r="F44" s="43"/>
      <c r="G44" s="43"/>
    </row>
    <row r="45" spans="2:7" ht="15" customHeight="1">
      <c r="B45" s="109" t="s">
        <v>129</v>
      </c>
      <c r="C45" s="70" t="s">
        <v>204</v>
      </c>
      <c r="D45" s="77">
        <v>2</v>
      </c>
      <c r="E45" s="78">
        <v>2.6322716504299998E-4</v>
      </c>
      <c r="F45" s="43"/>
      <c r="G45" s="43"/>
    </row>
    <row r="46" spans="2:7" ht="15" customHeight="1">
      <c r="B46" s="110"/>
      <c r="C46" s="70" t="s">
        <v>205</v>
      </c>
      <c r="D46" s="77">
        <v>1</v>
      </c>
      <c r="E46" s="78">
        <v>1.31613582522E-4</v>
      </c>
      <c r="F46" s="43"/>
      <c r="G46" s="43"/>
    </row>
    <row r="47" spans="2:7" ht="15" customHeight="1">
      <c r="B47" s="111"/>
      <c r="C47" s="91" t="s">
        <v>258</v>
      </c>
      <c r="D47" s="90">
        <v>3</v>
      </c>
      <c r="E47" s="92">
        <v>3.9484074756500001E-4</v>
      </c>
      <c r="F47" s="43"/>
      <c r="G47" s="43"/>
    </row>
    <row r="48" spans="2:7" ht="15" customHeight="1">
      <c r="B48" s="109" t="s">
        <v>93</v>
      </c>
      <c r="C48" s="70" t="s">
        <v>204</v>
      </c>
      <c r="D48" s="77">
        <v>1</v>
      </c>
      <c r="E48" s="78">
        <v>1.31613582522E-4</v>
      </c>
      <c r="F48" s="43"/>
      <c r="G48" s="43"/>
    </row>
    <row r="49" spans="2:7" ht="15" customHeight="1">
      <c r="B49" s="111"/>
      <c r="C49" s="91" t="s">
        <v>258</v>
      </c>
      <c r="D49" s="90">
        <v>1</v>
      </c>
      <c r="E49" s="92">
        <v>1.31613582522E-4</v>
      </c>
      <c r="F49" s="43"/>
      <c r="G49" s="43"/>
    </row>
    <row r="50" spans="2:7" ht="15" customHeight="1">
      <c r="B50" s="109" t="s">
        <v>77</v>
      </c>
      <c r="C50" s="70" t="s">
        <v>204</v>
      </c>
      <c r="D50" s="77">
        <v>11</v>
      </c>
      <c r="E50" s="78">
        <v>1.447749407739E-3</v>
      </c>
      <c r="F50" s="43"/>
      <c r="G50" s="43"/>
    </row>
    <row r="51" spans="2:7" ht="15" customHeight="1">
      <c r="B51" s="110"/>
      <c r="C51" s="70" t="s">
        <v>205</v>
      </c>
      <c r="D51" s="77">
        <v>10</v>
      </c>
      <c r="E51" s="78">
        <v>1.3161358252169999E-3</v>
      </c>
      <c r="F51" s="43"/>
      <c r="G51" s="43"/>
    </row>
    <row r="52" spans="2:7" ht="15" customHeight="1">
      <c r="B52" s="111"/>
      <c r="C52" s="91" t="s">
        <v>258</v>
      </c>
      <c r="D52" s="90">
        <v>21</v>
      </c>
      <c r="E52" s="92">
        <v>2.7638852329560002E-3</v>
      </c>
      <c r="F52" s="43"/>
      <c r="G52" s="43"/>
    </row>
    <row r="53" spans="2:7" ht="15" customHeight="1">
      <c r="B53" s="109" t="s">
        <v>79</v>
      </c>
      <c r="C53" s="70" t="s">
        <v>204</v>
      </c>
      <c r="D53" s="77">
        <v>8</v>
      </c>
      <c r="E53" s="78">
        <v>1.0529086601740001E-3</v>
      </c>
      <c r="F53" s="43"/>
      <c r="G53" s="43"/>
    </row>
    <row r="54" spans="2:7" ht="15" customHeight="1">
      <c r="B54" s="110"/>
      <c r="C54" s="70" t="s">
        <v>205</v>
      </c>
      <c r="D54" s="77">
        <v>15</v>
      </c>
      <c r="E54" s="78">
        <v>1.9742037378259998E-3</v>
      </c>
      <c r="F54" s="43"/>
      <c r="G54" s="43"/>
    </row>
    <row r="55" spans="2:7" ht="15" customHeight="1">
      <c r="B55" s="111"/>
      <c r="C55" s="91" t="s">
        <v>258</v>
      </c>
      <c r="D55" s="90">
        <v>23</v>
      </c>
      <c r="E55" s="92">
        <v>3.0271123979989998E-3</v>
      </c>
      <c r="F55" s="43"/>
      <c r="G55" s="43"/>
    </row>
    <row r="56" spans="2:7" ht="15" customHeight="1">
      <c r="B56" s="109" t="s">
        <v>49</v>
      </c>
      <c r="C56" s="70" t="s">
        <v>204</v>
      </c>
      <c r="D56" s="77">
        <v>267</v>
      </c>
      <c r="E56" s="78">
        <v>3.5140826533298003E-2</v>
      </c>
      <c r="F56" s="43"/>
      <c r="G56" s="43"/>
    </row>
    <row r="57" spans="2:7" ht="15" customHeight="1">
      <c r="B57" s="110"/>
      <c r="C57" s="70" t="s">
        <v>205</v>
      </c>
      <c r="D57" s="77">
        <v>253</v>
      </c>
      <c r="E57" s="78">
        <v>3.3298236377993999E-2</v>
      </c>
      <c r="F57" s="43"/>
      <c r="G57" s="43"/>
    </row>
    <row r="58" spans="2:7" ht="15" customHeight="1">
      <c r="B58" s="111"/>
      <c r="C58" s="91" t="s">
        <v>258</v>
      </c>
      <c r="D58" s="90">
        <v>520</v>
      </c>
      <c r="E58" s="92">
        <v>6.8439062911291995E-2</v>
      </c>
      <c r="F58" s="43"/>
      <c r="G58" s="43"/>
    </row>
    <row r="59" spans="2:7" ht="15" customHeight="1">
      <c r="B59" s="109" t="s">
        <v>59</v>
      </c>
      <c r="C59" s="70" t="s">
        <v>204</v>
      </c>
      <c r="D59" s="77">
        <v>52</v>
      </c>
      <c r="E59" s="78">
        <v>6.8439062911289997E-3</v>
      </c>
      <c r="F59" s="43"/>
      <c r="G59" s="43"/>
    </row>
    <row r="60" spans="2:7" ht="15" customHeight="1">
      <c r="B60" s="110"/>
      <c r="C60" s="70" t="s">
        <v>205</v>
      </c>
      <c r="D60" s="77">
        <v>62</v>
      </c>
      <c r="E60" s="78">
        <v>8.1600421163459998E-3</v>
      </c>
      <c r="F60" s="43"/>
      <c r="G60" s="43"/>
    </row>
    <row r="61" spans="2:7" ht="15" customHeight="1">
      <c r="B61" s="111"/>
      <c r="C61" s="91" t="s">
        <v>258</v>
      </c>
      <c r="D61" s="90">
        <v>114</v>
      </c>
      <c r="E61" s="92">
        <v>1.5003948407476E-2</v>
      </c>
      <c r="F61" s="43"/>
      <c r="G61" s="43"/>
    </row>
    <row r="62" spans="2:7" ht="15" customHeight="1">
      <c r="B62" s="109" t="s">
        <v>75</v>
      </c>
      <c r="C62" s="70" t="s">
        <v>204</v>
      </c>
      <c r="D62" s="77">
        <v>13</v>
      </c>
      <c r="E62" s="78">
        <v>1.7109765727819999E-3</v>
      </c>
      <c r="F62" s="43"/>
      <c r="G62" s="43"/>
    </row>
    <row r="63" spans="2:7" ht="15" customHeight="1">
      <c r="B63" s="110"/>
      <c r="C63" s="70" t="s">
        <v>205</v>
      </c>
      <c r="D63" s="77">
        <v>25</v>
      </c>
      <c r="E63" s="78">
        <v>3.290339563043E-3</v>
      </c>
      <c r="F63" s="43"/>
      <c r="G63" s="43"/>
    </row>
    <row r="64" spans="2:7" ht="15" customHeight="1">
      <c r="B64" s="111"/>
      <c r="C64" s="91" t="s">
        <v>258</v>
      </c>
      <c r="D64" s="90">
        <v>38</v>
      </c>
      <c r="E64" s="92">
        <v>5.0013161358250001E-3</v>
      </c>
      <c r="F64" s="43"/>
      <c r="G64" s="43"/>
    </row>
    <row r="65" spans="2:7" ht="15" customHeight="1">
      <c r="B65" s="109" t="s">
        <v>65</v>
      </c>
      <c r="C65" s="70" t="s">
        <v>204</v>
      </c>
      <c r="D65" s="77">
        <v>28</v>
      </c>
      <c r="E65" s="78">
        <v>3.685180310608E-3</v>
      </c>
      <c r="F65" s="43"/>
      <c r="G65" s="43"/>
    </row>
    <row r="66" spans="2:7" ht="15" customHeight="1">
      <c r="B66" s="110"/>
      <c r="C66" s="70" t="s">
        <v>205</v>
      </c>
      <c r="D66" s="77">
        <v>32</v>
      </c>
      <c r="E66" s="78">
        <v>4.2116346406950002E-3</v>
      </c>
      <c r="F66" s="43"/>
      <c r="G66" s="43"/>
    </row>
    <row r="67" spans="2:7" ht="15" customHeight="1">
      <c r="B67" s="111"/>
      <c r="C67" s="91" t="s">
        <v>258</v>
      </c>
      <c r="D67" s="90">
        <v>60</v>
      </c>
      <c r="E67" s="92">
        <v>7.8968149513030002E-3</v>
      </c>
      <c r="F67" s="43"/>
      <c r="G67" s="43"/>
    </row>
    <row r="68" spans="2:7" ht="15" customHeight="1">
      <c r="B68" s="109" t="s">
        <v>94</v>
      </c>
      <c r="C68" s="70" t="s">
        <v>204</v>
      </c>
      <c r="D68" s="77">
        <v>6</v>
      </c>
      <c r="E68" s="78">
        <v>7.8968149513000002E-4</v>
      </c>
      <c r="F68" s="43"/>
      <c r="G68" s="43"/>
    </row>
    <row r="69" spans="2:7" ht="15" customHeight="1">
      <c r="B69" s="110"/>
      <c r="C69" s="70" t="s">
        <v>205</v>
      </c>
      <c r="D69" s="77">
        <v>5</v>
      </c>
      <c r="E69" s="78">
        <v>6.5806791260900001E-4</v>
      </c>
      <c r="F69" s="43"/>
      <c r="G69" s="43"/>
    </row>
    <row r="70" spans="2:7" ht="15" customHeight="1">
      <c r="B70" s="111"/>
      <c r="C70" s="91" t="s">
        <v>258</v>
      </c>
      <c r="D70" s="90">
        <v>11</v>
      </c>
      <c r="E70" s="92">
        <v>1.447749407739E-3</v>
      </c>
      <c r="F70" s="43"/>
      <c r="G70" s="43"/>
    </row>
    <row r="71" spans="2:7" ht="15" customHeight="1">
      <c r="B71" s="109" t="s">
        <v>50</v>
      </c>
      <c r="C71" s="70" t="s">
        <v>204</v>
      </c>
      <c r="D71" s="77">
        <v>187</v>
      </c>
      <c r="E71" s="78">
        <v>2.4611739931560999E-2</v>
      </c>
      <c r="F71" s="43"/>
      <c r="G71" s="43"/>
    </row>
    <row r="72" spans="2:7" ht="15" customHeight="1">
      <c r="B72" s="110"/>
      <c r="C72" s="70" t="s">
        <v>205</v>
      </c>
      <c r="D72" s="77">
        <v>145</v>
      </c>
      <c r="E72" s="78">
        <v>1.9083969465649001E-2</v>
      </c>
      <c r="F72" s="43"/>
      <c r="G72" s="43"/>
    </row>
    <row r="73" spans="2:7" ht="15" customHeight="1">
      <c r="B73" s="111"/>
      <c r="C73" s="91" t="s">
        <v>258</v>
      </c>
      <c r="D73" s="90">
        <v>332</v>
      </c>
      <c r="E73" s="92">
        <v>4.369570939721E-2</v>
      </c>
      <c r="F73" s="43"/>
      <c r="G73" s="43"/>
    </row>
    <row r="74" spans="2:7" ht="15" customHeight="1">
      <c r="B74" s="109" t="s">
        <v>68</v>
      </c>
      <c r="C74" s="70" t="s">
        <v>204</v>
      </c>
      <c r="D74" s="77">
        <v>48</v>
      </c>
      <c r="E74" s="78">
        <v>6.3174519610420003E-3</v>
      </c>
      <c r="F74" s="43"/>
      <c r="G74" s="43"/>
    </row>
    <row r="75" spans="2:7" ht="15" customHeight="1">
      <c r="B75" s="110"/>
      <c r="C75" s="70" t="s">
        <v>205</v>
      </c>
      <c r="D75" s="77">
        <v>33</v>
      </c>
      <c r="E75" s="78">
        <v>4.3432482232169996E-3</v>
      </c>
      <c r="F75" s="43"/>
      <c r="G75" s="43"/>
    </row>
    <row r="76" spans="2:7" ht="15" customHeight="1">
      <c r="B76" s="111"/>
      <c r="C76" s="91" t="s">
        <v>258</v>
      </c>
      <c r="D76" s="90">
        <v>81</v>
      </c>
      <c r="E76" s="92">
        <v>1.0660700184259001E-2</v>
      </c>
      <c r="F76" s="43"/>
      <c r="G76" s="43"/>
    </row>
    <row r="77" spans="2:7" ht="15" customHeight="1">
      <c r="B77" s="109" t="s">
        <v>46</v>
      </c>
      <c r="C77" s="70" t="s">
        <v>204</v>
      </c>
      <c r="D77" s="77">
        <v>821</v>
      </c>
      <c r="E77" s="78">
        <v>0.108054751250329</v>
      </c>
      <c r="F77" s="43"/>
      <c r="G77" s="43"/>
    </row>
    <row r="78" spans="2:7" ht="15" customHeight="1">
      <c r="B78" s="110"/>
      <c r="C78" s="70" t="s">
        <v>205</v>
      </c>
      <c r="D78" s="77">
        <v>667</v>
      </c>
      <c r="E78" s="78">
        <v>8.7786259541985004E-2</v>
      </c>
      <c r="F78" s="43"/>
      <c r="G78" s="43"/>
    </row>
    <row r="79" spans="2:7" ht="15" customHeight="1">
      <c r="B79" s="111"/>
      <c r="C79" s="91" t="s">
        <v>258</v>
      </c>
      <c r="D79" s="90">
        <v>1488</v>
      </c>
      <c r="E79" s="92">
        <v>0.195841010792314</v>
      </c>
      <c r="F79" s="43"/>
      <c r="G79" s="43"/>
    </row>
    <row r="80" spans="2:7" ht="15" customHeight="1">
      <c r="B80" s="109" t="s">
        <v>85</v>
      </c>
      <c r="C80" s="70" t="s">
        <v>204</v>
      </c>
      <c r="D80" s="77">
        <v>11</v>
      </c>
      <c r="E80" s="78">
        <v>1.447749407739E-3</v>
      </c>
      <c r="F80" s="43"/>
      <c r="G80" s="43"/>
    </row>
    <row r="81" spans="2:7" ht="15" customHeight="1">
      <c r="B81" s="110"/>
      <c r="C81" s="70" t="s">
        <v>205</v>
      </c>
      <c r="D81" s="77">
        <v>8</v>
      </c>
      <c r="E81" s="78">
        <v>1.0529086601740001E-3</v>
      </c>
      <c r="F81" s="43"/>
      <c r="G81" s="43"/>
    </row>
    <row r="82" spans="2:7" ht="15" customHeight="1">
      <c r="B82" s="111"/>
      <c r="C82" s="91" t="s">
        <v>258</v>
      </c>
      <c r="D82" s="90">
        <v>19</v>
      </c>
      <c r="E82" s="92">
        <v>2.5006580679130001E-3</v>
      </c>
      <c r="F82" s="43"/>
      <c r="G82" s="43"/>
    </row>
    <row r="83" spans="2:7" ht="15" customHeight="1">
      <c r="B83" s="109" t="s">
        <v>78</v>
      </c>
      <c r="C83" s="70" t="s">
        <v>204</v>
      </c>
      <c r="D83" s="77">
        <v>15</v>
      </c>
      <c r="E83" s="78">
        <v>1.9742037378259998E-3</v>
      </c>
      <c r="F83" s="43"/>
      <c r="G83" s="43"/>
    </row>
    <row r="84" spans="2:7" ht="15" customHeight="1">
      <c r="B84" s="110"/>
      <c r="C84" s="70" t="s">
        <v>205</v>
      </c>
      <c r="D84" s="77">
        <v>17</v>
      </c>
      <c r="E84" s="78">
        <v>2.2374309028689999E-3</v>
      </c>
      <c r="F84" s="43"/>
      <c r="G84" s="43"/>
    </row>
    <row r="85" spans="2:7" ht="15" customHeight="1">
      <c r="B85" s="111"/>
      <c r="C85" s="91" t="s">
        <v>258</v>
      </c>
      <c r="D85" s="90">
        <v>32</v>
      </c>
      <c r="E85" s="92">
        <v>4.2116346406950002E-3</v>
      </c>
      <c r="F85" s="43"/>
      <c r="G85" s="43"/>
    </row>
    <row r="86" spans="2:7" ht="15" customHeight="1">
      <c r="B86" s="109" t="s">
        <v>74</v>
      </c>
      <c r="C86" s="70" t="s">
        <v>204</v>
      </c>
      <c r="D86" s="77">
        <v>25</v>
      </c>
      <c r="E86" s="78">
        <v>3.290339563043E-3</v>
      </c>
      <c r="F86" s="43"/>
      <c r="G86" s="43"/>
    </row>
    <row r="87" spans="2:7" ht="15" customHeight="1">
      <c r="B87" s="110"/>
      <c r="C87" s="70" t="s">
        <v>205</v>
      </c>
      <c r="D87" s="77">
        <v>22</v>
      </c>
      <c r="E87" s="78">
        <v>2.8954988154780001E-3</v>
      </c>
      <c r="F87" s="43"/>
      <c r="G87" s="43"/>
    </row>
    <row r="88" spans="2:7" ht="15" customHeight="1">
      <c r="B88" s="111"/>
      <c r="C88" s="91" t="s">
        <v>258</v>
      </c>
      <c r="D88" s="90">
        <v>47</v>
      </c>
      <c r="E88" s="92">
        <v>6.1858383785210001E-3</v>
      </c>
      <c r="F88" s="43"/>
      <c r="G88" s="43"/>
    </row>
    <row r="89" spans="2:7" ht="15" customHeight="1">
      <c r="B89" s="109" t="s">
        <v>90</v>
      </c>
      <c r="C89" s="70" t="s">
        <v>204</v>
      </c>
      <c r="D89" s="77">
        <v>5</v>
      </c>
      <c r="E89" s="78">
        <v>6.5806791260900001E-4</v>
      </c>
      <c r="F89" s="43"/>
      <c r="G89" s="43"/>
    </row>
    <row r="90" spans="2:7" ht="15" customHeight="1">
      <c r="B90" s="110"/>
      <c r="C90" s="70" t="s">
        <v>205</v>
      </c>
      <c r="D90" s="77">
        <v>7</v>
      </c>
      <c r="E90" s="78">
        <v>9.2129507765199999E-4</v>
      </c>
      <c r="F90" s="43"/>
      <c r="G90" s="43"/>
    </row>
    <row r="91" spans="2:7" ht="15" customHeight="1">
      <c r="B91" s="111"/>
      <c r="C91" s="91" t="s">
        <v>258</v>
      </c>
      <c r="D91" s="90">
        <v>12</v>
      </c>
      <c r="E91" s="92">
        <v>1.5793629902610001E-3</v>
      </c>
      <c r="F91" s="43"/>
      <c r="G91" s="43"/>
    </row>
    <row r="92" spans="2:7" ht="15" customHeight="1">
      <c r="B92" s="109" t="s">
        <v>95</v>
      </c>
      <c r="C92" s="70" t="s">
        <v>204</v>
      </c>
      <c r="D92" s="77">
        <v>1</v>
      </c>
      <c r="E92" s="78">
        <v>1.31613582522E-4</v>
      </c>
      <c r="F92" s="43"/>
      <c r="G92" s="43"/>
    </row>
    <row r="93" spans="2:7" ht="15" customHeight="1">
      <c r="B93" s="111"/>
      <c r="C93" s="91" t="s">
        <v>258</v>
      </c>
      <c r="D93" s="90">
        <v>1</v>
      </c>
      <c r="E93" s="92">
        <v>1.31613582522E-4</v>
      </c>
      <c r="F93" s="43"/>
      <c r="G93" s="43"/>
    </row>
    <row r="94" spans="2:7" ht="15" customHeight="1">
      <c r="B94" s="109" t="s">
        <v>88</v>
      </c>
      <c r="C94" s="70" t="s">
        <v>204</v>
      </c>
      <c r="D94" s="77">
        <v>8</v>
      </c>
      <c r="E94" s="78">
        <v>1.0529086601740001E-3</v>
      </c>
      <c r="F94" s="43"/>
      <c r="G94" s="43"/>
    </row>
    <row r="95" spans="2:7" ht="15" customHeight="1">
      <c r="B95" s="110"/>
      <c r="C95" s="70" t="s">
        <v>205</v>
      </c>
      <c r="D95" s="77">
        <v>12</v>
      </c>
      <c r="E95" s="78">
        <v>1.5793629902610001E-3</v>
      </c>
      <c r="F95" s="43"/>
      <c r="G95" s="43"/>
    </row>
    <row r="96" spans="2:7" ht="15" customHeight="1">
      <c r="B96" s="111"/>
      <c r="C96" s="91" t="s">
        <v>258</v>
      </c>
      <c r="D96" s="90">
        <v>20</v>
      </c>
      <c r="E96" s="92">
        <v>2.6322716504339999E-3</v>
      </c>
      <c r="F96" s="43"/>
      <c r="G96" s="43"/>
    </row>
    <row r="97" spans="2:7" ht="15" customHeight="1">
      <c r="B97" s="109" t="s">
        <v>76</v>
      </c>
      <c r="C97" s="70" t="s">
        <v>204</v>
      </c>
      <c r="D97" s="77">
        <v>12</v>
      </c>
      <c r="E97" s="78">
        <v>1.5793629902610001E-3</v>
      </c>
      <c r="F97" s="43"/>
      <c r="G97" s="43"/>
    </row>
    <row r="98" spans="2:7" ht="15" customHeight="1">
      <c r="B98" s="110"/>
      <c r="C98" s="70" t="s">
        <v>205</v>
      </c>
      <c r="D98" s="77">
        <v>27</v>
      </c>
      <c r="E98" s="78">
        <v>3.5535667280860001E-3</v>
      </c>
      <c r="F98" s="43"/>
      <c r="G98" s="43"/>
    </row>
    <row r="99" spans="2:7" ht="15" customHeight="1">
      <c r="B99" s="111"/>
      <c r="C99" s="91" t="s">
        <v>258</v>
      </c>
      <c r="D99" s="90">
        <v>39</v>
      </c>
      <c r="E99" s="92">
        <v>5.1329297183470004E-3</v>
      </c>
      <c r="F99" s="43"/>
      <c r="G99" s="43"/>
    </row>
    <row r="100" spans="2:7" ht="15" customHeight="1">
      <c r="B100" s="109" t="s">
        <v>67</v>
      </c>
      <c r="C100" s="70" t="s">
        <v>204</v>
      </c>
      <c r="D100" s="77">
        <v>35</v>
      </c>
      <c r="E100" s="78">
        <v>4.6064753882600002E-3</v>
      </c>
      <c r="F100" s="43"/>
      <c r="G100" s="43"/>
    </row>
    <row r="101" spans="2:7" ht="15" customHeight="1">
      <c r="B101" s="110"/>
      <c r="C101" s="70" t="s">
        <v>205</v>
      </c>
      <c r="D101" s="77">
        <v>54</v>
      </c>
      <c r="E101" s="78">
        <v>7.1071334561730003E-3</v>
      </c>
      <c r="F101" s="43"/>
      <c r="G101" s="43"/>
    </row>
    <row r="102" spans="2:7" ht="15" customHeight="1">
      <c r="B102" s="111"/>
      <c r="C102" s="91" t="s">
        <v>258</v>
      </c>
      <c r="D102" s="90">
        <v>89</v>
      </c>
      <c r="E102" s="92">
        <v>1.1713608844433E-2</v>
      </c>
      <c r="F102" s="43"/>
      <c r="G102" s="43"/>
    </row>
    <row r="103" spans="2:7" ht="15" customHeight="1">
      <c r="B103" s="109" t="s">
        <v>80</v>
      </c>
      <c r="C103" s="70" t="s">
        <v>204</v>
      </c>
      <c r="D103" s="77">
        <v>20</v>
      </c>
      <c r="E103" s="78">
        <v>2.6322716504339999E-3</v>
      </c>
      <c r="F103" s="43"/>
      <c r="G103" s="43"/>
    </row>
    <row r="104" spans="2:7" ht="15" customHeight="1">
      <c r="B104" s="110"/>
      <c r="C104" s="70" t="s">
        <v>205</v>
      </c>
      <c r="D104" s="77">
        <v>20</v>
      </c>
      <c r="E104" s="78">
        <v>2.6322716504339999E-3</v>
      </c>
      <c r="F104" s="43"/>
      <c r="G104" s="43"/>
    </row>
    <row r="105" spans="2:7" ht="15" customHeight="1">
      <c r="B105" s="110"/>
      <c r="C105" s="70" t="s">
        <v>206</v>
      </c>
      <c r="D105" s="77">
        <v>1</v>
      </c>
      <c r="E105" s="78">
        <v>1.31613582522E-4</v>
      </c>
      <c r="F105" s="43"/>
      <c r="G105" s="43"/>
    </row>
    <row r="106" spans="2:7" ht="15" customHeight="1">
      <c r="B106" s="111"/>
      <c r="C106" s="91" t="s">
        <v>258</v>
      </c>
      <c r="D106" s="90">
        <v>41</v>
      </c>
      <c r="E106" s="92">
        <v>5.3961568833900001E-3</v>
      </c>
      <c r="F106" s="43"/>
      <c r="G106" s="43"/>
    </row>
    <row r="107" spans="2:7" ht="15" customHeight="1">
      <c r="B107" s="109" t="s">
        <v>71</v>
      </c>
      <c r="C107" s="70" t="s">
        <v>204</v>
      </c>
      <c r="D107" s="77">
        <v>16</v>
      </c>
      <c r="E107" s="78">
        <v>2.1058173203470001E-3</v>
      </c>
      <c r="F107" s="43"/>
      <c r="G107" s="43"/>
    </row>
    <row r="108" spans="2:7" ht="15" customHeight="1">
      <c r="B108" s="110"/>
      <c r="C108" s="70" t="s">
        <v>205</v>
      </c>
      <c r="D108" s="77">
        <v>25</v>
      </c>
      <c r="E108" s="78">
        <v>3.290339563043E-3</v>
      </c>
      <c r="F108" s="43"/>
      <c r="G108" s="43"/>
    </row>
    <row r="109" spans="2:7" ht="15" customHeight="1">
      <c r="B109" s="111"/>
      <c r="C109" s="91" t="s">
        <v>258</v>
      </c>
      <c r="D109" s="90">
        <v>41</v>
      </c>
      <c r="E109" s="92">
        <v>5.3961568833900001E-3</v>
      </c>
      <c r="F109" s="43"/>
      <c r="G109" s="43"/>
    </row>
    <row r="110" spans="2:7" ht="15" customHeight="1">
      <c r="B110" s="109" t="s">
        <v>57</v>
      </c>
      <c r="C110" s="70" t="s">
        <v>204</v>
      </c>
      <c r="D110" s="77">
        <v>108</v>
      </c>
      <c r="E110" s="78">
        <v>1.4214266912345E-2</v>
      </c>
      <c r="F110" s="43"/>
      <c r="G110" s="43"/>
    </row>
    <row r="111" spans="2:7" ht="15" customHeight="1">
      <c r="B111" s="110"/>
      <c r="C111" s="70" t="s">
        <v>205</v>
      </c>
      <c r="D111" s="77">
        <v>121</v>
      </c>
      <c r="E111" s="78">
        <v>1.5925243485127999E-2</v>
      </c>
      <c r="F111" s="43"/>
      <c r="G111" s="43"/>
    </row>
    <row r="112" spans="2:7" ht="15" customHeight="1">
      <c r="B112" s="111"/>
      <c r="C112" s="91" t="s">
        <v>258</v>
      </c>
      <c r="D112" s="90">
        <v>229</v>
      </c>
      <c r="E112" s="92">
        <v>3.0139510397473E-2</v>
      </c>
      <c r="F112" s="43"/>
      <c r="G112" s="43"/>
    </row>
    <row r="113" spans="2:7" ht="15" customHeight="1">
      <c r="B113" s="109" t="s">
        <v>54</v>
      </c>
      <c r="C113" s="70" t="s">
        <v>204</v>
      </c>
      <c r="D113" s="77">
        <v>138</v>
      </c>
      <c r="E113" s="78">
        <v>1.8162674387996999E-2</v>
      </c>
      <c r="F113" s="43"/>
      <c r="G113" s="43"/>
    </row>
    <row r="114" spans="2:7" ht="15" customHeight="1">
      <c r="B114" s="110"/>
      <c r="C114" s="70" t="s">
        <v>205</v>
      </c>
      <c r="D114" s="77">
        <v>122</v>
      </c>
      <c r="E114" s="78">
        <v>1.6056857067648998E-2</v>
      </c>
      <c r="F114" s="43"/>
      <c r="G114" s="43"/>
    </row>
    <row r="115" spans="2:7" ht="15" customHeight="1">
      <c r="B115" s="111"/>
      <c r="C115" s="91" t="s">
        <v>258</v>
      </c>
      <c r="D115" s="90">
        <v>260</v>
      </c>
      <c r="E115" s="92">
        <v>3.4219531455645998E-2</v>
      </c>
      <c r="F115" s="43"/>
      <c r="G115" s="43"/>
    </row>
    <row r="116" spans="2:7" ht="15" customHeight="1">
      <c r="B116" s="109" t="s">
        <v>69</v>
      </c>
      <c r="C116" s="70" t="s">
        <v>204</v>
      </c>
      <c r="D116" s="77">
        <v>30</v>
      </c>
      <c r="E116" s="78">
        <v>3.9484074756509996E-3</v>
      </c>
      <c r="F116" s="43"/>
      <c r="G116" s="43"/>
    </row>
    <row r="117" spans="2:7" ht="15" customHeight="1">
      <c r="B117" s="110"/>
      <c r="C117" s="70" t="s">
        <v>205</v>
      </c>
      <c r="D117" s="77">
        <v>20</v>
      </c>
      <c r="E117" s="78">
        <v>2.6322716504339999E-3</v>
      </c>
      <c r="F117" s="43"/>
      <c r="G117" s="43"/>
    </row>
    <row r="118" spans="2:7" ht="15" customHeight="1">
      <c r="B118" s="111"/>
      <c r="C118" s="91" t="s">
        <v>258</v>
      </c>
      <c r="D118" s="90">
        <v>50</v>
      </c>
      <c r="E118" s="92">
        <v>6.580679126086E-3</v>
      </c>
      <c r="F118" s="43"/>
      <c r="G118" s="43"/>
    </row>
    <row r="119" spans="2:7" ht="15" customHeight="1">
      <c r="B119" s="109" t="s">
        <v>91</v>
      </c>
      <c r="C119" s="70" t="s">
        <v>204</v>
      </c>
      <c r="D119" s="77">
        <v>4</v>
      </c>
      <c r="E119" s="78">
        <v>5.2645433008700004E-4</v>
      </c>
      <c r="F119" s="43"/>
      <c r="G119" s="43"/>
    </row>
    <row r="120" spans="2:7" ht="15" customHeight="1">
      <c r="B120" s="110"/>
      <c r="C120" s="70" t="s">
        <v>205</v>
      </c>
      <c r="D120" s="77">
        <v>2</v>
      </c>
      <c r="E120" s="78">
        <v>2.6322716504299998E-4</v>
      </c>
      <c r="F120" s="43"/>
      <c r="G120" s="43"/>
    </row>
    <row r="121" spans="2:7" ht="15" customHeight="1">
      <c r="B121" s="111"/>
      <c r="C121" s="91" t="s">
        <v>258</v>
      </c>
      <c r="D121" s="90">
        <v>6</v>
      </c>
      <c r="E121" s="92">
        <v>7.8968149513000002E-4</v>
      </c>
      <c r="F121" s="43"/>
      <c r="G121" s="43"/>
    </row>
    <row r="122" spans="2:7" ht="15" customHeight="1">
      <c r="B122" s="109" t="s">
        <v>64</v>
      </c>
      <c r="C122" s="70" t="s">
        <v>204</v>
      </c>
      <c r="D122" s="77">
        <v>41</v>
      </c>
      <c r="E122" s="78">
        <v>5.3961568833900001E-3</v>
      </c>
      <c r="F122" s="43"/>
      <c r="G122" s="43"/>
    </row>
    <row r="123" spans="2:7" ht="15" customHeight="1">
      <c r="B123" s="110"/>
      <c r="C123" s="70" t="s">
        <v>205</v>
      </c>
      <c r="D123" s="77">
        <v>41</v>
      </c>
      <c r="E123" s="78">
        <v>5.3961568833900001E-3</v>
      </c>
      <c r="F123" s="43"/>
      <c r="G123" s="43"/>
    </row>
    <row r="124" spans="2:7" ht="15" customHeight="1">
      <c r="B124" s="111"/>
      <c r="C124" s="91" t="s">
        <v>258</v>
      </c>
      <c r="D124" s="90">
        <v>82</v>
      </c>
      <c r="E124" s="92">
        <v>1.0792313766780999E-2</v>
      </c>
      <c r="F124" s="43"/>
      <c r="G124" s="43"/>
    </row>
    <row r="125" spans="2:7" ht="15" customHeight="1">
      <c r="B125" s="109" t="s">
        <v>55</v>
      </c>
      <c r="C125" s="70" t="s">
        <v>204</v>
      </c>
      <c r="D125" s="77">
        <v>89</v>
      </c>
      <c r="E125" s="78">
        <v>1.1713608844433E-2</v>
      </c>
      <c r="F125" s="43"/>
      <c r="G125" s="43"/>
    </row>
    <row r="126" spans="2:7" ht="15" customHeight="1">
      <c r="B126" s="110"/>
      <c r="C126" s="70" t="s">
        <v>205</v>
      </c>
      <c r="D126" s="77">
        <v>91</v>
      </c>
      <c r="E126" s="78">
        <v>1.1976836009475999E-2</v>
      </c>
      <c r="F126" s="43"/>
      <c r="G126" s="43"/>
    </row>
    <row r="127" spans="2:7" ht="15" customHeight="1">
      <c r="B127" s="111"/>
      <c r="C127" s="91" t="s">
        <v>258</v>
      </c>
      <c r="D127" s="90">
        <v>180</v>
      </c>
      <c r="E127" s="92">
        <v>2.3690444853909001E-2</v>
      </c>
      <c r="F127" s="43"/>
      <c r="G127" s="43"/>
    </row>
    <row r="128" spans="2:7" ht="15" customHeight="1">
      <c r="B128" s="109" t="s">
        <v>72</v>
      </c>
      <c r="C128" s="70" t="s">
        <v>204</v>
      </c>
      <c r="D128" s="77">
        <v>21</v>
      </c>
      <c r="E128" s="78">
        <v>2.7638852329560002E-3</v>
      </c>
      <c r="F128" s="43"/>
      <c r="G128" s="43"/>
    </row>
    <row r="129" spans="2:7" ht="15" customHeight="1">
      <c r="B129" s="110"/>
      <c r="C129" s="70" t="s">
        <v>205</v>
      </c>
      <c r="D129" s="77">
        <v>32</v>
      </c>
      <c r="E129" s="78">
        <v>4.2116346406950002E-3</v>
      </c>
      <c r="F129" s="43"/>
      <c r="G129" s="43"/>
    </row>
    <row r="130" spans="2:7" ht="15" customHeight="1">
      <c r="B130" s="111"/>
      <c r="C130" s="91" t="s">
        <v>258</v>
      </c>
      <c r="D130" s="90">
        <v>53</v>
      </c>
      <c r="E130" s="92">
        <v>6.975519873651E-3</v>
      </c>
      <c r="F130" s="43"/>
      <c r="G130" s="43"/>
    </row>
    <row r="131" spans="2:7" ht="15" customHeight="1">
      <c r="B131" s="109" t="s">
        <v>62</v>
      </c>
      <c r="C131" s="70" t="s">
        <v>204</v>
      </c>
      <c r="D131" s="77">
        <v>61</v>
      </c>
      <c r="E131" s="78">
        <v>8.0284285338250005E-3</v>
      </c>
      <c r="F131" s="43"/>
      <c r="G131" s="43"/>
    </row>
    <row r="132" spans="2:7" ht="15" customHeight="1">
      <c r="B132" s="110"/>
      <c r="C132" s="70" t="s">
        <v>205</v>
      </c>
      <c r="D132" s="77">
        <v>45</v>
      </c>
      <c r="E132" s="78">
        <v>5.9226112134770003E-3</v>
      </c>
      <c r="F132" s="43"/>
      <c r="G132" s="43"/>
    </row>
    <row r="133" spans="2:7" ht="15" customHeight="1">
      <c r="B133" s="111"/>
      <c r="C133" s="91" t="s">
        <v>258</v>
      </c>
      <c r="D133" s="90">
        <v>106</v>
      </c>
      <c r="E133" s="92">
        <v>1.3951039747302E-2</v>
      </c>
      <c r="F133" s="43"/>
      <c r="G133" s="43"/>
    </row>
    <row r="134" spans="2:7" ht="15" customHeight="1">
      <c r="B134" s="109" t="s">
        <v>86</v>
      </c>
      <c r="C134" s="70" t="s">
        <v>204</v>
      </c>
      <c r="D134" s="77">
        <v>10</v>
      </c>
      <c r="E134" s="78">
        <v>1.3161358252169999E-3</v>
      </c>
      <c r="F134" s="43"/>
      <c r="G134" s="43"/>
    </row>
    <row r="135" spans="2:7" ht="15" customHeight="1">
      <c r="B135" s="110"/>
      <c r="C135" s="70" t="s">
        <v>205</v>
      </c>
      <c r="D135" s="77">
        <v>9</v>
      </c>
      <c r="E135" s="78">
        <v>1.1845222426950001E-3</v>
      </c>
      <c r="F135" s="43"/>
      <c r="G135" s="43"/>
    </row>
    <row r="136" spans="2:7" ht="15" customHeight="1">
      <c r="B136" s="111"/>
      <c r="C136" s="91" t="s">
        <v>258</v>
      </c>
      <c r="D136" s="90">
        <v>19</v>
      </c>
      <c r="E136" s="92">
        <v>2.5006580679130001E-3</v>
      </c>
      <c r="F136" s="43"/>
      <c r="G136" s="43"/>
    </row>
    <row r="137" spans="2:7" ht="15" customHeight="1">
      <c r="B137" s="109" t="s">
        <v>47</v>
      </c>
      <c r="C137" s="70" t="s">
        <v>204</v>
      </c>
      <c r="D137" s="77">
        <v>457</v>
      </c>
      <c r="E137" s="78">
        <v>6.0147407212424002E-2</v>
      </c>
      <c r="F137" s="43"/>
      <c r="G137" s="43"/>
    </row>
    <row r="138" spans="2:7" ht="15" customHeight="1">
      <c r="B138" s="110"/>
      <c r="C138" s="70" t="s">
        <v>205</v>
      </c>
      <c r="D138" s="77">
        <v>384</v>
      </c>
      <c r="E138" s="78">
        <v>5.0539615688339E-2</v>
      </c>
      <c r="F138" s="43"/>
      <c r="G138" s="43"/>
    </row>
    <row r="139" spans="2:7" ht="15" customHeight="1">
      <c r="B139" s="111"/>
      <c r="C139" s="91" t="s">
        <v>258</v>
      </c>
      <c r="D139" s="90">
        <v>841</v>
      </c>
      <c r="E139" s="92">
        <v>0.110687022900763</v>
      </c>
      <c r="F139" s="43"/>
      <c r="G139" s="43"/>
    </row>
    <row r="140" spans="2:7" ht="15" customHeight="1">
      <c r="B140" s="109" t="s">
        <v>48</v>
      </c>
      <c r="C140" s="70" t="s">
        <v>204</v>
      </c>
      <c r="D140" s="77">
        <v>413</v>
      </c>
      <c r="E140" s="78">
        <v>5.4356409581468999E-2</v>
      </c>
      <c r="F140" s="43"/>
      <c r="G140" s="43"/>
    </row>
    <row r="141" spans="2:7" ht="15" customHeight="1">
      <c r="B141" s="110"/>
      <c r="C141" s="70" t="s">
        <v>205</v>
      </c>
      <c r="D141" s="77">
        <v>432</v>
      </c>
      <c r="E141" s="78">
        <v>5.6857067649380998E-2</v>
      </c>
      <c r="F141" s="43"/>
      <c r="G141" s="43"/>
    </row>
    <row r="142" spans="2:7" ht="15" customHeight="1">
      <c r="B142" s="110"/>
      <c r="C142" s="70" t="s">
        <v>206</v>
      </c>
      <c r="D142" s="77">
        <v>1</v>
      </c>
      <c r="E142" s="78">
        <v>1.31613582522E-4</v>
      </c>
      <c r="F142" s="43"/>
      <c r="G142" s="43"/>
    </row>
    <row r="143" spans="2:7" ht="15" customHeight="1">
      <c r="B143" s="111"/>
      <c r="C143" s="91" t="s">
        <v>258</v>
      </c>
      <c r="D143" s="90">
        <v>846</v>
      </c>
      <c r="E143" s="92">
        <v>0.111345090813372</v>
      </c>
      <c r="F143" s="43"/>
      <c r="G143" s="43"/>
    </row>
    <row r="144" spans="2:7" ht="15" customHeight="1">
      <c r="B144" s="109" t="s">
        <v>60</v>
      </c>
      <c r="C144" s="70" t="s">
        <v>204</v>
      </c>
      <c r="D144" s="77">
        <v>61</v>
      </c>
      <c r="E144" s="78">
        <v>8.0284285338250005E-3</v>
      </c>
      <c r="F144" s="43"/>
      <c r="G144" s="43"/>
    </row>
    <row r="145" spans="2:7" ht="15" customHeight="1">
      <c r="B145" s="110"/>
      <c r="C145" s="70" t="s">
        <v>205</v>
      </c>
      <c r="D145" s="77">
        <v>53</v>
      </c>
      <c r="E145" s="78">
        <v>6.975519873651E-3</v>
      </c>
      <c r="F145" s="43"/>
      <c r="G145" s="43"/>
    </row>
    <row r="146" spans="2:7" ht="15" customHeight="1">
      <c r="B146" s="111"/>
      <c r="C146" s="91" t="s">
        <v>258</v>
      </c>
      <c r="D146" s="90">
        <v>114</v>
      </c>
      <c r="E146" s="92">
        <v>1.5003948407476E-2</v>
      </c>
      <c r="F146" s="43"/>
      <c r="G146" s="43"/>
    </row>
    <row r="147" spans="2:7" ht="15" customHeight="1">
      <c r="B147" s="109" t="s">
        <v>56</v>
      </c>
      <c r="C147" s="70" t="s">
        <v>204</v>
      </c>
      <c r="D147" s="77">
        <v>118</v>
      </c>
      <c r="E147" s="78">
        <v>1.5530402737563001E-2</v>
      </c>
      <c r="F147" s="43"/>
      <c r="G147" s="43"/>
    </row>
    <row r="148" spans="2:7" ht="15" customHeight="1">
      <c r="B148" s="110"/>
      <c r="C148" s="70" t="s">
        <v>205</v>
      </c>
      <c r="D148" s="77">
        <v>120</v>
      </c>
      <c r="E148" s="78">
        <v>1.5793629902606E-2</v>
      </c>
      <c r="F148" s="43"/>
      <c r="G148" s="43"/>
    </row>
    <row r="149" spans="2:7" ht="15" customHeight="1">
      <c r="B149" s="111"/>
      <c r="C149" s="91" t="s">
        <v>258</v>
      </c>
      <c r="D149" s="90">
        <v>238</v>
      </c>
      <c r="E149" s="92">
        <v>3.1324032640167997E-2</v>
      </c>
      <c r="F149" s="43"/>
      <c r="G149" s="43"/>
    </row>
    <row r="150" spans="2:7" ht="15" customHeight="1">
      <c r="B150" s="109" t="s">
        <v>51</v>
      </c>
      <c r="C150" s="70" t="s">
        <v>204</v>
      </c>
      <c r="D150" s="77">
        <v>196</v>
      </c>
      <c r="E150" s="78">
        <v>2.5796262174255999E-2</v>
      </c>
      <c r="F150" s="43"/>
      <c r="G150" s="43"/>
    </row>
    <row r="151" spans="2:7" ht="15" customHeight="1">
      <c r="B151" s="110"/>
      <c r="C151" s="70" t="s">
        <v>205</v>
      </c>
      <c r="D151" s="77">
        <v>166</v>
      </c>
      <c r="E151" s="78">
        <v>2.1847854698605E-2</v>
      </c>
      <c r="F151" s="43"/>
      <c r="G151" s="43"/>
    </row>
    <row r="152" spans="2:7" ht="15" customHeight="1">
      <c r="B152" s="111"/>
      <c r="C152" s="91" t="s">
        <v>258</v>
      </c>
      <c r="D152" s="90">
        <v>362</v>
      </c>
      <c r="E152" s="92">
        <v>4.7644116872860999E-2</v>
      </c>
      <c r="F152" s="43"/>
      <c r="G152" s="43"/>
    </row>
    <row r="153" spans="2:7" ht="15" customHeight="1">
      <c r="B153" s="109" t="s">
        <v>73</v>
      </c>
      <c r="C153" s="70" t="s">
        <v>204</v>
      </c>
      <c r="D153" s="77">
        <v>12</v>
      </c>
      <c r="E153" s="78">
        <v>1.5793629902610001E-3</v>
      </c>
      <c r="F153" s="43"/>
      <c r="G153" s="43"/>
    </row>
    <row r="154" spans="2:7" ht="15" customHeight="1">
      <c r="B154" s="110"/>
      <c r="C154" s="70" t="s">
        <v>205</v>
      </c>
      <c r="D154" s="77">
        <v>18</v>
      </c>
      <c r="E154" s="78">
        <v>2.3690444853909998E-3</v>
      </c>
      <c r="F154" s="43"/>
      <c r="G154" s="43"/>
    </row>
    <row r="155" spans="2:7" ht="15" customHeight="1">
      <c r="B155" s="111"/>
      <c r="C155" s="91" t="s">
        <v>258</v>
      </c>
      <c r="D155" s="90">
        <v>30</v>
      </c>
      <c r="E155" s="92">
        <v>3.9484074756509996E-3</v>
      </c>
      <c r="F155" s="43"/>
      <c r="G155" s="43"/>
    </row>
    <row r="156" spans="2:7" ht="15" customHeight="1">
      <c r="B156" s="109" t="s">
        <v>81</v>
      </c>
      <c r="C156" s="70" t="s">
        <v>204</v>
      </c>
      <c r="D156" s="77">
        <v>24</v>
      </c>
      <c r="E156" s="78">
        <v>3.1587259805210001E-3</v>
      </c>
      <c r="F156" s="43"/>
      <c r="G156" s="43"/>
    </row>
    <row r="157" spans="2:7" ht="15" customHeight="1">
      <c r="B157" s="110"/>
      <c r="C157" s="70" t="s">
        <v>205</v>
      </c>
      <c r="D157" s="77">
        <v>24</v>
      </c>
      <c r="E157" s="78">
        <v>3.1587259805210001E-3</v>
      </c>
      <c r="F157" s="43"/>
      <c r="G157" s="43"/>
    </row>
    <row r="158" spans="2:7" ht="15" customHeight="1">
      <c r="B158" s="111"/>
      <c r="C158" s="91" t="s">
        <v>258</v>
      </c>
      <c r="D158" s="90">
        <v>48</v>
      </c>
      <c r="E158" s="92">
        <v>6.3174519610420003E-3</v>
      </c>
      <c r="F158" s="43"/>
      <c r="G158" s="43"/>
    </row>
    <row r="159" spans="2:7" ht="15" customHeight="1">
      <c r="B159" s="109" t="s">
        <v>87</v>
      </c>
      <c r="C159" s="70" t="s">
        <v>204</v>
      </c>
      <c r="D159" s="77">
        <v>8</v>
      </c>
      <c r="E159" s="78">
        <v>1.0529086601740001E-3</v>
      </c>
      <c r="F159" s="43"/>
      <c r="G159" s="43"/>
    </row>
    <row r="160" spans="2:7" ht="15" customHeight="1">
      <c r="B160" s="110"/>
      <c r="C160" s="70" t="s">
        <v>205</v>
      </c>
      <c r="D160" s="77">
        <v>10</v>
      </c>
      <c r="E160" s="78">
        <v>1.3161358252169999E-3</v>
      </c>
      <c r="F160" s="43"/>
      <c r="G160" s="43"/>
    </row>
    <row r="161" spans="2:7" ht="15" customHeight="1">
      <c r="B161" s="111"/>
      <c r="C161" s="91" t="s">
        <v>258</v>
      </c>
      <c r="D161" s="90">
        <v>18</v>
      </c>
      <c r="E161" s="92">
        <v>2.3690444853909998E-3</v>
      </c>
      <c r="F161" s="43"/>
      <c r="G161" s="43"/>
    </row>
    <row r="162" spans="2:7" ht="15" customHeight="1">
      <c r="B162" s="109" t="s">
        <v>61</v>
      </c>
      <c r="C162" s="70" t="s">
        <v>204</v>
      </c>
      <c r="D162" s="77">
        <v>63</v>
      </c>
      <c r="E162" s="78">
        <v>8.2916556988680001E-3</v>
      </c>
      <c r="F162" s="43"/>
      <c r="G162" s="43"/>
    </row>
    <row r="163" spans="2:7" ht="14.5" customHeight="1">
      <c r="B163" s="110"/>
      <c r="C163" s="70" t="s">
        <v>205</v>
      </c>
      <c r="D163" s="77">
        <v>31</v>
      </c>
      <c r="E163" s="78">
        <v>4.0800210581729999E-3</v>
      </c>
      <c r="F163" s="43"/>
      <c r="G163" s="43"/>
    </row>
    <row r="164" spans="2:7" ht="14.5" customHeight="1">
      <c r="B164" s="111"/>
      <c r="C164" s="91" t="s">
        <v>258</v>
      </c>
      <c r="D164" s="90">
        <v>94</v>
      </c>
      <c r="E164" s="92">
        <v>1.2371676757040999E-2</v>
      </c>
      <c r="F164" s="43"/>
      <c r="G164" s="43"/>
    </row>
    <row r="165" spans="2:7" ht="14.5" customHeight="1">
      <c r="B165" s="106" t="s">
        <v>260</v>
      </c>
      <c r="C165" s="107"/>
      <c r="D165" s="80">
        <v>7598</v>
      </c>
      <c r="E165" s="81">
        <v>1</v>
      </c>
      <c r="F165" s="43"/>
      <c r="G165" s="43"/>
    </row>
    <row r="166" spans="2:7" ht="14.5" customHeight="1">
      <c r="B166" s="51"/>
      <c r="C166" s="53"/>
      <c r="D166" s="54"/>
      <c r="E166" s="53"/>
      <c r="F166" s="43"/>
      <c r="G166" s="43"/>
    </row>
    <row r="167" spans="2:7" ht="14.5" customHeight="1">
      <c r="B167" s="48" t="s">
        <v>130</v>
      </c>
      <c r="C167" s="53"/>
      <c r="D167" s="54"/>
      <c r="E167" s="53"/>
      <c r="F167" s="43"/>
      <c r="G167" s="43"/>
    </row>
    <row r="168" spans="2:7" ht="14.5" customHeight="1">
      <c r="B168" s="50" t="s">
        <v>17</v>
      </c>
      <c r="C168" s="53"/>
      <c r="D168" s="54"/>
      <c r="E168" s="53"/>
      <c r="F168" s="43"/>
      <c r="G168" s="43"/>
    </row>
    <row r="169" spans="2:7" ht="12">
      <c r="B169" s="51" t="s">
        <v>45</v>
      </c>
      <c r="C169" s="53"/>
      <c r="D169" s="54"/>
      <c r="E169" s="53"/>
      <c r="F169" s="43"/>
      <c r="G169" s="43"/>
    </row>
    <row r="170" spans="2:7" ht="12">
      <c r="B170" s="48" t="s">
        <v>16</v>
      </c>
      <c r="C170" s="53"/>
      <c r="D170" s="54"/>
      <c r="E170" s="53"/>
      <c r="F170" s="43"/>
      <c r="G170" s="43"/>
    </row>
    <row r="171" spans="2:7" ht="12">
      <c r="B171" s="48" t="s">
        <v>259</v>
      </c>
      <c r="C171" s="53"/>
      <c r="D171" s="54"/>
      <c r="E171" s="53"/>
      <c r="F171" s="43"/>
      <c r="G171" s="43"/>
    </row>
    <row r="172" spans="2:7" ht="12">
      <c r="C172" s="53"/>
      <c r="D172" s="54"/>
      <c r="E172" s="53"/>
      <c r="F172" s="43"/>
      <c r="G172" s="43"/>
    </row>
  </sheetData>
  <mergeCells count="53">
    <mergeCell ref="B159:B161"/>
    <mergeCell ref="B162:B164"/>
    <mergeCell ref="B144:B146"/>
    <mergeCell ref="B147:B149"/>
    <mergeCell ref="B150:B152"/>
    <mergeCell ref="B153:B155"/>
    <mergeCell ref="B156:B158"/>
    <mergeCell ref="B128:B130"/>
    <mergeCell ref="B131:B133"/>
    <mergeCell ref="B134:B136"/>
    <mergeCell ref="B137:B139"/>
    <mergeCell ref="B140:B143"/>
    <mergeCell ref="B113:B115"/>
    <mergeCell ref="B116:B118"/>
    <mergeCell ref="B119:B121"/>
    <mergeCell ref="B122:B124"/>
    <mergeCell ref="B125:B127"/>
    <mergeCell ref="B97:B99"/>
    <mergeCell ref="B100:B102"/>
    <mergeCell ref="B103:B106"/>
    <mergeCell ref="B107:B109"/>
    <mergeCell ref="B110:B112"/>
    <mergeCell ref="B83:B85"/>
    <mergeCell ref="B86:B88"/>
    <mergeCell ref="B89:B91"/>
    <mergeCell ref="B92:B93"/>
    <mergeCell ref="B94:B96"/>
    <mergeCell ref="B68:B70"/>
    <mergeCell ref="B71:B73"/>
    <mergeCell ref="B74:B76"/>
    <mergeCell ref="B77:B79"/>
    <mergeCell ref="B80:B82"/>
    <mergeCell ref="B53:B55"/>
    <mergeCell ref="B56:B58"/>
    <mergeCell ref="B59:B61"/>
    <mergeCell ref="B62:B64"/>
    <mergeCell ref="B65:B67"/>
    <mergeCell ref="B165:C165"/>
    <mergeCell ref="B8:E10"/>
    <mergeCell ref="B13:B15"/>
    <mergeCell ref="B16:B18"/>
    <mergeCell ref="B19:B21"/>
    <mergeCell ref="B22:B24"/>
    <mergeCell ref="B25:B27"/>
    <mergeCell ref="B28:B29"/>
    <mergeCell ref="B30:B32"/>
    <mergeCell ref="B33:B35"/>
    <mergeCell ref="B36:B38"/>
    <mergeCell ref="B39:B41"/>
    <mergeCell ref="B42:B44"/>
    <mergeCell ref="B45:B47"/>
    <mergeCell ref="B48:B49"/>
    <mergeCell ref="B50:B52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G166"/>
  <sheetViews>
    <sheetView showGridLines="0" view="pageBreakPreview" topLeftCell="A141" zoomScaleNormal="100" zoomScaleSheetLayoutView="100" workbookViewId="0">
      <selection activeCell="E160" sqref="E160"/>
    </sheetView>
  </sheetViews>
  <sheetFormatPr baseColWidth="10" defaultColWidth="11.453125" defaultRowHeight="10"/>
  <cols>
    <col min="1" max="1" width="5.7265625" style="15" customWidth="1"/>
    <col min="2" max="2" width="24.26953125" style="22" customWidth="1"/>
    <col min="3" max="3" width="20.1796875" style="22" customWidth="1"/>
    <col min="4" max="4" width="18" style="25" customWidth="1"/>
    <col min="5" max="5" width="15.1796875" style="22" bestFit="1" customWidth="1"/>
    <col min="6" max="6" width="5.7265625" style="15" customWidth="1"/>
    <col min="7" max="7" width="6.1796875" style="15" customWidth="1"/>
    <col min="8" max="16384" width="11.453125" style="15"/>
  </cols>
  <sheetData>
    <row r="1" spans="2:7" s="13" customFormat="1" ht="14.5">
      <c r="B1" s="22"/>
      <c r="C1" s="22"/>
    </row>
    <row r="2" spans="2:7" s="22" customFormat="1">
      <c r="B2" s="29"/>
    </row>
    <row r="3" spans="2:7" ht="15" customHeight="1">
      <c r="B3" s="30"/>
      <c r="C3" s="18"/>
      <c r="D3" s="15"/>
      <c r="F3" s="22"/>
    </row>
    <row r="4" spans="2:7" ht="30" customHeight="1">
      <c r="B4" s="30"/>
      <c r="C4" s="18"/>
      <c r="D4" s="15"/>
      <c r="F4" s="22"/>
    </row>
    <row r="5" spans="2:7" ht="15" customHeight="1">
      <c r="B5" s="30"/>
      <c r="C5" s="18"/>
      <c r="D5" s="15"/>
      <c r="F5" s="22"/>
    </row>
    <row r="6" spans="2:7" s="22" customFormat="1" ht="10.5">
      <c r="B6" s="24"/>
      <c r="C6" s="21"/>
    </row>
    <row r="7" spans="2:7" s="22" customFormat="1">
      <c r="B7" s="29"/>
    </row>
    <row r="8" spans="2:7" s="13" customFormat="1" ht="15" customHeight="1">
      <c r="B8" s="105" t="s">
        <v>40</v>
      </c>
      <c r="C8" s="105"/>
      <c r="D8" s="105"/>
      <c r="E8" s="105"/>
    </row>
    <row r="9" spans="2:7" s="13" customFormat="1" ht="15" customHeight="1">
      <c r="B9" s="105"/>
      <c r="C9" s="105"/>
      <c r="D9" s="105"/>
      <c r="E9" s="105"/>
      <c r="F9" s="28"/>
    </row>
    <row r="10" spans="2:7" s="13" customFormat="1" ht="15" customHeight="1">
      <c r="B10" s="105"/>
      <c r="C10" s="105"/>
      <c r="D10" s="105"/>
      <c r="E10" s="105"/>
    </row>
    <row r="11" spans="2:7" s="13" customFormat="1" ht="15" customHeight="1">
      <c r="B11" s="31"/>
      <c r="C11" s="31"/>
      <c r="D11" s="31"/>
      <c r="E11" s="31"/>
    </row>
    <row r="12" spans="2:7" s="13" customFormat="1" ht="37" customHeight="1">
      <c r="B12" s="69" t="s">
        <v>24</v>
      </c>
      <c r="C12" s="69" t="s">
        <v>28</v>
      </c>
      <c r="D12" s="69" t="s">
        <v>19</v>
      </c>
      <c r="E12" s="69" t="s">
        <v>18</v>
      </c>
      <c r="F12" s="44"/>
      <c r="G12" s="44"/>
    </row>
    <row r="13" spans="2:7" ht="15" customHeight="1">
      <c r="B13" s="109" t="s">
        <v>163</v>
      </c>
      <c r="C13" s="70" t="s">
        <v>204</v>
      </c>
      <c r="D13" s="77">
        <v>8</v>
      </c>
      <c r="E13" s="78">
        <v>1.0529086601740001E-3</v>
      </c>
      <c r="F13" s="43"/>
      <c r="G13" s="43"/>
    </row>
    <row r="14" spans="2:7" ht="15" customHeight="1">
      <c r="B14" s="110"/>
      <c r="C14" s="70" t="s">
        <v>205</v>
      </c>
      <c r="D14" s="77">
        <v>9</v>
      </c>
      <c r="E14" s="78">
        <v>1.1845222426950001E-3</v>
      </c>
      <c r="F14" s="43"/>
      <c r="G14" s="43"/>
    </row>
    <row r="15" spans="2:7" ht="15" customHeight="1">
      <c r="B15" s="111"/>
      <c r="C15" s="91" t="s">
        <v>258</v>
      </c>
      <c r="D15" s="90">
        <v>17</v>
      </c>
      <c r="E15" s="92">
        <v>2.2374309028689999E-3</v>
      </c>
      <c r="F15" s="43"/>
      <c r="G15" s="43"/>
    </row>
    <row r="16" spans="2:7" ht="15" customHeight="1">
      <c r="B16" s="109" t="s">
        <v>178</v>
      </c>
      <c r="C16" s="70" t="s">
        <v>205</v>
      </c>
      <c r="D16" s="77">
        <v>1</v>
      </c>
      <c r="E16" s="78">
        <v>1.31613582522E-4</v>
      </c>
      <c r="F16" s="43"/>
      <c r="G16" s="43"/>
    </row>
    <row r="17" spans="2:7" ht="15" customHeight="1">
      <c r="B17" s="111"/>
      <c r="C17" s="91" t="s">
        <v>258</v>
      </c>
      <c r="D17" s="90">
        <v>1</v>
      </c>
      <c r="E17" s="92">
        <v>1.31613582522E-4</v>
      </c>
      <c r="F17" s="43"/>
      <c r="G17" s="43"/>
    </row>
    <row r="18" spans="2:7" ht="15" customHeight="1">
      <c r="B18" s="109" t="s">
        <v>135</v>
      </c>
      <c r="C18" s="70" t="s">
        <v>204</v>
      </c>
      <c r="D18" s="77">
        <v>221</v>
      </c>
      <c r="E18" s="78">
        <v>2.9086601737299E-2</v>
      </c>
      <c r="F18" s="43"/>
      <c r="G18" s="43"/>
    </row>
    <row r="19" spans="2:7" ht="15" customHeight="1">
      <c r="B19" s="110"/>
      <c r="C19" s="70" t="s">
        <v>205</v>
      </c>
      <c r="D19" s="77">
        <v>168</v>
      </c>
      <c r="E19" s="78">
        <v>2.2111081863648002E-2</v>
      </c>
      <c r="F19" s="43"/>
      <c r="G19" s="43"/>
    </row>
    <row r="20" spans="2:7" ht="15" customHeight="1">
      <c r="B20" s="111"/>
      <c r="C20" s="91" t="s">
        <v>258</v>
      </c>
      <c r="D20" s="90">
        <v>389</v>
      </c>
      <c r="E20" s="92">
        <v>5.1197683600948E-2</v>
      </c>
      <c r="F20" s="43"/>
      <c r="G20" s="43"/>
    </row>
    <row r="21" spans="2:7" ht="15" customHeight="1">
      <c r="B21" s="109" t="s">
        <v>150</v>
      </c>
      <c r="C21" s="70" t="s">
        <v>204</v>
      </c>
      <c r="D21" s="77">
        <v>23</v>
      </c>
      <c r="E21" s="78">
        <v>3.0271123979989998E-3</v>
      </c>
      <c r="F21" s="43"/>
      <c r="G21" s="43"/>
    </row>
    <row r="22" spans="2:7" ht="15" customHeight="1">
      <c r="B22" s="110"/>
      <c r="C22" s="70" t="s">
        <v>205</v>
      </c>
      <c r="D22" s="77">
        <v>17</v>
      </c>
      <c r="E22" s="78">
        <v>2.2374309028689999E-3</v>
      </c>
      <c r="F22" s="43"/>
      <c r="G22" s="43"/>
    </row>
    <row r="23" spans="2:7" ht="15" customHeight="1">
      <c r="B23" s="111"/>
      <c r="C23" s="91" t="s">
        <v>258</v>
      </c>
      <c r="D23" s="90">
        <v>40</v>
      </c>
      <c r="E23" s="92">
        <v>5.2645433008689999E-3</v>
      </c>
      <c r="F23" s="43"/>
      <c r="G23" s="43"/>
    </row>
    <row r="24" spans="2:7" ht="15" customHeight="1">
      <c r="B24" s="109" t="s">
        <v>134</v>
      </c>
      <c r="C24" s="70" t="s">
        <v>204</v>
      </c>
      <c r="D24" s="77">
        <v>2682</v>
      </c>
      <c r="E24" s="78">
        <v>0.35298762832324299</v>
      </c>
      <c r="F24" s="43"/>
      <c r="G24" s="43"/>
    </row>
    <row r="25" spans="2:7" ht="15" customHeight="1">
      <c r="B25" s="110"/>
      <c r="C25" s="70" t="s">
        <v>205</v>
      </c>
      <c r="D25" s="77">
        <v>2415</v>
      </c>
      <c r="E25" s="78">
        <v>0.31784680178994501</v>
      </c>
      <c r="F25" s="43"/>
      <c r="G25" s="43"/>
    </row>
    <row r="26" spans="2:7" ht="15" customHeight="1">
      <c r="B26" s="111"/>
      <c r="C26" s="91" t="s">
        <v>258</v>
      </c>
      <c r="D26" s="90">
        <v>5097</v>
      </c>
      <c r="E26" s="92">
        <v>0.670834430113188</v>
      </c>
      <c r="F26" s="43"/>
      <c r="G26" s="43"/>
    </row>
    <row r="27" spans="2:7" ht="15" customHeight="1">
      <c r="B27" s="109" t="s">
        <v>146</v>
      </c>
      <c r="C27" s="70" t="s">
        <v>204</v>
      </c>
      <c r="D27" s="77">
        <v>24</v>
      </c>
      <c r="E27" s="78">
        <v>3.1587259805210001E-3</v>
      </c>
      <c r="F27" s="43"/>
      <c r="G27" s="43"/>
    </row>
    <row r="28" spans="2:7" ht="15" customHeight="1">
      <c r="B28" s="110"/>
      <c r="C28" s="70" t="s">
        <v>205</v>
      </c>
      <c r="D28" s="77">
        <v>21</v>
      </c>
      <c r="E28" s="78">
        <v>2.7638852329560002E-3</v>
      </c>
      <c r="F28" s="43"/>
      <c r="G28" s="43"/>
    </row>
    <row r="29" spans="2:7" ht="15" customHeight="1">
      <c r="B29" s="111"/>
      <c r="C29" s="91" t="s">
        <v>258</v>
      </c>
      <c r="D29" s="90">
        <v>45</v>
      </c>
      <c r="E29" s="92">
        <v>5.9226112134770003E-3</v>
      </c>
      <c r="F29" s="43"/>
      <c r="G29" s="43"/>
    </row>
    <row r="30" spans="2:7" ht="15" customHeight="1">
      <c r="B30" s="109" t="s">
        <v>172</v>
      </c>
      <c r="C30" s="70" t="s">
        <v>204</v>
      </c>
      <c r="D30" s="77">
        <v>1</v>
      </c>
      <c r="E30" s="78">
        <v>1.31613582522E-4</v>
      </c>
      <c r="F30" s="43"/>
      <c r="G30" s="43"/>
    </row>
    <row r="31" spans="2:7" ht="15" customHeight="1">
      <c r="B31" s="110"/>
      <c r="C31" s="70" t="s">
        <v>205</v>
      </c>
      <c r="D31" s="77">
        <v>2</v>
      </c>
      <c r="E31" s="78">
        <v>2.6322716504299998E-4</v>
      </c>
      <c r="F31" s="43"/>
      <c r="G31" s="43"/>
    </row>
    <row r="32" spans="2:7" ht="15" customHeight="1">
      <c r="B32" s="111"/>
      <c r="C32" s="91" t="s">
        <v>258</v>
      </c>
      <c r="D32" s="90">
        <v>3</v>
      </c>
      <c r="E32" s="92">
        <v>3.9484074756500001E-4</v>
      </c>
      <c r="F32" s="43"/>
      <c r="G32" s="43"/>
    </row>
    <row r="33" spans="2:7" ht="15" customHeight="1">
      <c r="B33" s="109" t="s">
        <v>173</v>
      </c>
      <c r="C33" s="70" t="s">
        <v>204</v>
      </c>
      <c r="D33" s="77">
        <v>1</v>
      </c>
      <c r="E33" s="78">
        <v>1.31613582522E-4</v>
      </c>
      <c r="F33" s="43"/>
      <c r="G33" s="43"/>
    </row>
    <row r="34" spans="2:7" ht="15" customHeight="1">
      <c r="B34" s="110"/>
      <c r="C34" s="70" t="s">
        <v>205</v>
      </c>
      <c r="D34" s="77">
        <v>2</v>
      </c>
      <c r="E34" s="78">
        <v>2.6322716504299998E-4</v>
      </c>
      <c r="F34" s="43"/>
      <c r="G34" s="43"/>
    </row>
    <row r="35" spans="2:7" ht="15" customHeight="1">
      <c r="B35" s="111"/>
      <c r="C35" s="91" t="s">
        <v>258</v>
      </c>
      <c r="D35" s="90">
        <v>3</v>
      </c>
      <c r="E35" s="92">
        <v>3.9484074756500001E-4</v>
      </c>
      <c r="F35" s="43"/>
      <c r="G35" s="43"/>
    </row>
    <row r="36" spans="2:7" ht="15" customHeight="1">
      <c r="B36" s="109" t="s">
        <v>175</v>
      </c>
      <c r="C36" s="70" t="s">
        <v>205</v>
      </c>
      <c r="D36" s="77">
        <v>2</v>
      </c>
      <c r="E36" s="78">
        <v>2.6322716504299998E-4</v>
      </c>
      <c r="F36" s="43"/>
      <c r="G36" s="43"/>
    </row>
    <row r="37" spans="2:7" ht="15" customHeight="1">
      <c r="B37" s="111"/>
      <c r="C37" s="91" t="s">
        <v>258</v>
      </c>
      <c r="D37" s="90">
        <v>2</v>
      </c>
      <c r="E37" s="92">
        <v>2.6322716504299998E-4</v>
      </c>
      <c r="F37" s="43"/>
      <c r="G37" s="43"/>
    </row>
    <row r="38" spans="2:7" ht="15" customHeight="1">
      <c r="B38" s="109" t="s">
        <v>140</v>
      </c>
      <c r="C38" s="70" t="s">
        <v>204</v>
      </c>
      <c r="D38" s="77">
        <v>32</v>
      </c>
      <c r="E38" s="78">
        <v>4.2116346406950002E-3</v>
      </c>
      <c r="F38" s="43"/>
      <c r="G38" s="43"/>
    </row>
    <row r="39" spans="2:7" ht="15" customHeight="1">
      <c r="B39" s="110"/>
      <c r="C39" s="70" t="s">
        <v>205</v>
      </c>
      <c r="D39" s="77">
        <v>42</v>
      </c>
      <c r="E39" s="78">
        <v>5.5277704659120004E-3</v>
      </c>
      <c r="F39" s="43"/>
      <c r="G39" s="43"/>
    </row>
    <row r="40" spans="2:7" ht="15" customHeight="1">
      <c r="B40" s="111"/>
      <c r="C40" s="91" t="s">
        <v>258</v>
      </c>
      <c r="D40" s="90">
        <v>74</v>
      </c>
      <c r="E40" s="92">
        <v>9.7394051066070006E-3</v>
      </c>
      <c r="F40" s="43"/>
      <c r="G40" s="43"/>
    </row>
    <row r="41" spans="2:7" ht="15" customHeight="1">
      <c r="B41" s="109" t="s">
        <v>151</v>
      </c>
      <c r="C41" s="70" t="s">
        <v>204</v>
      </c>
      <c r="D41" s="77">
        <v>19</v>
      </c>
      <c r="E41" s="78">
        <v>2.5006580679130001E-3</v>
      </c>
      <c r="F41" s="43"/>
      <c r="G41" s="43"/>
    </row>
    <row r="42" spans="2:7" ht="15" customHeight="1">
      <c r="B42" s="110"/>
      <c r="C42" s="70" t="s">
        <v>205</v>
      </c>
      <c r="D42" s="77">
        <v>20</v>
      </c>
      <c r="E42" s="78">
        <v>2.6322716504339999E-3</v>
      </c>
      <c r="F42" s="43"/>
      <c r="G42" s="43"/>
    </row>
    <row r="43" spans="2:7" ht="15" customHeight="1">
      <c r="B43" s="111"/>
      <c r="C43" s="91" t="s">
        <v>258</v>
      </c>
      <c r="D43" s="90">
        <v>39</v>
      </c>
      <c r="E43" s="92">
        <v>5.1329297183470004E-3</v>
      </c>
      <c r="F43" s="43"/>
      <c r="G43" s="43"/>
    </row>
    <row r="44" spans="2:7" ht="15" customHeight="1">
      <c r="B44" s="109" t="s">
        <v>176</v>
      </c>
      <c r="C44" s="70" t="s">
        <v>204</v>
      </c>
      <c r="D44" s="77">
        <v>2</v>
      </c>
      <c r="E44" s="78">
        <v>2.6322716504299998E-4</v>
      </c>
      <c r="F44" s="43"/>
      <c r="G44" s="43"/>
    </row>
    <row r="45" spans="2:7" ht="15" customHeight="1">
      <c r="B45" s="111"/>
      <c r="C45" s="91" t="s">
        <v>258</v>
      </c>
      <c r="D45" s="90">
        <v>2</v>
      </c>
      <c r="E45" s="92">
        <v>2.6322716504299998E-4</v>
      </c>
      <c r="F45" s="43"/>
      <c r="G45" s="43"/>
    </row>
    <row r="46" spans="2:7" ht="15" customHeight="1">
      <c r="B46" s="109" t="s">
        <v>147</v>
      </c>
      <c r="C46" s="70" t="s">
        <v>204</v>
      </c>
      <c r="D46" s="77">
        <v>16</v>
      </c>
      <c r="E46" s="78">
        <v>2.1058173203470001E-3</v>
      </c>
      <c r="F46" s="43"/>
      <c r="G46" s="43"/>
    </row>
    <row r="47" spans="2:7" ht="15" customHeight="1">
      <c r="B47" s="110"/>
      <c r="C47" s="70" t="s">
        <v>205</v>
      </c>
      <c r="D47" s="77">
        <v>27</v>
      </c>
      <c r="E47" s="78">
        <v>3.5535667280860001E-3</v>
      </c>
      <c r="F47" s="43"/>
      <c r="G47" s="43"/>
    </row>
    <row r="48" spans="2:7" ht="15" customHeight="1">
      <c r="B48" s="111"/>
      <c r="C48" s="91" t="s">
        <v>258</v>
      </c>
      <c r="D48" s="90">
        <v>43</v>
      </c>
      <c r="E48" s="92">
        <v>5.6593840484339998E-3</v>
      </c>
      <c r="F48" s="43"/>
      <c r="G48" s="43"/>
    </row>
    <row r="49" spans="2:7" ht="15" customHeight="1">
      <c r="B49" s="109" t="s">
        <v>138</v>
      </c>
      <c r="C49" s="70" t="s">
        <v>204</v>
      </c>
      <c r="D49" s="77">
        <v>89</v>
      </c>
      <c r="E49" s="78">
        <v>1.1713608844433E-2</v>
      </c>
      <c r="F49" s="43"/>
      <c r="G49" s="43"/>
    </row>
    <row r="50" spans="2:7" ht="15" customHeight="1">
      <c r="B50" s="110"/>
      <c r="C50" s="70" t="s">
        <v>205</v>
      </c>
      <c r="D50" s="77">
        <v>106</v>
      </c>
      <c r="E50" s="78">
        <v>1.3951039747302E-2</v>
      </c>
      <c r="F50" s="43"/>
      <c r="G50" s="43"/>
    </row>
    <row r="51" spans="2:7" ht="15" customHeight="1">
      <c r="B51" s="111"/>
      <c r="C51" s="91" t="s">
        <v>258</v>
      </c>
      <c r="D51" s="90">
        <v>195</v>
      </c>
      <c r="E51" s="92">
        <v>2.5664648591735E-2</v>
      </c>
      <c r="F51" s="43"/>
      <c r="G51" s="43"/>
    </row>
    <row r="52" spans="2:7" ht="15" customHeight="1">
      <c r="B52" s="109" t="s">
        <v>143</v>
      </c>
      <c r="C52" s="70" t="s">
        <v>204</v>
      </c>
      <c r="D52" s="77">
        <v>21</v>
      </c>
      <c r="E52" s="78">
        <v>2.7638852329560002E-3</v>
      </c>
      <c r="F52" s="43"/>
      <c r="G52" s="43"/>
    </row>
    <row r="53" spans="2:7" ht="15" customHeight="1">
      <c r="B53" s="110"/>
      <c r="C53" s="70" t="s">
        <v>205</v>
      </c>
      <c r="D53" s="77">
        <v>38</v>
      </c>
      <c r="E53" s="78">
        <v>5.0013161358250001E-3</v>
      </c>
      <c r="F53" s="43"/>
      <c r="G53" s="43"/>
    </row>
    <row r="54" spans="2:7" ht="15" customHeight="1">
      <c r="B54" s="111"/>
      <c r="C54" s="91" t="s">
        <v>258</v>
      </c>
      <c r="D54" s="90">
        <v>59</v>
      </c>
      <c r="E54" s="92">
        <v>7.7652013687809999E-3</v>
      </c>
      <c r="F54" s="43"/>
      <c r="G54" s="43"/>
    </row>
    <row r="55" spans="2:7" ht="15" customHeight="1">
      <c r="B55" s="109" t="s">
        <v>157</v>
      </c>
      <c r="C55" s="70" t="s">
        <v>204</v>
      </c>
      <c r="D55" s="77">
        <v>11</v>
      </c>
      <c r="E55" s="78">
        <v>1.447749407739E-3</v>
      </c>
      <c r="F55" s="43"/>
      <c r="G55" s="43"/>
    </row>
    <row r="56" spans="2:7" ht="15" customHeight="1">
      <c r="B56" s="110"/>
      <c r="C56" s="70" t="s">
        <v>205</v>
      </c>
      <c r="D56" s="77">
        <v>11</v>
      </c>
      <c r="E56" s="78">
        <v>1.447749407739E-3</v>
      </c>
      <c r="F56" s="43"/>
      <c r="G56" s="43"/>
    </row>
    <row r="57" spans="2:7" ht="15" customHeight="1">
      <c r="B57" s="111"/>
      <c r="C57" s="91" t="s">
        <v>258</v>
      </c>
      <c r="D57" s="90">
        <v>22</v>
      </c>
      <c r="E57" s="92">
        <v>2.8954988154780001E-3</v>
      </c>
      <c r="F57" s="43"/>
      <c r="G57" s="43"/>
    </row>
    <row r="58" spans="2:7" ht="15" customHeight="1">
      <c r="B58" s="109" t="s">
        <v>152</v>
      </c>
      <c r="C58" s="70" t="s">
        <v>204</v>
      </c>
      <c r="D58" s="77">
        <v>20</v>
      </c>
      <c r="E58" s="78">
        <v>2.6322716504339999E-3</v>
      </c>
      <c r="F58" s="43"/>
      <c r="G58" s="43"/>
    </row>
    <row r="59" spans="2:7" ht="15" customHeight="1">
      <c r="B59" s="110"/>
      <c r="C59" s="70" t="s">
        <v>205</v>
      </c>
      <c r="D59" s="77">
        <v>19</v>
      </c>
      <c r="E59" s="78">
        <v>2.5006580679130001E-3</v>
      </c>
      <c r="F59" s="43"/>
      <c r="G59" s="43"/>
    </row>
    <row r="60" spans="2:7" ht="15" customHeight="1">
      <c r="B60" s="111"/>
      <c r="C60" s="91" t="s">
        <v>258</v>
      </c>
      <c r="D60" s="90">
        <v>39</v>
      </c>
      <c r="E60" s="92">
        <v>5.1329297183470004E-3</v>
      </c>
      <c r="F60" s="43"/>
      <c r="G60" s="43"/>
    </row>
    <row r="61" spans="2:7" ht="15" customHeight="1">
      <c r="B61" s="109" t="s">
        <v>159</v>
      </c>
      <c r="C61" s="70" t="s">
        <v>204</v>
      </c>
      <c r="D61" s="77">
        <v>10</v>
      </c>
      <c r="E61" s="78">
        <v>1.3161358252169999E-3</v>
      </c>
      <c r="F61" s="43"/>
      <c r="G61" s="43"/>
    </row>
    <row r="62" spans="2:7" ht="15" customHeight="1">
      <c r="B62" s="110"/>
      <c r="C62" s="70" t="s">
        <v>205</v>
      </c>
      <c r="D62" s="77">
        <v>10</v>
      </c>
      <c r="E62" s="78">
        <v>1.3161358252169999E-3</v>
      </c>
      <c r="F62" s="43"/>
      <c r="G62" s="43"/>
    </row>
    <row r="63" spans="2:7" ht="15" customHeight="1">
      <c r="B63" s="111"/>
      <c r="C63" s="91" t="s">
        <v>258</v>
      </c>
      <c r="D63" s="90">
        <v>20</v>
      </c>
      <c r="E63" s="92">
        <v>2.6322716504339999E-3</v>
      </c>
      <c r="F63" s="43"/>
      <c r="G63" s="43"/>
    </row>
    <row r="64" spans="2:7" ht="15" customHeight="1">
      <c r="B64" s="109" t="s">
        <v>168</v>
      </c>
      <c r="C64" s="70" t="s">
        <v>204</v>
      </c>
      <c r="D64" s="77">
        <v>2</v>
      </c>
      <c r="E64" s="78">
        <v>2.6322716504299998E-4</v>
      </c>
      <c r="F64" s="43"/>
      <c r="G64" s="43"/>
    </row>
    <row r="65" spans="2:7" ht="15" customHeight="1">
      <c r="B65" s="110"/>
      <c r="C65" s="70" t="s">
        <v>205</v>
      </c>
      <c r="D65" s="77">
        <v>5</v>
      </c>
      <c r="E65" s="78">
        <v>6.5806791260900001E-4</v>
      </c>
      <c r="F65" s="43"/>
      <c r="G65" s="43"/>
    </row>
    <row r="66" spans="2:7" ht="15" customHeight="1">
      <c r="B66" s="111"/>
      <c r="C66" s="91" t="s">
        <v>258</v>
      </c>
      <c r="D66" s="90">
        <v>7</v>
      </c>
      <c r="E66" s="92">
        <v>9.2129507765199999E-4</v>
      </c>
      <c r="F66" s="43"/>
      <c r="G66" s="43"/>
    </row>
    <row r="67" spans="2:7" ht="15" customHeight="1">
      <c r="B67" s="109" t="s">
        <v>179</v>
      </c>
      <c r="C67" s="70" t="s">
        <v>205</v>
      </c>
      <c r="D67" s="77">
        <v>1</v>
      </c>
      <c r="E67" s="78">
        <v>1.31613582522E-4</v>
      </c>
      <c r="F67" s="43"/>
      <c r="G67" s="43"/>
    </row>
    <row r="68" spans="2:7" ht="15" customHeight="1">
      <c r="B68" s="111"/>
      <c r="C68" s="91" t="s">
        <v>258</v>
      </c>
      <c r="D68" s="90">
        <v>1</v>
      </c>
      <c r="E68" s="92">
        <v>1.31613582522E-4</v>
      </c>
      <c r="F68" s="43"/>
      <c r="G68" s="43"/>
    </row>
    <row r="69" spans="2:7" ht="15" customHeight="1">
      <c r="B69" s="109" t="s">
        <v>170</v>
      </c>
      <c r="C69" s="70" t="s">
        <v>204</v>
      </c>
      <c r="D69" s="77">
        <v>3</v>
      </c>
      <c r="E69" s="78">
        <v>3.9484074756500001E-4</v>
      </c>
      <c r="F69" s="43"/>
      <c r="G69" s="43"/>
    </row>
    <row r="70" spans="2:7" ht="15" customHeight="1">
      <c r="B70" s="110"/>
      <c r="C70" s="70" t="s">
        <v>205</v>
      </c>
      <c r="D70" s="77">
        <v>1</v>
      </c>
      <c r="E70" s="78">
        <v>1.31613582522E-4</v>
      </c>
      <c r="F70" s="43"/>
      <c r="G70" s="43"/>
    </row>
    <row r="71" spans="2:7" ht="15" customHeight="1">
      <c r="B71" s="111"/>
      <c r="C71" s="91" t="s">
        <v>258</v>
      </c>
      <c r="D71" s="90">
        <v>4</v>
      </c>
      <c r="E71" s="92">
        <v>5.2645433008700004E-4</v>
      </c>
      <c r="F71" s="43"/>
      <c r="G71" s="43"/>
    </row>
    <row r="72" spans="2:7" ht="15" customHeight="1">
      <c r="B72" s="109" t="s">
        <v>169</v>
      </c>
      <c r="C72" s="70" t="s">
        <v>204</v>
      </c>
      <c r="D72" s="77">
        <v>1</v>
      </c>
      <c r="E72" s="78">
        <v>1.31613582522E-4</v>
      </c>
      <c r="F72" s="43"/>
      <c r="G72" s="43"/>
    </row>
    <row r="73" spans="2:7" ht="15" customHeight="1">
      <c r="B73" s="110"/>
      <c r="C73" s="70" t="s">
        <v>205</v>
      </c>
      <c r="D73" s="77">
        <v>4</v>
      </c>
      <c r="E73" s="78">
        <v>5.2645433008700004E-4</v>
      </c>
      <c r="F73" s="43"/>
      <c r="G73" s="43"/>
    </row>
    <row r="74" spans="2:7" ht="15" customHeight="1">
      <c r="B74" s="111"/>
      <c r="C74" s="91" t="s">
        <v>258</v>
      </c>
      <c r="D74" s="90">
        <v>5</v>
      </c>
      <c r="E74" s="92">
        <v>6.5806791260900001E-4</v>
      </c>
      <c r="F74" s="43"/>
      <c r="G74" s="43"/>
    </row>
    <row r="75" spans="2:7" ht="15" customHeight="1">
      <c r="B75" s="109" t="s">
        <v>156</v>
      </c>
      <c r="C75" s="70" t="s">
        <v>204</v>
      </c>
      <c r="D75" s="77">
        <v>12</v>
      </c>
      <c r="E75" s="78">
        <v>1.5793629902610001E-3</v>
      </c>
      <c r="F75" s="43"/>
      <c r="G75" s="43"/>
    </row>
    <row r="76" spans="2:7" ht="15" customHeight="1">
      <c r="B76" s="110"/>
      <c r="C76" s="70" t="s">
        <v>205</v>
      </c>
      <c r="D76" s="77">
        <v>13</v>
      </c>
      <c r="E76" s="78">
        <v>1.7109765727819999E-3</v>
      </c>
      <c r="F76" s="43"/>
      <c r="G76" s="43"/>
    </row>
    <row r="77" spans="2:7" ht="15" customHeight="1">
      <c r="B77" s="111"/>
      <c r="C77" s="91" t="s">
        <v>258</v>
      </c>
      <c r="D77" s="90">
        <v>25</v>
      </c>
      <c r="E77" s="92">
        <v>3.290339563043E-3</v>
      </c>
      <c r="F77" s="43"/>
      <c r="G77" s="43"/>
    </row>
    <row r="78" spans="2:7" ht="15" customHeight="1">
      <c r="B78" s="109" t="s">
        <v>149</v>
      </c>
      <c r="C78" s="70" t="s">
        <v>204</v>
      </c>
      <c r="D78" s="77">
        <v>16</v>
      </c>
      <c r="E78" s="78">
        <v>2.1058173203470001E-3</v>
      </c>
      <c r="F78" s="43"/>
      <c r="G78" s="43"/>
    </row>
    <row r="79" spans="2:7" ht="15" customHeight="1">
      <c r="B79" s="110"/>
      <c r="C79" s="70" t="s">
        <v>205</v>
      </c>
      <c r="D79" s="77">
        <v>25</v>
      </c>
      <c r="E79" s="78">
        <v>3.290339563043E-3</v>
      </c>
      <c r="F79" s="43"/>
      <c r="G79" s="43"/>
    </row>
    <row r="80" spans="2:7" ht="15" customHeight="1">
      <c r="B80" s="111"/>
      <c r="C80" s="91" t="s">
        <v>258</v>
      </c>
      <c r="D80" s="90">
        <v>41</v>
      </c>
      <c r="E80" s="92">
        <v>5.3961568833900001E-3</v>
      </c>
      <c r="F80" s="43"/>
      <c r="G80" s="43"/>
    </row>
    <row r="81" spans="2:7" ht="15" customHeight="1">
      <c r="B81" s="109" t="s">
        <v>166</v>
      </c>
      <c r="C81" s="70" t="s">
        <v>204</v>
      </c>
      <c r="D81" s="77">
        <v>4</v>
      </c>
      <c r="E81" s="78">
        <v>5.2645433008700004E-4</v>
      </c>
      <c r="F81" s="43"/>
      <c r="G81" s="43"/>
    </row>
    <row r="82" spans="2:7" ht="15" customHeight="1">
      <c r="B82" s="110"/>
      <c r="C82" s="70" t="s">
        <v>205</v>
      </c>
      <c r="D82" s="77">
        <v>5</v>
      </c>
      <c r="E82" s="78">
        <v>6.5806791260900001E-4</v>
      </c>
      <c r="F82" s="43"/>
      <c r="G82" s="43"/>
    </row>
    <row r="83" spans="2:7" ht="15" customHeight="1">
      <c r="B83" s="111"/>
      <c r="C83" s="91" t="s">
        <v>258</v>
      </c>
      <c r="D83" s="90">
        <v>9</v>
      </c>
      <c r="E83" s="92">
        <v>1.1845222426950001E-3</v>
      </c>
      <c r="F83" s="43"/>
      <c r="G83" s="43"/>
    </row>
    <row r="84" spans="2:7" ht="15" customHeight="1">
      <c r="B84" s="109" t="s">
        <v>154</v>
      </c>
      <c r="C84" s="70" t="s">
        <v>204</v>
      </c>
      <c r="D84" s="77">
        <v>14</v>
      </c>
      <c r="E84" s="78">
        <v>1.842590155304E-3</v>
      </c>
      <c r="F84" s="43"/>
      <c r="G84" s="43"/>
    </row>
    <row r="85" spans="2:7" ht="15" customHeight="1">
      <c r="B85" s="110"/>
      <c r="C85" s="70" t="s">
        <v>205</v>
      </c>
      <c r="D85" s="77">
        <v>21</v>
      </c>
      <c r="E85" s="78">
        <v>2.7638852329560002E-3</v>
      </c>
      <c r="F85" s="43"/>
      <c r="G85" s="43"/>
    </row>
    <row r="86" spans="2:7" ht="15" customHeight="1">
      <c r="B86" s="111"/>
      <c r="C86" s="91" t="s">
        <v>258</v>
      </c>
      <c r="D86" s="90">
        <v>35</v>
      </c>
      <c r="E86" s="92">
        <v>4.6064753882600002E-3</v>
      </c>
      <c r="F86" s="43"/>
      <c r="G86" s="43"/>
    </row>
    <row r="87" spans="2:7" ht="15" customHeight="1">
      <c r="B87" s="109" t="s">
        <v>177</v>
      </c>
      <c r="C87" s="70" t="s">
        <v>204</v>
      </c>
      <c r="D87" s="77">
        <v>1</v>
      </c>
      <c r="E87" s="78">
        <v>1.31613582522E-4</v>
      </c>
      <c r="F87" s="43"/>
      <c r="G87" s="43"/>
    </row>
    <row r="88" spans="2:7" ht="15" customHeight="1">
      <c r="B88" s="110"/>
      <c r="C88" s="70" t="s">
        <v>205</v>
      </c>
      <c r="D88" s="77">
        <v>1</v>
      </c>
      <c r="E88" s="78">
        <v>1.31613582522E-4</v>
      </c>
      <c r="F88" s="43"/>
      <c r="G88" s="43"/>
    </row>
    <row r="89" spans="2:7" ht="15" customHeight="1">
      <c r="B89" s="111"/>
      <c r="C89" s="91" t="s">
        <v>258</v>
      </c>
      <c r="D89" s="90">
        <v>2</v>
      </c>
      <c r="E89" s="92">
        <v>2.6322716504299998E-4</v>
      </c>
      <c r="F89" s="43"/>
      <c r="G89" s="43"/>
    </row>
    <row r="90" spans="2:7" ht="15" customHeight="1">
      <c r="B90" s="109" t="s">
        <v>155</v>
      </c>
      <c r="C90" s="70" t="s">
        <v>204</v>
      </c>
      <c r="D90" s="77">
        <v>11</v>
      </c>
      <c r="E90" s="78">
        <v>1.447749407739E-3</v>
      </c>
      <c r="F90" s="43"/>
      <c r="G90" s="43"/>
    </row>
    <row r="91" spans="2:7" ht="15" customHeight="1">
      <c r="B91" s="110"/>
      <c r="C91" s="70" t="s">
        <v>205</v>
      </c>
      <c r="D91" s="77">
        <v>15</v>
      </c>
      <c r="E91" s="78">
        <v>1.9742037378259998E-3</v>
      </c>
      <c r="F91" s="43"/>
      <c r="G91" s="43"/>
    </row>
    <row r="92" spans="2:7" ht="15" customHeight="1">
      <c r="B92" s="110"/>
      <c r="C92" s="70" t="s">
        <v>206</v>
      </c>
      <c r="D92" s="77">
        <v>1</v>
      </c>
      <c r="E92" s="78">
        <v>1.31613582522E-4</v>
      </c>
      <c r="F92" s="43"/>
      <c r="G92" s="43"/>
    </row>
    <row r="93" spans="2:7" ht="15" customHeight="1">
      <c r="B93" s="111"/>
      <c r="C93" s="91" t="s">
        <v>258</v>
      </c>
      <c r="D93" s="90">
        <v>27</v>
      </c>
      <c r="E93" s="92">
        <v>3.5535667280860001E-3</v>
      </c>
      <c r="F93" s="43"/>
      <c r="G93" s="43"/>
    </row>
    <row r="94" spans="2:7" ht="15" customHeight="1">
      <c r="B94" s="109" t="s">
        <v>137</v>
      </c>
      <c r="C94" s="70" t="s">
        <v>204</v>
      </c>
      <c r="D94" s="77">
        <v>194</v>
      </c>
      <c r="E94" s="78">
        <v>2.5533035009213001E-2</v>
      </c>
      <c r="F94" s="43"/>
      <c r="G94" s="43"/>
    </row>
    <row r="95" spans="2:7" ht="15" customHeight="1">
      <c r="B95" s="110"/>
      <c r="C95" s="70" t="s">
        <v>205</v>
      </c>
      <c r="D95" s="77">
        <v>164</v>
      </c>
      <c r="E95" s="78">
        <v>2.1584627533561E-2</v>
      </c>
      <c r="F95" s="43"/>
      <c r="G95" s="43"/>
    </row>
    <row r="96" spans="2:7" ht="15" customHeight="1">
      <c r="B96" s="111"/>
      <c r="C96" s="91" t="s">
        <v>258</v>
      </c>
      <c r="D96" s="90">
        <v>358</v>
      </c>
      <c r="E96" s="92">
        <v>4.7117662542773997E-2</v>
      </c>
      <c r="F96" s="43"/>
      <c r="G96" s="43"/>
    </row>
    <row r="97" spans="2:7" ht="15" customHeight="1">
      <c r="B97" s="109" t="s">
        <v>180</v>
      </c>
      <c r="C97" s="70" t="s">
        <v>205</v>
      </c>
      <c r="D97" s="77">
        <v>1</v>
      </c>
      <c r="E97" s="78">
        <v>1.31613582522E-4</v>
      </c>
      <c r="F97" s="43"/>
      <c r="G97" s="43"/>
    </row>
    <row r="98" spans="2:7" ht="15" customHeight="1">
      <c r="B98" s="111"/>
      <c r="C98" s="91" t="s">
        <v>258</v>
      </c>
      <c r="D98" s="90">
        <v>1</v>
      </c>
      <c r="E98" s="92">
        <v>1.31613582522E-4</v>
      </c>
      <c r="F98" s="43"/>
      <c r="G98" s="43"/>
    </row>
    <row r="99" spans="2:7" ht="15" customHeight="1">
      <c r="B99" s="109" t="s">
        <v>161</v>
      </c>
      <c r="C99" s="70" t="s">
        <v>204</v>
      </c>
      <c r="D99" s="77">
        <v>7</v>
      </c>
      <c r="E99" s="78">
        <v>9.2129507765199999E-4</v>
      </c>
      <c r="F99" s="43"/>
      <c r="G99" s="43"/>
    </row>
    <row r="100" spans="2:7" ht="15" customHeight="1">
      <c r="B100" s="110"/>
      <c r="C100" s="70" t="s">
        <v>205</v>
      </c>
      <c r="D100" s="77">
        <v>12</v>
      </c>
      <c r="E100" s="78">
        <v>1.5793629902610001E-3</v>
      </c>
      <c r="F100" s="43"/>
      <c r="G100" s="43"/>
    </row>
    <row r="101" spans="2:7" ht="15" customHeight="1">
      <c r="B101" s="111"/>
      <c r="C101" s="91" t="s">
        <v>258</v>
      </c>
      <c r="D101" s="90">
        <v>19</v>
      </c>
      <c r="E101" s="92">
        <v>2.5006580679130001E-3</v>
      </c>
      <c r="F101" s="43"/>
      <c r="G101" s="43"/>
    </row>
    <row r="102" spans="2:7" ht="15" customHeight="1">
      <c r="B102" s="109" t="s">
        <v>162</v>
      </c>
      <c r="C102" s="70" t="s">
        <v>204</v>
      </c>
      <c r="D102" s="77">
        <v>8</v>
      </c>
      <c r="E102" s="78">
        <v>1.0529086601740001E-3</v>
      </c>
      <c r="F102" s="43"/>
      <c r="G102" s="43"/>
    </row>
    <row r="103" spans="2:7" ht="15" customHeight="1">
      <c r="B103" s="110"/>
      <c r="C103" s="70" t="s">
        <v>205</v>
      </c>
      <c r="D103" s="77">
        <v>11</v>
      </c>
      <c r="E103" s="78">
        <v>1.447749407739E-3</v>
      </c>
      <c r="F103" s="43"/>
      <c r="G103" s="43"/>
    </row>
    <row r="104" spans="2:7" ht="15" customHeight="1">
      <c r="B104" s="111"/>
      <c r="C104" s="91" t="s">
        <v>258</v>
      </c>
      <c r="D104" s="90">
        <v>19</v>
      </c>
      <c r="E104" s="92">
        <v>2.5006580679130001E-3</v>
      </c>
      <c r="F104" s="43"/>
      <c r="G104" s="43"/>
    </row>
    <row r="105" spans="2:7" ht="15" customHeight="1">
      <c r="B105" s="109" t="s">
        <v>153</v>
      </c>
      <c r="C105" s="70" t="s">
        <v>204</v>
      </c>
      <c r="D105" s="77">
        <v>13</v>
      </c>
      <c r="E105" s="78">
        <v>1.7109765727819999E-3</v>
      </c>
      <c r="F105" s="43"/>
      <c r="G105" s="43"/>
    </row>
    <row r="106" spans="2:7" ht="15" customHeight="1">
      <c r="B106" s="110"/>
      <c r="C106" s="70" t="s">
        <v>205</v>
      </c>
      <c r="D106" s="77">
        <v>25</v>
      </c>
      <c r="E106" s="78">
        <v>3.290339563043E-3</v>
      </c>
      <c r="F106" s="43"/>
      <c r="G106" s="43"/>
    </row>
    <row r="107" spans="2:7" ht="15" customHeight="1">
      <c r="B107" s="110"/>
      <c r="C107" s="70" t="s">
        <v>206</v>
      </c>
      <c r="D107" s="77">
        <v>1</v>
      </c>
      <c r="E107" s="78">
        <v>1.31613582522E-4</v>
      </c>
      <c r="F107" s="43"/>
      <c r="G107" s="43"/>
    </row>
    <row r="108" spans="2:7" ht="15" customHeight="1">
      <c r="B108" s="111"/>
      <c r="C108" s="91" t="s">
        <v>258</v>
      </c>
      <c r="D108" s="90">
        <v>39</v>
      </c>
      <c r="E108" s="92">
        <v>5.1329297183470004E-3</v>
      </c>
      <c r="F108" s="43"/>
      <c r="G108" s="43"/>
    </row>
    <row r="109" spans="2:7" ht="15" customHeight="1">
      <c r="B109" s="109" t="s">
        <v>144</v>
      </c>
      <c r="C109" s="70" t="s">
        <v>204</v>
      </c>
      <c r="D109" s="77">
        <v>27</v>
      </c>
      <c r="E109" s="78">
        <v>3.5535667280860001E-3</v>
      </c>
      <c r="F109" s="43"/>
      <c r="G109" s="43"/>
    </row>
    <row r="110" spans="2:7" ht="15" customHeight="1">
      <c r="B110" s="110"/>
      <c r="C110" s="70" t="s">
        <v>205</v>
      </c>
      <c r="D110" s="77">
        <v>26</v>
      </c>
      <c r="E110" s="78">
        <v>3.4219531455649999E-3</v>
      </c>
      <c r="F110" s="43"/>
      <c r="G110" s="43"/>
    </row>
    <row r="111" spans="2:7" ht="15" customHeight="1">
      <c r="B111" s="111"/>
      <c r="C111" s="91" t="s">
        <v>258</v>
      </c>
      <c r="D111" s="90">
        <v>53</v>
      </c>
      <c r="E111" s="92">
        <v>6.975519873651E-3</v>
      </c>
      <c r="F111" s="43"/>
      <c r="G111" s="43"/>
    </row>
    <row r="112" spans="2:7" ht="15" customHeight="1">
      <c r="B112" s="109" t="s">
        <v>174</v>
      </c>
      <c r="C112" s="70" t="s">
        <v>204</v>
      </c>
      <c r="D112" s="77">
        <v>2</v>
      </c>
      <c r="E112" s="78">
        <v>2.6322716504299998E-4</v>
      </c>
      <c r="F112" s="43"/>
      <c r="G112" s="43"/>
    </row>
    <row r="113" spans="2:7" ht="15" customHeight="1">
      <c r="B113" s="110"/>
      <c r="C113" s="70" t="s">
        <v>205</v>
      </c>
      <c r="D113" s="77">
        <v>1</v>
      </c>
      <c r="E113" s="78">
        <v>1.31613582522E-4</v>
      </c>
      <c r="F113" s="43"/>
      <c r="G113" s="43"/>
    </row>
    <row r="114" spans="2:7" ht="15" customHeight="1">
      <c r="B114" s="111"/>
      <c r="C114" s="91" t="s">
        <v>258</v>
      </c>
      <c r="D114" s="90">
        <v>3</v>
      </c>
      <c r="E114" s="92">
        <v>3.9484074756500001E-4</v>
      </c>
      <c r="F114" s="43"/>
      <c r="G114" s="43"/>
    </row>
    <row r="115" spans="2:7" ht="15" customHeight="1">
      <c r="B115" s="109" t="s">
        <v>158</v>
      </c>
      <c r="C115" s="70" t="s">
        <v>204</v>
      </c>
      <c r="D115" s="77">
        <v>12</v>
      </c>
      <c r="E115" s="78">
        <v>1.5793629902610001E-3</v>
      </c>
      <c r="F115" s="43"/>
      <c r="G115" s="43"/>
    </row>
    <row r="116" spans="2:7" ht="15" customHeight="1">
      <c r="B116" s="110"/>
      <c r="C116" s="70" t="s">
        <v>205</v>
      </c>
      <c r="D116" s="77">
        <v>9</v>
      </c>
      <c r="E116" s="78">
        <v>1.1845222426950001E-3</v>
      </c>
      <c r="F116" s="43"/>
      <c r="G116" s="43"/>
    </row>
    <row r="117" spans="2:7" ht="15" customHeight="1">
      <c r="B117" s="111"/>
      <c r="C117" s="91" t="s">
        <v>258</v>
      </c>
      <c r="D117" s="90">
        <v>21</v>
      </c>
      <c r="E117" s="92">
        <v>2.7638852329560002E-3</v>
      </c>
      <c r="F117" s="43"/>
      <c r="G117" s="43"/>
    </row>
    <row r="118" spans="2:7" ht="15" customHeight="1">
      <c r="B118" s="109" t="s">
        <v>141</v>
      </c>
      <c r="C118" s="70" t="s">
        <v>204</v>
      </c>
      <c r="D118" s="77">
        <v>30</v>
      </c>
      <c r="E118" s="78">
        <v>3.9484074756509996E-3</v>
      </c>
      <c r="F118" s="43"/>
      <c r="G118" s="43"/>
    </row>
    <row r="119" spans="2:7" ht="15" customHeight="1">
      <c r="B119" s="110"/>
      <c r="C119" s="70" t="s">
        <v>205</v>
      </c>
      <c r="D119" s="77">
        <v>43</v>
      </c>
      <c r="E119" s="78">
        <v>5.6593840484339998E-3</v>
      </c>
      <c r="F119" s="43"/>
      <c r="G119" s="43"/>
    </row>
    <row r="120" spans="2:7" ht="15" customHeight="1">
      <c r="B120" s="111"/>
      <c r="C120" s="91" t="s">
        <v>258</v>
      </c>
      <c r="D120" s="90">
        <v>73</v>
      </c>
      <c r="E120" s="92">
        <v>9.6077915240850003E-3</v>
      </c>
      <c r="F120" s="43"/>
      <c r="G120" s="43"/>
    </row>
    <row r="121" spans="2:7" ht="15" customHeight="1">
      <c r="B121" s="109" t="s">
        <v>148</v>
      </c>
      <c r="C121" s="70" t="s">
        <v>204</v>
      </c>
      <c r="D121" s="77">
        <v>24</v>
      </c>
      <c r="E121" s="78">
        <v>3.1587259805210001E-3</v>
      </c>
      <c r="F121" s="43"/>
      <c r="G121" s="43"/>
    </row>
    <row r="122" spans="2:7" ht="15" customHeight="1">
      <c r="B122" s="110"/>
      <c r="C122" s="70" t="s">
        <v>205</v>
      </c>
      <c r="D122" s="77">
        <v>18</v>
      </c>
      <c r="E122" s="78">
        <v>2.3690444853909998E-3</v>
      </c>
      <c r="F122" s="43"/>
      <c r="G122" s="43"/>
    </row>
    <row r="123" spans="2:7" ht="15" customHeight="1">
      <c r="B123" s="111"/>
      <c r="C123" s="91" t="s">
        <v>258</v>
      </c>
      <c r="D123" s="90">
        <v>42</v>
      </c>
      <c r="E123" s="92">
        <v>5.5277704659120004E-3</v>
      </c>
      <c r="F123" s="43"/>
      <c r="G123" s="43"/>
    </row>
    <row r="124" spans="2:7" ht="15" customHeight="1">
      <c r="B124" s="109" t="s">
        <v>164</v>
      </c>
      <c r="C124" s="70" t="s">
        <v>204</v>
      </c>
      <c r="D124" s="77">
        <v>4</v>
      </c>
      <c r="E124" s="78">
        <v>5.2645433008700004E-4</v>
      </c>
      <c r="F124" s="43"/>
      <c r="G124" s="43"/>
    </row>
    <row r="125" spans="2:7" ht="15" customHeight="1">
      <c r="B125" s="110"/>
      <c r="C125" s="70" t="s">
        <v>205</v>
      </c>
      <c r="D125" s="77">
        <v>8</v>
      </c>
      <c r="E125" s="78">
        <v>1.0529086601740001E-3</v>
      </c>
      <c r="F125" s="43"/>
      <c r="G125" s="43"/>
    </row>
    <row r="126" spans="2:7" ht="15" customHeight="1">
      <c r="B126" s="111"/>
      <c r="C126" s="91" t="s">
        <v>258</v>
      </c>
      <c r="D126" s="90">
        <v>12</v>
      </c>
      <c r="E126" s="92">
        <v>1.5793629902610001E-3</v>
      </c>
      <c r="F126" s="43"/>
      <c r="G126" s="43"/>
    </row>
    <row r="127" spans="2:7" ht="15" customHeight="1">
      <c r="B127" s="109" t="s">
        <v>181</v>
      </c>
      <c r="C127" s="70" t="s">
        <v>204</v>
      </c>
      <c r="D127" s="77">
        <v>1</v>
      </c>
      <c r="E127" s="78">
        <v>1.31613582522E-4</v>
      </c>
      <c r="F127" s="43"/>
      <c r="G127" s="43"/>
    </row>
    <row r="128" spans="2:7" ht="15" customHeight="1">
      <c r="B128" s="111"/>
      <c r="C128" s="91" t="s">
        <v>258</v>
      </c>
      <c r="D128" s="90">
        <v>1</v>
      </c>
      <c r="E128" s="92">
        <v>1.31613582522E-4</v>
      </c>
      <c r="F128" s="43"/>
      <c r="G128" s="43"/>
    </row>
    <row r="129" spans="2:7" ht="15" customHeight="1">
      <c r="B129" s="109" t="s">
        <v>160</v>
      </c>
      <c r="C129" s="70" t="s">
        <v>204</v>
      </c>
      <c r="D129" s="77">
        <v>9</v>
      </c>
      <c r="E129" s="78">
        <v>1.1845222426950001E-3</v>
      </c>
      <c r="F129" s="43"/>
      <c r="G129" s="43"/>
    </row>
    <row r="130" spans="2:7" ht="15" customHeight="1">
      <c r="B130" s="110"/>
      <c r="C130" s="70" t="s">
        <v>205</v>
      </c>
      <c r="D130" s="77">
        <v>11</v>
      </c>
      <c r="E130" s="78">
        <v>1.447749407739E-3</v>
      </c>
      <c r="F130" s="43"/>
      <c r="G130" s="43"/>
    </row>
    <row r="131" spans="2:7" ht="15" customHeight="1">
      <c r="B131" s="111"/>
      <c r="C131" s="91" t="s">
        <v>258</v>
      </c>
      <c r="D131" s="90">
        <v>20</v>
      </c>
      <c r="E131" s="92">
        <v>2.6322716504339999E-3</v>
      </c>
      <c r="F131" s="43"/>
      <c r="G131" s="43"/>
    </row>
    <row r="132" spans="2:7" ht="15" customHeight="1">
      <c r="B132" s="109" t="s">
        <v>171</v>
      </c>
      <c r="C132" s="70" t="s">
        <v>204</v>
      </c>
      <c r="D132" s="77">
        <v>2</v>
      </c>
      <c r="E132" s="78">
        <v>2.6322716504299998E-4</v>
      </c>
      <c r="F132" s="43"/>
      <c r="G132" s="43"/>
    </row>
    <row r="133" spans="2:7" ht="15" customHeight="1">
      <c r="B133" s="110"/>
      <c r="C133" s="70" t="s">
        <v>205</v>
      </c>
      <c r="D133" s="77">
        <v>2</v>
      </c>
      <c r="E133" s="78">
        <v>2.6322716504299998E-4</v>
      </c>
      <c r="F133" s="43"/>
      <c r="G133" s="43"/>
    </row>
    <row r="134" spans="2:7" ht="15" customHeight="1">
      <c r="B134" s="111"/>
      <c r="C134" s="91" t="s">
        <v>258</v>
      </c>
      <c r="D134" s="90">
        <v>4</v>
      </c>
      <c r="E134" s="92">
        <v>5.2645433008700004E-4</v>
      </c>
      <c r="F134" s="43"/>
      <c r="G134" s="43"/>
    </row>
    <row r="135" spans="2:7" ht="15" customHeight="1">
      <c r="B135" s="109" t="s">
        <v>142</v>
      </c>
      <c r="C135" s="70" t="s">
        <v>204</v>
      </c>
      <c r="D135" s="77">
        <v>30</v>
      </c>
      <c r="E135" s="78">
        <v>3.9484074756509996E-3</v>
      </c>
      <c r="F135" s="43"/>
      <c r="G135" s="43"/>
    </row>
    <row r="136" spans="2:7" ht="15" customHeight="1">
      <c r="B136" s="110"/>
      <c r="C136" s="70" t="s">
        <v>205</v>
      </c>
      <c r="D136" s="77">
        <v>35</v>
      </c>
      <c r="E136" s="78">
        <v>4.6064753882600002E-3</v>
      </c>
      <c r="F136" s="43"/>
      <c r="G136" s="43"/>
    </row>
    <row r="137" spans="2:7" ht="15" customHeight="1">
      <c r="B137" s="111"/>
      <c r="C137" s="91" t="s">
        <v>258</v>
      </c>
      <c r="D137" s="90">
        <v>65</v>
      </c>
      <c r="E137" s="92">
        <v>8.5548828639120007E-3</v>
      </c>
      <c r="F137" s="43"/>
      <c r="G137" s="43"/>
    </row>
    <row r="138" spans="2:7" ht="15" customHeight="1">
      <c r="B138" s="109" t="s">
        <v>136</v>
      </c>
      <c r="C138" s="70" t="s">
        <v>204</v>
      </c>
      <c r="D138" s="77">
        <v>183</v>
      </c>
      <c r="E138" s="78">
        <v>2.4085285601474E-2</v>
      </c>
      <c r="F138" s="43"/>
      <c r="G138" s="43"/>
    </row>
    <row r="139" spans="2:7" ht="15" customHeight="1">
      <c r="B139" s="110"/>
      <c r="C139" s="70" t="s">
        <v>205</v>
      </c>
      <c r="D139" s="77">
        <v>198</v>
      </c>
      <c r="E139" s="78">
        <v>2.6059489339299999E-2</v>
      </c>
      <c r="F139" s="43"/>
      <c r="G139" s="43"/>
    </row>
    <row r="140" spans="2:7" ht="15" customHeight="1">
      <c r="B140" s="111"/>
      <c r="C140" s="91" t="s">
        <v>258</v>
      </c>
      <c r="D140" s="90">
        <v>381</v>
      </c>
      <c r="E140" s="92">
        <v>5.0144774940774003E-2</v>
      </c>
      <c r="F140" s="43"/>
      <c r="G140" s="43"/>
    </row>
    <row r="141" spans="2:7" ht="15" customHeight="1">
      <c r="B141" s="109" t="s">
        <v>139</v>
      </c>
      <c r="C141" s="70" t="s">
        <v>204</v>
      </c>
      <c r="D141" s="77">
        <v>64</v>
      </c>
      <c r="E141" s="78">
        <v>8.4232692813900004E-3</v>
      </c>
      <c r="F141" s="43"/>
      <c r="G141" s="43"/>
    </row>
    <row r="142" spans="2:7" ht="15" customHeight="1">
      <c r="B142" s="110"/>
      <c r="C142" s="70" t="s">
        <v>205</v>
      </c>
      <c r="D142" s="77">
        <v>48</v>
      </c>
      <c r="E142" s="78">
        <v>6.3174519610420003E-3</v>
      </c>
      <c r="F142" s="43"/>
      <c r="G142" s="43"/>
    </row>
    <row r="143" spans="2:7" ht="15" customHeight="1">
      <c r="B143" s="111"/>
      <c r="C143" s="91" t="s">
        <v>258</v>
      </c>
      <c r="D143" s="90">
        <v>112</v>
      </c>
      <c r="E143" s="92">
        <v>1.4740721242432E-2</v>
      </c>
      <c r="F143" s="43"/>
      <c r="G143" s="43"/>
    </row>
    <row r="144" spans="2:7" ht="15" customHeight="1">
      <c r="B144" s="109" t="s">
        <v>182</v>
      </c>
      <c r="C144" s="70" t="s">
        <v>205</v>
      </c>
      <c r="D144" s="77">
        <v>1</v>
      </c>
      <c r="E144" s="78">
        <v>1.31613582522E-4</v>
      </c>
      <c r="F144" s="43"/>
      <c r="G144" s="43"/>
    </row>
    <row r="145" spans="2:7" ht="15" customHeight="1">
      <c r="B145" s="111"/>
      <c r="C145" s="91" t="s">
        <v>258</v>
      </c>
      <c r="D145" s="90">
        <v>1</v>
      </c>
      <c r="E145" s="92">
        <v>1.31613582522E-4</v>
      </c>
      <c r="F145" s="43"/>
      <c r="G145" s="43"/>
    </row>
    <row r="146" spans="2:7" ht="14.5" customHeight="1">
      <c r="B146" s="109" t="s">
        <v>165</v>
      </c>
      <c r="C146" s="70" t="s">
        <v>204</v>
      </c>
      <c r="D146" s="77">
        <v>5</v>
      </c>
      <c r="E146" s="78">
        <v>6.5806791260900001E-4</v>
      </c>
      <c r="F146" s="43"/>
      <c r="G146" s="43"/>
    </row>
    <row r="147" spans="2:7" ht="14.5" customHeight="1">
      <c r="B147" s="110"/>
      <c r="C147" s="70" t="s">
        <v>205</v>
      </c>
      <c r="D147" s="77">
        <v>6</v>
      </c>
      <c r="E147" s="78">
        <v>7.8968149513000002E-4</v>
      </c>
      <c r="F147" s="43"/>
      <c r="G147" s="43"/>
    </row>
    <row r="148" spans="2:7" ht="14.5" customHeight="1">
      <c r="B148" s="111"/>
      <c r="C148" s="91" t="s">
        <v>258</v>
      </c>
      <c r="D148" s="90">
        <v>11</v>
      </c>
      <c r="E148" s="92">
        <v>1.447749407739E-3</v>
      </c>
      <c r="F148" s="43"/>
      <c r="G148" s="43"/>
    </row>
    <row r="149" spans="2:7" ht="14.5" customHeight="1">
      <c r="B149" s="109" t="s">
        <v>87</v>
      </c>
      <c r="C149" s="70" t="s">
        <v>204</v>
      </c>
      <c r="D149" s="77">
        <v>30</v>
      </c>
      <c r="E149" s="78">
        <v>3.9484074756509996E-3</v>
      </c>
      <c r="F149" s="43"/>
      <c r="G149" s="43"/>
    </row>
    <row r="150" spans="2:7" ht="14.5" customHeight="1">
      <c r="B150" s="110"/>
      <c r="C150" s="70" t="s">
        <v>205</v>
      </c>
      <c r="D150" s="77">
        <v>25</v>
      </c>
      <c r="E150" s="78">
        <v>3.290339563043E-3</v>
      </c>
      <c r="F150" s="43"/>
      <c r="G150" s="43"/>
    </row>
    <row r="151" spans="2:7" ht="14.5" customHeight="1">
      <c r="B151" s="111"/>
      <c r="C151" s="91" t="s">
        <v>258</v>
      </c>
      <c r="D151" s="90">
        <v>55</v>
      </c>
      <c r="E151" s="92">
        <v>7.2387470386939996E-3</v>
      </c>
      <c r="F151" s="43"/>
      <c r="G151" s="43"/>
    </row>
    <row r="152" spans="2:7" ht="13">
      <c r="B152" s="109" t="s">
        <v>183</v>
      </c>
      <c r="C152" s="70" t="s">
        <v>205</v>
      </c>
      <c r="D152" s="77">
        <v>1</v>
      </c>
      <c r="E152" s="78">
        <v>1.31613582522E-4</v>
      </c>
      <c r="F152" s="43"/>
      <c r="G152" s="43"/>
    </row>
    <row r="153" spans="2:7" ht="13">
      <c r="B153" s="111"/>
      <c r="C153" s="91" t="s">
        <v>258</v>
      </c>
      <c r="D153" s="90">
        <v>1</v>
      </c>
      <c r="E153" s="92">
        <v>1.31613582522E-4</v>
      </c>
      <c r="F153" s="43"/>
      <c r="G153" s="43"/>
    </row>
    <row r="154" spans="2:7" ht="13">
      <c r="B154" s="109" t="s">
        <v>145</v>
      </c>
      <c r="C154" s="70" t="s">
        <v>204</v>
      </c>
      <c r="D154" s="77">
        <v>28</v>
      </c>
      <c r="E154" s="78">
        <v>3.685180310608E-3</v>
      </c>
      <c r="F154" s="43"/>
      <c r="G154" s="43"/>
    </row>
    <row r="155" spans="2:7" ht="13">
      <c r="B155" s="110"/>
      <c r="C155" s="70" t="s">
        <v>205</v>
      </c>
      <c r="D155" s="77">
        <v>25</v>
      </c>
      <c r="E155" s="78">
        <v>3.290339563043E-3</v>
      </c>
      <c r="F155" s="43"/>
      <c r="G155" s="43"/>
    </row>
    <row r="156" spans="2:7" ht="13">
      <c r="B156" s="111"/>
      <c r="C156" s="91" t="s">
        <v>258</v>
      </c>
      <c r="D156" s="90">
        <v>53</v>
      </c>
      <c r="E156" s="92">
        <v>6.975519873651E-3</v>
      </c>
      <c r="F156" s="43"/>
      <c r="G156" s="43"/>
    </row>
    <row r="157" spans="2:7" ht="13">
      <c r="B157" s="109" t="s">
        <v>167</v>
      </c>
      <c r="C157" s="70" t="s">
        <v>204</v>
      </c>
      <c r="D157" s="77">
        <v>1</v>
      </c>
      <c r="E157" s="78">
        <v>1.31613582522E-4</v>
      </c>
      <c r="F157" s="43"/>
      <c r="G157" s="43"/>
    </row>
    <row r="158" spans="2:7" ht="13">
      <c r="B158" s="110"/>
      <c r="C158" s="70" t="s">
        <v>205</v>
      </c>
      <c r="D158" s="77">
        <v>7</v>
      </c>
      <c r="E158" s="78">
        <v>9.2129507765199999E-4</v>
      </c>
      <c r="F158" s="43"/>
      <c r="G158" s="43"/>
    </row>
    <row r="159" spans="2:7" ht="13">
      <c r="B159" s="111"/>
      <c r="C159" s="91" t="s">
        <v>258</v>
      </c>
      <c r="D159" s="90">
        <v>8</v>
      </c>
      <c r="E159" s="92">
        <v>1.0529086601740001E-3</v>
      </c>
      <c r="F159" s="43"/>
      <c r="G159" s="43"/>
    </row>
    <row r="160" spans="2:7" ht="13">
      <c r="B160" s="106" t="s">
        <v>258</v>
      </c>
      <c r="C160" s="107"/>
      <c r="D160" s="80">
        <v>7598</v>
      </c>
      <c r="E160" s="81">
        <v>1</v>
      </c>
      <c r="F160" s="43"/>
      <c r="G160" s="43"/>
    </row>
    <row r="161" spans="1:7" ht="12">
      <c r="B161" s="53"/>
      <c r="C161" s="53"/>
      <c r="D161" s="54"/>
      <c r="E161" s="53"/>
      <c r="F161" s="43"/>
      <c r="G161" s="43"/>
    </row>
    <row r="162" spans="1:7" ht="16.5">
      <c r="A162" s="13"/>
      <c r="B162" s="50" t="s">
        <v>130</v>
      </c>
      <c r="C162" s="49"/>
      <c r="D162" s="44"/>
      <c r="E162" s="44"/>
      <c r="F162" s="44"/>
      <c r="G162" s="43"/>
    </row>
    <row r="163" spans="1:7" ht="16.5">
      <c r="A163" s="13"/>
      <c r="B163" s="51" t="s">
        <v>17</v>
      </c>
      <c r="C163" s="49"/>
      <c r="D163" s="44"/>
      <c r="E163" s="44"/>
      <c r="F163" s="44"/>
      <c r="G163" s="43"/>
    </row>
    <row r="164" spans="1:7" ht="16.5">
      <c r="A164" s="13"/>
      <c r="B164" s="48" t="s">
        <v>45</v>
      </c>
      <c r="C164" s="49"/>
      <c r="D164" s="44"/>
      <c r="E164" s="44"/>
      <c r="F164" s="44"/>
      <c r="G164" s="43"/>
    </row>
    <row r="165" spans="1:7" ht="16.5">
      <c r="A165" s="13"/>
      <c r="B165" s="48" t="s">
        <v>16</v>
      </c>
      <c r="C165" s="49"/>
      <c r="D165" s="44"/>
      <c r="E165" s="44"/>
      <c r="F165" s="44"/>
      <c r="G165" s="43"/>
    </row>
    <row r="166" spans="1:7" ht="12">
      <c r="B166" s="87" t="s">
        <v>259</v>
      </c>
      <c r="C166" s="53"/>
      <c r="D166" s="54"/>
      <c r="E166" s="53"/>
      <c r="F166" s="43"/>
      <c r="G166" s="43"/>
    </row>
  </sheetData>
  <mergeCells count="53">
    <mergeCell ref="B141:B143"/>
    <mergeCell ref="B157:B159"/>
    <mergeCell ref="B144:B145"/>
    <mergeCell ref="B146:B148"/>
    <mergeCell ref="B149:B151"/>
    <mergeCell ref="B152:B153"/>
    <mergeCell ref="B154:B156"/>
    <mergeCell ref="B127:B128"/>
    <mergeCell ref="B129:B131"/>
    <mergeCell ref="B132:B134"/>
    <mergeCell ref="B135:B137"/>
    <mergeCell ref="B138:B140"/>
    <mergeCell ref="B112:B114"/>
    <mergeCell ref="B115:B117"/>
    <mergeCell ref="B118:B120"/>
    <mergeCell ref="B121:B123"/>
    <mergeCell ref="B124:B126"/>
    <mergeCell ref="B97:B98"/>
    <mergeCell ref="B99:B101"/>
    <mergeCell ref="B102:B104"/>
    <mergeCell ref="B105:B108"/>
    <mergeCell ref="B109:B111"/>
    <mergeCell ref="B81:B83"/>
    <mergeCell ref="B84:B86"/>
    <mergeCell ref="B87:B89"/>
    <mergeCell ref="B90:B93"/>
    <mergeCell ref="B94:B96"/>
    <mergeCell ref="B67:B68"/>
    <mergeCell ref="B69:B71"/>
    <mergeCell ref="B72:B74"/>
    <mergeCell ref="B75:B77"/>
    <mergeCell ref="B78:B80"/>
    <mergeCell ref="B52:B54"/>
    <mergeCell ref="B55:B57"/>
    <mergeCell ref="B58:B60"/>
    <mergeCell ref="B61:B63"/>
    <mergeCell ref="B64:B66"/>
    <mergeCell ref="B160:C160"/>
    <mergeCell ref="B24:B26"/>
    <mergeCell ref="B8:E10"/>
    <mergeCell ref="B13:B15"/>
    <mergeCell ref="B16:B17"/>
    <mergeCell ref="B18:B20"/>
    <mergeCell ref="B21:B23"/>
    <mergeCell ref="B27:B29"/>
    <mergeCell ref="B30:B32"/>
    <mergeCell ref="B33:B35"/>
    <mergeCell ref="B36:B37"/>
    <mergeCell ref="B38:B40"/>
    <mergeCell ref="B41:B43"/>
    <mergeCell ref="B44:B45"/>
    <mergeCell ref="B46:B48"/>
    <mergeCell ref="B49:B51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H41"/>
  <sheetViews>
    <sheetView showGridLines="0" tabSelected="1" view="pageBreakPreview" topLeftCell="A23" zoomScaleNormal="95" zoomScaleSheetLayoutView="100" workbookViewId="0">
      <selection activeCell="F22" sqref="F22"/>
    </sheetView>
  </sheetViews>
  <sheetFormatPr baseColWidth="10" defaultColWidth="11.453125" defaultRowHeight="10"/>
  <cols>
    <col min="1" max="1" width="5.7265625" style="15" customWidth="1"/>
    <col min="2" max="2" width="19" style="22" customWidth="1"/>
    <col min="3" max="3" width="29.54296875" style="22" customWidth="1"/>
    <col min="4" max="4" width="17.1796875" style="25" customWidth="1"/>
    <col min="5" max="5" width="16.54296875" style="25" customWidth="1"/>
    <col min="6" max="6" width="16.54296875" style="22" customWidth="1"/>
    <col min="7" max="7" width="5.54296875" style="15" customWidth="1"/>
    <col min="8" max="8" width="11.453125" style="15" hidden="1" customWidth="1"/>
    <col min="9" max="16384" width="11.453125" style="15"/>
  </cols>
  <sheetData>
    <row r="1" spans="2:7" s="13" customFormat="1" ht="14.5">
      <c r="B1" s="22"/>
      <c r="C1" s="22"/>
    </row>
    <row r="2" spans="2:7" s="22" customFormat="1">
      <c r="B2" s="29"/>
    </row>
    <row r="3" spans="2:7" ht="15" customHeight="1">
      <c r="B3" s="30"/>
      <c r="C3" s="18"/>
      <c r="D3" s="15"/>
      <c r="E3" s="15"/>
      <c r="G3" s="22"/>
    </row>
    <row r="4" spans="2:7" ht="30" customHeight="1">
      <c r="B4" s="30"/>
      <c r="C4" s="18"/>
      <c r="D4" s="15"/>
      <c r="E4" s="15"/>
      <c r="G4" s="22"/>
    </row>
    <row r="5" spans="2:7" ht="15" customHeight="1">
      <c r="B5" s="30"/>
      <c r="C5" s="18"/>
      <c r="D5" s="15"/>
      <c r="E5" s="15"/>
      <c r="G5" s="22"/>
    </row>
    <row r="6" spans="2:7" s="22" customFormat="1" ht="10.5">
      <c r="B6" s="24"/>
      <c r="C6" s="21"/>
    </row>
    <row r="7" spans="2:7" s="22" customFormat="1">
      <c r="B7" s="29"/>
    </row>
    <row r="8" spans="2:7" s="13" customFormat="1" ht="15" customHeight="1">
      <c r="B8" s="114" t="s">
        <v>127</v>
      </c>
      <c r="C8" s="114"/>
      <c r="D8" s="114"/>
      <c r="E8" s="114"/>
      <c r="F8" s="114"/>
    </row>
    <row r="9" spans="2:7" s="13" customFormat="1" ht="15" customHeight="1">
      <c r="B9" s="114"/>
      <c r="C9" s="114"/>
      <c r="D9" s="114"/>
      <c r="E9" s="114"/>
      <c r="F9" s="114"/>
      <c r="G9" s="28"/>
    </row>
    <row r="10" spans="2:7" s="13" customFormat="1" ht="15" customHeight="1">
      <c r="B10" s="114"/>
      <c r="C10" s="114"/>
      <c r="D10" s="114"/>
      <c r="E10" s="114"/>
      <c r="F10" s="114"/>
      <c r="G10" s="28"/>
    </row>
    <row r="11" spans="2:7" s="13" customFormat="1" ht="15" customHeight="1">
      <c r="B11" s="114"/>
      <c r="C11" s="114"/>
      <c r="D11" s="114"/>
      <c r="E11" s="114"/>
      <c r="F11" s="114"/>
    </row>
    <row r="12" spans="2:7" s="13" customFormat="1" ht="11.5" customHeight="1">
      <c r="B12" s="34"/>
      <c r="C12" s="34"/>
      <c r="D12" s="34"/>
      <c r="E12" s="34"/>
      <c r="F12" s="34"/>
    </row>
    <row r="13" spans="2:7" s="13" customFormat="1" ht="42.65" customHeight="1">
      <c r="B13" s="69" t="s">
        <v>28</v>
      </c>
      <c r="C13" s="69" t="s">
        <v>31</v>
      </c>
      <c r="D13" s="69" t="s">
        <v>19</v>
      </c>
      <c r="E13" s="69" t="s">
        <v>30</v>
      </c>
      <c r="F13" s="69" t="s">
        <v>29</v>
      </c>
      <c r="G13" s="44"/>
    </row>
    <row r="14" spans="2:7" s="13" customFormat="1" ht="15" customHeight="1">
      <c r="B14" s="115" t="s">
        <v>207</v>
      </c>
      <c r="C14" s="76" t="s">
        <v>133</v>
      </c>
      <c r="D14" s="77">
        <v>12</v>
      </c>
      <c r="E14" s="78">
        <f>D14/$D$22</f>
        <v>3.0627871362940277E-3</v>
      </c>
      <c r="F14" s="78">
        <f>D14/$D$35</f>
        <v>1.5793629902605948E-3</v>
      </c>
      <c r="G14" s="44"/>
    </row>
    <row r="15" spans="2:7" s="13" customFormat="1" ht="15" customHeight="1">
      <c r="B15" s="116"/>
      <c r="C15" s="76" t="s">
        <v>120</v>
      </c>
      <c r="D15" s="77">
        <v>42</v>
      </c>
      <c r="E15" s="78">
        <f t="shared" ref="E15:E21" si="0">D15/$D$22</f>
        <v>1.0719754977029096E-2</v>
      </c>
      <c r="F15" s="78">
        <f t="shared" ref="F15:F35" si="1">D15/$D$35</f>
        <v>5.5277704659120819E-3</v>
      </c>
      <c r="G15" s="44"/>
    </row>
    <row r="16" spans="2:7" ht="15" customHeight="1">
      <c r="B16" s="116"/>
      <c r="C16" s="76" t="s">
        <v>121</v>
      </c>
      <c r="D16" s="77">
        <v>849</v>
      </c>
      <c r="E16" s="78">
        <f t="shared" si="0"/>
        <v>0.21669218989280245</v>
      </c>
      <c r="F16" s="78">
        <f t="shared" si="1"/>
        <v>0.11173993156093709</v>
      </c>
      <c r="G16" s="43"/>
    </row>
    <row r="17" spans="2:7" ht="15" customHeight="1">
      <c r="B17" s="116"/>
      <c r="C17" s="76" t="s">
        <v>122</v>
      </c>
      <c r="D17" s="77">
        <v>832</v>
      </c>
      <c r="E17" s="78">
        <f t="shared" si="0"/>
        <v>0.21235324144971923</v>
      </c>
      <c r="F17" s="78">
        <f t="shared" si="1"/>
        <v>0.10950250065806791</v>
      </c>
      <c r="G17" s="43"/>
    </row>
    <row r="18" spans="2:7" ht="15" customHeight="1">
      <c r="B18" s="116"/>
      <c r="C18" s="76" t="s">
        <v>123</v>
      </c>
      <c r="D18" s="77">
        <v>952</v>
      </c>
      <c r="E18" s="78">
        <f t="shared" si="0"/>
        <v>0.24298111281265952</v>
      </c>
      <c r="F18" s="78">
        <f t="shared" si="1"/>
        <v>0.12529613056067387</v>
      </c>
      <c r="G18" s="43"/>
    </row>
    <row r="19" spans="2:7" ht="15" customHeight="1">
      <c r="B19" s="116"/>
      <c r="C19" s="76" t="s">
        <v>124</v>
      </c>
      <c r="D19" s="77">
        <v>1086</v>
      </c>
      <c r="E19" s="78">
        <f t="shared" si="0"/>
        <v>0.27718223583460949</v>
      </c>
      <c r="F19" s="78">
        <f t="shared" si="1"/>
        <v>0.14293235061858384</v>
      </c>
      <c r="G19" s="43"/>
    </row>
    <row r="20" spans="2:7" ht="15" customHeight="1">
      <c r="B20" s="116"/>
      <c r="C20" s="76" t="s">
        <v>125</v>
      </c>
      <c r="D20" s="77">
        <v>132</v>
      </c>
      <c r="E20" s="78">
        <f t="shared" si="0"/>
        <v>3.3690658499234305E-2</v>
      </c>
      <c r="F20" s="78">
        <f t="shared" si="1"/>
        <v>1.7372992892866545E-2</v>
      </c>
      <c r="G20" s="43"/>
    </row>
    <row r="21" spans="2:7" ht="15" customHeight="1">
      <c r="B21" s="116"/>
      <c r="C21" s="76" t="s">
        <v>126</v>
      </c>
      <c r="D21" s="77">
        <v>13</v>
      </c>
      <c r="E21" s="78">
        <f t="shared" si="0"/>
        <v>3.318019397651863E-3</v>
      </c>
      <c r="F21" s="78">
        <f t="shared" si="1"/>
        <v>1.7109765727823111E-3</v>
      </c>
      <c r="G21" s="43"/>
    </row>
    <row r="22" spans="2:7" ht="15" customHeight="1">
      <c r="B22" s="117"/>
      <c r="C22" s="95" t="s">
        <v>258</v>
      </c>
      <c r="D22" s="90">
        <v>3918</v>
      </c>
      <c r="E22" s="92"/>
      <c r="F22" s="92">
        <f t="shared" si="1"/>
        <v>0.51566201632008424</v>
      </c>
      <c r="G22" s="43"/>
    </row>
    <row r="23" spans="2:7" ht="15" customHeight="1">
      <c r="B23" s="115" t="s">
        <v>208</v>
      </c>
      <c r="C23" s="76" t="s">
        <v>133</v>
      </c>
      <c r="D23" s="77">
        <v>19</v>
      </c>
      <c r="E23" s="78">
        <f>D23/$D$31</f>
        <v>5.1658510059815121E-3</v>
      </c>
      <c r="F23" s="78">
        <f t="shared" si="1"/>
        <v>2.5006580679126085E-3</v>
      </c>
      <c r="G23" s="43"/>
    </row>
    <row r="24" spans="2:7" ht="15" customHeight="1">
      <c r="B24" s="116"/>
      <c r="C24" s="76" t="s">
        <v>120</v>
      </c>
      <c r="D24" s="77">
        <v>37</v>
      </c>
      <c r="E24" s="78">
        <f t="shared" ref="E24:E30" si="2">D24/$D$31</f>
        <v>1.0059815116911366E-2</v>
      </c>
      <c r="F24" s="78">
        <f t="shared" si="1"/>
        <v>4.8697025533035012E-3</v>
      </c>
      <c r="G24" s="43"/>
    </row>
    <row r="25" spans="2:7" ht="15" customHeight="1">
      <c r="B25" s="116"/>
      <c r="C25" s="76" t="s">
        <v>121</v>
      </c>
      <c r="D25" s="77">
        <v>1089</v>
      </c>
      <c r="E25" s="78">
        <f t="shared" si="2"/>
        <v>0.29608482871125613</v>
      </c>
      <c r="F25" s="78">
        <f t="shared" si="1"/>
        <v>0.14332719136614899</v>
      </c>
      <c r="G25" s="43"/>
    </row>
    <row r="26" spans="2:7" ht="15" customHeight="1">
      <c r="B26" s="116"/>
      <c r="C26" s="76" t="s">
        <v>122</v>
      </c>
      <c r="D26" s="77">
        <v>868</v>
      </c>
      <c r="E26" s="78">
        <f t="shared" si="2"/>
        <v>0.23599782490483959</v>
      </c>
      <c r="F26" s="78">
        <f t="shared" si="1"/>
        <v>0.1142405896288497</v>
      </c>
      <c r="G26" s="43"/>
    </row>
    <row r="27" spans="2:7" ht="15" customHeight="1">
      <c r="B27" s="116"/>
      <c r="C27" s="76" t="s">
        <v>123</v>
      </c>
      <c r="D27" s="77">
        <v>755</v>
      </c>
      <c r="E27" s="78">
        <f t="shared" si="2"/>
        <v>0.20527460576400217</v>
      </c>
      <c r="F27" s="78">
        <f t="shared" si="1"/>
        <v>9.9368254803895759E-2</v>
      </c>
      <c r="G27" s="43"/>
    </row>
    <row r="28" spans="2:7" ht="15" customHeight="1">
      <c r="B28" s="116"/>
      <c r="C28" s="76" t="s">
        <v>124</v>
      </c>
      <c r="D28" s="77">
        <v>820</v>
      </c>
      <c r="E28" s="78">
        <f t="shared" si="2"/>
        <v>0.22294725394235998</v>
      </c>
      <c r="F28" s="78">
        <f t="shared" si="1"/>
        <v>0.10792313766780731</v>
      </c>
      <c r="G28" s="43"/>
    </row>
    <row r="29" spans="2:7" ht="15" customHeight="1">
      <c r="B29" s="116"/>
      <c r="C29" s="76" t="s">
        <v>125</v>
      </c>
      <c r="D29" s="77">
        <v>82</v>
      </c>
      <c r="E29" s="78">
        <f t="shared" si="2"/>
        <v>2.2294725394235999E-2</v>
      </c>
      <c r="F29" s="78">
        <f t="shared" si="1"/>
        <v>1.0792313766780732E-2</v>
      </c>
      <c r="G29" s="43"/>
    </row>
    <row r="30" spans="2:7" ht="15" customHeight="1">
      <c r="B30" s="116"/>
      <c r="C30" s="76" t="s">
        <v>126</v>
      </c>
      <c r="D30" s="77">
        <v>8</v>
      </c>
      <c r="E30" s="78">
        <f t="shared" si="2"/>
        <v>2.1750951604132679E-3</v>
      </c>
      <c r="F30" s="78">
        <f t="shared" si="1"/>
        <v>1.0529086601737299E-3</v>
      </c>
      <c r="G30" s="43"/>
    </row>
    <row r="31" spans="2:7" ht="15" customHeight="1">
      <c r="B31" s="117"/>
      <c r="C31" s="95" t="s">
        <v>258</v>
      </c>
      <c r="D31" s="90">
        <v>3678</v>
      </c>
      <c r="E31" s="92"/>
      <c r="F31" s="92">
        <f t="shared" si="1"/>
        <v>0.48407475651487236</v>
      </c>
      <c r="G31" s="43"/>
    </row>
    <row r="32" spans="2:7" ht="15" customHeight="1">
      <c r="B32" s="115" t="s">
        <v>131</v>
      </c>
      <c r="C32" s="76" t="s">
        <v>121</v>
      </c>
      <c r="D32" s="77">
        <v>1</v>
      </c>
      <c r="E32" s="78">
        <f>D32/$D$34</f>
        <v>0.5</v>
      </c>
      <c r="F32" s="78">
        <f t="shared" si="1"/>
        <v>1.3161358252171624E-4</v>
      </c>
      <c r="G32" s="43"/>
    </row>
    <row r="33" spans="1:7" ht="14.5" customHeight="1">
      <c r="B33" s="116"/>
      <c r="C33" s="76" t="s">
        <v>123</v>
      </c>
      <c r="D33" s="77">
        <v>1</v>
      </c>
      <c r="E33" s="78">
        <f>D33/$D$34</f>
        <v>0.5</v>
      </c>
      <c r="F33" s="78">
        <f t="shared" si="1"/>
        <v>1.3161358252171624E-4</v>
      </c>
      <c r="G33" s="43"/>
    </row>
    <row r="34" spans="1:7" ht="14.5" customHeight="1">
      <c r="B34" s="117"/>
      <c r="C34" s="95" t="s">
        <v>258</v>
      </c>
      <c r="D34" s="90">
        <v>2</v>
      </c>
      <c r="E34" s="92"/>
      <c r="F34" s="92">
        <f t="shared" si="1"/>
        <v>2.6322716504343247E-4</v>
      </c>
      <c r="G34" s="43"/>
    </row>
    <row r="35" spans="1:7" ht="14.5" customHeight="1">
      <c r="B35" s="112" t="s">
        <v>262</v>
      </c>
      <c r="C35" s="113"/>
      <c r="D35" s="80">
        <v>7598</v>
      </c>
      <c r="E35" s="81">
        <v>1</v>
      </c>
      <c r="F35" s="81">
        <f t="shared" si="1"/>
        <v>1</v>
      </c>
      <c r="G35" s="43"/>
    </row>
    <row r="36" spans="1:7" ht="14.5" customHeight="1">
      <c r="A36" s="39"/>
      <c r="C36" s="50"/>
      <c r="D36" s="86"/>
      <c r="E36" s="44"/>
      <c r="F36" s="44"/>
      <c r="G36" s="43"/>
    </row>
    <row r="37" spans="1:7" ht="14.5" customHeight="1">
      <c r="A37" s="39"/>
      <c r="B37" s="87" t="s">
        <v>130</v>
      </c>
      <c r="C37" s="51"/>
      <c r="D37" s="86"/>
      <c r="E37" s="44"/>
      <c r="F37" s="44"/>
      <c r="G37" s="43"/>
    </row>
    <row r="38" spans="1:7" ht="14.5" customHeight="1">
      <c r="A38" s="39"/>
      <c r="B38" s="87" t="s">
        <v>17</v>
      </c>
      <c r="C38" s="48"/>
      <c r="D38" s="86"/>
      <c r="E38" s="44"/>
      <c r="F38" s="44"/>
      <c r="G38" s="43"/>
    </row>
    <row r="39" spans="1:7" ht="16.5">
      <c r="A39" s="39"/>
      <c r="B39" s="87" t="s">
        <v>45</v>
      </c>
      <c r="C39" s="48"/>
      <c r="D39" s="86"/>
      <c r="E39" s="44"/>
      <c r="F39" s="44"/>
      <c r="G39" s="43"/>
    </row>
    <row r="40" spans="1:7" ht="12">
      <c r="A40" s="39"/>
      <c r="B40" s="87" t="s">
        <v>16</v>
      </c>
      <c r="C40" s="87"/>
      <c r="D40" s="86"/>
      <c r="E40" s="54"/>
      <c r="F40" s="53"/>
      <c r="G40" s="43"/>
    </row>
    <row r="41" spans="1:7" ht="12">
      <c r="B41" s="87" t="s">
        <v>259</v>
      </c>
      <c r="C41" s="53"/>
      <c r="D41" s="54"/>
      <c r="E41" s="54"/>
      <c r="F41" s="53"/>
      <c r="G41" s="43"/>
    </row>
  </sheetData>
  <mergeCells count="5">
    <mergeCell ref="B35:C35"/>
    <mergeCell ref="B8:F11"/>
    <mergeCell ref="B14:B22"/>
    <mergeCell ref="B23:B31"/>
    <mergeCell ref="B32:B34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B1:F68"/>
  <sheetViews>
    <sheetView showGridLines="0" view="pageBreakPreview" topLeftCell="A48" zoomScale="130" zoomScaleNormal="100" zoomScaleSheetLayoutView="130" workbookViewId="0">
      <selection activeCell="C64" sqref="C64"/>
    </sheetView>
  </sheetViews>
  <sheetFormatPr baseColWidth="10" defaultColWidth="11.453125" defaultRowHeight="14.5"/>
  <cols>
    <col min="1" max="1" width="9.26953125" style="13" customWidth="1"/>
    <col min="2" max="2" width="36.81640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4.26953125" style="13" customWidth="1"/>
    <col min="7" max="16384" width="11.453125" style="13"/>
  </cols>
  <sheetData>
    <row r="1" spans="2:6" s="15" customFormat="1" ht="15" customHeight="1">
      <c r="C1" s="18"/>
    </row>
    <row r="2" spans="2:6" s="15" customFormat="1" ht="15" customHeight="1">
      <c r="C2" s="18"/>
    </row>
    <row r="3" spans="2:6" s="15" customFormat="1" ht="15" customHeight="1">
      <c r="C3" s="18"/>
    </row>
    <row r="4" spans="2:6" s="15" customFormat="1" ht="30" customHeight="1">
      <c r="C4" s="18"/>
      <c r="D4" s="17"/>
    </row>
    <row r="5" spans="2:6" s="15" customFormat="1" ht="15" customHeight="1">
      <c r="C5" s="18"/>
      <c r="D5" s="17"/>
    </row>
    <row r="6" spans="2:6" s="15" customFormat="1" ht="15" customHeight="1">
      <c r="C6" s="18"/>
      <c r="D6" s="17"/>
    </row>
    <row r="7" spans="2:6" s="15" customFormat="1" ht="15" customHeight="1">
      <c r="B7" s="105" t="s">
        <v>128</v>
      </c>
      <c r="C7" s="105"/>
      <c r="D7" s="105"/>
    </row>
    <row r="8" spans="2:6" s="15" customFormat="1" ht="15" customHeight="1">
      <c r="B8" s="105"/>
      <c r="C8" s="105"/>
      <c r="D8" s="105"/>
    </row>
    <row r="9" spans="2:6" s="15" customFormat="1" ht="33" customHeight="1">
      <c r="B9" s="105"/>
      <c r="C9" s="105"/>
      <c r="D9" s="105"/>
    </row>
    <row r="10" spans="2:6" s="15" customFormat="1" ht="4.5" customHeight="1">
      <c r="B10" s="16"/>
      <c r="C10" s="16"/>
      <c r="D10" s="16"/>
    </row>
    <row r="11" spans="2:6" s="15" customFormat="1" ht="33" customHeight="1">
      <c r="B11" s="40" t="s">
        <v>32</v>
      </c>
      <c r="C11" s="41" t="s">
        <v>19</v>
      </c>
      <c r="D11" s="42" t="s">
        <v>18</v>
      </c>
      <c r="E11" s="43"/>
      <c r="F11" s="43"/>
    </row>
    <row r="12" spans="2:6" ht="16.5">
      <c r="B12" s="70" t="s">
        <v>209</v>
      </c>
      <c r="C12" s="77">
        <v>4105</v>
      </c>
      <c r="D12" s="78">
        <v>0.54027375625164498</v>
      </c>
      <c r="E12" s="44"/>
      <c r="F12" s="44"/>
    </row>
    <row r="13" spans="2:6" ht="16.5">
      <c r="B13" s="70" t="s">
        <v>210</v>
      </c>
      <c r="C13" s="77">
        <v>1830</v>
      </c>
      <c r="D13" s="78">
        <v>0.24085285601474099</v>
      </c>
      <c r="E13" s="44"/>
      <c r="F13" s="44"/>
    </row>
    <row r="14" spans="2:6" ht="16.5">
      <c r="B14" s="70" t="s">
        <v>211</v>
      </c>
      <c r="C14" s="77">
        <v>576</v>
      </c>
      <c r="D14" s="78">
        <v>7.5809423532508996E-2</v>
      </c>
      <c r="E14" s="44"/>
      <c r="F14" s="44"/>
    </row>
    <row r="15" spans="2:6" ht="16.5">
      <c r="B15" s="70" t="s">
        <v>212</v>
      </c>
      <c r="C15" s="77">
        <v>155</v>
      </c>
      <c r="D15" s="78">
        <v>2.0400105290866E-2</v>
      </c>
      <c r="E15" s="44"/>
      <c r="F15" s="44"/>
    </row>
    <row r="16" spans="2:6" ht="16.5">
      <c r="B16" s="70" t="s">
        <v>213</v>
      </c>
      <c r="C16" s="77">
        <v>130</v>
      </c>
      <c r="D16" s="78">
        <v>1.7109765727822999E-2</v>
      </c>
      <c r="E16" s="44"/>
      <c r="F16" s="44"/>
    </row>
    <row r="17" spans="2:6" ht="16.5">
      <c r="B17" s="70" t="s">
        <v>214</v>
      </c>
      <c r="C17" s="77">
        <v>87</v>
      </c>
      <c r="D17" s="78">
        <v>1.1450381679389001E-2</v>
      </c>
      <c r="E17" s="44"/>
      <c r="F17" s="44"/>
    </row>
    <row r="18" spans="2:6" ht="16.5">
      <c r="B18" s="70" t="s">
        <v>215</v>
      </c>
      <c r="C18" s="77">
        <v>80</v>
      </c>
      <c r="D18" s="78">
        <v>1.0529086601737001E-2</v>
      </c>
      <c r="E18" s="44"/>
      <c r="F18" s="44"/>
    </row>
    <row r="19" spans="2:6" ht="26">
      <c r="B19" s="70" t="s">
        <v>216</v>
      </c>
      <c r="C19" s="77">
        <v>75</v>
      </c>
      <c r="D19" s="78">
        <v>9.8710186891289992E-3</v>
      </c>
      <c r="E19" s="44"/>
      <c r="F19" s="44"/>
    </row>
    <row r="20" spans="2:6" ht="16.5">
      <c r="B20" s="70" t="s">
        <v>217</v>
      </c>
      <c r="C20" s="77">
        <v>68</v>
      </c>
      <c r="D20" s="78">
        <v>8.9497236114770007E-3</v>
      </c>
      <c r="E20" s="44"/>
      <c r="F20" s="44"/>
    </row>
    <row r="21" spans="2:6" ht="16.5">
      <c r="B21" s="70" t="s">
        <v>218</v>
      </c>
      <c r="C21" s="77">
        <v>65</v>
      </c>
      <c r="D21" s="78">
        <v>8.5548828639120007E-3</v>
      </c>
      <c r="E21" s="44"/>
      <c r="F21" s="44"/>
    </row>
    <row r="22" spans="2:6" ht="16.5">
      <c r="B22" s="70" t="s">
        <v>219</v>
      </c>
      <c r="C22" s="77">
        <v>45</v>
      </c>
      <c r="D22" s="78">
        <v>5.9226112134770003E-3</v>
      </c>
      <c r="E22" s="44"/>
      <c r="F22" s="44"/>
    </row>
    <row r="23" spans="2:6" ht="16.5">
      <c r="B23" s="70" t="s">
        <v>220</v>
      </c>
      <c r="C23" s="77">
        <v>33</v>
      </c>
      <c r="D23" s="78">
        <v>4.3432482232169996E-3</v>
      </c>
      <c r="E23" s="44"/>
      <c r="F23" s="44"/>
    </row>
    <row r="24" spans="2:6" ht="16.5">
      <c r="B24" s="70" t="s">
        <v>221</v>
      </c>
      <c r="C24" s="77">
        <v>30</v>
      </c>
      <c r="D24" s="78">
        <v>3.9484074756509996E-3</v>
      </c>
      <c r="E24" s="44"/>
      <c r="F24" s="44"/>
    </row>
    <row r="25" spans="2:6" ht="16.5">
      <c r="B25" s="70" t="s">
        <v>222</v>
      </c>
      <c r="C25" s="77">
        <v>30</v>
      </c>
      <c r="D25" s="78">
        <v>3.9484074756509996E-3</v>
      </c>
      <c r="E25" s="44"/>
      <c r="F25" s="44"/>
    </row>
    <row r="26" spans="2:6" ht="16.5">
      <c r="B26" s="70" t="s">
        <v>223</v>
      </c>
      <c r="C26" s="77">
        <v>27</v>
      </c>
      <c r="D26" s="78">
        <v>3.5535667280860001E-3</v>
      </c>
      <c r="E26" s="44"/>
      <c r="F26" s="44"/>
    </row>
    <row r="27" spans="2:6" ht="16.5">
      <c r="B27" s="70" t="s">
        <v>224</v>
      </c>
      <c r="C27" s="77">
        <v>23</v>
      </c>
      <c r="D27" s="78">
        <v>3.0271123979989998E-3</v>
      </c>
      <c r="E27" s="44"/>
      <c r="F27" s="44"/>
    </row>
    <row r="28" spans="2:6" ht="16.5">
      <c r="B28" s="70" t="s">
        <v>225</v>
      </c>
      <c r="C28" s="77">
        <v>21</v>
      </c>
      <c r="D28" s="78">
        <v>2.7638852329560002E-3</v>
      </c>
      <c r="E28" s="44"/>
      <c r="F28" s="44"/>
    </row>
    <row r="29" spans="2:6" ht="16.5">
      <c r="B29" s="70" t="s">
        <v>226</v>
      </c>
      <c r="C29" s="77">
        <v>20</v>
      </c>
      <c r="D29" s="78">
        <v>2.6322716504339999E-3</v>
      </c>
      <c r="E29" s="44"/>
      <c r="F29" s="44"/>
    </row>
    <row r="30" spans="2:6" ht="16.5">
      <c r="B30" s="70" t="s">
        <v>117</v>
      </c>
      <c r="C30" s="77">
        <v>18</v>
      </c>
      <c r="D30" s="78">
        <v>2.3690444853909998E-3</v>
      </c>
      <c r="E30" s="44"/>
      <c r="F30" s="44"/>
    </row>
    <row r="31" spans="2:6" ht="16.5">
      <c r="B31" s="70" t="s">
        <v>227</v>
      </c>
      <c r="C31" s="77">
        <v>17</v>
      </c>
      <c r="D31" s="78">
        <v>2.2374309028689999E-3</v>
      </c>
      <c r="E31" s="44"/>
      <c r="F31" s="44"/>
    </row>
    <row r="32" spans="2:6" ht="16.5">
      <c r="B32" s="70" t="s">
        <v>228</v>
      </c>
      <c r="C32" s="77">
        <v>15</v>
      </c>
      <c r="D32" s="78">
        <v>1.9742037378259998E-3</v>
      </c>
      <c r="E32" s="44"/>
      <c r="F32" s="44"/>
    </row>
    <row r="33" spans="2:6" ht="16.5">
      <c r="B33" s="70" t="s">
        <v>229</v>
      </c>
      <c r="C33" s="77">
        <v>14</v>
      </c>
      <c r="D33" s="78">
        <v>1.842590155304E-3</v>
      </c>
      <c r="E33" s="44"/>
      <c r="F33" s="44"/>
    </row>
    <row r="34" spans="2:6" ht="16.5">
      <c r="B34" s="70" t="s">
        <v>230</v>
      </c>
      <c r="C34" s="77">
        <v>13</v>
      </c>
      <c r="D34" s="78">
        <v>1.7109765727819999E-3</v>
      </c>
      <c r="E34" s="44"/>
      <c r="F34" s="44"/>
    </row>
    <row r="35" spans="2:6" ht="16.5">
      <c r="B35" s="70" t="s">
        <v>231</v>
      </c>
      <c r="C35" s="77">
        <v>12</v>
      </c>
      <c r="D35" s="78">
        <v>1.5793629902610001E-3</v>
      </c>
      <c r="E35" s="44"/>
      <c r="F35" s="44"/>
    </row>
    <row r="36" spans="2:6" ht="16.5">
      <c r="B36" s="70" t="s">
        <v>232</v>
      </c>
      <c r="C36" s="77">
        <v>10</v>
      </c>
      <c r="D36" s="78">
        <v>1.3161358252169999E-3</v>
      </c>
      <c r="E36" s="44"/>
      <c r="F36" s="44"/>
    </row>
    <row r="37" spans="2:6" ht="16.5">
      <c r="B37" s="70" t="s">
        <v>233</v>
      </c>
      <c r="C37" s="77">
        <v>10</v>
      </c>
      <c r="D37" s="78">
        <v>1.3161358252169999E-3</v>
      </c>
      <c r="E37" s="44"/>
      <c r="F37" s="44"/>
    </row>
    <row r="38" spans="2:6" ht="16.5">
      <c r="B38" s="70" t="s">
        <v>234</v>
      </c>
      <c r="C38" s="77">
        <v>9</v>
      </c>
      <c r="D38" s="78">
        <v>1.1845222426950001E-3</v>
      </c>
      <c r="E38" s="44"/>
      <c r="F38" s="44"/>
    </row>
    <row r="39" spans="2:6" ht="16.5">
      <c r="B39" s="70" t="s">
        <v>235</v>
      </c>
      <c r="C39" s="77">
        <v>9</v>
      </c>
      <c r="D39" s="78">
        <v>1.1845222426950001E-3</v>
      </c>
      <c r="E39" s="44"/>
      <c r="F39" s="44"/>
    </row>
    <row r="40" spans="2:6" ht="16.5">
      <c r="B40" s="70" t="s">
        <v>236</v>
      </c>
      <c r="C40" s="77">
        <v>6</v>
      </c>
      <c r="D40" s="78">
        <v>7.8968149513000002E-4</v>
      </c>
      <c r="E40" s="44"/>
      <c r="F40" s="44"/>
    </row>
    <row r="41" spans="2:6" ht="16.5">
      <c r="B41" s="70" t="s">
        <v>237</v>
      </c>
      <c r="C41" s="77">
        <v>6</v>
      </c>
      <c r="D41" s="78">
        <v>7.8968149513000002E-4</v>
      </c>
      <c r="E41" s="44"/>
      <c r="F41" s="44"/>
    </row>
    <row r="42" spans="2:6" ht="16.5">
      <c r="B42" s="70" t="s">
        <v>238</v>
      </c>
      <c r="C42" s="77">
        <v>6</v>
      </c>
      <c r="D42" s="78">
        <v>7.8968149513000002E-4</v>
      </c>
      <c r="E42" s="44"/>
      <c r="F42" s="44"/>
    </row>
    <row r="43" spans="2:6" ht="16.5">
      <c r="B43" s="70" t="s">
        <v>239</v>
      </c>
      <c r="C43" s="77">
        <v>5</v>
      </c>
      <c r="D43" s="78">
        <v>6.5806791260900001E-4</v>
      </c>
      <c r="E43" s="44"/>
      <c r="F43" s="44"/>
    </row>
    <row r="44" spans="2:6" ht="16.5">
      <c r="B44" s="70" t="s">
        <v>240</v>
      </c>
      <c r="C44" s="77">
        <v>5</v>
      </c>
      <c r="D44" s="78">
        <v>6.5806791260900001E-4</v>
      </c>
      <c r="E44" s="44"/>
      <c r="F44" s="44"/>
    </row>
    <row r="45" spans="2:6" ht="16.5">
      <c r="B45" s="70" t="s">
        <v>241</v>
      </c>
      <c r="C45" s="77">
        <v>5</v>
      </c>
      <c r="D45" s="78">
        <v>6.5806791260900001E-4</v>
      </c>
      <c r="E45" s="44"/>
      <c r="F45" s="44"/>
    </row>
    <row r="46" spans="2:6" ht="16.5">
      <c r="B46" s="70" t="s">
        <v>242</v>
      </c>
      <c r="C46" s="77">
        <v>5</v>
      </c>
      <c r="D46" s="78">
        <v>6.5806791260900001E-4</v>
      </c>
      <c r="E46" s="44"/>
      <c r="F46" s="44"/>
    </row>
    <row r="47" spans="2:6" ht="16.5">
      <c r="B47" s="70" t="s">
        <v>243</v>
      </c>
      <c r="C47" s="77">
        <v>5</v>
      </c>
      <c r="D47" s="78">
        <v>6.5806791260900001E-4</v>
      </c>
      <c r="E47" s="44"/>
      <c r="F47" s="44"/>
    </row>
    <row r="48" spans="2:6" ht="16.5">
      <c r="B48" s="70" t="s">
        <v>244</v>
      </c>
      <c r="C48" s="77">
        <v>4</v>
      </c>
      <c r="D48" s="78">
        <v>5.2645433008700004E-4</v>
      </c>
      <c r="E48" s="44"/>
      <c r="F48" s="44"/>
    </row>
    <row r="49" spans="2:6" ht="16.5">
      <c r="B49" s="70" t="s">
        <v>245</v>
      </c>
      <c r="C49" s="77">
        <v>4</v>
      </c>
      <c r="D49" s="78">
        <v>5.2645433008700004E-4</v>
      </c>
      <c r="E49" s="44"/>
      <c r="F49" s="44"/>
    </row>
    <row r="50" spans="2:6" ht="16.5">
      <c r="B50" s="70" t="s">
        <v>246</v>
      </c>
      <c r="C50" s="77">
        <v>3</v>
      </c>
      <c r="D50" s="78">
        <v>3.9484074756500001E-4</v>
      </c>
      <c r="E50" s="44"/>
      <c r="F50" s="44"/>
    </row>
    <row r="51" spans="2:6" ht="16.5">
      <c r="B51" s="70" t="s">
        <v>247</v>
      </c>
      <c r="C51" s="77">
        <v>3</v>
      </c>
      <c r="D51" s="78">
        <v>3.9484074756500001E-4</v>
      </c>
      <c r="E51" s="44"/>
      <c r="F51" s="44"/>
    </row>
    <row r="52" spans="2:6" ht="16.5">
      <c r="B52" s="70" t="s">
        <v>248</v>
      </c>
      <c r="C52" s="77">
        <v>2</v>
      </c>
      <c r="D52" s="78">
        <v>2.6322716504299998E-4</v>
      </c>
      <c r="E52" s="44"/>
      <c r="F52" s="44"/>
    </row>
    <row r="53" spans="2:6" ht="16.5">
      <c r="B53" s="70" t="s">
        <v>249</v>
      </c>
      <c r="C53" s="77">
        <v>2</v>
      </c>
      <c r="D53" s="78">
        <v>2.6322716504299998E-4</v>
      </c>
      <c r="E53" s="44"/>
      <c r="F53" s="44"/>
    </row>
    <row r="54" spans="2:6" ht="16.5">
      <c r="B54" s="70" t="s">
        <v>250</v>
      </c>
      <c r="C54" s="77">
        <v>2</v>
      </c>
      <c r="D54" s="78">
        <v>2.6322716504299998E-4</v>
      </c>
      <c r="E54" s="44"/>
      <c r="F54" s="44"/>
    </row>
    <row r="55" spans="2:6" ht="16.5">
      <c r="B55" s="70" t="s">
        <v>251</v>
      </c>
      <c r="C55" s="77">
        <v>2</v>
      </c>
      <c r="D55" s="78">
        <v>2.6322716504299998E-4</v>
      </c>
      <c r="E55" s="44"/>
      <c r="F55" s="44"/>
    </row>
    <row r="56" spans="2:6" ht="16.5">
      <c r="B56" s="70" t="s">
        <v>252</v>
      </c>
      <c r="C56" s="77">
        <v>1</v>
      </c>
      <c r="D56" s="78">
        <v>1.31613582522E-4</v>
      </c>
      <c r="E56" s="44"/>
      <c r="F56" s="44"/>
    </row>
    <row r="57" spans="2:6" ht="16.5">
      <c r="B57" s="70" t="s">
        <v>253</v>
      </c>
      <c r="C57" s="77">
        <v>1</v>
      </c>
      <c r="D57" s="78">
        <v>1.31613582522E-4</v>
      </c>
      <c r="E57" s="44"/>
      <c r="F57" s="44"/>
    </row>
    <row r="58" spans="2:6" ht="16.5">
      <c r="B58" s="70" t="s">
        <v>254</v>
      </c>
      <c r="C58" s="77">
        <v>1</v>
      </c>
      <c r="D58" s="78">
        <v>1.31613582522E-4</v>
      </c>
      <c r="E58" s="44"/>
      <c r="F58" s="44"/>
    </row>
    <row r="59" spans="2:6" ht="16.5">
      <c r="B59" s="70" t="s">
        <v>255</v>
      </c>
      <c r="C59" s="77">
        <v>1</v>
      </c>
      <c r="D59" s="78">
        <v>1.31613582522E-4</v>
      </c>
      <c r="E59" s="44"/>
      <c r="F59" s="44"/>
    </row>
    <row r="60" spans="2:6" ht="16.5">
      <c r="B60" s="70" t="s">
        <v>256</v>
      </c>
      <c r="C60" s="77">
        <v>1</v>
      </c>
      <c r="D60" s="78">
        <v>1.31613582522E-4</v>
      </c>
      <c r="E60" s="44"/>
      <c r="F60" s="44"/>
    </row>
    <row r="61" spans="2:6" ht="16.5">
      <c r="B61" s="70" t="s">
        <v>257</v>
      </c>
      <c r="C61" s="77">
        <v>1</v>
      </c>
      <c r="D61" s="78">
        <v>1.31613582522E-4</v>
      </c>
      <c r="E61" s="44"/>
      <c r="F61" s="44"/>
    </row>
    <row r="62" spans="2:6" ht="16.5">
      <c r="B62" s="74" t="s">
        <v>258</v>
      </c>
      <c r="C62" s="80">
        <v>7598</v>
      </c>
      <c r="D62" s="81">
        <v>1</v>
      </c>
      <c r="E62" s="44"/>
      <c r="F62" s="44"/>
    </row>
    <row r="63" spans="2:6" ht="16.5">
      <c r="B63" s="44"/>
      <c r="C63" s="49"/>
      <c r="D63" s="44"/>
      <c r="E63" s="44"/>
      <c r="F63" s="44"/>
    </row>
    <row r="64" spans="2:6" ht="16.5">
      <c r="B64" s="50" t="s">
        <v>130</v>
      </c>
      <c r="C64" s="49"/>
      <c r="D64" s="44"/>
      <c r="E64" s="44"/>
      <c r="F64" s="44"/>
    </row>
    <row r="65" spans="2:6" ht="16.5">
      <c r="B65" s="51" t="s">
        <v>17</v>
      </c>
      <c r="C65" s="49"/>
      <c r="D65" s="44"/>
      <c r="E65" s="44"/>
      <c r="F65" s="44"/>
    </row>
    <row r="66" spans="2:6" ht="16.5">
      <c r="B66" s="48" t="s">
        <v>45</v>
      </c>
      <c r="C66" s="49"/>
      <c r="D66" s="44"/>
      <c r="E66" s="44"/>
      <c r="F66" s="44"/>
    </row>
    <row r="67" spans="2:6" ht="16.5">
      <c r="B67" s="48" t="s">
        <v>16</v>
      </c>
      <c r="C67" s="49"/>
      <c r="D67" s="44"/>
      <c r="E67" s="44"/>
      <c r="F67" s="44"/>
    </row>
    <row r="68" spans="2:6" ht="16.5">
      <c r="B68" s="87" t="s">
        <v>259</v>
      </c>
      <c r="C68" s="49"/>
      <c r="D68" s="44"/>
      <c r="E68" s="44"/>
      <c r="F68" s="4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25</vt:i4>
      </vt:variant>
    </vt:vector>
  </HeadingPairs>
  <TitlesOfParts>
    <vt:vector size="40" baseType="lpstr">
      <vt:lpstr>Índice</vt:lpstr>
      <vt:lpstr>Baja California_EdoUsa</vt:lpstr>
      <vt:lpstr>Baja California_Cons</vt:lpstr>
      <vt:lpstr>Baja CaliforniaXCons</vt:lpstr>
      <vt:lpstr>Baja California_EdoMun</vt:lpstr>
      <vt:lpstr>Baja California_USAMuni</vt:lpstr>
      <vt:lpstr>Baja California_MUNICIPIO</vt:lpstr>
      <vt:lpstr>Baja California_educ_gral</vt:lpstr>
      <vt:lpstr>Baja California_NivelE_Cons</vt:lpstr>
      <vt:lpstr>Baja California_EducCons</vt:lpstr>
      <vt:lpstr>Baja California_GenGral</vt:lpstr>
      <vt:lpstr>Baja California_GENERO</vt:lpstr>
      <vt:lpstr>Baja California_GENERO_EUA</vt:lpstr>
      <vt:lpstr>Baja California_Gen_Edad</vt:lpstr>
      <vt:lpstr>Baja California_ocup_gral</vt:lpstr>
      <vt:lpstr>'Baja California_EdoMun'!Área_de_impresión</vt:lpstr>
      <vt:lpstr>'Baja California_EdoUsa'!Área_de_impresión</vt:lpstr>
      <vt:lpstr>'Baja California_educ_gral'!Área_de_impresión</vt:lpstr>
      <vt:lpstr>'Baja California_EducCons'!Área_de_impresión</vt:lpstr>
      <vt:lpstr>'Baja California_Gen_Edad'!Área_de_impresión</vt:lpstr>
      <vt:lpstr>'Baja California_GENERO'!Área_de_impresión</vt:lpstr>
      <vt:lpstr>'Baja California_GENERO_EUA'!Área_de_impresión</vt:lpstr>
      <vt:lpstr>'Baja California_MUNICIPIO'!Área_de_impresión</vt:lpstr>
      <vt:lpstr>'Baja California_NivelE_Cons'!Área_de_impresión</vt:lpstr>
      <vt:lpstr>'Baja California_ocup_gral'!Área_de_impresión</vt:lpstr>
      <vt:lpstr>'Baja California_USAMuni'!Área_de_impresión</vt:lpstr>
      <vt:lpstr>'Baja California_Cons'!Títulos_a_imprimir</vt:lpstr>
      <vt:lpstr>'Baja California_EdoMun'!Títulos_a_imprimir</vt:lpstr>
      <vt:lpstr>'Baja California_EdoUsa'!Títulos_a_imprimir</vt:lpstr>
      <vt:lpstr>'Baja California_educ_gral'!Títulos_a_imprimir</vt:lpstr>
      <vt:lpstr>'Baja California_EducCons'!Títulos_a_imprimir</vt:lpstr>
      <vt:lpstr>'Baja California_Gen_Edad'!Títulos_a_imprimir</vt:lpstr>
      <vt:lpstr>'Baja California_GENERO'!Títulos_a_imprimir</vt:lpstr>
      <vt:lpstr>'Baja California_GENERO_EUA'!Títulos_a_imprimir</vt:lpstr>
      <vt:lpstr>'Baja California_GenGral'!Títulos_a_imprimir</vt:lpstr>
      <vt:lpstr>'Baja California_MUNICIPIO'!Títulos_a_imprimir</vt:lpstr>
      <vt:lpstr>'Baja California_NivelE_Cons'!Títulos_a_imprimir</vt:lpstr>
      <vt:lpstr>'Baja California_ocup_gral'!Títulos_a_imprimir</vt:lpstr>
      <vt:lpstr>'Baja California_USAMuni'!Títulos_a_imprimir</vt:lpstr>
      <vt:lpstr>'Baja CaliforniaXCons'!Títulos_a_imprimir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cp:lastPrinted>2025-02-18T15:02:54Z</cp:lastPrinted>
  <dcterms:created xsi:type="dcterms:W3CDTF">2020-06-02T19:26:47Z</dcterms:created>
  <dcterms:modified xsi:type="dcterms:W3CDTF">2025-08-22T19:55:30Z</dcterms:modified>
</cp:coreProperties>
</file>