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0FE68BC7-96B5-40C0-BE96-F1A12C24BBD6}" xr6:coauthVersionLast="47" xr6:coauthVersionMax="47" xr10:uidLastSave="{00000000-0000-0000-0000-000000000000}"/>
  <bookViews>
    <workbookView xWindow="-120" yWindow="-120" windowWidth="29040" windowHeight="15840" tabRatio="913" firstSheet="7" activeTab="11" xr2:uid="{00000000-000D-0000-FFFF-FFFF00000000}"/>
  </bookViews>
  <sheets>
    <sheet name="Índice" sheetId="1" r:id="rId1"/>
    <sheet name="Guanajuato_EdoUsa" sheetId="2" r:id="rId2"/>
    <sheet name="Guanajuato_Cons" sheetId="15" r:id="rId3"/>
    <sheet name="GuanajuatoXCons" sheetId="16" r:id="rId4"/>
    <sheet name="Guanajuato_EdoMun" sheetId="5" r:id="rId5"/>
    <sheet name="Guanajuato_USAMuni" sheetId="6" r:id="rId6"/>
    <sheet name="Guanajuato_MUNICIPIO" sheetId="7" r:id="rId7"/>
    <sheet name="Guanajuato_educ_gral" sheetId="8" r:id="rId8"/>
    <sheet name="Guanajuato_NivelE_Cons" sheetId="9" r:id="rId9"/>
    <sheet name="Guanajuato_EducCons" sheetId="10" r:id="rId10"/>
    <sheet name="Guanajuato_GenGral" sheetId="11" r:id="rId11"/>
    <sheet name="Guanajuato_GENERO" sheetId="12" r:id="rId12"/>
    <sheet name="Guanajuato_GENERO_EUA" sheetId="17" r:id="rId13"/>
    <sheet name="Guanajuato_Gen_Edad" sheetId="13" r:id="rId14"/>
    <sheet name="Guanajuato_ocup_gral" sheetId="14" r:id="rId15"/>
  </sheets>
  <definedNames>
    <definedName name="_xlnm._FilterDatabase" localSheetId="2" hidden="1">Guanajuato_Cons!$B$11:$D$11</definedName>
    <definedName name="_xlnm._FilterDatabase" localSheetId="4" hidden="1">Guanajuato_EdoMun!$B$11:$D$11</definedName>
    <definedName name="_xlnm._FilterDatabase" localSheetId="1" hidden="1">Guanajuato_EdoUsa!$B$11:$D$11</definedName>
    <definedName name="_xlnm._FilterDatabase" localSheetId="7" hidden="1">Guanajuato_educ_gral!$B$11:$D$11</definedName>
    <definedName name="_xlnm._FilterDatabase" localSheetId="9" hidden="1">Guanajuato_EducCons!$B$9:$E$1025</definedName>
    <definedName name="_xlnm._FilterDatabase" localSheetId="11" hidden="1">Guanajuato_GENERO!$B$12:$E$168</definedName>
    <definedName name="_xlnm._FilterDatabase" localSheetId="12" hidden="1">Guanajuato_GENERO_EUA!$B$12:$E$162</definedName>
    <definedName name="_xlnm._FilterDatabase" localSheetId="10" hidden="1">Guanajuato_GenGral!$B$11:$D$11</definedName>
    <definedName name="_xlnm._FilterDatabase" localSheetId="6" hidden="1">Guanajuato_MUNICIPIO!$B$9:$E$1866</definedName>
    <definedName name="_xlnm._FilterDatabase" localSheetId="8" hidden="1">Guanajuato_NivelE_Cons!$B$9:$E$9</definedName>
    <definedName name="_xlnm._FilterDatabase" localSheetId="14" hidden="1">Guanajuato_ocup_gral!$B$11:$D$11</definedName>
    <definedName name="_xlnm._FilterDatabase" localSheetId="5" hidden="1">Guanajuato_USAMuni!$B$9:$E$1562</definedName>
    <definedName name="_xlnm._FilterDatabase" localSheetId="3" hidden="1">GuanajuatoXCons!$B$11:$D$12</definedName>
    <definedName name="_xlnm.Print_Area" localSheetId="4">Guanajuato_EdoMun!$A$1:$F$65</definedName>
    <definedName name="_xlnm.Print_Area" localSheetId="1">Guanajuato_EdoUsa!$A$1:$F$69</definedName>
    <definedName name="_xlnm.Print_Area" localSheetId="7">Guanajuato_educ_gral!$A$1:$F$43</definedName>
    <definedName name="_xlnm.Print_Area" localSheetId="9">Guanajuato_EducCons!$A$1:$E$1031</definedName>
    <definedName name="_xlnm.Print_Area" localSheetId="13">Guanajuato_Gen_Edad!$A$1:$F$41</definedName>
    <definedName name="_xlnm.Print_Area" localSheetId="11">Guanajuato_GENERO!$A$1:$F$175</definedName>
    <definedName name="_xlnm.Print_Area" localSheetId="12">Guanajuato_GENERO_EUA!$A$1:$F$168</definedName>
    <definedName name="_xlnm.Print_Area" localSheetId="10">Guanajuato_GenGral!$A$1:$F$21</definedName>
    <definedName name="_xlnm.Print_Area" localSheetId="6">Guanajuato_MUNICIPIO!$A$1:$E$1872</definedName>
    <definedName name="_xlnm.Print_Area" localSheetId="8">Guanajuato_NivelE_Cons!$A$1:$E$833</definedName>
    <definedName name="_xlnm.Print_Area" localSheetId="14">Guanajuato_ocup_gral!$A$1:$E$82</definedName>
    <definedName name="_xlnm.Print_Area" localSheetId="5">Guanajuato_USAMuni!$A$1:$E$1568</definedName>
    <definedName name="_xlnm.Print_Titles" localSheetId="2">Guanajuato_Cons!$1:$11</definedName>
    <definedName name="_xlnm.Print_Titles" localSheetId="4">Guanajuato_EdoMun!$1:$11</definedName>
    <definedName name="_xlnm.Print_Titles" localSheetId="1">Guanajuato_EdoUsa!$1:$11</definedName>
    <definedName name="_xlnm.Print_Titles" localSheetId="7">Guanajuato_educ_gral!$1:$11</definedName>
    <definedName name="_xlnm.Print_Titles" localSheetId="9">Guanajuato_EducCons!$1:$9</definedName>
    <definedName name="_xlnm.Print_Titles" localSheetId="13">Guanajuato_Gen_Edad!$1:$12</definedName>
    <definedName name="_xlnm.Print_Titles" localSheetId="11">Guanajuato_GENERO!$1:$12</definedName>
    <definedName name="_xlnm.Print_Titles" localSheetId="12">Guanajuato_GENERO_EUA!$1:$12</definedName>
    <definedName name="_xlnm.Print_Titles" localSheetId="10">Guanajuato_GenGral!$1:$11</definedName>
    <definedName name="_xlnm.Print_Titles" localSheetId="6">Guanajuato_MUNICIPIO!$1:$9</definedName>
    <definedName name="_xlnm.Print_Titles" localSheetId="8">Guanajuato_NivelE_Cons!$1:$9</definedName>
    <definedName name="_xlnm.Print_Titles" localSheetId="14">Guanajuato_ocup_gral!$1:$11</definedName>
    <definedName name="_xlnm.Print_Titles" localSheetId="5">Guanajuato_USAMuni!$1:$9</definedName>
    <definedName name="_xlnm.Print_Titles" localSheetId="3">GuanajuatoXCons!$1:$11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3" l="1"/>
  <c r="E31" i="13"/>
  <c r="E29" i="13"/>
  <c r="E28" i="13"/>
  <c r="E27" i="13"/>
  <c r="E26" i="13"/>
  <c r="E25" i="13"/>
  <c r="E24" i="13"/>
  <c r="E23" i="13"/>
  <c r="E22" i="13"/>
  <c r="E20" i="13"/>
  <c r="E19" i="13"/>
  <c r="E18" i="13"/>
  <c r="E17" i="13"/>
  <c r="E16" i="13"/>
  <c r="E15" i="13"/>
  <c r="E14" i="13"/>
  <c r="E13" i="13"/>
  <c r="F34" i="13"/>
  <c r="F33" i="13"/>
  <c r="F32" i="13"/>
  <c r="F31" i="13"/>
  <c r="F30" i="13"/>
  <c r="F29" i="13"/>
  <c r="F28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D21" i="16"/>
  <c r="D20" i="16"/>
  <c r="D19" i="16"/>
  <c r="D18" i="16"/>
  <c r="D17" i="16"/>
  <c r="D16" i="16"/>
  <c r="D15" i="16"/>
  <c r="D14" i="16"/>
  <c r="D13" i="16"/>
  <c r="D12" i="16"/>
  <c r="C22" i="16"/>
  <c r="D22" i="16" l="1"/>
</calcChain>
</file>

<file path=xl/sharedStrings.xml><?xml version="1.0" encoding="utf-8"?>
<sst xmlns="http://schemas.openxmlformats.org/spreadsheetml/2006/main" count="6263" uniqueCount="361">
  <si>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</si>
  <si>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</si>
  <si>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</si>
  <si>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</si>
  <si>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</si>
  <si>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</si>
  <si>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</si>
  <si>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</si>
  <si>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</si>
  <si>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</si>
  <si>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</si>
  <si>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</si>
  <si>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</si>
  <si>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</si>
  <si>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</si>
  <si>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</si>
  <si>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</si>
  <si>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</si>
  <si>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</si>
  <si>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</si>
  <si>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</si>
  <si>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</si>
  <si>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</si>
  <si>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</si>
  <si>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</si>
  <si>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</si>
  <si>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</si>
  <si>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</si>
  <si>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</si>
  <si>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</si>
  <si>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</si>
  <si>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</si>
  <si>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GUANAJUATO POR GÉNERO Y EDAD EN EE.UU.</t>
  </si>
  <si>
    <t>Ocupación</t>
  </si>
  <si>
    <t>5.2 Por Circunscripción Consular</t>
  </si>
  <si>
    <t>5.3 Por Estado de la Unión Americana</t>
  </si>
  <si>
    <t>MATRÍCULAS CONSULARES DE ALTA SEGURIDAD EXPEDIDAS A ORIGINARIOS DE GUANAJUATO EN LOS CONSULADOS DE MÉXICO EN EE.UU.</t>
  </si>
  <si>
    <t>MATRÍCULAS CONSULARES EXPEDIDAS A ORIGINARIOS DE GUANAJUATO POR GÉNERO EN EE.UU</t>
  </si>
  <si>
    <t>MATRÍCULAS CONSULARES EXPEDIDAS EN EE.UU. A ORIGINARIOS DE GUANAJUATO POR NIVEL DE EDUCACIÓN</t>
  </si>
  <si>
    <t>MATRÍCULAS CONSULARES EXPEDIDAS A ORIGINARIOS DE GUANAJUATO POR GÉNERO Y CONSULADO</t>
  </si>
  <si>
    <t>MATRÍCULAS CONSULARES EXPEDIDAS A ORIGINARIOS DE GUANAJUATO POR GÉNERO Y POR ESTADO DE LA UNIÓN AMERICANA</t>
  </si>
  <si>
    <t>MATRÍCULAS CONSULARES DE ALTA SEGURIDAD EXPEDIDAS POR MUNICIPIO A ORIGINARIOS DEL ESTADO DE GUANAJUATO EN LOS CONSULADOS DE MÉXICO EN EE.UU.</t>
  </si>
  <si>
    <t>MATRÍCULAS CONSULARES DE ALTA SEGURIDAD EXPEDIDAS A ORIGINARIOS DE GUANAJUATO POR ESTADO DE LA UNIÓN AMERICANA.</t>
  </si>
  <si>
    <t>LOS 10 CONSULADOS  DE MÉXICO EN EE.UU., CON MAYOR NÚMERO DE EXPEDICIÓN DE  MATRÍCULAS CONSULARES DE ALTA SEGURIDAD A ORIGINARIOS DE GUANAJUATO</t>
  </si>
  <si>
    <t>TOTAL TOP 10</t>
  </si>
  <si>
    <t>TOTAL GENERAL</t>
  </si>
  <si>
    <t>DALLAS</t>
  </si>
  <si>
    <t>CHICAGO</t>
  </si>
  <si>
    <t>HOUSTON</t>
  </si>
  <si>
    <t>LOS ANGELES</t>
  </si>
  <si>
    <t>AUSTIN</t>
  </si>
  <si>
    <t>RALEIGH</t>
  </si>
  <si>
    <t>LITTLE ROCK</t>
  </si>
  <si>
    <t>ATLANTA</t>
  </si>
  <si>
    <t>FRESNO</t>
  </si>
  <si>
    <t>SACRAMENTO</t>
  </si>
  <si>
    <t>SAN ANTONIO</t>
  </si>
  <si>
    <t>OKLAHOMA CITY</t>
  </si>
  <si>
    <t>SAN JOSE</t>
  </si>
  <si>
    <t>SANTA ANA</t>
  </si>
  <si>
    <t>ORLANDO</t>
  </si>
  <si>
    <t>DETROIT</t>
  </si>
  <si>
    <t>SAN BERNARDINO</t>
  </si>
  <si>
    <t>MIAMI</t>
  </si>
  <si>
    <t>KANSAS CITY</t>
  </si>
  <si>
    <t>DENVER</t>
  </si>
  <si>
    <t>MILWAUKEE</t>
  </si>
  <si>
    <t>PHOENIX</t>
  </si>
  <si>
    <t>FILADELFIA</t>
  </si>
  <si>
    <t>INDIANAPOLIS</t>
  </si>
  <si>
    <t>SAINT PAUL</t>
  </si>
  <si>
    <t>SAN FRANCISCO</t>
  </si>
  <si>
    <t>NUEVA ORLEANS</t>
  </si>
  <si>
    <t>BOISE</t>
  </si>
  <si>
    <t>OXNARD</t>
  </si>
  <si>
    <t>LAS VEGAS</t>
  </si>
  <si>
    <t>SAN DIEGO</t>
  </si>
  <si>
    <t>MCALLEN</t>
  </si>
  <si>
    <t>OMAHA</t>
  </si>
  <si>
    <t>SALT LAKE CITY</t>
  </si>
  <si>
    <t>WASHINGTON</t>
  </si>
  <si>
    <t>PORTLAND</t>
  </si>
  <si>
    <t>ALBUQUERQUE</t>
  </si>
  <si>
    <t>TUCSON</t>
  </si>
  <si>
    <t>NUEVA YORK</t>
  </si>
  <si>
    <t>SEATTLE</t>
  </si>
  <si>
    <t>LAREDO</t>
  </si>
  <si>
    <t>BROWNSVILLE</t>
  </si>
  <si>
    <t>BOSTON</t>
  </si>
  <si>
    <t>EL PASO</t>
  </si>
  <si>
    <t>PRESIDIO</t>
  </si>
  <si>
    <t>DEL RIO</t>
  </si>
  <si>
    <t>YUMA</t>
  </si>
  <si>
    <t>NEW BRUNSWICK</t>
  </si>
  <si>
    <t>CALEXICO</t>
  </si>
  <si>
    <t>EAGLE PASS</t>
  </si>
  <si>
    <t>Elaborado por: Análisis de Información, Instituto de Mexicanas y Mexicanos en el Exterior</t>
  </si>
  <si>
    <t>ALABAMA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</si>
  <si>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</si>
  <si>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</si>
  <si>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</si>
  <si>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</si>
  <si>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</si>
  <si>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</si>
  <si>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</si>
  <si>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</si>
  <si>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</si>
  <si>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</si>
  <si>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</si>
  <si>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</si>
  <si>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</si>
  <si>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</si>
  <si>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</si>
  <si>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</si>
  <si>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</si>
  <si>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</si>
  <si>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</si>
  <si>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</si>
  <si>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</si>
  <si>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</si>
  <si>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</si>
  <si>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</si>
  <si>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</si>
  <si>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</si>
  <si>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</si>
  <si>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</si>
  <si>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</si>
  <si>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</si>
  <si>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</si>
  <si>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</si>
  <si>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</si>
  <si>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</si>
  <si>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</si>
  <si>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</si>
  <si>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</si>
  <si>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</si>
  <si>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</si>
  <si>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</si>
  <si>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</si>
  <si>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</si>
  <si>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</si>
  <si>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</si>
  <si>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WEST VIRGINIA</t>
  </si>
  <si>
    <t>WISCONSIN</t>
  </si>
  <si>
    <t>WYOMING</t>
  </si>
  <si>
    <t>FEMENINO</t>
  </si>
  <si>
    <t>MASCULINO</t>
  </si>
  <si>
    <t>ABASOLO</t>
  </si>
  <si>
    <t>ACÁMBARO</t>
  </si>
  <si>
    <t>APASEO EL ALTO</t>
  </si>
  <si>
    <t>APASEO EL GRANDE</t>
  </si>
  <si>
    <t>CELAYA</t>
  </si>
  <si>
    <t>COMONFORT</t>
  </si>
  <si>
    <t>CUERÁMARO</t>
  </si>
  <si>
    <t>DOLORES HIDALGO CUNA DE LA INDEPENDENCIA NACIONAL</t>
  </si>
  <si>
    <t>GUANAJUATO</t>
  </si>
  <si>
    <t>HUANÍMARO</t>
  </si>
  <si>
    <t>IRAPUATO</t>
  </si>
  <si>
    <t>JARAL DEL PROGRESO</t>
  </si>
  <si>
    <t>JERÉCUARO</t>
  </si>
  <si>
    <t>LEÓN</t>
  </si>
  <si>
    <t>MANUEL DOBLADO</t>
  </si>
  <si>
    <t>OCAMPO</t>
  </si>
  <si>
    <t>PÉNJAMO</t>
  </si>
  <si>
    <t>ROMITA</t>
  </si>
  <si>
    <t>SALAMANCA</t>
  </si>
  <si>
    <t>SALVATIERRA</t>
  </si>
  <si>
    <t>SAN DIEGO DE LA UNIÓN</t>
  </si>
  <si>
    <t>SAN FELIPE</t>
  </si>
  <si>
    <t>SAN FRANCISCO DEL RINCÓN</t>
  </si>
  <si>
    <t>SAN JOSÉ ITURBIDE</t>
  </si>
  <si>
    <t>SAN LUIS DE LA PAZ</t>
  </si>
  <si>
    <t>SAN MIGUEL DE ALLENDE</t>
  </si>
  <si>
    <t>SILAO DE LA VICTORIA</t>
  </si>
  <si>
    <t>TARANDACUAO</t>
  </si>
  <si>
    <t>URIANGATO</t>
  </si>
  <si>
    <t>VALLE DE SANTIAGO</t>
  </si>
  <si>
    <t>VICTORIA</t>
  </si>
  <si>
    <t>XICHÚ</t>
  </si>
  <si>
    <t>YURIRIA</t>
  </si>
  <si>
    <t>ATARJEA</t>
  </si>
  <si>
    <t>CORONEO</t>
  </si>
  <si>
    <t>CORTAZAR</t>
  </si>
  <si>
    <t>DOCTOR MORA</t>
  </si>
  <si>
    <t>MOROLEÓN</t>
  </si>
  <si>
    <t>PUEBLO NUEVO</t>
  </si>
  <si>
    <t>PURÍSIMA DEL RINCÓN</t>
  </si>
  <si>
    <t>SANTA CRUZ DE JUVENTINO ROSAS</t>
  </si>
  <si>
    <t>SANTIAGO MARAVATÍO</t>
  </si>
  <si>
    <t>TARIMORO</t>
  </si>
  <si>
    <t>TIERRA BLANCA</t>
  </si>
  <si>
    <t>VILLAGRÁN</t>
  </si>
  <si>
    <t>SANTA CATARINA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</si>
  <si>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</si>
  <si>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</si>
  <si>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</si>
  <si>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</si>
  <si>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</si>
  <si>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</si>
  <si>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</si>
  <si>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</si>
  <si>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</si>
  <si>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</si>
  <si>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</si>
  <si>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</si>
  <si>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</si>
  <si>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</si>
  <si>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</si>
  <si>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</si>
  <si>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</si>
  <si>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</si>
  <si>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</si>
  <si>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</si>
  <si>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</si>
  <si>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</si>
  <si>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</si>
  <si>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</si>
  <si>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</si>
  <si>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</si>
  <si>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</si>
  <si>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</si>
  <si>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</si>
  <si>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</si>
  <si>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</si>
  <si>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EMPLEADO(A)</t>
  </si>
  <si>
    <t>HOGAR</t>
  </si>
  <si>
    <t>CONSTRUCCIÓN, TRAB. DE LA IND. DE LA</t>
  </si>
  <si>
    <t>OBRERO(A)</t>
  </si>
  <si>
    <t>ESTUDIANTE</t>
  </si>
  <si>
    <t>AGROPECUARIA, TRAB. DE LA INDUSTRIA</t>
  </si>
  <si>
    <t>ALIMENTOS Y BEBIDAS, ESP. EN PREPARACIÓN DE</t>
  </si>
  <si>
    <t>JARDINERO(A)</t>
  </si>
  <si>
    <t>PINTOR(A)</t>
  </si>
  <si>
    <t>SIN ESPECIFICAR</t>
  </si>
  <si>
    <t>MESERO(A)</t>
  </si>
  <si>
    <t>LIMPIEZA, EMPLEADO DE</t>
  </si>
  <si>
    <t>CARPINTERO/TAPICERO</t>
  </si>
  <si>
    <t>JUBILADO(A)/PENSIONADO(A)</t>
  </si>
  <si>
    <t>OPERARIO(A)</t>
  </si>
  <si>
    <t>DESEMPLEADO</t>
  </si>
  <si>
    <t>MECÁNICO(A)</t>
  </si>
  <si>
    <t>CHOFER</t>
  </si>
  <si>
    <t>SOLDADOR</t>
  </si>
  <si>
    <t>TÉCNICO(A) EN MANTENIMIENTO</t>
  </si>
  <si>
    <t>VENDEDOR(A)</t>
  </si>
  <si>
    <t>EMPRESARIO(A)</t>
  </si>
  <si>
    <t>CAJERO(A)/COBRADOR(A)</t>
  </si>
  <si>
    <t>PROFESIONISTA</t>
  </si>
  <si>
    <t>CARNICERO(A)</t>
  </si>
  <si>
    <t>BELLEZA, PROFESIONAL DE SERVICIOS DE</t>
  </si>
  <si>
    <t>DISCAPACITADO</t>
  </si>
  <si>
    <t>AEROCOMERCIAL, TRAB. DE LA INDUSTRIA</t>
  </si>
  <si>
    <t>PROFESOR(A)</t>
  </si>
  <si>
    <t>SUPERVISOR(A)</t>
  </si>
  <si>
    <t>ENFERMERO(A)/TRAB. DE APOYO EN SALUD</t>
  </si>
  <si>
    <t>TRABAJADOR(A) DOMÉSTICO(A)</t>
  </si>
  <si>
    <t>ARTISTA INTERPRETATIVO(A)</t>
  </si>
  <si>
    <t>GERENTE/DIRECTOR(A)</t>
  </si>
  <si>
    <t>ADMINISTRADOR(A)/CONTADOR(A)</t>
  </si>
  <si>
    <t>INGENIERO(A)</t>
  </si>
  <si>
    <t>HERRERO(A)/CERRAJERO(A)/JOYERO(A)</t>
  </si>
  <si>
    <t>OTRO</t>
  </si>
  <si>
    <t>PROFESIONAL TÉCNICO</t>
  </si>
  <si>
    <t>HOJALATERO</t>
  </si>
  <si>
    <t>AUXILIARES ADMINISTRATIVOS Y DE OFICINA</t>
  </si>
  <si>
    <t>DISEÑADOR(A)</t>
  </si>
  <si>
    <t>POLICÍA/ SERV. SEGURIDAD Y PROTECCIÓN</t>
  </si>
  <si>
    <t>ARTESANO(A)</t>
  </si>
  <si>
    <t>BANQUERO/INVERSIONISTA</t>
  </si>
  <si>
    <t>DEPORTISTA/ENTRENADOR DEPORTIVO</t>
  </si>
  <si>
    <t>INVESTIGADOR(A)</t>
  </si>
  <si>
    <t>MINISTRO(A) RELIGIOSO(A)</t>
  </si>
  <si>
    <t>MODISTA/SASTRE</t>
  </si>
  <si>
    <t>RECICLAJE, TRAB. DE LA INDUSTRIA DEL</t>
  </si>
  <si>
    <t>TRABAJADOR(A) SOCIAL</t>
  </si>
  <si>
    <t>COMERCIANTE</t>
  </si>
  <si>
    <t>CONSULTOR</t>
  </si>
  <si>
    <t>TURISMO, SERV. RELACIONADOS CON</t>
  </si>
  <si>
    <t>FOTÓGRAFO(A)</t>
  </si>
  <si>
    <t>MISIONERO(A)</t>
  </si>
  <si>
    <t>MÉDICO(A) /ESP. EN SALUD</t>
  </si>
  <si>
    <t>PLANCHADOR(A)</t>
  </si>
  <si>
    <t>MATRÍCULAS CONSULARES EXPEDIDAS EN EE.UU. ORIGINARIOS DE GUANAJUATO POR PERFIL OCUPACIONAL</t>
  </si>
  <si>
    <t>DOUGLAS</t>
  </si>
  <si>
    <t>Tamaño de la muestra: 808,027</t>
  </si>
  <si>
    <t>Femenino</t>
  </si>
  <si>
    <t>Masculino</t>
  </si>
  <si>
    <t>No Binario</t>
  </si>
  <si>
    <t>ALASKA</t>
  </si>
  <si>
    <t>NO BINARIO</t>
  </si>
  <si>
    <t>DISTRICT OF COLUMBIA</t>
  </si>
  <si>
    <t>DESCONOCIDO</t>
  </si>
  <si>
    <t>KINDERGARTEN</t>
  </si>
  <si>
    <t>ENTRE 00 Y 10 AÑOS</t>
  </si>
  <si>
    <t xml:space="preserve">FEMENINO  </t>
  </si>
  <si>
    <t xml:space="preserve">MASCULINO  </t>
  </si>
  <si>
    <t xml:space="preserve">NO BINARIO   </t>
  </si>
  <si>
    <t>ABOGADO(A)</t>
  </si>
  <si>
    <t>ARTISTA PLÁSTICO/PINTOR(A)</t>
  </si>
  <si>
    <t>AUTOR(A)/PERIODISTA/TRADUCTOR(A)</t>
  </si>
  <si>
    <t>DIPLOMÁTICO(A)</t>
  </si>
  <si>
    <t>ODONTÓLOGO(A)</t>
  </si>
  <si>
    <t>TOTAL</t>
  </si>
  <si>
    <t>Junio de 2025</t>
  </si>
  <si>
    <t>Total</t>
  </si>
  <si>
    <t xml:space="preserve"> TOTAL </t>
  </si>
  <si>
    <t xml:space="preserve">TOTAL </t>
  </si>
  <si>
    <t xml:space="preserve"> Total</t>
  </si>
  <si>
    <t xml:space="preserve"> TOTAL</t>
  </si>
  <si>
    <t>Matrículas consulares expedidas a originarios de Guanajuato en el 2024</t>
  </si>
  <si>
    <t>Alabama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</si>
  <si>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</si>
  <si>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</si>
  <si>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</si>
  <si>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</si>
  <si>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</si>
  <si>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</si>
  <si>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</si>
  <si>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</si>
  <si>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Idaho</t>
  </si>
  <si>
    <t>Illinois</t>
  </si>
  <si>
    <t>Indiana</t>
  </si>
  <si>
    <t>Iowa</t>
  </si>
  <si>
    <t>Kansas</t>
  </si>
  <si>
    <t>Kentucky</t>
  </si>
  <si>
    <t>Louisiana</t>
  </si>
  <si>
    <t>Maryland</t>
  </si>
  <si>
    <t>Michigan</t>
  </si>
  <si>
    <t>Minnesota</t>
  </si>
  <si>
    <t>Mississippi</t>
  </si>
  <si>
    <t>Missouri</t>
  </si>
  <si>
    <t>Montana</t>
  </si>
  <si>
    <t>Nebraska</t>
  </si>
  <si>
    <t>Nevada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</si>
  <si>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</si>
  <si>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</si>
  <si>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</si>
  <si>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</si>
  <si>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</si>
  <si>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</si>
  <si>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</si>
  <si>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</si>
  <si>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South Carolina</t>
  </si>
  <si>
    <t>Tennessee</t>
  </si>
  <si>
    <t>Texas</t>
  </si>
  <si>
    <t>Utah</t>
  </si>
  <si>
    <t>Virginia</t>
  </si>
  <si>
    <t>Washington</t>
  </si>
  <si>
    <t>Wisconsin</t>
  </si>
  <si>
    <t>Wyoming</t>
  </si>
  <si>
    <t>District of Columbia</t>
  </si>
  <si>
    <t>North Dakota</t>
  </si>
  <si>
    <t>South Dakota</t>
  </si>
  <si>
    <t>New Hampshire</t>
  </si>
  <si>
    <t>Massachusetts</t>
  </si>
  <si>
    <t>Rhode Island</t>
  </si>
  <si>
    <t>West Virginia</t>
  </si>
  <si>
    <t>Vermont</t>
  </si>
  <si>
    <t>Hawaii</t>
  </si>
  <si>
    <t>Alaska</t>
  </si>
  <si>
    <t>Maine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</si>
</sst>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7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11"/>
      <name val="Arial Narrow"/>
      <family val="2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11"/>
      <color theme="1"/>
      <name val="Noto Sans"/>
      <family val="2"/>
    </font>
    <font>
      <sz val="10"/>
      <color theme="1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8"/>
      <color theme="1"/>
      <name val="Noto Sans"/>
      <family val="2"/>
    </font>
    <font>
      <sz val="7"/>
      <color indexed="8"/>
      <name val="Noto Sans"/>
      <family val="2"/>
    </font>
    <font>
      <b/>
      <sz val="9"/>
      <color theme="0"/>
      <name val="Noto Sans"/>
      <family val="2"/>
    </font>
    <font>
      <sz val="9"/>
      <color theme="1"/>
      <name val="Noto Sans"/>
      <family val="2"/>
    </font>
    <font>
      <b/>
      <sz val="9"/>
      <color indexed="9"/>
      <name val="Noto Sans"/>
      <family val="2"/>
    </font>
    <font>
      <sz val="11"/>
      <name val="Noto Sans"/>
      <family val="2"/>
    </font>
    <font>
      <b/>
      <sz val="11"/>
      <name val="Noto Sans"/>
      <family val="2"/>
    </font>
    <font>
      <sz val="8"/>
      <color indexed="8"/>
      <name val="Noto Sans"/>
      <family val="2"/>
    </font>
    <font>
      <sz val="9"/>
      <color rgb="FF000000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99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6" fillId="0" borderId="0" xfId="0" applyFont="1"/>
    <xf numFmtId="3" fontId="6" fillId="0" borderId="0" xfId="0" applyNumberFormat="1" applyFont="1"/>
    <xf numFmtId="1" fontId="6" fillId="0" borderId="0" xfId="0" applyNumberFormat="1" applyFont="1"/>
    <xf numFmtId="0" fontId="7" fillId="3" borderId="0" xfId="0" applyFont="1" applyFill="1"/>
    <xf numFmtId="0" fontId="8" fillId="3" borderId="0" xfId="0" applyFont="1" applyFill="1"/>
    <xf numFmtId="0" fontId="9" fillId="3" borderId="0" xfId="0" applyFont="1" applyFill="1"/>
    <xf numFmtId="0" fontId="6" fillId="3" borderId="0" xfId="0" applyFont="1" applyFill="1"/>
    <xf numFmtId="0" fontId="10" fillId="3" borderId="0" xfId="0" applyFont="1" applyFill="1"/>
    <xf numFmtId="0" fontId="9" fillId="3" borderId="0" xfId="0" applyFont="1" applyFill="1" applyAlignment="1">
      <alignment vertical="center"/>
    </xf>
    <xf numFmtId="3" fontId="6" fillId="3" borderId="0" xfId="0" applyNumberFormat="1" applyFont="1" applyFill="1"/>
    <xf numFmtId="1" fontId="6" fillId="3" borderId="0" xfId="0" applyNumberFormat="1" applyFont="1" applyFill="1"/>
    <xf numFmtId="0" fontId="3" fillId="3" borderId="0" xfId="0" applyFont="1" applyFill="1"/>
    <xf numFmtId="0" fontId="6" fillId="3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12" fillId="0" borderId="4" xfId="0" applyFont="1" applyBorder="1"/>
    <xf numFmtId="0" fontId="14" fillId="3" borderId="0" xfId="0" applyFont="1" applyFill="1"/>
    <xf numFmtId="0" fontId="16" fillId="3" borderId="0" xfId="0" applyFont="1" applyFill="1"/>
    <xf numFmtId="0" fontId="16" fillId="3" borderId="12" xfId="0" applyFont="1" applyFill="1" applyBorder="1" applyAlignment="1">
      <alignment horizontal="center" vertical="distributed"/>
    </xf>
    <xf numFmtId="0" fontId="18" fillId="0" borderId="0" xfId="0" applyFont="1"/>
    <xf numFmtId="0" fontId="19" fillId="3" borderId="0" xfId="0" applyFont="1" applyFill="1"/>
    <xf numFmtId="0" fontId="19" fillId="3" borderId="0" xfId="0" applyFont="1" applyFill="1" applyAlignment="1">
      <alignment vertical="center"/>
    </xf>
    <xf numFmtId="0" fontId="19" fillId="3" borderId="0" xfId="0" applyFont="1" applyFill="1" applyAlignment="1">
      <alignment vertical="top"/>
    </xf>
    <xf numFmtId="0" fontId="18" fillId="3" borderId="0" xfId="0" applyFont="1" applyFill="1"/>
    <xf numFmtId="3" fontId="18" fillId="3" borderId="0" xfId="0" applyNumberFormat="1" applyFont="1" applyFill="1"/>
    <xf numFmtId="0" fontId="14" fillId="0" borderId="0" xfId="0" applyFont="1" applyAlignment="1">
      <alignment horizontal="center" vertical="center" wrapText="1"/>
    </xf>
    <xf numFmtId="0" fontId="20" fillId="2" borderId="11" xfId="0" applyFont="1" applyFill="1" applyBorder="1" applyAlignment="1">
      <alignment horizontal="center" vertical="center" wrapText="1"/>
    </xf>
    <xf numFmtId="1" fontId="20" fillId="2" borderId="10" xfId="0" applyNumberFormat="1" applyFont="1" applyFill="1" applyBorder="1" applyAlignment="1">
      <alignment horizontal="center" vertical="center" wrapText="1"/>
    </xf>
    <xf numFmtId="0" fontId="20" fillId="2" borderId="10" xfId="0" applyFont="1" applyFill="1" applyBorder="1" applyAlignment="1">
      <alignment horizontal="center" vertical="center" wrapText="1"/>
    </xf>
    <xf numFmtId="3" fontId="14" fillId="3" borderId="0" xfId="0" applyNumberFormat="1" applyFont="1" applyFill="1"/>
    <xf numFmtId="49" fontId="20" fillId="4" borderId="9" xfId="0" applyNumberFormat="1" applyFont="1" applyFill="1" applyBorder="1" applyAlignment="1">
      <alignment vertical="center" wrapText="1"/>
    </xf>
    <xf numFmtId="3" fontId="20" fillId="4" borderId="9" xfId="0" applyNumberFormat="1" applyFont="1" applyFill="1" applyBorder="1" applyAlignment="1">
      <alignment horizontal="right" vertical="center" wrapText="1"/>
    </xf>
    <xf numFmtId="0" fontId="18" fillId="3" borderId="0" xfId="0" applyFont="1" applyFill="1" applyAlignment="1">
      <alignment vertical="center"/>
    </xf>
    <xf numFmtId="0" fontId="22" fillId="2" borderId="10" xfId="3" applyFont="1" applyFill="1" applyBorder="1" applyAlignment="1">
      <alignment horizontal="center" vertical="center" wrapText="1"/>
    </xf>
    <xf numFmtId="0" fontId="20" fillId="2" borderId="10" xfId="3" applyFont="1" applyFill="1" applyBorder="1" applyAlignment="1">
      <alignment horizontal="center" vertical="center" wrapText="1"/>
    </xf>
    <xf numFmtId="1" fontId="22" fillId="2" borderId="10" xfId="3" applyNumberFormat="1" applyFont="1" applyFill="1" applyBorder="1" applyAlignment="1">
      <alignment horizontal="center" vertical="center" wrapText="1"/>
    </xf>
    <xf numFmtId="0" fontId="23" fillId="3" borderId="0" xfId="0" applyFont="1" applyFill="1"/>
    <xf numFmtId="0" fontId="24" fillId="3" borderId="0" xfId="0" applyFont="1" applyFill="1"/>
    <xf numFmtId="0" fontId="25" fillId="0" borderId="0" xfId="0" applyFont="1" applyAlignment="1">
      <alignment horizontal="justify" vertical="center"/>
    </xf>
    <xf numFmtId="0" fontId="25" fillId="0" borderId="0" xfId="0" applyFont="1" applyAlignment="1">
      <alignment vertical="top"/>
    </xf>
    <xf numFmtId="0" fontId="20" fillId="4" borderId="9" xfId="0" applyFont="1" applyFill="1" applyBorder="1" applyAlignment="1">
      <alignment vertical="center" wrapText="1"/>
    </xf>
    <xf numFmtId="10" fontId="20" fillId="4" borderId="9" xfId="0" applyNumberFormat="1" applyFont="1" applyFill="1" applyBorder="1" applyAlignment="1">
      <alignment horizontal="right" vertical="center" wrapText="1"/>
    </xf>
    <xf numFmtId="0" fontId="26" fillId="0" borderId="9" xfId="0" applyFont="1" applyBorder="1" applyAlignment="1">
      <alignment vertical="center" wrapText="1"/>
    </xf>
    <xf numFmtId="3" fontId="26" fillId="6" borderId="9" xfId="0" applyNumberFormat="1" applyFont="1" applyFill="1" applyBorder="1" applyAlignment="1">
      <alignment horizontal="right" vertical="center" wrapText="1"/>
    </xf>
    <xf numFmtId="10" fontId="26" fillId="6" borderId="9" xfId="0" applyNumberFormat="1" applyFont="1" applyFill="1" applyBorder="1" applyAlignment="1">
      <alignment horizontal="right" vertical="center" wrapText="1"/>
    </xf>
    <xf numFmtId="0" fontId="26" fillId="6" borderId="9" xfId="0" applyFont="1" applyFill="1" applyBorder="1" applyAlignment="1">
      <alignment horizontal="right" vertical="center" wrapText="1"/>
    </xf>
    <xf numFmtId="49" fontId="21" fillId="0" borderId="9" xfId="0" applyNumberFormat="1" applyFont="1" applyBorder="1" applyAlignment="1">
      <alignment vertical="top" wrapText="1"/>
    </xf>
    <xf numFmtId="165" fontId="26" fillId="6" borderId="9" xfId="0" applyNumberFormat="1" applyFont="1" applyFill="1" applyBorder="1" applyAlignment="1">
      <alignment horizontal="right" vertical="top" wrapText="1"/>
    </xf>
    <xf numFmtId="164" fontId="26" fillId="6" borderId="9" xfId="0" applyNumberFormat="1" applyFont="1" applyFill="1" applyBorder="1" applyAlignment="1">
      <alignment horizontal="right" vertical="top" wrapText="1"/>
    </xf>
    <xf numFmtId="49" fontId="20" fillId="4" borderId="9" xfId="0" applyNumberFormat="1" applyFont="1" applyFill="1" applyBorder="1" applyAlignment="1">
      <alignment vertical="top" wrapText="1"/>
    </xf>
    <xf numFmtId="165" fontId="20" fillId="4" borderId="9" xfId="0" applyNumberFormat="1" applyFont="1" applyFill="1" applyBorder="1" applyAlignment="1">
      <alignment horizontal="right" vertical="top" wrapText="1"/>
    </xf>
    <xf numFmtId="164" fontId="20" fillId="4" borderId="9" xfId="0" applyNumberFormat="1" applyFont="1" applyFill="1" applyBorder="1" applyAlignment="1">
      <alignment horizontal="right" vertical="top" wrapText="1"/>
    </xf>
    <xf numFmtId="0" fontId="21" fillId="3" borderId="9" xfId="0" applyFont="1" applyFill="1" applyBorder="1"/>
    <xf numFmtId="49" fontId="20" fillId="7" borderId="9" xfId="0" applyNumberFormat="1" applyFont="1" applyFill="1" applyBorder="1" applyAlignment="1">
      <alignment vertical="center" wrapText="1"/>
    </xf>
    <xf numFmtId="3" fontId="20" fillId="7" borderId="9" xfId="0" applyNumberFormat="1" applyFont="1" applyFill="1" applyBorder="1" applyAlignment="1">
      <alignment horizontal="right" vertical="center" wrapText="1"/>
    </xf>
    <xf numFmtId="164" fontId="20" fillId="7" borderId="9" xfId="0" applyNumberFormat="1" applyFont="1" applyFill="1" applyBorder="1" applyAlignment="1">
      <alignment horizontal="right" vertical="center" wrapText="1"/>
    </xf>
    <xf numFmtId="0" fontId="20" fillId="7" borderId="9" xfId="0" applyFont="1" applyFill="1" applyBorder="1" applyAlignment="1">
      <alignment vertical="center" wrapText="1"/>
    </xf>
    <xf numFmtId="10" fontId="20" fillId="7" borderId="9" xfId="0" applyNumberFormat="1" applyFont="1" applyFill="1" applyBorder="1" applyAlignment="1">
      <alignment horizontal="right" vertical="center" wrapText="1"/>
    </xf>
    <xf numFmtId="0" fontId="20" fillId="7" borderId="9" xfId="0" applyFont="1" applyFill="1" applyBorder="1" applyAlignment="1">
      <alignment horizontal="right" vertical="center" wrapText="1"/>
    </xf>
    <xf numFmtId="165" fontId="20" fillId="7" borderId="9" xfId="0" applyNumberFormat="1" applyFont="1" applyFill="1" applyBorder="1" applyAlignment="1">
      <alignment horizontal="right" vertical="top" wrapText="1"/>
    </xf>
    <xf numFmtId="49" fontId="20" fillId="7" borderId="9" xfId="0" applyNumberFormat="1" applyFont="1" applyFill="1" applyBorder="1" applyAlignment="1">
      <alignment vertical="top" wrapText="1"/>
    </xf>
    <xf numFmtId="164" fontId="20" fillId="7" borderId="9" xfId="0" applyNumberFormat="1" applyFont="1" applyFill="1" applyBorder="1" applyAlignment="1">
      <alignment horizontal="right" vertical="top" wrapText="1"/>
    </xf>
    <xf numFmtId="0" fontId="17" fillId="5" borderId="10" xfId="3" applyFont="1" applyFill="1" applyBorder="1" applyAlignment="1">
      <alignment horizontal="center" vertical="center" wrapText="1"/>
    </xf>
    <xf numFmtId="0" fontId="13" fillId="0" borderId="4" xfId="1" applyFont="1" applyBorder="1" applyAlignment="1">
      <alignment horizontal="left"/>
    </xf>
    <xf numFmtId="0" fontId="13" fillId="0" borderId="0" xfId="1" applyFont="1" applyBorder="1" applyAlignment="1">
      <alignment horizontal="left"/>
    </xf>
    <xf numFmtId="0" fontId="13" fillId="0" borderId="5" xfId="1" applyFont="1" applyBorder="1" applyAlignment="1">
      <alignment horizontal="left"/>
    </xf>
    <xf numFmtId="0" fontId="11" fillId="2" borderId="1" xfId="0" applyFont="1" applyFill="1" applyBorder="1" applyAlignment="1">
      <alignment horizontal="center" wrapText="1"/>
    </xf>
    <xf numFmtId="0" fontId="11" fillId="2" borderId="2" xfId="0" applyFont="1" applyFill="1" applyBorder="1" applyAlignment="1">
      <alignment horizontal="center" wrapText="1"/>
    </xf>
    <xf numFmtId="0" fontId="11" fillId="2" borderId="3" xfId="0" applyFont="1" applyFill="1" applyBorder="1" applyAlignment="1">
      <alignment horizontal="center" wrapText="1"/>
    </xf>
    <xf numFmtId="0" fontId="12" fillId="0" borderId="4" xfId="0" applyFont="1" applyBorder="1" applyAlignment="1">
      <alignment horizontal="left" wrapText="1"/>
    </xf>
    <xf numFmtId="0" fontId="12" fillId="0" borderId="0" xfId="0" applyFont="1" applyAlignment="1">
      <alignment horizontal="left" wrapText="1"/>
    </xf>
    <xf numFmtId="0" fontId="12" fillId="0" borderId="5" xfId="0" applyFont="1" applyBorder="1" applyAlignment="1">
      <alignment horizontal="left" wrapText="1"/>
    </xf>
    <xf numFmtId="0" fontId="15" fillId="0" borderId="0" xfId="0" applyFont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0" fillId="4" borderId="16" xfId="0" applyFont="1" applyFill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26" fillId="0" borderId="13" xfId="0" applyFont="1" applyBorder="1" applyAlignment="1">
      <alignment horizontal="center" vertical="center" wrapText="1"/>
    </xf>
    <xf numFmtId="0" fontId="26" fillId="0" borderId="14" xfId="0" applyFont="1" applyBorder="1" applyAlignment="1">
      <alignment horizontal="center" vertical="center" wrapText="1"/>
    </xf>
    <xf numFmtId="0" fontId="14" fillId="3" borderId="0" xfId="0" applyFont="1" applyFill="1" applyAlignment="1">
      <alignment horizontal="center" wrapText="1"/>
    </xf>
    <xf numFmtId="49" fontId="20" fillId="4" borderId="15" xfId="0" applyNumberFormat="1" applyFont="1" applyFill="1" applyBorder="1" applyAlignment="1">
      <alignment horizontal="center" vertical="top" wrapText="1"/>
    </xf>
    <xf numFmtId="49" fontId="20" fillId="4" borderId="16" xfId="0" applyNumberFormat="1" applyFont="1" applyFill="1" applyBorder="1" applyAlignment="1">
      <alignment horizontal="center" vertical="top" wrapText="1"/>
    </xf>
    <xf numFmtId="49" fontId="21" fillId="0" borderId="10" xfId="0" applyNumberFormat="1" applyFont="1" applyBorder="1" applyAlignment="1">
      <alignment horizontal="center" vertical="center" wrapText="1"/>
    </xf>
    <xf numFmtId="49" fontId="21" fillId="0" borderId="13" xfId="0" applyNumberFormat="1" applyFont="1" applyBorder="1" applyAlignment="1">
      <alignment horizontal="center" vertical="center" wrapText="1"/>
    </xf>
    <xf numFmtId="49" fontId="21" fillId="0" borderId="14" xfId="0" applyNumberFormat="1" applyFont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image" Target="../media/image2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384891</xdr:colOff>
      <xdr:row>1</xdr:row>
      <xdr:rowOff>193367</xdr:rowOff>
    </xdr:from>
    <xdr:to>
      <xdr:col>3</xdr:col>
      <xdr:colOff>896988</xdr:colOff>
      <xdr:row>2</xdr:row>
      <xdr:rowOff>193367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71041" y="726767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GUANAJUATO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95250</xdr:colOff>
      <xdr:row>8</xdr:row>
      <xdr:rowOff>0</xdr:rowOff>
    </xdr:from>
    <xdr:to>
      <xdr:col>4</xdr:col>
      <xdr:colOff>607347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5243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231087</xdr:colOff>
      <xdr:row>1</xdr:row>
      <xdr:rowOff>124241</xdr:rowOff>
    </xdr:from>
    <xdr:to>
      <xdr:col>1</xdr:col>
      <xdr:colOff>1231212</xdr:colOff>
      <xdr:row>2</xdr:row>
      <xdr:rowOff>155618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F9AF562-B348-4C99-A4E9-D3B5FEB96D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1087" y="314741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454716</xdr:colOff>
      <xdr:row>1</xdr:row>
      <xdr:rowOff>49696</xdr:rowOff>
    </xdr:from>
    <xdr:to>
      <xdr:col>5</xdr:col>
      <xdr:colOff>273740</xdr:colOff>
      <xdr:row>3</xdr:row>
      <xdr:rowOff>137131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AD02105-B541-4502-A395-8A37FDC2B4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94194" y="24019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254000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3261"/>
          <a:ext cx="5906327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GUANAJUATO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257175</xdr:colOff>
      <xdr:row>7</xdr:row>
      <xdr:rowOff>133350</xdr:rowOff>
    </xdr:from>
    <xdr:to>
      <xdr:col>5</xdr:col>
      <xdr:colOff>150147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305175" y="14668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206240</xdr:colOff>
      <xdr:row>2</xdr:row>
      <xdr:rowOff>11044</xdr:rowOff>
    </xdr:from>
    <xdr:to>
      <xdr:col>1</xdr:col>
      <xdr:colOff>1206365</xdr:colOff>
      <xdr:row>3</xdr:row>
      <xdr:rowOff>42421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0FAB97C-2234-4830-BED3-079D988963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6240" y="39204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164825</xdr:colOff>
      <xdr:row>1</xdr:row>
      <xdr:rowOff>19326</xdr:rowOff>
    </xdr:from>
    <xdr:to>
      <xdr:col>4</xdr:col>
      <xdr:colOff>605045</xdr:colOff>
      <xdr:row>3</xdr:row>
      <xdr:rowOff>106761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DE4912A-4EBC-40E6-B39B-64D926DEB8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10151" y="20982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GUANAJUATO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219075</xdr:colOff>
      <xdr:row>8</xdr:row>
      <xdr:rowOff>0</xdr:rowOff>
    </xdr:from>
    <xdr:to>
      <xdr:col>5</xdr:col>
      <xdr:colOff>112047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670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200187</xdr:colOff>
      <xdr:row>1</xdr:row>
      <xdr:rowOff>98118</xdr:rowOff>
    </xdr:from>
    <xdr:to>
      <xdr:col>1</xdr:col>
      <xdr:colOff>1200312</xdr:colOff>
      <xdr:row>2</xdr:row>
      <xdr:rowOff>129495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7BD41D6-8FE1-4B97-8E1F-2E6C25ACFC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0187" y="288618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338760</xdr:colOff>
      <xdr:row>1</xdr:row>
      <xdr:rowOff>49695</xdr:rowOff>
    </xdr:from>
    <xdr:to>
      <xdr:col>5</xdr:col>
      <xdr:colOff>157784</xdr:colOff>
      <xdr:row>3</xdr:row>
      <xdr:rowOff>137130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7E4BCBD-0230-4A83-8C5A-3D800B059F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78238" y="240195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GUANAJUATO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5815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101050</xdr:colOff>
      <xdr:row>1</xdr:row>
      <xdr:rowOff>121341</xdr:rowOff>
    </xdr:from>
    <xdr:to>
      <xdr:col>1</xdr:col>
      <xdr:colOff>1101175</xdr:colOff>
      <xdr:row>2</xdr:row>
      <xdr:rowOff>152718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E6689EC-FF34-4C9F-86EC-B63F3AFD39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050" y="311841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313911</xdr:colOff>
      <xdr:row>1</xdr:row>
      <xdr:rowOff>0</xdr:rowOff>
    </xdr:from>
    <xdr:to>
      <xdr:col>5</xdr:col>
      <xdr:colOff>132936</xdr:colOff>
      <xdr:row>3</xdr:row>
      <xdr:rowOff>87435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57FC192-8253-43E7-A44F-D80C9F8ABC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73368" y="19050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GUANAJUATO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GUANAJUATO POR ESTADO EN EE.UU.</a:t>
          </a:r>
        </a:p>
      </xdr:txBody>
    </xdr:sp>
    <xdr:clientData/>
  </xdr:twoCellAnchor>
  <xdr:twoCellAnchor>
    <xdr:from>
      <xdr:col>4</xdr:col>
      <xdr:colOff>437106</xdr:colOff>
      <xdr:row>7</xdr:row>
      <xdr:rowOff>40805</xdr:rowOff>
    </xdr:from>
    <xdr:to>
      <xdr:col>4</xdr:col>
      <xdr:colOff>998135</xdr:colOff>
      <xdr:row>7</xdr:row>
      <xdr:rowOff>231305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6077400" y="1788923"/>
          <a:ext cx="561029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4</xdr:col>
      <xdr:colOff>256614</xdr:colOff>
      <xdr:row>1</xdr:row>
      <xdr:rowOff>24416</xdr:rowOff>
    </xdr:from>
    <xdr:to>
      <xdr:col>4</xdr:col>
      <xdr:colOff>696834</xdr:colOff>
      <xdr:row>3</xdr:row>
      <xdr:rowOff>111851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C7F74A6-9538-4F11-9947-8A9EA38E2F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46643" y="18129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110938</xdr:colOff>
      <xdr:row>1</xdr:row>
      <xdr:rowOff>69240</xdr:rowOff>
    </xdr:from>
    <xdr:to>
      <xdr:col>2</xdr:col>
      <xdr:colOff>208259</xdr:colOff>
      <xdr:row>2</xdr:row>
      <xdr:rowOff>100617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5E9D529-7597-4723-9A91-2DC01D1862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8173" y="226122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GUANAJUATO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GUANAJUATO EN LOS CONSULADOS DE MÉXICO EN EE.UU.</a:t>
          </a:r>
        </a:p>
      </xdr:txBody>
    </xdr:sp>
    <xdr:clientData/>
  </xdr:twoCellAnchor>
  <xdr:twoCellAnchor>
    <xdr:from>
      <xdr:col>4</xdr:col>
      <xdr:colOff>518948</xdr:colOff>
      <xdr:row>7</xdr:row>
      <xdr:rowOff>85396</xdr:rowOff>
    </xdr:from>
    <xdr:to>
      <xdr:col>4</xdr:col>
      <xdr:colOff>1031045</xdr:colOff>
      <xdr:row>7</xdr:row>
      <xdr:rowOff>275896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56638" y="182617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161364</xdr:colOff>
      <xdr:row>1</xdr:row>
      <xdr:rowOff>149922</xdr:rowOff>
    </xdr:from>
    <xdr:to>
      <xdr:col>2</xdr:col>
      <xdr:colOff>258685</xdr:colOff>
      <xdr:row>2</xdr:row>
      <xdr:rowOff>181299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362D6C0D-CA7A-4C34-A172-EBAD90BF37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039" y="302322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522753</xdr:colOff>
      <xdr:row>1</xdr:row>
      <xdr:rowOff>68679</xdr:rowOff>
    </xdr:from>
    <xdr:to>
      <xdr:col>4</xdr:col>
      <xdr:colOff>962973</xdr:colOff>
      <xdr:row>3</xdr:row>
      <xdr:rowOff>156114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1BF00EAE-A8B1-40FC-99A8-341F9521B1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28178" y="22107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GUANAJUATO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133350</xdr:colOff>
      <xdr:row>7</xdr:row>
      <xdr:rowOff>28575</xdr:rowOff>
    </xdr:from>
    <xdr:to>
      <xdr:col>5</xdr:col>
      <xdr:colOff>26322</xdr:colOff>
      <xdr:row>8</xdr:row>
      <xdr:rowOff>28575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562475" y="15525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255935</xdr:colOff>
      <xdr:row>1</xdr:row>
      <xdr:rowOff>115958</xdr:rowOff>
    </xdr:from>
    <xdr:to>
      <xdr:col>1</xdr:col>
      <xdr:colOff>1256060</xdr:colOff>
      <xdr:row>2</xdr:row>
      <xdr:rowOff>147335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1E5A37E-2E37-48F2-ABB8-A425050585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935" y="306458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355324</xdr:colOff>
      <xdr:row>1</xdr:row>
      <xdr:rowOff>33130</xdr:rowOff>
    </xdr:from>
    <xdr:to>
      <xdr:col>5</xdr:col>
      <xdr:colOff>174349</xdr:colOff>
      <xdr:row>3</xdr:row>
      <xdr:rowOff>120565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0A292AB-29F4-4DA0-BA1E-EA80684599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48520" y="22363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GUANAJUATO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GUANAJUATO POR NIVEL DE EDUCACIÓN Y ESTADO EN EE.UU.</a:t>
          </a:r>
        </a:p>
      </xdr:txBody>
    </xdr:sp>
    <xdr:clientData/>
  </xdr:twoCellAnchor>
  <xdr:twoCellAnchor>
    <xdr:from>
      <xdr:col>4</xdr:col>
      <xdr:colOff>538655</xdr:colOff>
      <xdr:row>7</xdr:row>
      <xdr:rowOff>111672</xdr:rowOff>
    </xdr:from>
    <xdr:to>
      <xdr:col>4</xdr:col>
      <xdr:colOff>1050752</xdr:colOff>
      <xdr:row>7</xdr:row>
      <xdr:rowOff>302172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176345" y="1852448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101973</xdr:colOff>
      <xdr:row>1</xdr:row>
      <xdr:rowOff>184100</xdr:rowOff>
    </xdr:from>
    <xdr:to>
      <xdr:col>2</xdr:col>
      <xdr:colOff>199294</xdr:colOff>
      <xdr:row>3</xdr:row>
      <xdr:rowOff>24977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36C388D-2541-4603-8F32-47E3A8B2E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648" y="336500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556932</xdr:colOff>
      <xdr:row>1</xdr:row>
      <xdr:rowOff>126391</xdr:rowOff>
    </xdr:from>
    <xdr:to>
      <xdr:col>4</xdr:col>
      <xdr:colOff>997152</xdr:colOff>
      <xdr:row>3</xdr:row>
      <xdr:rowOff>213826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145785C3-25BD-4941-9FF5-5FE9826A16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95607" y="278791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GUANAJUATO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GUANAJUATO POR CONSULADO Y NIVEL DE EDUCACIÓN EN EE.UU.</a:t>
          </a:r>
        </a:p>
      </xdr:txBody>
    </xdr:sp>
    <xdr:clientData/>
  </xdr:twoCellAnchor>
  <xdr:twoCellAnchor>
    <xdr:from>
      <xdr:col>4</xdr:col>
      <xdr:colOff>525556</xdr:colOff>
      <xdr:row>6</xdr:row>
      <xdr:rowOff>293034</xdr:rowOff>
    </xdr:from>
    <xdr:to>
      <xdr:col>4</xdr:col>
      <xdr:colOff>1086585</xdr:colOff>
      <xdr:row>7</xdr:row>
      <xdr:rowOff>150159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6076203" y="1712446"/>
          <a:ext cx="561029" cy="18583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128307</xdr:colOff>
      <xdr:row>1</xdr:row>
      <xdr:rowOff>134234</xdr:rowOff>
    </xdr:from>
    <xdr:to>
      <xdr:col>2</xdr:col>
      <xdr:colOff>225628</xdr:colOff>
      <xdr:row>2</xdr:row>
      <xdr:rowOff>165611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C30520D-367E-4540-A3A0-AF060E02C9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4982" y="28663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491938</xdr:colOff>
      <xdr:row>1</xdr:row>
      <xdr:rowOff>46828</xdr:rowOff>
    </xdr:from>
    <xdr:to>
      <xdr:col>4</xdr:col>
      <xdr:colOff>932158</xdr:colOff>
      <xdr:row>3</xdr:row>
      <xdr:rowOff>134263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3ABC76C3-9D1F-44C4-82E5-511EA8D8B5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03526" y="20371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GUANAJUATO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5624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222805</xdr:colOff>
      <xdr:row>1</xdr:row>
      <xdr:rowOff>140805</xdr:rowOff>
    </xdr:from>
    <xdr:to>
      <xdr:col>1</xdr:col>
      <xdr:colOff>1222930</xdr:colOff>
      <xdr:row>2</xdr:row>
      <xdr:rowOff>172182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60EFDAD-BEFF-43F9-B0EC-0A0E19DACC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2805" y="331305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405020</xdr:colOff>
      <xdr:row>1</xdr:row>
      <xdr:rowOff>33130</xdr:rowOff>
    </xdr:from>
    <xdr:to>
      <xdr:col>5</xdr:col>
      <xdr:colOff>224044</xdr:colOff>
      <xdr:row>3</xdr:row>
      <xdr:rowOff>120565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083CF72-7E18-43E8-B083-7A0CE26E34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44498" y="22363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GUANAJUATO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769327</xdr:colOff>
      <xdr:row>8</xdr:row>
      <xdr:rowOff>177799</xdr:rowOff>
    </xdr:from>
    <xdr:to>
      <xdr:col>5</xdr:col>
      <xdr:colOff>244475</xdr:colOff>
      <xdr:row>9</xdr:row>
      <xdr:rowOff>187324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326673" y="1760414"/>
          <a:ext cx="522898" cy="2000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113568</xdr:colOff>
      <xdr:row>1</xdr:row>
      <xdr:rowOff>32778</xdr:rowOff>
    </xdr:from>
    <xdr:to>
      <xdr:col>2</xdr:col>
      <xdr:colOff>315664</xdr:colOff>
      <xdr:row>2</xdr:row>
      <xdr:rowOff>111780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D1BB70-9B95-41E5-837C-1177EB80BE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4568" y="223278"/>
          <a:ext cx="1623519" cy="225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563440</xdr:colOff>
      <xdr:row>1</xdr:row>
      <xdr:rowOff>25450</xdr:rowOff>
    </xdr:from>
    <xdr:to>
      <xdr:col>4</xdr:col>
      <xdr:colOff>1003660</xdr:colOff>
      <xdr:row>3</xdr:row>
      <xdr:rowOff>160510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7B79951-19F8-493A-883B-EA56C4D4EE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20786" y="215950"/>
          <a:ext cx="440220" cy="4720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GUANAJUATO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869449</xdr:colOff>
      <xdr:row>9</xdr:row>
      <xdr:rowOff>19049</xdr:rowOff>
    </xdr:from>
    <xdr:to>
      <xdr:col>5</xdr:col>
      <xdr:colOff>314325</xdr:colOff>
      <xdr:row>10</xdr:row>
      <xdr:rowOff>28574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473199" y="1733549"/>
          <a:ext cx="543426" cy="2000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84993</xdr:colOff>
      <xdr:row>1</xdr:row>
      <xdr:rowOff>122898</xdr:rowOff>
    </xdr:from>
    <xdr:to>
      <xdr:col>2</xdr:col>
      <xdr:colOff>239464</xdr:colOff>
      <xdr:row>3</xdr:row>
      <xdr:rowOff>11400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B516DAC-F5D3-4034-9DD0-21C3FBFC51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5993" y="313398"/>
          <a:ext cx="1619856" cy="225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522409</xdr:colOff>
      <xdr:row>0</xdr:row>
      <xdr:rowOff>133156</xdr:rowOff>
    </xdr:from>
    <xdr:to>
      <xdr:col>4</xdr:col>
      <xdr:colOff>962629</xdr:colOff>
      <xdr:row>3</xdr:row>
      <xdr:rowOff>77716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45BB58F-9D6D-4915-B465-7356C68782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1236" y="133156"/>
          <a:ext cx="440220" cy="4720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1128889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398639" y="97254"/>
          <a:ext cx="7129639" cy="11568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GUANAJUATO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607130</xdr:colOff>
      <xdr:row>9</xdr:row>
      <xdr:rowOff>85372</xdr:rowOff>
    </xdr:from>
    <xdr:to>
      <xdr:col>5</xdr:col>
      <xdr:colOff>1139688</xdr:colOff>
      <xdr:row>10</xdr:row>
      <xdr:rowOff>88547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7006519" y="1799872"/>
          <a:ext cx="532558" cy="1936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150239</xdr:colOff>
      <xdr:row>1</xdr:row>
      <xdr:rowOff>100785</xdr:rowOff>
    </xdr:from>
    <xdr:to>
      <xdr:col>2</xdr:col>
      <xdr:colOff>508695</xdr:colOff>
      <xdr:row>2</xdr:row>
      <xdr:rowOff>181392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A7DC6CA-E932-469F-9B27-8CE86D0531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1239" y="291285"/>
          <a:ext cx="1625281" cy="2234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489180</xdr:colOff>
      <xdr:row>0</xdr:row>
      <xdr:rowOff>172169</xdr:rowOff>
    </xdr:from>
    <xdr:to>
      <xdr:col>5</xdr:col>
      <xdr:colOff>929400</xdr:colOff>
      <xdr:row>3</xdr:row>
      <xdr:rowOff>116194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54D6876-0001-485E-B26D-9332BBC098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94705" y="172169"/>
          <a:ext cx="440220" cy="467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280782</xdr:colOff>
      <xdr:row>1</xdr:row>
      <xdr:rowOff>33131</xdr:rowOff>
    </xdr:from>
    <xdr:to>
      <xdr:col>4</xdr:col>
      <xdr:colOff>219904</xdr:colOff>
      <xdr:row>5</xdr:row>
      <xdr:rowOff>154759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280782" y="223631"/>
          <a:ext cx="6076535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GUANAJUATO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3</xdr:col>
      <xdr:colOff>573985</xdr:colOff>
      <xdr:row>8</xdr:row>
      <xdr:rowOff>191880</xdr:rowOff>
    </xdr:from>
    <xdr:to>
      <xdr:col>3</xdr:col>
      <xdr:colOff>1084425</xdr:colOff>
      <xdr:row>8</xdr:row>
      <xdr:rowOff>382380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753376" y="1925706"/>
          <a:ext cx="510440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454719</xdr:colOff>
      <xdr:row>2</xdr:row>
      <xdr:rowOff>0</xdr:rowOff>
    </xdr:from>
    <xdr:to>
      <xdr:col>1</xdr:col>
      <xdr:colOff>1454844</xdr:colOff>
      <xdr:row>3</xdr:row>
      <xdr:rowOff>31377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035BC39-A904-4B4A-BA2E-BDD652A88D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4719" y="381000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835717</xdr:colOff>
      <xdr:row>1</xdr:row>
      <xdr:rowOff>82827</xdr:rowOff>
    </xdr:from>
    <xdr:to>
      <xdr:col>4</xdr:col>
      <xdr:colOff>91524</xdr:colOff>
      <xdr:row>3</xdr:row>
      <xdr:rowOff>170262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6251DD7-B6F3-4254-92DA-4F5A98FC14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88717" y="273327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1" t="s">
        <v>309</v>
      </c>
      <c r="B1" s="82"/>
      <c r="C1" s="82"/>
      <c r="D1" s="83"/>
    </row>
    <row r="2" spans="1:4">
      <c r="A2" s="2"/>
      <c r="B2" s="3"/>
      <c r="C2" s="3"/>
      <c r="D2" s="4"/>
    </row>
    <row r="3" spans="1:4">
      <c r="A3" s="84" t="s">
        <v>0</v>
      </c>
      <c r="B3" s="85"/>
      <c r="C3" s="85"/>
      <c r="D3" s="86"/>
    </row>
    <row r="4" spans="1:4">
      <c r="A4" s="84"/>
      <c r="B4" s="85"/>
      <c r="C4" s="85"/>
      <c r="D4" s="86"/>
    </row>
    <row r="5" spans="1:4">
      <c r="A5" s="5"/>
      <c r="B5" s="6"/>
      <c r="C5" s="6"/>
      <c r="D5" s="7"/>
    </row>
    <row r="6" spans="1:4" ht="18.75">
      <c r="A6" s="78" t="s">
        <v>1</v>
      </c>
      <c r="B6" s="79"/>
      <c r="C6" s="79"/>
      <c r="D6" s="80"/>
    </row>
    <row r="7" spans="1:4">
      <c r="A7" s="8"/>
      <c r="D7" s="9"/>
    </row>
    <row r="8" spans="1:4" ht="18.75">
      <c r="A8" s="78" t="s">
        <v>2</v>
      </c>
      <c r="B8" s="79"/>
      <c r="C8" s="79"/>
      <c r="D8" s="80"/>
    </row>
    <row r="9" spans="1:4" ht="18.75">
      <c r="A9" s="8"/>
      <c r="B9" s="78" t="s">
        <v>3</v>
      </c>
      <c r="C9" s="79"/>
      <c r="D9" s="79"/>
    </row>
    <row r="10" spans="1:4">
      <c r="A10" s="8"/>
      <c r="D10" s="9"/>
    </row>
    <row r="11" spans="1:4" ht="18.75">
      <c r="A11" s="30" t="s">
        <v>4</v>
      </c>
      <c r="D11" s="9"/>
    </row>
    <row r="12" spans="1:4" ht="18.75">
      <c r="A12" s="8"/>
      <c r="B12" s="78" t="s">
        <v>5</v>
      </c>
      <c r="C12" s="79"/>
      <c r="D12" s="79"/>
    </row>
    <row r="13" spans="1:4" ht="18.75">
      <c r="A13" s="8"/>
      <c r="B13" s="78" t="s">
        <v>6</v>
      </c>
      <c r="C13" s="79"/>
      <c r="D13" s="79"/>
    </row>
    <row r="14" spans="1:4" ht="18.75">
      <c r="A14" s="8"/>
      <c r="B14" s="78" t="s">
        <v>7</v>
      </c>
      <c r="C14" s="79"/>
      <c r="D14" s="79"/>
    </row>
    <row r="15" spans="1:4">
      <c r="A15" s="8"/>
      <c r="D15" s="9"/>
    </row>
    <row r="16" spans="1:4" ht="18.75">
      <c r="A16" s="30" t="s">
        <v>8</v>
      </c>
      <c r="D16" s="9"/>
    </row>
    <row r="17" spans="1:4" ht="18.75">
      <c r="A17" s="8"/>
      <c r="B17" s="78" t="s">
        <v>9</v>
      </c>
      <c r="C17" s="79"/>
      <c r="D17" s="79"/>
    </row>
    <row r="18" spans="1:4" ht="18.75">
      <c r="A18" s="8"/>
      <c r="B18" s="78" t="s">
        <v>10</v>
      </c>
      <c r="C18" s="79"/>
      <c r="D18" s="79"/>
    </row>
    <row r="19" spans="1:4" ht="18.75">
      <c r="A19" s="8"/>
      <c r="B19" s="78" t="s">
        <v>11</v>
      </c>
      <c r="C19" s="79"/>
      <c r="D19" s="79"/>
    </row>
    <row r="20" spans="1:4">
      <c r="A20" s="8"/>
      <c r="D20" s="9"/>
    </row>
    <row r="21" spans="1:4" ht="18.75">
      <c r="A21" s="30" t="s">
        <v>12</v>
      </c>
      <c r="D21" s="9"/>
    </row>
    <row r="22" spans="1:4" ht="18.75">
      <c r="A22" s="8"/>
      <c r="B22" s="78" t="s">
        <v>13</v>
      </c>
      <c r="C22" s="79"/>
      <c r="D22" s="79"/>
    </row>
    <row r="23" spans="1:4" ht="18.75">
      <c r="A23" s="8"/>
      <c r="B23" s="78" t="s">
        <v>34</v>
      </c>
      <c r="C23" s="79"/>
      <c r="D23" s="79"/>
    </row>
    <row r="24" spans="1:4" ht="18.75">
      <c r="A24" s="8"/>
      <c r="B24" s="78" t="s">
        <v>35</v>
      </c>
      <c r="C24" s="79"/>
      <c r="D24" s="79"/>
    </row>
    <row r="25" spans="1:4">
      <c r="A25" s="8"/>
      <c r="D25" s="9"/>
    </row>
    <row r="26" spans="1:4" ht="18.75">
      <c r="A26" s="78" t="s">
        <v>14</v>
      </c>
      <c r="B26" s="79"/>
      <c r="C26" s="79"/>
      <c r="D26" s="80"/>
    </row>
    <row r="27" spans="1:4">
      <c r="A27" s="8"/>
      <c r="D27" s="9"/>
    </row>
    <row r="28" spans="1:4" ht="18.75">
      <c r="A28" s="78" t="s">
        <v>15</v>
      </c>
      <c r="B28" s="79"/>
      <c r="C28" s="79"/>
      <c r="D28" s="80"/>
    </row>
    <row r="29" spans="1:4" ht="18.75" thickBot="1">
      <c r="A29" s="10"/>
      <c r="B29" s="11"/>
      <c r="C29" s="11"/>
      <c r="D29" s="12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Guanajuato_USAMuni!A1" display="3.2 Por Estado de USA" xr:uid="{00000000-0004-0000-0000-00000D000000}"/>
    <hyperlink ref="A8:D8" location="Guanajuato_Cons!A1" display="2. Por Circunscripción Consular" xr:uid="{00000000-0004-0000-0000-00000E000000}"/>
    <hyperlink ref="B9:D9" location="GuanajuatoXCons!A1" display="2.1 Top ten por circunscripción consular" xr:uid="{00000000-0004-0000-0000-00000F000000}"/>
    <hyperlink ref="A6:D6" location="Guanajuato_EdoUsa!A1" display="1. Por Estados de USA" xr:uid="{00000000-0004-0000-0000-000010000000}"/>
    <hyperlink ref="B12:D12" location="Guanajuato_EdoMun!A1" display="3.1 Municipio general" xr:uid="{00000000-0004-0000-0000-000011000000}"/>
    <hyperlink ref="B14:D14" location="Guanajuato_MUNICIPIO!A1" display="3.3 Por Circunscripción Consular" xr:uid="{00000000-0004-0000-0000-000012000000}"/>
    <hyperlink ref="B17:D17" location="Guanajuato_educ_gral!A1" display="4.1 Educación general" xr:uid="{00000000-0004-0000-0000-000013000000}"/>
    <hyperlink ref="B18:D18" location="Guanajuato_NivelE_Cons!A1" display="4.2 Por Estado de USA" xr:uid="{00000000-0004-0000-0000-000014000000}"/>
    <hyperlink ref="B19:D19" location="Guanajuato_EducCons!A1" display="4.3 Por Circunscripción Consular" xr:uid="{00000000-0004-0000-0000-000015000000}"/>
    <hyperlink ref="B22:D22" location="Guanajuato_GenGral!A1" display="5.1 Género General" xr:uid="{00000000-0004-0000-0000-000016000000}"/>
    <hyperlink ref="B23:D23" location="Guanajuato_GENERO!A1" display="5.2 Por Circunscripción Consular" xr:uid="{00000000-0004-0000-0000-000017000000}"/>
    <hyperlink ref="A26:D26" location="Guanajuato_Gen_Edad!A1" display="6. Por estructura de Edad" xr:uid="{00000000-0004-0000-0000-000018000000}"/>
    <hyperlink ref="A28:D28" location="Guanajuato_ocup_gral!A1" display="7. Por Ocupación" xr:uid="{00000000-0004-0000-0000-000019000000}"/>
    <hyperlink ref="B24" location="Guanajuato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F69"/>
  <sheetViews>
    <sheetView showGridLines="0" view="pageBreakPreview" topLeftCell="A2" zoomScaleNormal="100" zoomScaleSheetLayoutView="100" workbookViewId="0">
      <selection activeCell="D35" sqref="D35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4"/>
      <c r="B7" s="87" t="s">
        <v>42</v>
      </c>
      <c r="C7" s="87"/>
      <c r="D7" s="87"/>
      <c r="E7" s="34"/>
      <c r="F7" s="34"/>
    </row>
    <row r="8" spans="1:6" s="16" customFormat="1" ht="15" customHeight="1">
      <c r="A8" s="34"/>
      <c r="B8" s="87"/>
      <c r="C8" s="87"/>
      <c r="D8" s="87"/>
      <c r="E8" s="34"/>
      <c r="F8" s="34"/>
    </row>
    <row r="9" spans="1:6" s="16" customFormat="1" ht="33" customHeight="1">
      <c r="A9" s="34"/>
      <c r="B9" s="87"/>
      <c r="C9" s="87"/>
      <c r="D9" s="87"/>
      <c r="E9" s="34"/>
      <c r="F9" s="34"/>
    </row>
    <row r="10" spans="1:6" s="16" customFormat="1" ht="4.5" customHeight="1">
      <c r="A10" s="34"/>
      <c r="B10" s="40"/>
      <c r="C10" s="40"/>
      <c r="D10" s="40"/>
      <c r="E10" s="34"/>
      <c r="F10" s="34"/>
    </row>
    <row r="11" spans="1:6" s="16" customFormat="1" ht="33" customHeight="1">
      <c r="A11" s="34"/>
      <c r="B11" s="41" t="s">
        <v>20</v>
      </c>
      <c r="C11" s="42" t="s">
        <v>19</v>
      </c>
      <c r="D11" s="43" t="s">
        <v>18</v>
      </c>
      <c r="E11" s="34"/>
      <c r="F11" s="34"/>
    </row>
    <row r="12" spans="1:6" ht="16.5">
      <c r="A12" s="31"/>
      <c r="B12" s="57" t="s">
        <v>138</v>
      </c>
      <c r="C12" s="58">
        <v>23203</v>
      </c>
      <c r="D12" s="59">
        <v>0.36499999999999999</v>
      </c>
      <c r="E12" s="31"/>
      <c r="F12" s="31"/>
    </row>
    <row r="13" spans="1:6" ht="16.5">
      <c r="A13" s="31"/>
      <c r="B13" s="57" t="s">
        <v>100</v>
      </c>
      <c r="C13" s="58">
        <v>12202</v>
      </c>
      <c r="D13" s="59">
        <v>0.192</v>
      </c>
      <c r="E13" s="31"/>
      <c r="F13" s="31"/>
    </row>
    <row r="14" spans="1:6" ht="16.5">
      <c r="A14" s="31"/>
      <c r="B14" s="57" t="s">
        <v>108</v>
      </c>
      <c r="C14" s="58">
        <v>6227</v>
      </c>
      <c r="D14" s="59">
        <v>9.8000000000000004E-2</v>
      </c>
      <c r="E14" s="31"/>
      <c r="F14" s="31"/>
    </row>
    <row r="15" spans="1:6" ht="16.5">
      <c r="A15" s="31"/>
      <c r="B15" s="57" t="s">
        <v>105</v>
      </c>
      <c r="C15" s="58">
        <v>1931</v>
      </c>
      <c r="D15" s="59">
        <v>0.03</v>
      </c>
      <c r="E15" s="31"/>
      <c r="F15" s="31"/>
    </row>
    <row r="16" spans="1:6" ht="16.5">
      <c r="A16" s="31"/>
      <c r="B16" s="57" t="s">
        <v>131</v>
      </c>
      <c r="C16" s="58">
        <v>1827</v>
      </c>
      <c r="D16" s="59">
        <v>2.9000000000000001E-2</v>
      </c>
      <c r="E16" s="31"/>
      <c r="F16" s="31"/>
    </row>
    <row r="17" spans="1:6" ht="16.5">
      <c r="A17" s="31"/>
      <c r="B17" s="57" t="s">
        <v>128</v>
      </c>
      <c r="C17" s="58">
        <v>1724</v>
      </c>
      <c r="D17" s="59">
        <v>2.7E-2</v>
      </c>
      <c r="E17" s="31"/>
      <c r="F17" s="31"/>
    </row>
    <row r="18" spans="1:6" ht="16.5">
      <c r="A18" s="31"/>
      <c r="B18" s="57" t="s">
        <v>104</v>
      </c>
      <c r="C18" s="58">
        <v>1680</v>
      </c>
      <c r="D18" s="59">
        <v>2.5999999999999999E-2</v>
      </c>
      <c r="E18" s="31"/>
      <c r="F18" s="31"/>
    </row>
    <row r="19" spans="1:6" ht="16.5">
      <c r="A19" s="31"/>
      <c r="B19" s="57" t="s">
        <v>99</v>
      </c>
      <c r="C19" s="58">
        <v>1554</v>
      </c>
      <c r="D19" s="59">
        <v>2.4E-2</v>
      </c>
      <c r="E19" s="31"/>
      <c r="F19" s="31"/>
    </row>
    <row r="20" spans="1:6" ht="16.5">
      <c r="A20" s="31"/>
      <c r="B20" s="57" t="s">
        <v>137</v>
      </c>
      <c r="C20" s="58">
        <v>1252</v>
      </c>
      <c r="D20" s="59">
        <v>0.02</v>
      </c>
      <c r="E20" s="31"/>
      <c r="F20" s="31"/>
    </row>
    <row r="21" spans="1:6" ht="16.5">
      <c r="A21" s="31"/>
      <c r="B21" s="57" t="s">
        <v>101</v>
      </c>
      <c r="C21" s="60">
        <v>938</v>
      </c>
      <c r="D21" s="59">
        <v>1.4999999999999999E-2</v>
      </c>
      <c r="E21" s="31"/>
      <c r="F21" s="31"/>
    </row>
    <row r="22" spans="1:6" ht="16.5">
      <c r="A22" s="31"/>
      <c r="B22" s="57" t="s">
        <v>143</v>
      </c>
      <c r="C22" s="60">
        <v>876</v>
      </c>
      <c r="D22" s="59">
        <v>1.4E-2</v>
      </c>
      <c r="E22" s="31"/>
      <c r="F22" s="31"/>
    </row>
    <row r="23" spans="1:6" ht="16.5">
      <c r="A23" s="31"/>
      <c r="B23" s="57" t="s">
        <v>109</v>
      </c>
      <c r="C23" s="60">
        <v>869</v>
      </c>
      <c r="D23" s="59">
        <v>1.4E-2</v>
      </c>
      <c r="E23" s="31"/>
      <c r="F23" s="31"/>
    </row>
    <row r="24" spans="1:6" ht="16.5">
      <c r="A24" s="31"/>
      <c r="B24" s="57" t="s">
        <v>130</v>
      </c>
      <c r="C24" s="60">
        <v>862</v>
      </c>
      <c r="D24" s="59">
        <v>1.4E-2</v>
      </c>
      <c r="E24" s="31"/>
      <c r="F24" s="31"/>
    </row>
    <row r="25" spans="1:6" ht="16.5">
      <c r="A25" s="31"/>
      <c r="B25" s="57" t="s">
        <v>117</v>
      </c>
      <c r="C25" s="60">
        <v>819</v>
      </c>
      <c r="D25" s="59">
        <v>1.2999999999999999E-2</v>
      </c>
      <c r="E25" s="31"/>
      <c r="F25" s="31"/>
    </row>
    <row r="26" spans="1:6" ht="16.5">
      <c r="A26" s="31"/>
      <c r="B26" s="57" t="s">
        <v>98</v>
      </c>
      <c r="C26" s="60">
        <v>769</v>
      </c>
      <c r="D26" s="59">
        <v>1.2E-2</v>
      </c>
      <c r="E26" s="31"/>
      <c r="F26" s="31"/>
    </row>
    <row r="27" spans="1:6" ht="16.5">
      <c r="A27" s="31"/>
      <c r="B27" s="57" t="s">
        <v>123</v>
      </c>
      <c r="C27" s="60">
        <v>663</v>
      </c>
      <c r="D27" s="59">
        <v>0.01</v>
      </c>
      <c r="E27" s="31"/>
      <c r="F27" s="31"/>
    </row>
    <row r="28" spans="1:6" ht="16.5">
      <c r="A28" s="31"/>
      <c r="B28" s="57" t="s">
        <v>118</v>
      </c>
      <c r="C28" s="60">
        <v>492</v>
      </c>
      <c r="D28" s="59">
        <v>8.0000000000000002E-3</v>
      </c>
      <c r="E28" s="31"/>
      <c r="F28" s="31"/>
    </row>
    <row r="29" spans="1:6" ht="16.5">
      <c r="A29" s="31"/>
      <c r="B29" s="57" t="s">
        <v>107</v>
      </c>
      <c r="C29" s="60">
        <v>485</v>
      </c>
      <c r="D29" s="59">
        <v>8.0000000000000002E-3</v>
      </c>
      <c r="E29" s="31"/>
      <c r="F29" s="31"/>
    </row>
    <row r="30" spans="1:6" ht="16.5">
      <c r="A30" s="31"/>
      <c r="B30" s="57" t="s">
        <v>135</v>
      </c>
      <c r="C30" s="60">
        <v>480</v>
      </c>
      <c r="D30" s="59">
        <v>8.0000000000000002E-3</v>
      </c>
      <c r="E30" s="31"/>
      <c r="F30" s="31"/>
    </row>
    <row r="31" spans="1:6" ht="16.5">
      <c r="A31" s="31"/>
      <c r="B31" s="57" t="s">
        <v>139</v>
      </c>
      <c r="C31" s="60">
        <v>441</v>
      </c>
      <c r="D31" s="59">
        <v>7.0000000000000001E-3</v>
      </c>
      <c r="E31" s="31"/>
      <c r="F31" s="31"/>
    </row>
    <row r="32" spans="1:6" ht="16.5">
      <c r="A32" s="31"/>
      <c r="B32" s="57" t="s">
        <v>120</v>
      </c>
      <c r="C32" s="60">
        <v>401</v>
      </c>
      <c r="D32" s="59">
        <v>6.0000000000000001E-3</v>
      </c>
      <c r="E32" s="31"/>
      <c r="F32" s="31"/>
    </row>
    <row r="33" spans="1:6" ht="16.5">
      <c r="A33" s="31"/>
      <c r="B33" s="57" t="s">
        <v>133</v>
      </c>
      <c r="C33" s="60">
        <v>385</v>
      </c>
      <c r="D33" s="59">
        <v>6.0000000000000001E-3</v>
      </c>
      <c r="E33" s="31"/>
      <c r="F33" s="31"/>
    </row>
    <row r="34" spans="1:6" ht="16.5">
      <c r="A34" s="31"/>
      <c r="B34" s="57" t="s">
        <v>122</v>
      </c>
      <c r="C34" s="60">
        <v>382</v>
      </c>
      <c r="D34" s="59">
        <v>6.0000000000000001E-3</v>
      </c>
      <c r="E34" s="31"/>
      <c r="F34" s="31"/>
    </row>
    <row r="35" spans="1:6" ht="16.5">
      <c r="A35" s="31"/>
      <c r="B35" s="57" t="s">
        <v>111</v>
      </c>
      <c r="C35" s="60">
        <v>370</v>
      </c>
      <c r="D35" s="59">
        <v>6.0000000000000001E-3</v>
      </c>
      <c r="E35" s="31"/>
      <c r="F35" s="31"/>
    </row>
    <row r="36" spans="1:6" ht="16.5">
      <c r="A36" s="31"/>
      <c r="B36" s="57" t="s">
        <v>113</v>
      </c>
      <c r="C36" s="60">
        <v>356</v>
      </c>
      <c r="D36" s="59">
        <v>6.0000000000000001E-3</v>
      </c>
      <c r="E36" s="31"/>
      <c r="F36" s="31"/>
    </row>
    <row r="37" spans="1:6" ht="16.5">
      <c r="A37" s="31"/>
      <c r="B37" s="57" t="s">
        <v>97</v>
      </c>
      <c r="C37" s="60">
        <v>336</v>
      </c>
      <c r="D37" s="59">
        <v>5.0000000000000001E-3</v>
      </c>
      <c r="E37" s="31"/>
      <c r="F37" s="31"/>
    </row>
    <row r="38" spans="1:6" ht="16.5">
      <c r="A38" s="31"/>
      <c r="B38" s="57" t="s">
        <v>119</v>
      </c>
      <c r="C38" s="60">
        <v>270</v>
      </c>
      <c r="D38" s="59">
        <v>4.0000000000000001E-3</v>
      </c>
      <c r="E38" s="31"/>
      <c r="F38" s="31"/>
    </row>
    <row r="39" spans="1:6" ht="16.5">
      <c r="A39" s="31"/>
      <c r="B39" s="57" t="s">
        <v>141</v>
      </c>
      <c r="C39" s="60">
        <v>251</v>
      </c>
      <c r="D39" s="59">
        <v>4.0000000000000001E-3</v>
      </c>
      <c r="E39" s="31"/>
      <c r="F39" s="31"/>
    </row>
    <row r="40" spans="1:6" ht="16.5">
      <c r="A40" s="31"/>
      <c r="B40" s="57" t="s">
        <v>112</v>
      </c>
      <c r="C40" s="60">
        <v>214</v>
      </c>
      <c r="D40" s="59">
        <v>3.0000000000000001E-3</v>
      </c>
      <c r="E40" s="31"/>
      <c r="F40" s="31"/>
    </row>
    <row r="41" spans="1:6" ht="16.5">
      <c r="A41" s="31"/>
      <c r="B41" s="57" t="s">
        <v>110</v>
      </c>
      <c r="C41" s="60">
        <v>212</v>
      </c>
      <c r="D41" s="59">
        <v>3.0000000000000001E-3</v>
      </c>
      <c r="E41" s="31"/>
      <c r="F41" s="31"/>
    </row>
    <row r="42" spans="1:6" ht="16.5">
      <c r="A42" s="31"/>
      <c r="B42" s="57" t="s">
        <v>132</v>
      </c>
      <c r="C42" s="60">
        <v>194</v>
      </c>
      <c r="D42" s="59">
        <v>3.0000000000000001E-3</v>
      </c>
      <c r="E42" s="31"/>
      <c r="F42" s="31"/>
    </row>
    <row r="43" spans="1:6" ht="16.5">
      <c r="A43" s="31"/>
      <c r="B43" s="57" t="s">
        <v>125</v>
      </c>
      <c r="C43" s="60">
        <v>137</v>
      </c>
      <c r="D43" s="59">
        <v>2E-3</v>
      </c>
      <c r="E43" s="31"/>
      <c r="F43" s="31"/>
    </row>
    <row r="44" spans="1:6" ht="16.5">
      <c r="A44" s="31"/>
      <c r="B44" s="57" t="s">
        <v>80</v>
      </c>
      <c r="C44" s="60">
        <v>125</v>
      </c>
      <c r="D44" s="59">
        <v>2E-3</v>
      </c>
      <c r="E44" s="31"/>
      <c r="F44" s="31"/>
    </row>
    <row r="45" spans="1:6" ht="16.5">
      <c r="A45" s="31"/>
      <c r="B45" s="57" t="s">
        <v>127</v>
      </c>
      <c r="C45" s="60">
        <v>121</v>
      </c>
      <c r="D45" s="59">
        <v>2E-3</v>
      </c>
      <c r="E45" s="31"/>
      <c r="F45" s="31"/>
    </row>
    <row r="46" spans="1:6" ht="16.5">
      <c r="A46" s="31"/>
      <c r="B46" s="57" t="s">
        <v>126</v>
      </c>
      <c r="C46" s="60">
        <v>106</v>
      </c>
      <c r="D46" s="59">
        <v>2E-3</v>
      </c>
      <c r="E46" s="31"/>
      <c r="F46" s="31"/>
    </row>
    <row r="47" spans="1:6" ht="16.5">
      <c r="A47" s="31"/>
      <c r="B47" s="57" t="s">
        <v>103</v>
      </c>
      <c r="C47" s="60">
        <v>80</v>
      </c>
      <c r="D47" s="59">
        <v>1E-3</v>
      </c>
      <c r="E47" s="31"/>
      <c r="F47" s="31"/>
    </row>
    <row r="48" spans="1:6" ht="16.5">
      <c r="A48" s="31"/>
      <c r="B48" s="57" t="s">
        <v>115</v>
      </c>
      <c r="C48" s="60">
        <v>61</v>
      </c>
      <c r="D48" s="59">
        <v>1E-3</v>
      </c>
      <c r="E48" s="31"/>
      <c r="F48" s="31"/>
    </row>
    <row r="49" spans="1:6" ht="16.5">
      <c r="A49" s="31"/>
      <c r="B49" s="57" t="s">
        <v>102</v>
      </c>
      <c r="C49" s="60">
        <v>38</v>
      </c>
      <c r="D49" s="59">
        <v>1E-3</v>
      </c>
      <c r="E49" s="31"/>
      <c r="F49" s="31"/>
    </row>
    <row r="50" spans="1:6" ht="16.5">
      <c r="A50" s="31"/>
      <c r="B50" s="57" t="s">
        <v>144</v>
      </c>
      <c r="C50" s="60">
        <v>33</v>
      </c>
      <c r="D50" s="59">
        <v>1E-3</v>
      </c>
      <c r="E50" s="31"/>
      <c r="F50" s="31"/>
    </row>
    <row r="51" spans="1:6" ht="16.5">
      <c r="A51" s="31"/>
      <c r="B51" s="57" t="s">
        <v>121</v>
      </c>
      <c r="C51" s="60">
        <v>32</v>
      </c>
      <c r="D51" s="59">
        <v>1E-3</v>
      </c>
      <c r="E51" s="31"/>
      <c r="F51" s="31"/>
    </row>
    <row r="52" spans="1:6" ht="16.5">
      <c r="A52" s="31"/>
      <c r="B52" s="57" t="s">
        <v>129</v>
      </c>
      <c r="C52" s="60">
        <v>27</v>
      </c>
      <c r="D52" s="59">
        <v>0</v>
      </c>
      <c r="E52" s="31"/>
      <c r="F52" s="31"/>
    </row>
    <row r="53" spans="1:6" ht="16.5">
      <c r="A53" s="31"/>
      <c r="B53" s="57" t="s">
        <v>136</v>
      </c>
      <c r="C53" s="60">
        <v>27</v>
      </c>
      <c r="D53" s="59">
        <v>0</v>
      </c>
      <c r="E53" s="31"/>
      <c r="F53" s="31"/>
    </row>
    <row r="54" spans="1:6" ht="16.5">
      <c r="A54" s="31"/>
      <c r="B54" s="57" t="s">
        <v>142</v>
      </c>
      <c r="C54" s="60">
        <v>11</v>
      </c>
      <c r="D54" s="59">
        <v>0</v>
      </c>
      <c r="E54" s="31"/>
      <c r="F54" s="31"/>
    </row>
    <row r="55" spans="1:6" ht="16.5">
      <c r="A55" s="31"/>
      <c r="B55" s="57" t="s">
        <v>116</v>
      </c>
      <c r="C55" s="60">
        <v>10</v>
      </c>
      <c r="D55" s="59">
        <v>0</v>
      </c>
      <c r="E55" s="31"/>
      <c r="F55" s="31"/>
    </row>
    <row r="56" spans="1:6" ht="16.5">
      <c r="A56" s="31"/>
      <c r="B56" s="57" t="s">
        <v>134</v>
      </c>
      <c r="C56" s="60">
        <v>5</v>
      </c>
      <c r="D56" s="59">
        <v>0</v>
      </c>
      <c r="E56" s="31"/>
      <c r="F56" s="31"/>
    </row>
    <row r="57" spans="1:6" ht="16.5">
      <c r="A57" s="31"/>
      <c r="B57" s="57" t="s">
        <v>106</v>
      </c>
      <c r="C57" s="60">
        <v>3</v>
      </c>
      <c r="D57" s="59">
        <v>0</v>
      </c>
      <c r="E57" s="31"/>
      <c r="F57" s="31"/>
    </row>
    <row r="58" spans="1:6" ht="16.5">
      <c r="A58" s="31"/>
      <c r="B58" s="57" t="s">
        <v>124</v>
      </c>
      <c r="C58" s="60">
        <v>3</v>
      </c>
      <c r="D58" s="59">
        <v>0</v>
      </c>
      <c r="E58" s="31"/>
      <c r="F58" s="31"/>
    </row>
    <row r="59" spans="1:6" ht="16.5">
      <c r="A59" s="31"/>
      <c r="B59" s="57" t="s">
        <v>140</v>
      </c>
      <c r="C59" s="60">
        <v>3</v>
      </c>
      <c r="D59" s="59">
        <v>0</v>
      </c>
      <c r="E59" s="31"/>
      <c r="F59" s="31"/>
    </row>
    <row r="60" spans="1:6" ht="16.5">
      <c r="A60" s="31"/>
      <c r="B60" s="57" t="s">
        <v>290</v>
      </c>
      <c r="C60" s="60">
        <v>2</v>
      </c>
      <c r="D60" s="59">
        <v>0</v>
      </c>
      <c r="E60" s="31"/>
      <c r="F60" s="31"/>
    </row>
    <row r="61" spans="1:6" ht="16.5">
      <c r="A61" s="31"/>
      <c r="B61" s="57" t="s">
        <v>288</v>
      </c>
      <c r="C61" s="60">
        <v>1</v>
      </c>
      <c r="D61" s="59">
        <v>0</v>
      </c>
      <c r="E61" s="31"/>
      <c r="F61" s="31"/>
    </row>
    <row r="62" spans="1:6" ht="16.5">
      <c r="A62" s="31"/>
      <c r="B62" s="57" t="s">
        <v>114</v>
      </c>
      <c r="C62" s="60">
        <v>1</v>
      </c>
      <c r="D62" s="59">
        <v>0</v>
      </c>
      <c r="E62" s="31"/>
      <c r="F62" s="31"/>
    </row>
    <row r="63" spans="1:6" ht="16.5">
      <c r="A63" s="31"/>
      <c r="B63" s="55" t="s">
        <v>302</v>
      </c>
      <c r="C63" s="46">
        <v>63491</v>
      </c>
      <c r="D63" s="56">
        <v>1</v>
      </c>
      <c r="E63" s="31"/>
      <c r="F63" s="31"/>
    </row>
    <row r="64" spans="1:6" ht="16.5">
      <c r="A64" s="31"/>
      <c r="B64" s="36"/>
      <c r="C64" s="44"/>
      <c r="D64" s="31"/>
      <c r="E64" s="31"/>
      <c r="F64" s="31"/>
    </row>
    <row r="65" spans="2:6" ht="16.5">
      <c r="B65" s="35" t="s">
        <v>284</v>
      </c>
      <c r="C65" s="44"/>
      <c r="D65" s="31"/>
      <c r="E65" s="31"/>
      <c r="F65" s="31"/>
    </row>
    <row r="66" spans="2:6" ht="16.5">
      <c r="B66" s="36" t="s">
        <v>17</v>
      </c>
      <c r="C66" s="44"/>
      <c r="D66" s="31"/>
      <c r="E66" s="31"/>
      <c r="F66" s="31"/>
    </row>
    <row r="67" spans="2:6" ht="16.5">
      <c r="B67" s="37" t="s">
        <v>96</v>
      </c>
      <c r="C67" s="44"/>
      <c r="D67" s="31"/>
      <c r="E67" s="31"/>
      <c r="F67" s="31"/>
    </row>
    <row r="68" spans="2:6" ht="16.5">
      <c r="B68" s="35" t="s">
        <v>16</v>
      </c>
      <c r="C68" s="44"/>
      <c r="D68" s="31"/>
      <c r="E68" s="31"/>
      <c r="F68" s="31"/>
    </row>
    <row r="69" spans="2:6" ht="16.5">
      <c r="B69" s="35" t="s">
        <v>303</v>
      </c>
      <c r="C69" s="44"/>
      <c r="D69" s="31"/>
      <c r="E69" s="31"/>
      <c r="F69" s="3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69"/>
  <sheetViews>
    <sheetView showGridLines="0" view="pageBreakPreview" topLeftCell="A34" zoomScale="115" zoomScaleNormal="100" zoomScaleSheetLayoutView="115" workbookViewId="0">
      <selection activeCell="C34" sqref="C34"/>
    </sheetView>
  </sheetViews>
  <sheetFormatPr baseColWidth="10" defaultColWidth="11.42578125" defaultRowHeight="15"/>
  <cols>
    <col min="1" max="1" width="9.28515625" style="13" customWidth="1"/>
    <col min="2" max="2" width="27.855468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4.855468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4"/>
      <c r="B7" s="87" t="s">
        <v>36</v>
      </c>
      <c r="C7" s="87"/>
      <c r="D7" s="87"/>
      <c r="E7" s="34"/>
      <c r="F7" s="34"/>
    </row>
    <row r="8" spans="1:6" s="16" customFormat="1" ht="15" customHeight="1">
      <c r="A8" s="34"/>
      <c r="B8" s="87"/>
      <c r="C8" s="87"/>
      <c r="D8" s="87"/>
      <c r="E8" s="34"/>
      <c r="F8" s="34"/>
    </row>
    <row r="9" spans="1:6" s="16" customFormat="1" ht="33" customHeight="1">
      <c r="A9" s="34"/>
      <c r="B9" s="87"/>
      <c r="C9" s="87"/>
      <c r="D9" s="87"/>
      <c r="E9" s="34"/>
      <c r="F9" s="34"/>
    </row>
    <row r="10" spans="1:6" s="16" customFormat="1" ht="4.5" customHeight="1">
      <c r="A10" s="34"/>
      <c r="B10" s="40"/>
      <c r="C10" s="40"/>
      <c r="D10" s="40"/>
      <c r="E10" s="34"/>
      <c r="F10" s="34"/>
    </row>
    <row r="11" spans="1:6" s="16" customFormat="1" ht="33" customHeight="1">
      <c r="A11" s="34"/>
      <c r="B11" s="43" t="s">
        <v>21</v>
      </c>
      <c r="C11" s="42" t="s">
        <v>19</v>
      </c>
      <c r="D11" s="43" t="s">
        <v>18</v>
      </c>
      <c r="E11" s="34"/>
      <c r="F11" s="34"/>
    </row>
    <row r="12" spans="1:6" ht="16.5">
      <c r="A12" s="31"/>
      <c r="B12" s="61" t="s">
        <v>46</v>
      </c>
      <c r="C12" s="62">
        <v>11484</v>
      </c>
      <c r="D12" s="63">
        <v>0.180876029673497</v>
      </c>
      <c r="E12" s="31"/>
      <c r="F12" s="31"/>
    </row>
    <row r="13" spans="1:6" ht="16.5">
      <c r="A13" s="31"/>
      <c r="B13" s="61" t="s">
        <v>47</v>
      </c>
      <c r="C13" s="62">
        <v>7142</v>
      </c>
      <c r="D13" s="63">
        <v>0.112488384180435</v>
      </c>
      <c r="E13" s="31"/>
      <c r="F13" s="31"/>
    </row>
    <row r="14" spans="1:6" ht="16.5">
      <c r="A14" s="31"/>
      <c r="B14" s="61" t="s">
        <v>48</v>
      </c>
      <c r="C14" s="62">
        <v>6142</v>
      </c>
      <c r="D14" s="63">
        <v>9.6738120363516006E-2</v>
      </c>
      <c r="E14" s="31"/>
      <c r="F14" s="31"/>
    </row>
    <row r="15" spans="1:6" ht="16.5">
      <c r="A15" s="31"/>
      <c r="B15" s="61" t="s">
        <v>49</v>
      </c>
      <c r="C15" s="62">
        <v>3421</v>
      </c>
      <c r="D15" s="63">
        <v>5.3881652517679998E-2</v>
      </c>
      <c r="E15" s="31"/>
      <c r="F15" s="31"/>
    </row>
    <row r="16" spans="1:6" ht="16.5">
      <c r="A16" s="31"/>
      <c r="B16" s="61" t="s">
        <v>50</v>
      </c>
      <c r="C16" s="62">
        <v>2884</v>
      </c>
      <c r="D16" s="63">
        <v>4.5423760847994002E-2</v>
      </c>
      <c r="E16" s="31"/>
      <c r="F16" s="31"/>
    </row>
    <row r="17" spans="1:6" ht="16.5">
      <c r="A17" s="31"/>
      <c r="B17" s="61" t="s">
        <v>53</v>
      </c>
      <c r="C17" s="62">
        <v>2493</v>
      </c>
      <c r="D17" s="63">
        <v>3.9265407695578999E-2</v>
      </c>
      <c r="E17" s="31"/>
      <c r="F17" s="31"/>
    </row>
    <row r="18" spans="1:6" ht="16.5">
      <c r="A18" s="31"/>
      <c r="B18" s="61" t="s">
        <v>51</v>
      </c>
      <c r="C18" s="62">
        <v>2474</v>
      </c>
      <c r="D18" s="63">
        <v>3.8966152683056997E-2</v>
      </c>
      <c r="E18" s="31"/>
      <c r="F18" s="31"/>
    </row>
    <row r="19" spans="1:6" ht="16.5">
      <c r="A19" s="31"/>
      <c r="B19" s="61" t="s">
        <v>52</v>
      </c>
      <c r="C19" s="62">
        <v>2307</v>
      </c>
      <c r="D19" s="63">
        <v>3.6335858625632003E-2</v>
      </c>
      <c r="E19" s="31"/>
      <c r="F19" s="31"/>
    </row>
    <row r="20" spans="1:6" ht="16.5">
      <c r="A20" s="31"/>
      <c r="B20" s="61" t="s">
        <v>57</v>
      </c>
      <c r="C20" s="62">
        <v>1952</v>
      </c>
      <c r="D20" s="63">
        <v>3.0744514970626E-2</v>
      </c>
      <c r="E20" s="31"/>
      <c r="F20" s="31"/>
    </row>
    <row r="21" spans="1:6" ht="16.5">
      <c r="A21" s="31"/>
      <c r="B21" s="61" t="s">
        <v>56</v>
      </c>
      <c r="C21" s="62">
        <v>1924</v>
      </c>
      <c r="D21" s="63">
        <v>3.0303507583751998E-2</v>
      </c>
      <c r="E21" s="31"/>
      <c r="F21" s="31"/>
    </row>
    <row r="22" spans="1:6" ht="16.5">
      <c r="A22" s="31"/>
      <c r="B22" s="61" t="s">
        <v>54</v>
      </c>
      <c r="C22" s="62">
        <v>1760</v>
      </c>
      <c r="D22" s="63">
        <v>2.7720464317776999E-2</v>
      </c>
      <c r="E22" s="31"/>
      <c r="F22" s="31"/>
    </row>
    <row r="23" spans="1:6" ht="16.5">
      <c r="A23" s="31"/>
      <c r="B23" s="61" t="s">
        <v>61</v>
      </c>
      <c r="C23" s="62">
        <v>1539</v>
      </c>
      <c r="D23" s="63">
        <v>2.4239656014238001E-2</v>
      </c>
      <c r="E23" s="31"/>
      <c r="F23" s="31"/>
    </row>
    <row r="24" spans="1:6" ht="16.5">
      <c r="A24" s="31"/>
      <c r="B24" s="61" t="s">
        <v>55</v>
      </c>
      <c r="C24" s="62">
        <v>1490</v>
      </c>
      <c r="D24" s="63">
        <v>2.3467893087209001E-2</v>
      </c>
      <c r="E24" s="31"/>
      <c r="F24" s="31"/>
    </row>
    <row r="25" spans="1:6" ht="16.5">
      <c r="A25" s="31"/>
      <c r="B25" s="61" t="s">
        <v>58</v>
      </c>
      <c r="C25" s="62">
        <v>1378</v>
      </c>
      <c r="D25" s="63">
        <v>2.1703863539714E-2</v>
      </c>
      <c r="E25" s="31"/>
      <c r="F25" s="31"/>
    </row>
    <row r="26" spans="1:6" ht="16.5">
      <c r="A26" s="31"/>
      <c r="B26" s="61" t="s">
        <v>59</v>
      </c>
      <c r="C26" s="62">
        <v>1201</v>
      </c>
      <c r="D26" s="63">
        <v>1.8916066844119998E-2</v>
      </c>
      <c r="E26" s="31"/>
      <c r="F26" s="31"/>
    </row>
    <row r="27" spans="1:6" ht="16.5">
      <c r="A27" s="31"/>
      <c r="B27" s="61" t="s">
        <v>62</v>
      </c>
      <c r="C27" s="62">
        <v>1193</v>
      </c>
      <c r="D27" s="63">
        <v>1.8790064733584001E-2</v>
      </c>
      <c r="E27" s="31"/>
      <c r="F27" s="31"/>
    </row>
    <row r="28" spans="1:6" ht="16.5">
      <c r="A28" s="31"/>
      <c r="B28" s="61" t="s">
        <v>65</v>
      </c>
      <c r="C28" s="62">
        <v>939</v>
      </c>
      <c r="D28" s="63">
        <v>1.4789497724087001E-2</v>
      </c>
      <c r="E28" s="31"/>
      <c r="F28" s="31"/>
    </row>
    <row r="29" spans="1:6" ht="16.5">
      <c r="A29" s="31"/>
      <c r="B29" s="61" t="s">
        <v>60</v>
      </c>
      <c r="C29" s="62">
        <v>895</v>
      </c>
      <c r="D29" s="63">
        <v>1.4096486116142001E-2</v>
      </c>
      <c r="E29" s="31"/>
      <c r="F29" s="31"/>
    </row>
    <row r="30" spans="1:6" ht="16.5">
      <c r="A30" s="31"/>
      <c r="B30" s="61" t="s">
        <v>63</v>
      </c>
      <c r="C30" s="62">
        <v>824</v>
      </c>
      <c r="D30" s="63">
        <v>1.2978217385140999E-2</v>
      </c>
      <c r="E30" s="31"/>
      <c r="F30" s="31"/>
    </row>
    <row r="31" spans="1:6" ht="16.5">
      <c r="A31" s="31"/>
      <c r="B31" s="61" t="s">
        <v>64</v>
      </c>
      <c r="C31" s="62">
        <v>715</v>
      </c>
      <c r="D31" s="63">
        <v>1.1261438629097001E-2</v>
      </c>
      <c r="E31" s="31"/>
      <c r="F31" s="31"/>
    </row>
    <row r="32" spans="1:6" ht="16.5">
      <c r="A32" s="31"/>
      <c r="B32" s="61" t="s">
        <v>74</v>
      </c>
      <c r="C32" s="62">
        <v>704</v>
      </c>
      <c r="D32" s="63">
        <v>1.1088185727111E-2</v>
      </c>
      <c r="E32" s="31"/>
      <c r="F32" s="31"/>
    </row>
    <row r="33" spans="1:6" ht="16.5">
      <c r="A33" s="31"/>
      <c r="B33" s="61" t="s">
        <v>66</v>
      </c>
      <c r="C33" s="62">
        <v>703</v>
      </c>
      <c r="D33" s="63">
        <v>1.1072435463294001E-2</v>
      </c>
      <c r="E33" s="31"/>
      <c r="F33" s="31"/>
    </row>
    <row r="34" spans="1:6" ht="16.5">
      <c r="A34" s="31"/>
      <c r="B34" s="61" t="s">
        <v>71</v>
      </c>
      <c r="C34" s="62">
        <v>682</v>
      </c>
      <c r="D34" s="63">
        <v>1.0741679923139E-2</v>
      </c>
      <c r="E34" s="31"/>
      <c r="F34" s="31"/>
    </row>
    <row r="35" spans="1:6" ht="16.5">
      <c r="A35" s="31"/>
      <c r="B35" s="61" t="s">
        <v>67</v>
      </c>
      <c r="C35" s="62">
        <v>671</v>
      </c>
      <c r="D35" s="63">
        <v>1.0568427021153E-2</v>
      </c>
      <c r="E35" s="31"/>
      <c r="F35" s="31"/>
    </row>
    <row r="36" spans="1:6" ht="16.5">
      <c r="A36" s="31"/>
      <c r="B36" s="61" t="s">
        <v>72</v>
      </c>
      <c r="C36" s="62">
        <v>586</v>
      </c>
      <c r="D36" s="63">
        <v>9.2296545967139997E-3</v>
      </c>
      <c r="E36" s="31"/>
      <c r="F36" s="31"/>
    </row>
    <row r="37" spans="1:6" ht="16.5">
      <c r="A37" s="31"/>
      <c r="B37" s="61" t="s">
        <v>73</v>
      </c>
      <c r="C37" s="62">
        <v>577</v>
      </c>
      <c r="D37" s="63">
        <v>9.0879022223620005E-3</v>
      </c>
      <c r="E37" s="31"/>
      <c r="F37" s="31"/>
    </row>
    <row r="38" spans="1:6" ht="16.5">
      <c r="A38" s="31"/>
      <c r="B38" s="61" t="s">
        <v>70</v>
      </c>
      <c r="C38" s="62">
        <v>574</v>
      </c>
      <c r="D38" s="63">
        <v>9.0406514309109998E-3</v>
      </c>
      <c r="E38" s="31"/>
      <c r="F38" s="31"/>
    </row>
    <row r="39" spans="1:6" ht="16.5">
      <c r="A39" s="31"/>
      <c r="B39" s="61" t="s">
        <v>68</v>
      </c>
      <c r="C39" s="62">
        <v>546</v>
      </c>
      <c r="D39" s="63">
        <v>8.5996440440380007E-3</v>
      </c>
      <c r="E39" s="31"/>
      <c r="F39" s="31"/>
    </row>
    <row r="40" spans="1:6" ht="16.5">
      <c r="A40" s="31"/>
      <c r="B40" s="61" t="s">
        <v>75</v>
      </c>
      <c r="C40" s="62">
        <v>541</v>
      </c>
      <c r="D40" s="63">
        <v>8.5208927249530008E-3</v>
      </c>
      <c r="E40" s="31"/>
      <c r="F40" s="31"/>
    </row>
    <row r="41" spans="1:6" ht="16.5">
      <c r="A41" s="31"/>
      <c r="B41" s="61" t="s">
        <v>78</v>
      </c>
      <c r="C41" s="62">
        <v>535</v>
      </c>
      <c r="D41" s="63">
        <v>8.4263911420520005E-3</v>
      </c>
      <c r="E41" s="31"/>
      <c r="F41" s="31"/>
    </row>
    <row r="42" spans="1:6" ht="16.5">
      <c r="A42" s="31"/>
      <c r="B42" s="61" t="s">
        <v>69</v>
      </c>
      <c r="C42" s="62">
        <v>497</v>
      </c>
      <c r="D42" s="63">
        <v>7.8278811170089998E-3</v>
      </c>
      <c r="E42" s="31"/>
      <c r="F42" s="31"/>
    </row>
    <row r="43" spans="1:6" ht="16.5">
      <c r="A43" s="31"/>
      <c r="B43" s="61" t="s">
        <v>76</v>
      </c>
      <c r="C43" s="62">
        <v>448</v>
      </c>
      <c r="D43" s="63">
        <v>7.0561181899799997E-3</v>
      </c>
      <c r="E43" s="31"/>
      <c r="F43" s="31"/>
    </row>
    <row r="44" spans="1:6" ht="16.5">
      <c r="A44" s="31"/>
      <c r="B44" s="61" t="s">
        <v>79</v>
      </c>
      <c r="C44" s="62">
        <v>439</v>
      </c>
      <c r="D44" s="63">
        <v>6.9143658156270004E-3</v>
      </c>
      <c r="E44" s="31"/>
      <c r="F44" s="31"/>
    </row>
    <row r="45" spans="1:6" ht="16.5">
      <c r="A45" s="31"/>
      <c r="B45" s="61" t="s">
        <v>77</v>
      </c>
      <c r="C45" s="62">
        <v>335</v>
      </c>
      <c r="D45" s="63">
        <v>5.2763383786679999E-3</v>
      </c>
      <c r="E45" s="31"/>
      <c r="F45" s="31"/>
    </row>
    <row r="46" spans="1:6" ht="16.5">
      <c r="A46" s="31"/>
      <c r="B46" s="61" t="s">
        <v>80</v>
      </c>
      <c r="C46" s="62">
        <v>273</v>
      </c>
      <c r="D46" s="63">
        <v>4.2998220220190004E-3</v>
      </c>
      <c r="E46" s="31"/>
      <c r="F46" s="31"/>
    </row>
    <row r="47" spans="1:6" ht="16.5">
      <c r="A47" s="31"/>
      <c r="B47" s="61" t="s">
        <v>81</v>
      </c>
      <c r="C47" s="62">
        <v>218</v>
      </c>
      <c r="D47" s="63">
        <v>3.4335575120879999E-3</v>
      </c>
      <c r="E47" s="31"/>
      <c r="F47" s="31"/>
    </row>
    <row r="48" spans="1:6" ht="16.5">
      <c r="A48" s="31"/>
      <c r="B48" s="61" t="s">
        <v>82</v>
      </c>
      <c r="C48" s="62">
        <v>203</v>
      </c>
      <c r="D48" s="63">
        <v>3.1973035548349999E-3</v>
      </c>
      <c r="E48" s="31"/>
      <c r="F48" s="31"/>
    </row>
    <row r="49" spans="1:6" ht="16.5">
      <c r="A49" s="31"/>
      <c r="B49" s="61" t="s">
        <v>84</v>
      </c>
      <c r="C49" s="62">
        <v>157</v>
      </c>
      <c r="D49" s="63">
        <v>2.4727914192559999E-3</v>
      </c>
      <c r="E49" s="31"/>
      <c r="F49" s="31"/>
    </row>
    <row r="50" spans="1:6" ht="16.5">
      <c r="A50" s="31"/>
      <c r="B50" s="61" t="s">
        <v>86</v>
      </c>
      <c r="C50" s="62">
        <v>95</v>
      </c>
      <c r="D50" s="63">
        <v>1.4962750626069999E-3</v>
      </c>
      <c r="E50" s="31"/>
      <c r="F50" s="31"/>
    </row>
    <row r="51" spans="1:6" ht="16.5">
      <c r="A51" s="31"/>
      <c r="B51" s="61" t="s">
        <v>83</v>
      </c>
      <c r="C51" s="62">
        <v>94</v>
      </c>
      <c r="D51" s="63">
        <v>1.4805247987900001E-3</v>
      </c>
      <c r="E51" s="31"/>
      <c r="F51" s="31"/>
    </row>
    <row r="52" spans="1:6" ht="16.5">
      <c r="A52" s="31"/>
      <c r="B52" s="61" t="s">
        <v>89</v>
      </c>
      <c r="C52" s="62">
        <v>73</v>
      </c>
      <c r="D52" s="63">
        <v>1.1497692586350001E-3</v>
      </c>
      <c r="E52" s="31"/>
      <c r="F52" s="31"/>
    </row>
    <row r="53" spans="1:6" ht="16.5">
      <c r="A53" s="31"/>
      <c r="B53" s="61" t="s">
        <v>87</v>
      </c>
      <c r="C53" s="62">
        <v>64</v>
      </c>
      <c r="D53" s="63">
        <v>1.0080168842829999E-3</v>
      </c>
      <c r="E53" s="31"/>
      <c r="F53" s="31"/>
    </row>
    <row r="54" spans="1:6" ht="16.5">
      <c r="A54" s="31"/>
      <c r="B54" s="61" t="s">
        <v>85</v>
      </c>
      <c r="C54" s="62">
        <v>64</v>
      </c>
      <c r="D54" s="63">
        <v>1.0080168842829999E-3</v>
      </c>
      <c r="E54" s="31"/>
      <c r="F54" s="31"/>
    </row>
    <row r="55" spans="1:6" ht="16.5">
      <c r="A55" s="31"/>
      <c r="B55" s="61" t="s">
        <v>90</v>
      </c>
      <c r="C55" s="62">
        <v>52</v>
      </c>
      <c r="D55" s="63">
        <v>8.1901371848000005E-4</v>
      </c>
      <c r="E55" s="31"/>
      <c r="F55" s="31"/>
    </row>
    <row r="56" spans="1:6" ht="16.5">
      <c r="A56" s="31"/>
      <c r="B56" s="61" t="s">
        <v>88</v>
      </c>
      <c r="C56" s="62">
        <v>48</v>
      </c>
      <c r="D56" s="63">
        <v>7.5601266321199999E-4</v>
      </c>
      <c r="E56" s="31"/>
      <c r="F56" s="31"/>
    </row>
    <row r="57" spans="1:6" ht="16.5">
      <c r="A57" s="31"/>
      <c r="B57" s="61" t="s">
        <v>93</v>
      </c>
      <c r="C57" s="62">
        <v>45</v>
      </c>
      <c r="D57" s="63">
        <v>7.08761871761E-4</v>
      </c>
      <c r="E57" s="31"/>
      <c r="F57" s="31"/>
    </row>
    <row r="58" spans="1:6" ht="16.5">
      <c r="A58" s="31"/>
      <c r="B58" s="61" t="s">
        <v>91</v>
      </c>
      <c r="C58" s="62">
        <v>44</v>
      </c>
      <c r="D58" s="63">
        <v>6.9301160794400004E-4</v>
      </c>
      <c r="E58" s="31"/>
      <c r="F58" s="31"/>
    </row>
    <row r="59" spans="1:6" ht="16.5">
      <c r="A59" s="31"/>
      <c r="B59" s="61" t="s">
        <v>94</v>
      </c>
      <c r="C59" s="62">
        <v>26</v>
      </c>
      <c r="D59" s="63">
        <v>4.0950685924000003E-4</v>
      </c>
      <c r="E59" s="31"/>
      <c r="F59" s="31"/>
    </row>
    <row r="60" spans="1:6" ht="16.5">
      <c r="A60" s="31"/>
      <c r="B60" s="61" t="s">
        <v>92</v>
      </c>
      <c r="C60" s="62">
        <v>23</v>
      </c>
      <c r="D60" s="63">
        <v>3.6225606778899998E-4</v>
      </c>
      <c r="E60" s="31"/>
      <c r="F60" s="31"/>
    </row>
    <row r="61" spans="1:6" ht="16.5">
      <c r="A61" s="31"/>
      <c r="B61" s="61" t="s">
        <v>95</v>
      </c>
      <c r="C61" s="62">
        <v>16</v>
      </c>
      <c r="D61" s="63">
        <v>2.52004221071E-4</v>
      </c>
      <c r="E61" s="31"/>
      <c r="F61" s="31"/>
    </row>
    <row r="62" spans="1:6" ht="16.5">
      <c r="A62" s="31"/>
      <c r="B62" s="61" t="s">
        <v>283</v>
      </c>
      <c r="C62" s="62">
        <v>1</v>
      </c>
      <c r="D62" s="63">
        <v>1.5750263817000001E-5</v>
      </c>
      <c r="E62" s="31"/>
      <c r="F62" s="31"/>
    </row>
    <row r="63" spans="1:6" ht="16.5">
      <c r="A63" s="31"/>
      <c r="B63" s="64" t="s">
        <v>304</v>
      </c>
      <c r="C63" s="65">
        <v>63491</v>
      </c>
      <c r="D63" s="66">
        <v>1</v>
      </c>
      <c r="E63" s="31"/>
      <c r="F63" s="31"/>
    </row>
    <row r="64" spans="1:6" ht="16.5">
      <c r="A64" s="31"/>
      <c r="B64" s="35"/>
      <c r="C64" s="44"/>
      <c r="D64" s="31"/>
      <c r="E64" s="31"/>
      <c r="F64" s="31"/>
    </row>
    <row r="65" spans="2:6" ht="16.5">
      <c r="B65" s="35" t="s">
        <v>284</v>
      </c>
      <c r="C65" s="44"/>
      <c r="D65" s="31"/>
      <c r="E65" s="31"/>
      <c r="F65" s="31"/>
    </row>
    <row r="66" spans="2:6" ht="16.5">
      <c r="B66" s="36" t="s">
        <v>17</v>
      </c>
      <c r="C66" s="44"/>
      <c r="D66" s="31"/>
      <c r="E66" s="31"/>
      <c r="F66" s="31"/>
    </row>
    <row r="67" spans="2:6" ht="16.5">
      <c r="B67" s="37" t="s">
        <v>96</v>
      </c>
      <c r="C67" s="31"/>
      <c r="D67" s="31"/>
      <c r="E67" s="31"/>
      <c r="F67" s="31"/>
    </row>
    <row r="68" spans="2:6" ht="16.5">
      <c r="B68" s="35" t="s">
        <v>16</v>
      </c>
      <c r="C68" s="44"/>
      <c r="D68" s="31"/>
      <c r="E68" s="31"/>
      <c r="F68" s="31"/>
    </row>
    <row r="69" spans="2:6" ht="16.5">
      <c r="B69" s="35" t="s">
        <v>303</v>
      </c>
      <c r="C69" s="44"/>
      <c r="D69" s="31"/>
      <c r="E69" s="31"/>
      <c r="F69" s="3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29"/>
  <sheetViews>
    <sheetView showGridLines="0" view="pageBreakPreview" zoomScale="130" zoomScaleNormal="100" zoomScaleSheetLayoutView="130" workbookViewId="0">
      <selection activeCell="E25" sqref="E25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4"/>
      <c r="B7" s="87" t="s">
        <v>43</v>
      </c>
      <c r="C7" s="87"/>
      <c r="D7" s="87"/>
      <c r="E7" s="34"/>
      <c r="F7" s="34"/>
    </row>
    <row r="8" spans="1:6" s="16" customFormat="1" ht="15" customHeight="1">
      <c r="A8" s="34"/>
      <c r="B8" s="87"/>
      <c r="C8" s="87"/>
      <c r="D8" s="87"/>
      <c r="E8" s="34"/>
      <c r="F8" s="34"/>
    </row>
    <row r="9" spans="1:6" s="16" customFormat="1" ht="33" customHeight="1">
      <c r="A9" s="34"/>
      <c r="B9" s="87"/>
      <c r="C9" s="87"/>
      <c r="D9" s="87"/>
      <c r="E9" s="34"/>
      <c r="F9" s="34"/>
    </row>
    <row r="10" spans="1:6" s="16" customFormat="1" ht="4.5" customHeight="1">
      <c r="A10" s="34"/>
      <c r="B10" s="40"/>
      <c r="C10" s="40"/>
      <c r="D10" s="40"/>
      <c r="E10" s="34"/>
      <c r="F10" s="34"/>
    </row>
    <row r="11" spans="1:6" s="16" customFormat="1" ht="33" customHeight="1">
      <c r="A11" s="34"/>
      <c r="B11" s="43" t="s">
        <v>21</v>
      </c>
      <c r="C11" s="42" t="s">
        <v>19</v>
      </c>
      <c r="D11" s="43" t="s">
        <v>18</v>
      </c>
      <c r="E11" s="34"/>
      <c r="F11" s="34"/>
    </row>
    <row r="12" spans="1:6" ht="15" customHeight="1">
      <c r="A12" s="31"/>
      <c r="B12" s="61" t="s">
        <v>46</v>
      </c>
      <c r="C12" s="62">
        <v>11484</v>
      </c>
      <c r="D12" s="63">
        <f>C12/$C$22</f>
        <v>0.27198446344409444</v>
      </c>
      <c r="E12" s="31"/>
      <c r="F12" s="31"/>
    </row>
    <row r="13" spans="1:6" ht="16.5">
      <c r="A13" s="31"/>
      <c r="B13" s="61" t="s">
        <v>47</v>
      </c>
      <c r="C13" s="62">
        <v>7142</v>
      </c>
      <c r="D13" s="63">
        <f t="shared" ref="D13:D21" si="0">C13/$C$22</f>
        <v>0.16914951566681666</v>
      </c>
      <c r="E13" s="31"/>
      <c r="F13" s="31"/>
    </row>
    <row r="14" spans="1:6" s="15" customFormat="1" ht="16.5">
      <c r="A14" s="31"/>
      <c r="B14" s="61" t="s">
        <v>48</v>
      </c>
      <c r="C14" s="62">
        <v>6142</v>
      </c>
      <c r="D14" s="63">
        <f t="shared" si="0"/>
        <v>0.14546574142055277</v>
      </c>
      <c r="E14" s="31"/>
      <c r="F14" s="31"/>
    </row>
    <row r="15" spans="1:6" s="15" customFormat="1" ht="16.5">
      <c r="A15" s="31"/>
      <c r="B15" s="61" t="s">
        <v>49</v>
      </c>
      <c r="C15" s="62">
        <v>3421</v>
      </c>
      <c r="D15" s="63">
        <f t="shared" si="0"/>
        <v>8.1022191696468751E-2</v>
      </c>
      <c r="E15" s="31"/>
      <c r="F15" s="31"/>
    </row>
    <row r="16" spans="1:6" ht="16.5">
      <c r="A16" s="31"/>
      <c r="B16" s="61" t="s">
        <v>50</v>
      </c>
      <c r="C16" s="62">
        <v>2884</v>
      </c>
      <c r="D16" s="63">
        <f t="shared" si="0"/>
        <v>6.8304004926225043E-2</v>
      </c>
      <c r="E16" s="31"/>
      <c r="F16" s="31"/>
    </row>
    <row r="17" spans="1:6" ht="16.5">
      <c r="A17" s="31"/>
      <c r="B17" s="61" t="s">
        <v>53</v>
      </c>
      <c r="C17" s="62">
        <v>2493</v>
      </c>
      <c r="D17" s="63">
        <f t="shared" si="0"/>
        <v>5.9043649195935861E-2</v>
      </c>
      <c r="E17" s="31"/>
      <c r="F17" s="31"/>
    </row>
    <row r="18" spans="1:6" ht="16.5">
      <c r="A18" s="31"/>
      <c r="B18" s="61" t="s">
        <v>51</v>
      </c>
      <c r="C18" s="62">
        <v>2474</v>
      </c>
      <c r="D18" s="63">
        <f t="shared" si="0"/>
        <v>5.8593657485256849E-2</v>
      </c>
      <c r="E18" s="31"/>
      <c r="F18" s="31"/>
    </row>
    <row r="19" spans="1:6" ht="16.5">
      <c r="A19" s="31"/>
      <c r="B19" s="61" t="s">
        <v>52</v>
      </c>
      <c r="C19" s="62">
        <v>2307</v>
      </c>
      <c r="D19" s="63">
        <f t="shared" si="0"/>
        <v>5.4638467186130781E-2</v>
      </c>
      <c r="E19" s="31"/>
      <c r="F19" s="31"/>
    </row>
    <row r="20" spans="1:6" ht="16.5">
      <c r="A20" s="31"/>
      <c r="B20" s="61" t="s">
        <v>57</v>
      </c>
      <c r="C20" s="62">
        <v>1952</v>
      </c>
      <c r="D20" s="63">
        <f t="shared" si="0"/>
        <v>4.6230727328707102E-2</v>
      </c>
      <c r="E20" s="31"/>
      <c r="F20" s="31"/>
    </row>
    <row r="21" spans="1:6" ht="16.5">
      <c r="A21" s="31"/>
      <c r="B21" s="61" t="s">
        <v>56</v>
      </c>
      <c r="C21" s="62">
        <v>1924</v>
      </c>
      <c r="D21" s="63">
        <f t="shared" si="0"/>
        <v>4.5567581649811714E-2</v>
      </c>
      <c r="E21" s="31"/>
      <c r="F21" s="31"/>
    </row>
    <row r="22" spans="1:6" ht="16.5">
      <c r="A22" s="31"/>
      <c r="B22" s="68" t="s">
        <v>44</v>
      </c>
      <c r="C22" s="69">
        <f>SUM(C12:C21)</f>
        <v>42223</v>
      </c>
      <c r="D22" s="70">
        <f t="shared" ref="D22" si="1">C22/$C$22</f>
        <v>1</v>
      </c>
      <c r="E22" s="31"/>
      <c r="F22" s="31"/>
    </row>
    <row r="23" spans="1:6" ht="16.5">
      <c r="A23" s="31"/>
      <c r="B23" s="45" t="s">
        <v>45</v>
      </c>
      <c r="C23" s="46">
        <v>63491</v>
      </c>
      <c r="D23" s="67"/>
      <c r="E23" s="31"/>
      <c r="F23" s="31"/>
    </row>
    <row r="24" spans="1:6" ht="16.5">
      <c r="A24" s="31"/>
      <c r="B24" s="35"/>
      <c r="C24" s="31"/>
      <c r="D24" s="31"/>
      <c r="E24" s="31"/>
      <c r="F24" s="31"/>
    </row>
    <row r="25" spans="1:6" ht="16.5">
      <c r="B25" s="35" t="s">
        <v>284</v>
      </c>
      <c r="C25" s="31"/>
      <c r="D25" s="31"/>
      <c r="E25" s="31"/>
      <c r="F25" s="31"/>
    </row>
    <row r="26" spans="1:6" ht="16.5">
      <c r="B26" s="36" t="s">
        <v>17</v>
      </c>
      <c r="C26" s="31"/>
      <c r="D26" s="31"/>
      <c r="E26" s="31"/>
      <c r="F26" s="31"/>
    </row>
    <row r="27" spans="1:6" ht="16.5">
      <c r="B27" s="37" t="s">
        <v>96</v>
      </c>
      <c r="C27" s="31"/>
      <c r="D27" s="31"/>
      <c r="E27" s="31"/>
      <c r="F27" s="31"/>
    </row>
    <row r="28" spans="1:6" ht="16.5">
      <c r="B28" s="35" t="s">
        <v>16</v>
      </c>
      <c r="C28" s="31"/>
      <c r="D28" s="31"/>
      <c r="E28" s="31"/>
      <c r="F28" s="31"/>
    </row>
    <row r="29" spans="1:6" ht="16.5">
      <c r="B29" s="35" t="s">
        <v>303</v>
      </c>
      <c r="C29" s="31"/>
      <c r="D29" s="31"/>
      <c r="E29" s="31"/>
      <c r="F29" s="3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65"/>
  <sheetViews>
    <sheetView showGridLines="0" view="pageBreakPreview" zoomScaleNormal="100" zoomScaleSheetLayoutView="100" workbookViewId="0">
      <selection activeCell="J19" sqref="J19"/>
    </sheetView>
  </sheetViews>
  <sheetFormatPr baseColWidth="10" defaultColWidth="11.42578125" defaultRowHeight="15"/>
  <cols>
    <col min="1" max="1" width="9.28515625" style="13" customWidth="1"/>
    <col min="2" max="2" width="34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4"/>
      <c r="B7" s="87" t="s">
        <v>41</v>
      </c>
      <c r="C7" s="87"/>
      <c r="D7" s="87"/>
      <c r="E7" s="34"/>
      <c r="F7" s="34"/>
    </row>
    <row r="8" spans="1:6" s="16" customFormat="1" ht="15" customHeight="1">
      <c r="A8" s="34"/>
      <c r="B8" s="87"/>
      <c r="C8" s="87"/>
      <c r="D8" s="87"/>
      <c r="E8" s="34"/>
      <c r="F8" s="34"/>
    </row>
    <row r="9" spans="1:6" s="16" customFormat="1" ht="33" customHeight="1">
      <c r="A9" s="34"/>
      <c r="B9" s="87"/>
      <c r="C9" s="87"/>
      <c r="D9" s="87"/>
      <c r="E9" s="34"/>
      <c r="F9" s="34"/>
    </row>
    <row r="10" spans="1:6" s="16" customFormat="1" ht="4.5" customHeight="1">
      <c r="A10" s="34"/>
      <c r="B10" s="40"/>
      <c r="C10" s="40"/>
      <c r="D10" s="40"/>
      <c r="E10" s="34"/>
      <c r="F10" s="34"/>
    </row>
    <row r="11" spans="1:6" s="16" customFormat="1" ht="33" customHeight="1">
      <c r="A11" s="34"/>
      <c r="B11" s="43" t="s">
        <v>22</v>
      </c>
      <c r="C11" s="42" t="s">
        <v>19</v>
      </c>
      <c r="D11" s="43" t="s">
        <v>18</v>
      </c>
      <c r="E11" s="34"/>
      <c r="F11" s="34"/>
    </row>
    <row r="12" spans="1:6" ht="16.5">
      <c r="A12" s="31"/>
      <c r="B12" s="57" t="s">
        <v>160</v>
      </c>
      <c r="C12" s="62">
        <v>6967</v>
      </c>
      <c r="D12" s="63">
        <v>0.109732088012474</v>
      </c>
      <c r="E12" s="31"/>
      <c r="F12" s="31"/>
    </row>
    <row r="13" spans="1:6" ht="16.5">
      <c r="A13" s="31"/>
      <c r="B13" s="57" t="s">
        <v>151</v>
      </c>
      <c r="C13" s="62">
        <v>5317</v>
      </c>
      <c r="D13" s="63">
        <v>8.3744152714557998E-2</v>
      </c>
      <c r="E13" s="31"/>
      <c r="F13" s="31"/>
    </row>
    <row r="14" spans="1:6" ht="16.5">
      <c r="A14" s="31"/>
      <c r="B14" s="57" t="s">
        <v>157</v>
      </c>
      <c r="C14" s="62">
        <v>4503</v>
      </c>
      <c r="D14" s="63">
        <v>7.0923437967586003E-2</v>
      </c>
      <c r="E14" s="31"/>
      <c r="F14" s="31"/>
    </row>
    <row r="15" spans="1:6" ht="23.25" customHeight="1">
      <c r="A15" s="31"/>
      <c r="B15" s="57" t="s">
        <v>154</v>
      </c>
      <c r="C15" s="62">
        <v>3084</v>
      </c>
      <c r="D15" s="63">
        <v>4.8573813611377997E-2</v>
      </c>
      <c r="E15" s="31"/>
      <c r="F15" s="31"/>
    </row>
    <row r="16" spans="1:6" ht="16.5">
      <c r="A16" s="31"/>
      <c r="B16" s="57" t="s">
        <v>165</v>
      </c>
      <c r="C16" s="62">
        <v>2841</v>
      </c>
      <c r="D16" s="63">
        <v>4.4746499503866999E-2</v>
      </c>
      <c r="E16" s="31"/>
      <c r="F16" s="31"/>
    </row>
    <row r="17" spans="1:6" ht="16.5">
      <c r="A17" s="31"/>
      <c r="B17" s="57" t="s">
        <v>172</v>
      </c>
      <c r="C17" s="62">
        <v>2615</v>
      </c>
      <c r="D17" s="63">
        <v>4.1186939881243001E-2</v>
      </c>
      <c r="E17" s="31"/>
      <c r="F17" s="31"/>
    </row>
    <row r="18" spans="1:6" ht="16.5">
      <c r="A18" s="31"/>
      <c r="B18" s="57" t="s">
        <v>171</v>
      </c>
      <c r="C18" s="62">
        <v>2600</v>
      </c>
      <c r="D18" s="63">
        <v>4.0950685923988997E-2</v>
      </c>
      <c r="E18" s="31"/>
      <c r="F18" s="31"/>
    </row>
    <row r="19" spans="1:6" ht="16.5">
      <c r="A19" s="31"/>
      <c r="B19" s="57" t="s">
        <v>168</v>
      </c>
      <c r="C19" s="62">
        <v>2530</v>
      </c>
      <c r="D19" s="63">
        <v>3.9848167456805E-2</v>
      </c>
      <c r="E19" s="31"/>
      <c r="F19" s="31"/>
    </row>
    <row r="20" spans="1:6" ht="16.5">
      <c r="A20" s="31"/>
      <c r="B20" s="57" t="s">
        <v>148</v>
      </c>
      <c r="C20" s="62">
        <v>2355</v>
      </c>
      <c r="D20" s="63">
        <v>3.7091871288844003E-2</v>
      </c>
      <c r="E20" s="31"/>
      <c r="F20" s="31"/>
    </row>
    <row r="21" spans="1:6" ht="16.5">
      <c r="A21" s="31"/>
      <c r="B21" s="57" t="s">
        <v>163</v>
      </c>
      <c r="C21" s="62">
        <v>2334</v>
      </c>
      <c r="D21" s="63">
        <v>3.6761115748688997E-2</v>
      </c>
      <c r="E21" s="31"/>
      <c r="F21" s="31"/>
    </row>
    <row r="22" spans="1:6" ht="16.5">
      <c r="A22" s="31"/>
      <c r="B22" s="57" t="s">
        <v>176</v>
      </c>
      <c r="C22" s="62">
        <v>2122</v>
      </c>
      <c r="D22" s="63">
        <v>3.3422059819501998E-2</v>
      </c>
      <c r="E22" s="31"/>
      <c r="F22" s="31"/>
    </row>
    <row r="23" spans="1:6" ht="16.5">
      <c r="A23" s="31"/>
      <c r="B23" s="57" t="s">
        <v>166</v>
      </c>
      <c r="C23" s="62">
        <v>1998</v>
      </c>
      <c r="D23" s="63">
        <v>3.1469027106204001E-2</v>
      </c>
      <c r="E23" s="31"/>
      <c r="F23" s="31"/>
    </row>
    <row r="24" spans="1:6" ht="16.5">
      <c r="A24" s="31"/>
      <c r="B24" s="57" t="s">
        <v>187</v>
      </c>
      <c r="C24" s="62">
        <v>1573</v>
      </c>
      <c r="D24" s="63">
        <v>2.4775164984012998E-2</v>
      </c>
      <c r="E24" s="31"/>
      <c r="F24" s="31"/>
    </row>
    <row r="25" spans="1:6" ht="16.5">
      <c r="A25" s="31"/>
      <c r="B25" s="57" t="s">
        <v>159</v>
      </c>
      <c r="C25" s="62">
        <v>1435</v>
      </c>
      <c r="D25" s="63">
        <v>2.2601628577279001E-2</v>
      </c>
      <c r="E25" s="31"/>
      <c r="F25" s="31"/>
    </row>
    <row r="26" spans="1:6" ht="16.5">
      <c r="A26" s="31"/>
      <c r="B26" s="57" t="s">
        <v>152</v>
      </c>
      <c r="C26" s="62">
        <v>1388</v>
      </c>
      <c r="D26" s="63">
        <v>2.1861366177883E-2</v>
      </c>
      <c r="E26" s="31"/>
      <c r="F26" s="31"/>
    </row>
    <row r="27" spans="1:6" ht="16.5">
      <c r="A27" s="31"/>
      <c r="B27" s="57" t="s">
        <v>155</v>
      </c>
      <c r="C27" s="62">
        <v>1265</v>
      </c>
      <c r="D27" s="63">
        <v>1.9924083728402001E-2</v>
      </c>
      <c r="E27" s="31"/>
      <c r="F27" s="31"/>
    </row>
    <row r="28" spans="1:6" ht="16.5">
      <c r="A28" s="31"/>
      <c r="B28" s="57" t="s">
        <v>179</v>
      </c>
      <c r="C28" s="62">
        <v>1219</v>
      </c>
      <c r="D28" s="63">
        <v>1.9199571592824E-2</v>
      </c>
      <c r="E28" s="31"/>
      <c r="F28" s="31"/>
    </row>
    <row r="29" spans="1:6" ht="16.5">
      <c r="A29" s="31"/>
      <c r="B29" s="57" t="s">
        <v>169</v>
      </c>
      <c r="C29" s="62">
        <v>1168</v>
      </c>
      <c r="D29" s="63">
        <v>1.8396308138161E-2</v>
      </c>
      <c r="E29" s="31"/>
      <c r="F29" s="31"/>
    </row>
    <row r="30" spans="1:6" ht="16.5">
      <c r="A30" s="31"/>
      <c r="B30" s="57" t="s">
        <v>173</v>
      </c>
      <c r="C30" s="62">
        <v>1125</v>
      </c>
      <c r="D30" s="63">
        <v>1.7719046794034E-2</v>
      </c>
      <c r="E30" s="31"/>
      <c r="F30" s="31"/>
    </row>
    <row r="31" spans="1:6" ht="16.5">
      <c r="A31" s="31"/>
      <c r="B31" s="57" t="s">
        <v>150</v>
      </c>
      <c r="C31" s="62">
        <v>988</v>
      </c>
      <c r="D31" s="63">
        <v>1.5561260651116E-2</v>
      </c>
      <c r="E31" s="31"/>
      <c r="F31" s="31"/>
    </row>
    <row r="32" spans="1:6" ht="16.5">
      <c r="A32" s="31"/>
      <c r="B32" s="57" t="s">
        <v>189</v>
      </c>
      <c r="C32" s="62">
        <v>935</v>
      </c>
      <c r="D32" s="63">
        <v>1.4726496668819001E-2</v>
      </c>
      <c r="E32" s="31"/>
      <c r="F32" s="31"/>
    </row>
    <row r="33" spans="1:6" ht="16.5">
      <c r="A33" s="31"/>
      <c r="B33" s="57" t="s">
        <v>147</v>
      </c>
      <c r="C33" s="62">
        <v>932</v>
      </c>
      <c r="D33" s="63">
        <v>1.4679245877368E-2</v>
      </c>
      <c r="E33" s="31"/>
      <c r="F33" s="31"/>
    </row>
    <row r="34" spans="1:6" ht="16.5">
      <c r="A34" s="31"/>
      <c r="B34" s="57" t="s">
        <v>182</v>
      </c>
      <c r="C34" s="62">
        <v>924</v>
      </c>
      <c r="D34" s="63">
        <v>1.4553243766833E-2</v>
      </c>
      <c r="E34" s="31"/>
      <c r="F34" s="31"/>
    </row>
    <row r="35" spans="1:6" ht="16.5">
      <c r="A35" s="31"/>
      <c r="B35" s="57" t="s">
        <v>149</v>
      </c>
      <c r="C35" s="62">
        <v>890</v>
      </c>
      <c r="D35" s="63">
        <v>1.4017734797058E-2</v>
      </c>
      <c r="E35" s="31"/>
      <c r="F35" s="31"/>
    </row>
    <row r="36" spans="1:6" ht="16.5">
      <c r="A36" s="31"/>
      <c r="B36" s="57" t="s">
        <v>170</v>
      </c>
      <c r="C36" s="62">
        <v>871</v>
      </c>
      <c r="D36" s="63">
        <v>1.3718479784536001E-2</v>
      </c>
      <c r="E36" s="31"/>
      <c r="F36" s="31"/>
    </row>
    <row r="37" spans="1:6" ht="16.5">
      <c r="A37" s="31"/>
      <c r="B37" s="57" t="s">
        <v>167</v>
      </c>
      <c r="C37" s="62">
        <v>851</v>
      </c>
      <c r="D37" s="63">
        <v>1.3403474508198E-2</v>
      </c>
      <c r="E37" s="31"/>
      <c r="F37" s="31"/>
    </row>
    <row r="38" spans="1:6" ht="16.5">
      <c r="A38" s="31"/>
      <c r="B38" s="57" t="s">
        <v>161</v>
      </c>
      <c r="C38" s="62">
        <v>836</v>
      </c>
      <c r="D38" s="63">
        <v>1.3167220550944001E-2</v>
      </c>
      <c r="E38" s="31"/>
      <c r="F38" s="31"/>
    </row>
    <row r="39" spans="1:6" ht="16.5">
      <c r="A39" s="31"/>
      <c r="B39" s="57" t="s">
        <v>162</v>
      </c>
      <c r="C39" s="62">
        <v>822</v>
      </c>
      <c r="D39" s="63">
        <v>1.2946716857507E-2</v>
      </c>
      <c r="E39" s="31"/>
      <c r="F39" s="31"/>
    </row>
    <row r="40" spans="1:6" ht="16.5">
      <c r="A40" s="31"/>
      <c r="B40" s="57" t="s">
        <v>164</v>
      </c>
      <c r="C40" s="62">
        <v>751</v>
      </c>
      <c r="D40" s="63">
        <v>1.1828448126506E-2</v>
      </c>
      <c r="E40" s="31"/>
      <c r="F40" s="31"/>
    </row>
    <row r="41" spans="1:6" ht="16.5">
      <c r="A41" s="31"/>
      <c r="B41" s="57" t="s">
        <v>175</v>
      </c>
      <c r="C41" s="62">
        <v>649</v>
      </c>
      <c r="D41" s="63">
        <v>1.022192121718E-2</v>
      </c>
      <c r="E41" s="31"/>
      <c r="F41" s="31"/>
    </row>
    <row r="42" spans="1:6" ht="16.5">
      <c r="A42" s="31"/>
      <c r="B42" s="57" t="s">
        <v>153</v>
      </c>
      <c r="C42" s="62">
        <v>610</v>
      </c>
      <c r="D42" s="63">
        <v>9.6076609283210004E-3</v>
      </c>
      <c r="E42" s="31"/>
      <c r="F42" s="31"/>
    </row>
    <row r="43" spans="1:6" ht="16.5">
      <c r="A43" s="31"/>
      <c r="B43" s="57" t="s">
        <v>184</v>
      </c>
      <c r="C43" s="62">
        <v>600</v>
      </c>
      <c r="D43" s="63">
        <v>9.4501582901510006E-3</v>
      </c>
      <c r="E43" s="31"/>
      <c r="F43" s="31"/>
    </row>
    <row r="44" spans="1:6" ht="16.5">
      <c r="A44" s="31"/>
      <c r="B44" s="57" t="s">
        <v>291</v>
      </c>
      <c r="C44" s="62">
        <v>441</v>
      </c>
      <c r="D44" s="63">
        <v>6.9458663432609997E-3</v>
      </c>
      <c r="E44" s="31"/>
      <c r="F44" s="31"/>
    </row>
    <row r="45" spans="1:6" ht="16.5">
      <c r="A45" s="31"/>
      <c r="B45" s="57" t="s">
        <v>158</v>
      </c>
      <c r="C45" s="62">
        <v>435</v>
      </c>
      <c r="D45" s="63">
        <v>6.8513647603600002E-3</v>
      </c>
      <c r="E45" s="31"/>
      <c r="F45" s="31"/>
    </row>
    <row r="46" spans="1:6" ht="16.5">
      <c r="A46" s="31"/>
      <c r="B46" s="57" t="s">
        <v>191</v>
      </c>
      <c r="C46" s="62">
        <v>419</v>
      </c>
      <c r="D46" s="63">
        <v>6.599360539289E-3</v>
      </c>
      <c r="E46" s="31"/>
      <c r="F46" s="31"/>
    </row>
    <row r="47" spans="1:6" ht="16.5">
      <c r="A47" s="31"/>
      <c r="B47" s="57" t="s">
        <v>177</v>
      </c>
      <c r="C47" s="62">
        <v>402</v>
      </c>
      <c r="D47" s="63">
        <v>6.3316060544010002E-3</v>
      </c>
      <c r="E47" s="31"/>
      <c r="F47" s="31"/>
    </row>
    <row r="48" spans="1:6" ht="16.5">
      <c r="A48" s="31"/>
      <c r="B48" s="57" t="s">
        <v>174</v>
      </c>
      <c r="C48" s="62">
        <v>383</v>
      </c>
      <c r="D48" s="63">
        <v>6.0323510418800004E-3</v>
      </c>
      <c r="E48" s="31"/>
      <c r="F48" s="31"/>
    </row>
    <row r="49" spans="1:6" ht="16.5">
      <c r="A49" s="31"/>
      <c r="B49" s="57" t="s">
        <v>156</v>
      </c>
      <c r="C49" s="62">
        <v>353</v>
      </c>
      <c r="D49" s="63">
        <v>5.5598431273720002E-3</v>
      </c>
      <c r="E49" s="31"/>
      <c r="F49" s="31"/>
    </row>
    <row r="50" spans="1:6" ht="16.5">
      <c r="A50" s="31"/>
      <c r="B50" s="57" t="s">
        <v>178</v>
      </c>
      <c r="C50" s="62">
        <v>337</v>
      </c>
      <c r="D50" s="63">
        <v>5.3078389063020001E-3</v>
      </c>
      <c r="E50" s="31"/>
      <c r="F50" s="31"/>
    </row>
    <row r="51" spans="1:6" ht="16.5">
      <c r="A51" s="31"/>
      <c r="B51" s="57" t="s">
        <v>185</v>
      </c>
      <c r="C51" s="62">
        <v>313</v>
      </c>
      <c r="D51" s="63">
        <v>4.9298325746960003E-3</v>
      </c>
      <c r="E51" s="31"/>
      <c r="F51" s="31"/>
    </row>
    <row r="52" spans="1:6" ht="16.5">
      <c r="A52" s="31"/>
      <c r="B52" s="57" t="s">
        <v>183</v>
      </c>
      <c r="C52" s="62">
        <v>280</v>
      </c>
      <c r="D52" s="63">
        <v>4.4100738687370003E-3</v>
      </c>
      <c r="E52" s="31"/>
      <c r="F52" s="31"/>
    </row>
    <row r="53" spans="1:6" ht="16.5">
      <c r="A53" s="31"/>
      <c r="B53" s="57" t="s">
        <v>186</v>
      </c>
      <c r="C53" s="62">
        <v>275</v>
      </c>
      <c r="D53" s="63">
        <v>4.3313225496529996E-3</v>
      </c>
      <c r="E53" s="31"/>
      <c r="F53" s="31"/>
    </row>
    <row r="54" spans="1:6" ht="16.5">
      <c r="A54" s="31"/>
      <c r="B54" s="57" t="s">
        <v>188</v>
      </c>
      <c r="C54" s="62">
        <v>220</v>
      </c>
      <c r="D54" s="63">
        <v>3.465058039722E-3</v>
      </c>
      <c r="E54" s="31"/>
      <c r="F54" s="31"/>
    </row>
    <row r="55" spans="1:6" ht="16.5">
      <c r="A55" s="31"/>
      <c r="B55" s="57" t="s">
        <v>190</v>
      </c>
      <c r="C55" s="62">
        <v>160</v>
      </c>
      <c r="D55" s="63">
        <v>2.5200422107070001E-3</v>
      </c>
      <c r="E55" s="31"/>
      <c r="F55" s="31"/>
    </row>
    <row r="56" spans="1:6" ht="16.5">
      <c r="A56" s="31"/>
      <c r="B56" s="57" t="s">
        <v>181</v>
      </c>
      <c r="C56" s="62">
        <v>159</v>
      </c>
      <c r="D56" s="63">
        <v>2.5042919468900001E-3</v>
      </c>
      <c r="E56" s="31"/>
      <c r="F56" s="31"/>
    </row>
    <row r="57" spans="1:6" ht="16.5">
      <c r="A57" s="31"/>
      <c r="B57" s="57" t="s">
        <v>192</v>
      </c>
      <c r="C57" s="62">
        <v>125</v>
      </c>
      <c r="D57" s="63">
        <v>1.9687829771150001E-3</v>
      </c>
      <c r="E57" s="31"/>
      <c r="F57" s="31"/>
    </row>
    <row r="58" spans="1:6" ht="16.5">
      <c r="A58" s="31"/>
      <c r="B58" s="57" t="s">
        <v>180</v>
      </c>
      <c r="C58" s="62">
        <v>91</v>
      </c>
      <c r="D58" s="63">
        <v>1.4332740073399999E-3</v>
      </c>
      <c r="E58" s="31"/>
      <c r="F58" s="31"/>
    </row>
    <row r="59" spans="1:6" ht="16.5">
      <c r="A59" s="31"/>
      <c r="B59" s="55" t="s">
        <v>302</v>
      </c>
      <c r="C59" s="65">
        <v>63491</v>
      </c>
      <c r="D59" s="66">
        <v>1</v>
      </c>
      <c r="E59" s="31"/>
      <c r="F59" s="31"/>
    </row>
    <row r="60" spans="1:6" ht="16.5">
      <c r="A60" s="31"/>
      <c r="B60" s="35"/>
      <c r="C60" s="44"/>
      <c r="D60" s="31"/>
      <c r="E60" s="31"/>
      <c r="F60" s="31"/>
    </row>
    <row r="61" spans="1:6" ht="16.5">
      <c r="B61" s="35" t="s">
        <v>284</v>
      </c>
      <c r="C61" s="44"/>
      <c r="D61" s="31"/>
      <c r="E61" s="31"/>
      <c r="F61" s="31"/>
    </row>
    <row r="62" spans="1:6" ht="16.5">
      <c r="B62" s="36" t="s">
        <v>17</v>
      </c>
      <c r="C62" s="44"/>
      <c r="D62" s="31"/>
      <c r="E62" s="31"/>
      <c r="F62" s="31"/>
    </row>
    <row r="63" spans="1:6" ht="16.5">
      <c r="B63" s="37" t="s">
        <v>96</v>
      </c>
      <c r="C63" s="44"/>
      <c r="D63" s="31"/>
      <c r="E63" s="31"/>
      <c r="F63" s="31"/>
    </row>
    <row r="64" spans="1:6" ht="16.5">
      <c r="B64" s="35" t="s">
        <v>16</v>
      </c>
      <c r="C64" s="44"/>
      <c r="D64" s="31"/>
      <c r="E64" s="31"/>
      <c r="F64" s="31"/>
    </row>
    <row r="65" spans="2:6" ht="16.5">
      <c r="B65" s="35" t="s">
        <v>303</v>
      </c>
      <c r="C65" s="44"/>
      <c r="D65" s="31"/>
      <c r="E65" s="31"/>
      <c r="F65" s="3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1568"/>
  <sheetViews>
    <sheetView showGridLines="0" view="pageBreakPreview" zoomScaleNormal="100" zoomScaleSheetLayoutView="100" workbookViewId="0">
      <selection activeCell="F1" sqref="F1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42.710937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7"/>
      <c r="C6" s="38"/>
      <c r="D6" s="38"/>
      <c r="E6" s="38"/>
    </row>
    <row r="7" spans="1:5" s="22" customFormat="1" ht="26.25" customHeight="1">
      <c r="A7" s="23"/>
      <c r="B7" s="93"/>
      <c r="C7" s="93"/>
      <c r="D7" s="93"/>
      <c r="E7" s="93"/>
    </row>
    <row r="8" spans="1:5" s="22" customFormat="1" ht="33" customHeight="1">
      <c r="A8" s="23"/>
      <c r="B8" s="93"/>
      <c r="C8" s="93"/>
      <c r="D8" s="93"/>
      <c r="E8" s="93"/>
    </row>
    <row r="9" spans="1:5" s="16" customFormat="1" ht="40.5" customHeight="1">
      <c r="B9" s="48" t="s">
        <v>24</v>
      </c>
      <c r="C9" s="49" t="s">
        <v>23</v>
      </c>
      <c r="D9" s="50" t="s">
        <v>19</v>
      </c>
      <c r="E9" s="48" t="s">
        <v>18</v>
      </c>
    </row>
    <row r="10" spans="1:5">
      <c r="B10" s="90" t="s">
        <v>138</v>
      </c>
      <c r="C10" s="57" t="s">
        <v>151</v>
      </c>
      <c r="D10" s="58">
        <v>2420</v>
      </c>
      <c r="E10" s="59">
        <v>3.7999999999999999E-2</v>
      </c>
    </row>
    <row r="11" spans="1:5" ht="28.5">
      <c r="B11" s="91"/>
      <c r="C11" s="57" t="s">
        <v>154</v>
      </c>
      <c r="D11" s="58">
        <v>2256</v>
      </c>
      <c r="E11" s="59">
        <v>3.5999999999999997E-2</v>
      </c>
    </row>
    <row r="12" spans="1:5">
      <c r="B12" s="91"/>
      <c r="C12" s="57" t="s">
        <v>172</v>
      </c>
      <c r="D12" s="58">
        <v>1939</v>
      </c>
      <c r="E12" s="59">
        <v>3.1E-2</v>
      </c>
    </row>
    <row r="13" spans="1:5">
      <c r="B13" s="91"/>
      <c r="C13" s="57" t="s">
        <v>171</v>
      </c>
      <c r="D13" s="58">
        <v>1774</v>
      </c>
      <c r="E13" s="59">
        <v>2.8000000000000001E-2</v>
      </c>
    </row>
    <row r="14" spans="1:5">
      <c r="B14" s="91"/>
      <c r="C14" s="57" t="s">
        <v>168</v>
      </c>
      <c r="D14" s="58">
        <v>1560</v>
      </c>
      <c r="E14" s="59">
        <v>2.5000000000000001E-2</v>
      </c>
    </row>
    <row r="15" spans="1:5">
      <c r="B15" s="91"/>
      <c r="C15" s="57" t="s">
        <v>160</v>
      </c>
      <c r="D15" s="58">
        <v>1540</v>
      </c>
      <c r="E15" s="59">
        <v>2.4E-2</v>
      </c>
    </row>
    <row r="16" spans="1:5">
      <c r="B16" s="91"/>
      <c r="C16" s="57" t="s">
        <v>165</v>
      </c>
      <c r="D16" s="58">
        <v>1412</v>
      </c>
      <c r="E16" s="59">
        <v>2.1999999999999999E-2</v>
      </c>
    </row>
    <row r="17" spans="2:5">
      <c r="B17" s="91"/>
      <c r="C17" s="57" t="s">
        <v>152</v>
      </c>
      <c r="D17" s="60">
        <v>865</v>
      </c>
      <c r="E17" s="59">
        <v>1.4E-2</v>
      </c>
    </row>
    <row r="18" spans="2:5">
      <c r="B18" s="91"/>
      <c r="C18" s="57" t="s">
        <v>187</v>
      </c>
      <c r="D18" s="60">
        <v>792</v>
      </c>
      <c r="E18" s="59">
        <v>1.2E-2</v>
      </c>
    </row>
    <row r="19" spans="2:5">
      <c r="B19" s="91"/>
      <c r="C19" s="57" t="s">
        <v>157</v>
      </c>
      <c r="D19" s="60">
        <v>726</v>
      </c>
      <c r="E19" s="59">
        <v>1.0999999999999999E-2</v>
      </c>
    </row>
    <row r="20" spans="2:5">
      <c r="B20" s="91"/>
      <c r="C20" s="57" t="s">
        <v>167</v>
      </c>
      <c r="D20" s="60">
        <v>681</v>
      </c>
      <c r="E20" s="59">
        <v>1.0999999999999999E-2</v>
      </c>
    </row>
    <row r="21" spans="2:5">
      <c r="B21" s="91"/>
      <c r="C21" s="57" t="s">
        <v>150</v>
      </c>
      <c r="D21" s="60">
        <v>627</v>
      </c>
      <c r="E21" s="59">
        <v>0.01</v>
      </c>
    </row>
    <row r="22" spans="2:5">
      <c r="B22" s="91"/>
      <c r="C22" s="57" t="s">
        <v>176</v>
      </c>
      <c r="D22" s="60">
        <v>581</v>
      </c>
      <c r="E22" s="59">
        <v>8.9999999999999993E-3</v>
      </c>
    </row>
    <row r="23" spans="2:5">
      <c r="B23" s="91"/>
      <c r="C23" s="57" t="s">
        <v>162</v>
      </c>
      <c r="D23" s="60">
        <v>573</v>
      </c>
      <c r="E23" s="59">
        <v>8.9999999999999993E-3</v>
      </c>
    </row>
    <row r="24" spans="2:5">
      <c r="B24" s="91"/>
      <c r="C24" s="57" t="s">
        <v>159</v>
      </c>
      <c r="D24" s="60">
        <v>527</v>
      </c>
      <c r="E24" s="59">
        <v>8.0000000000000002E-3</v>
      </c>
    </row>
    <row r="25" spans="2:5">
      <c r="B25" s="91"/>
      <c r="C25" s="57" t="s">
        <v>148</v>
      </c>
      <c r="D25" s="60">
        <v>477</v>
      </c>
      <c r="E25" s="59">
        <v>8.0000000000000002E-3</v>
      </c>
    </row>
    <row r="26" spans="2:5">
      <c r="B26" s="91"/>
      <c r="C26" s="57" t="s">
        <v>166</v>
      </c>
      <c r="D26" s="60">
        <v>454</v>
      </c>
      <c r="E26" s="59">
        <v>7.0000000000000001E-3</v>
      </c>
    </row>
    <row r="27" spans="2:5">
      <c r="B27" s="91"/>
      <c r="C27" s="57" t="s">
        <v>149</v>
      </c>
      <c r="D27" s="60">
        <v>434</v>
      </c>
      <c r="E27" s="59">
        <v>7.0000000000000001E-3</v>
      </c>
    </row>
    <row r="28" spans="2:5">
      <c r="B28" s="91"/>
      <c r="C28" s="57" t="s">
        <v>189</v>
      </c>
      <c r="D28" s="60">
        <v>417</v>
      </c>
      <c r="E28" s="59">
        <v>7.0000000000000001E-3</v>
      </c>
    </row>
    <row r="29" spans="2:5">
      <c r="B29" s="91"/>
      <c r="C29" s="57" t="s">
        <v>182</v>
      </c>
      <c r="D29" s="60">
        <v>362</v>
      </c>
      <c r="E29" s="59">
        <v>6.0000000000000001E-3</v>
      </c>
    </row>
    <row r="30" spans="2:5">
      <c r="B30" s="91"/>
      <c r="C30" s="57" t="s">
        <v>155</v>
      </c>
      <c r="D30" s="60">
        <v>344</v>
      </c>
      <c r="E30" s="59">
        <v>5.0000000000000001E-3</v>
      </c>
    </row>
    <row r="31" spans="2:5">
      <c r="B31" s="91"/>
      <c r="C31" s="57" t="s">
        <v>170</v>
      </c>
      <c r="D31" s="60">
        <v>333</v>
      </c>
      <c r="E31" s="59">
        <v>5.0000000000000001E-3</v>
      </c>
    </row>
    <row r="32" spans="2:5">
      <c r="B32" s="91"/>
      <c r="C32" s="57" t="s">
        <v>191</v>
      </c>
      <c r="D32" s="60">
        <v>180</v>
      </c>
      <c r="E32" s="59">
        <v>3.0000000000000001E-3</v>
      </c>
    </row>
    <row r="33" spans="2:5">
      <c r="B33" s="91"/>
      <c r="C33" s="57" t="s">
        <v>177</v>
      </c>
      <c r="D33" s="60">
        <v>177</v>
      </c>
      <c r="E33" s="59">
        <v>3.0000000000000001E-3</v>
      </c>
    </row>
    <row r="34" spans="2:5">
      <c r="B34" s="91"/>
      <c r="C34" s="57" t="s">
        <v>147</v>
      </c>
      <c r="D34" s="60">
        <v>143</v>
      </c>
      <c r="E34" s="59">
        <v>2E-3</v>
      </c>
    </row>
    <row r="35" spans="2:5">
      <c r="B35" s="91"/>
      <c r="C35" s="57" t="s">
        <v>291</v>
      </c>
      <c r="D35" s="60">
        <v>142</v>
      </c>
      <c r="E35" s="59">
        <v>2E-3</v>
      </c>
    </row>
    <row r="36" spans="2:5">
      <c r="B36" s="91"/>
      <c r="C36" s="57" t="s">
        <v>169</v>
      </c>
      <c r="D36" s="60">
        <v>130</v>
      </c>
      <c r="E36" s="59">
        <v>2E-3</v>
      </c>
    </row>
    <row r="37" spans="2:5">
      <c r="B37" s="91"/>
      <c r="C37" s="57" t="s">
        <v>185</v>
      </c>
      <c r="D37" s="60">
        <v>123</v>
      </c>
      <c r="E37" s="59">
        <v>2E-3</v>
      </c>
    </row>
    <row r="38" spans="2:5">
      <c r="B38" s="91"/>
      <c r="C38" s="57" t="s">
        <v>188</v>
      </c>
      <c r="D38" s="60">
        <v>117</v>
      </c>
      <c r="E38" s="59">
        <v>2E-3</v>
      </c>
    </row>
    <row r="39" spans="2:5">
      <c r="B39" s="91"/>
      <c r="C39" s="57" t="s">
        <v>179</v>
      </c>
      <c r="D39" s="60">
        <v>112</v>
      </c>
      <c r="E39" s="59">
        <v>2E-3</v>
      </c>
    </row>
    <row r="40" spans="2:5">
      <c r="B40" s="91"/>
      <c r="C40" s="57" t="s">
        <v>181</v>
      </c>
      <c r="D40" s="60">
        <v>99</v>
      </c>
      <c r="E40" s="59">
        <v>2E-3</v>
      </c>
    </row>
    <row r="41" spans="2:5">
      <c r="B41" s="91"/>
      <c r="C41" s="57" t="s">
        <v>173</v>
      </c>
      <c r="D41" s="60">
        <v>95</v>
      </c>
      <c r="E41" s="59">
        <v>1E-3</v>
      </c>
    </row>
    <row r="42" spans="2:5">
      <c r="B42" s="91"/>
      <c r="C42" s="57" t="s">
        <v>163</v>
      </c>
      <c r="D42" s="60">
        <v>91</v>
      </c>
      <c r="E42" s="59">
        <v>1E-3</v>
      </c>
    </row>
    <row r="43" spans="2:5">
      <c r="B43" s="91"/>
      <c r="C43" s="57" t="s">
        <v>158</v>
      </c>
      <c r="D43" s="60">
        <v>83</v>
      </c>
      <c r="E43" s="59">
        <v>1E-3</v>
      </c>
    </row>
    <row r="44" spans="2:5">
      <c r="B44" s="91"/>
      <c r="C44" s="57" t="s">
        <v>153</v>
      </c>
      <c r="D44" s="60">
        <v>76</v>
      </c>
      <c r="E44" s="59">
        <v>1E-3</v>
      </c>
    </row>
    <row r="45" spans="2:5">
      <c r="B45" s="91"/>
      <c r="C45" s="57" t="s">
        <v>178</v>
      </c>
      <c r="D45" s="60">
        <v>71</v>
      </c>
      <c r="E45" s="59">
        <v>1E-3</v>
      </c>
    </row>
    <row r="46" spans="2:5">
      <c r="B46" s="91"/>
      <c r="C46" s="57" t="s">
        <v>174</v>
      </c>
      <c r="D46" s="60">
        <v>65</v>
      </c>
      <c r="E46" s="59">
        <v>1E-3</v>
      </c>
    </row>
    <row r="47" spans="2:5">
      <c r="B47" s="91"/>
      <c r="C47" s="57" t="s">
        <v>156</v>
      </c>
      <c r="D47" s="60">
        <v>60</v>
      </c>
      <c r="E47" s="59">
        <v>1E-3</v>
      </c>
    </row>
    <row r="48" spans="2:5">
      <c r="B48" s="91"/>
      <c r="C48" s="57" t="s">
        <v>175</v>
      </c>
      <c r="D48" s="60">
        <v>58</v>
      </c>
      <c r="E48" s="59">
        <v>1E-3</v>
      </c>
    </row>
    <row r="49" spans="2:5">
      <c r="B49" s="91"/>
      <c r="C49" s="57" t="s">
        <v>161</v>
      </c>
      <c r="D49" s="60">
        <v>55</v>
      </c>
      <c r="E49" s="59">
        <v>1E-3</v>
      </c>
    </row>
    <row r="50" spans="2:5">
      <c r="B50" s="91"/>
      <c r="C50" s="57" t="s">
        <v>186</v>
      </c>
      <c r="D50" s="60">
        <v>54</v>
      </c>
      <c r="E50" s="59">
        <v>1E-3</v>
      </c>
    </row>
    <row r="51" spans="2:5">
      <c r="B51" s="91"/>
      <c r="C51" s="57" t="s">
        <v>183</v>
      </c>
      <c r="D51" s="60">
        <v>37</v>
      </c>
      <c r="E51" s="59">
        <v>1E-3</v>
      </c>
    </row>
    <row r="52" spans="2:5">
      <c r="B52" s="91"/>
      <c r="C52" s="57" t="s">
        <v>184</v>
      </c>
      <c r="D52" s="60">
        <v>37</v>
      </c>
      <c r="E52" s="59">
        <v>1E-3</v>
      </c>
    </row>
    <row r="53" spans="2:5">
      <c r="B53" s="91"/>
      <c r="C53" s="57" t="s">
        <v>164</v>
      </c>
      <c r="D53" s="60">
        <v>32</v>
      </c>
      <c r="E53" s="59">
        <v>1E-3</v>
      </c>
    </row>
    <row r="54" spans="2:5">
      <c r="B54" s="91"/>
      <c r="C54" s="57" t="s">
        <v>180</v>
      </c>
      <c r="D54" s="60">
        <v>27</v>
      </c>
      <c r="E54" s="59">
        <v>0</v>
      </c>
    </row>
    <row r="55" spans="2:5">
      <c r="B55" s="91"/>
      <c r="C55" s="57" t="s">
        <v>192</v>
      </c>
      <c r="D55" s="60">
        <v>23</v>
      </c>
      <c r="E55" s="59">
        <v>0</v>
      </c>
    </row>
    <row r="56" spans="2:5">
      <c r="B56" s="91"/>
      <c r="C56" s="57" t="s">
        <v>190</v>
      </c>
      <c r="D56" s="60">
        <v>22</v>
      </c>
      <c r="E56" s="59">
        <v>0</v>
      </c>
    </row>
    <row r="57" spans="2:5">
      <c r="B57" s="92"/>
      <c r="C57" s="71" t="s">
        <v>302</v>
      </c>
      <c r="D57" s="69">
        <v>23203</v>
      </c>
      <c r="E57" s="72">
        <v>0.36499999999999999</v>
      </c>
    </row>
    <row r="58" spans="2:5">
      <c r="B58" s="90" t="s">
        <v>100</v>
      </c>
      <c r="C58" s="57" t="s">
        <v>160</v>
      </c>
      <c r="D58" s="58">
        <v>1919</v>
      </c>
      <c r="E58" s="59">
        <v>0.03</v>
      </c>
    </row>
    <row r="59" spans="2:5">
      <c r="B59" s="91"/>
      <c r="C59" s="57" t="s">
        <v>157</v>
      </c>
      <c r="D59" s="58">
        <v>1781</v>
      </c>
      <c r="E59" s="59">
        <v>2.8000000000000001E-2</v>
      </c>
    </row>
    <row r="60" spans="2:5">
      <c r="B60" s="91"/>
      <c r="C60" s="57" t="s">
        <v>163</v>
      </c>
      <c r="D60" s="58">
        <v>1412</v>
      </c>
      <c r="E60" s="59">
        <v>2.1999999999999999E-2</v>
      </c>
    </row>
    <row r="61" spans="2:5">
      <c r="B61" s="91"/>
      <c r="C61" s="57" t="s">
        <v>148</v>
      </c>
      <c r="D61" s="60">
        <v>754</v>
      </c>
      <c r="E61" s="59">
        <v>1.2E-2</v>
      </c>
    </row>
    <row r="62" spans="2:5">
      <c r="B62" s="91"/>
      <c r="C62" s="57" t="s">
        <v>147</v>
      </c>
      <c r="D62" s="60">
        <v>534</v>
      </c>
      <c r="E62" s="59">
        <v>8.0000000000000002E-3</v>
      </c>
    </row>
    <row r="63" spans="2:5">
      <c r="B63" s="91"/>
      <c r="C63" s="57" t="s">
        <v>165</v>
      </c>
      <c r="D63" s="60">
        <v>531</v>
      </c>
      <c r="E63" s="59">
        <v>8.0000000000000002E-3</v>
      </c>
    </row>
    <row r="64" spans="2:5" ht="27.95" customHeight="1">
      <c r="B64" s="91"/>
      <c r="C64" s="57" t="s">
        <v>176</v>
      </c>
      <c r="D64" s="60">
        <v>528</v>
      </c>
      <c r="E64" s="59">
        <v>8.0000000000000002E-3</v>
      </c>
    </row>
    <row r="65" spans="2:5">
      <c r="B65" s="91"/>
      <c r="C65" s="57" t="s">
        <v>173</v>
      </c>
      <c r="D65" s="60">
        <v>481</v>
      </c>
      <c r="E65" s="59">
        <v>8.0000000000000002E-3</v>
      </c>
    </row>
    <row r="66" spans="2:5">
      <c r="B66" s="91"/>
      <c r="C66" s="57" t="s">
        <v>164</v>
      </c>
      <c r="D66" s="60">
        <v>410</v>
      </c>
      <c r="E66" s="59">
        <v>6.0000000000000001E-3</v>
      </c>
    </row>
    <row r="67" spans="2:5">
      <c r="B67" s="91"/>
      <c r="C67" s="57" t="s">
        <v>166</v>
      </c>
      <c r="D67" s="60">
        <v>401</v>
      </c>
      <c r="E67" s="59">
        <v>6.0000000000000001E-3</v>
      </c>
    </row>
    <row r="68" spans="2:5">
      <c r="B68" s="91"/>
      <c r="C68" s="57" t="s">
        <v>169</v>
      </c>
      <c r="D68" s="60">
        <v>367</v>
      </c>
      <c r="E68" s="59">
        <v>6.0000000000000001E-3</v>
      </c>
    </row>
    <row r="69" spans="2:5">
      <c r="B69" s="91"/>
      <c r="C69" s="57" t="s">
        <v>151</v>
      </c>
      <c r="D69" s="60">
        <v>315</v>
      </c>
      <c r="E69" s="59">
        <v>5.0000000000000001E-3</v>
      </c>
    </row>
    <row r="70" spans="2:5">
      <c r="B70" s="91"/>
      <c r="C70" s="57" t="s">
        <v>153</v>
      </c>
      <c r="D70" s="60">
        <v>257</v>
      </c>
      <c r="E70" s="59">
        <v>4.0000000000000001E-3</v>
      </c>
    </row>
    <row r="71" spans="2:5">
      <c r="B71" s="91"/>
      <c r="C71" s="57" t="s">
        <v>155</v>
      </c>
      <c r="D71" s="60">
        <v>245</v>
      </c>
      <c r="E71" s="59">
        <v>4.0000000000000001E-3</v>
      </c>
    </row>
    <row r="72" spans="2:5">
      <c r="B72" s="91"/>
      <c r="C72" s="57" t="s">
        <v>179</v>
      </c>
      <c r="D72" s="60">
        <v>195</v>
      </c>
      <c r="E72" s="59">
        <v>3.0000000000000001E-3</v>
      </c>
    </row>
    <row r="73" spans="2:5">
      <c r="B73" s="91"/>
      <c r="C73" s="57" t="s">
        <v>156</v>
      </c>
      <c r="D73" s="60">
        <v>162</v>
      </c>
      <c r="E73" s="59">
        <v>3.0000000000000001E-3</v>
      </c>
    </row>
    <row r="74" spans="2:5">
      <c r="B74" s="91"/>
      <c r="C74" s="57" t="s">
        <v>159</v>
      </c>
      <c r="D74" s="60">
        <v>153</v>
      </c>
      <c r="E74" s="59">
        <v>2E-3</v>
      </c>
    </row>
    <row r="75" spans="2:5">
      <c r="B75" s="91"/>
      <c r="C75" s="57" t="s">
        <v>161</v>
      </c>
      <c r="D75" s="60">
        <v>138</v>
      </c>
      <c r="E75" s="59">
        <v>2E-3</v>
      </c>
    </row>
    <row r="76" spans="2:5">
      <c r="B76" s="91"/>
      <c r="C76" s="57" t="s">
        <v>185</v>
      </c>
      <c r="D76" s="60">
        <v>125</v>
      </c>
      <c r="E76" s="59">
        <v>2E-3</v>
      </c>
    </row>
    <row r="77" spans="2:5">
      <c r="B77" s="91"/>
      <c r="C77" s="57" t="s">
        <v>189</v>
      </c>
      <c r="D77" s="60">
        <v>120</v>
      </c>
      <c r="E77" s="59">
        <v>2E-3</v>
      </c>
    </row>
    <row r="78" spans="2:5">
      <c r="B78" s="91"/>
      <c r="C78" s="57" t="s">
        <v>175</v>
      </c>
      <c r="D78" s="60">
        <v>113</v>
      </c>
      <c r="E78" s="59">
        <v>2E-3</v>
      </c>
    </row>
    <row r="79" spans="2:5">
      <c r="B79" s="91"/>
      <c r="C79" s="57" t="s">
        <v>170</v>
      </c>
      <c r="D79" s="60">
        <v>108</v>
      </c>
      <c r="E79" s="59">
        <v>2E-3</v>
      </c>
    </row>
    <row r="80" spans="2:5">
      <c r="B80" s="91"/>
      <c r="C80" s="57" t="s">
        <v>182</v>
      </c>
      <c r="D80" s="60">
        <v>105</v>
      </c>
      <c r="E80" s="59">
        <v>2E-3</v>
      </c>
    </row>
    <row r="81" spans="2:5">
      <c r="B81" s="91"/>
      <c r="C81" s="57" t="s">
        <v>178</v>
      </c>
      <c r="D81" s="60">
        <v>93</v>
      </c>
      <c r="E81" s="59">
        <v>1E-3</v>
      </c>
    </row>
    <row r="82" spans="2:5">
      <c r="B82" s="91"/>
      <c r="C82" s="57" t="s">
        <v>192</v>
      </c>
      <c r="D82" s="60">
        <v>92</v>
      </c>
      <c r="E82" s="59">
        <v>1E-3</v>
      </c>
    </row>
    <row r="83" spans="2:5">
      <c r="B83" s="91"/>
      <c r="C83" s="57" t="s">
        <v>291</v>
      </c>
      <c r="D83" s="60">
        <v>76</v>
      </c>
      <c r="E83" s="59">
        <v>1E-3</v>
      </c>
    </row>
    <row r="84" spans="2:5">
      <c r="B84" s="91"/>
      <c r="C84" s="57" t="s">
        <v>184</v>
      </c>
      <c r="D84" s="60">
        <v>75</v>
      </c>
      <c r="E84" s="59">
        <v>1E-3</v>
      </c>
    </row>
    <row r="85" spans="2:5">
      <c r="B85" s="91"/>
      <c r="C85" s="57" t="s">
        <v>186</v>
      </c>
      <c r="D85" s="60">
        <v>74</v>
      </c>
      <c r="E85" s="59">
        <v>1E-3</v>
      </c>
    </row>
    <row r="86" spans="2:5">
      <c r="B86" s="91"/>
      <c r="C86" s="57" t="s">
        <v>171</v>
      </c>
      <c r="D86" s="60">
        <v>69</v>
      </c>
      <c r="E86" s="59">
        <v>1E-3</v>
      </c>
    </row>
    <row r="87" spans="2:5">
      <c r="B87" s="91"/>
      <c r="C87" s="57" t="s">
        <v>177</v>
      </c>
      <c r="D87" s="60">
        <v>60</v>
      </c>
      <c r="E87" s="59">
        <v>1E-3</v>
      </c>
    </row>
    <row r="88" spans="2:5">
      <c r="B88" s="91"/>
      <c r="C88" s="57" t="s">
        <v>174</v>
      </c>
      <c r="D88" s="60">
        <v>55</v>
      </c>
      <c r="E88" s="59">
        <v>1E-3</v>
      </c>
    </row>
    <row r="89" spans="2:5">
      <c r="B89" s="91"/>
      <c r="C89" s="57" t="s">
        <v>158</v>
      </c>
      <c r="D89" s="60">
        <v>53</v>
      </c>
      <c r="E89" s="59">
        <v>1E-3</v>
      </c>
    </row>
    <row r="90" spans="2:5">
      <c r="B90" s="91"/>
      <c r="C90" s="57" t="s">
        <v>183</v>
      </c>
      <c r="D90" s="60">
        <v>47</v>
      </c>
      <c r="E90" s="59">
        <v>1E-3</v>
      </c>
    </row>
    <row r="91" spans="2:5">
      <c r="B91" s="91"/>
      <c r="C91" s="57" t="s">
        <v>152</v>
      </c>
      <c r="D91" s="60">
        <v>41</v>
      </c>
      <c r="E91" s="59">
        <v>1E-3</v>
      </c>
    </row>
    <row r="92" spans="2:5">
      <c r="B92" s="91"/>
      <c r="C92" s="57" t="s">
        <v>172</v>
      </c>
      <c r="D92" s="60">
        <v>40</v>
      </c>
      <c r="E92" s="59">
        <v>1E-3</v>
      </c>
    </row>
    <row r="93" spans="2:5">
      <c r="B93" s="91"/>
      <c r="C93" s="57" t="s">
        <v>168</v>
      </c>
      <c r="D93" s="60">
        <v>38</v>
      </c>
      <c r="E93" s="59">
        <v>1E-3</v>
      </c>
    </row>
    <row r="94" spans="2:5">
      <c r="B94" s="91"/>
      <c r="C94" s="57" t="s">
        <v>191</v>
      </c>
      <c r="D94" s="60">
        <v>35</v>
      </c>
      <c r="E94" s="59">
        <v>1E-3</v>
      </c>
    </row>
    <row r="95" spans="2:5" ht="28.5">
      <c r="B95" s="91"/>
      <c r="C95" s="57" t="s">
        <v>154</v>
      </c>
      <c r="D95" s="60">
        <v>34</v>
      </c>
      <c r="E95" s="59">
        <v>1E-3</v>
      </c>
    </row>
    <row r="96" spans="2:5">
      <c r="B96" s="91"/>
      <c r="C96" s="57" t="s">
        <v>187</v>
      </c>
      <c r="D96" s="60">
        <v>33</v>
      </c>
      <c r="E96" s="59">
        <v>1E-3</v>
      </c>
    </row>
    <row r="97" spans="2:5">
      <c r="B97" s="91"/>
      <c r="C97" s="57" t="s">
        <v>149</v>
      </c>
      <c r="D97" s="60">
        <v>32</v>
      </c>
      <c r="E97" s="59">
        <v>1E-3</v>
      </c>
    </row>
    <row r="98" spans="2:5">
      <c r="B98" s="91"/>
      <c r="C98" s="57" t="s">
        <v>190</v>
      </c>
      <c r="D98" s="60">
        <v>28</v>
      </c>
      <c r="E98" s="59">
        <v>0</v>
      </c>
    </row>
    <row r="99" spans="2:5">
      <c r="B99" s="91"/>
      <c r="C99" s="57" t="s">
        <v>181</v>
      </c>
      <c r="D99" s="60">
        <v>17</v>
      </c>
      <c r="E99" s="59">
        <v>0</v>
      </c>
    </row>
    <row r="100" spans="2:5">
      <c r="B100" s="91"/>
      <c r="C100" s="57" t="s">
        <v>162</v>
      </c>
      <c r="D100" s="60">
        <v>17</v>
      </c>
      <c r="E100" s="59">
        <v>0</v>
      </c>
    </row>
    <row r="101" spans="2:5">
      <c r="B101" s="91"/>
      <c r="C101" s="57" t="s">
        <v>150</v>
      </c>
      <c r="D101" s="60">
        <v>14</v>
      </c>
      <c r="E101" s="59">
        <v>0</v>
      </c>
    </row>
    <row r="102" spans="2:5">
      <c r="B102" s="91"/>
      <c r="C102" s="57" t="s">
        <v>180</v>
      </c>
      <c r="D102" s="60">
        <v>10</v>
      </c>
      <c r="E102" s="59">
        <v>0</v>
      </c>
    </row>
    <row r="103" spans="2:5">
      <c r="B103" s="91"/>
      <c r="C103" s="57" t="s">
        <v>188</v>
      </c>
      <c r="D103" s="60">
        <v>9</v>
      </c>
      <c r="E103" s="59">
        <v>0</v>
      </c>
    </row>
    <row r="104" spans="2:5">
      <c r="B104" s="91"/>
      <c r="C104" s="57" t="s">
        <v>167</v>
      </c>
      <c r="D104" s="60">
        <v>6</v>
      </c>
      <c r="E104" s="59">
        <v>0</v>
      </c>
    </row>
    <row r="105" spans="2:5">
      <c r="B105" s="92"/>
      <c r="C105" s="71" t="s">
        <v>302</v>
      </c>
      <c r="D105" s="69">
        <v>12202</v>
      </c>
      <c r="E105" s="72">
        <v>0.192</v>
      </c>
    </row>
    <row r="106" spans="2:5">
      <c r="B106" s="90" t="s">
        <v>108</v>
      </c>
      <c r="C106" s="57" t="s">
        <v>160</v>
      </c>
      <c r="D106" s="60">
        <v>968</v>
      </c>
      <c r="E106" s="59">
        <v>1.4999999999999999E-2</v>
      </c>
    </row>
    <row r="107" spans="2:5">
      <c r="B107" s="91"/>
      <c r="C107" s="57" t="s">
        <v>151</v>
      </c>
      <c r="D107" s="60">
        <v>947</v>
      </c>
      <c r="E107" s="59">
        <v>1.4999999999999999E-2</v>
      </c>
    </row>
    <row r="108" spans="2:5">
      <c r="B108" s="91"/>
      <c r="C108" s="57" t="s">
        <v>166</v>
      </c>
      <c r="D108" s="60">
        <v>473</v>
      </c>
      <c r="E108" s="59">
        <v>7.0000000000000001E-3</v>
      </c>
    </row>
    <row r="109" spans="2:5" ht="28.5" customHeight="1">
      <c r="B109" s="91"/>
      <c r="C109" s="57" t="s">
        <v>148</v>
      </c>
      <c r="D109" s="60">
        <v>387</v>
      </c>
      <c r="E109" s="59">
        <v>6.0000000000000001E-3</v>
      </c>
    </row>
    <row r="110" spans="2:5">
      <c r="B110" s="91"/>
      <c r="C110" s="57" t="s">
        <v>157</v>
      </c>
      <c r="D110" s="60">
        <v>360</v>
      </c>
      <c r="E110" s="59">
        <v>6.0000000000000001E-3</v>
      </c>
    </row>
    <row r="111" spans="2:5">
      <c r="B111" s="91"/>
      <c r="C111" s="57" t="s">
        <v>179</v>
      </c>
      <c r="D111" s="60">
        <v>317</v>
      </c>
      <c r="E111" s="59">
        <v>5.0000000000000001E-3</v>
      </c>
    </row>
    <row r="112" spans="2:5">
      <c r="B112" s="91"/>
      <c r="C112" s="57" t="s">
        <v>184</v>
      </c>
      <c r="D112" s="60">
        <v>278</v>
      </c>
      <c r="E112" s="59">
        <v>4.0000000000000001E-3</v>
      </c>
    </row>
    <row r="113" spans="2:5">
      <c r="B113" s="91"/>
      <c r="C113" s="57" t="s">
        <v>175</v>
      </c>
      <c r="D113" s="60">
        <v>221</v>
      </c>
      <c r="E113" s="59">
        <v>3.0000000000000001E-3</v>
      </c>
    </row>
    <row r="114" spans="2:5">
      <c r="B114" s="91"/>
      <c r="C114" s="57" t="s">
        <v>189</v>
      </c>
      <c r="D114" s="60">
        <v>193</v>
      </c>
      <c r="E114" s="59">
        <v>3.0000000000000001E-3</v>
      </c>
    </row>
    <row r="115" spans="2:5">
      <c r="B115" s="91"/>
      <c r="C115" s="57" t="s">
        <v>155</v>
      </c>
      <c r="D115" s="60">
        <v>190</v>
      </c>
      <c r="E115" s="59">
        <v>3.0000000000000001E-3</v>
      </c>
    </row>
    <row r="116" spans="2:5">
      <c r="B116" s="91"/>
      <c r="C116" s="57" t="s">
        <v>173</v>
      </c>
      <c r="D116" s="60">
        <v>189</v>
      </c>
      <c r="E116" s="59">
        <v>3.0000000000000001E-3</v>
      </c>
    </row>
    <row r="117" spans="2:5">
      <c r="B117" s="91"/>
      <c r="C117" s="57" t="s">
        <v>176</v>
      </c>
      <c r="D117" s="60">
        <v>153</v>
      </c>
      <c r="E117" s="59">
        <v>2E-3</v>
      </c>
    </row>
    <row r="118" spans="2:5">
      <c r="B118" s="91"/>
      <c r="C118" s="57" t="s">
        <v>161</v>
      </c>
      <c r="D118" s="60">
        <v>145</v>
      </c>
      <c r="E118" s="59">
        <v>2E-3</v>
      </c>
    </row>
    <row r="119" spans="2:5">
      <c r="B119" s="91"/>
      <c r="C119" s="57" t="s">
        <v>159</v>
      </c>
      <c r="D119" s="60">
        <v>137</v>
      </c>
      <c r="E119" s="59">
        <v>2E-3</v>
      </c>
    </row>
    <row r="120" spans="2:5">
      <c r="B120" s="91"/>
      <c r="C120" s="57" t="s">
        <v>169</v>
      </c>
      <c r="D120" s="60">
        <v>128</v>
      </c>
      <c r="E120" s="59">
        <v>2E-3</v>
      </c>
    </row>
    <row r="121" spans="2:5">
      <c r="B121" s="91"/>
      <c r="C121" s="57" t="s">
        <v>162</v>
      </c>
      <c r="D121" s="60">
        <v>126</v>
      </c>
      <c r="E121" s="59">
        <v>2E-3</v>
      </c>
    </row>
    <row r="122" spans="2:5">
      <c r="B122" s="91"/>
      <c r="C122" s="57" t="s">
        <v>187</v>
      </c>
      <c r="D122" s="60">
        <v>117</v>
      </c>
      <c r="E122" s="59">
        <v>2E-3</v>
      </c>
    </row>
    <row r="123" spans="2:5">
      <c r="B123" s="91"/>
      <c r="C123" s="57" t="s">
        <v>163</v>
      </c>
      <c r="D123" s="60">
        <v>94</v>
      </c>
      <c r="E123" s="59">
        <v>1E-3</v>
      </c>
    </row>
    <row r="124" spans="2:5">
      <c r="B124" s="91"/>
      <c r="C124" s="57" t="s">
        <v>165</v>
      </c>
      <c r="D124" s="60">
        <v>94</v>
      </c>
      <c r="E124" s="59">
        <v>1E-3</v>
      </c>
    </row>
    <row r="125" spans="2:5">
      <c r="B125" s="91"/>
      <c r="C125" s="57" t="s">
        <v>174</v>
      </c>
      <c r="D125" s="60">
        <v>88</v>
      </c>
      <c r="E125" s="59">
        <v>1E-3</v>
      </c>
    </row>
    <row r="126" spans="2:5">
      <c r="B126" s="91"/>
      <c r="C126" s="57" t="s">
        <v>150</v>
      </c>
      <c r="D126" s="60">
        <v>63</v>
      </c>
      <c r="E126" s="59">
        <v>1E-3</v>
      </c>
    </row>
    <row r="127" spans="2:5">
      <c r="B127" s="91"/>
      <c r="C127" s="57" t="s">
        <v>168</v>
      </c>
      <c r="D127" s="60">
        <v>61</v>
      </c>
      <c r="E127" s="59">
        <v>1E-3</v>
      </c>
    </row>
    <row r="128" spans="2:5">
      <c r="B128" s="91"/>
      <c r="C128" s="57" t="s">
        <v>182</v>
      </c>
      <c r="D128" s="60">
        <v>54</v>
      </c>
      <c r="E128" s="59">
        <v>1E-3</v>
      </c>
    </row>
    <row r="129" spans="2:5">
      <c r="B129" s="91"/>
      <c r="C129" s="57" t="s">
        <v>153</v>
      </c>
      <c r="D129" s="60">
        <v>53</v>
      </c>
      <c r="E129" s="59">
        <v>1E-3</v>
      </c>
    </row>
    <row r="130" spans="2:5">
      <c r="B130" s="91"/>
      <c r="C130" s="57" t="s">
        <v>149</v>
      </c>
      <c r="D130" s="60">
        <v>41</v>
      </c>
      <c r="E130" s="59">
        <v>1E-3</v>
      </c>
    </row>
    <row r="131" spans="2:5">
      <c r="B131" s="91"/>
      <c r="C131" s="57" t="s">
        <v>158</v>
      </c>
      <c r="D131" s="60">
        <v>39</v>
      </c>
      <c r="E131" s="59">
        <v>1E-3</v>
      </c>
    </row>
    <row r="132" spans="2:5">
      <c r="B132" s="91"/>
      <c r="C132" s="57" t="s">
        <v>172</v>
      </c>
      <c r="D132" s="60">
        <v>37</v>
      </c>
      <c r="E132" s="59">
        <v>1E-3</v>
      </c>
    </row>
    <row r="133" spans="2:5">
      <c r="B133" s="91"/>
      <c r="C133" s="57" t="s">
        <v>191</v>
      </c>
      <c r="D133" s="60">
        <v>36</v>
      </c>
      <c r="E133" s="59">
        <v>1E-3</v>
      </c>
    </row>
    <row r="134" spans="2:5">
      <c r="B134" s="91"/>
      <c r="C134" s="57" t="s">
        <v>152</v>
      </c>
      <c r="D134" s="60">
        <v>33</v>
      </c>
      <c r="E134" s="59">
        <v>1E-3</v>
      </c>
    </row>
    <row r="135" spans="2:5">
      <c r="B135" s="91"/>
      <c r="C135" s="57" t="s">
        <v>147</v>
      </c>
      <c r="D135" s="60">
        <v>32</v>
      </c>
      <c r="E135" s="59">
        <v>1E-3</v>
      </c>
    </row>
    <row r="136" spans="2:5">
      <c r="B136" s="91"/>
      <c r="C136" s="57" t="s">
        <v>188</v>
      </c>
      <c r="D136" s="60">
        <v>30</v>
      </c>
      <c r="E136" s="59">
        <v>0</v>
      </c>
    </row>
    <row r="137" spans="2:5" ht="28.5">
      <c r="B137" s="91"/>
      <c r="C137" s="57" t="s">
        <v>154</v>
      </c>
      <c r="D137" s="60">
        <v>26</v>
      </c>
      <c r="E137" s="59">
        <v>0</v>
      </c>
    </row>
    <row r="138" spans="2:5">
      <c r="B138" s="91"/>
      <c r="C138" s="57" t="s">
        <v>170</v>
      </c>
      <c r="D138" s="60">
        <v>22</v>
      </c>
      <c r="E138" s="59">
        <v>0</v>
      </c>
    </row>
    <row r="139" spans="2:5">
      <c r="B139" s="91"/>
      <c r="C139" s="57" t="s">
        <v>164</v>
      </c>
      <c r="D139" s="60">
        <v>21</v>
      </c>
      <c r="E139" s="59">
        <v>0</v>
      </c>
    </row>
    <row r="140" spans="2:5">
      <c r="B140" s="91"/>
      <c r="C140" s="57" t="s">
        <v>186</v>
      </c>
      <c r="D140" s="60">
        <v>20</v>
      </c>
      <c r="E140" s="59">
        <v>0</v>
      </c>
    </row>
    <row r="141" spans="2:5">
      <c r="B141" s="91"/>
      <c r="C141" s="57" t="s">
        <v>185</v>
      </c>
      <c r="D141" s="60">
        <v>11</v>
      </c>
      <c r="E141" s="59">
        <v>0</v>
      </c>
    </row>
    <row r="142" spans="2:5">
      <c r="B142" s="91"/>
      <c r="C142" s="57" t="s">
        <v>171</v>
      </c>
      <c r="D142" s="60">
        <v>11</v>
      </c>
      <c r="E142" s="59">
        <v>0</v>
      </c>
    </row>
    <row r="143" spans="2:5">
      <c r="B143" s="91"/>
      <c r="C143" s="57" t="s">
        <v>156</v>
      </c>
      <c r="D143" s="60">
        <v>9</v>
      </c>
      <c r="E143" s="59">
        <v>0</v>
      </c>
    </row>
    <row r="144" spans="2:5">
      <c r="B144" s="91"/>
      <c r="C144" s="57" t="s">
        <v>181</v>
      </c>
      <c r="D144" s="60">
        <v>7</v>
      </c>
      <c r="E144" s="59">
        <v>0</v>
      </c>
    </row>
    <row r="145" spans="2:5">
      <c r="B145" s="91"/>
      <c r="C145" s="57" t="s">
        <v>167</v>
      </c>
      <c r="D145" s="60">
        <v>4</v>
      </c>
      <c r="E145" s="59">
        <v>0</v>
      </c>
    </row>
    <row r="146" spans="2:5">
      <c r="B146" s="91"/>
      <c r="C146" s="57" t="s">
        <v>183</v>
      </c>
      <c r="D146" s="60">
        <v>3</v>
      </c>
      <c r="E146" s="59">
        <v>0</v>
      </c>
    </row>
    <row r="147" spans="2:5">
      <c r="B147" s="91"/>
      <c r="C147" s="57" t="s">
        <v>177</v>
      </c>
      <c r="D147" s="60">
        <v>3</v>
      </c>
      <c r="E147" s="59">
        <v>0</v>
      </c>
    </row>
    <row r="148" spans="2:5">
      <c r="B148" s="91"/>
      <c r="C148" s="57" t="s">
        <v>180</v>
      </c>
      <c r="D148" s="60">
        <v>2</v>
      </c>
      <c r="E148" s="59">
        <v>0</v>
      </c>
    </row>
    <row r="149" spans="2:5">
      <c r="B149" s="91"/>
      <c r="C149" s="57" t="s">
        <v>291</v>
      </c>
      <c r="D149" s="60">
        <v>2</v>
      </c>
      <c r="E149" s="59">
        <v>0</v>
      </c>
    </row>
    <row r="150" spans="2:5">
      <c r="B150" s="91"/>
      <c r="C150" s="57" t="s">
        <v>190</v>
      </c>
      <c r="D150" s="60">
        <v>1</v>
      </c>
      <c r="E150" s="59">
        <v>0</v>
      </c>
    </row>
    <row r="151" spans="2:5">
      <c r="B151" s="91"/>
      <c r="C151" s="57" t="s">
        <v>178</v>
      </c>
      <c r="D151" s="60">
        <v>1</v>
      </c>
      <c r="E151" s="59">
        <v>0</v>
      </c>
    </row>
    <row r="152" spans="2:5" ht="28.5" customHeight="1">
      <c r="B152" s="92"/>
      <c r="C152" s="71" t="s">
        <v>302</v>
      </c>
      <c r="D152" s="69">
        <v>6227</v>
      </c>
      <c r="E152" s="72">
        <v>9.8000000000000004E-2</v>
      </c>
    </row>
    <row r="153" spans="2:5">
      <c r="B153" s="90" t="s">
        <v>105</v>
      </c>
      <c r="C153" s="57" t="s">
        <v>151</v>
      </c>
      <c r="D153" s="60">
        <v>204</v>
      </c>
      <c r="E153" s="59">
        <v>3.0000000000000001E-3</v>
      </c>
    </row>
    <row r="154" spans="2:5">
      <c r="B154" s="91"/>
      <c r="C154" s="57" t="s">
        <v>157</v>
      </c>
      <c r="D154" s="60">
        <v>163</v>
      </c>
      <c r="E154" s="59">
        <v>3.0000000000000001E-3</v>
      </c>
    </row>
    <row r="155" spans="2:5">
      <c r="B155" s="91"/>
      <c r="C155" s="57" t="s">
        <v>176</v>
      </c>
      <c r="D155" s="60">
        <v>129</v>
      </c>
      <c r="E155" s="59">
        <v>2E-3</v>
      </c>
    </row>
    <row r="156" spans="2:5">
      <c r="B156" s="91"/>
      <c r="C156" s="57" t="s">
        <v>160</v>
      </c>
      <c r="D156" s="60">
        <v>111</v>
      </c>
      <c r="E156" s="59">
        <v>2E-3</v>
      </c>
    </row>
    <row r="157" spans="2:5">
      <c r="B157" s="91"/>
      <c r="C157" s="57" t="s">
        <v>148</v>
      </c>
      <c r="D157" s="60">
        <v>100</v>
      </c>
      <c r="E157" s="59">
        <v>2E-3</v>
      </c>
    </row>
    <row r="158" spans="2:5">
      <c r="B158" s="91"/>
      <c r="C158" s="57" t="s">
        <v>166</v>
      </c>
      <c r="D158" s="60">
        <v>87</v>
      </c>
      <c r="E158" s="59">
        <v>1E-3</v>
      </c>
    </row>
    <row r="159" spans="2:5">
      <c r="B159" s="91"/>
      <c r="C159" s="57" t="s">
        <v>173</v>
      </c>
      <c r="D159" s="60">
        <v>79</v>
      </c>
      <c r="E159" s="59">
        <v>1E-3</v>
      </c>
    </row>
    <row r="160" spans="2:5">
      <c r="B160" s="91"/>
      <c r="C160" s="57" t="s">
        <v>167</v>
      </c>
      <c r="D160" s="60">
        <v>70</v>
      </c>
      <c r="E160" s="59">
        <v>1E-3</v>
      </c>
    </row>
    <row r="161" spans="2:5" ht="28.5">
      <c r="B161" s="91"/>
      <c r="C161" s="57" t="s">
        <v>154</v>
      </c>
      <c r="D161" s="60">
        <v>68</v>
      </c>
      <c r="E161" s="59">
        <v>1E-3</v>
      </c>
    </row>
    <row r="162" spans="2:5">
      <c r="B162" s="91"/>
      <c r="C162" s="57" t="s">
        <v>150</v>
      </c>
      <c r="D162" s="60">
        <v>67</v>
      </c>
      <c r="E162" s="59">
        <v>1E-3</v>
      </c>
    </row>
    <row r="163" spans="2:5">
      <c r="B163" s="91"/>
      <c r="C163" s="57" t="s">
        <v>170</v>
      </c>
      <c r="D163" s="60">
        <v>64</v>
      </c>
      <c r="E163" s="59">
        <v>1E-3</v>
      </c>
    </row>
    <row r="164" spans="2:5">
      <c r="B164" s="91"/>
      <c r="C164" s="57" t="s">
        <v>168</v>
      </c>
      <c r="D164" s="60">
        <v>60</v>
      </c>
      <c r="E164" s="59">
        <v>1E-3</v>
      </c>
    </row>
    <row r="165" spans="2:5">
      <c r="B165" s="91"/>
      <c r="C165" s="57" t="s">
        <v>165</v>
      </c>
      <c r="D165" s="60">
        <v>57</v>
      </c>
      <c r="E165" s="59">
        <v>1E-3</v>
      </c>
    </row>
    <row r="166" spans="2:5">
      <c r="B166" s="91"/>
      <c r="C166" s="57" t="s">
        <v>171</v>
      </c>
      <c r="D166" s="60">
        <v>55</v>
      </c>
      <c r="E166" s="59">
        <v>1E-3</v>
      </c>
    </row>
    <row r="167" spans="2:5">
      <c r="B167" s="91"/>
      <c r="C167" s="57" t="s">
        <v>152</v>
      </c>
      <c r="D167" s="60">
        <v>50</v>
      </c>
      <c r="E167" s="59">
        <v>1E-3</v>
      </c>
    </row>
    <row r="168" spans="2:5">
      <c r="B168" s="91"/>
      <c r="C168" s="57" t="s">
        <v>179</v>
      </c>
      <c r="D168" s="60">
        <v>46</v>
      </c>
      <c r="E168" s="59">
        <v>1E-3</v>
      </c>
    </row>
    <row r="169" spans="2:5">
      <c r="B169" s="91"/>
      <c r="C169" s="57" t="s">
        <v>147</v>
      </c>
      <c r="D169" s="60">
        <v>43</v>
      </c>
      <c r="E169" s="59">
        <v>1E-3</v>
      </c>
    </row>
    <row r="170" spans="2:5">
      <c r="B170" s="91"/>
      <c r="C170" s="57" t="s">
        <v>149</v>
      </c>
      <c r="D170" s="60">
        <v>41</v>
      </c>
      <c r="E170" s="59">
        <v>1E-3</v>
      </c>
    </row>
    <row r="171" spans="2:5">
      <c r="B171" s="91"/>
      <c r="C171" s="57" t="s">
        <v>182</v>
      </c>
      <c r="D171" s="60">
        <v>41</v>
      </c>
      <c r="E171" s="59">
        <v>1E-3</v>
      </c>
    </row>
    <row r="172" spans="2:5">
      <c r="B172" s="91"/>
      <c r="C172" s="57" t="s">
        <v>159</v>
      </c>
      <c r="D172" s="60">
        <v>41</v>
      </c>
      <c r="E172" s="59">
        <v>1E-3</v>
      </c>
    </row>
    <row r="173" spans="2:5">
      <c r="B173" s="91"/>
      <c r="C173" s="57" t="s">
        <v>155</v>
      </c>
      <c r="D173" s="60">
        <v>31</v>
      </c>
      <c r="E173" s="59">
        <v>0</v>
      </c>
    </row>
    <row r="174" spans="2:5">
      <c r="B174" s="91"/>
      <c r="C174" s="57" t="s">
        <v>163</v>
      </c>
      <c r="D174" s="60">
        <v>31</v>
      </c>
      <c r="E174" s="59">
        <v>0</v>
      </c>
    </row>
    <row r="175" spans="2:5">
      <c r="B175" s="91"/>
      <c r="C175" s="57" t="s">
        <v>172</v>
      </c>
      <c r="D175" s="60">
        <v>28</v>
      </c>
      <c r="E175" s="59">
        <v>0</v>
      </c>
    </row>
    <row r="176" spans="2:5">
      <c r="B176" s="91"/>
      <c r="C176" s="57" t="s">
        <v>191</v>
      </c>
      <c r="D176" s="60">
        <v>23</v>
      </c>
      <c r="E176" s="59">
        <v>0</v>
      </c>
    </row>
    <row r="177" spans="2:5">
      <c r="B177" s="91"/>
      <c r="C177" s="57" t="s">
        <v>183</v>
      </c>
      <c r="D177" s="60">
        <v>20</v>
      </c>
      <c r="E177" s="59">
        <v>0</v>
      </c>
    </row>
    <row r="178" spans="2:5">
      <c r="B178" s="91"/>
      <c r="C178" s="57" t="s">
        <v>161</v>
      </c>
      <c r="D178" s="60">
        <v>20</v>
      </c>
      <c r="E178" s="59">
        <v>0</v>
      </c>
    </row>
    <row r="179" spans="2:5">
      <c r="B179" s="91"/>
      <c r="C179" s="57" t="s">
        <v>169</v>
      </c>
      <c r="D179" s="60">
        <v>20</v>
      </c>
      <c r="E179" s="59">
        <v>0</v>
      </c>
    </row>
    <row r="180" spans="2:5">
      <c r="B180" s="91"/>
      <c r="C180" s="57" t="s">
        <v>189</v>
      </c>
      <c r="D180" s="60">
        <v>20</v>
      </c>
      <c r="E180" s="59">
        <v>0</v>
      </c>
    </row>
    <row r="181" spans="2:5">
      <c r="B181" s="91"/>
      <c r="C181" s="57" t="s">
        <v>158</v>
      </c>
      <c r="D181" s="60">
        <v>19</v>
      </c>
      <c r="E181" s="59">
        <v>0</v>
      </c>
    </row>
    <row r="182" spans="2:5">
      <c r="B182" s="91"/>
      <c r="C182" s="57" t="s">
        <v>175</v>
      </c>
      <c r="D182" s="60">
        <v>16</v>
      </c>
      <c r="E182" s="59">
        <v>0</v>
      </c>
    </row>
    <row r="183" spans="2:5">
      <c r="B183" s="91"/>
      <c r="C183" s="57" t="s">
        <v>177</v>
      </c>
      <c r="D183" s="60">
        <v>16</v>
      </c>
      <c r="E183" s="59">
        <v>0</v>
      </c>
    </row>
    <row r="184" spans="2:5">
      <c r="B184" s="91"/>
      <c r="C184" s="57" t="s">
        <v>153</v>
      </c>
      <c r="D184" s="60">
        <v>14</v>
      </c>
      <c r="E184" s="59">
        <v>0</v>
      </c>
    </row>
    <row r="185" spans="2:5">
      <c r="B185" s="91"/>
      <c r="C185" s="57" t="s">
        <v>178</v>
      </c>
      <c r="D185" s="60">
        <v>14</v>
      </c>
      <c r="E185" s="59">
        <v>0</v>
      </c>
    </row>
    <row r="186" spans="2:5">
      <c r="B186" s="91"/>
      <c r="C186" s="57" t="s">
        <v>187</v>
      </c>
      <c r="D186" s="60">
        <v>13</v>
      </c>
      <c r="E186" s="59">
        <v>0</v>
      </c>
    </row>
    <row r="187" spans="2:5">
      <c r="B187" s="91"/>
      <c r="C187" s="57" t="s">
        <v>162</v>
      </c>
      <c r="D187" s="60">
        <v>12</v>
      </c>
      <c r="E187" s="59">
        <v>0</v>
      </c>
    </row>
    <row r="188" spans="2:5">
      <c r="B188" s="91"/>
      <c r="C188" s="57" t="s">
        <v>184</v>
      </c>
      <c r="D188" s="60">
        <v>10</v>
      </c>
      <c r="E188" s="59">
        <v>0</v>
      </c>
    </row>
    <row r="189" spans="2:5">
      <c r="B189" s="91"/>
      <c r="C189" s="57" t="s">
        <v>180</v>
      </c>
      <c r="D189" s="60">
        <v>9</v>
      </c>
      <c r="E189" s="59">
        <v>0</v>
      </c>
    </row>
    <row r="190" spans="2:5">
      <c r="B190" s="91"/>
      <c r="C190" s="57" t="s">
        <v>174</v>
      </c>
      <c r="D190" s="60">
        <v>9</v>
      </c>
      <c r="E190" s="59">
        <v>0</v>
      </c>
    </row>
    <row r="191" spans="2:5">
      <c r="B191" s="91"/>
      <c r="C191" s="57" t="s">
        <v>291</v>
      </c>
      <c r="D191" s="60">
        <v>8</v>
      </c>
      <c r="E191" s="59">
        <v>0</v>
      </c>
    </row>
    <row r="192" spans="2:5">
      <c r="B192" s="91"/>
      <c r="C192" s="57" t="s">
        <v>156</v>
      </c>
      <c r="D192" s="60">
        <v>7</v>
      </c>
      <c r="E192" s="59">
        <v>0</v>
      </c>
    </row>
    <row r="193" spans="2:5">
      <c r="B193" s="91"/>
      <c r="C193" s="57" t="s">
        <v>185</v>
      </c>
      <c r="D193" s="60">
        <v>6</v>
      </c>
      <c r="E193" s="59">
        <v>0</v>
      </c>
    </row>
    <row r="194" spans="2:5">
      <c r="B194" s="91"/>
      <c r="C194" s="57" t="s">
        <v>181</v>
      </c>
      <c r="D194" s="60">
        <v>4</v>
      </c>
      <c r="E194" s="59">
        <v>0</v>
      </c>
    </row>
    <row r="195" spans="2:5">
      <c r="B195" s="91"/>
      <c r="C195" s="57" t="s">
        <v>190</v>
      </c>
      <c r="D195" s="60">
        <v>2</v>
      </c>
      <c r="E195" s="59">
        <v>0</v>
      </c>
    </row>
    <row r="196" spans="2:5">
      <c r="B196" s="91"/>
      <c r="C196" s="57" t="s">
        <v>186</v>
      </c>
      <c r="D196" s="60">
        <v>1</v>
      </c>
      <c r="E196" s="59">
        <v>0</v>
      </c>
    </row>
    <row r="197" spans="2:5">
      <c r="B197" s="91"/>
      <c r="C197" s="57" t="s">
        <v>164</v>
      </c>
      <c r="D197" s="60">
        <v>1</v>
      </c>
      <c r="E197" s="59">
        <v>0</v>
      </c>
    </row>
    <row r="198" spans="2:5">
      <c r="B198" s="91"/>
      <c r="C198" s="57" t="s">
        <v>188</v>
      </c>
      <c r="D198" s="60">
        <v>1</v>
      </c>
      <c r="E198" s="59">
        <v>0</v>
      </c>
    </row>
    <row r="199" spans="2:5">
      <c r="B199" s="92"/>
      <c r="C199" s="71" t="s">
        <v>302</v>
      </c>
      <c r="D199" s="69">
        <v>1931</v>
      </c>
      <c r="E199" s="72">
        <v>0.03</v>
      </c>
    </row>
    <row r="200" spans="2:5">
      <c r="B200" s="90" t="s">
        <v>131</v>
      </c>
      <c r="C200" s="57" t="s">
        <v>168</v>
      </c>
      <c r="D200" s="60">
        <v>371</v>
      </c>
      <c r="E200" s="59">
        <v>6.0000000000000001E-3</v>
      </c>
    </row>
    <row r="201" spans="2:5">
      <c r="B201" s="91"/>
      <c r="C201" s="57" t="s">
        <v>151</v>
      </c>
      <c r="D201" s="60">
        <v>195</v>
      </c>
      <c r="E201" s="59">
        <v>3.0000000000000001E-3</v>
      </c>
    </row>
    <row r="202" spans="2:5" ht="28.5">
      <c r="B202" s="91"/>
      <c r="C202" s="57" t="s">
        <v>154</v>
      </c>
      <c r="D202" s="60">
        <v>157</v>
      </c>
      <c r="E202" s="59">
        <v>2E-3</v>
      </c>
    </row>
    <row r="203" spans="2:5">
      <c r="B203" s="91"/>
      <c r="C203" s="57" t="s">
        <v>160</v>
      </c>
      <c r="D203" s="60">
        <v>145</v>
      </c>
      <c r="E203" s="59">
        <v>2E-3</v>
      </c>
    </row>
    <row r="204" spans="2:5">
      <c r="B204" s="91"/>
      <c r="C204" s="57" t="s">
        <v>187</v>
      </c>
      <c r="D204" s="60">
        <v>128</v>
      </c>
      <c r="E204" s="59">
        <v>2E-3</v>
      </c>
    </row>
    <row r="205" spans="2:5">
      <c r="B205" s="91"/>
      <c r="C205" s="57" t="s">
        <v>172</v>
      </c>
      <c r="D205" s="60">
        <v>125</v>
      </c>
      <c r="E205" s="59">
        <v>2E-3</v>
      </c>
    </row>
    <row r="206" spans="2:5">
      <c r="B206" s="91"/>
      <c r="C206" s="57" t="s">
        <v>165</v>
      </c>
      <c r="D206" s="60">
        <v>80</v>
      </c>
      <c r="E206" s="59">
        <v>1E-3</v>
      </c>
    </row>
    <row r="207" spans="2:5">
      <c r="B207" s="91"/>
      <c r="C207" s="57" t="s">
        <v>171</v>
      </c>
      <c r="D207" s="60">
        <v>78</v>
      </c>
      <c r="E207" s="59">
        <v>1E-3</v>
      </c>
    </row>
    <row r="208" spans="2:5">
      <c r="B208" s="91"/>
      <c r="C208" s="57" t="s">
        <v>152</v>
      </c>
      <c r="D208" s="60">
        <v>63</v>
      </c>
      <c r="E208" s="59">
        <v>1E-3</v>
      </c>
    </row>
    <row r="209" spans="2:5">
      <c r="B209" s="91"/>
      <c r="C209" s="57" t="s">
        <v>161</v>
      </c>
      <c r="D209" s="60">
        <v>41</v>
      </c>
      <c r="E209" s="59">
        <v>1E-3</v>
      </c>
    </row>
    <row r="210" spans="2:5">
      <c r="B210" s="91"/>
      <c r="C210" s="57" t="s">
        <v>176</v>
      </c>
      <c r="D210" s="60">
        <v>41</v>
      </c>
      <c r="E210" s="59">
        <v>1E-3</v>
      </c>
    </row>
    <row r="211" spans="2:5">
      <c r="B211" s="91"/>
      <c r="C211" s="57" t="s">
        <v>157</v>
      </c>
      <c r="D211" s="60">
        <v>38</v>
      </c>
      <c r="E211" s="59">
        <v>1E-3</v>
      </c>
    </row>
    <row r="212" spans="2:5">
      <c r="B212" s="91"/>
      <c r="C212" s="57" t="s">
        <v>179</v>
      </c>
      <c r="D212" s="60">
        <v>36</v>
      </c>
      <c r="E212" s="59">
        <v>1E-3</v>
      </c>
    </row>
    <row r="213" spans="2:5">
      <c r="B213" s="91"/>
      <c r="C213" s="57" t="s">
        <v>155</v>
      </c>
      <c r="D213" s="60">
        <v>35</v>
      </c>
      <c r="E213" s="59">
        <v>1E-3</v>
      </c>
    </row>
    <row r="214" spans="2:5">
      <c r="B214" s="91"/>
      <c r="C214" s="57" t="s">
        <v>182</v>
      </c>
      <c r="D214" s="60">
        <v>32</v>
      </c>
      <c r="E214" s="59">
        <v>1E-3</v>
      </c>
    </row>
    <row r="215" spans="2:5">
      <c r="B215" s="91"/>
      <c r="C215" s="57" t="s">
        <v>150</v>
      </c>
      <c r="D215" s="60">
        <v>30</v>
      </c>
      <c r="E215" s="59">
        <v>0</v>
      </c>
    </row>
    <row r="216" spans="2:5">
      <c r="B216" s="91"/>
      <c r="C216" s="57" t="s">
        <v>149</v>
      </c>
      <c r="D216" s="60">
        <v>24</v>
      </c>
      <c r="E216" s="59">
        <v>0</v>
      </c>
    </row>
    <row r="217" spans="2:5">
      <c r="B217" s="91"/>
      <c r="C217" s="57" t="s">
        <v>169</v>
      </c>
      <c r="D217" s="60">
        <v>22</v>
      </c>
      <c r="E217" s="59">
        <v>0</v>
      </c>
    </row>
    <row r="218" spans="2:5">
      <c r="B218" s="91"/>
      <c r="C218" s="57" t="s">
        <v>167</v>
      </c>
      <c r="D218" s="60">
        <v>18</v>
      </c>
      <c r="E218" s="59">
        <v>0</v>
      </c>
    </row>
    <row r="219" spans="2:5">
      <c r="B219" s="91"/>
      <c r="C219" s="57" t="s">
        <v>191</v>
      </c>
      <c r="D219" s="60">
        <v>18</v>
      </c>
      <c r="E219" s="59">
        <v>0</v>
      </c>
    </row>
    <row r="220" spans="2:5">
      <c r="B220" s="91"/>
      <c r="C220" s="57" t="s">
        <v>162</v>
      </c>
      <c r="D220" s="60">
        <v>14</v>
      </c>
      <c r="E220" s="59">
        <v>0</v>
      </c>
    </row>
    <row r="221" spans="2:5">
      <c r="B221" s="91"/>
      <c r="C221" s="57" t="s">
        <v>148</v>
      </c>
      <c r="D221" s="60">
        <v>13</v>
      </c>
      <c r="E221" s="59">
        <v>0</v>
      </c>
    </row>
    <row r="222" spans="2:5">
      <c r="B222" s="91"/>
      <c r="C222" s="57" t="s">
        <v>158</v>
      </c>
      <c r="D222" s="60">
        <v>13</v>
      </c>
      <c r="E222" s="59">
        <v>0</v>
      </c>
    </row>
    <row r="223" spans="2:5">
      <c r="B223" s="91"/>
      <c r="C223" s="57" t="s">
        <v>159</v>
      </c>
      <c r="D223" s="60">
        <v>13</v>
      </c>
      <c r="E223" s="59">
        <v>0</v>
      </c>
    </row>
    <row r="224" spans="2:5">
      <c r="B224" s="91"/>
      <c r="C224" s="57" t="s">
        <v>175</v>
      </c>
      <c r="D224" s="60">
        <v>12</v>
      </c>
      <c r="E224" s="59">
        <v>0</v>
      </c>
    </row>
    <row r="225" spans="2:5">
      <c r="B225" s="91"/>
      <c r="C225" s="57" t="s">
        <v>163</v>
      </c>
      <c r="D225" s="60">
        <v>10</v>
      </c>
      <c r="E225" s="59">
        <v>0</v>
      </c>
    </row>
    <row r="226" spans="2:5">
      <c r="B226" s="91"/>
      <c r="C226" s="57" t="s">
        <v>184</v>
      </c>
      <c r="D226" s="60">
        <v>7</v>
      </c>
      <c r="E226" s="59">
        <v>0</v>
      </c>
    </row>
    <row r="227" spans="2:5">
      <c r="B227" s="91"/>
      <c r="C227" s="57" t="s">
        <v>170</v>
      </c>
      <c r="D227" s="60">
        <v>7</v>
      </c>
      <c r="E227" s="59">
        <v>0</v>
      </c>
    </row>
    <row r="228" spans="2:5">
      <c r="B228" s="91"/>
      <c r="C228" s="57" t="s">
        <v>189</v>
      </c>
      <c r="D228" s="60">
        <v>7</v>
      </c>
      <c r="E228" s="59">
        <v>0</v>
      </c>
    </row>
    <row r="229" spans="2:5">
      <c r="B229" s="91"/>
      <c r="C229" s="57" t="s">
        <v>156</v>
      </c>
      <c r="D229" s="60">
        <v>6</v>
      </c>
      <c r="E229" s="59">
        <v>0</v>
      </c>
    </row>
    <row r="230" spans="2:5">
      <c r="B230" s="91"/>
      <c r="C230" s="57" t="s">
        <v>177</v>
      </c>
      <c r="D230" s="60">
        <v>6</v>
      </c>
      <c r="E230" s="59">
        <v>0</v>
      </c>
    </row>
    <row r="231" spans="2:5">
      <c r="B231" s="91"/>
      <c r="C231" s="57" t="s">
        <v>166</v>
      </c>
      <c r="D231" s="60">
        <v>5</v>
      </c>
      <c r="E231" s="59">
        <v>0</v>
      </c>
    </row>
    <row r="232" spans="2:5">
      <c r="B232" s="91"/>
      <c r="C232" s="57" t="s">
        <v>173</v>
      </c>
      <c r="D232" s="60">
        <v>5</v>
      </c>
      <c r="E232" s="59">
        <v>0</v>
      </c>
    </row>
    <row r="233" spans="2:5">
      <c r="B233" s="91"/>
      <c r="C233" s="57" t="s">
        <v>190</v>
      </c>
      <c r="D233" s="60">
        <v>5</v>
      </c>
      <c r="E233" s="59">
        <v>0</v>
      </c>
    </row>
    <row r="234" spans="2:5">
      <c r="B234" s="91"/>
      <c r="C234" s="57" t="s">
        <v>147</v>
      </c>
      <c r="D234" s="60">
        <v>4</v>
      </c>
      <c r="E234" s="59">
        <v>0</v>
      </c>
    </row>
    <row r="235" spans="2:5">
      <c r="B235" s="91"/>
      <c r="C235" s="57" t="s">
        <v>153</v>
      </c>
      <c r="D235" s="60">
        <v>4</v>
      </c>
      <c r="E235" s="59">
        <v>0</v>
      </c>
    </row>
    <row r="236" spans="2:5">
      <c r="B236" s="91"/>
      <c r="C236" s="57" t="s">
        <v>186</v>
      </c>
      <c r="D236" s="60">
        <v>4</v>
      </c>
      <c r="E236" s="59">
        <v>0</v>
      </c>
    </row>
    <row r="237" spans="2:5">
      <c r="B237" s="91"/>
      <c r="C237" s="57" t="s">
        <v>181</v>
      </c>
      <c r="D237" s="60">
        <v>2</v>
      </c>
      <c r="E237" s="59">
        <v>0</v>
      </c>
    </row>
    <row r="238" spans="2:5">
      <c r="B238" s="91"/>
      <c r="C238" s="57" t="s">
        <v>291</v>
      </c>
      <c r="D238" s="60">
        <v>2</v>
      </c>
      <c r="E238" s="59">
        <v>0</v>
      </c>
    </row>
    <row r="239" spans="2:5">
      <c r="B239" s="91"/>
      <c r="C239" s="57" t="s">
        <v>164</v>
      </c>
      <c r="D239" s="60">
        <v>2</v>
      </c>
      <c r="E239" s="59">
        <v>0</v>
      </c>
    </row>
    <row r="240" spans="2:5">
      <c r="B240" s="91"/>
      <c r="C240" s="57" t="s">
        <v>188</v>
      </c>
      <c r="D240" s="60">
        <v>2</v>
      </c>
      <c r="E240" s="59">
        <v>0</v>
      </c>
    </row>
    <row r="241" spans="2:5">
      <c r="B241" s="91"/>
      <c r="C241" s="57" t="s">
        <v>174</v>
      </c>
      <c r="D241" s="60">
        <v>2</v>
      </c>
      <c r="E241" s="59">
        <v>0</v>
      </c>
    </row>
    <row r="242" spans="2:5">
      <c r="B242" s="91"/>
      <c r="C242" s="57" t="s">
        <v>180</v>
      </c>
      <c r="D242" s="60">
        <v>1</v>
      </c>
      <c r="E242" s="59">
        <v>0</v>
      </c>
    </row>
    <row r="243" spans="2:5">
      <c r="B243" s="91"/>
      <c r="C243" s="57" t="s">
        <v>183</v>
      </c>
      <c r="D243" s="60">
        <v>1</v>
      </c>
      <c r="E243" s="59">
        <v>0</v>
      </c>
    </row>
    <row r="244" spans="2:5">
      <c r="B244" s="91"/>
      <c r="C244" s="57" t="s">
        <v>185</v>
      </c>
      <c r="D244" s="60">
        <v>1</v>
      </c>
      <c r="E244" s="59">
        <v>0</v>
      </c>
    </row>
    <row r="245" spans="2:5">
      <c r="B245" s="91"/>
      <c r="C245" s="57" t="s">
        <v>192</v>
      </c>
      <c r="D245" s="60">
        <v>1</v>
      </c>
      <c r="E245" s="59">
        <v>0</v>
      </c>
    </row>
    <row r="246" spans="2:5">
      <c r="B246" s="91"/>
      <c r="C246" s="57" t="s">
        <v>178</v>
      </c>
      <c r="D246" s="60">
        <v>1</v>
      </c>
      <c r="E246" s="59">
        <v>0</v>
      </c>
    </row>
    <row r="247" spans="2:5">
      <c r="B247" s="92"/>
      <c r="C247" s="71" t="s">
        <v>302</v>
      </c>
      <c r="D247" s="69">
        <v>1827</v>
      </c>
      <c r="E247" s="72">
        <v>2.9000000000000001E-2</v>
      </c>
    </row>
    <row r="248" spans="2:5">
      <c r="B248" s="90" t="s">
        <v>128</v>
      </c>
      <c r="C248" s="57" t="s">
        <v>151</v>
      </c>
      <c r="D248" s="60">
        <v>217</v>
      </c>
      <c r="E248" s="59">
        <v>3.0000000000000001E-3</v>
      </c>
    </row>
    <row r="249" spans="2:5">
      <c r="B249" s="91"/>
      <c r="C249" s="57" t="s">
        <v>160</v>
      </c>
      <c r="D249" s="60">
        <v>128</v>
      </c>
      <c r="E249" s="59">
        <v>2E-3</v>
      </c>
    </row>
    <row r="250" spans="2:5">
      <c r="B250" s="91"/>
      <c r="C250" s="57" t="s">
        <v>176</v>
      </c>
      <c r="D250" s="60">
        <v>119</v>
      </c>
      <c r="E250" s="59">
        <v>2E-3</v>
      </c>
    </row>
    <row r="251" spans="2:5" ht="28.5">
      <c r="B251" s="91"/>
      <c r="C251" s="57" t="s">
        <v>154</v>
      </c>
      <c r="D251" s="60">
        <v>88</v>
      </c>
      <c r="E251" s="59">
        <v>1E-3</v>
      </c>
    </row>
    <row r="252" spans="2:5">
      <c r="B252" s="91"/>
      <c r="C252" s="57" t="s">
        <v>159</v>
      </c>
      <c r="D252" s="60">
        <v>78</v>
      </c>
      <c r="E252" s="59">
        <v>1E-3</v>
      </c>
    </row>
    <row r="253" spans="2:5">
      <c r="B253" s="91"/>
      <c r="C253" s="57" t="s">
        <v>150</v>
      </c>
      <c r="D253" s="60">
        <v>76</v>
      </c>
      <c r="E253" s="59">
        <v>1E-3</v>
      </c>
    </row>
    <row r="254" spans="2:5">
      <c r="B254" s="91"/>
      <c r="C254" s="57" t="s">
        <v>165</v>
      </c>
      <c r="D254" s="60">
        <v>76</v>
      </c>
      <c r="E254" s="59">
        <v>1E-3</v>
      </c>
    </row>
    <row r="255" spans="2:5">
      <c r="B255" s="91"/>
      <c r="C255" s="57" t="s">
        <v>168</v>
      </c>
      <c r="D255" s="60">
        <v>67</v>
      </c>
      <c r="E255" s="59">
        <v>1E-3</v>
      </c>
    </row>
    <row r="256" spans="2:5">
      <c r="B256" s="91"/>
      <c r="C256" s="57" t="s">
        <v>157</v>
      </c>
      <c r="D256" s="60">
        <v>58</v>
      </c>
      <c r="E256" s="59">
        <v>1E-3</v>
      </c>
    </row>
    <row r="257" spans="2:5">
      <c r="B257" s="91"/>
      <c r="C257" s="57" t="s">
        <v>148</v>
      </c>
      <c r="D257" s="60">
        <v>54</v>
      </c>
      <c r="E257" s="59">
        <v>1E-3</v>
      </c>
    </row>
    <row r="258" spans="2:5">
      <c r="B258" s="91"/>
      <c r="C258" s="57" t="s">
        <v>187</v>
      </c>
      <c r="D258" s="60">
        <v>53</v>
      </c>
      <c r="E258" s="59">
        <v>1E-3</v>
      </c>
    </row>
    <row r="259" spans="2:5">
      <c r="B259" s="91"/>
      <c r="C259" s="57" t="s">
        <v>152</v>
      </c>
      <c r="D259" s="60">
        <v>52</v>
      </c>
      <c r="E259" s="59">
        <v>1E-3</v>
      </c>
    </row>
    <row r="260" spans="2:5">
      <c r="B260" s="91"/>
      <c r="C260" s="57" t="s">
        <v>163</v>
      </c>
      <c r="D260" s="60">
        <v>52</v>
      </c>
      <c r="E260" s="59">
        <v>1E-3</v>
      </c>
    </row>
    <row r="261" spans="2:5">
      <c r="B261" s="91"/>
      <c r="C261" s="57" t="s">
        <v>171</v>
      </c>
      <c r="D261" s="60">
        <v>49</v>
      </c>
      <c r="E261" s="59">
        <v>1E-3</v>
      </c>
    </row>
    <row r="262" spans="2:5">
      <c r="B262" s="91"/>
      <c r="C262" s="57" t="s">
        <v>182</v>
      </c>
      <c r="D262" s="60">
        <v>43</v>
      </c>
      <c r="E262" s="59">
        <v>1E-3</v>
      </c>
    </row>
    <row r="263" spans="2:5">
      <c r="B263" s="91"/>
      <c r="C263" s="57" t="s">
        <v>172</v>
      </c>
      <c r="D263" s="60">
        <v>42</v>
      </c>
      <c r="E263" s="59">
        <v>1E-3</v>
      </c>
    </row>
    <row r="264" spans="2:5">
      <c r="B264" s="91"/>
      <c r="C264" s="57" t="s">
        <v>179</v>
      </c>
      <c r="D264" s="60">
        <v>42</v>
      </c>
      <c r="E264" s="59">
        <v>1E-3</v>
      </c>
    </row>
    <row r="265" spans="2:5">
      <c r="B265" s="91"/>
      <c r="C265" s="57" t="s">
        <v>161</v>
      </c>
      <c r="D265" s="60">
        <v>39</v>
      </c>
      <c r="E265" s="59">
        <v>1E-3</v>
      </c>
    </row>
    <row r="266" spans="2:5">
      <c r="B266" s="91"/>
      <c r="C266" s="57" t="s">
        <v>169</v>
      </c>
      <c r="D266" s="60">
        <v>35</v>
      </c>
      <c r="E266" s="59">
        <v>1E-3</v>
      </c>
    </row>
    <row r="267" spans="2:5">
      <c r="B267" s="91"/>
      <c r="C267" s="57" t="s">
        <v>156</v>
      </c>
      <c r="D267" s="60">
        <v>34</v>
      </c>
      <c r="E267" s="59">
        <v>1E-3</v>
      </c>
    </row>
    <row r="268" spans="2:5">
      <c r="B268" s="91"/>
      <c r="C268" s="57" t="s">
        <v>191</v>
      </c>
      <c r="D268" s="60">
        <v>34</v>
      </c>
      <c r="E268" s="59">
        <v>1E-3</v>
      </c>
    </row>
    <row r="269" spans="2:5">
      <c r="B269" s="91"/>
      <c r="C269" s="57" t="s">
        <v>149</v>
      </c>
      <c r="D269" s="60">
        <v>31</v>
      </c>
      <c r="E269" s="59">
        <v>0</v>
      </c>
    </row>
    <row r="270" spans="2:5">
      <c r="B270" s="91"/>
      <c r="C270" s="57" t="s">
        <v>166</v>
      </c>
      <c r="D270" s="60">
        <v>29</v>
      </c>
      <c r="E270" s="59">
        <v>0</v>
      </c>
    </row>
    <row r="271" spans="2:5">
      <c r="B271" s="91"/>
      <c r="C271" s="57" t="s">
        <v>177</v>
      </c>
      <c r="D271" s="60">
        <v>22</v>
      </c>
      <c r="E271" s="59">
        <v>0</v>
      </c>
    </row>
    <row r="272" spans="2:5">
      <c r="B272" s="91"/>
      <c r="C272" s="57" t="s">
        <v>189</v>
      </c>
      <c r="D272" s="60">
        <v>20</v>
      </c>
      <c r="E272" s="59">
        <v>0</v>
      </c>
    </row>
    <row r="273" spans="2:5">
      <c r="B273" s="91"/>
      <c r="C273" s="57" t="s">
        <v>155</v>
      </c>
      <c r="D273" s="60">
        <v>17</v>
      </c>
      <c r="E273" s="59">
        <v>0</v>
      </c>
    </row>
    <row r="274" spans="2:5">
      <c r="B274" s="91"/>
      <c r="C274" s="57" t="s">
        <v>186</v>
      </c>
      <c r="D274" s="60">
        <v>16</v>
      </c>
      <c r="E274" s="59">
        <v>0</v>
      </c>
    </row>
    <row r="275" spans="2:5">
      <c r="B275" s="91"/>
      <c r="C275" s="57" t="s">
        <v>158</v>
      </c>
      <c r="D275" s="60">
        <v>14</v>
      </c>
      <c r="E275" s="59">
        <v>0</v>
      </c>
    </row>
    <row r="276" spans="2:5">
      <c r="B276" s="91"/>
      <c r="C276" s="57" t="s">
        <v>170</v>
      </c>
      <c r="D276" s="60">
        <v>14</v>
      </c>
      <c r="E276" s="59">
        <v>0</v>
      </c>
    </row>
    <row r="277" spans="2:5">
      <c r="B277" s="91"/>
      <c r="C277" s="57" t="s">
        <v>147</v>
      </c>
      <c r="D277" s="60">
        <v>12</v>
      </c>
      <c r="E277" s="59">
        <v>0</v>
      </c>
    </row>
    <row r="278" spans="2:5">
      <c r="B278" s="91"/>
      <c r="C278" s="57" t="s">
        <v>185</v>
      </c>
      <c r="D278" s="60">
        <v>12</v>
      </c>
      <c r="E278" s="59">
        <v>0</v>
      </c>
    </row>
    <row r="279" spans="2:5">
      <c r="B279" s="91"/>
      <c r="C279" s="57" t="s">
        <v>167</v>
      </c>
      <c r="D279" s="60">
        <v>12</v>
      </c>
      <c r="E279" s="59">
        <v>0</v>
      </c>
    </row>
    <row r="280" spans="2:5">
      <c r="B280" s="91"/>
      <c r="C280" s="57" t="s">
        <v>153</v>
      </c>
      <c r="D280" s="60">
        <v>11</v>
      </c>
      <c r="E280" s="59">
        <v>0</v>
      </c>
    </row>
    <row r="281" spans="2:5" ht="27.95" customHeight="1">
      <c r="B281" s="91"/>
      <c r="C281" s="57" t="s">
        <v>175</v>
      </c>
      <c r="D281" s="60">
        <v>11</v>
      </c>
      <c r="E281" s="59">
        <v>0</v>
      </c>
    </row>
    <row r="282" spans="2:5">
      <c r="B282" s="91"/>
      <c r="C282" s="57" t="s">
        <v>178</v>
      </c>
      <c r="D282" s="60">
        <v>10</v>
      </c>
      <c r="E282" s="59">
        <v>0</v>
      </c>
    </row>
    <row r="283" spans="2:5">
      <c r="B283" s="91"/>
      <c r="C283" s="57" t="s">
        <v>180</v>
      </c>
      <c r="D283" s="60">
        <v>9</v>
      </c>
      <c r="E283" s="59">
        <v>0</v>
      </c>
    </row>
    <row r="284" spans="2:5">
      <c r="B284" s="91"/>
      <c r="C284" s="57" t="s">
        <v>183</v>
      </c>
      <c r="D284" s="60">
        <v>9</v>
      </c>
      <c r="E284" s="59">
        <v>0</v>
      </c>
    </row>
    <row r="285" spans="2:5">
      <c r="B285" s="91"/>
      <c r="C285" s="57" t="s">
        <v>174</v>
      </c>
      <c r="D285" s="60">
        <v>9</v>
      </c>
      <c r="E285" s="59">
        <v>0</v>
      </c>
    </row>
    <row r="286" spans="2:5">
      <c r="B286" s="91"/>
      <c r="C286" s="57" t="s">
        <v>173</v>
      </c>
      <c r="D286" s="60">
        <v>7</v>
      </c>
      <c r="E286" s="59">
        <v>0</v>
      </c>
    </row>
    <row r="287" spans="2:5">
      <c r="B287" s="91"/>
      <c r="C287" s="57" t="s">
        <v>291</v>
      </c>
      <c r="D287" s="60">
        <v>5</v>
      </c>
      <c r="E287" s="59">
        <v>0</v>
      </c>
    </row>
    <row r="288" spans="2:5">
      <c r="B288" s="91"/>
      <c r="C288" s="57" t="s">
        <v>190</v>
      </c>
      <c r="D288" s="60">
        <v>5</v>
      </c>
      <c r="E288" s="59">
        <v>0</v>
      </c>
    </row>
    <row r="289" spans="2:5">
      <c r="B289" s="91"/>
      <c r="C289" s="57" t="s">
        <v>181</v>
      </c>
      <c r="D289" s="60">
        <v>3</v>
      </c>
      <c r="E289" s="59">
        <v>0</v>
      </c>
    </row>
    <row r="290" spans="2:5">
      <c r="B290" s="91"/>
      <c r="C290" s="57" t="s">
        <v>184</v>
      </c>
      <c r="D290" s="60">
        <v>3</v>
      </c>
      <c r="E290" s="59">
        <v>0</v>
      </c>
    </row>
    <row r="291" spans="2:5">
      <c r="B291" s="91"/>
      <c r="C291" s="57" t="s">
        <v>162</v>
      </c>
      <c r="D291" s="60">
        <v>3</v>
      </c>
      <c r="E291" s="59">
        <v>0</v>
      </c>
    </row>
    <row r="292" spans="2:5">
      <c r="B292" s="91"/>
      <c r="C292" s="57" t="s">
        <v>164</v>
      </c>
      <c r="D292" s="60">
        <v>3</v>
      </c>
      <c r="E292" s="59">
        <v>0</v>
      </c>
    </row>
    <row r="293" spans="2:5">
      <c r="B293" s="91"/>
      <c r="C293" s="57" t="s">
        <v>192</v>
      </c>
      <c r="D293" s="60">
        <v>1</v>
      </c>
      <c r="E293" s="59">
        <v>0</v>
      </c>
    </row>
    <row r="294" spans="2:5">
      <c r="B294" s="92"/>
      <c r="C294" s="71" t="s">
        <v>302</v>
      </c>
      <c r="D294" s="69">
        <v>1724</v>
      </c>
      <c r="E294" s="72">
        <v>2.7E-2</v>
      </c>
    </row>
    <row r="295" spans="2:5">
      <c r="B295" s="90" t="s">
        <v>104</v>
      </c>
      <c r="C295" s="57" t="s">
        <v>151</v>
      </c>
      <c r="D295" s="60">
        <v>135</v>
      </c>
      <c r="E295" s="59">
        <v>2E-3</v>
      </c>
    </row>
    <row r="296" spans="2:5">
      <c r="B296" s="91"/>
      <c r="C296" s="57" t="s">
        <v>166</v>
      </c>
      <c r="D296" s="60">
        <v>130</v>
      </c>
      <c r="E296" s="59">
        <v>2E-3</v>
      </c>
    </row>
    <row r="297" spans="2:5">
      <c r="B297" s="91"/>
      <c r="C297" s="57" t="s">
        <v>165</v>
      </c>
      <c r="D297" s="60">
        <v>98</v>
      </c>
      <c r="E297" s="59">
        <v>2E-3</v>
      </c>
    </row>
    <row r="298" spans="2:5">
      <c r="B298" s="91"/>
      <c r="C298" s="57" t="s">
        <v>160</v>
      </c>
      <c r="D298" s="60">
        <v>92</v>
      </c>
      <c r="E298" s="59">
        <v>1E-3</v>
      </c>
    </row>
    <row r="299" spans="2:5">
      <c r="B299" s="91"/>
      <c r="C299" s="57" t="s">
        <v>159</v>
      </c>
      <c r="D299" s="60">
        <v>87</v>
      </c>
      <c r="E299" s="59">
        <v>1E-3</v>
      </c>
    </row>
    <row r="300" spans="2:5">
      <c r="B300" s="91"/>
      <c r="C300" s="57" t="s">
        <v>182</v>
      </c>
      <c r="D300" s="60">
        <v>76</v>
      </c>
      <c r="E300" s="59">
        <v>1E-3</v>
      </c>
    </row>
    <row r="301" spans="2:5">
      <c r="B301" s="91"/>
      <c r="C301" s="57" t="s">
        <v>157</v>
      </c>
      <c r="D301" s="60">
        <v>76</v>
      </c>
      <c r="E301" s="59">
        <v>1E-3</v>
      </c>
    </row>
    <row r="302" spans="2:5" ht="28.5">
      <c r="B302" s="91"/>
      <c r="C302" s="57" t="s">
        <v>154</v>
      </c>
      <c r="D302" s="60">
        <v>72</v>
      </c>
      <c r="E302" s="59">
        <v>1E-3</v>
      </c>
    </row>
    <row r="303" spans="2:5">
      <c r="B303" s="91"/>
      <c r="C303" s="57" t="s">
        <v>148</v>
      </c>
      <c r="D303" s="60">
        <v>69</v>
      </c>
      <c r="E303" s="59">
        <v>1E-3</v>
      </c>
    </row>
    <row r="304" spans="2:5">
      <c r="B304" s="91"/>
      <c r="C304" s="57" t="s">
        <v>149</v>
      </c>
      <c r="D304" s="60">
        <v>69</v>
      </c>
      <c r="E304" s="59">
        <v>1E-3</v>
      </c>
    </row>
    <row r="305" spans="2:5">
      <c r="B305" s="91"/>
      <c r="C305" s="57" t="s">
        <v>171</v>
      </c>
      <c r="D305" s="60">
        <v>68</v>
      </c>
      <c r="E305" s="59">
        <v>1E-3</v>
      </c>
    </row>
    <row r="306" spans="2:5">
      <c r="B306" s="91"/>
      <c r="C306" s="57" t="s">
        <v>187</v>
      </c>
      <c r="D306" s="60">
        <v>57</v>
      </c>
      <c r="E306" s="59">
        <v>1E-3</v>
      </c>
    </row>
    <row r="307" spans="2:5">
      <c r="B307" s="91"/>
      <c r="C307" s="57" t="s">
        <v>176</v>
      </c>
      <c r="D307" s="60">
        <v>53</v>
      </c>
      <c r="E307" s="59">
        <v>1E-3</v>
      </c>
    </row>
    <row r="308" spans="2:5">
      <c r="B308" s="91"/>
      <c r="C308" s="57" t="s">
        <v>155</v>
      </c>
      <c r="D308" s="60">
        <v>49</v>
      </c>
      <c r="E308" s="59">
        <v>1E-3</v>
      </c>
    </row>
    <row r="309" spans="2:5">
      <c r="B309" s="91"/>
      <c r="C309" s="57" t="s">
        <v>172</v>
      </c>
      <c r="D309" s="60">
        <v>49</v>
      </c>
      <c r="E309" s="59">
        <v>1E-3</v>
      </c>
    </row>
    <row r="310" spans="2:5">
      <c r="B310" s="91"/>
      <c r="C310" s="57" t="s">
        <v>158</v>
      </c>
      <c r="D310" s="60">
        <v>41</v>
      </c>
      <c r="E310" s="59">
        <v>1E-3</v>
      </c>
    </row>
    <row r="311" spans="2:5">
      <c r="B311" s="91"/>
      <c r="C311" s="57" t="s">
        <v>178</v>
      </c>
      <c r="D311" s="60">
        <v>39</v>
      </c>
      <c r="E311" s="59">
        <v>1E-3</v>
      </c>
    </row>
    <row r="312" spans="2:5">
      <c r="B312" s="91"/>
      <c r="C312" s="57" t="s">
        <v>169</v>
      </c>
      <c r="D312" s="60">
        <v>38</v>
      </c>
      <c r="E312" s="59">
        <v>1E-3</v>
      </c>
    </row>
    <row r="313" spans="2:5">
      <c r="B313" s="91"/>
      <c r="C313" s="57" t="s">
        <v>179</v>
      </c>
      <c r="D313" s="60">
        <v>36</v>
      </c>
      <c r="E313" s="59">
        <v>1E-3</v>
      </c>
    </row>
    <row r="314" spans="2:5">
      <c r="B314" s="91"/>
      <c r="C314" s="57" t="s">
        <v>190</v>
      </c>
      <c r="D314" s="60">
        <v>35</v>
      </c>
      <c r="E314" s="59">
        <v>1E-3</v>
      </c>
    </row>
    <row r="315" spans="2:5">
      <c r="B315" s="91"/>
      <c r="C315" s="57" t="s">
        <v>163</v>
      </c>
      <c r="D315" s="60">
        <v>30</v>
      </c>
      <c r="E315" s="59">
        <v>0</v>
      </c>
    </row>
    <row r="316" spans="2:5">
      <c r="B316" s="91"/>
      <c r="C316" s="57" t="s">
        <v>168</v>
      </c>
      <c r="D316" s="60">
        <v>30</v>
      </c>
      <c r="E316" s="59">
        <v>0</v>
      </c>
    </row>
    <row r="317" spans="2:5">
      <c r="B317" s="91"/>
      <c r="C317" s="57" t="s">
        <v>152</v>
      </c>
      <c r="D317" s="60">
        <v>26</v>
      </c>
      <c r="E317" s="59">
        <v>0</v>
      </c>
    </row>
    <row r="318" spans="2:5">
      <c r="B318" s="91"/>
      <c r="C318" s="57" t="s">
        <v>153</v>
      </c>
      <c r="D318" s="60">
        <v>24</v>
      </c>
      <c r="E318" s="59">
        <v>0</v>
      </c>
    </row>
    <row r="319" spans="2:5">
      <c r="B319" s="91"/>
      <c r="C319" s="57" t="s">
        <v>161</v>
      </c>
      <c r="D319" s="60">
        <v>21</v>
      </c>
      <c r="E319" s="59">
        <v>0</v>
      </c>
    </row>
    <row r="320" spans="2:5">
      <c r="B320" s="91"/>
      <c r="C320" s="57" t="s">
        <v>291</v>
      </c>
      <c r="D320" s="60">
        <v>18</v>
      </c>
      <c r="E320" s="59">
        <v>0</v>
      </c>
    </row>
    <row r="321" spans="2:5">
      <c r="B321" s="91"/>
      <c r="C321" s="57" t="s">
        <v>150</v>
      </c>
      <c r="D321" s="60">
        <v>17</v>
      </c>
      <c r="E321" s="59">
        <v>0</v>
      </c>
    </row>
    <row r="322" spans="2:5">
      <c r="B322" s="91"/>
      <c r="C322" s="57" t="s">
        <v>170</v>
      </c>
      <c r="D322" s="60">
        <v>15</v>
      </c>
      <c r="E322" s="59">
        <v>0</v>
      </c>
    </row>
    <row r="323" spans="2:5">
      <c r="B323" s="91"/>
      <c r="C323" s="57" t="s">
        <v>174</v>
      </c>
      <c r="D323" s="60">
        <v>15</v>
      </c>
      <c r="E323" s="59">
        <v>0</v>
      </c>
    </row>
    <row r="324" spans="2:5">
      <c r="B324" s="91"/>
      <c r="C324" s="57" t="s">
        <v>191</v>
      </c>
      <c r="D324" s="60">
        <v>15</v>
      </c>
      <c r="E324" s="59">
        <v>0</v>
      </c>
    </row>
    <row r="325" spans="2:5">
      <c r="B325" s="91"/>
      <c r="C325" s="57" t="s">
        <v>175</v>
      </c>
      <c r="D325" s="60">
        <v>14</v>
      </c>
      <c r="E325" s="59">
        <v>0</v>
      </c>
    </row>
    <row r="326" spans="2:5">
      <c r="B326" s="91"/>
      <c r="C326" s="57" t="s">
        <v>173</v>
      </c>
      <c r="D326" s="60">
        <v>11</v>
      </c>
      <c r="E326" s="59">
        <v>0</v>
      </c>
    </row>
    <row r="327" spans="2:5">
      <c r="B327" s="91"/>
      <c r="C327" s="57" t="s">
        <v>180</v>
      </c>
      <c r="D327" s="60">
        <v>10</v>
      </c>
      <c r="E327" s="59">
        <v>0</v>
      </c>
    </row>
    <row r="328" spans="2:5">
      <c r="B328" s="91"/>
      <c r="C328" s="57" t="s">
        <v>183</v>
      </c>
      <c r="D328" s="60">
        <v>9</v>
      </c>
      <c r="E328" s="59">
        <v>0</v>
      </c>
    </row>
    <row r="329" spans="2:5" ht="30.95" customHeight="1">
      <c r="B329" s="91"/>
      <c r="C329" s="57" t="s">
        <v>189</v>
      </c>
      <c r="D329" s="60">
        <v>9</v>
      </c>
      <c r="E329" s="59">
        <v>0</v>
      </c>
    </row>
    <row r="330" spans="2:5">
      <c r="B330" s="91"/>
      <c r="C330" s="57" t="s">
        <v>147</v>
      </c>
      <c r="D330" s="60">
        <v>8</v>
      </c>
      <c r="E330" s="59">
        <v>0</v>
      </c>
    </row>
    <row r="331" spans="2:5">
      <c r="B331" s="91"/>
      <c r="C331" s="57" t="s">
        <v>167</v>
      </c>
      <c r="D331" s="60">
        <v>8</v>
      </c>
      <c r="E331" s="59">
        <v>0</v>
      </c>
    </row>
    <row r="332" spans="2:5">
      <c r="B332" s="91"/>
      <c r="C332" s="57" t="s">
        <v>177</v>
      </c>
      <c r="D332" s="60">
        <v>8</v>
      </c>
      <c r="E332" s="59">
        <v>0</v>
      </c>
    </row>
    <row r="333" spans="2:5">
      <c r="B333" s="91"/>
      <c r="C333" s="57" t="s">
        <v>185</v>
      </c>
      <c r="D333" s="60">
        <v>4</v>
      </c>
      <c r="E333" s="59">
        <v>0</v>
      </c>
    </row>
    <row r="334" spans="2:5">
      <c r="B334" s="91"/>
      <c r="C334" s="57" t="s">
        <v>186</v>
      </c>
      <c r="D334" s="60">
        <v>4</v>
      </c>
      <c r="E334" s="59">
        <v>0</v>
      </c>
    </row>
    <row r="335" spans="2:5">
      <c r="B335" s="91"/>
      <c r="C335" s="57" t="s">
        <v>181</v>
      </c>
      <c r="D335" s="60">
        <v>3</v>
      </c>
      <c r="E335" s="59">
        <v>0</v>
      </c>
    </row>
    <row r="336" spans="2:5">
      <c r="B336" s="91"/>
      <c r="C336" s="57" t="s">
        <v>184</v>
      </c>
      <c r="D336" s="60">
        <v>3</v>
      </c>
      <c r="E336" s="59">
        <v>0</v>
      </c>
    </row>
    <row r="337" spans="2:5">
      <c r="B337" s="91"/>
      <c r="C337" s="57" t="s">
        <v>164</v>
      </c>
      <c r="D337" s="60">
        <v>3</v>
      </c>
      <c r="E337" s="59">
        <v>0</v>
      </c>
    </row>
    <row r="338" spans="2:5">
      <c r="B338" s="91"/>
      <c r="C338" s="57" t="s">
        <v>156</v>
      </c>
      <c r="D338" s="60">
        <v>2</v>
      </c>
      <c r="E338" s="59">
        <v>0</v>
      </c>
    </row>
    <row r="339" spans="2:5">
      <c r="B339" s="91"/>
      <c r="C339" s="57" t="s">
        <v>162</v>
      </c>
      <c r="D339" s="60">
        <v>2</v>
      </c>
      <c r="E339" s="59">
        <v>0</v>
      </c>
    </row>
    <row r="340" spans="2:5">
      <c r="B340" s="91"/>
      <c r="C340" s="57" t="s">
        <v>192</v>
      </c>
      <c r="D340" s="60">
        <v>2</v>
      </c>
      <c r="E340" s="59">
        <v>0</v>
      </c>
    </row>
    <row r="341" spans="2:5">
      <c r="B341" s="92"/>
      <c r="C341" s="71" t="s">
        <v>302</v>
      </c>
      <c r="D341" s="69">
        <v>1680</v>
      </c>
      <c r="E341" s="72">
        <v>2.5999999999999999E-2</v>
      </c>
    </row>
    <row r="342" spans="2:5">
      <c r="B342" s="90" t="s">
        <v>99</v>
      </c>
      <c r="C342" s="57" t="s">
        <v>157</v>
      </c>
      <c r="D342" s="60">
        <v>575</v>
      </c>
      <c r="E342" s="59">
        <v>8.9999999999999993E-3</v>
      </c>
    </row>
    <row r="343" spans="2:5">
      <c r="B343" s="91"/>
      <c r="C343" s="57" t="s">
        <v>160</v>
      </c>
      <c r="D343" s="60">
        <v>168</v>
      </c>
      <c r="E343" s="59">
        <v>3.0000000000000001E-3</v>
      </c>
    </row>
    <row r="344" spans="2:5">
      <c r="B344" s="91"/>
      <c r="C344" s="57" t="s">
        <v>174</v>
      </c>
      <c r="D344" s="60">
        <v>92</v>
      </c>
      <c r="E344" s="59">
        <v>1E-3</v>
      </c>
    </row>
    <row r="345" spans="2:5">
      <c r="B345" s="91"/>
      <c r="C345" s="57" t="s">
        <v>148</v>
      </c>
      <c r="D345" s="60">
        <v>85</v>
      </c>
      <c r="E345" s="59">
        <v>1E-3</v>
      </c>
    </row>
    <row r="346" spans="2:5">
      <c r="B346" s="91"/>
      <c r="C346" s="57" t="s">
        <v>168</v>
      </c>
      <c r="D346" s="60">
        <v>84</v>
      </c>
      <c r="E346" s="59">
        <v>1E-3</v>
      </c>
    </row>
    <row r="347" spans="2:5">
      <c r="B347" s="91"/>
      <c r="C347" s="57" t="s">
        <v>159</v>
      </c>
      <c r="D347" s="60">
        <v>75</v>
      </c>
      <c r="E347" s="59">
        <v>1E-3</v>
      </c>
    </row>
    <row r="348" spans="2:5">
      <c r="B348" s="91"/>
      <c r="C348" s="57" t="s">
        <v>163</v>
      </c>
      <c r="D348" s="60">
        <v>60</v>
      </c>
      <c r="E348" s="59">
        <v>1E-3</v>
      </c>
    </row>
    <row r="349" spans="2:5">
      <c r="B349" s="91"/>
      <c r="C349" s="57" t="s">
        <v>151</v>
      </c>
      <c r="D349" s="60">
        <v>57</v>
      </c>
      <c r="E349" s="59">
        <v>1E-3</v>
      </c>
    </row>
    <row r="350" spans="2:5">
      <c r="B350" s="91"/>
      <c r="C350" s="57" t="s">
        <v>178</v>
      </c>
      <c r="D350" s="60">
        <v>44</v>
      </c>
      <c r="E350" s="59">
        <v>1E-3</v>
      </c>
    </row>
    <row r="351" spans="2:5">
      <c r="B351" s="91"/>
      <c r="C351" s="57" t="s">
        <v>187</v>
      </c>
      <c r="D351" s="60">
        <v>32</v>
      </c>
      <c r="E351" s="59">
        <v>1E-3</v>
      </c>
    </row>
    <row r="352" spans="2:5">
      <c r="B352" s="91"/>
      <c r="C352" s="57" t="s">
        <v>152</v>
      </c>
      <c r="D352" s="60">
        <v>31</v>
      </c>
      <c r="E352" s="59">
        <v>0</v>
      </c>
    </row>
    <row r="353" spans="2:5">
      <c r="B353" s="91"/>
      <c r="C353" s="57" t="s">
        <v>176</v>
      </c>
      <c r="D353" s="60">
        <v>30</v>
      </c>
      <c r="E353" s="59">
        <v>0</v>
      </c>
    </row>
    <row r="354" spans="2:5">
      <c r="B354" s="91"/>
      <c r="C354" s="57" t="s">
        <v>171</v>
      </c>
      <c r="D354" s="60">
        <v>28</v>
      </c>
      <c r="E354" s="59">
        <v>0</v>
      </c>
    </row>
    <row r="355" spans="2:5">
      <c r="B355" s="91"/>
      <c r="C355" s="57" t="s">
        <v>172</v>
      </c>
      <c r="D355" s="60">
        <v>25</v>
      </c>
      <c r="E355" s="59">
        <v>0</v>
      </c>
    </row>
    <row r="356" spans="2:5" ht="28.5">
      <c r="B356" s="91"/>
      <c r="C356" s="57" t="s">
        <v>154</v>
      </c>
      <c r="D356" s="60">
        <v>23</v>
      </c>
      <c r="E356" s="59">
        <v>0</v>
      </c>
    </row>
    <row r="357" spans="2:5">
      <c r="B357" s="91"/>
      <c r="C357" s="57" t="s">
        <v>165</v>
      </c>
      <c r="D357" s="60">
        <v>14</v>
      </c>
      <c r="E357" s="59">
        <v>0</v>
      </c>
    </row>
    <row r="358" spans="2:5">
      <c r="B358" s="91"/>
      <c r="C358" s="57" t="s">
        <v>149</v>
      </c>
      <c r="D358" s="60">
        <v>13</v>
      </c>
      <c r="E358" s="59">
        <v>0</v>
      </c>
    </row>
    <row r="359" spans="2:5">
      <c r="B359" s="91"/>
      <c r="C359" s="57" t="s">
        <v>155</v>
      </c>
      <c r="D359" s="60">
        <v>12</v>
      </c>
      <c r="E359" s="59">
        <v>0</v>
      </c>
    </row>
    <row r="360" spans="2:5">
      <c r="B360" s="91"/>
      <c r="C360" s="57" t="s">
        <v>173</v>
      </c>
      <c r="D360" s="60">
        <v>11</v>
      </c>
      <c r="E360" s="59">
        <v>0</v>
      </c>
    </row>
    <row r="361" spans="2:5">
      <c r="B361" s="91"/>
      <c r="C361" s="57" t="s">
        <v>166</v>
      </c>
      <c r="D361" s="60">
        <v>10</v>
      </c>
      <c r="E361" s="59">
        <v>0</v>
      </c>
    </row>
    <row r="362" spans="2:5">
      <c r="B362" s="91"/>
      <c r="C362" s="57" t="s">
        <v>169</v>
      </c>
      <c r="D362" s="60">
        <v>10</v>
      </c>
      <c r="E362" s="59">
        <v>0</v>
      </c>
    </row>
    <row r="363" spans="2:5">
      <c r="B363" s="91"/>
      <c r="C363" s="57" t="s">
        <v>161</v>
      </c>
      <c r="D363" s="60">
        <v>9</v>
      </c>
      <c r="E363" s="59">
        <v>0</v>
      </c>
    </row>
    <row r="364" spans="2:5">
      <c r="B364" s="91"/>
      <c r="C364" s="57" t="s">
        <v>162</v>
      </c>
      <c r="D364" s="60">
        <v>8</v>
      </c>
      <c r="E364" s="59">
        <v>0</v>
      </c>
    </row>
    <row r="365" spans="2:5">
      <c r="B365" s="91"/>
      <c r="C365" s="57" t="s">
        <v>167</v>
      </c>
      <c r="D365" s="60">
        <v>7</v>
      </c>
      <c r="E365" s="59">
        <v>0</v>
      </c>
    </row>
    <row r="366" spans="2:5">
      <c r="B366" s="91"/>
      <c r="C366" s="57" t="s">
        <v>189</v>
      </c>
      <c r="D366" s="60">
        <v>7</v>
      </c>
      <c r="E366" s="59">
        <v>0</v>
      </c>
    </row>
    <row r="367" spans="2:5">
      <c r="B367" s="91"/>
      <c r="C367" s="57" t="s">
        <v>182</v>
      </c>
      <c r="D367" s="60">
        <v>6</v>
      </c>
      <c r="E367" s="59">
        <v>0</v>
      </c>
    </row>
    <row r="368" spans="2:5">
      <c r="B368" s="91"/>
      <c r="C368" s="57" t="s">
        <v>181</v>
      </c>
      <c r="D368" s="60">
        <v>5</v>
      </c>
      <c r="E368" s="59">
        <v>0</v>
      </c>
    </row>
    <row r="369" spans="2:5">
      <c r="B369" s="91"/>
      <c r="C369" s="57" t="s">
        <v>147</v>
      </c>
      <c r="D369" s="60">
        <v>4</v>
      </c>
      <c r="E369" s="59">
        <v>0</v>
      </c>
    </row>
    <row r="370" spans="2:5">
      <c r="B370" s="91"/>
      <c r="C370" s="57" t="s">
        <v>170</v>
      </c>
      <c r="D370" s="60">
        <v>4</v>
      </c>
      <c r="E370" s="59">
        <v>0</v>
      </c>
    </row>
    <row r="371" spans="2:5">
      <c r="B371" s="91"/>
      <c r="C371" s="57" t="s">
        <v>179</v>
      </c>
      <c r="D371" s="60">
        <v>4</v>
      </c>
      <c r="E371" s="59">
        <v>0</v>
      </c>
    </row>
    <row r="372" spans="2:5">
      <c r="B372" s="91"/>
      <c r="C372" s="57" t="s">
        <v>150</v>
      </c>
      <c r="D372" s="60">
        <v>3</v>
      </c>
      <c r="E372" s="59">
        <v>0</v>
      </c>
    </row>
    <row r="373" spans="2:5" ht="28.5" customHeight="1">
      <c r="B373" s="91"/>
      <c r="C373" s="57" t="s">
        <v>153</v>
      </c>
      <c r="D373" s="60">
        <v>3</v>
      </c>
      <c r="E373" s="59">
        <v>0</v>
      </c>
    </row>
    <row r="374" spans="2:5">
      <c r="B374" s="91"/>
      <c r="C374" s="57" t="s">
        <v>191</v>
      </c>
      <c r="D374" s="60">
        <v>3</v>
      </c>
      <c r="E374" s="59">
        <v>0</v>
      </c>
    </row>
    <row r="375" spans="2:5">
      <c r="B375" s="91"/>
      <c r="C375" s="57" t="s">
        <v>183</v>
      </c>
      <c r="D375" s="60">
        <v>2</v>
      </c>
      <c r="E375" s="59">
        <v>0</v>
      </c>
    </row>
    <row r="376" spans="2:5">
      <c r="B376" s="91"/>
      <c r="C376" s="57" t="s">
        <v>186</v>
      </c>
      <c r="D376" s="60">
        <v>2</v>
      </c>
      <c r="E376" s="59">
        <v>0</v>
      </c>
    </row>
    <row r="377" spans="2:5">
      <c r="B377" s="91"/>
      <c r="C377" s="57" t="s">
        <v>180</v>
      </c>
      <c r="D377" s="60">
        <v>1</v>
      </c>
      <c r="E377" s="59">
        <v>0</v>
      </c>
    </row>
    <row r="378" spans="2:5">
      <c r="B378" s="91"/>
      <c r="C378" s="57" t="s">
        <v>184</v>
      </c>
      <c r="D378" s="60">
        <v>1</v>
      </c>
      <c r="E378" s="59">
        <v>0</v>
      </c>
    </row>
    <row r="379" spans="2:5">
      <c r="B379" s="91"/>
      <c r="C379" s="57" t="s">
        <v>185</v>
      </c>
      <c r="D379" s="60">
        <v>1</v>
      </c>
      <c r="E379" s="59">
        <v>0</v>
      </c>
    </row>
    <row r="380" spans="2:5">
      <c r="B380" s="91"/>
      <c r="C380" s="57" t="s">
        <v>164</v>
      </c>
      <c r="D380" s="60">
        <v>1</v>
      </c>
      <c r="E380" s="59">
        <v>0</v>
      </c>
    </row>
    <row r="381" spans="2:5">
      <c r="B381" s="91"/>
      <c r="C381" s="57" t="s">
        <v>188</v>
      </c>
      <c r="D381" s="60">
        <v>1</v>
      </c>
      <c r="E381" s="59">
        <v>0</v>
      </c>
    </row>
    <row r="382" spans="2:5">
      <c r="B382" s="91"/>
      <c r="C382" s="57" t="s">
        <v>190</v>
      </c>
      <c r="D382" s="60">
        <v>1</v>
      </c>
      <c r="E382" s="59">
        <v>0</v>
      </c>
    </row>
    <row r="383" spans="2:5">
      <c r="B383" s="91"/>
      <c r="C383" s="57" t="s">
        <v>175</v>
      </c>
      <c r="D383" s="60">
        <v>1</v>
      </c>
      <c r="E383" s="59">
        <v>0</v>
      </c>
    </row>
    <row r="384" spans="2:5">
      <c r="B384" s="91"/>
      <c r="C384" s="57" t="s">
        <v>177</v>
      </c>
      <c r="D384" s="60">
        <v>1</v>
      </c>
      <c r="E384" s="59">
        <v>0</v>
      </c>
    </row>
    <row r="385" spans="2:5">
      <c r="B385" s="92"/>
      <c r="C385" s="71" t="s">
        <v>302</v>
      </c>
      <c r="D385" s="69">
        <v>1554</v>
      </c>
      <c r="E385" s="72">
        <v>2.4E-2</v>
      </c>
    </row>
    <row r="386" spans="2:5" ht="28.5">
      <c r="B386" s="90" t="s">
        <v>137</v>
      </c>
      <c r="C386" s="57" t="s">
        <v>154</v>
      </c>
      <c r="D386" s="60">
        <v>148</v>
      </c>
      <c r="E386" s="59">
        <v>2E-3</v>
      </c>
    </row>
    <row r="387" spans="2:5">
      <c r="B387" s="91"/>
      <c r="C387" s="57" t="s">
        <v>160</v>
      </c>
      <c r="D387" s="60">
        <v>134</v>
      </c>
      <c r="E387" s="59">
        <v>2E-3</v>
      </c>
    </row>
    <row r="388" spans="2:5">
      <c r="B388" s="91"/>
      <c r="C388" s="57" t="s">
        <v>171</v>
      </c>
      <c r="D388" s="60">
        <v>123</v>
      </c>
      <c r="E388" s="59">
        <v>2E-3</v>
      </c>
    </row>
    <row r="389" spans="2:5">
      <c r="B389" s="91"/>
      <c r="C389" s="57" t="s">
        <v>151</v>
      </c>
      <c r="D389" s="60">
        <v>94</v>
      </c>
      <c r="E389" s="59">
        <v>1E-3</v>
      </c>
    </row>
    <row r="390" spans="2:5">
      <c r="B390" s="91"/>
      <c r="C390" s="57" t="s">
        <v>168</v>
      </c>
      <c r="D390" s="60">
        <v>58</v>
      </c>
      <c r="E390" s="59">
        <v>1E-3</v>
      </c>
    </row>
    <row r="391" spans="2:5">
      <c r="B391" s="91"/>
      <c r="C391" s="57" t="s">
        <v>152</v>
      </c>
      <c r="D391" s="60">
        <v>53</v>
      </c>
      <c r="E391" s="59">
        <v>1E-3</v>
      </c>
    </row>
    <row r="392" spans="2:5">
      <c r="B392" s="91"/>
      <c r="C392" s="57" t="s">
        <v>159</v>
      </c>
      <c r="D392" s="60">
        <v>48</v>
      </c>
      <c r="E392" s="59">
        <v>1E-3</v>
      </c>
    </row>
    <row r="393" spans="2:5">
      <c r="B393" s="91"/>
      <c r="C393" s="57" t="s">
        <v>155</v>
      </c>
      <c r="D393" s="60">
        <v>46</v>
      </c>
      <c r="E393" s="59">
        <v>1E-3</v>
      </c>
    </row>
    <row r="394" spans="2:5">
      <c r="B394" s="91"/>
      <c r="C394" s="57" t="s">
        <v>170</v>
      </c>
      <c r="D394" s="60">
        <v>41</v>
      </c>
      <c r="E394" s="59">
        <v>1E-3</v>
      </c>
    </row>
    <row r="395" spans="2:5">
      <c r="B395" s="91"/>
      <c r="C395" s="57" t="s">
        <v>148</v>
      </c>
      <c r="D395" s="60">
        <v>37</v>
      </c>
      <c r="E395" s="59">
        <v>1E-3</v>
      </c>
    </row>
    <row r="396" spans="2:5">
      <c r="B396" s="91"/>
      <c r="C396" s="57" t="s">
        <v>157</v>
      </c>
      <c r="D396" s="60">
        <v>36</v>
      </c>
      <c r="E396" s="59">
        <v>1E-3</v>
      </c>
    </row>
    <row r="397" spans="2:5">
      <c r="B397" s="91"/>
      <c r="C397" s="57" t="s">
        <v>177</v>
      </c>
      <c r="D397" s="60">
        <v>36</v>
      </c>
      <c r="E397" s="59">
        <v>1E-3</v>
      </c>
    </row>
    <row r="398" spans="2:5">
      <c r="B398" s="91"/>
      <c r="C398" s="57" t="s">
        <v>169</v>
      </c>
      <c r="D398" s="60">
        <v>35</v>
      </c>
      <c r="E398" s="59">
        <v>1E-3</v>
      </c>
    </row>
    <row r="399" spans="2:5">
      <c r="B399" s="91"/>
      <c r="C399" s="57" t="s">
        <v>149</v>
      </c>
      <c r="D399" s="60">
        <v>34</v>
      </c>
      <c r="E399" s="59">
        <v>1E-3</v>
      </c>
    </row>
    <row r="400" spans="2:5">
      <c r="B400" s="91"/>
      <c r="C400" s="57" t="s">
        <v>179</v>
      </c>
      <c r="D400" s="60">
        <v>34</v>
      </c>
      <c r="E400" s="59">
        <v>1E-3</v>
      </c>
    </row>
    <row r="401" spans="2:5">
      <c r="B401" s="91"/>
      <c r="C401" s="57" t="s">
        <v>165</v>
      </c>
      <c r="D401" s="60">
        <v>30</v>
      </c>
      <c r="E401" s="59">
        <v>0</v>
      </c>
    </row>
    <row r="402" spans="2:5">
      <c r="B402" s="91"/>
      <c r="C402" s="57" t="s">
        <v>183</v>
      </c>
      <c r="D402" s="60">
        <v>27</v>
      </c>
      <c r="E402" s="59">
        <v>0</v>
      </c>
    </row>
    <row r="403" spans="2:5">
      <c r="B403" s="91"/>
      <c r="C403" s="57" t="s">
        <v>172</v>
      </c>
      <c r="D403" s="60">
        <v>27</v>
      </c>
      <c r="E403" s="59">
        <v>0</v>
      </c>
    </row>
    <row r="404" spans="2:5">
      <c r="B404" s="91"/>
      <c r="C404" s="57" t="s">
        <v>150</v>
      </c>
      <c r="D404" s="60">
        <v>20</v>
      </c>
      <c r="E404" s="59">
        <v>0</v>
      </c>
    </row>
    <row r="405" spans="2:5">
      <c r="B405" s="91"/>
      <c r="C405" s="57" t="s">
        <v>161</v>
      </c>
      <c r="D405" s="60">
        <v>20</v>
      </c>
      <c r="E405" s="59">
        <v>0</v>
      </c>
    </row>
    <row r="406" spans="2:5">
      <c r="B406" s="91"/>
      <c r="C406" s="57" t="s">
        <v>176</v>
      </c>
      <c r="D406" s="60">
        <v>20</v>
      </c>
      <c r="E406" s="59">
        <v>0</v>
      </c>
    </row>
    <row r="407" spans="2:5">
      <c r="B407" s="91"/>
      <c r="C407" s="57" t="s">
        <v>187</v>
      </c>
      <c r="D407" s="60">
        <v>18</v>
      </c>
      <c r="E407" s="59">
        <v>0</v>
      </c>
    </row>
    <row r="408" spans="2:5">
      <c r="B408" s="91"/>
      <c r="C408" s="57" t="s">
        <v>163</v>
      </c>
      <c r="D408" s="60">
        <v>17</v>
      </c>
      <c r="E408" s="59">
        <v>0</v>
      </c>
    </row>
    <row r="409" spans="2:5">
      <c r="B409" s="91"/>
      <c r="C409" s="57" t="s">
        <v>182</v>
      </c>
      <c r="D409" s="60">
        <v>16</v>
      </c>
      <c r="E409" s="59">
        <v>0</v>
      </c>
    </row>
    <row r="410" spans="2:5">
      <c r="B410" s="91"/>
      <c r="C410" s="57" t="s">
        <v>166</v>
      </c>
      <c r="D410" s="60">
        <v>13</v>
      </c>
      <c r="E410" s="59">
        <v>0</v>
      </c>
    </row>
    <row r="411" spans="2:5">
      <c r="B411" s="91"/>
      <c r="C411" s="57" t="s">
        <v>175</v>
      </c>
      <c r="D411" s="60">
        <v>10</v>
      </c>
      <c r="E411" s="59">
        <v>0</v>
      </c>
    </row>
    <row r="412" spans="2:5">
      <c r="B412" s="91"/>
      <c r="C412" s="57" t="s">
        <v>147</v>
      </c>
      <c r="D412" s="60">
        <v>9</v>
      </c>
      <c r="E412" s="59">
        <v>0</v>
      </c>
    </row>
    <row r="413" spans="2:5">
      <c r="B413" s="91"/>
      <c r="C413" s="57" t="s">
        <v>189</v>
      </c>
      <c r="D413" s="60">
        <v>9</v>
      </c>
      <c r="E413" s="59">
        <v>0</v>
      </c>
    </row>
    <row r="414" spans="2:5" ht="28.5" customHeight="1">
      <c r="B414" s="91"/>
      <c r="C414" s="57" t="s">
        <v>190</v>
      </c>
      <c r="D414" s="60">
        <v>8</v>
      </c>
      <c r="E414" s="59">
        <v>0</v>
      </c>
    </row>
    <row r="415" spans="2:5">
      <c r="B415" s="91"/>
      <c r="C415" s="57" t="s">
        <v>178</v>
      </c>
      <c r="D415" s="60">
        <v>8</v>
      </c>
      <c r="E415" s="59">
        <v>0</v>
      </c>
    </row>
    <row r="416" spans="2:5">
      <c r="B416" s="91"/>
      <c r="C416" s="57" t="s">
        <v>184</v>
      </c>
      <c r="D416" s="60">
        <v>6</v>
      </c>
      <c r="E416" s="59">
        <v>0</v>
      </c>
    </row>
    <row r="417" spans="2:5">
      <c r="B417" s="91"/>
      <c r="C417" s="57" t="s">
        <v>158</v>
      </c>
      <c r="D417" s="60">
        <v>5</v>
      </c>
      <c r="E417" s="59">
        <v>0</v>
      </c>
    </row>
    <row r="418" spans="2:5">
      <c r="B418" s="91"/>
      <c r="C418" s="57" t="s">
        <v>173</v>
      </c>
      <c r="D418" s="60">
        <v>5</v>
      </c>
      <c r="E418" s="59">
        <v>0</v>
      </c>
    </row>
    <row r="419" spans="2:5">
      <c r="B419" s="91"/>
      <c r="C419" s="57" t="s">
        <v>186</v>
      </c>
      <c r="D419" s="60">
        <v>4</v>
      </c>
      <c r="E419" s="59">
        <v>0</v>
      </c>
    </row>
    <row r="420" spans="2:5">
      <c r="B420" s="91"/>
      <c r="C420" s="57" t="s">
        <v>167</v>
      </c>
      <c r="D420" s="60">
        <v>4</v>
      </c>
      <c r="E420" s="59">
        <v>0</v>
      </c>
    </row>
    <row r="421" spans="2:5">
      <c r="B421" s="91"/>
      <c r="C421" s="57" t="s">
        <v>191</v>
      </c>
      <c r="D421" s="60">
        <v>4</v>
      </c>
      <c r="E421" s="59">
        <v>0</v>
      </c>
    </row>
    <row r="422" spans="2:5">
      <c r="B422" s="91"/>
      <c r="C422" s="57" t="s">
        <v>180</v>
      </c>
      <c r="D422" s="60">
        <v>3</v>
      </c>
      <c r="E422" s="59">
        <v>0</v>
      </c>
    </row>
    <row r="423" spans="2:5">
      <c r="B423" s="91"/>
      <c r="C423" s="57" t="s">
        <v>291</v>
      </c>
      <c r="D423" s="60">
        <v>3</v>
      </c>
      <c r="E423" s="59">
        <v>0</v>
      </c>
    </row>
    <row r="424" spans="2:5">
      <c r="B424" s="91"/>
      <c r="C424" s="57" t="s">
        <v>153</v>
      </c>
      <c r="D424" s="60">
        <v>2</v>
      </c>
      <c r="E424" s="59">
        <v>0</v>
      </c>
    </row>
    <row r="425" spans="2:5">
      <c r="B425" s="91"/>
      <c r="C425" s="57" t="s">
        <v>156</v>
      </c>
      <c r="D425" s="60">
        <v>2</v>
      </c>
      <c r="E425" s="59">
        <v>0</v>
      </c>
    </row>
    <row r="426" spans="2:5">
      <c r="B426" s="91"/>
      <c r="C426" s="57" t="s">
        <v>164</v>
      </c>
      <c r="D426" s="60">
        <v>2</v>
      </c>
      <c r="E426" s="59">
        <v>0</v>
      </c>
    </row>
    <row r="427" spans="2:5">
      <c r="B427" s="91"/>
      <c r="C427" s="57" t="s">
        <v>162</v>
      </c>
      <c r="D427" s="60">
        <v>1</v>
      </c>
      <c r="E427" s="59">
        <v>0</v>
      </c>
    </row>
    <row r="428" spans="2:5">
      <c r="B428" s="91"/>
      <c r="C428" s="57" t="s">
        <v>185</v>
      </c>
      <c r="D428" s="60">
        <v>1</v>
      </c>
      <c r="E428" s="59">
        <v>0</v>
      </c>
    </row>
    <row r="429" spans="2:5">
      <c r="B429" s="91"/>
      <c r="C429" s="57" t="s">
        <v>174</v>
      </c>
      <c r="D429" s="60">
        <v>1</v>
      </c>
      <c r="E429" s="59">
        <v>0</v>
      </c>
    </row>
    <row r="430" spans="2:5">
      <c r="B430" s="92"/>
      <c r="C430" s="71" t="s">
        <v>302</v>
      </c>
      <c r="D430" s="69">
        <v>1252</v>
      </c>
      <c r="E430" s="72">
        <v>0.02</v>
      </c>
    </row>
    <row r="431" spans="2:5">
      <c r="B431" s="90" t="s">
        <v>101</v>
      </c>
      <c r="C431" s="57" t="s">
        <v>176</v>
      </c>
      <c r="D431" s="60">
        <v>125</v>
      </c>
      <c r="E431" s="59">
        <v>2E-3</v>
      </c>
    </row>
    <row r="432" spans="2:5">
      <c r="B432" s="91"/>
      <c r="C432" s="57" t="s">
        <v>160</v>
      </c>
      <c r="D432" s="60">
        <v>119</v>
      </c>
      <c r="E432" s="59">
        <v>2E-3</v>
      </c>
    </row>
    <row r="433" spans="2:5">
      <c r="B433" s="91"/>
      <c r="C433" s="57" t="s">
        <v>157</v>
      </c>
      <c r="D433" s="60">
        <v>101</v>
      </c>
      <c r="E433" s="59">
        <v>2E-3</v>
      </c>
    </row>
    <row r="434" spans="2:5">
      <c r="B434" s="91"/>
      <c r="C434" s="57" t="s">
        <v>165</v>
      </c>
      <c r="D434" s="60">
        <v>75</v>
      </c>
      <c r="E434" s="59">
        <v>1E-3</v>
      </c>
    </row>
    <row r="435" spans="2:5">
      <c r="B435" s="91"/>
      <c r="C435" s="57" t="s">
        <v>164</v>
      </c>
      <c r="D435" s="60">
        <v>65</v>
      </c>
      <c r="E435" s="59">
        <v>1E-3</v>
      </c>
    </row>
    <row r="436" spans="2:5">
      <c r="B436" s="91"/>
      <c r="C436" s="57" t="s">
        <v>159</v>
      </c>
      <c r="D436" s="60">
        <v>37</v>
      </c>
      <c r="E436" s="59">
        <v>1E-3</v>
      </c>
    </row>
    <row r="437" spans="2:5">
      <c r="B437" s="91"/>
      <c r="C437" s="57" t="s">
        <v>171</v>
      </c>
      <c r="D437" s="60">
        <v>30</v>
      </c>
      <c r="E437" s="59">
        <v>0</v>
      </c>
    </row>
    <row r="438" spans="2:5">
      <c r="B438" s="91"/>
      <c r="C438" s="57" t="s">
        <v>291</v>
      </c>
      <c r="D438" s="60">
        <v>29</v>
      </c>
      <c r="E438" s="59">
        <v>0</v>
      </c>
    </row>
    <row r="439" spans="2:5">
      <c r="B439" s="91"/>
      <c r="C439" s="57" t="s">
        <v>155</v>
      </c>
      <c r="D439" s="60">
        <v>28</v>
      </c>
      <c r="E439" s="59">
        <v>0</v>
      </c>
    </row>
    <row r="440" spans="2:5" ht="28.5">
      <c r="B440" s="91"/>
      <c r="C440" s="57" t="s">
        <v>154</v>
      </c>
      <c r="D440" s="60">
        <v>27</v>
      </c>
      <c r="E440" s="59">
        <v>0</v>
      </c>
    </row>
    <row r="441" spans="2:5">
      <c r="B441" s="91"/>
      <c r="C441" s="57" t="s">
        <v>153</v>
      </c>
      <c r="D441" s="60">
        <v>25</v>
      </c>
      <c r="E441" s="59">
        <v>0</v>
      </c>
    </row>
    <row r="442" spans="2:5">
      <c r="B442" s="91"/>
      <c r="C442" s="57" t="s">
        <v>169</v>
      </c>
      <c r="D442" s="60">
        <v>24</v>
      </c>
      <c r="E442" s="59">
        <v>0</v>
      </c>
    </row>
    <row r="443" spans="2:5">
      <c r="B443" s="91"/>
      <c r="C443" s="57" t="s">
        <v>161</v>
      </c>
      <c r="D443" s="60">
        <v>23</v>
      </c>
      <c r="E443" s="59">
        <v>0</v>
      </c>
    </row>
    <row r="444" spans="2:5">
      <c r="B444" s="91"/>
      <c r="C444" s="57" t="s">
        <v>172</v>
      </c>
      <c r="D444" s="60">
        <v>23</v>
      </c>
      <c r="E444" s="59">
        <v>0</v>
      </c>
    </row>
    <row r="445" spans="2:5">
      <c r="B445" s="91"/>
      <c r="C445" s="57" t="s">
        <v>187</v>
      </c>
      <c r="D445" s="60">
        <v>23</v>
      </c>
      <c r="E445" s="59">
        <v>0</v>
      </c>
    </row>
    <row r="446" spans="2:5">
      <c r="B446" s="91"/>
      <c r="C446" s="57" t="s">
        <v>151</v>
      </c>
      <c r="D446" s="60">
        <v>19</v>
      </c>
      <c r="E446" s="59">
        <v>0</v>
      </c>
    </row>
    <row r="447" spans="2:5">
      <c r="B447" s="91"/>
      <c r="C447" s="57" t="s">
        <v>148</v>
      </c>
      <c r="D447" s="60">
        <v>17</v>
      </c>
      <c r="E447" s="59">
        <v>0</v>
      </c>
    </row>
    <row r="448" spans="2:5">
      <c r="B448" s="91"/>
      <c r="C448" s="57" t="s">
        <v>173</v>
      </c>
      <c r="D448" s="60">
        <v>17</v>
      </c>
      <c r="E448" s="59">
        <v>0</v>
      </c>
    </row>
    <row r="449" spans="2:5">
      <c r="B449" s="91"/>
      <c r="C449" s="57" t="s">
        <v>163</v>
      </c>
      <c r="D449" s="60">
        <v>16</v>
      </c>
      <c r="E449" s="59">
        <v>0</v>
      </c>
    </row>
    <row r="450" spans="2:5">
      <c r="B450" s="91"/>
      <c r="C450" s="57" t="s">
        <v>147</v>
      </c>
      <c r="D450" s="60">
        <v>11</v>
      </c>
      <c r="E450" s="59">
        <v>0</v>
      </c>
    </row>
    <row r="451" spans="2:5">
      <c r="B451" s="91"/>
      <c r="C451" s="57" t="s">
        <v>191</v>
      </c>
      <c r="D451" s="60">
        <v>11</v>
      </c>
      <c r="E451" s="59">
        <v>0</v>
      </c>
    </row>
    <row r="452" spans="2:5">
      <c r="B452" s="91"/>
      <c r="C452" s="57" t="s">
        <v>179</v>
      </c>
      <c r="D452" s="60">
        <v>11</v>
      </c>
      <c r="E452" s="59">
        <v>0</v>
      </c>
    </row>
    <row r="453" spans="2:5">
      <c r="B453" s="91"/>
      <c r="C453" s="57" t="s">
        <v>158</v>
      </c>
      <c r="D453" s="60">
        <v>8</v>
      </c>
      <c r="E453" s="59">
        <v>0</v>
      </c>
    </row>
    <row r="454" spans="2:5">
      <c r="B454" s="91"/>
      <c r="C454" s="57" t="s">
        <v>166</v>
      </c>
      <c r="D454" s="60">
        <v>8</v>
      </c>
      <c r="E454" s="59">
        <v>0</v>
      </c>
    </row>
    <row r="455" spans="2:5">
      <c r="B455" s="91"/>
      <c r="C455" s="57" t="s">
        <v>168</v>
      </c>
      <c r="D455" s="60">
        <v>8</v>
      </c>
      <c r="E455" s="59">
        <v>0</v>
      </c>
    </row>
    <row r="456" spans="2:5">
      <c r="B456" s="91"/>
      <c r="C456" s="57" t="s">
        <v>170</v>
      </c>
      <c r="D456" s="60">
        <v>8</v>
      </c>
      <c r="E456" s="59">
        <v>0</v>
      </c>
    </row>
    <row r="457" spans="2:5">
      <c r="B457" s="91"/>
      <c r="C457" s="57" t="s">
        <v>186</v>
      </c>
      <c r="D457" s="60">
        <v>6</v>
      </c>
      <c r="E457" s="59">
        <v>0</v>
      </c>
    </row>
    <row r="458" spans="2:5">
      <c r="B458" s="91"/>
      <c r="C458" s="57" t="s">
        <v>178</v>
      </c>
      <c r="D458" s="60">
        <v>5</v>
      </c>
      <c r="E458" s="59">
        <v>0</v>
      </c>
    </row>
    <row r="459" spans="2:5">
      <c r="B459" s="91"/>
      <c r="C459" s="57" t="s">
        <v>149</v>
      </c>
      <c r="D459" s="60">
        <v>4</v>
      </c>
      <c r="E459" s="59">
        <v>0</v>
      </c>
    </row>
    <row r="460" spans="2:5">
      <c r="B460" s="91"/>
      <c r="C460" s="57" t="s">
        <v>152</v>
      </c>
      <c r="D460" s="60">
        <v>4</v>
      </c>
      <c r="E460" s="59">
        <v>0</v>
      </c>
    </row>
    <row r="461" spans="2:5">
      <c r="B461" s="91"/>
      <c r="C461" s="57" t="s">
        <v>181</v>
      </c>
      <c r="D461" s="60">
        <v>4</v>
      </c>
      <c r="E461" s="59">
        <v>0</v>
      </c>
    </row>
    <row r="462" spans="2:5">
      <c r="B462" s="91"/>
      <c r="C462" s="57" t="s">
        <v>150</v>
      </c>
      <c r="D462" s="60">
        <v>3</v>
      </c>
      <c r="E462" s="59">
        <v>0</v>
      </c>
    </row>
    <row r="463" spans="2:5">
      <c r="B463" s="91"/>
      <c r="C463" s="57" t="s">
        <v>184</v>
      </c>
      <c r="D463" s="60">
        <v>3</v>
      </c>
      <c r="E463" s="59">
        <v>0</v>
      </c>
    </row>
    <row r="464" spans="2:5">
      <c r="B464" s="91"/>
      <c r="C464" s="57" t="s">
        <v>162</v>
      </c>
      <c r="D464" s="60">
        <v>3</v>
      </c>
      <c r="E464" s="59">
        <v>0</v>
      </c>
    </row>
    <row r="465" spans="2:5">
      <c r="B465" s="91"/>
      <c r="C465" s="57" t="s">
        <v>174</v>
      </c>
      <c r="D465" s="60">
        <v>3</v>
      </c>
      <c r="E465" s="59">
        <v>0</v>
      </c>
    </row>
    <row r="466" spans="2:5">
      <c r="B466" s="91"/>
      <c r="C466" s="57" t="s">
        <v>175</v>
      </c>
      <c r="D466" s="60">
        <v>3</v>
      </c>
      <c r="E466" s="59">
        <v>0</v>
      </c>
    </row>
    <row r="467" spans="2:5">
      <c r="B467" s="91"/>
      <c r="C467" s="57" t="s">
        <v>180</v>
      </c>
      <c r="D467" s="60">
        <v>2</v>
      </c>
      <c r="E467" s="59">
        <v>0</v>
      </c>
    </row>
    <row r="468" spans="2:5">
      <c r="B468" s="91"/>
      <c r="C468" s="57" t="s">
        <v>183</v>
      </c>
      <c r="D468" s="60">
        <v>2</v>
      </c>
      <c r="E468" s="59">
        <v>0</v>
      </c>
    </row>
    <row r="469" spans="2:5">
      <c r="B469" s="91"/>
      <c r="C469" s="57" t="s">
        <v>167</v>
      </c>
      <c r="D469" s="60">
        <v>2</v>
      </c>
      <c r="E469" s="59">
        <v>0</v>
      </c>
    </row>
    <row r="470" spans="2:5">
      <c r="B470" s="91"/>
      <c r="C470" s="57" t="s">
        <v>189</v>
      </c>
      <c r="D470" s="60">
        <v>2</v>
      </c>
      <c r="E470" s="59">
        <v>0</v>
      </c>
    </row>
    <row r="471" spans="2:5">
      <c r="B471" s="91"/>
      <c r="C471" s="57" t="s">
        <v>182</v>
      </c>
      <c r="D471" s="60">
        <v>1</v>
      </c>
      <c r="E471" s="59">
        <v>0</v>
      </c>
    </row>
    <row r="472" spans="2:5">
      <c r="B472" s="91"/>
      <c r="C472" s="57" t="s">
        <v>188</v>
      </c>
      <c r="D472" s="60">
        <v>1</v>
      </c>
      <c r="E472" s="59">
        <v>0</v>
      </c>
    </row>
    <row r="473" spans="2:5">
      <c r="B473" s="91"/>
      <c r="C473" s="57" t="s">
        <v>190</v>
      </c>
      <c r="D473" s="60">
        <v>1</v>
      </c>
      <c r="E473" s="59">
        <v>0</v>
      </c>
    </row>
    <row r="474" spans="2:5">
      <c r="B474" s="91"/>
      <c r="C474" s="57" t="s">
        <v>177</v>
      </c>
      <c r="D474" s="60">
        <v>1</v>
      </c>
      <c r="E474" s="59">
        <v>0</v>
      </c>
    </row>
    <row r="475" spans="2:5">
      <c r="B475" s="92"/>
      <c r="C475" s="71" t="s">
        <v>302</v>
      </c>
      <c r="D475" s="69">
        <v>938</v>
      </c>
      <c r="E475" s="72">
        <v>1.4999999999999999E-2</v>
      </c>
    </row>
    <row r="476" spans="2:5">
      <c r="B476" s="90" t="s">
        <v>143</v>
      </c>
      <c r="C476" s="57" t="s">
        <v>160</v>
      </c>
      <c r="D476" s="60">
        <v>303</v>
      </c>
      <c r="E476" s="59">
        <v>5.0000000000000001E-3</v>
      </c>
    </row>
    <row r="477" spans="2:5">
      <c r="B477" s="91"/>
      <c r="C477" s="57" t="s">
        <v>182</v>
      </c>
      <c r="D477" s="60">
        <v>61</v>
      </c>
      <c r="E477" s="59">
        <v>1E-3</v>
      </c>
    </row>
    <row r="478" spans="2:5">
      <c r="B478" s="91"/>
      <c r="C478" s="57" t="s">
        <v>148</v>
      </c>
      <c r="D478" s="60">
        <v>59</v>
      </c>
      <c r="E478" s="59">
        <v>1E-3</v>
      </c>
    </row>
    <row r="479" spans="2:5">
      <c r="B479" s="91"/>
      <c r="C479" s="57" t="s">
        <v>151</v>
      </c>
      <c r="D479" s="60">
        <v>49</v>
      </c>
      <c r="E479" s="59">
        <v>1E-3</v>
      </c>
    </row>
    <row r="480" spans="2:5">
      <c r="B480" s="91"/>
      <c r="C480" s="57" t="s">
        <v>158</v>
      </c>
      <c r="D480" s="60">
        <v>38</v>
      </c>
      <c r="E480" s="59">
        <v>1E-3</v>
      </c>
    </row>
    <row r="481" spans="2:5">
      <c r="B481" s="91"/>
      <c r="C481" s="57" t="s">
        <v>161</v>
      </c>
      <c r="D481" s="60">
        <v>35</v>
      </c>
      <c r="E481" s="59">
        <v>1E-3</v>
      </c>
    </row>
    <row r="482" spans="2:5">
      <c r="B482" s="91"/>
      <c r="C482" s="57" t="s">
        <v>169</v>
      </c>
      <c r="D482" s="60">
        <v>30</v>
      </c>
      <c r="E482" s="59">
        <v>0</v>
      </c>
    </row>
    <row r="483" spans="2:5">
      <c r="B483" s="91"/>
      <c r="C483" s="57" t="s">
        <v>155</v>
      </c>
      <c r="D483" s="60">
        <v>28</v>
      </c>
      <c r="E483" s="59">
        <v>0</v>
      </c>
    </row>
    <row r="484" spans="2:5">
      <c r="B484" s="91"/>
      <c r="C484" s="57" t="s">
        <v>291</v>
      </c>
      <c r="D484" s="60">
        <v>21</v>
      </c>
      <c r="E484" s="59">
        <v>0</v>
      </c>
    </row>
    <row r="485" spans="2:5">
      <c r="B485" s="91"/>
      <c r="C485" s="57" t="s">
        <v>162</v>
      </c>
      <c r="D485" s="60">
        <v>21</v>
      </c>
      <c r="E485" s="59">
        <v>0</v>
      </c>
    </row>
    <row r="486" spans="2:5">
      <c r="B486" s="91"/>
      <c r="C486" s="57" t="s">
        <v>166</v>
      </c>
      <c r="D486" s="60">
        <v>21</v>
      </c>
      <c r="E486" s="59">
        <v>0</v>
      </c>
    </row>
    <row r="487" spans="2:5">
      <c r="B487" s="91"/>
      <c r="C487" s="57" t="s">
        <v>173</v>
      </c>
      <c r="D487" s="60">
        <v>19</v>
      </c>
      <c r="E487" s="59">
        <v>0</v>
      </c>
    </row>
    <row r="488" spans="2:5">
      <c r="B488" s="91"/>
      <c r="C488" s="57" t="s">
        <v>163</v>
      </c>
      <c r="D488" s="60">
        <v>18</v>
      </c>
      <c r="E488" s="59">
        <v>0</v>
      </c>
    </row>
    <row r="489" spans="2:5">
      <c r="B489" s="91"/>
      <c r="C489" s="57" t="s">
        <v>164</v>
      </c>
      <c r="D489" s="60">
        <v>18</v>
      </c>
      <c r="E489" s="59">
        <v>0</v>
      </c>
    </row>
    <row r="490" spans="2:5">
      <c r="B490" s="91"/>
      <c r="C490" s="57" t="s">
        <v>176</v>
      </c>
      <c r="D490" s="60">
        <v>18</v>
      </c>
      <c r="E490" s="59">
        <v>0</v>
      </c>
    </row>
    <row r="491" spans="2:5">
      <c r="B491" s="91"/>
      <c r="C491" s="57" t="s">
        <v>179</v>
      </c>
      <c r="D491" s="60">
        <v>17</v>
      </c>
      <c r="E491" s="59">
        <v>0</v>
      </c>
    </row>
    <row r="492" spans="2:5">
      <c r="B492" s="91"/>
      <c r="C492" s="57" t="s">
        <v>159</v>
      </c>
      <c r="D492" s="60">
        <v>13</v>
      </c>
      <c r="E492" s="59">
        <v>0</v>
      </c>
    </row>
    <row r="493" spans="2:5">
      <c r="B493" s="91"/>
      <c r="C493" s="57" t="s">
        <v>157</v>
      </c>
      <c r="D493" s="60">
        <v>12</v>
      </c>
      <c r="E493" s="59">
        <v>0</v>
      </c>
    </row>
    <row r="494" spans="2:5">
      <c r="B494" s="91"/>
      <c r="C494" s="57" t="s">
        <v>172</v>
      </c>
      <c r="D494" s="60">
        <v>12</v>
      </c>
      <c r="E494" s="59">
        <v>0</v>
      </c>
    </row>
    <row r="495" spans="2:5">
      <c r="B495" s="91"/>
      <c r="C495" s="57" t="s">
        <v>165</v>
      </c>
      <c r="D495" s="60">
        <v>10</v>
      </c>
      <c r="E495" s="59">
        <v>0</v>
      </c>
    </row>
    <row r="496" spans="2:5">
      <c r="B496" s="91"/>
      <c r="C496" s="57" t="s">
        <v>188</v>
      </c>
      <c r="D496" s="60">
        <v>8</v>
      </c>
      <c r="E496" s="59">
        <v>0</v>
      </c>
    </row>
    <row r="497" spans="2:5">
      <c r="B497" s="91"/>
      <c r="C497" s="57" t="s">
        <v>175</v>
      </c>
      <c r="D497" s="60">
        <v>8</v>
      </c>
      <c r="E497" s="59">
        <v>0</v>
      </c>
    </row>
    <row r="498" spans="2:5">
      <c r="B498" s="91"/>
      <c r="C498" s="57" t="s">
        <v>150</v>
      </c>
      <c r="D498" s="60">
        <v>6</v>
      </c>
      <c r="E498" s="59">
        <v>0</v>
      </c>
    </row>
    <row r="499" spans="2:5">
      <c r="B499" s="91"/>
      <c r="C499" s="57" t="s">
        <v>171</v>
      </c>
      <c r="D499" s="60">
        <v>6</v>
      </c>
      <c r="E499" s="59">
        <v>0</v>
      </c>
    </row>
    <row r="500" spans="2:5">
      <c r="B500" s="91"/>
      <c r="C500" s="57" t="s">
        <v>168</v>
      </c>
      <c r="D500" s="60">
        <v>5</v>
      </c>
      <c r="E500" s="59">
        <v>0</v>
      </c>
    </row>
    <row r="501" spans="2:5">
      <c r="B501" s="91"/>
      <c r="C501" s="57" t="s">
        <v>189</v>
      </c>
      <c r="D501" s="60">
        <v>5</v>
      </c>
      <c r="E501" s="59">
        <v>0</v>
      </c>
    </row>
    <row r="502" spans="2:5">
      <c r="B502" s="91"/>
      <c r="C502" s="57" t="s">
        <v>191</v>
      </c>
      <c r="D502" s="60">
        <v>5</v>
      </c>
      <c r="E502" s="59">
        <v>0</v>
      </c>
    </row>
    <row r="503" spans="2:5">
      <c r="B503" s="91"/>
      <c r="C503" s="57" t="s">
        <v>184</v>
      </c>
      <c r="D503" s="60">
        <v>4</v>
      </c>
      <c r="E503" s="59">
        <v>0</v>
      </c>
    </row>
    <row r="504" spans="2:5">
      <c r="B504" s="91"/>
      <c r="C504" s="57" t="s">
        <v>170</v>
      </c>
      <c r="D504" s="60">
        <v>4</v>
      </c>
      <c r="E504" s="59">
        <v>0</v>
      </c>
    </row>
    <row r="505" spans="2:5">
      <c r="B505" s="91"/>
      <c r="C505" s="57" t="s">
        <v>187</v>
      </c>
      <c r="D505" s="60">
        <v>4</v>
      </c>
      <c r="E505" s="59">
        <v>0</v>
      </c>
    </row>
    <row r="506" spans="2:5">
      <c r="B506" s="91"/>
      <c r="C506" s="57" t="s">
        <v>149</v>
      </c>
      <c r="D506" s="60">
        <v>3</v>
      </c>
      <c r="E506" s="59">
        <v>0</v>
      </c>
    </row>
    <row r="507" spans="2:5">
      <c r="B507" s="91"/>
      <c r="C507" s="57" t="s">
        <v>152</v>
      </c>
      <c r="D507" s="60">
        <v>3</v>
      </c>
      <c r="E507" s="59">
        <v>0</v>
      </c>
    </row>
    <row r="508" spans="2:5">
      <c r="B508" s="91"/>
      <c r="C508" s="57" t="s">
        <v>178</v>
      </c>
      <c r="D508" s="60">
        <v>3</v>
      </c>
      <c r="E508" s="59">
        <v>0</v>
      </c>
    </row>
    <row r="509" spans="2:5">
      <c r="B509" s="91"/>
      <c r="C509" s="57" t="s">
        <v>174</v>
      </c>
      <c r="D509" s="60">
        <v>2</v>
      </c>
      <c r="E509" s="59">
        <v>0</v>
      </c>
    </row>
    <row r="510" spans="2:5">
      <c r="B510" s="91"/>
      <c r="C510" s="57" t="s">
        <v>147</v>
      </c>
      <c r="D510" s="60">
        <v>1</v>
      </c>
      <c r="E510" s="59">
        <v>0</v>
      </c>
    </row>
    <row r="511" spans="2:5">
      <c r="B511" s="91"/>
      <c r="C511" s="57" t="s">
        <v>181</v>
      </c>
      <c r="D511" s="60">
        <v>1</v>
      </c>
      <c r="E511" s="59">
        <v>0</v>
      </c>
    </row>
    <row r="512" spans="2:5">
      <c r="B512" s="91"/>
      <c r="C512" s="57" t="s">
        <v>153</v>
      </c>
      <c r="D512" s="60">
        <v>1</v>
      </c>
      <c r="E512" s="59">
        <v>0</v>
      </c>
    </row>
    <row r="513" spans="2:5" ht="28.5">
      <c r="B513" s="91"/>
      <c r="C513" s="57" t="s">
        <v>154</v>
      </c>
      <c r="D513" s="60">
        <v>1</v>
      </c>
      <c r="E513" s="59">
        <v>0</v>
      </c>
    </row>
    <row r="514" spans="2:5">
      <c r="B514" s="91"/>
      <c r="C514" s="57" t="s">
        <v>156</v>
      </c>
      <c r="D514" s="60">
        <v>1</v>
      </c>
      <c r="E514" s="59">
        <v>0</v>
      </c>
    </row>
    <row r="515" spans="2:5">
      <c r="B515" s="91"/>
      <c r="C515" s="57" t="s">
        <v>186</v>
      </c>
      <c r="D515" s="60">
        <v>1</v>
      </c>
      <c r="E515" s="59">
        <v>0</v>
      </c>
    </row>
    <row r="516" spans="2:5">
      <c r="B516" s="91"/>
      <c r="C516" s="57" t="s">
        <v>177</v>
      </c>
      <c r="D516" s="60">
        <v>1</v>
      </c>
      <c r="E516" s="59">
        <v>0</v>
      </c>
    </row>
    <row r="517" spans="2:5">
      <c r="B517" s="92"/>
      <c r="C517" s="71" t="s">
        <v>302</v>
      </c>
      <c r="D517" s="69">
        <v>876</v>
      </c>
      <c r="E517" s="72">
        <v>1.4E-2</v>
      </c>
    </row>
    <row r="518" spans="2:5">
      <c r="B518" s="90" t="s">
        <v>109</v>
      </c>
      <c r="C518" s="57" t="s">
        <v>160</v>
      </c>
      <c r="D518" s="60">
        <v>127</v>
      </c>
      <c r="E518" s="59">
        <v>2E-3</v>
      </c>
    </row>
    <row r="519" spans="2:5">
      <c r="B519" s="91"/>
      <c r="C519" s="57" t="s">
        <v>151</v>
      </c>
      <c r="D519" s="60">
        <v>49</v>
      </c>
      <c r="E519" s="59">
        <v>1E-3</v>
      </c>
    </row>
    <row r="520" spans="2:5">
      <c r="B520" s="91"/>
      <c r="C520" s="57" t="s">
        <v>163</v>
      </c>
      <c r="D520" s="60">
        <v>44</v>
      </c>
      <c r="E520" s="59">
        <v>1E-3</v>
      </c>
    </row>
    <row r="521" spans="2:5">
      <c r="B521" s="91"/>
      <c r="C521" s="57" t="s">
        <v>169</v>
      </c>
      <c r="D521" s="60">
        <v>42</v>
      </c>
      <c r="E521" s="59">
        <v>1E-3</v>
      </c>
    </row>
    <row r="522" spans="2:5">
      <c r="B522" s="91"/>
      <c r="C522" s="57" t="s">
        <v>175</v>
      </c>
      <c r="D522" s="60">
        <v>39</v>
      </c>
      <c r="E522" s="59">
        <v>1E-3</v>
      </c>
    </row>
    <row r="523" spans="2:5">
      <c r="B523" s="91"/>
      <c r="C523" s="57" t="s">
        <v>187</v>
      </c>
      <c r="D523" s="60">
        <v>38</v>
      </c>
      <c r="E523" s="59">
        <v>1E-3</v>
      </c>
    </row>
    <row r="524" spans="2:5">
      <c r="B524" s="91"/>
      <c r="C524" s="57" t="s">
        <v>153</v>
      </c>
      <c r="D524" s="60">
        <v>35</v>
      </c>
      <c r="E524" s="59">
        <v>1E-3</v>
      </c>
    </row>
    <row r="525" spans="2:5">
      <c r="B525" s="91"/>
      <c r="C525" s="57" t="s">
        <v>148</v>
      </c>
      <c r="D525" s="60">
        <v>34</v>
      </c>
      <c r="E525" s="59">
        <v>1E-3</v>
      </c>
    </row>
    <row r="526" spans="2:5">
      <c r="B526" s="91"/>
      <c r="C526" s="57" t="s">
        <v>158</v>
      </c>
      <c r="D526" s="60">
        <v>33</v>
      </c>
      <c r="E526" s="59">
        <v>1E-3</v>
      </c>
    </row>
    <row r="527" spans="2:5">
      <c r="B527" s="91"/>
      <c r="C527" s="57" t="s">
        <v>161</v>
      </c>
      <c r="D527" s="60">
        <v>33</v>
      </c>
      <c r="E527" s="59">
        <v>1E-3</v>
      </c>
    </row>
    <row r="528" spans="2:5" ht="28.5" customHeight="1">
      <c r="B528" s="91"/>
      <c r="C528" s="57" t="s">
        <v>189</v>
      </c>
      <c r="D528" s="60">
        <v>32</v>
      </c>
      <c r="E528" s="59">
        <v>1E-3</v>
      </c>
    </row>
    <row r="529" spans="2:5">
      <c r="B529" s="91"/>
      <c r="C529" s="57" t="s">
        <v>155</v>
      </c>
      <c r="D529" s="60">
        <v>30</v>
      </c>
      <c r="E529" s="59">
        <v>0</v>
      </c>
    </row>
    <row r="530" spans="2:5">
      <c r="B530" s="91"/>
      <c r="C530" s="57" t="s">
        <v>157</v>
      </c>
      <c r="D530" s="60">
        <v>28</v>
      </c>
      <c r="E530" s="59">
        <v>0</v>
      </c>
    </row>
    <row r="531" spans="2:5">
      <c r="B531" s="91"/>
      <c r="C531" s="57" t="s">
        <v>149</v>
      </c>
      <c r="D531" s="60">
        <v>26</v>
      </c>
      <c r="E531" s="59">
        <v>0</v>
      </c>
    </row>
    <row r="532" spans="2:5">
      <c r="B532" s="91"/>
      <c r="C532" s="57" t="s">
        <v>152</v>
      </c>
      <c r="D532" s="60">
        <v>26</v>
      </c>
      <c r="E532" s="59">
        <v>0</v>
      </c>
    </row>
    <row r="533" spans="2:5">
      <c r="B533" s="91"/>
      <c r="C533" s="57" t="s">
        <v>165</v>
      </c>
      <c r="D533" s="60">
        <v>26</v>
      </c>
      <c r="E533" s="59">
        <v>0</v>
      </c>
    </row>
    <row r="534" spans="2:5">
      <c r="B534" s="91"/>
      <c r="C534" s="57" t="s">
        <v>174</v>
      </c>
      <c r="D534" s="60">
        <v>24</v>
      </c>
      <c r="E534" s="59">
        <v>0</v>
      </c>
    </row>
    <row r="535" spans="2:5" ht="28.5">
      <c r="B535" s="91"/>
      <c r="C535" s="57" t="s">
        <v>154</v>
      </c>
      <c r="D535" s="60">
        <v>17</v>
      </c>
      <c r="E535" s="59">
        <v>0</v>
      </c>
    </row>
    <row r="536" spans="2:5">
      <c r="B536" s="91"/>
      <c r="C536" s="57" t="s">
        <v>184</v>
      </c>
      <c r="D536" s="60">
        <v>17</v>
      </c>
      <c r="E536" s="59">
        <v>0</v>
      </c>
    </row>
    <row r="537" spans="2:5">
      <c r="B537" s="91"/>
      <c r="C537" s="57" t="s">
        <v>173</v>
      </c>
      <c r="D537" s="60">
        <v>17</v>
      </c>
      <c r="E537" s="59">
        <v>0</v>
      </c>
    </row>
    <row r="538" spans="2:5">
      <c r="B538" s="91"/>
      <c r="C538" s="57" t="s">
        <v>179</v>
      </c>
      <c r="D538" s="60">
        <v>15</v>
      </c>
      <c r="E538" s="59">
        <v>0</v>
      </c>
    </row>
    <row r="539" spans="2:5">
      <c r="B539" s="91"/>
      <c r="C539" s="57" t="s">
        <v>172</v>
      </c>
      <c r="D539" s="60">
        <v>12</v>
      </c>
      <c r="E539" s="59">
        <v>0</v>
      </c>
    </row>
    <row r="540" spans="2:5">
      <c r="B540" s="91"/>
      <c r="C540" s="57" t="s">
        <v>170</v>
      </c>
      <c r="D540" s="60">
        <v>11</v>
      </c>
      <c r="E540" s="59">
        <v>0</v>
      </c>
    </row>
    <row r="541" spans="2:5">
      <c r="B541" s="91"/>
      <c r="C541" s="57" t="s">
        <v>176</v>
      </c>
      <c r="D541" s="60">
        <v>11</v>
      </c>
      <c r="E541" s="59">
        <v>0</v>
      </c>
    </row>
    <row r="542" spans="2:5">
      <c r="B542" s="91"/>
      <c r="C542" s="57" t="s">
        <v>168</v>
      </c>
      <c r="D542" s="60">
        <v>10</v>
      </c>
      <c r="E542" s="59">
        <v>0</v>
      </c>
    </row>
    <row r="543" spans="2:5">
      <c r="B543" s="91"/>
      <c r="C543" s="57" t="s">
        <v>166</v>
      </c>
      <c r="D543" s="60">
        <v>9</v>
      </c>
      <c r="E543" s="59">
        <v>0</v>
      </c>
    </row>
    <row r="544" spans="2:5">
      <c r="B544" s="91"/>
      <c r="C544" s="57" t="s">
        <v>171</v>
      </c>
      <c r="D544" s="60">
        <v>9</v>
      </c>
      <c r="E544" s="59">
        <v>0</v>
      </c>
    </row>
    <row r="545" spans="2:5">
      <c r="B545" s="91"/>
      <c r="C545" s="57" t="s">
        <v>188</v>
      </c>
      <c r="D545" s="60">
        <v>9</v>
      </c>
      <c r="E545" s="59">
        <v>0</v>
      </c>
    </row>
    <row r="546" spans="2:5">
      <c r="B546" s="91"/>
      <c r="C546" s="57" t="s">
        <v>182</v>
      </c>
      <c r="D546" s="60">
        <v>8</v>
      </c>
      <c r="E546" s="59">
        <v>0</v>
      </c>
    </row>
    <row r="547" spans="2:5">
      <c r="B547" s="91"/>
      <c r="C547" s="57" t="s">
        <v>183</v>
      </c>
      <c r="D547" s="60">
        <v>8</v>
      </c>
      <c r="E547" s="59">
        <v>0</v>
      </c>
    </row>
    <row r="548" spans="2:5">
      <c r="B548" s="91"/>
      <c r="C548" s="57" t="s">
        <v>159</v>
      </c>
      <c r="D548" s="60">
        <v>8</v>
      </c>
      <c r="E548" s="59">
        <v>0</v>
      </c>
    </row>
    <row r="549" spans="2:5">
      <c r="B549" s="91"/>
      <c r="C549" s="57" t="s">
        <v>147</v>
      </c>
      <c r="D549" s="60">
        <v>5</v>
      </c>
      <c r="E549" s="59">
        <v>0</v>
      </c>
    </row>
    <row r="550" spans="2:5">
      <c r="B550" s="91"/>
      <c r="C550" s="57" t="s">
        <v>162</v>
      </c>
      <c r="D550" s="60">
        <v>5</v>
      </c>
      <c r="E550" s="59">
        <v>0</v>
      </c>
    </row>
    <row r="551" spans="2:5">
      <c r="B551" s="91"/>
      <c r="C551" s="57" t="s">
        <v>150</v>
      </c>
      <c r="D551" s="60">
        <v>4</v>
      </c>
      <c r="E551" s="59">
        <v>0</v>
      </c>
    </row>
    <row r="552" spans="2:5">
      <c r="B552" s="91"/>
      <c r="C552" s="57" t="s">
        <v>291</v>
      </c>
      <c r="D552" s="60">
        <v>4</v>
      </c>
      <c r="E552" s="59">
        <v>0</v>
      </c>
    </row>
    <row r="553" spans="2:5">
      <c r="B553" s="91"/>
      <c r="C553" s="57" t="s">
        <v>185</v>
      </c>
      <c r="D553" s="60">
        <v>4</v>
      </c>
      <c r="E553" s="59">
        <v>0</v>
      </c>
    </row>
    <row r="554" spans="2:5">
      <c r="B554" s="91"/>
      <c r="C554" s="57" t="s">
        <v>186</v>
      </c>
      <c r="D554" s="60">
        <v>4</v>
      </c>
      <c r="E554" s="59">
        <v>0</v>
      </c>
    </row>
    <row r="555" spans="2:5">
      <c r="B555" s="91"/>
      <c r="C555" s="57" t="s">
        <v>167</v>
      </c>
      <c r="D555" s="60">
        <v>4</v>
      </c>
      <c r="E555" s="59">
        <v>0</v>
      </c>
    </row>
    <row r="556" spans="2:5">
      <c r="B556" s="91"/>
      <c r="C556" s="57" t="s">
        <v>156</v>
      </c>
      <c r="D556" s="60">
        <v>3</v>
      </c>
      <c r="E556" s="59">
        <v>0</v>
      </c>
    </row>
    <row r="557" spans="2:5">
      <c r="B557" s="91"/>
      <c r="C557" s="57" t="s">
        <v>180</v>
      </c>
      <c r="D557" s="60">
        <v>2</v>
      </c>
      <c r="E557" s="59">
        <v>0</v>
      </c>
    </row>
    <row r="558" spans="2:5">
      <c r="B558" s="91"/>
      <c r="C558" s="57" t="s">
        <v>164</v>
      </c>
      <c r="D558" s="60">
        <v>2</v>
      </c>
      <c r="E558" s="59">
        <v>0</v>
      </c>
    </row>
    <row r="559" spans="2:5">
      <c r="B559" s="91"/>
      <c r="C559" s="57" t="s">
        <v>190</v>
      </c>
      <c r="D559" s="60">
        <v>2</v>
      </c>
      <c r="E559" s="59">
        <v>0</v>
      </c>
    </row>
    <row r="560" spans="2:5">
      <c r="B560" s="91"/>
      <c r="C560" s="57" t="s">
        <v>191</v>
      </c>
      <c r="D560" s="60">
        <v>2</v>
      </c>
      <c r="E560" s="59">
        <v>0</v>
      </c>
    </row>
    <row r="561" spans="2:5">
      <c r="B561" s="91"/>
      <c r="C561" s="57" t="s">
        <v>178</v>
      </c>
      <c r="D561" s="60">
        <v>1</v>
      </c>
      <c r="E561" s="59">
        <v>0</v>
      </c>
    </row>
    <row r="562" spans="2:5">
      <c r="B562" s="92"/>
      <c r="C562" s="71" t="s">
        <v>302</v>
      </c>
      <c r="D562" s="69">
        <v>869</v>
      </c>
      <c r="E562" s="72">
        <v>1.4E-2</v>
      </c>
    </row>
    <row r="563" spans="2:5">
      <c r="B563" s="90" t="s">
        <v>130</v>
      </c>
      <c r="C563" s="57" t="s">
        <v>160</v>
      </c>
      <c r="D563" s="60">
        <v>259</v>
      </c>
      <c r="E563" s="59">
        <v>4.0000000000000001E-3</v>
      </c>
    </row>
    <row r="564" spans="2:5">
      <c r="B564" s="91"/>
      <c r="C564" s="57" t="s">
        <v>170</v>
      </c>
      <c r="D564" s="60">
        <v>80</v>
      </c>
      <c r="E564" s="59">
        <v>1E-3</v>
      </c>
    </row>
    <row r="565" spans="2:5">
      <c r="B565" s="91"/>
      <c r="C565" s="57" t="s">
        <v>151</v>
      </c>
      <c r="D565" s="60">
        <v>63</v>
      </c>
      <c r="E565" s="59">
        <v>1E-3</v>
      </c>
    </row>
    <row r="566" spans="2:5">
      <c r="B566" s="91"/>
      <c r="C566" s="57" t="s">
        <v>173</v>
      </c>
      <c r="D566" s="60">
        <v>55</v>
      </c>
      <c r="E566" s="59">
        <v>1E-3</v>
      </c>
    </row>
    <row r="567" spans="2:5">
      <c r="B567" s="91"/>
      <c r="C567" s="57" t="s">
        <v>161</v>
      </c>
      <c r="D567" s="60">
        <v>51</v>
      </c>
      <c r="E567" s="59">
        <v>1E-3</v>
      </c>
    </row>
    <row r="568" spans="2:5">
      <c r="B568" s="91"/>
      <c r="C568" s="57" t="s">
        <v>169</v>
      </c>
      <c r="D568" s="60">
        <v>44</v>
      </c>
      <c r="E568" s="59">
        <v>1E-3</v>
      </c>
    </row>
    <row r="569" spans="2:5">
      <c r="B569" s="91"/>
      <c r="C569" s="57" t="s">
        <v>168</v>
      </c>
      <c r="D569" s="60">
        <v>35</v>
      </c>
      <c r="E569" s="59">
        <v>1E-3</v>
      </c>
    </row>
    <row r="570" spans="2:5">
      <c r="B570" s="91"/>
      <c r="C570" s="57" t="s">
        <v>157</v>
      </c>
      <c r="D570" s="60">
        <v>29</v>
      </c>
      <c r="E570" s="59">
        <v>0</v>
      </c>
    </row>
    <row r="571" spans="2:5">
      <c r="B571" s="91"/>
      <c r="C571" s="57" t="s">
        <v>155</v>
      </c>
      <c r="D571" s="60">
        <v>27</v>
      </c>
      <c r="E571" s="59">
        <v>0</v>
      </c>
    </row>
    <row r="572" spans="2:5">
      <c r="B572" s="91"/>
      <c r="C572" s="57" t="s">
        <v>172</v>
      </c>
      <c r="D572" s="60">
        <v>21</v>
      </c>
      <c r="E572" s="59">
        <v>0</v>
      </c>
    </row>
    <row r="573" spans="2:5">
      <c r="B573" s="91"/>
      <c r="C573" s="57" t="s">
        <v>187</v>
      </c>
      <c r="D573" s="60">
        <v>20</v>
      </c>
      <c r="E573" s="59">
        <v>0</v>
      </c>
    </row>
    <row r="574" spans="2:5">
      <c r="B574" s="91"/>
      <c r="C574" s="57" t="s">
        <v>163</v>
      </c>
      <c r="D574" s="60">
        <v>19</v>
      </c>
      <c r="E574" s="59">
        <v>0</v>
      </c>
    </row>
    <row r="575" spans="2:5">
      <c r="B575" s="91"/>
      <c r="C575" s="57" t="s">
        <v>153</v>
      </c>
      <c r="D575" s="60">
        <v>18</v>
      </c>
      <c r="E575" s="59">
        <v>0</v>
      </c>
    </row>
    <row r="576" spans="2:5">
      <c r="B576" s="91"/>
      <c r="C576" s="57" t="s">
        <v>171</v>
      </c>
      <c r="D576" s="60">
        <v>16</v>
      </c>
      <c r="E576" s="59">
        <v>0</v>
      </c>
    </row>
    <row r="577" spans="2:5">
      <c r="B577" s="91"/>
      <c r="C577" s="57" t="s">
        <v>165</v>
      </c>
      <c r="D577" s="60">
        <v>14</v>
      </c>
      <c r="E577" s="59">
        <v>0</v>
      </c>
    </row>
    <row r="578" spans="2:5">
      <c r="B578" s="91"/>
      <c r="C578" s="57" t="s">
        <v>148</v>
      </c>
      <c r="D578" s="60">
        <v>11</v>
      </c>
      <c r="E578" s="59">
        <v>0</v>
      </c>
    </row>
    <row r="579" spans="2:5">
      <c r="B579" s="91"/>
      <c r="C579" s="57" t="s">
        <v>291</v>
      </c>
      <c r="D579" s="60">
        <v>11</v>
      </c>
      <c r="E579" s="59">
        <v>0</v>
      </c>
    </row>
    <row r="580" spans="2:5">
      <c r="B580" s="91"/>
      <c r="C580" s="57" t="s">
        <v>159</v>
      </c>
      <c r="D580" s="60">
        <v>10</v>
      </c>
      <c r="E580" s="59">
        <v>0</v>
      </c>
    </row>
    <row r="581" spans="2:5">
      <c r="B581" s="91"/>
      <c r="C581" s="57" t="s">
        <v>152</v>
      </c>
      <c r="D581" s="60">
        <v>9</v>
      </c>
      <c r="E581" s="59">
        <v>0</v>
      </c>
    </row>
    <row r="582" spans="2:5">
      <c r="B582" s="91"/>
      <c r="C582" s="57" t="s">
        <v>183</v>
      </c>
      <c r="D582" s="60">
        <v>9</v>
      </c>
      <c r="E582" s="59">
        <v>0</v>
      </c>
    </row>
    <row r="583" spans="2:5" ht="28.5">
      <c r="B583" s="91"/>
      <c r="C583" s="57" t="s">
        <v>154</v>
      </c>
      <c r="D583" s="60">
        <v>9</v>
      </c>
      <c r="E583" s="59">
        <v>0</v>
      </c>
    </row>
    <row r="584" spans="2:5">
      <c r="B584" s="91"/>
      <c r="C584" s="57" t="s">
        <v>164</v>
      </c>
      <c r="D584" s="60">
        <v>7</v>
      </c>
      <c r="E584" s="59">
        <v>0</v>
      </c>
    </row>
    <row r="585" spans="2:5">
      <c r="B585" s="91"/>
      <c r="C585" s="57" t="s">
        <v>149</v>
      </c>
      <c r="D585" s="60">
        <v>6</v>
      </c>
      <c r="E585" s="59">
        <v>0</v>
      </c>
    </row>
    <row r="586" spans="2:5">
      <c r="B586" s="91"/>
      <c r="C586" s="57" t="s">
        <v>182</v>
      </c>
      <c r="D586" s="60">
        <v>6</v>
      </c>
      <c r="E586" s="59">
        <v>0</v>
      </c>
    </row>
    <row r="587" spans="2:5">
      <c r="B587" s="91"/>
      <c r="C587" s="57" t="s">
        <v>176</v>
      </c>
      <c r="D587" s="60">
        <v>6</v>
      </c>
      <c r="E587" s="59">
        <v>0</v>
      </c>
    </row>
    <row r="588" spans="2:5">
      <c r="B588" s="91"/>
      <c r="C588" s="57" t="s">
        <v>190</v>
      </c>
      <c r="D588" s="60">
        <v>4</v>
      </c>
      <c r="E588" s="59">
        <v>0</v>
      </c>
    </row>
    <row r="589" spans="2:5">
      <c r="B589" s="91"/>
      <c r="C589" s="57" t="s">
        <v>147</v>
      </c>
      <c r="D589" s="60">
        <v>3</v>
      </c>
      <c r="E589" s="59">
        <v>0</v>
      </c>
    </row>
    <row r="590" spans="2:5">
      <c r="B590" s="91"/>
      <c r="C590" s="57" t="s">
        <v>158</v>
      </c>
      <c r="D590" s="60">
        <v>3</v>
      </c>
      <c r="E590" s="59">
        <v>0</v>
      </c>
    </row>
    <row r="591" spans="2:5">
      <c r="B591" s="91"/>
      <c r="C591" s="57" t="s">
        <v>166</v>
      </c>
      <c r="D591" s="60">
        <v>3</v>
      </c>
      <c r="E591" s="59">
        <v>0</v>
      </c>
    </row>
    <row r="592" spans="2:5">
      <c r="B592" s="91"/>
      <c r="C592" s="57" t="s">
        <v>191</v>
      </c>
      <c r="D592" s="60">
        <v>3</v>
      </c>
      <c r="E592" s="59">
        <v>0</v>
      </c>
    </row>
    <row r="593" spans="2:5">
      <c r="B593" s="91"/>
      <c r="C593" s="57" t="s">
        <v>181</v>
      </c>
      <c r="D593" s="60">
        <v>2</v>
      </c>
      <c r="E593" s="59">
        <v>0</v>
      </c>
    </row>
    <row r="594" spans="2:5">
      <c r="B594" s="91"/>
      <c r="C594" s="57" t="s">
        <v>186</v>
      </c>
      <c r="D594" s="60">
        <v>2</v>
      </c>
      <c r="E594" s="59">
        <v>0</v>
      </c>
    </row>
    <row r="595" spans="2:5">
      <c r="B595" s="91"/>
      <c r="C595" s="57" t="s">
        <v>177</v>
      </c>
      <c r="D595" s="60">
        <v>2</v>
      </c>
      <c r="E595" s="59">
        <v>0</v>
      </c>
    </row>
    <row r="596" spans="2:5">
      <c r="B596" s="91"/>
      <c r="C596" s="57" t="s">
        <v>179</v>
      </c>
      <c r="D596" s="60">
        <v>2</v>
      </c>
      <c r="E596" s="59">
        <v>0</v>
      </c>
    </row>
    <row r="597" spans="2:5">
      <c r="B597" s="91"/>
      <c r="C597" s="57" t="s">
        <v>162</v>
      </c>
      <c r="D597" s="60">
        <v>1</v>
      </c>
      <c r="E597" s="59">
        <v>0</v>
      </c>
    </row>
    <row r="598" spans="2:5">
      <c r="B598" s="91"/>
      <c r="C598" s="57" t="s">
        <v>167</v>
      </c>
      <c r="D598" s="60">
        <v>1</v>
      </c>
      <c r="E598" s="59">
        <v>0</v>
      </c>
    </row>
    <row r="599" spans="2:5">
      <c r="B599" s="91"/>
      <c r="C599" s="57" t="s">
        <v>178</v>
      </c>
      <c r="D599" s="60">
        <v>1</v>
      </c>
      <c r="E599" s="59">
        <v>0</v>
      </c>
    </row>
    <row r="600" spans="2:5">
      <c r="B600" s="92"/>
      <c r="C600" s="71" t="s">
        <v>302</v>
      </c>
      <c r="D600" s="69">
        <v>862</v>
      </c>
      <c r="E600" s="72">
        <v>1.4E-2</v>
      </c>
    </row>
    <row r="601" spans="2:5">
      <c r="B601" s="90" t="s">
        <v>117</v>
      </c>
      <c r="C601" s="57" t="s">
        <v>166</v>
      </c>
      <c r="D601" s="60">
        <v>170</v>
      </c>
      <c r="E601" s="59">
        <v>3.0000000000000001E-3</v>
      </c>
    </row>
    <row r="602" spans="2:5">
      <c r="B602" s="91"/>
      <c r="C602" s="57" t="s">
        <v>160</v>
      </c>
      <c r="D602" s="60">
        <v>72</v>
      </c>
      <c r="E602" s="59">
        <v>1E-3</v>
      </c>
    </row>
    <row r="603" spans="2:5">
      <c r="B603" s="91"/>
      <c r="C603" s="57" t="s">
        <v>179</v>
      </c>
      <c r="D603" s="60">
        <v>59</v>
      </c>
      <c r="E603" s="59">
        <v>1E-3</v>
      </c>
    </row>
    <row r="604" spans="2:5">
      <c r="B604" s="91"/>
      <c r="C604" s="57" t="s">
        <v>151</v>
      </c>
      <c r="D604" s="60">
        <v>50</v>
      </c>
      <c r="E604" s="59">
        <v>1E-3</v>
      </c>
    </row>
    <row r="605" spans="2:5">
      <c r="B605" s="91"/>
      <c r="C605" s="57" t="s">
        <v>171</v>
      </c>
      <c r="D605" s="60">
        <v>37</v>
      </c>
      <c r="E605" s="59">
        <v>1E-3</v>
      </c>
    </row>
    <row r="606" spans="2:5">
      <c r="B606" s="91"/>
      <c r="C606" s="57" t="s">
        <v>159</v>
      </c>
      <c r="D606" s="60">
        <v>33</v>
      </c>
      <c r="E606" s="59">
        <v>1E-3</v>
      </c>
    </row>
    <row r="607" spans="2:5">
      <c r="B607" s="91"/>
      <c r="C607" s="57" t="s">
        <v>157</v>
      </c>
      <c r="D607" s="60">
        <v>32</v>
      </c>
      <c r="E607" s="59">
        <v>1E-3</v>
      </c>
    </row>
    <row r="608" spans="2:5">
      <c r="B608" s="91"/>
      <c r="C608" s="57" t="s">
        <v>148</v>
      </c>
      <c r="D608" s="60">
        <v>24</v>
      </c>
      <c r="E608" s="59">
        <v>0</v>
      </c>
    </row>
    <row r="609" spans="2:5">
      <c r="B609" s="91"/>
      <c r="C609" s="57" t="s">
        <v>188</v>
      </c>
      <c r="D609" s="60">
        <v>22</v>
      </c>
      <c r="E609" s="59">
        <v>0</v>
      </c>
    </row>
    <row r="610" spans="2:5">
      <c r="B610" s="91"/>
      <c r="C610" s="57" t="s">
        <v>189</v>
      </c>
      <c r="D610" s="60">
        <v>22</v>
      </c>
      <c r="E610" s="59">
        <v>0</v>
      </c>
    </row>
    <row r="611" spans="2:5">
      <c r="B611" s="91"/>
      <c r="C611" s="57" t="s">
        <v>190</v>
      </c>
      <c r="D611" s="60">
        <v>22</v>
      </c>
      <c r="E611" s="59">
        <v>0</v>
      </c>
    </row>
    <row r="612" spans="2:5">
      <c r="B612" s="91"/>
      <c r="C612" s="57" t="s">
        <v>182</v>
      </c>
      <c r="D612" s="60">
        <v>21</v>
      </c>
      <c r="E612" s="59">
        <v>0</v>
      </c>
    </row>
    <row r="613" spans="2:5">
      <c r="B613" s="91"/>
      <c r="C613" s="57" t="s">
        <v>163</v>
      </c>
      <c r="D613" s="60">
        <v>20</v>
      </c>
      <c r="E613" s="59">
        <v>0</v>
      </c>
    </row>
    <row r="614" spans="2:5">
      <c r="B614" s="91"/>
      <c r="C614" s="57" t="s">
        <v>149</v>
      </c>
      <c r="D614" s="60">
        <v>19</v>
      </c>
      <c r="E614" s="59">
        <v>0</v>
      </c>
    </row>
    <row r="615" spans="2:5">
      <c r="B615" s="91"/>
      <c r="C615" s="57" t="s">
        <v>161</v>
      </c>
      <c r="D615" s="60">
        <v>18</v>
      </c>
      <c r="E615" s="59">
        <v>0</v>
      </c>
    </row>
    <row r="616" spans="2:5">
      <c r="B616" s="91"/>
      <c r="C616" s="57" t="s">
        <v>291</v>
      </c>
      <c r="D616" s="60">
        <v>17</v>
      </c>
      <c r="E616" s="59">
        <v>0</v>
      </c>
    </row>
    <row r="617" spans="2:5">
      <c r="B617" s="91"/>
      <c r="C617" s="57" t="s">
        <v>168</v>
      </c>
      <c r="D617" s="60">
        <v>15</v>
      </c>
      <c r="E617" s="59">
        <v>0</v>
      </c>
    </row>
    <row r="618" spans="2:5">
      <c r="B618" s="91"/>
      <c r="C618" s="57" t="s">
        <v>173</v>
      </c>
      <c r="D618" s="60">
        <v>14</v>
      </c>
      <c r="E618" s="59">
        <v>0</v>
      </c>
    </row>
    <row r="619" spans="2:5">
      <c r="B619" s="91"/>
      <c r="C619" s="57" t="s">
        <v>175</v>
      </c>
      <c r="D619" s="60">
        <v>14</v>
      </c>
      <c r="E619" s="59">
        <v>0</v>
      </c>
    </row>
    <row r="620" spans="2:5">
      <c r="B620" s="91"/>
      <c r="C620" s="57" t="s">
        <v>162</v>
      </c>
      <c r="D620" s="60">
        <v>12</v>
      </c>
      <c r="E620" s="59">
        <v>0</v>
      </c>
    </row>
    <row r="621" spans="2:5">
      <c r="B621" s="91"/>
      <c r="C621" s="57" t="s">
        <v>147</v>
      </c>
      <c r="D621" s="60">
        <v>11</v>
      </c>
      <c r="E621" s="59">
        <v>0</v>
      </c>
    </row>
    <row r="622" spans="2:5">
      <c r="B622" s="91"/>
      <c r="C622" s="57" t="s">
        <v>169</v>
      </c>
      <c r="D622" s="60">
        <v>11</v>
      </c>
      <c r="E622" s="59">
        <v>0</v>
      </c>
    </row>
    <row r="623" spans="2:5">
      <c r="B623" s="91"/>
      <c r="C623" s="57" t="s">
        <v>184</v>
      </c>
      <c r="D623" s="60">
        <v>10</v>
      </c>
      <c r="E623" s="59">
        <v>0</v>
      </c>
    </row>
    <row r="624" spans="2:5">
      <c r="B624" s="91"/>
      <c r="C624" s="57" t="s">
        <v>155</v>
      </c>
      <c r="D624" s="60">
        <v>9</v>
      </c>
      <c r="E624" s="59">
        <v>0</v>
      </c>
    </row>
    <row r="625" spans="2:5">
      <c r="B625" s="91"/>
      <c r="C625" s="57" t="s">
        <v>170</v>
      </c>
      <c r="D625" s="60">
        <v>9</v>
      </c>
      <c r="E625" s="59">
        <v>0</v>
      </c>
    </row>
    <row r="626" spans="2:5">
      <c r="B626" s="91"/>
      <c r="C626" s="57" t="s">
        <v>172</v>
      </c>
      <c r="D626" s="60">
        <v>9</v>
      </c>
      <c r="E626" s="59">
        <v>0</v>
      </c>
    </row>
    <row r="627" spans="2:5">
      <c r="B627" s="91"/>
      <c r="C627" s="57" t="s">
        <v>176</v>
      </c>
      <c r="D627" s="60">
        <v>8</v>
      </c>
      <c r="E627" s="59">
        <v>0</v>
      </c>
    </row>
    <row r="628" spans="2:5">
      <c r="B628" s="91"/>
      <c r="C628" s="57" t="s">
        <v>191</v>
      </c>
      <c r="D628" s="60">
        <v>8</v>
      </c>
      <c r="E628" s="59">
        <v>0</v>
      </c>
    </row>
    <row r="629" spans="2:5" ht="28.5">
      <c r="B629" s="91"/>
      <c r="C629" s="57" t="s">
        <v>154</v>
      </c>
      <c r="D629" s="60">
        <v>7</v>
      </c>
      <c r="E629" s="59">
        <v>0</v>
      </c>
    </row>
    <row r="630" spans="2:5">
      <c r="B630" s="91"/>
      <c r="C630" s="57" t="s">
        <v>165</v>
      </c>
      <c r="D630" s="60">
        <v>7</v>
      </c>
      <c r="E630" s="59">
        <v>0</v>
      </c>
    </row>
    <row r="631" spans="2:5">
      <c r="B631" s="91"/>
      <c r="C631" s="57" t="s">
        <v>150</v>
      </c>
      <c r="D631" s="60">
        <v>5</v>
      </c>
      <c r="E631" s="59">
        <v>0</v>
      </c>
    </row>
    <row r="632" spans="2:5">
      <c r="B632" s="91"/>
      <c r="C632" s="57" t="s">
        <v>152</v>
      </c>
      <c r="D632" s="60">
        <v>5</v>
      </c>
      <c r="E632" s="59">
        <v>0</v>
      </c>
    </row>
    <row r="633" spans="2:5">
      <c r="B633" s="91"/>
      <c r="C633" s="57" t="s">
        <v>153</v>
      </c>
      <c r="D633" s="60">
        <v>5</v>
      </c>
      <c r="E633" s="59">
        <v>0</v>
      </c>
    </row>
    <row r="634" spans="2:5">
      <c r="B634" s="91"/>
      <c r="C634" s="57" t="s">
        <v>177</v>
      </c>
      <c r="D634" s="60">
        <v>5</v>
      </c>
      <c r="E634" s="59">
        <v>0</v>
      </c>
    </row>
    <row r="635" spans="2:5">
      <c r="B635" s="91"/>
      <c r="C635" s="57" t="s">
        <v>183</v>
      </c>
      <c r="D635" s="60">
        <v>4</v>
      </c>
      <c r="E635" s="59">
        <v>0</v>
      </c>
    </row>
    <row r="636" spans="2:5">
      <c r="B636" s="91"/>
      <c r="C636" s="57" t="s">
        <v>187</v>
      </c>
      <c r="D636" s="60">
        <v>4</v>
      </c>
      <c r="E636" s="59">
        <v>0</v>
      </c>
    </row>
    <row r="637" spans="2:5">
      <c r="B637" s="91"/>
      <c r="C637" s="57" t="s">
        <v>178</v>
      </c>
      <c r="D637" s="60">
        <v>3</v>
      </c>
      <c r="E637" s="59">
        <v>0</v>
      </c>
    </row>
    <row r="638" spans="2:5">
      <c r="B638" s="91"/>
      <c r="C638" s="57" t="s">
        <v>167</v>
      </c>
      <c r="D638" s="60">
        <v>2</v>
      </c>
      <c r="E638" s="59">
        <v>0</v>
      </c>
    </row>
    <row r="639" spans="2:5">
      <c r="B639" s="91"/>
      <c r="C639" s="57" t="s">
        <v>180</v>
      </c>
      <c r="D639" s="60">
        <v>1</v>
      </c>
      <c r="E639" s="59">
        <v>0</v>
      </c>
    </row>
    <row r="640" spans="2:5">
      <c r="B640" s="91"/>
      <c r="C640" s="57" t="s">
        <v>158</v>
      </c>
      <c r="D640" s="60">
        <v>1</v>
      </c>
      <c r="E640" s="59">
        <v>0</v>
      </c>
    </row>
    <row r="641" spans="2:5">
      <c r="B641" s="91"/>
      <c r="C641" s="57" t="s">
        <v>185</v>
      </c>
      <c r="D641" s="60">
        <v>1</v>
      </c>
      <c r="E641" s="59">
        <v>0</v>
      </c>
    </row>
    <row r="642" spans="2:5">
      <c r="B642" s="91"/>
      <c r="C642" s="57" t="s">
        <v>164</v>
      </c>
      <c r="D642" s="60">
        <v>1</v>
      </c>
      <c r="E642" s="59">
        <v>0</v>
      </c>
    </row>
    <row r="643" spans="2:5">
      <c r="B643" s="92"/>
      <c r="C643" s="71" t="s">
        <v>302</v>
      </c>
      <c r="D643" s="69">
        <v>819</v>
      </c>
      <c r="E643" s="72">
        <v>1.2999999999999999E-2</v>
      </c>
    </row>
    <row r="644" spans="2:5">
      <c r="B644" s="90" t="s">
        <v>98</v>
      </c>
      <c r="C644" s="57" t="s">
        <v>160</v>
      </c>
      <c r="D644" s="60">
        <v>117</v>
      </c>
      <c r="E644" s="59">
        <v>2E-3</v>
      </c>
    </row>
    <row r="645" spans="2:5">
      <c r="B645" s="91"/>
      <c r="C645" s="57" t="s">
        <v>157</v>
      </c>
      <c r="D645" s="60">
        <v>63</v>
      </c>
      <c r="E645" s="59">
        <v>1E-3</v>
      </c>
    </row>
    <row r="646" spans="2:5">
      <c r="B646" s="91"/>
      <c r="C646" s="57" t="s">
        <v>183</v>
      </c>
      <c r="D646" s="60">
        <v>54</v>
      </c>
      <c r="E646" s="59">
        <v>1E-3</v>
      </c>
    </row>
    <row r="647" spans="2:5">
      <c r="B647" s="91"/>
      <c r="C647" s="57" t="s">
        <v>176</v>
      </c>
      <c r="D647" s="60">
        <v>53</v>
      </c>
      <c r="E647" s="59">
        <v>1E-3</v>
      </c>
    </row>
    <row r="648" spans="2:5">
      <c r="B648" s="91"/>
      <c r="C648" s="57" t="s">
        <v>163</v>
      </c>
      <c r="D648" s="60">
        <v>43</v>
      </c>
      <c r="E648" s="59">
        <v>1E-3</v>
      </c>
    </row>
    <row r="649" spans="2:5">
      <c r="B649" s="91"/>
      <c r="C649" s="57" t="s">
        <v>158</v>
      </c>
      <c r="D649" s="60">
        <v>36</v>
      </c>
      <c r="E649" s="59">
        <v>1E-3</v>
      </c>
    </row>
    <row r="650" spans="2:5">
      <c r="B650" s="91"/>
      <c r="C650" s="57" t="s">
        <v>165</v>
      </c>
      <c r="D650" s="60">
        <v>35</v>
      </c>
      <c r="E650" s="59">
        <v>1E-3</v>
      </c>
    </row>
    <row r="651" spans="2:5">
      <c r="B651" s="91"/>
      <c r="C651" s="57" t="s">
        <v>161</v>
      </c>
      <c r="D651" s="60">
        <v>31</v>
      </c>
      <c r="E651" s="59">
        <v>0</v>
      </c>
    </row>
    <row r="652" spans="2:5">
      <c r="B652" s="91"/>
      <c r="C652" s="57" t="s">
        <v>148</v>
      </c>
      <c r="D652" s="60">
        <v>29</v>
      </c>
      <c r="E652" s="59">
        <v>0</v>
      </c>
    </row>
    <row r="653" spans="2:5">
      <c r="B653" s="91"/>
      <c r="C653" s="57" t="s">
        <v>149</v>
      </c>
      <c r="D653" s="60">
        <v>27</v>
      </c>
      <c r="E653" s="59">
        <v>0</v>
      </c>
    </row>
    <row r="654" spans="2:5">
      <c r="B654" s="91"/>
      <c r="C654" s="57" t="s">
        <v>164</v>
      </c>
      <c r="D654" s="60">
        <v>26</v>
      </c>
      <c r="E654" s="59">
        <v>0</v>
      </c>
    </row>
    <row r="655" spans="2:5">
      <c r="B655" s="91"/>
      <c r="C655" s="57" t="s">
        <v>173</v>
      </c>
      <c r="D655" s="60">
        <v>26</v>
      </c>
      <c r="E655" s="59">
        <v>0</v>
      </c>
    </row>
    <row r="656" spans="2:5">
      <c r="B656" s="91"/>
      <c r="C656" s="57" t="s">
        <v>151</v>
      </c>
      <c r="D656" s="60">
        <v>20</v>
      </c>
      <c r="E656" s="59">
        <v>0</v>
      </c>
    </row>
    <row r="657" spans="2:5">
      <c r="B657" s="91"/>
      <c r="C657" s="57" t="s">
        <v>159</v>
      </c>
      <c r="D657" s="60">
        <v>20</v>
      </c>
      <c r="E657" s="59">
        <v>0</v>
      </c>
    </row>
    <row r="658" spans="2:5">
      <c r="B658" s="91"/>
      <c r="C658" s="57" t="s">
        <v>169</v>
      </c>
      <c r="D658" s="60">
        <v>20</v>
      </c>
      <c r="E658" s="59">
        <v>0</v>
      </c>
    </row>
    <row r="659" spans="2:5">
      <c r="B659" s="91"/>
      <c r="C659" s="57" t="s">
        <v>153</v>
      </c>
      <c r="D659" s="60">
        <v>17</v>
      </c>
      <c r="E659" s="59">
        <v>0</v>
      </c>
    </row>
    <row r="660" spans="2:5">
      <c r="B660" s="91"/>
      <c r="C660" s="57" t="s">
        <v>166</v>
      </c>
      <c r="D660" s="60">
        <v>14</v>
      </c>
      <c r="E660" s="59">
        <v>0</v>
      </c>
    </row>
    <row r="661" spans="2:5">
      <c r="B661" s="91"/>
      <c r="C661" s="57" t="s">
        <v>171</v>
      </c>
      <c r="D661" s="60">
        <v>13</v>
      </c>
      <c r="E661" s="59">
        <v>0</v>
      </c>
    </row>
    <row r="662" spans="2:5">
      <c r="B662" s="91"/>
      <c r="C662" s="57" t="s">
        <v>168</v>
      </c>
      <c r="D662" s="60">
        <v>12</v>
      </c>
      <c r="E662" s="59">
        <v>0</v>
      </c>
    </row>
    <row r="663" spans="2:5">
      <c r="B663" s="91"/>
      <c r="C663" s="57" t="s">
        <v>182</v>
      </c>
      <c r="D663" s="60">
        <v>11</v>
      </c>
      <c r="E663" s="59">
        <v>0</v>
      </c>
    </row>
    <row r="664" spans="2:5">
      <c r="B664" s="91"/>
      <c r="C664" s="57" t="s">
        <v>291</v>
      </c>
      <c r="D664" s="60">
        <v>11</v>
      </c>
      <c r="E664" s="59">
        <v>0</v>
      </c>
    </row>
    <row r="665" spans="2:5">
      <c r="B665" s="91"/>
      <c r="C665" s="57" t="s">
        <v>155</v>
      </c>
      <c r="D665" s="60">
        <v>11</v>
      </c>
      <c r="E665" s="59">
        <v>0</v>
      </c>
    </row>
    <row r="666" spans="2:5">
      <c r="B666" s="91"/>
      <c r="C666" s="57" t="s">
        <v>179</v>
      </c>
      <c r="D666" s="60">
        <v>10</v>
      </c>
      <c r="E666" s="59">
        <v>0</v>
      </c>
    </row>
    <row r="667" spans="2:5">
      <c r="B667" s="91"/>
      <c r="C667" s="57" t="s">
        <v>147</v>
      </c>
      <c r="D667" s="60">
        <v>8</v>
      </c>
      <c r="E667" s="59">
        <v>0</v>
      </c>
    </row>
    <row r="668" spans="2:5">
      <c r="B668" s="91"/>
      <c r="C668" s="57" t="s">
        <v>189</v>
      </c>
      <c r="D668" s="60">
        <v>7</v>
      </c>
      <c r="E668" s="59">
        <v>0</v>
      </c>
    </row>
    <row r="669" spans="2:5">
      <c r="B669" s="91"/>
      <c r="C669" s="57" t="s">
        <v>184</v>
      </c>
      <c r="D669" s="60">
        <v>6</v>
      </c>
      <c r="E669" s="59">
        <v>0</v>
      </c>
    </row>
    <row r="670" spans="2:5">
      <c r="B670" s="91"/>
      <c r="C670" s="57" t="s">
        <v>186</v>
      </c>
      <c r="D670" s="60">
        <v>6</v>
      </c>
      <c r="E670" s="59">
        <v>0</v>
      </c>
    </row>
    <row r="671" spans="2:5">
      <c r="B671" s="91"/>
      <c r="C671" s="57" t="s">
        <v>170</v>
      </c>
      <c r="D671" s="60">
        <v>6</v>
      </c>
      <c r="E671" s="59">
        <v>0</v>
      </c>
    </row>
    <row r="672" spans="2:5">
      <c r="B672" s="91"/>
      <c r="C672" s="57" t="s">
        <v>172</v>
      </c>
      <c r="D672" s="60">
        <v>5</v>
      </c>
      <c r="E672" s="59">
        <v>0</v>
      </c>
    </row>
    <row r="673" spans="2:5">
      <c r="B673" s="91"/>
      <c r="C673" s="57" t="s">
        <v>178</v>
      </c>
      <c r="D673" s="60">
        <v>5</v>
      </c>
      <c r="E673" s="59">
        <v>0</v>
      </c>
    </row>
    <row r="674" spans="2:5">
      <c r="B674" s="91"/>
      <c r="C674" s="57" t="s">
        <v>180</v>
      </c>
      <c r="D674" s="60">
        <v>4</v>
      </c>
      <c r="E674" s="59">
        <v>0</v>
      </c>
    </row>
    <row r="675" spans="2:5">
      <c r="B675" s="91"/>
      <c r="C675" s="57" t="s">
        <v>181</v>
      </c>
      <c r="D675" s="60">
        <v>3</v>
      </c>
      <c r="E675" s="59">
        <v>0</v>
      </c>
    </row>
    <row r="676" spans="2:5">
      <c r="B676" s="91"/>
      <c r="C676" s="57" t="s">
        <v>185</v>
      </c>
      <c r="D676" s="60">
        <v>3</v>
      </c>
      <c r="E676" s="59">
        <v>0</v>
      </c>
    </row>
    <row r="677" spans="2:5">
      <c r="B677" s="91"/>
      <c r="C677" s="57" t="s">
        <v>167</v>
      </c>
      <c r="D677" s="60">
        <v>3</v>
      </c>
      <c r="E677" s="59">
        <v>0</v>
      </c>
    </row>
    <row r="678" spans="2:5">
      <c r="B678" s="91"/>
      <c r="C678" s="57" t="s">
        <v>152</v>
      </c>
      <c r="D678" s="60">
        <v>2</v>
      </c>
      <c r="E678" s="59">
        <v>0</v>
      </c>
    </row>
    <row r="679" spans="2:5" ht="28.5">
      <c r="B679" s="91"/>
      <c r="C679" s="57" t="s">
        <v>154</v>
      </c>
      <c r="D679" s="60">
        <v>2</v>
      </c>
      <c r="E679" s="59">
        <v>0</v>
      </c>
    </row>
    <row r="680" spans="2:5">
      <c r="B680" s="91"/>
      <c r="C680" s="57" t="s">
        <v>177</v>
      </c>
      <c r="D680" s="60">
        <v>2</v>
      </c>
      <c r="E680" s="59">
        <v>0</v>
      </c>
    </row>
    <row r="681" spans="2:5">
      <c r="B681" s="91"/>
      <c r="C681" s="57" t="s">
        <v>191</v>
      </c>
      <c r="D681" s="60">
        <v>2</v>
      </c>
      <c r="E681" s="59">
        <v>0</v>
      </c>
    </row>
    <row r="682" spans="2:5">
      <c r="B682" s="91"/>
      <c r="C682" s="57" t="s">
        <v>150</v>
      </c>
      <c r="D682" s="60">
        <v>1</v>
      </c>
      <c r="E682" s="59">
        <v>0</v>
      </c>
    </row>
    <row r="683" spans="2:5">
      <c r="B683" s="91"/>
      <c r="C683" s="57" t="s">
        <v>156</v>
      </c>
      <c r="D683" s="60">
        <v>1</v>
      </c>
      <c r="E683" s="59">
        <v>0</v>
      </c>
    </row>
    <row r="684" spans="2:5">
      <c r="B684" s="91"/>
      <c r="C684" s="57" t="s">
        <v>162</v>
      </c>
      <c r="D684" s="60">
        <v>1</v>
      </c>
      <c r="E684" s="59">
        <v>0</v>
      </c>
    </row>
    <row r="685" spans="2:5">
      <c r="B685" s="91"/>
      <c r="C685" s="57" t="s">
        <v>187</v>
      </c>
      <c r="D685" s="60">
        <v>1</v>
      </c>
      <c r="E685" s="59">
        <v>0</v>
      </c>
    </row>
    <row r="686" spans="2:5">
      <c r="B686" s="91"/>
      <c r="C686" s="57" t="s">
        <v>190</v>
      </c>
      <c r="D686" s="60">
        <v>1</v>
      </c>
      <c r="E686" s="59">
        <v>0</v>
      </c>
    </row>
    <row r="687" spans="2:5" ht="29.1" customHeight="1">
      <c r="B687" s="91"/>
      <c r="C687" s="57" t="s">
        <v>175</v>
      </c>
      <c r="D687" s="60">
        <v>1</v>
      </c>
      <c r="E687" s="59">
        <v>0</v>
      </c>
    </row>
    <row r="688" spans="2:5">
      <c r="B688" s="92"/>
      <c r="C688" s="71" t="s">
        <v>302</v>
      </c>
      <c r="D688" s="69">
        <v>769</v>
      </c>
      <c r="E688" s="72">
        <v>1.2E-2</v>
      </c>
    </row>
    <row r="689" spans="2:5">
      <c r="B689" s="90" t="s">
        <v>123</v>
      </c>
      <c r="C689" s="57" t="s">
        <v>160</v>
      </c>
      <c r="D689" s="60">
        <v>116</v>
      </c>
      <c r="E689" s="59">
        <v>2E-3</v>
      </c>
    </row>
    <row r="690" spans="2:5">
      <c r="B690" s="91"/>
      <c r="C690" s="57" t="s">
        <v>169</v>
      </c>
      <c r="D690" s="60">
        <v>97</v>
      </c>
      <c r="E690" s="59">
        <v>2E-3</v>
      </c>
    </row>
    <row r="691" spans="2:5">
      <c r="B691" s="91"/>
      <c r="C691" s="57" t="s">
        <v>157</v>
      </c>
      <c r="D691" s="60">
        <v>69</v>
      </c>
      <c r="E691" s="59">
        <v>1E-3</v>
      </c>
    </row>
    <row r="692" spans="2:5">
      <c r="B692" s="91"/>
      <c r="C692" s="57" t="s">
        <v>163</v>
      </c>
      <c r="D692" s="60">
        <v>40</v>
      </c>
      <c r="E692" s="59">
        <v>1E-3</v>
      </c>
    </row>
    <row r="693" spans="2:5">
      <c r="B693" s="91"/>
      <c r="C693" s="57" t="s">
        <v>291</v>
      </c>
      <c r="D693" s="60">
        <v>39</v>
      </c>
      <c r="E693" s="59">
        <v>1E-3</v>
      </c>
    </row>
    <row r="694" spans="2:5">
      <c r="B694" s="91"/>
      <c r="C694" s="57" t="s">
        <v>151</v>
      </c>
      <c r="D694" s="60">
        <v>33</v>
      </c>
      <c r="E694" s="59">
        <v>1E-3</v>
      </c>
    </row>
    <row r="695" spans="2:5">
      <c r="B695" s="91"/>
      <c r="C695" s="57" t="s">
        <v>161</v>
      </c>
      <c r="D695" s="60">
        <v>31</v>
      </c>
      <c r="E695" s="59">
        <v>0</v>
      </c>
    </row>
    <row r="696" spans="2:5">
      <c r="B696" s="91"/>
      <c r="C696" s="57" t="s">
        <v>158</v>
      </c>
      <c r="D696" s="60">
        <v>22</v>
      </c>
      <c r="E696" s="59">
        <v>0</v>
      </c>
    </row>
    <row r="697" spans="2:5">
      <c r="B697" s="91"/>
      <c r="C697" s="57" t="s">
        <v>148</v>
      </c>
      <c r="D697" s="60">
        <v>20</v>
      </c>
      <c r="E697" s="59">
        <v>0</v>
      </c>
    </row>
    <row r="698" spans="2:5">
      <c r="B698" s="91"/>
      <c r="C698" s="57" t="s">
        <v>166</v>
      </c>
      <c r="D698" s="60">
        <v>20</v>
      </c>
      <c r="E698" s="59">
        <v>0</v>
      </c>
    </row>
    <row r="699" spans="2:5">
      <c r="B699" s="91"/>
      <c r="C699" s="57" t="s">
        <v>186</v>
      </c>
      <c r="D699" s="60">
        <v>18</v>
      </c>
      <c r="E699" s="59">
        <v>0</v>
      </c>
    </row>
    <row r="700" spans="2:5">
      <c r="B700" s="91"/>
      <c r="C700" s="57" t="s">
        <v>155</v>
      </c>
      <c r="D700" s="60">
        <v>17</v>
      </c>
      <c r="E700" s="59">
        <v>0</v>
      </c>
    </row>
    <row r="701" spans="2:5">
      <c r="B701" s="91"/>
      <c r="C701" s="57" t="s">
        <v>176</v>
      </c>
      <c r="D701" s="60">
        <v>17</v>
      </c>
      <c r="E701" s="59">
        <v>0</v>
      </c>
    </row>
    <row r="702" spans="2:5">
      <c r="B702" s="91"/>
      <c r="C702" s="57" t="s">
        <v>182</v>
      </c>
      <c r="D702" s="60">
        <v>15</v>
      </c>
      <c r="E702" s="59">
        <v>0</v>
      </c>
    </row>
    <row r="703" spans="2:5">
      <c r="B703" s="91"/>
      <c r="C703" s="57" t="s">
        <v>165</v>
      </c>
      <c r="D703" s="60">
        <v>15</v>
      </c>
      <c r="E703" s="59">
        <v>0</v>
      </c>
    </row>
    <row r="704" spans="2:5">
      <c r="B704" s="91"/>
      <c r="C704" s="57" t="s">
        <v>173</v>
      </c>
      <c r="D704" s="60">
        <v>15</v>
      </c>
      <c r="E704" s="59">
        <v>0</v>
      </c>
    </row>
    <row r="705" spans="2:5">
      <c r="B705" s="91"/>
      <c r="C705" s="57" t="s">
        <v>147</v>
      </c>
      <c r="D705" s="60">
        <v>11</v>
      </c>
      <c r="E705" s="59">
        <v>0</v>
      </c>
    </row>
    <row r="706" spans="2:5">
      <c r="B706" s="91"/>
      <c r="C706" s="57" t="s">
        <v>153</v>
      </c>
      <c r="D706" s="60">
        <v>11</v>
      </c>
      <c r="E706" s="59">
        <v>0</v>
      </c>
    </row>
    <row r="707" spans="2:5">
      <c r="B707" s="91"/>
      <c r="C707" s="57" t="s">
        <v>159</v>
      </c>
      <c r="D707" s="60">
        <v>9</v>
      </c>
      <c r="E707" s="59">
        <v>0</v>
      </c>
    </row>
    <row r="708" spans="2:5">
      <c r="B708" s="91"/>
      <c r="C708" s="57" t="s">
        <v>185</v>
      </c>
      <c r="D708" s="60">
        <v>8</v>
      </c>
      <c r="E708" s="59">
        <v>0</v>
      </c>
    </row>
    <row r="709" spans="2:5" ht="28.5">
      <c r="B709" s="91"/>
      <c r="C709" s="57" t="s">
        <v>154</v>
      </c>
      <c r="D709" s="60">
        <v>7</v>
      </c>
      <c r="E709" s="59">
        <v>0</v>
      </c>
    </row>
    <row r="710" spans="2:5">
      <c r="B710" s="91"/>
      <c r="C710" s="57" t="s">
        <v>164</v>
      </c>
      <c r="D710" s="60">
        <v>7</v>
      </c>
      <c r="E710" s="59">
        <v>0</v>
      </c>
    </row>
    <row r="711" spans="2:5">
      <c r="B711" s="91"/>
      <c r="C711" s="57" t="s">
        <v>179</v>
      </c>
      <c r="D711" s="60">
        <v>5</v>
      </c>
      <c r="E711" s="59">
        <v>0</v>
      </c>
    </row>
    <row r="712" spans="2:5">
      <c r="B712" s="91"/>
      <c r="C712" s="57" t="s">
        <v>152</v>
      </c>
      <c r="D712" s="60">
        <v>3</v>
      </c>
      <c r="E712" s="59">
        <v>0</v>
      </c>
    </row>
    <row r="713" spans="2:5">
      <c r="B713" s="91"/>
      <c r="C713" s="57" t="s">
        <v>156</v>
      </c>
      <c r="D713" s="60">
        <v>3</v>
      </c>
      <c r="E713" s="59">
        <v>0</v>
      </c>
    </row>
    <row r="714" spans="2:5">
      <c r="B714" s="91"/>
      <c r="C714" s="57" t="s">
        <v>184</v>
      </c>
      <c r="D714" s="60">
        <v>3</v>
      </c>
      <c r="E714" s="59">
        <v>0</v>
      </c>
    </row>
    <row r="715" spans="2:5">
      <c r="B715" s="91"/>
      <c r="C715" s="57" t="s">
        <v>149</v>
      </c>
      <c r="D715" s="60">
        <v>2</v>
      </c>
      <c r="E715" s="59">
        <v>0</v>
      </c>
    </row>
    <row r="716" spans="2:5">
      <c r="B716" s="91"/>
      <c r="C716" s="57" t="s">
        <v>170</v>
      </c>
      <c r="D716" s="60">
        <v>2</v>
      </c>
      <c r="E716" s="59">
        <v>0</v>
      </c>
    </row>
    <row r="717" spans="2:5">
      <c r="B717" s="91"/>
      <c r="C717" s="57" t="s">
        <v>171</v>
      </c>
      <c r="D717" s="60">
        <v>2</v>
      </c>
      <c r="E717" s="59">
        <v>0</v>
      </c>
    </row>
    <row r="718" spans="2:5">
      <c r="B718" s="91"/>
      <c r="C718" s="57" t="s">
        <v>189</v>
      </c>
      <c r="D718" s="60">
        <v>2</v>
      </c>
      <c r="E718" s="59">
        <v>0</v>
      </c>
    </row>
    <row r="719" spans="2:5">
      <c r="B719" s="91"/>
      <c r="C719" s="57" t="s">
        <v>190</v>
      </c>
      <c r="D719" s="60">
        <v>2</v>
      </c>
      <c r="E719" s="59">
        <v>0</v>
      </c>
    </row>
    <row r="720" spans="2:5">
      <c r="B720" s="91"/>
      <c r="C720" s="57" t="s">
        <v>168</v>
      </c>
      <c r="D720" s="60">
        <v>1</v>
      </c>
      <c r="E720" s="59">
        <v>0</v>
      </c>
    </row>
    <row r="721" spans="2:5">
      <c r="B721" s="91"/>
      <c r="C721" s="57" t="s">
        <v>187</v>
      </c>
      <c r="D721" s="60">
        <v>1</v>
      </c>
      <c r="E721" s="59">
        <v>0</v>
      </c>
    </row>
    <row r="722" spans="2:5">
      <c r="B722" s="92"/>
      <c r="C722" s="71" t="s">
        <v>302</v>
      </c>
      <c r="D722" s="69">
        <v>663</v>
      </c>
      <c r="E722" s="72">
        <v>0.01</v>
      </c>
    </row>
    <row r="723" spans="2:5">
      <c r="B723" s="90" t="s">
        <v>118</v>
      </c>
      <c r="C723" s="57" t="s">
        <v>187</v>
      </c>
      <c r="D723" s="60">
        <v>67</v>
      </c>
      <c r="E723" s="59">
        <v>1E-3</v>
      </c>
    </row>
    <row r="724" spans="2:5">
      <c r="B724" s="91"/>
      <c r="C724" s="57" t="s">
        <v>160</v>
      </c>
      <c r="D724" s="60">
        <v>58</v>
      </c>
      <c r="E724" s="59">
        <v>1E-3</v>
      </c>
    </row>
    <row r="725" spans="2:5">
      <c r="B725" s="91"/>
      <c r="C725" s="57" t="s">
        <v>171</v>
      </c>
      <c r="D725" s="60">
        <v>44</v>
      </c>
      <c r="E725" s="59">
        <v>1E-3</v>
      </c>
    </row>
    <row r="726" spans="2:5">
      <c r="B726" s="91"/>
      <c r="C726" s="57" t="s">
        <v>170</v>
      </c>
      <c r="D726" s="60">
        <v>41</v>
      </c>
      <c r="E726" s="59">
        <v>1E-3</v>
      </c>
    </row>
    <row r="727" spans="2:5">
      <c r="B727" s="91"/>
      <c r="C727" s="57" t="s">
        <v>166</v>
      </c>
      <c r="D727" s="60">
        <v>28</v>
      </c>
      <c r="E727" s="59">
        <v>0</v>
      </c>
    </row>
    <row r="728" spans="2:5" ht="29.1" customHeight="1">
      <c r="B728" s="91"/>
      <c r="C728" s="57" t="s">
        <v>151</v>
      </c>
      <c r="D728" s="60">
        <v>27</v>
      </c>
      <c r="E728" s="59">
        <v>0</v>
      </c>
    </row>
    <row r="729" spans="2:5">
      <c r="B729" s="91"/>
      <c r="C729" s="57" t="s">
        <v>152</v>
      </c>
      <c r="D729" s="60">
        <v>23</v>
      </c>
      <c r="E729" s="59">
        <v>0</v>
      </c>
    </row>
    <row r="730" spans="2:5">
      <c r="B730" s="91"/>
      <c r="C730" s="57" t="s">
        <v>172</v>
      </c>
      <c r="D730" s="60">
        <v>23</v>
      </c>
      <c r="E730" s="59">
        <v>0</v>
      </c>
    </row>
    <row r="731" spans="2:5">
      <c r="B731" s="91"/>
      <c r="C731" s="57" t="s">
        <v>165</v>
      </c>
      <c r="D731" s="60">
        <v>19</v>
      </c>
      <c r="E731" s="59">
        <v>0</v>
      </c>
    </row>
    <row r="732" spans="2:5">
      <c r="B732" s="91"/>
      <c r="C732" s="57" t="s">
        <v>189</v>
      </c>
      <c r="D732" s="60">
        <v>15</v>
      </c>
      <c r="E732" s="59">
        <v>0</v>
      </c>
    </row>
    <row r="733" spans="2:5">
      <c r="B733" s="91"/>
      <c r="C733" s="57" t="s">
        <v>148</v>
      </c>
      <c r="D733" s="60">
        <v>13</v>
      </c>
      <c r="E733" s="59">
        <v>0</v>
      </c>
    </row>
    <row r="734" spans="2:5">
      <c r="B734" s="91"/>
      <c r="C734" s="57" t="s">
        <v>155</v>
      </c>
      <c r="D734" s="60">
        <v>13</v>
      </c>
      <c r="E734" s="59">
        <v>0</v>
      </c>
    </row>
    <row r="735" spans="2:5">
      <c r="B735" s="91"/>
      <c r="C735" s="57" t="s">
        <v>163</v>
      </c>
      <c r="D735" s="60">
        <v>13</v>
      </c>
      <c r="E735" s="59">
        <v>0</v>
      </c>
    </row>
    <row r="736" spans="2:5">
      <c r="B736" s="91"/>
      <c r="C736" s="57" t="s">
        <v>161</v>
      </c>
      <c r="D736" s="60">
        <v>10</v>
      </c>
      <c r="E736" s="59">
        <v>0</v>
      </c>
    </row>
    <row r="737" spans="2:5">
      <c r="B737" s="91"/>
      <c r="C737" s="57" t="s">
        <v>164</v>
      </c>
      <c r="D737" s="60">
        <v>10</v>
      </c>
      <c r="E737" s="59">
        <v>0</v>
      </c>
    </row>
    <row r="738" spans="2:5">
      <c r="B738" s="91"/>
      <c r="C738" s="57" t="s">
        <v>176</v>
      </c>
      <c r="D738" s="60">
        <v>10</v>
      </c>
      <c r="E738" s="59">
        <v>0</v>
      </c>
    </row>
    <row r="739" spans="2:5">
      <c r="B739" s="91"/>
      <c r="C739" s="57" t="s">
        <v>168</v>
      </c>
      <c r="D739" s="60">
        <v>9</v>
      </c>
      <c r="E739" s="59">
        <v>0</v>
      </c>
    </row>
    <row r="740" spans="2:5">
      <c r="B740" s="91"/>
      <c r="C740" s="57" t="s">
        <v>157</v>
      </c>
      <c r="D740" s="60">
        <v>8</v>
      </c>
      <c r="E740" s="59">
        <v>0</v>
      </c>
    </row>
    <row r="741" spans="2:5">
      <c r="B741" s="91"/>
      <c r="C741" s="57" t="s">
        <v>159</v>
      </c>
      <c r="D741" s="60">
        <v>8</v>
      </c>
      <c r="E741" s="59">
        <v>0</v>
      </c>
    </row>
    <row r="742" spans="2:5">
      <c r="B742" s="91"/>
      <c r="C742" s="57" t="s">
        <v>147</v>
      </c>
      <c r="D742" s="60">
        <v>7</v>
      </c>
      <c r="E742" s="59">
        <v>0</v>
      </c>
    </row>
    <row r="743" spans="2:5" ht="28.5">
      <c r="B743" s="91"/>
      <c r="C743" s="57" t="s">
        <v>154</v>
      </c>
      <c r="D743" s="60">
        <v>7</v>
      </c>
      <c r="E743" s="59">
        <v>0</v>
      </c>
    </row>
    <row r="744" spans="2:5">
      <c r="B744" s="91"/>
      <c r="C744" s="57" t="s">
        <v>175</v>
      </c>
      <c r="D744" s="60">
        <v>5</v>
      </c>
      <c r="E744" s="59">
        <v>0</v>
      </c>
    </row>
    <row r="745" spans="2:5">
      <c r="B745" s="91"/>
      <c r="C745" s="57" t="s">
        <v>149</v>
      </c>
      <c r="D745" s="60">
        <v>3</v>
      </c>
      <c r="E745" s="59">
        <v>0</v>
      </c>
    </row>
    <row r="746" spans="2:5">
      <c r="B746" s="91"/>
      <c r="C746" s="57" t="s">
        <v>183</v>
      </c>
      <c r="D746" s="60">
        <v>3</v>
      </c>
      <c r="E746" s="59">
        <v>0</v>
      </c>
    </row>
    <row r="747" spans="2:5">
      <c r="B747" s="91"/>
      <c r="C747" s="57" t="s">
        <v>169</v>
      </c>
      <c r="D747" s="60">
        <v>3</v>
      </c>
      <c r="E747" s="59">
        <v>0</v>
      </c>
    </row>
    <row r="748" spans="2:5">
      <c r="B748" s="91"/>
      <c r="C748" s="57" t="s">
        <v>173</v>
      </c>
      <c r="D748" s="60">
        <v>3</v>
      </c>
      <c r="E748" s="59">
        <v>0</v>
      </c>
    </row>
    <row r="749" spans="2:5">
      <c r="B749" s="91"/>
      <c r="C749" s="57" t="s">
        <v>178</v>
      </c>
      <c r="D749" s="60">
        <v>3</v>
      </c>
      <c r="E749" s="59">
        <v>0</v>
      </c>
    </row>
    <row r="750" spans="2:5">
      <c r="B750" s="91"/>
      <c r="C750" s="57" t="s">
        <v>150</v>
      </c>
      <c r="D750" s="60">
        <v>2</v>
      </c>
      <c r="E750" s="59">
        <v>0</v>
      </c>
    </row>
    <row r="751" spans="2:5">
      <c r="B751" s="91"/>
      <c r="C751" s="57" t="s">
        <v>182</v>
      </c>
      <c r="D751" s="60">
        <v>2</v>
      </c>
      <c r="E751" s="59">
        <v>0</v>
      </c>
    </row>
    <row r="752" spans="2:5">
      <c r="B752" s="91"/>
      <c r="C752" s="57" t="s">
        <v>153</v>
      </c>
      <c r="D752" s="60">
        <v>2</v>
      </c>
      <c r="E752" s="59">
        <v>0</v>
      </c>
    </row>
    <row r="753" spans="2:5">
      <c r="B753" s="91"/>
      <c r="C753" s="57" t="s">
        <v>162</v>
      </c>
      <c r="D753" s="60">
        <v>2</v>
      </c>
      <c r="E753" s="59">
        <v>0</v>
      </c>
    </row>
    <row r="754" spans="2:5">
      <c r="B754" s="91"/>
      <c r="C754" s="57" t="s">
        <v>186</v>
      </c>
      <c r="D754" s="60">
        <v>2</v>
      </c>
      <c r="E754" s="59">
        <v>0</v>
      </c>
    </row>
    <row r="755" spans="2:5">
      <c r="B755" s="91"/>
      <c r="C755" s="57" t="s">
        <v>174</v>
      </c>
      <c r="D755" s="60">
        <v>2</v>
      </c>
      <c r="E755" s="59">
        <v>0</v>
      </c>
    </row>
    <row r="756" spans="2:5">
      <c r="B756" s="91"/>
      <c r="C756" s="57" t="s">
        <v>190</v>
      </c>
      <c r="D756" s="60">
        <v>2</v>
      </c>
      <c r="E756" s="59">
        <v>0</v>
      </c>
    </row>
    <row r="757" spans="2:5">
      <c r="B757" s="91"/>
      <c r="C757" s="57" t="s">
        <v>179</v>
      </c>
      <c r="D757" s="60">
        <v>2</v>
      </c>
      <c r="E757" s="59">
        <v>0</v>
      </c>
    </row>
    <row r="758" spans="2:5">
      <c r="B758" s="91"/>
      <c r="C758" s="57" t="s">
        <v>184</v>
      </c>
      <c r="D758" s="60">
        <v>1</v>
      </c>
      <c r="E758" s="59">
        <v>0</v>
      </c>
    </row>
    <row r="759" spans="2:5">
      <c r="B759" s="91"/>
      <c r="C759" s="57" t="s">
        <v>188</v>
      </c>
      <c r="D759" s="60">
        <v>1</v>
      </c>
      <c r="E759" s="59">
        <v>0</v>
      </c>
    </row>
    <row r="760" spans="2:5">
      <c r="B760" s="91"/>
      <c r="C760" s="57" t="s">
        <v>191</v>
      </c>
      <c r="D760" s="60">
        <v>1</v>
      </c>
      <c r="E760" s="59">
        <v>0</v>
      </c>
    </row>
    <row r="761" spans="2:5">
      <c r="B761" s="92"/>
      <c r="C761" s="71" t="s">
        <v>302</v>
      </c>
      <c r="D761" s="69">
        <v>492</v>
      </c>
      <c r="E761" s="72">
        <v>8.0000000000000002E-3</v>
      </c>
    </row>
    <row r="762" spans="2:5">
      <c r="B762" s="90" t="s">
        <v>107</v>
      </c>
      <c r="C762" s="57" t="s">
        <v>164</v>
      </c>
      <c r="D762" s="60">
        <v>92</v>
      </c>
      <c r="E762" s="59">
        <v>1E-3</v>
      </c>
    </row>
    <row r="763" spans="2:5">
      <c r="B763" s="91"/>
      <c r="C763" s="57" t="s">
        <v>163</v>
      </c>
      <c r="D763" s="60">
        <v>82</v>
      </c>
      <c r="E763" s="59">
        <v>1E-3</v>
      </c>
    </row>
    <row r="764" spans="2:5">
      <c r="B764" s="91"/>
      <c r="C764" s="57" t="s">
        <v>157</v>
      </c>
      <c r="D764" s="60">
        <v>61</v>
      </c>
      <c r="E764" s="59">
        <v>1E-3</v>
      </c>
    </row>
    <row r="765" spans="2:5">
      <c r="B765" s="91"/>
      <c r="C765" s="57" t="s">
        <v>160</v>
      </c>
      <c r="D765" s="60">
        <v>35</v>
      </c>
      <c r="E765" s="59">
        <v>1E-3</v>
      </c>
    </row>
    <row r="766" spans="2:5">
      <c r="B766" s="91"/>
      <c r="C766" s="57" t="s">
        <v>176</v>
      </c>
      <c r="D766" s="60">
        <v>30</v>
      </c>
      <c r="E766" s="59">
        <v>0</v>
      </c>
    </row>
    <row r="767" spans="2:5">
      <c r="B767" s="91"/>
      <c r="C767" s="57" t="s">
        <v>155</v>
      </c>
      <c r="D767" s="60">
        <v>28</v>
      </c>
      <c r="E767" s="59">
        <v>0</v>
      </c>
    </row>
    <row r="768" spans="2:5" ht="28.5">
      <c r="B768" s="91"/>
      <c r="C768" s="57" t="s">
        <v>154</v>
      </c>
      <c r="D768" s="60">
        <v>24</v>
      </c>
      <c r="E768" s="59">
        <v>0</v>
      </c>
    </row>
    <row r="769" spans="2:5">
      <c r="B769" s="91"/>
      <c r="C769" s="57" t="s">
        <v>165</v>
      </c>
      <c r="D769" s="60">
        <v>18</v>
      </c>
      <c r="E769" s="59">
        <v>0</v>
      </c>
    </row>
    <row r="770" spans="2:5">
      <c r="B770" s="91"/>
      <c r="C770" s="57" t="s">
        <v>151</v>
      </c>
      <c r="D770" s="60">
        <v>13</v>
      </c>
      <c r="E770" s="59">
        <v>0</v>
      </c>
    </row>
    <row r="771" spans="2:5">
      <c r="B771" s="91"/>
      <c r="C771" s="57" t="s">
        <v>161</v>
      </c>
      <c r="D771" s="60">
        <v>13</v>
      </c>
      <c r="E771" s="59">
        <v>0</v>
      </c>
    </row>
    <row r="772" spans="2:5">
      <c r="B772" s="91"/>
      <c r="C772" s="57" t="s">
        <v>187</v>
      </c>
      <c r="D772" s="60">
        <v>12</v>
      </c>
      <c r="E772" s="59">
        <v>0</v>
      </c>
    </row>
    <row r="773" spans="2:5">
      <c r="B773" s="91"/>
      <c r="C773" s="57" t="s">
        <v>173</v>
      </c>
      <c r="D773" s="60">
        <v>10</v>
      </c>
      <c r="E773" s="59">
        <v>0</v>
      </c>
    </row>
    <row r="774" spans="2:5">
      <c r="B774" s="91"/>
      <c r="C774" s="57" t="s">
        <v>166</v>
      </c>
      <c r="D774" s="60">
        <v>8</v>
      </c>
      <c r="E774" s="59">
        <v>0</v>
      </c>
    </row>
    <row r="775" spans="2:5">
      <c r="B775" s="91"/>
      <c r="C775" s="57" t="s">
        <v>186</v>
      </c>
      <c r="D775" s="60">
        <v>7</v>
      </c>
      <c r="E775" s="59">
        <v>0</v>
      </c>
    </row>
    <row r="776" spans="2:5">
      <c r="B776" s="91"/>
      <c r="C776" s="57" t="s">
        <v>147</v>
      </c>
      <c r="D776" s="60">
        <v>6</v>
      </c>
      <c r="E776" s="59">
        <v>0</v>
      </c>
    </row>
    <row r="777" spans="2:5">
      <c r="B777" s="91"/>
      <c r="C777" s="57" t="s">
        <v>153</v>
      </c>
      <c r="D777" s="60">
        <v>6</v>
      </c>
      <c r="E777" s="59">
        <v>0</v>
      </c>
    </row>
    <row r="778" spans="2:5">
      <c r="B778" s="91"/>
      <c r="C778" s="57" t="s">
        <v>169</v>
      </c>
      <c r="D778" s="60">
        <v>5</v>
      </c>
      <c r="E778" s="59">
        <v>0</v>
      </c>
    </row>
    <row r="779" spans="2:5">
      <c r="B779" s="91"/>
      <c r="C779" s="57" t="s">
        <v>179</v>
      </c>
      <c r="D779" s="60">
        <v>5</v>
      </c>
      <c r="E779" s="59">
        <v>0</v>
      </c>
    </row>
    <row r="780" spans="2:5">
      <c r="B780" s="91"/>
      <c r="C780" s="57" t="s">
        <v>189</v>
      </c>
      <c r="D780" s="60">
        <v>4</v>
      </c>
      <c r="E780" s="59">
        <v>0</v>
      </c>
    </row>
    <row r="781" spans="2:5">
      <c r="B781" s="91"/>
      <c r="C781" s="57" t="s">
        <v>149</v>
      </c>
      <c r="D781" s="60">
        <v>3</v>
      </c>
      <c r="E781" s="59">
        <v>0</v>
      </c>
    </row>
    <row r="782" spans="2:5">
      <c r="B782" s="91"/>
      <c r="C782" s="57" t="s">
        <v>182</v>
      </c>
      <c r="D782" s="60">
        <v>3</v>
      </c>
      <c r="E782" s="59">
        <v>0</v>
      </c>
    </row>
    <row r="783" spans="2:5">
      <c r="B783" s="91"/>
      <c r="C783" s="57" t="s">
        <v>150</v>
      </c>
      <c r="D783" s="60">
        <v>2</v>
      </c>
      <c r="E783" s="59">
        <v>0</v>
      </c>
    </row>
    <row r="784" spans="2:5">
      <c r="B784" s="91"/>
      <c r="C784" s="57" t="s">
        <v>181</v>
      </c>
      <c r="D784" s="60">
        <v>2</v>
      </c>
      <c r="E784" s="59">
        <v>0</v>
      </c>
    </row>
    <row r="785" spans="2:5">
      <c r="B785" s="91"/>
      <c r="C785" s="57" t="s">
        <v>156</v>
      </c>
      <c r="D785" s="60">
        <v>2</v>
      </c>
      <c r="E785" s="59">
        <v>0</v>
      </c>
    </row>
    <row r="786" spans="2:5">
      <c r="B786" s="91"/>
      <c r="C786" s="57" t="s">
        <v>168</v>
      </c>
      <c r="D786" s="60">
        <v>2</v>
      </c>
      <c r="E786" s="59">
        <v>0</v>
      </c>
    </row>
    <row r="787" spans="2:5">
      <c r="B787" s="91"/>
      <c r="C787" s="57" t="s">
        <v>171</v>
      </c>
      <c r="D787" s="60">
        <v>2</v>
      </c>
      <c r="E787" s="59">
        <v>0</v>
      </c>
    </row>
    <row r="788" spans="2:5">
      <c r="B788" s="91"/>
      <c r="C788" s="57" t="s">
        <v>148</v>
      </c>
      <c r="D788" s="60">
        <v>1</v>
      </c>
      <c r="E788" s="59">
        <v>0</v>
      </c>
    </row>
    <row r="789" spans="2:5">
      <c r="B789" s="91"/>
      <c r="C789" s="57" t="s">
        <v>180</v>
      </c>
      <c r="D789" s="60">
        <v>1</v>
      </c>
      <c r="E789" s="59">
        <v>0</v>
      </c>
    </row>
    <row r="790" spans="2:5">
      <c r="B790" s="91"/>
      <c r="C790" s="57" t="s">
        <v>291</v>
      </c>
      <c r="D790" s="60">
        <v>1</v>
      </c>
      <c r="E790" s="59">
        <v>0</v>
      </c>
    </row>
    <row r="791" spans="2:5">
      <c r="B791" s="91"/>
      <c r="C791" s="57" t="s">
        <v>158</v>
      </c>
      <c r="D791" s="60">
        <v>1</v>
      </c>
      <c r="E791" s="59">
        <v>0</v>
      </c>
    </row>
    <row r="792" spans="2:5">
      <c r="B792" s="91"/>
      <c r="C792" s="57" t="s">
        <v>184</v>
      </c>
      <c r="D792" s="60">
        <v>1</v>
      </c>
      <c r="E792" s="59">
        <v>0</v>
      </c>
    </row>
    <row r="793" spans="2:5">
      <c r="B793" s="91"/>
      <c r="C793" s="57" t="s">
        <v>185</v>
      </c>
      <c r="D793" s="60">
        <v>1</v>
      </c>
      <c r="E793" s="59">
        <v>0</v>
      </c>
    </row>
    <row r="794" spans="2:5">
      <c r="B794" s="91"/>
      <c r="C794" s="57" t="s">
        <v>170</v>
      </c>
      <c r="D794" s="60">
        <v>1</v>
      </c>
      <c r="E794" s="59">
        <v>0</v>
      </c>
    </row>
    <row r="795" spans="2:5">
      <c r="B795" s="91"/>
      <c r="C795" s="57" t="s">
        <v>172</v>
      </c>
      <c r="D795" s="60">
        <v>1</v>
      </c>
      <c r="E795" s="59">
        <v>0</v>
      </c>
    </row>
    <row r="796" spans="2:5">
      <c r="B796" s="91"/>
      <c r="C796" s="57" t="s">
        <v>174</v>
      </c>
      <c r="D796" s="60">
        <v>1</v>
      </c>
      <c r="E796" s="59">
        <v>0</v>
      </c>
    </row>
    <row r="797" spans="2:5">
      <c r="B797" s="91"/>
      <c r="C797" s="57" t="s">
        <v>177</v>
      </c>
      <c r="D797" s="60">
        <v>1</v>
      </c>
      <c r="E797" s="59">
        <v>0</v>
      </c>
    </row>
    <row r="798" spans="2:5">
      <c r="B798" s="92"/>
      <c r="C798" s="71" t="s">
        <v>302</v>
      </c>
      <c r="D798" s="69">
        <v>485</v>
      </c>
      <c r="E798" s="72">
        <v>8.0000000000000002E-3</v>
      </c>
    </row>
    <row r="799" spans="2:5">
      <c r="B799" s="90" t="s">
        <v>135</v>
      </c>
      <c r="C799" s="57" t="s">
        <v>160</v>
      </c>
      <c r="D799" s="60">
        <v>49</v>
      </c>
      <c r="E799" s="59">
        <v>1E-3</v>
      </c>
    </row>
    <row r="800" spans="2:5">
      <c r="B800" s="91"/>
      <c r="C800" s="57" t="s">
        <v>151</v>
      </c>
      <c r="D800" s="60">
        <v>39</v>
      </c>
      <c r="E800" s="59">
        <v>1E-3</v>
      </c>
    </row>
    <row r="801" spans="2:5">
      <c r="B801" s="91"/>
      <c r="C801" s="57" t="s">
        <v>179</v>
      </c>
      <c r="D801" s="60">
        <v>30</v>
      </c>
      <c r="E801" s="59">
        <v>0</v>
      </c>
    </row>
    <row r="802" spans="2:5">
      <c r="B802" s="91"/>
      <c r="C802" s="57" t="s">
        <v>148</v>
      </c>
      <c r="D802" s="60">
        <v>28</v>
      </c>
      <c r="E802" s="59">
        <v>0</v>
      </c>
    </row>
    <row r="803" spans="2:5" ht="29.1" customHeight="1">
      <c r="B803" s="91"/>
      <c r="C803" s="57" t="s">
        <v>159</v>
      </c>
      <c r="D803" s="60">
        <v>27</v>
      </c>
      <c r="E803" s="59">
        <v>0</v>
      </c>
    </row>
    <row r="804" spans="2:5">
      <c r="B804" s="91"/>
      <c r="C804" s="57" t="s">
        <v>165</v>
      </c>
      <c r="D804" s="60">
        <v>26</v>
      </c>
      <c r="E804" s="59">
        <v>0</v>
      </c>
    </row>
    <row r="805" spans="2:5">
      <c r="B805" s="91"/>
      <c r="C805" s="57" t="s">
        <v>157</v>
      </c>
      <c r="D805" s="60">
        <v>22</v>
      </c>
      <c r="E805" s="59">
        <v>0</v>
      </c>
    </row>
    <row r="806" spans="2:5">
      <c r="B806" s="91"/>
      <c r="C806" s="57" t="s">
        <v>170</v>
      </c>
      <c r="D806" s="60">
        <v>21</v>
      </c>
      <c r="E806" s="59">
        <v>0</v>
      </c>
    </row>
    <row r="807" spans="2:5">
      <c r="B807" s="91"/>
      <c r="C807" s="57" t="s">
        <v>172</v>
      </c>
      <c r="D807" s="60">
        <v>21</v>
      </c>
      <c r="E807" s="59">
        <v>0</v>
      </c>
    </row>
    <row r="808" spans="2:5">
      <c r="B808" s="91"/>
      <c r="C808" s="57" t="s">
        <v>163</v>
      </c>
      <c r="D808" s="60">
        <v>20</v>
      </c>
      <c r="E808" s="59">
        <v>0</v>
      </c>
    </row>
    <row r="809" spans="2:5">
      <c r="B809" s="91"/>
      <c r="C809" s="57" t="s">
        <v>161</v>
      </c>
      <c r="D809" s="60">
        <v>19</v>
      </c>
      <c r="E809" s="59">
        <v>0</v>
      </c>
    </row>
    <row r="810" spans="2:5">
      <c r="B810" s="91"/>
      <c r="C810" s="57" t="s">
        <v>152</v>
      </c>
      <c r="D810" s="60">
        <v>18</v>
      </c>
      <c r="E810" s="59">
        <v>0</v>
      </c>
    </row>
    <row r="811" spans="2:5">
      <c r="B811" s="91"/>
      <c r="C811" s="57" t="s">
        <v>166</v>
      </c>
      <c r="D811" s="60">
        <v>17</v>
      </c>
      <c r="E811" s="59">
        <v>0</v>
      </c>
    </row>
    <row r="812" spans="2:5">
      <c r="B812" s="91"/>
      <c r="C812" s="57" t="s">
        <v>171</v>
      </c>
      <c r="D812" s="60">
        <v>15</v>
      </c>
      <c r="E812" s="59">
        <v>0</v>
      </c>
    </row>
    <row r="813" spans="2:5">
      <c r="B813" s="91"/>
      <c r="C813" s="57" t="s">
        <v>187</v>
      </c>
      <c r="D813" s="60">
        <v>12</v>
      </c>
      <c r="E813" s="59">
        <v>0</v>
      </c>
    </row>
    <row r="814" spans="2:5">
      <c r="B814" s="91"/>
      <c r="C814" s="57" t="s">
        <v>182</v>
      </c>
      <c r="D814" s="60">
        <v>11</v>
      </c>
      <c r="E814" s="59">
        <v>0</v>
      </c>
    </row>
    <row r="815" spans="2:5">
      <c r="B815" s="91"/>
      <c r="C815" s="57" t="s">
        <v>176</v>
      </c>
      <c r="D815" s="60">
        <v>10</v>
      </c>
      <c r="E815" s="59">
        <v>0</v>
      </c>
    </row>
    <row r="816" spans="2:5">
      <c r="B816" s="91"/>
      <c r="C816" s="57" t="s">
        <v>183</v>
      </c>
      <c r="D816" s="60">
        <v>9</v>
      </c>
      <c r="E816" s="59">
        <v>0</v>
      </c>
    </row>
    <row r="817" spans="2:5" ht="28.5">
      <c r="B817" s="91"/>
      <c r="C817" s="57" t="s">
        <v>154</v>
      </c>
      <c r="D817" s="60">
        <v>9</v>
      </c>
      <c r="E817" s="59">
        <v>0</v>
      </c>
    </row>
    <row r="818" spans="2:5">
      <c r="B818" s="91"/>
      <c r="C818" s="57" t="s">
        <v>147</v>
      </c>
      <c r="D818" s="60">
        <v>7</v>
      </c>
      <c r="E818" s="59">
        <v>0</v>
      </c>
    </row>
    <row r="819" spans="2:5">
      <c r="B819" s="91"/>
      <c r="C819" s="57" t="s">
        <v>155</v>
      </c>
      <c r="D819" s="60">
        <v>7</v>
      </c>
      <c r="E819" s="59">
        <v>0</v>
      </c>
    </row>
    <row r="820" spans="2:5">
      <c r="B820" s="91"/>
      <c r="C820" s="57" t="s">
        <v>168</v>
      </c>
      <c r="D820" s="60">
        <v>7</v>
      </c>
      <c r="E820" s="59">
        <v>0</v>
      </c>
    </row>
    <row r="821" spans="2:5">
      <c r="B821" s="91"/>
      <c r="C821" s="57" t="s">
        <v>175</v>
      </c>
      <c r="D821" s="60">
        <v>6</v>
      </c>
      <c r="E821" s="59">
        <v>0</v>
      </c>
    </row>
    <row r="822" spans="2:5">
      <c r="B822" s="91"/>
      <c r="C822" s="57" t="s">
        <v>149</v>
      </c>
      <c r="D822" s="60">
        <v>5</v>
      </c>
      <c r="E822" s="59">
        <v>0</v>
      </c>
    </row>
    <row r="823" spans="2:5">
      <c r="B823" s="91"/>
      <c r="C823" s="57" t="s">
        <v>158</v>
      </c>
      <c r="D823" s="60">
        <v>5</v>
      </c>
      <c r="E823" s="59">
        <v>0</v>
      </c>
    </row>
    <row r="824" spans="2:5">
      <c r="B824" s="91"/>
      <c r="C824" s="57" t="s">
        <v>184</v>
      </c>
      <c r="D824" s="60">
        <v>5</v>
      </c>
      <c r="E824" s="59">
        <v>0</v>
      </c>
    </row>
    <row r="825" spans="2:5">
      <c r="B825" s="91"/>
      <c r="C825" s="57" t="s">
        <v>185</v>
      </c>
      <c r="D825" s="60">
        <v>5</v>
      </c>
      <c r="E825" s="59">
        <v>0</v>
      </c>
    </row>
    <row r="826" spans="2:5">
      <c r="B826" s="91"/>
      <c r="C826" s="57" t="s">
        <v>177</v>
      </c>
      <c r="D826" s="60">
        <v>5</v>
      </c>
      <c r="E826" s="59">
        <v>0</v>
      </c>
    </row>
    <row r="827" spans="2:5">
      <c r="B827" s="91"/>
      <c r="C827" s="57" t="s">
        <v>150</v>
      </c>
      <c r="D827" s="60">
        <v>3</v>
      </c>
      <c r="E827" s="59">
        <v>0</v>
      </c>
    </row>
    <row r="828" spans="2:5">
      <c r="B828" s="91"/>
      <c r="C828" s="57" t="s">
        <v>153</v>
      </c>
      <c r="D828" s="60">
        <v>3</v>
      </c>
      <c r="E828" s="59">
        <v>0</v>
      </c>
    </row>
    <row r="829" spans="2:5">
      <c r="B829" s="91"/>
      <c r="C829" s="57" t="s">
        <v>173</v>
      </c>
      <c r="D829" s="60">
        <v>3</v>
      </c>
      <c r="E829" s="59">
        <v>0</v>
      </c>
    </row>
    <row r="830" spans="2:5">
      <c r="B830" s="91"/>
      <c r="C830" s="57" t="s">
        <v>178</v>
      </c>
      <c r="D830" s="60">
        <v>3</v>
      </c>
      <c r="E830" s="59">
        <v>0</v>
      </c>
    </row>
    <row r="831" spans="2:5">
      <c r="B831" s="91"/>
      <c r="C831" s="57" t="s">
        <v>180</v>
      </c>
      <c r="D831" s="60">
        <v>2</v>
      </c>
      <c r="E831" s="59">
        <v>0</v>
      </c>
    </row>
    <row r="832" spans="2:5">
      <c r="B832" s="91"/>
      <c r="C832" s="57" t="s">
        <v>186</v>
      </c>
      <c r="D832" s="60">
        <v>2</v>
      </c>
      <c r="E832" s="59">
        <v>0</v>
      </c>
    </row>
    <row r="833" spans="2:5">
      <c r="B833" s="91"/>
      <c r="C833" s="57" t="s">
        <v>167</v>
      </c>
      <c r="D833" s="60">
        <v>2</v>
      </c>
      <c r="E833" s="59">
        <v>0</v>
      </c>
    </row>
    <row r="834" spans="2:5">
      <c r="B834" s="91"/>
      <c r="C834" s="57" t="s">
        <v>169</v>
      </c>
      <c r="D834" s="60">
        <v>2</v>
      </c>
      <c r="E834" s="59">
        <v>0</v>
      </c>
    </row>
    <row r="835" spans="2:5">
      <c r="B835" s="91"/>
      <c r="C835" s="57" t="s">
        <v>192</v>
      </c>
      <c r="D835" s="60">
        <v>2</v>
      </c>
      <c r="E835" s="59">
        <v>0</v>
      </c>
    </row>
    <row r="836" spans="2:5">
      <c r="B836" s="91"/>
      <c r="C836" s="57" t="s">
        <v>190</v>
      </c>
      <c r="D836" s="60">
        <v>2</v>
      </c>
      <c r="E836" s="59">
        <v>0</v>
      </c>
    </row>
    <row r="837" spans="2:5">
      <c r="B837" s="91"/>
      <c r="C837" s="57" t="s">
        <v>162</v>
      </c>
      <c r="D837" s="60">
        <v>1</v>
      </c>
      <c r="E837" s="59">
        <v>0</v>
      </c>
    </row>
    <row r="838" spans="2:5">
      <c r="B838" s="92"/>
      <c r="C838" s="71" t="s">
        <v>302</v>
      </c>
      <c r="D838" s="69">
        <v>480</v>
      </c>
      <c r="E838" s="72">
        <v>8.0000000000000002E-3</v>
      </c>
    </row>
    <row r="839" spans="2:5">
      <c r="B839" s="90" t="s">
        <v>139</v>
      </c>
      <c r="C839" s="57" t="s">
        <v>179</v>
      </c>
      <c r="D839" s="60">
        <v>61</v>
      </c>
      <c r="E839" s="59">
        <v>1E-3</v>
      </c>
    </row>
    <row r="840" spans="2:5">
      <c r="B840" s="91"/>
      <c r="C840" s="57" t="s">
        <v>157</v>
      </c>
      <c r="D840" s="60">
        <v>56</v>
      </c>
      <c r="E840" s="59">
        <v>1E-3</v>
      </c>
    </row>
    <row r="841" spans="2:5">
      <c r="B841" s="91"/>
      <c r="C841" s="57" t="s">
        <v>163</v>
      </c>
      <c r="D841" s="60">
        <v>50</v>
      </c>
      <c r="E841" s="59">
        <v>1E-3</v>
      </c>
    </row>
    <row r="842" spans="2:5">
      <c r="B842" s="91"/>
      <c r="C842" s="57" t="s">
        <v>160</v>
      </c>
      <c r="D842" s="60">
        <v>38</v>
      </c>
      <c r="E842" s="59">
        <v>1E-3</v>
      </c>
    </row>
    <row r="843" spans="2:5">
      <c r="B843" s="91"/>
      <c r="C843" s="57" t="s">
        <v>151</v>
      </c>
      <c r="D843" s="60">
        <v>29</v>
      </c>
      <c r="E843" s="59">
        <v>0</v>
      </c>
    </row>
    <row r="844" spans="2:5">
      <c r="B844" s="91"/>
      <c r="C844" s="57" t="s">
        <v>165</v>
      </c>
      <c r="D844" s="60">
        <v>24</v>
      </c>
      <c r="E844" s="59">
        <v>0</v>
      </c>
    </row>
    <row r="845" spans="2:5">
      <c r="B845" s="91"/>
      <c r="C845" s="57" t="s">
        <v>147</v>
      </c>
      <c r="D845" s="60">
        <v>18</v>
      </c>
      <c r="E845" s="59">
        <v>0</v>
      </c>
    </row>
    <row r="846" spans="2:5">
      <c r="B846" s="91"/>
      <c r="C846" s="57" t="s">
        <v>176</v>
      </c>
      <c r="D846" s="60">
        <v>14</v>
      </c>
      <c r="E846" s="59">
        <v>0</v>
      </c>
    </row>
    <row r="847" spans="2:5">
      <c r="B847" s="91"/>
      <c r="C847" s="57" t="s">
        <v>191</v>
      </c>
      <c r="D847" s="60">
        <v>14</v>
      </c>
      <c r="E847" s="59">
        <v>0</v>
      </c>
    </row>
    <row r="848" spans="2:5">
      <c r="B848" s="91"/>
      <c r="C848" s="57" t="s">
        <v>148</v>
      </c>
      <c r="D848" s="60">
        <v>13</v>
      </c>
      <c r="E848" s="59">
        <v>0</v>
      </c>
    </row>
    <row r="849" spans="2:5">
      <c r="B849" s="91"/>
      <c r="C849" s="57" t="s">
        <v>184</v>
      </c>
      <c r="D849" s="60">
        <v>12</v>
      </c>
      <c r="E849" s="59">
        <v>0</v>
      </c>
    </row>
    <row r="850" spans="2:5">
      <c r="B850" s="91"/>
      <c r="C850" s="57" t="s">
        <v>172</v>
      </c>
      <c r="D850" s="60">
        <v>12</v>
      </c>
      <c r="E850" s="59">
        <v>0</v>
      </c>
    </row>
    <row r="851" spans="2:5">
      <c r="B851" s="91"/>
      <c r="C851" s="57" t="s">
        <v>173</v>
      </c>
      <c r="D851" s="60">
        <v>10</v>
      </c>
      <c r="E851" s="59">
        <v>0</v>
      </c>
    </row>
    <row r="852" spans="2:5">
      <c r="B852" s="91"/>
      <c r="C852" s="57" t="s">
        <v>182</v>
      </c>
      <c r="D852" s="60">
        <v>9</v>
      </c>
      <c r="E852" s="59">
        <v>0</v>
      </c>
    </row>
    <row r="853" spans="2:5">
      <c r="B853" s="91"/>
      <c r="C853" s="57" t="s">
        <v>189</v>
      </c>
      <c r="D853" s="60">
        <v>9</v>
      </c>
      <c r="E853" s="59">
        <v>0</v>
      </c>
    </row>
    <row r="854" spans="2:5" ht="28.5">
      <c r="B854" s="91"/>
      <c r="C854" s="57" t="s">
        <v>154</v>
      </c>
      <c r="D854" s="60">
        <v>8</v>
      </c>
      <c r="E854" s="59">
        <v>0</v>
      </c>
    </row>
    <row r="855" spans="2:5">
      <c r="B855" s="91"/>
      <c r="C855" s="57" t="s">
        <v>159</v>
      </c>
      <c r="D855" s="60">
        <v>7</v>
      </c>
      <c r="E855" s="59">
        <v>0</v>
      </c>
    </row>
    <row r="856" spans="2:5">
      <c r="B856" s="91"/>
      <c r="C856" s="57" t="s">
        <v>171</v>
      </c>
      <c r="D856" s="60">
        <v>7</v>
      </c>
      <c r="E856" s="59">
        <v>0</v>
      </c>
    </row>
    <row r="857" spans="2:5">
      <c r="B857" s="91"/>
      <c r="C857" s="57" t="s">
        <v>175</v>
      </c>
      <c r="D857" s="60">
        <v>7</v>
      </c>
      <c r="E857" s="59">
        <v>0</v>
      </c>
    </row>
    <row r="858" spans="2:5">
      <c r="B858" s="91"/>
      <c r="C858" s="57" t="s">
        <v>166</v>
      </c>
      <c r="D858" s="60">
        <v>6</v>
      </c>
      <c r="E858" s="59">
        <v>0</v>
      </c>
    </row>
    <row r="859" spans="2:5">
      <c r="B859" s="91"/>
      <c r="C859" s="57" t="s">
        <v>155</v>
      </c>
      <c r="D859" s="60">
        <v>5</v>
      </c>
      <c r="E859" s="59">
        <v>0</v>
      </c>
    </row>
    <row r="860" spans="2:5">
      <c r="B860" s="91"/>
      <c r="C860" s="57" t="s">
        <v>161</v>
      </c>
      <c r="D860" s="60">
        <v>4</v>
      </c>
      <c r="E860" s="59">
        <v>0</v>
      </c>
    </row>
    <row r="861" spans="2:5">
      <c r="B861" s="91"/>
      <c r="C861" s="57" t="s">
        <v>170</v>
      </c>
      <c r="D861" s="60">
        <v>4</v>
      </c>
      <c r="E861" s="59">
        <v>0</v>
      </c>
    </row>
    <row r="862" spans="2:5">
      <c r="B862" s="91"/>
      <c r="C862" s="57" t="s">
        <v>149</v>
      </c>
      <c r="D862" s="60">
        <v>3</v>
      </c>
      <c r="E862" s="59">
        <v>0</v>
      </c>
    </row>
    <row r="863" spans="2:5">
      <c r="B863" s="91"/>
      <c r="C863" s="57" t="s">
        <v>169</v>
      </c>
      <c r="D863" s="60">
        <v>3</v>
      </c>
      <c r="E863" s="59">
        <v>0</v>
      </c>
    </row>
    <row r="864" spans="2:5">
      <c r="B864" s="91"/>
      <c r="C864" s="57" t="s">
        <v>153</v>
      </c>
      <c r="D864" s="60">
        <v>2</v>
      </c>
      <c r="E864" s="59">
        <v>0</v>
      </c>
    </row>
    <row r="865" spans="2:5">
      <c r="B865" s="91"/>
      <c r="C865" s="57" t="s">
        <v>158</v>
      </c>
      <c r="D865" s="60">
        <v>2</v>
      </c>
      <c r="E865" s="59">
        <v>0</v>
      </c>
    </row>
    <row r="866" spans="2:5">
      <c r="B866" s="91"/>
      <c r="C866" s="57" t="s">
        <v>164</v>
      </c>
      <c r="D866" s="60">
        <v>2</v>
      </c>
      <c r="E866" s="59">
        <v>0</v>
      </c>
    </row>
    <row r="867" spans="2:5">
      <c r="B867" s="91"/>
      <c r="C867" s="57" t="s">
        <v>168</v>
      </c>
      <c r="D867" s="60">
        <v>2</v>
      </c>
      <c r="E867" s="59">
        <v>0</v>
      </c>
    </row>
    <row r="868" spans="2:5">
      <c r="B868" s="91"/>
      <c r="C868" s="57" t="s">
        <v>187</v>
      </c>
      <c r="D868" s="60">
        <v>2</v>
      </c>
      <c r="E868" s="59">
        <v>0</v>
      </c>
    </row>
    <row r="869" spans="2:5">
      <c r="B869" s="91"/>
      <c r="C869" s="57" t="s">
        <v>150</v>
      </c>
      <c r="D869" s="60">
        <v>1</v>
      </c>
      <c r="E869" s="59">
        <v>0</v>
      </c>
    </row>
    <row r="870" spans="2:5">
      <c r="B870" s="91"/>
      <c r="C870" s="57" t="s">
        <v>152</v>
      </c>
      <c r="D870" s="60">
        <v>1</v>
      </c>
      <c r="E870" s="59">
        <v>0</v>
      </c>
    </row>
    <row r="871" spans="2:5">
      <c r="B871" s="91"/>
      <c r="C871" s="57" t="s">
        <v>291</v>
      </c>
      <c r="D871" s="60">
        <v>1</v>
      </c>
      <c r="E871" s="59">
        <v>0</v>
      </c>
    </row>
    <row r="872" spans="2:5">
      <c r="B872" s="91"/>
      <c r="C872" s="57" t="s">
        <v>162</v>
      </c>
      <c r="D872" s="60">
        <v>1</v>
      </c>
      <c r="E872" s="59">
        <v>0</v>
      </c>
    </row>
    <row r="873" spans="2:5">
      <c r="B873" s="91"/>
      <c r="C873" s="57" t="s">
        <v>186</v>
      </c>
      <c r="D873" s="60">
        <v>1</v>
      </c>
      <c r="E873" s="59">
        <v>0</v>
      </c>
    </row>
    <row r="874" spans="2:5">
      <c r="B874" s="91"/>
      <c r="C874" s="57" t="s">
        <v>167</v>
      </c>
      <c r="D874" s="60">
        <v>1</v>
      </c>
      <c r="E874" s="59">
        <v>0</v>
      </c>
    </row>
    <row r="875" spans="2:5">
      <c r="B875" s="91"/>
      <c r="C875" s="57" t="s">
        <v>190</v>
      </c>
      <c r="D875" s="60">
        <v>1</v>
      </c>
      <c r="E875" s="59">
        <v>0</v>
      </c>
    </row>
    <row r="876" spans="2:5">
      <c r="B876" s="91"/>
      <c r="C876" s="57" t="s">
        <v>178</v>
      </c>
      <c r="D876" s="60">
        <v>1</v>
      </c>
      <c r="E876" s="59">
        <v>0</v>
      </c>
    </row>
    <row r="877" spans="2:5">
      <c r="B877" s="92"/>
      <c r="C877" s="71" t="s">
        <v>302</v>
      </c>
      <c r="D877" s="69">
        <v>441</v>
      </c>
      <c r="E877" s="72">
        <v>7.0000000000000001E-3</v>
      </c>
    </row>
    <row r="878" spans="2:5">
      <c r="B878" s="90" t="s">
        <v>120</v>
      </c>
      <c r="C878" s="57" t="s">
        <v>187</v>
      </c>
      <c r="D878" s="60">
        <v>56</v>
      </c>
      <c r="E878" s="59">
        <v>1E-3</v>
      </c>
    </row>
    <row r="879" spans="2:5">
      <c r="B879" s="91"/>
      <c r="C879" s="57" t="s">
        <v>151</v>
      </c>
      <c r="D879" s="60">
        <v>40</v>
      </c>
      <c r="E879" s="59">
        <v>1E-3</v>
      </c>
    </row>
    <row r="880" spans="2:5">
      <c r="B880" s="91"/>
      <c r="C880" s="57" t="s">
        <v>160</v>
      </c>
      <c r="D880" s="60">
        <v>40</v>
      </c>
      <c r="E880" s="59">
        <v>1E-3</v>
      </c>
    </row>
    <row r="881" spans="2:5">
      <c r="B881" s="91"/>
      <c r="C881" s="57" t="s">
        <v>175</v>
      </c>
      <c r="D881" s="60">
        <v>32</v>
      </c>
      <c r="E881" s="59">
        <v>1E-3</v>
      </c>
    </row>
    <row r="882" spans="2:5">
      <c r="B882" s="91"/>
      <c r="C882" s="57" t="s">
        <v>165</v>
      </c>
      <c r="D882" s="60">
        <v>20</v>
      </c>
      <c r="E882" s="59">
        <v>0</v>
      </c>
    </row>
    <row r="883" spans="2:5">
      <c r="B883" s="91"/>
      <c r="C883" s="57" t="s">
        <v>161</v>
      </c>
      <c r="D883" s="60">
        <v>18</v>
      </c>
      <c r="E883" s="59">
        <v>0</v>
      </c>
    </row>
    <row r="884" spans="2:5">
      <c r="B884" s="91"/>
      <c r="C884" s="57" t="s">
        <v>159</v>
      </c>
      <c r="D884" s="60">
        <v>17</v>
      </c>
      <c r="E884" s="59">
        <v>0</v>
      </c>
    </row>
    <row r="885" spans="2:5">
      <c r="B885" s="91"/>
      <c r="C885" s="57" t="s">
        <v>152</v>
      </c>
      <c r="D885" s="60">
        <v>16</v>
      </c>
      <c r="E885" s="59">
        <v>0</v>
      </c>
    </row>
    <row r="886" spans="2:5">
      <c r="B886" s="91"/>
      <c r="C886" s="57" t="s">
        <v>163</v>
      </c>
      <c r="D886" s="60">
        <v>15</v>
      </c>
      <c r="E886" s="59">
        <v>0</v>
      </c>
    </row>
    <row r="887" spans="2:5">
      <c r="B887" s="91"/>
      <c r="C887" s="57" t="s">
        <v>148</v>
      </c>
      <c r="D887" s="60">
        <v>12</v>
      </c>
      <c r="E887" s="59">
        <v>0</v>
      </c>
    </row>
    <row r="888" spans="2:5" ht="28.5">
      <c r="B888" s="91"/>
      <c r="C888" s="57" t="s">
        <v>154</v>
      </c>
      <c r="D888" s="60">
        <v>12</v>
      </c>
      <c r="E888" s="59">
        <v>0</v>
      </c>
    </row>
    <row r="889" spans="2:5">
      <c r="B889" s="91"/>
      <c r="C889" s="57" t="s">
        <v>157</v>
      </c>
      <c r="D889" s="60">
        <v>11</v>
      </c>
      <c r="E889" s="59">
        <v>0</v>
      </c>
    </row>
    <row r="890" spans="2:5">
      <c r="B890" s="91"/>
      <c r="C890" s="57" t="s">
        <v>176</v>
      </c>
      <c r="D890" s="60">
        <v>11</v>
      </c>
      <c r="E890" s="59">
        <v>0</v>
      </c>
    </row>
    <row r="891" spans="2:5">
      <c r="B891" s="91"/>
      <c r="C891" s="57" t="s">
        <v>169</v>
      </c>
      <c r="D891" s="60">
        <v>10</v>
      </c>
      <c r="E891" s="59">
        <v>0</v>
      </c>
    </row>
    <row r="892" spans="2:5" ht="29.1" customHeight="1">
      <c r="B892" s="91"/>
      <c r="C892" s="57" t="s">
        <v>167</v>
      </c>
      <c r="D892" s="60">
        <v>9</v>
      </c>
      <c r="E892" s="59">
        <v>0</v>
      </c>
    </row>
    <row r="893" spans="2:5">
      <c r="B893" s="91"/>
      <c r="C893" s="57" t="s">
        <v>171</v>
      </c>
      <c r="D893" s="60">
        <v>9</v>
      </c>
      <c r="E893" s="59">
        <v>0</v>
      </c>
    </row>
    <row r="894" spans="2:5">
      <c r="B894" s="91"/>
      <c r="C894" s="57" t="s">
        <v>172</v>
      </c>
      <c r="D894" s="60">
        <v>8</v>
      </c>
      <c r="E894" s="59">
        <v>0</v>
      </c>
    </row>
    <row r="895" spans="2:5">
      <c r="B895" s="91"/>
      <c r="C895" s="57" t="s">
        <v>166</v>
      </c>
      <c r="D895" s="60">
        <v>6</v>
      </c>
      <c r="E895" s="59">
        <v>0</v>
      </c>
    </row>
    <row r="896" spans="2:5">
      <c r="B896" s="91"/>
      <c r="C896" s="57" t="s">
        <v>173</v>
      </c>
      <c r="D896" s="60">
        <v>6</v>
      </c>
      <c r="E896" s="59">
        <v>0</v>
      </c>
    </row>
    <row r="897" spans="2:5">
      <c r="B897" s="91"/>
      <c r="C897" s="57" t="s">
        <v>189</v>
      </c>
      <c r="D897" s="60">
        <v>6</v>
      </c>
      <c r="E897" s="59">
        <v>0</v>
      </c>
    </row>
    <row r="898" spans="2:5">
      <c r="B898" s="91"/>
      <c r="C898" s="57" t="s">
        <v>178</v>
      </c>
      <c r="D898" s="60">
        <v>6</v>
      </c>
      <c r="E898" s="59">
        <v>0</v>
      </c>
    </row>
    <row r="899" spans="2:5">
      <c r="B899" s="91"/>
      <c r="C899" s="57" t="s">
        <v>291</v>
      </c>
      <c r="D899" s="60">
        <v>5</v>
      </c>
      <c r="E899" s="59">
        <v>0</v>
      </c>
    </row>
    <row r="900" spans="2:5">
      <c r="B900" s="91"/>
      <c r="C900" s="57" t="s">
        <v>179</v>
      </c>
      <c r="D900" s="60">
        <v>4</v>
      </c>
      <c r="E900" s="59">
        <v>0</v>
      </c>
    </row>
    <row r="901" spans="2:5">
      <c r="B901" s="91"/>
      <c r="C901" s="57" t="s">
        <v>182</v>
      </c>
      <c r="D901" s="60">
        <v>3</v>
      </c>
      <c r="E901" s="59">
        <v>0</v>
      </c>
    </row>
    <row r="902" spans="2:5">
      <c r="B902" s="91"/>
      <c r="C902" s="57" t="s">
        <v>184</v>
      </c>
      <c r="D902" s="60">
        <v>3</v>
      </c>
      <c r="E902" s="59">
        <v>0</v>
      </c>
    </row>
    <row r="903" spans="2:5">
      <c r="B903" s="91"/>
      <c r="C903" s="57" t="s">
        <v>168</v>
      </c>
      <c r="D903" s="60">
        <v>3</v>
      </c>
      <c r="E903" s="59">
        <v>0</v>
      </c>
    </row>
    <row r="904" spans="2:5">
      <c r="B904" s="91"/>
      <c r="C904" s="57" t="s">
        <v>174</v>
      </c>
      <c r="D904" s="60">
        <v>3</v>
      </c>
      <c r="E904" s="59">
        <v>0</v>
      </c>
    </row>
    <row r="905" spans="2:5">
      <c r="B905" s="91"/>
      <c r="C905" s="57" t="s">
        <v>190</v>
      </c>
      <c r="D905" s="60">
        <v>3</v>
      </c>
      <c r="E905" s="59">
        <v>0</v>
      </c>
    </row>
    <row r="906" spans="2:5">
      <c r="B906" s="91"/>
      <c r="C906" s="57" t="s">
        <v>147</v>
      </c>
      <c r="D906" s="60">
        <v>2</v>
      </c>
      <c r="E906" s="59">
        <v>0</v>
      </c>
    </row>
    <row r="907" spans="2:5">
      <c r="B907" s="91"/>
      <c r="C907" s="57" t="s">
        <v>153</v>
      </c>
      <c r="D907" s="60">
        <v>2</v>
      </c>
      <c r="E907" s="59">
        <v>0</v>
      </c>
    </row>
    <row r="908" spans="2:5">
      <c r="B908" s="91"/>
      <c r="C908" s="57" t="s">
        <v>155</v>
      </c>
      <c r="D908" s="60">
        <v>2</v>
      </c>
      <c r="E908" s="59">
        <v>0</v>
      </c>
    </row>
    <row r="909" spans="2:5">
      <c r="B909" s="91"/>
      <c r="C909" s="57" t="s">
        <v>185</v>
      </c>
      <c r="D909" s="60">
        <v>2</v>
      </c>
      <c r="E909" s="59">
        <v>0</v>
      </c>
    </row>
    <row r="910" spans="2:5">
      <c r="B910" s="91"/>
      <c r="C910" s="57" t="s">
        <v>170</v>
      </c>
      <c r="D910" s="60">
        <v>2</v>
      </c>
      <c r="E910" s="59">
        <v>0</v>
      </c>
    </row>
    <row r="911" spans="2:5">
      <c r="B911" s="91"/>
      <c r="C911" s="57" t="s">
        <v>191</v>
      </c>
      <c r="D911" s="60">
        <v>2</v>
      </c>
      <c r="E911" s="59">
        <v>0</v>
      </c>
    </row>
    <row r="912" spans="2:5">
      <c r="B912" s="91"/>
      <c r="C912" s="57" t="s">
        <v>149</v>
      </c>
      <c r="D912" s="60">
        <v>1</v>
      </c>
      <c r="E912" s="59">
        <v>0</v>
      </c>
    </row>
    <row r="913" spans="2:5">
      <c r="B913" s="91"/>
      <c r="C913" s="57" t="s">
        <v>183</v>
      </c>
      <c r="D913" s="60">
        <v>1</v>
      </c>
      <c r="E913" s="59">
        <v>0</v>
      </c>
    </row>
    <row r="914" spans="2:5">
      <c r="B914" s="91"/>
      <c r="C914" s="57" t="s">
        <v>158</v>
      </c>
      <c r="D914" s="60">
        <v>1</v>
      </c>
      <c r="E914" s="59">
        <v>0</v>
      </c>
    </row>
    <row r="915" spans="2:5">
      <c r="B915" s="91"/>
      <c r="C915" s="57" t="s">
        <v>162</v>
      </c>
      <c r="D915" s="60">
        <v>1</v>
      </c>
      <c r="E915" s="59">
        <v>0</v>
      </c>
    </row>
    <row r="916" spans="2:5">
      <c r="B916" s="91"/>
      <c r="C916" s="57" t="s">
        <v>192</v>
      </c>
      <c r="D916" s="60">
        <v>1</v>
      </c>
      <c r="E916" s="59">
        <v>0</v>
      </c>
    </row>
    <row r="917" spans="2:5">
      <c r="B917" s="92"/>
      <c r="C917" s="71" t="s">
        <v>302</v>
      </c>
      <c r="D917" s="69">
        <v>401</v>
      </c>
      <c r="E917" s="72">
        <v>6.0000000000000001E-3</v>
      </c>
    </row>
    <row r="918" spans="2:5">
      <c r="B918" s="90" t="s">
        <v>133</v>
      </c>
      <c r="C918" s="57" t="s">
        <v>179</v>
      </c>
      <c r="D918" s="60">
        <v>79</v>
      </c>
      <c r="E918" s="59">
        <v>1E-3</v>
      </c>
    </row>
    <row r="919" spans="2:5">
      <c r="B919" s="91"/>
      <c r="C919" s="57" t="s">
        <v>184</v>
      </c>
      <c r="D919" s="60">
        <v>53</v>
      </c>
      <c r="E919" s="59">
        <v>1E-3</v>
      </c>
    </row>
    <row r="920" spans="2:5">
      <c r="B920" s="91"/>
      <c r="C920" s="57" t="s">
        <v>175</v>
      </c>
      <c r="D920" s="60">
        <v>35</v>
      </c>
      <c r="E920" s="59">
        <v>1E-3</v>
      </c>
    </row>
    <row r="921" spans="2:5">
      <c r="B921" s="91"/>
      <c r="C921" s="57" t="s">
        <v>151</v>
      </c>
      <c r="D921" s="60">
        <v>34</v>
      </c>
      <c r="E921" s="59">
        <v>1E-3</v>
      </c>
    </row>
    <row r="922" spans="2:5">
      <c r="B922" s="91"/>
      <c r="C922" s="57" t="s">
        <v>160</v>
      </c>
      <c r="D922" s="60">
        <v>22</v>
      </c>
      <c r="E922" s="59">
        <v>0</v>
      </c>
    </row>
    <row r="923" spans="2:5">
      <c r="B923" s="91"/>
      <c r="C923" s="57" t="s">
        <v>155</v>
      </c>
      <c r="D923" s="60">
        <v>21</v>
      </c>
      <c r="E923" s="59">
        <v>0</v>
      </c>
    </row>
    <row r="924" spans="2:5">
      <c r="B924" s="91"/>
      <c r="C924" s="57" t="s">
        <v>166</v>
      </c>
      <c r="D924" s="60">
        <v>18</v>
      </c>
      <c r="E924" s="59">
        <v>0</v>
      </c>
    </row>
    <row r="925" spans="2:5">
      <c r="B925" s="91"/>
      <c r="C925" s="57" t="s">
        <v>173</v>
      </c>
      <c r="D925" s="60">
        <v>16</v>
      </c>
      <c r="E925" s="59">
        <v>0</v>
      </c>
    </row>
    <row r="926" spans="2:5">
      <c r="B926" s="91"/>
      <c r="C926" s="57" t="s">
        <v>157</v>
      </c>
      <c r="D926" s="60">
        <v>11</v>
      </c>
      <c r="E926" s="59">
        <v>0</v>
      </c>
    </row>
    <row r="927" spans="2:5">
      <c r="B927" s="91"/>
      <c r="C927" s="57" t="s">
        <v>176</v>
      </c>
      <c r="D927" s="60">
        <v>11</v>
      </c>
      <c r="E927" s="59">
        <v>0</v>
      </c>
    </row>
    <row r="928" spans="2:5">
      <c r="B928" s="91"/>
      <c r="C928" s="57" t="s">
        <v>148</v>
      </c>
      <c r="D928" s="60">
        <v>10</v>
      </c>
      <c r="E928" s="59">
        <v>0</v>
      </c>
    </row>
    <row r="929" spans="2:5">
      <c r="B929" s="91"/>
      <c r="C929" s="57" t="s">
        <v>188</v>
      </c>
      <c r="D929" s="60">
        <v>8</v>
      </c>
      <c r="E929" s="59">
        <v>0</v>
      </c>
    </row>
    <row r="930" spans="2:5">
      <c r="B930" s="91"/>
      <c r="C930" s="57" t="s">
        <v>161</v>
      </c>
      <c r="D930" s="60">
        <v>6</v>
      </c>
      <c r="E930" s="59">
        <v>0</v>
      </c>
    </row>
    <row r="931" spans="2:5">
      <c r="B931" s="91"/>
      <c r="C931" s="57" t="s">
        <v>163</v>
      </c>
      <c r="D931" s="60">
        <v>6</v>
      </c>
      <c r="E931" s="59">
        <v>0</v>
      </c>
    </row>
    <row r="932" spans="2:5">
      <c r="B932" s="91"/>
      <c r="C932" s="57" t="s">
        <v>158</v>
      </c>
      <c r="D932" s="60">
        <v>5</v>
      </c>
      <c r="E932" s="59">
        <v>0</v>
      </c>
    </row>
    <row r="933" spans="2:5">
      <c r="B933" s="91"/>
      <c r="C933" s="57" t="s">
        <v>159</v>
      </c>
      <c r="D933" s="60">
        <v>5</v>
      </c>
      <c r="E933" s="59">
        <v>0</v>
      </c>
    </row>
    <row r="934" spans="2:5">
      <c r="B934" s="91"/>
      <c r="C934" s="57" t="s">
        <v>147</v>
      </c>
      <c r="D934" s="60">
        <v>4</v>
      </c>
      <c r="E934" s="59">
        <v>0</v>
      </c>
    </row>
    <row r="935" spans="2:5">
      <c r="B935" s="91"/>
      <c r="C935" s="57" t="s">
        <v>165</v>
      </c>
      <c r="D935" s="60">
        <v>4</v>
      </c>
      <c r="E935" s="59">
        <v>0</v>
      </c>
    </row>
    <row r="936" spans="2:5">
      <c r="B936" s="91"/>
      <c r="C936" s="57" t="s">
        <v>191</v>
      </c>
      <c r="D936" s="60">
        <v>4</v>
      </c>
      <c r="E936" s="59">
        <v>0</v>
      </c>
    </row>
    <row r="937" spans="2:5">
      <c r="B937" s="91"/>
      <c r="C937" s="57" t="s">
        <v>149</v>
      </c>
      <c r="D937" s="60">
        <v>3</v>
      </c>
      <c r="E937" s="59">
        <v>0</v>
      </c>
    </row>
    <row r="938" spans="2:5">
      <c r="B938" s="91"/>
      <c r="C938" s="57" t="s">
        <v>150</v>
      </c>
      <c r="D938" s="60">
        <v>3</v>
      </c>
      <c r="E938" s="59">
        <v>0</v>
      </c>
    </row>
    <row r="939" spans="2:5">
      <c r="B939" s="91"/>
      <c r="C939" s="57" t="s">
        <v>291</v>
      </c>
      <c r="D939" s="60">
        <v>3</v>
      </c>
      <c r="E939" s="59">
        <v>0</v>
      </c>
    </row>
    <row r="940" spans="2:5">
      <c r="B940" s="91"/>
      <c r="C940" s="57" t="s">
        <v>156</v>
      </c>
      <c r="D940" s="60">
        <v>3</v>
      </c>
      <c r="E940" s="59">
        <v>0</v>
      </c>
    </row>
    <row r="941" spans="2:5">
      <c r="B941" s="91"/>
      <c r="C941" s="57" t="s">
        <v>169</v>
      </c>
      <c r="D941" s="60">
        <v>3</v>
      </c>
      <c r="E941" s="59">
        <v>0</v>
      </c>
    </row>
    <row r="942" spans="2:5">
      <c r="B942" s="91"/>
      <c r="C942" s="57" t="s">
        <v>189</v>
      </c>
      <c r="D942" s="60">
        <v>3</v>
      </c>
      <c r="E942" s="59">
        <v>0</v>
      </c>
    </row>
    <row r="943" spans="2:5">
      <c r="B943" s="91"/>
      <c r="C943" s="57" t="s">
        <v>152</v>
      </c>
      <c r="D943" s="60">
        <v>2</v>
      </c>
      <c r="E943" s="59">
        <v>0</v>
      </c>
    </row>
    <row r="944" spans="2:5" ht="28.5">
      <c r="B944" s="91"/>
      <c r="C944" s="57" t="s">
        <v>154</v>
      </c>
      <c r="D944" s="60">
        <v>2</v>
      </c>
      <c r="E944" s="59">
        <v>0</v>
      </c>
    </row>
    <row r="945" spans="2:5">
      <c r="B945" s="91"/>
      <c r="C945" s="57" t="s">
        <v>168</v>
      </c>
      <c r="D945" s="60">
        <v>2</v>
      </c>
      <c r="E945" s="59">
        <v>0</v>
      </c>
    </row>
    <row r="946" spans="2:5">
      <c r="B946" s="91"/>
      <c r="C946" s="57" t="s">
        <v>172</v>
      </c>
      <c r="D946" s="60">
        <v>2</v>
      </c>
      <c r="E946" s="59">
        <v>0</v>
      </c>
    </row>
    <row r="947" spans="2:5">
      <c r="B947" s="91"/>
      <c r="C947" s="57" t="s">
        <v>178</v>
      </c>
      <c r="D947" s="60">
        <v>2</v>
      </c>
      <c r="E947" s="59">
        <v>0</v>
      </c>
    </row>
    <row r="948" spans="2:5">
      <c r="B948" s="91"/>
      <c r="C948" s="57" t="s">
        <v>180</v>
      </c>
      <c r="D948" s="60">
        <v>1</v>
      </c>
      <c r="E948" s="59">
        <v>0</v>
      </c>
    </row>
    <row r="949" spans="2:5">
      <c r="B949" s="91"/>
      <c r="C949" s="57" t="s">
        <v>181</v>
      </c>
      <c r="D949" s="60">
        <v>1</v>
      </c>
      <c r="E949" s="59">
        <v>0</v>
      </c>
    </row>
    <row r="950" spans="2:5">
      <c r="B950" s="91"/>
      <c r="C950" s="57" t="s">
        <v>167</v>
      </c>
      <c r="D950" s="60">
        <v>1</v>
      </c>
      <c r="E950" s="59">
        <v>0</v>
      </c>
    </row>
    <row r="951" spans="2:5">
      <c r="B951" s="91"/>
      <c r="C951" s="57" t="s">
        <v>187</v>
      </c>
      <c r="D951" s="60">
        <v>1</v>
      </c>
      <c r="E951" s="59">
        <v>0</v>
      </c>
    </row>
    <row r="952" spans="2:5">
      <c r="B952" s="91"/>
      <c r="C952" s="57" t="s">
        <v>177</v>
      </c>
      <c r="D952" s="60">
        <v>1</v>
      </c>
      <c r="E952" s="59">
        <v>0</v>
      </c>
    </row>
    <row r="953" spans="2:5">
      <c r="B953" s="92"/>
      <c r="C953" s="71" t="s">
        <v>302</v>
      </c>
      <c r="D953" s="69">
        <v>385</v>
      </c>
      <c r="E953" s="72">
        <v>6.0000000000000001E-3</v>
      </c>
    </row>
    <row r="954" spans="2:5">
      <c r="B954" s="90" t="s">
        <v>122</v>
      </c>
      <c r="C954" s="57" t="s">
        <v>160</v>
      </c>
      <c r="D954" s="60">
        <v>41</v>
      </c>
      <c r="E954" s="59">
        <v>1E-3</v>
      </c>
    </row>
    <row r="955" spans="2:5">
      <c r="B955" s="91"/>
      <c r="C955" s="57" t="s">
        <v>170</v>
      </c>
      <c r="D955" s="60">
        <v>37</v>
      </c>
      <c r="E955" s="59">
        <v>1E-3</v>
      </c>
    </row>
    <row r="956" spans="2:5">
      <c r="B956" s="91"/>
      <c r="C956" s="57" t="s">
        <v>186</v>
      </c>
      <c r="D956" s="60">
        <v>34</v>
      </c>
      <c r="E956" s="59">
        <v>1E-3</v>
      </c>
    </row>
    <row r="957" spans="2:5">
      <c r="B957" s="91"/>
      <c r="C957" s="57" t="s">
        <v>179</v>
      </c>
      <c r="D957" s="60">
        <v>31</v>
      </c>
      <c r="E957" s="59">
        <v>0</v>
      </c>
    </row>
    <row r="958" spans="2:5">
      <c r="B958" s="91"/>
      <c r="C958" s="57" t="s">
        <v>169</v>
      </c>
      <c r="D958" s="60">
        <v>30</v>
      </c>
      <c r="E958" s="59">
        <v>0</v>
      </c>
    </row>
    <row r="959" spans="2:5">
      <c r="B959" s="91"/>
      <c r="C959" s="57" t="s">
        <v>176</v>
      </c>
      <c r="D959" s="60">
        <v>29</v>
      </c>
      <c r="E959" s="59">
        <v>0</v>
      </c>
    </row>
    <row r="960" spans="2:5">
      <c r="B960" s="91"/>
      <c r="C960" s="57" t="s">
        <v>159</v>
      </c>
      <c r="D960" s="60">
        <v>23</v>
      </c>
      <c r="E960" s="59">
        <v>0</v>
      </c>
    </row>
    <row r="961" spans="2:5">
      <c r="B961" s="91"/>
      <c r="C961" s="57" t="s">
        <v>187</v>
      </c>
      <c r="D961" s="60">
        <v>21</v>
      </c>
      <c r="E961" s="59">
        <v>0</v>
      </c>
    </row>
    <row r="962" spans="2:5">
      <c r="B962" s="91"/>
      <c r="C962" s="57" t="s">
        <v>157</v>
      </c>
      <c r="D962" s="60">
        <v>16</v>
      </c>
      <c r="E962" s="59">
        <v>0</v>
      </c>
    </row>
    <row r="963" spans="2:5">
      <c r="B963" s="91"/>
      <c r="C963" s="57" t="s">
        <v>148</v>
      </c>
      <c r="D963" s="60">
        <v>13</v>
      </c>
      <c r="E963" s="59">
        <v>0</v>
      </c>
    </row>
    <row r="964" spans="2:5">
      <c r="B964" s="91"/>
      <c r="C964" s="57" t="s">
        <v>163</v>
      </c>
      <c r="D964" s="60">
        <v>13</v>
      </c>
      <c r="E964" s="59">
        <v>0</v>
      </c>
    </row>
    <row r="965" spans="2:5">
      <c r="B965" s="91"/>
      <c r="C965" s="57" t="s">
        <v>165</v>
      </c>
      <c r="D965" s="60">
        <v>13</v>
      </c>
      <c r="E965" s="59">
        <v>0</v>
      </c>
    </row>
    <row r="966" spans="2:5">
      <c r="B966" s="91"/>
      <c r="C966" s="57" t="s">
        <v>151</v>
      </c>
      <c r="D966" s="60">
        <v>10</v>
      </c>
      <c r="E966" s="59">
        <v>0</v>
      </c>
    </row>
    <row r="967" spans="2:5">
      <c r="B967" s="91"/>
      <c r="C967" s="57" t="s">
        <v>184</v>
      </c>
      <c r="D967" s="60">
        <v>8</v>
      </c>
      <c r="E967" s="59">
        <v>0</v>
      </c>
    </row>
    <row r="968" spans="2:5">
      <c r="B968" s="91"/>
      <c r="C968" s="57" t="s">
        <v>172</v>
      </c>
      <c r="D968" s="60">
        <v>7</v>
      </c>
      <c r="E968" s="59">
        <v>0</v>
      </c>
    </row>
    <row r="969" spans="2:5">
      <c r="B969" s="91"/>
      <c r="C969" s="57" t="s">
        <v>166</v>
      </c>
      <c r="D969" s="60">
        <v>6</v>
      </c>
      <c r="E969" s="59">
        <v>0</v>
      </c>
    </row>
    <row r="970" spans="2:5">
      <c r="B970" s="91"/>
      <c r="C970" s="57" t="s">
        <v>171</v>
      </c>
      <c r="D970" s="60">
        <v>6</v>
      </c>
      <c r="E970" s="59">
        <v>0</v>
      </c>
    </row>
    <row r="971" spans="2:5">
      <c r="B971" s="91"/>
      <c r="C971" s="57" t="s">
        <v>164</v>
      </c>
      <c r="D971" s="60">
        <v>5</v>
      </c>
      <c r="E971" s="59">
        <v>0</v>
      </c>
    </row>
    <row r="972" spans="2:5">
      <c r="B972" s="91"/>
      <c r="C972" s="57" t="s">
        <v>168</v>
      </c>
      <c r="D972" s="60">
        <v>5</v>
      </c>
      <c r="E972" s="59">
        <v>0</v>
      </c>
    </row>
    <row r="973" spans="2:5">
      <c r="B973" s="91"/>
      <c r="C973" s="57" t="s">
        <v>291</v>
      </c>
      <c r="D973" s="60">
        <v>4</v>
      </c>
      <c r="E973" s="59">
        <v>0</v>
      </c>
    </row>
    <row r="974" spans="2:5">
      <c r="B974" s="91"/>
      <c r="C974" s="57" t="s">
        <v>183</v>
      </c>
      <c r="D974" s="60">
        <v>4</v>
      </c>
      <c r="E974" s="59">
        <v>0</v>
      </c>
    </row>
    <row r="975" spans="2:5">
      <c r="B975" s="91"/>
      <c r="C975" s="57" t="s">
        <v>155</v>
      </c>
      <c r="D975" s="60">
        <v>4</v>
      </c>
      <c r="E975" s="59">
        <v>0</v>
      </c>
    </row>
    <row r="976" spans="2:5">
      <c r="B976" s="91"/>
      <c r="C976" s="57" t="s">
        <v>175</v>
      </c>
      <c r="D976" s="60">
        <v>4</v>
      </c>
      <c r="E976" s="59">
        <v>0</v>
      </c>
    </row>
    <row r="977" spans="2:5">
      <c r="B977" s="91"/>
      <c r="C977" s="57" t="s">
        <v>161</v>
      </c>
      <c r="D977" s="60">
        <v>3</v>
      </c>
      <c r="E977" s="59">
        <v>0</v>
      </c>
    </row>
    <row r="978" spans="2:5">
      <c r="B978" s="91"/>
      <c r="C978" s="57" t="s">
        <v>189</v>
      </c>
      <c r="D978" s="60">
        <v>3</v>
      </c>
      <c r="E978" s="59">
        <v>0</v>
      </c>
    </row>
    <row r="979" spans="2:5">
      <c r="B979" s="91"/>
      <c r="C979" s="57" t="s">
        <v>149</v>
      </c>
      <c r="D979" s="60">
        <v>2</v>
      </c>
      <c r="E979" s="59">
        <v>0</v>
      </c>
    </row>
    <row r="980" spans="2:5">
      <c r="B980" s="91"/>
      <c r="C980" s="57" t="s">
        <v>152</v>
      </c>
      <c r="D980" s="60">
        <v>2</v>
      </c>
      <c r="E980" s="59">
        <v>0</v>
      </c>
    </row>
    <row r="981" spans="2:5">
      <c r="B981" s="91"/>
      <c r="C981" s="57" t="s">
        <v>156</v>
      </c>
      <c r="D981" s="60">
        <v>2</v>
      </c>
      <c r="E981" s="59">
        <v>0</v>
      </c>
    </row>
    <row r="982" spans="2:5">
      <c r="B982" s="91"/>
      <c r="C982" s="57" t="s">
        <v>190</v>
      </c>
      <c r="D982" s="60">
        <v>2</v>
      </c>
      <c r="E982" s="59">
        <v>0</v>
      </c>
    </row>
    <row r="983" spans="2:5" ht="28.5">
      <c r="B983" s="91"/>
      <c r="C983" s="57" t="s">
        <v>154</v>
      </c>
      <c r="D983" s="60">
        <v>1</v>
      </c>
      <c r="E983" s="59">
        <v>0</v>
      </c>
    </row>
    <row r="984" spans="2:5">
      <c r="B984" s="91"/>
      <c r="C984" s="57" t="s">
        <v>167</v>
      </c>
      <c r="D984" s="60">
        <v>1</v>
      </c>
      <c r="E984" s="59">
        <v>0</v>
      </c>
    </row>
    <row r="985" spans="2:5">
      <c r="B985" s="91"/>
      <c r="C985" s="57" t="s">
        <v>173</v>
      </c>
      <c r="D985" s="60">
        <v>1</v>
      </c>
      <c r="E985" s="59">
        <v>0</v>
      </c>
    </row>
    <row r="986" spans="2:5">
      <c r="B986" s="91"/>
      <c r="C986" s="57" t="s">
        <v>174</v>
      </c>
      <c r="D986" s="60">
        <v>1</v>
      </c>
      <c r="E986" s="59">
        <v>0</v>
      </c>
    </row>
    <row r="987" spans="2:5">
      <c r="B987" s="92"/>
      <c r="C987" s="71" t="s">
        <v>302</v>
      </c>
      <c r="D987" s="69">
        <v>382</v>
      </c>
      <c r="E987" s="72">
        <v>6.0000000000000001E-3</v>
      </c>
    </row>
    <row r="988" spans="2:5">
      <c r="B988" s="90" t="s">
        <v>111</v>
      </c>
      <c r="C988" s="57" t="s">
        <v>160</v>
      </c>
      <c r="D988" s="60">
        <v>67</v>
      </c>
      <c r="E988" s="59">
        <v>1E-3</v>
      </c>
    </row>
    <row r="989" spans="2:5">
      <c r="B989" s="91"/>
      <c r="C989" s="57" t="s">
        <v>157</v>
      </c>
      <c r="D989" s="60">
        <v>32</v>
      </c>
      <c r="E989" s="59">
        <v>1E-3</v>
      </c>
    </row>
    <row r="990" spans="2:5">
      <c r="B990" s="91"/>
      <c r="C990" s="57" t="s">
        <v>163</v>
      </c>
      <c r="D990" s="60">
        <v>30</v>
      </c>
      <c r="E990" s="59">
        <v>0</v>
      </c>
    </row>
    <row r="991" spans="2:5">
      <c r="B991" s="91"/>
      <c r="C991" s="57" t="s">
        <v>151</v>
      </c>
      <c r="D991" s="60">
        <v>27</v>
      </c>
      <c r="E991" s="59">
        <v>0</v>
      </c>
    </row>
    <row r="992" spans="2:5">
      <c r="B992" s="91"/>
      <c r="C992" s="57" t="s">
        <v>187</v>
      </c>
      <c r="D992" s="60">
        <v>19</v>
      </c>
      <c r="E992" s="59">
        <v>0</v>
      </c>
    </row>
    <row r="993" spans="2:5">
      <c r="B993" s="91"/>
      <c r="C993" s="57" t="s">
        <v>165</v>
      </c>
      <c r="D993" s="60">
        <v>18</v>
      </c>
      <c r="E993" s="59">
        <v>0</v>
      </c>
    </row>
    <row r="994" spans="2:5">
      <c r="B994" s="91"/>
      <c r="C994" s="57" t="s">
        <v>168</v>
      </c>
      <c r="D994" s="60">
        <v>15</v>
      </c>
      <c r="E994" s="59">
        <v>0</v>
      </c>
    </row>
    <row r="995" spans="2:5">
      <c r="B995" s="91"/>
      <c r="C995" s="57" t="s">
        <v>169</v>
      </c>
      <c r="D995" s="60">
        <v>15</v>
      </c>
      <c r="E995" s="59">
        <v>0</v>
      </c>
    </row>
    <row r="996" spans="2:5">
      <c r="B996" s="91"/>
      <c r="C996" s="57" t="s">
        <v>166</v>
      </c>
      <c r="D996" s="60">
        <v>14</v>
      </c>
      <c r="E996" s="59">
        <v>0</v>
      </c>
    </row>
    <row r="997" spans="2:5">
      <c r="B997" s="91"/>
      <c r="C997" s="57" t="s">
        <v>161</v>
      </c>
      <c r="D997" s="60">
        <v>13</v>
      </c>
      <c r="E997" s="59">
        <v>0</v>
      </c>
    </row>
    <row r="998" spans="2:5">
      <c r="B998" s="91"/>
      <c r="C998" s="57" t="s">
        <v>175</v>
      </c>
      <c r="D998" s="60">
        <v>10</v>
      </c>
      <c r="E998" s="59">
        <v>0</v>
      </c>
    </row>
    <row r="999" spans="2:5">
      <c r="B999" s="91"/>
      <c r="C999" s="57" t="s">
        <v>159</v>
      </c>
      <c r="D999" s="60">
        <v>9</v>
      </c>
      <c r="E999" s="59">
        <v>0</v>
      </c>
    </row>
    <row r="1000" spans="2:5">
      <c r="B1000" s="91"/>
      <c r="C1000" s="57" t="s">
        <v>162</v>
      </c>
      <c r="D1000" s="60">
        <v>8</v>
      </c>
      <c r="E1000" s="59">
        <v>0</v>
      </c>
    </row>
    <row r="1001" spans="2:5">
      <c r="B1001" s="91"/>
      <c r="C1001" s="57" t="s">
        <v>182</v>
      </c>
      <c r="D1001" s="60">
        <v>7</v>
      </c>
      <c r="E1001" s="59">
        <v>0</v>
      </c>
    </row>
    <row r="1002" spans="2:5">
      <c r="B1002" s="91"/>
      <c r="C1002" s="57" t="s">
        <v>291</v>
      </c>
      <c r="D1002" s="60">
        <v>7</v>
      </c>
      <c r="E1002" s="59">
        <v>0</v>
      </c>
    </row>
    <row r="1003" spans="2:5">
      <c r="B1003" s="91"/>
      <c r="C1003" s="57" t="s">
        <v>171</v>
      </c>
      <c r="D1003" s="60">
        <v>7</v>
      </c>
      <c r="E1003" s="59">
        <v>0</v>
      </c>
    </row>
    <row r="1004" spans="2:5">
      <c r="B1004" s="91"/>
      <c r="C1004" s="57" t="s">
        <v>172</v>
      </c>
      <c r="D1004" s="60">
        <v>7</v>
      </c>
      <c r="E1004" s="59">
        <v>0</v>
      </c>
    </row>
    <row r="1005" spans="2:5">
      <c r="B1005" s="91"/>
      <c r="C1005" s="57" t="s">
        <v>173</v>
      </c>
      <c r="D1005" s="60">
        <v>7</v>
      </c>
      <c r="E1005" s="59">
        <v>0</v>
      </c>
    </row>
    <row r="1006" spans="2:5">
      <c r="B1006" s="91"/>
      <c r="C1006" s="57" t="s">
        <v>148</v>
      </c>
      <c r="D1006" s="60">
        <v>6</v>
      </c>
      <c r="E1006" s="59">
        <v>0</v>
      </c>
    </row>
    <row r="1007" spans="2:5" ht="28.5">
      <c r="B1007" s="91"/>
      <c r="C1007" s="57" t="s">
        <v>154</v>
      </c>
      <c r="D1007" s="60">
        <v>6</v>
      </c>
      <c r="E1007" s="59">
        <v>0</v>
      </c>
    </row>
    <row r="1008" spans="2:5">
      <c r="B1008" s="91"/>
      <c r="C1008" s="57" t="s">
        <v>186</v>
      </c>
      <c r="D1008" s="60">
        <v>5</v>
      </c>
      <c r="E1008" s="59">
        <v>0</v>
      </c>
    </row>
    <row r="1009" spans="2:5">
      <c r="B1009" s="91"/>
      <c r="C1009" s="57" t="s">
        <v>155</v>
      </c>
      <c r="D1009" s="60">
        <v>4</v>
      </c>
      <c r="E1009" s="59">
        <v>0</v>
      </c>
    </row>
    <row r="1010" spans="2:5">
      <c r="B1010" s="91"/>
      <c r="C1010" s="57" t="s">
        <v>176</v>
      </c>
      <c r="D1010" s="60">
        <v>4</v>
      </c>
      <c r="E1010" s="59">
        <v>0</v>
      </c>
    </row>
    <row r="1011" spans="2:5">
      <c r="B1011" s="91"/>
      <c r="C1011" s="57" t="s">
        <v>147</v>
      </c>
      <c r="D1011" s="60">
        <v>3</v>
      </c>
      <c r="E1011" s="59">
        <v>0</v>
      </c>
    </row>
    <row r="1012" spans="2:5">
      <c r="B1012" s="91"/>
      <c r="C1012" s="57" t="s">
        <v>149</v>
      </c>
      <c r="D1012" s="60">
        <v>3</v>
      </c>
      <c r="E1012" s="59">
        <v>0</v>
      </c>
    </row>
    <row r="1013" spans="2:5">
      <c r="B1013" s="91"/>
      <c r="C1013" s="57" t="s">
        <v>150</v>
      </c>
      <c r="D1013" s="60">
        <v>3</v>
      </c>
      <c r="E1013" s="59">
        <v>0</v>
      </c>
    </row>
    <row r="1014" spans="2:5">
      <c r="B1014" s="91"/>
      <c r="C1014" s="57" t="s">
        <v>158</v>
      </c>
      <c r="D1014" s="60">
        <v>3</v>
      </c>
      <c r="E1014" s="59">
        <v>0</v>
      </c>
    </row>
    <row r="1015" spans="2:5">
      <c r="B1015" s="91"/>
      <c r="C1015" s="57" t="s">
        <v>167</v>
      </c>
      <c r="D1015" s="60">
        <v>3</v>
      </c>
      <c r="E1015" s="59">
        <v>0</v>
      </c>
    </row>
    <row r="1016" spans="2:5">
      <c r="B1016" s="91"/>
      <c r="C1016" s="57" t="s">
        <v>189</v>
      </c>
      <c r="D1016" s="60">
        <v>3</v>
      </c>
      <c r="E1016" s="59">
        <v>0</v>
      </c>
    </row>
    <row r="1017" spans="2:5">
      <c r="B1017" s="91"/>
      <c r="C1017" s="57" t="s">
        <v>183</v>
      </c>
      <c r="D1017" s="60">
        <v>2</v>
      </c>
      <c r="E1017" s="59">
        <v>0</v>
      </c>
    </row>
    <row r="1018" spans="2:5">
      <c r="B1018" s="91"/>
      <c r="C1018" s="57" t="s">
        <v>164</v>
      </c>
      <c r="D1018" s="60">
        <v>2</v>
      </c>
      <c r="E1018" s="59">
        <v>0</v>
      </c>
    </row>
    <row r="1019" spans="2:5">
      <c r="B1019" s="91"/>
      <c r="C1019" s="57" t="s">
        <v>152</v>
      </c>
      <c r="D1019" s="60">
        <v>1</v>
      </c>
      <c r="E1019" s="59">
        <v>0</v>
      </c>
    </row>
    <row r="1020" spans="2:5">
      <c r="B1020" s="91"/>
      <c r="C1020" s="57" t="s">
        <v>181</v>
      </c>
      <c r="D1020" s="60">
        <v>1</v>
      </c>
      <c r="E1020" s="59">
        <v>0</v>
      </c>
    </row>
    <row r="1021" spans="2:5">
      <c r="B1021" s="91"/>
      <c r="C1021" s="57" t="s">
        <v>153</v>
      </c>
      <c r="D1021" s="60">
        <v>1</v>
      </c>
      <c r="E1021" s="59">
        <v>0</v>
      </c>
    </row>
    <row r="1022" spans="2:5">
      <c r="B1022" s="91"/>
      <c r="C1022" s="57" t="s">
        <v>184</v>
      </c>
      <c r="D1022" s="60">
        <v>1</v>
      </c>
      <c r="E1022" s="59">
        <v>0</v>
      </c>
    </row>
    <row r="1023" spans="2:5">
      <c r="B1023" s="91"/>
      <c r="C1023" s="57" t="s">
        <v>185</v>
      </c>
      <c r="D1023" s="60">
        <v>1</v>
      </c>
      <c r="E1023" s="59">
        <v>0</v>
      </c>
    </row>
    <row r="1024" spans="2:5">
      <c r="B1024" s="91"/>
      <c r="C1024" s="57" t="s">
        <v>170</v>
      </c>
      <c r="D1024" s="60">
        <v>1</v>
      </c>
      <c r="E1024" s="59">
        <v>0</v>
      </c>
    </row>
    <row r="1025" spans="2:5">
      <c r="B1025" s="91"/>
      <c r="C1025" s="57" t="s">
        <v>190</v>
      </c>
      <c r="D1025" s="60">
        <v>1</v>
      </c>
      <c r="E1025" s="59">
        <v>0</v>
      </c>
    </row>
    <row r="1026" spans="2:5">
      <c r="B1026" s="91"/>
      <c r="C1026" s="57" t="s">
        <v>177</v>
      </c>
      <c r="D1026" s="60">
        <v>1</v>
      </c>
      <c r="E1026" s="59">
        <v>0</v>
      </c>
    </row>
    <row r="1027" spans="2:5">
      <c r="B1027" s="91"/>
      <c r="C1027" s="57" t="s">
        <v>191</v>
      </c>
      <c r="D1027" s="60">
        <v>1</v>
      </c>
      <c r="E1027" s="59">
        <v>0</v>
      </c>
    </row>
    <row r="1028" spans="2:5">
      <c r="B1028" s="91"/>
      <c r="C1028" s="57" t="s">
        <v>178</v>
      </c>
      <c r="D1028" s="60">
        <v>1</v>
      </c>
      <c r="E1028" s="59">
        <v>0</v>
      </c>
    </row>
    <row r="1029" spans="2:5">
      <c r="B1029" s="91"/>
      <c r="C1029" s="57" t="s">
        <v>179</v>
      </c>
      <c r="D1029" s="60">
        <v>1</v>
      </c>
      <c r="E1029" s="59">
        <v>0</v>
      </c>
    </row>
    <row r="1030" spans="2:5">
      <c r="B1030" s="92"/>
      <c r="C1030" s="71" t="s">
        <v>302</v>
      </c>
      <c r="D1030" s="69">
        <v>370</v>
      </c>
      <c r="E1030" s="72">
        <v>6.0000000000000001E-3</v>
      </c>
    </row>
    <row r="1031" spans="2:5">
      <c r="B1031" s="90" t="s">
        <v>113</v>
      </c>
      <c r="C1031" s="57" t="s">
        <v>172</v>
      </c>
      <c r="D1031" s="60">
        <v>96</v>
      </c>
      <c r="E1031" s="59">
        <v>2E-3</v>
      </c>
    </row>
    <row r="1032" spans="2:5">
      <c r="B1032" s="91"/>
      <c r="C1032" s="57" t="s">
        <v>160</v>
      </c>
      <c r="D1032" s="60">
        <v>33</v>
      </c>
      <c r="E1032" s="59">
        <v>1E-3</v>
      </c>
    </row>
    <row r="1033" spans="2:5">
      <c r="B1033" s="91"/>
      <c r="C1033" s="57" t="s">
        <v>165</v>
      </c>
      <c r="D1033" s="60">
        <v>33</v>
      </c>
      <c r="E1033" s="59">
        <v>1E-3</v>
      </c>
    </row>
    <row r="1034" spans="2:5">
      <c r="B1034" s="91"/>
      <c r="C1034" s="57" t="s">
        <v>176</v>
      </c>
      <c r="D1034" s="60">
        <v>24</v>
      </c>
      <c r="E1034" s="59">
        <v>0</v>
      </c>
    </row>
    <row r="1035" spans="2:5">
      <c r="B1035" s="91"/>
      <c r="C1035" s="57" t="s">
        <v>152</v>
      </c>
      <c r="D1035" s="60">
        <v>22</v>
      </c>
      <c r="E1035" s="59">
        <v>0</v>
      </c>
    </row>
    <row r="1036" spans="2:5" ht="28.5">
      <c r="B1036" s="91"/>
      <c r="C1036" s="57" t="s">
        <v>154</v>
      </c>
      <c r="D1036" s="60">
        <v>22</v>
      </c>
      <c r="E1036" s="59">
        <v>0</v>
      </c>
    </row>
    <row r="1037" spans="2:5">
      <c r="B1037" s="91"/>
      <c r="C1037" s="57" t="s">
        <v>171</v>
      </c>
      <c r="D1037" s="60">
        <v>20</v>
      </c>
      <c r="E1037" s="59">
        <v>0</v>
      </c>
    </row>
    <row r="1038" spans="2:5">
      <c r="B1038" s="91"/>
      <c r="C1038" s="57" t="s">
        <v>151</v>
      </c>
      <c r="D1038" s="60">
        <v>19</v>
      </c>
      <c r="E1038" s="59">
        <v>0</v>
      </c>
    </row>
    <row r="1039" spans="2:5">
      <c r="B1039" s="91"/>
      <c r="C1039" s="57" t="s">
        <v>155</v>
      </c>
      <c r="D1039" s="60">
        <v>11</v>
      </c>
      <c r="E1039" s="59">
        <v>0</v>
      </c>
    </row>
    <row r="1040" spans="2:5">
      <c r="B1040" s="91"/>
      <c r="C1040" s="57" t="s">
        <v>187</v>
      </c>
      <c r="D1040" s="60">
        <v>9</v>
      </c>
      <c r="E1040" s="59">
        <v>0</v>
      </c>
    </row>
    <row r="1041" spans="2:5">
      <c r="B1041" s="91"/>
      <c r="C1041" s="57" t="s">
        <v>149</v>
      </c>
      <c r="D1041" s="60">
        <v>7</v>
      </c>
      <c r="E1041" s="59">
        <v>0</v>
      </c>
    </row>
    <row r="1042" spans="2:5">
      <c r="B1042" s="91"/>
      <c r="C1042" s="57" t="s">
        <v>168</v>
      </c>
      <c r="D1042" s="60">
        <v>7</v>
      </c>
      <c r="E1042" s="59">
        <v>0</v>
      </c>
    </row>
    <row r="1043" spans="2:5">
      <c r="B1043" s="91"/>
      <c r="C1043" s="57" t="s">
        <v>170</v>
      </c>
      <c r="D1043" s="60">
        <v>6</v>
      </c>
      <c r="E1043" s="59">
        <v>0</v>
      </c>
    </row>
    <row r="1044" spans="2:5">
      <c r="B1044" s="91"/>
      <c r="C1044" s="57" t="s">
        <v>183</v>
      </c>
      <c r="D1044" s="60">
        <v>5</v>
      </c>
      <c r="E1044" s="59">
        <v>0</v>
      </c>
    </row>
    <row r="1045" spans="2:5">
      <c r="B1045" s="91"/>
      <c r="C1045" s="57" t="s">
        <v>157</v>
      </c>
      <c r="D1045" s="60">
        <v>5</v>
      </c>
      <c r="E1045" s="59">
        <v>0</v>
      </c>
    </row>
    <row r="1046" spans="2:5">
      <c r="B1046" s="91"/>
      <c r="C1046" s="57" t="s">
        <v>159</v>
      </c>
      <c r="D1046" s="60">
        <v>5</v>
      </c>
      <c r="E1046" s="59">
        <v>0</v>
      </c>
    </row>
    <row r="1047" spans="2:5">
      <c r="B1047" s="91"/>
      <c r="C1047" s="57" t="s">
        <v>291</v>
      </c>
      <c r="D1047" s="60">
        <v>4</v>
      </c>
      <c r="E1047" s="59">
        <v>0</v>
      </c>
    </row>
    <row r="1048" spans="2:5">
      <c r="B1048" s="91"/>
      <c r="C1048" s="57" t="s">
        <v>177</v>
      </c>
      <c r="D1048" s="60">
        <v>4</v>
      </c>
      <c r="E1048" s="59">
        <v>0</v>
      </c>
    </row>
    <row r="1049" spans="2:5">
      <c r="B1049" s="91"/>
      <c r="C1049" s="57" t="s">
        <v>150</v>
      </c>
      <c r="D1049" s="60">
        <v>3</v>
      </c>
      <c r="E1049" s="59">
        <v>0</v>
      </c>
    </row>
    <row r="1050" spans="2:5">
      <c r="B1050" s="91"/>
      <c r="C1050" s="57" t="s">
        <v>169</v>
      </c>
      <c r="D1050" s="60">
        <v>3</v>
      </c>
      <c r="E1050" s="59">
        <v>0</v>
      </c>
    </row>
    <row r="1051" spans="2:5">
      <c r="B1051" s="91"/>
      <c r="C1051" s="57" t="s">
        <v>180</v>
      </c>
      <c r="D1051" s="60">
        <v>2</v>
      </c>
      <c r="E1051" s="59">
        <v>0</v>
      </c>
    </row>
    <row r="1052" spans="2:5">
      <c r="B1052" s="91"/>
      <c r="C1052" s="57" t="s">
        <v>181</v>
      </c>
      <c r="D1052" s="60">
        <v>2</v>
      </c>
      <c r="E1052" s="59">
        <v>0</v>
      </c>
    </row>
    <row r="1053" spans="2:5">
      <c r="B1053" s="91"/>
      <c r="C1053" s="57" t="s">
        <v>182</v>
      </c>
      <c r="D1053" s="60">
        <v>2</v>
      </c>
      <c r="E1053" s="59">
        <v>0</v>
      </c>
    </row>
    <row r="1054" spans="2:5">
      <c r="B1054" s="91"/>
      <c r="C1054" s="57" t="s">
        <v>153</v>
      </c>
      <c r="D1054" s="60">
        <v>2</v>
      </c>
      <c r="E1054" s="59">
        <v>0</v>
      </c>
    </row>
    <row r="1055" spans="2:5">
      <c r="B1055" s="91"/>
      <c r="C1055" s="57" t="s">
        <v>164</v>
      </c>
      <c r="D1055" s="60">
        <v>2</v>
      </c>
      <c r="E1055" s="59">
        <v>0</v>
      </c>
    </row>
    <row r="1056" spans="2:5">
      <c r="B1056" s="91"/>
      <c r="C1056" s="57" t="s">
        <v>191</v>
      </c>
      <c r="D1056" s="60">
        <v>2</v>
      </c>
      <c r="E1056" s="59">
        <v>0</v>
      </c>
    </row>
    <row r="1057" spans="2:5">
      <c r="B1057" s="91"/>
      <c r="C1057" s="57" t="s">
        <v>148</v>
      </c>
      <c r="D1057" s="60">
        <v>1</v>
      </c>
      <c r="E1057" s="59">
        <v>0</v>
      </c>
    </row>
    <row r="1058" spans="2:5">
      <c r="B1058" s="91"/>
      <c r="C1058" s="57" t="s">
        <v>161</v>
      </c>
      <c r="D1058" s="60">
        <v>1</v>
      </c>
      <c r="E1058" s="59">
        <v>0</v>
      </c>
    </row>
    <row r="1059" spans="2:5">
      <c r="B1059" s="91"/>
      <c r="C1059" s="57" t="s">
        <v>166</v>
      </c>
      <c r="D1059" s="60">
        <v>1</v>
      </c>
      <c r="E1059" s="59">
        <v>0</v>
      </c>
    </row>
    <row r="1060" spans="2:5">
      <c r="B1060" s="91"/>
      <c r="C1060" s="57" t="s">
        <v>175</v>
      </c>
      <c r="D1060" s="60">
        <v>1</v>
      </c>
      <c r="E1060" s="59">
        <v>0</v>
      </c>
    </row>
    <row r="1061" spans="2:5">
      <c r="B1061" s="91"/>
      <c r="C1061" s="57" t="s">
        <v>178</v>
      </c>
      <c r="D1061" s="60">
        <v>1</v>
      </c>
      <c r="E1061" s="59">
        <v>0</v>
      </c>
    </row>
    <row r="1062" spans="2:5">
      <c r="B1062" s="91"/>
      <c r="C1062" s="57" t="s">
        <v>179</v>
      </c>
      <c r="D1062" s="60">
        <v>1</v>
      </c>
      <c r="E1062" s="59">
        <v>0</v>
      </c>
    </row>
    <row r="1063" spans="2:5">
      <c r="B1063" s="92"/>
      <c r="C1063" s="71" t="s">
        <v>302</v>
      </c>
      <c r="D1063" s="69">
        <v>356</v>
      </c>
      <c r="E1063" s="72">
        <v>6.0000000000000001E-3</v>
      </c>
    </row>
    <row r="1064" spans="2:5">
      <c r="B1064" s="90" t="s">
        <v>97</v>
      </c>
      <c r="C1064" s="57" t="s">
        <v>156</v>
      </c>
      <c r="D1064" s="60">
        <v>44</v>
      </c>
      <c r="E1064" s="59">
        <v>1E-3</v>
      </c>
    </row>
    <row r="1065" spans="2:5">
      <c r="B1065" s="91"/>
      <c r="C1065" s="57" t="s">
        <v>151</v>
      </c>
      <c r="D1065" s="60">
        <v>31</v>
      </c>
      <c r="E1065" s="59">
        <v>0</v>
      </c>
    </row>
    <row r="1066" spans="2:5">
      <c r="B1066" s="91"/>
      <c r="C1066" s="57" t="s">
        <v>171</v>
      </c>
      <c r="D1066" s="60">
        <v>30</v>
      </c>
      <c r="E1066" s="59">
        <v>0</v>
      </c>
    </row>
    <row r="1067" spans="2:5">
      <c r="B1067" s="91"/>
      <c r="C1067" s="57" t="s">
        <v>160</v>
      </c>
      <c r="D1067" s="60">
        <v>22</v>
      </c>
      <c r="E1067" s="59">
        <v>0</v>
      </c>
    </row>
    <row r="1068" spans="2:5">
      <c r="B1068" s="91"/>
      <c r="C1068" s="57" t="s">
        <v>150</v>
      </c>
      <c r="D1068" s="60">
        <v>20</v>
      </c>
      <c r="E1068" s="59">
        <v>0</v>
      </c>
    </row>
    <row r="1069" spans="2:5">
      <c r="B1069" s="91"/>
      <c r="C1069" s="57" t="s">
        <v>157</v>
      </c>
      <c r="D1069" s="60">
        <v>19</v>
      </c>
      <c r="E1069" s="59">
        <v>0</v>
      </c>
    </row>
    <row r="1070" spans="2:5">
      <c r="B1070" s="91"/>
      <c r="C1070" s="57" t="s">
        <v>179</v>
      </c>
      <c r="D1070" s="60">
        <v>14</v>
      </c>
      <c r="E1070" s="59">
        <v>0</v>
      </c>
    </row>
    <row r="1071" spans="2:5">
      <c r="B1071" s="91"/>
      <c r="C1071" s="57" t="s">
        <v>149</v>
      </c>
      <c r="D1071" s="60">
        <v>11</v>
      </c>
      <c r="E1071" s="59">
        <v>0</v>
      </c>
    </row>
    <row r="1072" spans="2:5">
      <c r="B1072" s="91"/>
      <c r="C1072" s="57" t="s">
        <v>165</v>
      </c>
      <c r="D1072" s="60">
        <v>11</v>
      </c>
      <c r="E1072" s="59">
        <v>0</v>
      </c>
    </row>
    <row r="1073" spans="2:5">
      <c r="B1073" s="91"/>
      <c r="C1073" s="57" t="s">
        <v>176</v>
      </c>
      <c r="D1073" s="60">
        <v>11</v>
      </c>
      <c r="E1073" s="59">
        <v>0</v>
      </c>
    </row>
    <row r="1074" spans="2:5">
      <c r="B1074" s="91"/>
      <c r="C1074" s="57" t="s">
        <v>163</v>
      </c>
      <c r="D1074" s="60">
        <v>10</v>
      </c>
      <c r="E1074" s="59">
        <v>0</v>
      </c>
    </row>
    <row r="1075" spans="2:5">
      <c r="B1075" s="91"/>
      <c r="C1075" s="57" t="s">
        <v>170</v>
      </c>
      <c r="D1075" s="60">
        <v>10</v>
      </c>
      <c r="E1075" s="59">
        <v>0</v>
      </c>
    </row>
    <row r="1076" spans="2:5" ht="28.5">
      <c r="B1076" s="91"/>
      <c r="C1076" s="57" t="s">
        <v>154</v>
      </c>
      <c r="D1076" s="60">
        <v>9</v>
      </c>
      <c r="E1076" s="59">
        <v>0</v>
      </c>
    </row>
    <row r="1077" spans="2:5">
      <c r="B1077" s="91"/>
      <c r="C1077" s="57" t="s">
        <v>168</v>
      </c>
      <c r="D1077" s="60">
        <v>9</v>
      </c>
      <c r="E1077" s="59">
        <v>0</v>
      </c>
    </row>
    <row r="1078" spans="2:5">
      <c r="B1078" s="91"/>
      <c r="C1078" s="57" t="s">
        <v>147</v>
      </c>
      <c r="D1078" s="60">
        <v>8</v>
      </c>
      <c r="E1078" s="59">
        <v>0</v>
      </c>
    </row>
    <row r="1079" spans="2:5">
      <c r="B1079" s="91"/>
      <c r="C1079" s="57" t="s">
        <v>153</v>
      </c>
      <c r="D1079" s="60">
        <v>8</v>
      </c>
      <c r="E1079" s="59">
        <v>0</v>
      </c>
    </row>
    <row r="1080" spans="2:5">
      <c r="B1080" s="91"/>
      <c r="C1080" s="57" t="s">
        <v>172</v>
      </c>
      <c r="D1080" s="60">
        <v>8</v>
      </c>
      <c r="E1080" s="59">
        <v>0</v>
      </c>
    </row>
    <row r="1081" spans="2:5" ht="28.5" customHeight="1">
      <c r="B1081" s="91"/>
      <c r="C1081" s="57" t="s">
        <v>167</v>
      </c>
      <c r="D1081" s="60">
        <v>7</v>
      </c>
      <c r="E1081" s="59">
        <v>0</v>
      </c>
    </row>
    <row r="1082" spans="2:5">
      <c r="B1082" s="91"/>
      <c r="C1082" s="57" t="s">
        <v>177</v>
      </c>
      <c r="D1082" s="60">
        <v>7</v>
      </c>
      <c r="E1082" s="59">
        <v>0</v>
      </c>
    </row>
    <row r="1083" spans="2:5">
      <c r="B1083" s="91"/>
      <c r="C1083" s="57" t="s">
        <v>148</v>
      </c>
      <c r="D1083" s="60">
        <v>6</v>
      </c>
      <c r="E1083" s="59">
        <v>0</v>
      </c>
    </row>
    <row r="1084" spans="2:5">
      <c r="B1084" s="91"/>
      <c r="C1084" s="57" t="s">
        <v>155</v>
      </c>
      <c r="D1084" s="60">
        <v>6</v>
      </c>
      <c r="E1084" s="59">
        <v>0</v>
      </c>
    </row>
    <row r="1085" spans="2:5">
      <c r="B1085" s="91"/>
      <c r="C1085" s="57" t="s">
        <v>184</v>
      </c>
      <c r="D1085" s="60">
        <v>4</v>
      </c>
      <c r="E1085" s="59">
        <v>0</v>
      </c>
    </row>
    <row r="1086" spans="2:5">
      <c r="B1086" s="91"/>
      <c r="C1086" s="57" t="s">
        <v>166</v>
      </c>
      <c r="D1086" s="60">
        <v>4</v>
      </c>
      <c r="E1086" s="59">
        <v>0</v>
      </c>
    </row>
    <row r="1087" spans="2:5">
      <c r="B1087" s="91"/>
      <c r="C1087" s="57" t="s">
        <v>152</v>
      </c>
      <c r="D1087" s="60">
        <v>3</v>
      </c>
      <c r="E1087" s="59">
        <v>0</v>
      </c>
    </row>
    <row r="1088" spans="2:5">
      <c r="B1088" s="91"/>
      <c r="C1088" s="57" t="s">
        <v>182</v>
      </c>
      <c r="D1088" s="60">
        <v>3</v>
      </c>
      <c r="E1088" s="59">
        <v>0</v>
      </c>
    </row>
    <row r="1089" spans="2:5">
      <c r="B1089" s="91"/>
      <c r="C1089" s="57" t="s">
        <v>159</v>
      </c>
      <c r="D1089" s="60">
        <v>3</v>
      </c>
      <c r="E1089" s="59">
        <v>0</v>
      </c>
    </row>
    <row r="1090" spans="2:5">
      <c r="B1090" s="91"/>
      <c r="C1090" s="57" t="s">
        <v>175</v>
      </c>
      <c r="D1090" s="60">
        <v>3</v>
      </c>
      <c r="E1090" s="59">
        <v>0</v>
      </c>
    </row>
    <row r="1091" spans="2:5">
      <c r="B1091" s="91"/>
      <c r="C1091" s="57" t="s">
        <v>161</v>
      </c>
      <c r="D1091" s="60">
        <v>2</v>
      </c>
      <c r="E1091" s="59">
        <v>0</v>
      </c>
    </row>
    <row r="1092" spans="2:5">
      <c r="B1092" s="91"/>
      <c r="C1092" s="57" t="s">
        <v>169</v>
      </c>
      <c r="D1092" s="60">
        <v>2</v>
      </c>
      <c r="E1092" s="59">
        <v>0</v>
      </c>
    </row>
    <row r="1093" spans="2:5">
      <c r="B1093" s="91"/>
      <c r="C1093" s="57" t="s">
        <v>178</v>
      </c>
      <c r="D1093" s="60">
        <v>2</v>
      </c>
      <c r="E1093" s="59">
        <v>0</v>
      </c>
    </row>
    <row r="1094" spans="2:5">
      <c r="B1094" s="91"/>
      <c r="C1094" s="57" t="s">
        <v>291</v>
      </c>
      <c r="D1094" s="60">
        <v>1</v>
      </c>
      <c r="E1094" s="59">
        <v>0</v>
      </c>
    </row>
    <row r="1095" spans="2:5">
      <c r="B1095" s="91"/>
      <c r="C1095" s="57" t="s">
        <v>183</v>
      </c>
      <c r="D1095" s="60">
        <v>1</v>
      </c>
      <c r="E1095" s="59">
        <v>0</v>
      </c>
    </row>
    <row r="1096" spans="2:5">
      <c r="B1096" s="91"/>
      <c r="C1096" s="57" t="s">
        <v>158</v>
      </c>
      <c r="D1096" s="60">
        <v>1</v>
      </c>
      <c r="E1096" s="59">
        <v>0</v>
      </c>
    </row>
    <row r="1097" spans="2:5">
      <c r="B1097" s="91"/>
      <c r="C1097" s="57" t="s">
        <v>162</v>
      </c>
      <c r="D1097" s="60">
        <v>1</v>
      </c>
      <c r="E1097" s="59">
        <v>0</v>
      </c>
    </row>
    <row r="1098" spans="2:5">
      <c r="B1098" s="91"/>
      <c r="C1098" s="57" t="s">
        <v>186</v>
      </c>
      <c r="D1098" s="60">
        <v>1</v>
      </c>
      <c r="E1098" s="59">
        <v>0</v>
      </c>
    </row>
    <row r="1099" spans="2:5">
      <c r="B1099" s="91"/>
      <c r="C1099" s="57" t="s">
        <v>164</v>
      </c>
      <c r="D1099" s="60">
        <v>1</v>
      </c>
      <c r="E1099" s="59">
        <v>0</v>
      </c>
    </row>
    <row r="1100" spans="2:5">
      <c r="B1100" s="91"/>
      <c r="C1100" s="57" t="s">
        <v>173</v>
      </c>
      <c r="D1100" s="60">
        <v>1</v>
      </c>
      <c r="E1100" s="59">
        <v>0</v>
      </c>
    </row>
    <row r="1101" spans="2:5">
      <c r="B1101" s="91"/>
      <c r="C1101" s="57" t="s">
        <v>189</v>
      </c>
      <c r="D1101" s="60">
        <v>1</v>
      </c>
      <c r="E1101" s="59">
        <v>0</v>
      </c>
    </row>
    <row r="1102" spans="2:5">
      <c r="B1102" s="91"/>
      <c r="C1102" s="57" t="s">
        <v>191</v>
      </c>
      <c r="D1102" s="60">
        <v>1</v>
      </c>
      <c r="E1102" s="59">
        <v>0</v>
      </c>
    </row>
    <row r="1103" spans="2:5">
      <c r="B1103" s="92"/>
      <c r="C1103" s="71" t="s">
        <v>302</v>
      </c>
      <c r="D1103" s="69">
        <v>336</v>
      </c>
      <c r="E1103" s="72">
        <v>5.0000000000000001E-3</v>
      </c>
    </row>
    <row r="1104" spans="2:5">
      <c r="B1104" s="90" t="s">
        <v>119</v>
      </c>
      <c r="C1104" s="57" t="s">
        <v>171</v>
      </c>
      <c r="D1104" s="60">
        <v>47</v>
      </c>
      <c r="E1104" s="59">
        <v>1E-3</v>
      </c>
    </row>
    <row r="1105" spans="2:5">
      <c r="B1105" s="91"/>
      <c r="C1105" s="57" t="s">
        <v>177</v>
      </c>
      <c r="D1105" s="60">
        <v>32</v>
      </c>
      <c r="E1105" s="59">
        <v>1E-3</v>
      </c>
    </row>
    <row r="1106" spans="2:5">
      <c r="B1106" s="91"/>
      <c r="C1106" s="57" t="s">
        <v>148</v>
      </c>
      <c r="D1106" s="60">
        <v>26</v>
      </c>
      <c r="E1106" s="59">
        <v>0</v>
      </c>
    </row>
    <row r="1107" spans="2:5">
      <c r="B1107" s="91"/>
      <c r="C1107" s="57" t="s">
        <v>160</v>
      </c>
      <c r="D1107" s="60">
        <v>18</v>
      </c>
      <c r="E1107" s="59">
        <v>0</v>
      </c>
    </row>
    <row r="1108" spans="2:5">
      <c r="B1108" s="91"/>
      <c r="C1108" s="57" t="s">
        <v>178</v>
      </c>
      <c r="D1108" s="60">
        <v>15</v>
      </c>
      <c r="E1108" s="59">
        <v>0</v>
      </c>
    </row>
    <row r="1109" spans="2:5">
      <c r="B1109" s="91"/>
      <c r="C1109" s="57" t="s">
        <v>151</v>
      </c>
      <c r="D1109" s="60">
        <v>13</v>
      </c>
      <c r="E1109" s="59">
        <v>0</v>
      </c>
    </row>
    <row r="1110" spans="2:5">
      <c r="B1110" s="91"/>
      <c r="C1110" s="57" t="s">
        <v>168</v>
      </c>
      <c r="D1110" s="60">
        <v>13</v>
      </c>
      <c r="E1110" s="59">
        <v>0</v>
      </c>
    </row>
    <row r="1111" spans="2:5">
      <c r="B1111" s="91"/>
      <c r="C1111" s="57" t="s">
        <v>152</v>
      </c>
      <c r="D1111" s="60">
        <v>12</v>
      </c>
      <c r="E1111" s="59">
        <v>0</v>
      </c>
    </row>
    <row r="1112" spans="2:5" ht="28.5">
      <c r="B1112" s="91"/>
      <c r="C1112" s="57" t="s">
        <v>154</v>
      </c>
      <c r="D1112" s="60">
        <v>10</v>
      </c>
      <c r="E1112" s="59">
        <v>0</v>
      </c>
    </row>
    <row r="1113" spans="2:5">
      <c r="B1113" s="91"/>
      <c r="C1113" s="57" t="s">
        <v>176</v>
      </c>
      <c r="D1113" s="60">
        <v>10</v>
      </c>
      <c r="E1113" s="59">
        <v>0</v>
      </c>
    </row>
    <row r="1114" spans="2:5">
      <c r="B1114" s="91"/>
      <c r="C1114" s="57" t="s">
        <v>165</v>
      </c>
      <c r="D1114" s="60">
        <v>9</v>
      </c>
      <c r="E1114" s="59">
        <v>0</v>
      </c>
    </row>
    <row r="1115" spans="2:5">
      <c r="B1115" s="91"/>
      <c r="C1115" s="57" t="s">
        <v>155</v>
      </c>
      <c r="D1115" s="60">
        <v>8</v>
      </c>
      <c r="E1115" s="59">
        <v>0</v>
      </c>
    </row>
    <row r="1116" spans="2:5">
      <c r="B1116" s="91"/>
      <c r="C1116" s="57" t="s">
        <v>172</v>
      </c>
      <c r="D1116" s="60">
        <v>7</v>
      </c>
      <c r="E1116" s="59">
        <v>0</v>
      </c>
    </row>
    <row r="1117" spans="2:5">
      <c r="B1117" s="91"/>
      <c r="C1117" s="57" t="s">
        <v>159</v>
      </c>
      <c r="D1117" s="60">
        <v>6</v>
      </c>
      <c r="E1117" s="59">
        <v>0</v>
      </c>
    </row>
    <row r="1118" spans="2:5">
      <c r="B1118" s="91"/>
      <c r="C1118" s="57" t="s">
        <v>149</v>
      </c>
      <c r="D1118" s="60">
        <v>5</v>
      </c>
      <c r="E1118" s="59">
        <v>0</v>
      </c>
    </row>
    <row r="1119" spans="2:5">
      <c r="B1119" s="91"/>
      <c r="C1119" s="57" t="s">
        <v>150</v>
      </c>
      <c r="D1119" s="60">
        <v>4</v>
      </c>
      <c r="E1119" s="59">
        <v>0</v>
      </c>
    </row>
    <row r="1120" spans="2:5">
      <c r="B1120" s="91"/>
      <c r="C1120" s="57" t="s">
        <v>161</v>
      </c>
      <c r="D1120" s="60">
        <v>4</v>
      </c>
      <c r="E1120" s="59">
        <v>0</v>
      </c>
    </row>
    <row r="1121" spans="2:5">
      <c r="B1121" s="91"/>
      <c r="C1121" s="57" t="s">
        <v>169</v>
      </c>
      <c r="D1121" s="60">
        <v>3</v>
      </c>
      <c r="E1121" s="59">
        <v>0</v>
      </c>
    </row>
    <row r="1122" spans="2:5">
      <c r="B1122" s="91"/>
      <c r="C1122" s="57" t="s">
        <v>170</v>
      </c>
      <c r="D1122" s="60">
        <v>3</v>
      </c>
      <c r="E1122" s="59">
        <v>0</v>
      </c>
    </row>
    <row r="1123" spans="2:5" ht="28.5" customHeight="1">
      <c r="B1123" s="91"/>
      <c r="C1123" s="57" t="s">
        <v>147</v>
      </c>
      <c r="D1123" s="60">
        <v>2</v>
      </c>
      <c r="E1123" s="59">
        <v>0</v>
      </c>
    </row>
    <row r="1124" spans="2:5">
      <c r="B1124" s="91"/>
      <c r="C1124" s="57" t="s">
        <v>180</v>
      </c>
      <c r="D1124" s="60">
        <v>2</v>
      </c>
      <c r="E1124" s="59">
        <v>0</v>
      </c>
    </row>
    <row r="1125" spans="2:5">
      <c r="B1125" s="91"/>
      <c r="C1125" s="57" t="s">
        <v>153</v>
      </c>
      <c r="D1125" s="60">
        <v>2</v>
      </c>
      <c r="E1125" s="59">
        <v>0</v>
      </c>
    </row>
    <row r="1126" spans="2:5">
      <c r="B1126" s="91"/>
      <c r="C1126" s="57" t="s">
        <v>291</v>
      </c>
      <c r="D1126" s="60">
        <v>2</v>
      </c>
      <c r="E1126" s="59">
        <v>0</v>
      </c>
    </row>
    <row r="1127" spans="2:5">
      <c r="B1127" s="91"/>
      <c r="C1127" s="57" t="s">
        <v>183</v>
      </c>
      <c r="D1127" s="60">
        <v>2</v>
      </c>
      <c r="E1127" s="59">
        <v>0</v>
      </c>
    </row>
    <row r="1128" spans="2:5">
      <c r="B1128" s="91"/>
      <c r="C1128" s="57" t="s">
        <v>157</v>
      </c>
      <c r="D1128" s="60">
        <v>2</v>
      </c>
      <c r="E1128" s="59">
        <v>0</v>
      </c>
    </row>
    <row r="1129" spans="2:5">
      <c r="B1129" s="91"/>
      <c r="C1129" s="57" t="s">
        <v>162</v>
      </c>
      <c r="D1129" s="60">
        <v>2</v>
      </c>
      <c r="E1129" s="59">
        <v>0</v>
      </c>
    </row>
    <row r="1130" spans="2:5">
      <c r="B1130" s="91"/>
      <c r="C1130" s="57" t="s">
        <v>175</v>
      </c>
      <c r="D1130" s="60">
        <v>2</v>
      </c>
      <c r="E1130" s="59">
        <v>0</v>
      </c>
    </row>
    <row r="1131" spans="2:5">
      <c r="B1131" s="91"/>
      <c r="C1131" s="57" t="s">
        <v>185</v>
      </c>
      <c r="D1131" s="60">
        <v>1</v>
      </c>
      <c r="E1131" s="59">
        <v>0</v>
      </c>
    </row>
    <row r="1132" spans="2:5">
      <c r="B1132" s="91"/>
      <c r="C1132" s="57" t="s">
        <v>186</v>
      </c>
      <c r="D1132" s="60">
        <v>1</v>
      </c>
      <c r="E1132" s="59">
        <v>0</v>
      </c>
    </row>
    <row r="1133" spans="2:5">
      <c r="B1133" s="91"/>
      <c r="C1133" s="57" t="s">
        <v>163</v>
      </c>
      <c r="D1133" s="60">
        <v>1</v>
      </c>
      <c r="E1133" s="59">
        <v>0</v>
      </c>
    </row>
    <row r="1134" spans="2:5">
      <c r="B1134" s="91"/>
      <c r="C1134" s="57" t="s">
        <v>164</v>
      </c>
      <c r="D1134" s="60">
        <v>1</v>
      </c>
      <c r="E1134" s="59">
        <v>0</v>
      </c>
    </row>
    <row r="1135" spans="2:5">
      <c r="B1135" s="91"/>
      <c r="C1135" s="57" t="s">
        <v>167</v>
      </c>
      <c r="D1135" s="60">
        <v>1</v>
      </c>
      <c r="E1135" s="59">
        <v>0</v>
      </c>
    </row>
    <row r="1136" spans="2:5">
      <c r="B1136" s="91"/>
      <c r="C1136" s="57" t="s">
        <v>188</v>
      </c>
      <c r="D1136" s="60">
        <v>1</v>
      </c>
      <c r="E1136" s="59">
        <v>0</v>
      </c>
    </row>
    <row r="1137" spans="2:5">
      <c r="B1137" s="91"/>
      <c r="C1137" s="57" t="s">
        <v>173</v>
      </c>
      <c r="D1137" s="60">
        <v>1</v>
      </c>
      <c r="E1137" s="59">
        <v>0</v>
      </c>
    </row>
    <row r="1138" spans="2:5">
      <c r="B1138" s="91"/>
      <c r="C1138" s="57" t="s">
        <v>189</v>
      </c>
      <c r="D1138" s="60">
        <v>1</v>
      </c>
      <c r="E1138" s="59">
        <v>0</v>
      </c>
    </row>
    <row r="1139" spans="2:5">
      <c r="B1139" s="91"/>
      <c r="C1139" s="57" t="s">
        <v>190</v>
      </c>
      <c r="D1139" s="60">
        <v>1</v>
      </c>
      <c r="E1139" s="59">
        <v>0</v>
      </c>
    </row>
    <row r="1140" spans="2:5">
      <c r="B1140" s="92"/>
      <c r="C1140" s="71" t="s">
        <v>302</v>
      </c>
      <c r="D1140" s="69">
        <v>270</v>
      </c>
      <c r="E1140" s="72">
        <v>4.0000000000000001E-3</v>
      </c>
    </row>
    <row r="1141" spans="2:5">
      <c r="B1141" s="90" t="s">
        <v>141</v>
      </c>
      <c r="C1141" s="57" t="s">
        <v>151</v>
      </c>
      <c r="D1141" s="60">
        <v>27</v>
      </c>
      <c r="E1141" s="59">
        <v>0</v>
      </c>
    </row>
    <row r="1142" spans="2:5">
      <c r="B1142" s="91"/>
      <c r="C1142" s="57" t="s">
        <v>160</v>
      </c>
      <c r="D1142" s="60">
        <v>22</v>
      </c>
      <c r="E1142" s="59">
        <v>0</v>
      </c>
    </row>
    <row r="1143" spans="2:5">
      <c r="B1143" s="91"/>
      <c r="C1143" s="57" t="s">
        <v>168</v>
      </c>
      <c r="D1143" s="60">
        <v>19</v>
      </c>
      <c r="E1143" s="59">
        <v>0</v>
      </c>
    </row>
    <row r="1144" spans="2:5">
      <c r="B1144" s="91"/>
      <c r="C1144" s="57" t="s">
        <v>148</v>
      </c>
      <c r="D1144" s="60">
        <v>15</v>
      </c>
      <c r="E1144" s="59">
        <v>0</v>
      </c>
    </row>
    <row r="1145" spans="2:5">
      <c r="B1145" s="91"/>
      <c r="C1145" s="57" t="s">
        <v>176</v>
      </c>
      <c r="D1145" s="60">
        <v>12</v>
      </c>
      <c r="E1145" s="59">
        <v>0</v>
      </c>
    </row>
    <row r="1146" spans="2:5">
      <c r="B1146" s="91"/>
      <c r="C1146" s="57" t="s">
        <v>182</v>
      </c>
      <c r="D1146" s="60">
        <v>11</v>
      </c>
      <c r="E1146" s="59">
        <v>0</v>
      </c>
    </row>
    <row r="1147" spans="2:5">
      <c r="B1147" s="91"/>
      <c r="C1147" s="57" t="s">
        <v>165</v>
      </c>
      <c r="D1147" s="60">
        <v>11</v>
      </c>
      <c r="E1147" s="59">
        <v>0</v>
      </c>
    </row>
    <row r="1148" spans="2:5">
      <c r="B1148" s="91"/>
      <c r="C1148" s="57" t="s">
        <v>149</v>
      </c>
      <c r="D1148" s="60">
        <v>10</v>
      </c>
      <c r="E1148" s="59">
        <v>0</v>
      </c>
    </row>
    <row r="1149" spans="2:5">
      <c r="B1149" s="91"/>
      <c r="C1149" s="57" t="s">
        <v>166</v>
      </c>
      <c r="D1149" s="60">
        <v>10</v>
      </c>
      <c r="E1149" s="59">
        <v>0</v>
      </c>
    </row>
    <row r="1150" spans="2:5">
      <c r="B1150" s="91"/>
      <c r="C1150" s="57" t="s">
        <v>159</v>
      </c>
      <c r="D1150" s="60">
        <v>9</v>
      </c>
      <c r="E1150" s="59">
        <v>0</v>
      </c>
    </row>
    <row r="1151" spans="2:5">
      <c r="B1151" s="91"/>
      <c r="C1151" s="57" t="s">
        <v>169</v>
      </c>
      <c r="D1151" s="60">
        <v>9</v>
      </c>
      <c r="E1151" s="59">
        <v>0</v>
      </c>
    </row>
    <row r="1152" spans="2:5">
      <c r="B1152" s="91"/>
      <c r="C1152" s="57" t="s">
        <v>291</v>
      </c>
      <c r="D1152" s="60">
        <v>8</v>
      </c>
      <c r="E1152" s="59">
        <v>0</v>
      </c>
    </row>
    <row r="1153" spans="2:5">
      <c r="B1153" s="91"/>
      <c r="C1153" s="57" t="s">
        <v>157</v>
      </c>
      <c r="D1153" s="60">
        <v>8</v>
      </c>
      <c r="E1153" s="59">
        <v>0</v>
      </c>
    </row>
    <row r="1154" spans="2:5">
      <c r="B1154" s="91"/>
      <c r="C1154" s="57" t="s">
        <v>163</v>
      </c>
      <c r="D1154" s="60">
        <v>8</v>
      </c>
      <c r="E1154" s="59">
        <v>0</v>
      </c>
    </row>
    <row r="1155" spans="2:5">
      <c r="B1155" s="91"/>
      <c r="C1155" s="57" t="s">
        <v>171</v>
      </c>
      <c r="D1155" s="60">
        <v>8</v>
      </c>
      <c r="E1155" s="59">
        <v>0</v>
      </c>
    </row>
    <row r="1156" spans="2:5">
      <c r="B1156" s="91"/>
      <c r="C1156" s="57" t="s">
        <v>155</v>
      </c>
      <c r="D1156" s="60">
        <v>7</v>
      </c>
      <c r="E1156" s="59">
        <v>0</v>
      </c>
    </row>
    <row r="1157" spans="2:5">
      <c r="B1157" s="91"/>
      <c r="C1157" s="57" t="s">
        <v>161</v>
      </c>
      <c r="D1157" s="60">
        <v>6</v>
      </c>
      <c r="E1157" s="59">
        <v>0</v>
      </c>
    </row>
    <row r="1158" spans="2:5">
      <c r="B1158" s="91"/>
      <c r="C1158" s="57" t="s">
        <v>191</v>
      </c>
      <c r="D1158" s="60">
        <v>6</v>
      </c>
      <c r="E1158" s="59">
        <v>0</v>
      </c>
    </row>
    <row r="1159" spans="2:5">
      <c r="B1159" s="91"/>
      <c r="C1159" s="57" t="s">
        <v>150</v>
      </c>
      <c r="D1159" s="60">
        <v>5</v>
      </c>
      <c r="E1159" s="59">
        <v>0</v>
      </c>
    </row>
    <row r="1160" spans="2:5">
      <c r="B1160" s="91"/>
      <c r="C1160" s="57" t="s">
        <v>179</v>
      </c>
      <c r="D1160" s="60">
        <v>5</v>
      </c>
      <c r="E1160" s="59">
        <v>0</v>
      </c>
    </row>
    <row r="1161" spans="2:5">
      <c r="B1161" s="91"/>
      <c r="C1161" s="57" t="s">
        <v>175</v>
      </c>
      <c r="D1161" s="60">
        <v>4</v>
      </c>
      <c r="E1161" s="59">
        <v>0</v>
      </c>
    </row>
    <row r="1162" spans="2:5">
      <c r="B1162" s="91"/>
      <c r="C1162" s="57" t="s">
        <v>152</v>
      </c>
      <c r="D1162" s="60">
        <v>3</v>
      </c>
      <c r="E1162" s="59">
        <v>0</v>
      </c>
    </row>
    <row r="1163" spans="2:5" ht="28.5">
      <c r="B1163" s="91"/>
      <c r="C1163" s="57" t="s">
        <v>154</v>
      </c>
      <c r="D1163" s="60">
        <v>3</v>
      </c>
      <c r="E1163" s="59">
        <v>0</v>
      </c>
    </row>
    <row r="1164" spans="2:5">
      <c r="B1164" s="91"/>
      <c r="C1164" s="57" t="s">
        <v>180</v>
      </c>
      <c r="D1164" s="60">
        <v>2</v>
      </c>
      <c r="E1164" s="59">
        <v>0</v>
      </c>
    </row>
    <row r="1165" spans="2:5">
      <c r="B1165" s="91"/>
      <c r="C1165" s="57" t="s">
        <v>153</v>
      </c>
      <c r="D1165" s="60">
        <v>2</v>
      </c>
      <c r="E1165" s="59">
        <v>0</v>
      </c>
    </row>
    <row r="1166" spans="2:5">
      <c r="B1166" s="91"/>
      <c r="C1166" s="57" t="s">
        <v>158</v>
      </c>
      <c r="D1166" s="60">
        <v>2</v>
      </c>
      <c r="E1166" s="59">
        <v>0</v>
      </c>
    </row>
    <row r="1167" spans="2:5">
      <c r="B1167" s="91"/>
      <c r="C1167" s="57" t="s">
        <v>184</v>
      </c>
      <c r="D1167" s="60">
        <v>2</v>
      </c>
      <c r="E1167" s="59">
        <v>0</v>
      </c>
    </row>
    <row r="1168" spans="2:5">
      <c r="B1168" s="91"/>
      <c r="C1168" s="57" t="s">
        <v>162</v>
      </c>
      <c r="D1168" s="60">
        <v>2</v>
      </c>
      <c r="E1168" s="59">
        <v>0</v>
      </c>
    </row>
    <row r="1169" spans="2:5">
      <c r="B1169" s="91"/>
      <c r="C1169" s="57" t="s">
        <v>170</v>
      </c>
      <c r="D1169" s="60">
        <v>2</v>
      </c>
      <c r="E1169" s="59">
        <v>0</v>
      </c>
    </row>
    <row r="1170" spans="2:5">
      <c r="B1170" s="91"/>
      <c r="C1170" s="57" t="s">
        <v>172</v>
      </c>
      <c r="D1170" s="60">
        <v>2</v>
      </c>
      <c r="E1170" s="59">
        <v>0</v>
      </c>
    </row>
    <row r="1171" spans="2:5">
      <c r="B1171" s="91"/>
      <c r="C1171" s="57" t="s">
        <v>187</v>
      </c>
      <c r="D1171" s="60">
        <v>2</v>
      </c>
      <c r="E1171" s="59">
        <v>0</v>
      </c>
    </row>
    <row r="1172" spans="2:5">
      <c r="B1172" s="91"/>
      <c r="C1172" s="57" t="s">
        <v>156</v>
      </c>
      <c r="D1172" s="60">
        <v>1</v>
      </c>
      <c r="E1172" s="59">
        <v>0</v>
      </c>
    </row>
    <row r="1173" spans="2:5">
      <c r="B1173" s="91"/>
      <c r="C1173" s="57" t="s">
        <v>185</v>
      </c>
      <c r="D1173" s="60">
        <v>1</v>
      </c>
      <c r="E1173" s="59">
        <v>0</v>
      </c>
    </row>
    <row r="1174" spans="2:5">
      <c r="B1174" s="91"/>
      <c r="C1174" s="57" t="s">
        <v>186</v>
      </c>
      <c r="D1174" s="60">
        <v>1</v>
      </c>
      <c r="E1174" s="59">
        <v>0</v>
      </c>
    </row>
    <row r="1175" spans="2:5">
      <c r="B1175" s="91"/>
      <c r="C1175" s="57" t="s">
        <v>164</v>
      </c>
      <c r="D1175" s="60">
        <v>1</v>
      </c>
      <c r="E1175" s="59">
        <v>0</v>
      </c>
    </row>
    <row r="1176" spans="2:5">
      <c r="B1176" s="91"/>
      <c r="C1176" s="57" t="s">
        <v>192</v>
      </c>
      <c r="D1176" s="60">
        <v>1</v>
      </c>
      <c r="E1176" s="59">
        <v>0</v>
      </c>
    </row>
    <row r="1177" spans="2:5">
      <c r="B1177" s="91"/>
      <c r="C1177" s="57" t="s">
        <v>188</v>
      </c>
      <c r="D1177" s="60">
        <v>1</v>
      </c>
      <c r="E1177" s="59">
        <v>0</v>
      </c>
    </row>
    <row r="1178" spans="2:5">
      <c r="B1178" s="91"/>
      <c r="C1178" s="57" t="s">
        <v>189</v>
      </c>
      <c r="D1178" s="60">
        <v>1</v>
      </c>
      <c r="E1178" s="59">
        <v>0</v>
      </c>
    </row>
    <row r="1179" spans="2:5">
      <c r="B1179" s="91"/>
      <c r="C1179" s="57" t="s">
        <v>190</v>
      </c>
      <c r="D1179" s="60">
        <v>1</v>
      </c>
      <c r="E1179" s="59">
        <v>0</v>
      </c>
    </row>
    <row r="1180" spans="2:5">
      <c r="B1180" s="91"/>
      <c r="C1180" s="57" t="s">
        <v>177</v>
      </c>
      <c r="D1180" s="60">
        <v>1</v>
      </c>
      <c r="E1180" s="59">
        <v>0</v>
      </c>
    </row>
    <row r="1181" spans="2:5">
      <c r="B1181" s="92"/>
      <c r="C1181" s="71" t="s">
        <v>302</v>
      </c>
      <c r="D1181" s="69">
        <v>251</v>
      </c>
      <c r="E1181" s="72">
        <v>4.0000000000000001E-3</v>
      </c>
    </row>
    <row r="1182" spans="2:5">
      <c r="B1182" s="90" t="s">
        <v>112</v>
      </c>
      <c r="C1182" s="57" t="s">
        <v>151</v>
      </c>
      <c r="D1182" s="60">
        <v>23</v>
      </c>
      <c r="E1182" s="59">
        <v>0</v>
      </c>
    </row>
    <row r="1183" spans="2:5">
      <c r="B1183" s="91"/>
      <c r="C1183" s="57" t="s">
        <v>160</v>
      </c>
      <c r="D1183" s="60">
        <v>22</v>
      </c>
      <c r="E1183" s="59">
        <v>0</v>
      </c>
    </row>
    <row r="1184" spans="2:5">
      <c r="B1184" s="91"/>
      <c r="C1184" s="57" t="s">
        <v>171</v>
      </c>
      <c r="D1184" s="60">
        <v>20</v>
      </c>
      <c r="E1184" s="59">
        <v>0</v>
      </c>
    </row>
    <row r="1185" spans="2:5">
      <c r="B1185" s="91"/>
      <c r="C1185" s="57" t="s">
        <v>187</v>
      </c>
      <c r="D1185" s="60">
        <v>13</v>
      </c>
      <c r="E1185" s="59">
        <v>0</v>
      </c>
    </row>
    <row r="1186" spans="2:5">
      <c r="B1186" s="91"/>
      <c r="C1186" s="57" t="s">
        <v>159</v>
      </c>
      <c r="D1186" s="60">
        <v>12</v>
      </c>
      <c r="E1186" s="59">
        <v>0</v>
      </c>
    </row>
    <row r="1187" spans="2:5">
      <c r="B1187" s="91"/>
      <c r="C1187" s="57" t="s">
        <v>183</v>
      </c>
      <c r="D1187" s="60">
        <v>11</v>
      </c>
      <c r="E1187" s="59">
        <v>0</v>
      </c>
    </row>
    <row r="1188" spans="2:5" ht="28.5">
      <c r="B1188" s="91"/>
      <c r="C1188" s="57" t="s">
        <v>154</v>
      </c>
      <c r="D1188" s="60">
        <v>9</v>
      </c>
      <c r="E1188" s="59">
        <v>0</v>
      </c>
    </row>
    <row r="1189" spans="2:5">
      <c r="B1189" s="91"/>
      <c r="C1189" s="57" t="s">
        <v>170</v>
      </c>
      <c r="D1189" s="60">
        <v>9</v>
      </c>
      <c r="E1189" s="59">
        <v>0</v>
      </c>
    </row>
    <row r="1190" spans="2:5">
      <c r="B1190" s="91"/>
      <c r="C1190" s="57" t="s">
        <v>188</v>
      </c>
      <c r="D1190" s="60">
        <v>9</v>
      </c>
      <c r="E1190" s="59">
        <v>0</v>
      </c>
    </row>
    <row r="1191" spans="2:5">
      <c r="B1191" s="91"/>
      <c r="C1191" s="57" t="s">
        <v>172</v>
      </c>
      <c r="D1191" s="60">
        <v>8</v>
      </c>
      <c r="E1191" s="59">
        <v>0</v>
      </c>
    </row>
    <row r="1192" spans="2:5">
      <c r="B1192" s="91"/>
      <c r="C1192" s="57" t="s">
        <v>157</v>
      </c>
      <c r="D1192" s="60">
        <v>7</v>
      </c>
      <c r="E1192" s="59">
        <v>0</v>
      </c>
    </row>
    <row r="1193" spans="2:5">
      <c r="B1193" s="91"/>
      <c r="C1193" s="57" t="s">
        <v>166</v>
      </c>
      <c r="D1193" s="60">
        <v>7</v>
      </c>
      <c r="E1193" s="59">
        <v>0</v>
      </c>
    </row>
    <row r="1194" spans="2:5">
      <c r="B1194" s="91"/>
      <c r="C1194" s="57" t="s">
        <v>165</v>
      </c>
      <c r="D1194" s="60">
        <v>6</v>
      </c>
      <c r="E1194" s="59">
        <v>0</v>
      </c>
    </row>
    <row r="1195" spans="2:5">
      <c r="B1195" s="91"/>
      <c r="C1195" s="57" t="s">
        <v>148</v>
      </c>
      <c r="D1195" s="60">
        <v>5</v>
      </c>
      <c r="E1195" s="59">
        <v>0</v>
      </c>
    </row>
    <row r="1196" spans="2:5">
      <c r="B1196" s="91"/>
      <c r="C1196" s="57" t="s">
        <v>149</v>
      </c>
      <c r="D1196" s="60">
        <v>5</v>
      </c>
      <c r="E1196" s="59">
        <v>0</v>
      </c>
    </row>
    <row r="1197" spans="2:5">
      <c r="B1197" s="91"/>
      <c r="C1197" s="57" t="s">
        <v>163</v>
      </c>
      <c r="D1197" s="60">
        <v>5</v>
      </c>
      <c r="E1197" s="59">
        <v>0</v>
      </c>
    </row>
    <row r="1198" spans="2:5">
      <c r="B1198" s="91"/>
      <c r="C1198" s="57" t="s">
        <v>147</v>
      </c>
      <c r="D1198" s="60">
        <v>4</v>
      </c>
      <c r="E1198" s="59">
        <v>0</v>
      </c>
    </row>
    <row r="1199" spans="2:5">
      <c r="B1199" s="91"/>
      <c r="C1199" s="57" t="s">
        <v>155</v>
      </c>
      <c r="D1199" s="60">
        <v>4</v>
      </c>
      <c r="E1199" s="59">
        <v>0</v>
      </c>
    </row>
    <row r="1200" spans="2:5">
      <c r="B1200" s="91"/>
      <c r="C1200" s="57" t="s">
        <v>161</v>
      </c>
      <c r="D1200" s="60">
        <v>4</v>
      </c>
      <c r="E1200" s="59">
        <v>0</v>
      </c>
    </row>
    <row r="1201" spans="2:5">
      <c r="B1201" s="91"/>
      <c r="C1201" s="57" t="s">
        <v>162</v>
      </c>
      <c r="D1201" s="60">
        <v>4</v>
      </c>
      <c r="E1201" s="59">
        <v>0</v>
      </c>
    </row>
    <row r="1202" spans="2:5">
      <c r="B1202" s="91"/>
      <c r="C1202" s="57" t="s">
        <v>291</v>
      </c>
      <c r="D1202" s="60">
        <v>3</v>
      </c>
      <c r="E1202" s="59">
        <v>0</v>
      </c>
    </row>
    <row r="1203" spans="2:5">
      <c r="B1203" s="91"/>
      <c r="C1203" s="57" t="s">
        <v>169</v>
      </c>
      <c r="D1203" s="60">
        <v>3</v>
      </c>
      <c r="E1203" s="59">
        <v>0</v>
      </c>
    </row>
    <row r="1204" spans="2:5">
      <c r="B1204" s="91"/>
      <c r="C1204" s="57" t="s">
        <v>174</v>
      </c>
      <c r="D1204" s="60">
        <v>3</v>
      </c>
      <c r="E1204" s="59">
        <v>0</v>
      </c>
    </row>
    <row r="1205" spans="2:5">
      <c r="B1205" s="91"/>
      <c r="C1205" s="57" t="s">
        <v>152</v>
      </c>
      <c r="D1205" s="60">
        <v>2</v>
      </c>
      <c r="E1205" s="59">
        <v>0</v>
      </c>
    </row>
    <row r="1206" spans="2:5">
      <c r="B1206" s="91"/>
      <c r="C1206" s="57" t="s">
        <v>181</v>
      </c>
      <c r="D1206" s="60">
        <v>2</v>
      </c>
      <c r="E1206" s="59">
        <v>0</v>
      </c>
    </row>
    <row r="1207" spans="2:5">
      <c r="B1207" s="91"/>
      <c r="C1207" s="57" t="s">
        <v>190</v>
      </c>
      <c r="D1207" s="60">
        <v>2</v>
      </c>
      <c r="E1207" s="59">
        <v>0</v>
      </c>
    </row>
    <row r="1208" spans="2:5">
      <c r="B1208" s="91"/>
      <c r="C1208" s="57" t="s">
        <v>176</v>
      </c>
      <c r="D1208" s="60">
        <v>2</v>
      </c>
      <c r="E1208" s="59">
        <v>0</v>
      </c>
    </row>
    <row r="1209" spans="2:5">
      <c r="B1209" s="91"/>
      <c r="C1209" s="57" t="s">
        <v>177</v>
      </c>
      <c r="D1209" s="60">
        <v>2</v>
      </c>
      <c r="E1209" s="59">
        <v>0</v>
      </c>
    </row>
    <row r="1210" spans="2:5">
      <c r="B1210" s="91"/>
      <c r="C1210" s="57" t="s">
        <v>179</v>
      </c>
      <c r="D1210" s="60">
        <v>2</v>
      </c>
      <c r="E1210" s="59">
        <v>0</v>
      </c>
    </row>
    <row r="1211" spans="2:5">
      <c r="B1211" s="91"/>
      <c r="C1211" s="57" t="s">
        <v>153</v>
      </c>
      <c r="D1211" s="60">
        <v>1</v>
      </c>
      <c r="E1211" s="59">
        <v>0</v>
      </c>
    </row>
    <row r="1212" spans="2:5">
      <c r="B1212" s="91"/>
      <c r="C1212" s="57" t="s">
        <v>158</v>
      </c>
      <c r="D1212" s="60">
        <v>1</v>
      </c>
      <c r="E1212" s="59">
        <v>0</v>
      </c>
    </row>
    <row r="1213" spans="2:5">
      <c r="B1213" s="91"/>
      <c r="C1213" s="57" t="s">
        <v>184</v>
      </c>
      <c r="D1213" s="60">
        <v>1</v>
      </c>
      <c r="E1213" s="59">
        <v>0</v>
      </c>
    </row>
    <row r="1214" spans="2:5">
      <c r="B1214" s="91"/>
      <c r="C1214" s="57" t="s">
        <v>168</v>
      </c>
      <c r="D1214" s="60">
        <v>1</v>
      </c>
      <c r="E1214" s="59">
        <v>0</v>
      </c>
    </row>
    <row r="1215" spans="2:5">
      <c r="B1215" s="91"/>
      <c r="C1215" s="57" t="s">
        <v>192</v>
      </c>
      <c r="D1215" s="60">
        <v>1</v>
      </c>
      <c r="E1215" s="59">
        <v>0</v>
      </c>
    </row>
    <row r="1216" spans="2:5">
      <c r="B1216" s="91"/>
      <c r="C1216" s="57" t="s">
        <v>173</v>
      </c>
      <c r="D1216" s="60">
        <v>1</v>
      </c>
      <c r="E1216" s="59">
        <v>0</v>
      </c>
    </row>
    <row r="1217" spans="2:5">
      <c r="B1217" s="92"/>
      <c r="C1217" s="71" t="s">
        <v>302</v>
      </c>
      <c r="D1217" s="69">
        <v>214</v>
      </c>
      <c r="E1217" s="72">
        <v>3.0000000000000001E-3</v>
      </c>
    </row>
    <row r="1218" spans="2:5">
      <c r="B1218" s="90" t="s">
        <v>110</v>
      </c>
      <c r="C1218" s="57" t="s">
        <v>160</v>
      </c>
      <c r="D1218" s="60">
        <v>27</v>
      </c>
      <c r="E1218" s="59">
        <v>0</v>
      </c>
    </row>
    <row r="1219" spans="2:5">
      <c r="B1219" s="91"/>
      <c r="C1219" s="57" t="s">
        <v>151</v>
      </c>
      <c r="D1219" s="60">
        <v>26</v>
      </c>
      <c r="E1219" s="59">
        <v>0</v>
      </c>
    </row>
    <row r="1220" spans="2:5">
      <c r="B1220" s="91"/>
      <c r="C1220" s="57" t="s">
        <v>176</v>
      </c>
      <c r="D1220" s="60">
        <v>24</v>
      </c>
      <c r="E1220" s="59">
        <v>0</v>
      </c>
    </row>
    <row r="1221" spans="2:5">
      <c r="B1221" s="91"/>
      <c r="C1221" s="57" t="s">
        <v>164</v>
      </c>
      <c r="D1221" s="60">
        <v>14</v>
      </c>
      <c r="E1221" s="59">
        <v>0</v>
      </c>
    </row>
    <row r="1222" spans="2:5">
      <c r="B1222" s="91"/>
      <c r="C1222" s="57" t="s">
        <v>187</v>
      </c>
      <c r="D1222" s="60">
        <v>12</v>
      </c>
      <c r="E1222" s="59">
        <v>0</v>
      </c>
    </row>
    <row r="1223" spans="2:5">
      <c r="B1223" s="91"/>
      <c r="C1223" s="57" t="s">
        <v>169</v>
      </c>
      <c r="D1223" s="60">
        <v>10</v>
      </c>
      <c r="E1223" s="59">
        <v>0</v>
      </c>
    </row>
    <row r="1224" spans="2:5">
      <c r="B1224" s="91"/>
      <c r="C1224" s="57" t="s">
        <v>165</v>
      </c>
      <c r="D1224" s="60">
        <v>9</v>
      </c>
      <c r="E1224" s="59">
        <v>0</v>
      </c>
    </row>
    <row r="1225" spans="2:5">
      <c r="B1225" s="91"/>
      <c r="C1225" s="57" t="s">
        <v>166</v>
      </c>
      <c r="D1225" s="60">
        <v>9</v>
      </c>
      <c r="E1225" s="59">
        <v>0</v>
      </c>
    </row>
    <row r="1226" spans="2:5">
      <c r="B1226" s="91"/>
      <c r="C1226" s="57" t="s">
        <v>157</v>
      </c>
      <c r="D1226" s="60">
        <v>8</v>
      </c>
      <c r="E1226" s="59">
        <v>0</v>
      </c>
    </row>
    <row r="1227" spans="2:5">
      <c r="B1227" s="91"/>
      <c r="C1227" s="57" t="s">
        <v>163</v>
      </c>
      <c r="D1227" s="60">
        <v>7</v>
      </c>
      <c r="E1227" s="59">
        <v>0</v>
      </c>
    </row>
    <row r="1228" spans="2:5">
      <c r="B1228" s="91"/>
      <c r="C1228" s="57" t="s">
        <v>155</v>
      </c>
      <c r="D1228" s="60">
        <v>5</v>
      </c>
      <c r="E1228" s="59">
        <v>0</v>
      </c>
    </row>
    <row r="1229" spans="2:5">
      <c r="B1229" s="91"/>
      <c r="C1229" s="57" t="s">
        <v>171</v>
      </c>
      <c r="D1229" s="60">
        <v>5</v>
      </c>
      <c r="E1229" s="59">
        <v>0</v>
      </c>
    </row>
    <row r="1230" spans="2:5">
      <c r="B1230" s="91"/>
      <c r="C1230" s="57" t="s">
        <v>172</v>
      </c>
      <c r="D1230" s="60">
        <v>5</v>
      </c>
      <c r="E1230" s="59">
        <v>0</v>
      </c>
    </row>
    <row r="1231" spans="2:5">
      <c r="B1231" s="91"/>
      <c r="C1231" s="57" t="s">
        <v>147</v>
      </c>
      <c r="D1231" s="60">
        <v>4</v>
      </c>
      <c r="E1231" s="59">
        <v>0</v>
      </c>
    </row>
    <row r="1232" spans="2:5">
      <c r="B1232" s="91"/>
      <c r="C1232" s="57" t="s">
        <v>148</v>
      </c>
      <c r="D1232" s="60">
        <v>4</v>
      </c>
      <c r="E1232" s="59">
        <v>0</v>
      </c>
    </row>
    <row r="1233" spans="2:5">
      <c r="B1233" s="91"/>
      <c r="C1233" s="57" t="s">
        <v>156</v>
      </c>
      <c r="D1233" s="60">
        <v>4</v>
      </c>
      <c r="E1233" s="59">
        <v>0</v>
      </c>
    </row>
    <row r="1234" spans="2:5">
      <c r="B1234" s="91"/>
      <c r="C1234" s="57" t="s">
        <v>161</v>
      </c>
      <c r="D1234" s="60">
        <v>4</v>
      </c>
      <c r="E1234" s="59">
        <v>0</v>
      </c>
    </row>
    <row r="1235" spans="2:5">
      <c r="B1235" s="91"/>
      <c r="C1235" s="57" t="s">
        <v>150</v>
      </c>
      <c r="D1235" s="60">
        <v>3</v>
      </c>
      <c r="E1235" s="59">
        <v>0</v>
      </c>
    </row>
    <row r="1236" spans="2:5">
      <c r="B1236" s="91"/>
      <c r="C1236" s="57" t="s">
        <v>152</v>
      </c>
      <c r="D1236" s="60">
        <v>3</v>
      </c>
      <c r="E1236" s="59">
        <v>0</v>
      </c>
    </row>
    <row r="1237" spans="2:5">
      <c r="B1237" s="91"/>
      <c r="C1237" s="57" t="s">
        <v>175</v>
      </c>
      <c r="D1237" s="60">
        <v>3</v>
      </c>
      <c r="E1237" s="59">
        <v>0</v>
      </c>
    </row>
    <row r="1238" spans="2:5">
      <c r="B1238" s="91"/>
      <c r="C1238" s="57" t="s">
        <v>177</v>
      </c>
      <c r="D1238" s="60">
        <v>3</v>
      </c>
      <c r="E1238" s="59">
        <v>0</v>
      </c>
    </row>
    <row r="1239" spans="2:5">
      <c r="B1239" s="91"/>
      <c r="C1239" s="57" t="s">
        <v>291</v>
      </c>
      <c r="D1239" s="60">
        <v>2</v>
      </c>
      <c r="E1239" s="59">
        <v>0</v>
      </c>
    </row>
    <row r="1240" spans="2:5" ht="28.5">
      <c r="B1240" s="91"/>
      <c r="C1240" s="57" t="s">
        <v>154</v>
      </c>
      <c r="D1240" s="60">
        <v>2</v>
      </c>
      <c r="E1240" s="59">
        <v>0</v>
      </c>
    </row>
    <row r="1241" spans="2:5">
      <c r="B1241" s="91"/>
      <c r="C1241" s="57" t="s">
        <v>158</v>
      </c>
      <c r="D1241" s="60">
        <v>2</v>
      </c>
      <c r="E1241" s="59">
        <v>0</v>
      </c>
    </row>
    <row r="1242" spans="2:5">
      <c r="B1242" s="91"/>
      <c r="C1242" s="57" t="s">
        <v>173</v>
      </c>
      <c r="D1242" s="60">
        <v>2</v>
      </c>
      <c r="E1242" s="59">
        <v>0</v>
      </c>
    </row>
    <row r="1243" spans="2:5">
      <c r="B1243" s="91"/>
      <c r="C1243" s="57" t="s">
        <v>174</v>
      </c>
      <c r="D1243" s="60">
        <v>2</v>
      </c>
      <c r="E1243" s="59">
        <v>0</v>
      </c>
    </row>
    <row r="1244" spans="2:5">
      <c r="B1244" s="91"/>
      <c r="C1244" s="57" t="s">
        <v>189</v>
      </c>
      <c r="D1244" s="60">
        <v>2</v>
      </c>
      <c r="E1244" s="59">
        <v>0</v>
      </c>
    </row>
    <row r="1245" spans="2:5">
      <c r="B1245" s="91"/>
      <c r="C1245" s="57" t="s">
        <v>182</v>
      </c>
      <c r="D1245" s="60">
        <v>1</v>
      </c>
      <c r="E1245" s="59">
        <v>0</v>
      </c>
    </row>
    <row r="1246" spans="2:5">
      <c r="B1246" s="91"/>
      <c r="C1246" s="57" t="s">
        <v>183</v>
      </c>
      <c r="D1246" s="60">
        <v>1</v>
      </c>
      <c r="E1246" s="59">
        <v>0</v>
      </c>
    </row>
    <row r="1247" spans="2:5">
      <c r="B1247" s="91"/>
      <c r="C1247" s="57" t="s">
        <v>159</v>
      </c>
      <c r="D1247" s="60">
        <v>1</v>
      </c>
      <c r="E1247" s="59">
        <v>0</v>
      </c>
    </row>
    <row r="1248" spans="2:5">
      <c r="B1248" s="91"/>
      <c r="C1248" s="57" t="s">
        <v>184</v>
      </c>
      <c r="D1248" s="60">
        <v>1</v>
      </c>
      <c r="E1248" s="59">
        <v>0</v>
      </c>
    </row>
    <row r="1249" spans="2:5">
      <c r="B1249" s="91"/>
      <c r="C1249" s="57" t="s">
        <v>186</v>
      </c>
      <c r="D1249" s="60">
        <v>1</v>
      </c>
      <c r="E1249" s="59">
        <v>0</v>
      </c>
    </row>
    <row r="1250" spans="2:5">
      <c r="B1250" s="91"/>
      <c r="C1250" s="57" t="s">
        <v>168</v>
      </c>
      <c r="D1250" s="60">
        <v>1</v>
      </c>
      <c r="E1250" s="59">
        <v>0</v>
      </c>
    </row>
    <row r="1251" spans="2:5">
      <c r="B1251" s="91"/>
      <c r="C1251" s="57" t="s">
        <v>170</v>
      </c>
      <c r="D1251" s="60">
        <v>1</v>
      </c>
      <c r="E1251" s="59">
        <v>0</v>
      </c>
    </row>
    <row r="1252" spans="2:5">
      <c r="B1252" s="91"/>
      <c r="C1252" s="57" t="s">
        <v>190</v>
      </c>
      <c r="D1252" s="60">
        <v>1</v>
      </c>
      <c r="E1252" s="59">
        <v>0</v>
      </c>
    </row>
    <row r="1253" spans="2:5">
      <c r="B1253" s="91"/>
      <c r="C1253" s="57" t="s">
        <v>191</v>
      </c>
      <c r="D1253" s="60">
        <v>1</v>
      </c>
      <c r="E1253" s="59">
        <v>0</v>
      </c>
    </row>
    <row r="1254" spans="2:5">
      <c r="B1254" s="91"/>
      <c r="C1254" s="57" t="s">
        <v>178</v>
      </c>
      <c r="D1254" s="60">
        <v>1</v>
      </c>
      <c r="E1254" s="59">
        <v>0</v>
      </c>
    </row>
    <row r="1255" spans="2:5">
      <c r="B1255" s="91"/>
      <c r="C1255" s="57" t="s">
        <v>179</v>
      </c>
      <c r="D1255" s="60">
        <v>1</v>
      </c>
      <c r="E1255" s="59">
        <v>0</v>
      </c>
    </row>
    <row r="1256" spans="2:5">
      <c r="B1256" s="92"/>
      <c r="C1256" s="71" t="s">
        <v>302</v>
      </c>
      <c r="D1256" s="69">
        <v>212</v>
      </c>
      <c r="E1256" s="72">
        <v>3.0000000000000001E-3</v>
      </c>
    </row>
    <row r="1257" spans="2:5">
      <c r="B1257" s="90" t="s">
        <v>132</v>
      </c>
      <c r="C1257" s="57" t="s">
        <v>163</v>
      </c>
      <c r="D1257" s="60">
        <v>46</v>
      </c>
      <c r="E1257" s="59">
        <v>1E-3</v>
      </c>
    </row>
    <row r="1258" spans="2:5">
      <c r="B1258" s="91"/>
      <c r="C1258" s="57" t="s">
        <v>157</v>
      </c>
      <c r="D1258" s="60">
        <v>19</v>
      </c>
      <c r="E1258" s="59">
        <v>0</v>
      </c>
    </row>
    <row r="1259" spans="2:5">
      <c r="B1259" s="91"/>
      <c r="C1259" s="57" t="s">
        <v>160</v>
      </c>
      <c r="D1259" s="60">
        <v>17</v>
      </c>
      <c r="E1259" s="59">
        <v>0</v>
      </c>
    </row>
    <row r="1260" spans="2:5">
      <c r="B1260" s="91"/>
      <c r="C1260" s="57" t="s">
        <v>147</v>
      </c>
      <c r="D1260" s="60">
        <v>12</v>
      </c>
      <c r="E1260" s="59">
        <v>0</v>
      </c>
    </row>
    <row r="1261" spans="2:5">
      <c r="B1261" s="91"/>
      <c r="C1261" s="57" t="s">
        <v>176</v>
      </c>
      <c r="D1261" s="60">
        <v>12</v>
      </c>
      <c r="E1261" s="59">
        <v>0</v>
      </c>
    </row>
    <row r="1262" spans="2:5">
      <c r="B1262" s="91"/>
      <c r="C1262" s="57" t="s">
        <v>153</v>
      </c>
      <c r="D1262" s="60">
        <v>11</v>
      </c>
      <c r="E1262" s="59">
        <v>0</v>
      </c>
    </row>
    <row r="1263" spans="2:5">
      <c r="B1263" s="91"/>
      <c r="C1263" s="57" t="s">
        <v>164</v>
      </c>
      <c r="D1263" s="60">
        <v>10</v>
      </c>
      <c r="E1263" s="59">
        <v>0</v>
      </c>
    </row>
    <row r="1264" spans="2:5">
      <c r="B1264" s="91"/>
      <c r="C1264" s="57" t="s">
        <v>166</v>
      </c>
      <c r="D1264" s="60">
        <v>9</v>
      </c>
      <c r="E1264" s="59">
        <v>0</v>
      </c>
    </row>
    <row r="1265" spans="2:5">
      <c r="B1265" s="91"/>
      <c r="C1265" s="57" t="s">
        <v>148</v>
      </c>
      <c r="D1265" s="60">
        <v>8</v>
      </c>
      <c r="E1265" s="59">
        <v>0</v>
      </c>
    </row>
    <row r="1266" spans="2:5">
      <c r="B1266" s="91"/>
      <c r="C1266" s="57" t="s">
        <v>165</v>
      </c>
      <c r="D1266" s="60">
        <v>8</v>
      </c>
      <c r="E1266" s="59">
        <v>0</v>
      </c>
    </row>
    <row r="1267" spans="2:5">
      <c r="B1267" s="91"/>
      <c r="C1267" s="57" t="s">
        <v>155</v>
      </c>
      <c r="D1267" s="60">
        <v>6</v>
      </c>
      <c r="E1267" s="59">
        <v>0</v>
      </c>
    </row>
    <row r="1268" spans="2:5">
      <c r="B1268" s="91"/>
      <c r="C1268" s="57" t="s">
        <v>189</v>
      </c>
      <c r="D1268" s="60">
        <v>6</v>
      </c>
      <c r="E1268" s="59">
        <v>0</v>
      </c>
    </row>
    <row r="1269" spans="2:5">
      <c r="B1269" s="91"/>
      <c r="C1269" s="57" t="s">
        <v>179</v>
      </c>
      <c r="D1269" s="60">
        <v>5</v>
      </c>
      <c r="E1269" s="59">
        <v>0</v>
      </c>
    </row>
    <row r="1270" spans="2:5">
      <c r="B1270" s="91"/>
      <c r="C1270" s="57" t="s">
        <v>151</v>
      </c>
      <c r="D1270" s="60">
        <v>4</v>
      </c>
      <c r="E1270" s="59">
        <v>0</v>
      </c>
    </row>
    <row r="1271" spans="2:5">
      <c r="B1271" s="91"/>
      <c r="C1271" s="57" t="s">
        <v>169</v>
      </c>
      <c r="D1271" s="60">
        <v>3</v>
      </c>
      <c r="E1271" s="59">
        <v>0</v>
      </c>
    </row>
    <row r="1272" spans="2:5">
      <c r="B1272" s="91"/>
      <c r="C1272" s="57" t="s">
        <v>173</v>
      </c>
      <c r="D1272" s="60">
        <v>3</v>
      </c>
      <c r="E1272" s="59">
        <v>0</v>
      </c>
    </row>
    <row r="1273" spans="2:5">
      <c r="B1273" s="91"/>
      <c r="C1273" s="57" t="s">
        <v>183</v>
      </c>
      <c r="D1273" s="60">
        <v>2</v>
      </c>
      <c r="E1273" s="59">
        <v>0</v>
      </c>
    </row>
    <row r="1274" spans="2:5" ht="28.5">
      <c r="B1274" s="91"/>
      <c r="C1274" s="57" t="s">
        <v>154</v>
      </c>
      <c r="D1274" s="60">
        <v>2</v>
      </c>
      <c r="E1274" s="59">
        <v>0</v>
      </c>
    </row>
    <row r="1275" spans="2:5">
      <c r="B1275" s="91"/>
      <c r="C1275" s="57" t="s">
        <v>158</v>
      </c>
      <c r="D1275" s="60">
        <v>2</v>
      </c>
      <c r="E1275" s="59">
        <v>0</v>
      </c>
    </row>
    <row r="1276" spans="2:5">
      <c r="B1276" s="91"/>
      <c r="C1276" s="57" t="s">
        <v>170</v>
      </c>
      <c r="D1276" s="60">
        <v>2</v>
      </c>
      <c r="E1276" s="59">
        <v>0</v>
      </c>
    </row>
    <row r="1277" spans="2:5">
      <c r="B1277" s="91"/>
      <c r="C1277" s="57" t="s">
        <v>152</v>
      </c>
      <c r="D1277" s="60">
        <v>1</v>
      </c>
      <c r="E1277" s="59">
        <v>0</v>
      </c>
    </row>
    <row r="1278" spans="2:5">
      <c r="B1278" s="91"/>
      <c r="C1278" s="57" t="s">
        <v>291</v>
      </c>
      <c r="D1278" s="60">
        <v>1</v>
      </c>
      <c r="E1278" s="59">
        <v>0</v>
      </c>
    </row>
    <row r="1279" spans="2:5">
      <c r="B1279" s="91"/>
      <c r="C1279" s="57" t="s">
        <v>159</v>
      </c>
      <c r="D1279" s="60">
        <v>1</v>
      </c>
      <c r="E1279" s="59">
        <v>0</v>
      </c>
    </row>
    <row r="1280" spans="2:5">
      <c r="B1280" s="91"/>
      <c r="C1280" s="57" t="s">
        <v>184</v>
      </c>
      <c r="D1280" s="60">
        <v>1</v>
      </c>
      <c r="E1280" s="59">
        <v>0</v>
      </c>
    </row>
    <row r="1281" spans="2:5">
      <c r="B1281" s="91"/>
      <c r="C1281" s="57" t="s">
        <v>171</v>
      </c>
      <c r="D1281" s="60">
        <v>1</v>
      </c>
      <c r="E1281" s="59">
        <v>0</v>
      </c>
    </row>
    <row r="1282" spans="2:5">
      <c r="B1282" s="91"/>
      <c r="C1282" s="57" t="s">
        <v>174</v>
      </c>
      <c r="D1282" s="60">
        <v>1</v>
      </c>
      <c r="E1282" s="59">
        <v>0</v>
      </c>
    </row>
    <row r="1283" spans="2:5">
      <c r="B1283" s="91"/>
      <c r="C1283" s="57" t="s">
        <v>191</v>
      </c>
      <c r="D1283" s="60">
        <v>1</v>
      </c>
      <c r="E1283" s="59">
        <v>0</v>
      </c>
    </row>
    <row r="1284" spans="2:5">
      <c r="B1284" s="92"/>
      <c r="C1284" s="71" t="s">
        <v>302</v>
      </c>
      <c r="D1284" s="69">
        <v>194</v>
      </c>
      <c r="E1284" s="72">
        <v>3.0000000000000001E-3</v>
      </c>
    </row>
    <row r="1285" spans="2:5">
      <c r="B1285" s="90" t="s">
        <v>125</v>
      </c>
      <c r="C1285" s="57" t="s">
        <v>151</v>
      </c>
      <c r="D1285" s="60">
        <v>39</v>
      </c>
      <c r="E1285" s="59">
        <v>1E-3</v>
      </c>
    </row>
    <row r="1286" spans="2:5">
      <c r="B1286" s="91"/>
      <c r="C1286" s="57" t="s">
        <v>160</v>
      </c>
      <c r="D1286" s="60">
        <v>12</v>
      </c>
      <c r="E1286" s="59">
        <v>0</v>
      </c>
    </row>
    <row r="1287" spans="2:5">
      <c r="B1287" s="91"/>
      <c r="C1287" s="57" t="s">
        <v>157</v>
      </c>
      <c r="D1287" s="60">
        <v>11</v>
      </c>
      <c r="E1287" s="59">
        <v>0</v>
      </c>
    </row>
    <row r="1288" spans="2:5">
      <c r="B1288" s="91"/>
      <c r="C1288" s="57" t="s">
        <v>182</v>
      </c>
      <c r="D1288" s="60">
        <v>8</v>
      </c>
      <c r="E1288" s="59">
        <v>0</v>
      </c>
    </row>
    <row r="1289" spans="2:5" ht="28.5" customHeight="1">
      <c r="B1289" s="91"/>
      <c r="C1289" s="57" t="s">
        <v>152</v>
      </c>
      <c r="D1289" s="60">
        <v>6</v>
      </c>
      <c r="E1289" s="59">
        <v>0</v>
      </c>
    </row>
    <row r="1290" spans="2:5">
      <c r="B1290" s="91"/>
      <c r="C1290" s="57" t="s">
        <v>184</v>
      </c>
      <c r="D1290" s="60">
        <v>6</v>
      </c>
      <c r="E1290" s="59">
        <v>0</v>
      </c>
    </row>
    <row r="1291" spans="2:5">
      <c r="B1291" s="91"/>
      <c r="C1291" s="57" t="s">
        <v>165</v>
      </c>
      <c r="D1291" s="60">
        <v>6</v>
      </c>
      <c r="E1291" s="59">
        <v>0</v>
      </c>
    </row>
    <row r="1292" spans="2:5">
      <c r="B1292" s="91"/>
      <c r="C1292" s="57" t="s">
        <v>176</v>
      </c>
      <c r="D1292" s="60">
        <v>6</v>
      </c>
      <c r="E1292" s="59">
        <v>0</v>
      </c>
    </row>
    <row r="1293" spans="2:5">
      <c r="B1293" s="91"/>
      <c r="C1293" s="57" t="s">
        <v>168</v>
      </c>
      <c r="D1293" s="60">
        <v>4</v>
      </c>
      <c r="E1293" s="59">
        <v>0</v>
      </c>
    </row>
    <row r="1294" spans="2:5" ht="28.5">
      <c r="B1294" s="91"/>
      <c r="C1294" s="57" t="s">
        <v>154</v>
      </c>
      <c r="D1294" s="60">
        <v>3</v>
      </c>
      <c r="E1294" s="59">
        <v>0</v>
      </c>
    </row>
    <row r="1295" spans="2:5">
      <c r="B1295" s="91"/>
      <c r="C1295" s="57" t="s">
        <v>169</v>
      </c>
      <c r="D1295" s="60">
        <v>3</v>
      </c>
      <c r="E1295" s="59">
        <v>0</v>
      </c>
    </row>
    <row r="1296" spans="2:5">
      <c r="B1296" s="91"/>
      <c r="C1296" s="57" t="s">
        <v>172</v>
      </c>
      <c r="D1296" s="60">
        <v>3</v>
      </c>
      <c r="E1296" s="59">
        <v>0</v>
      </c>
    </row>
    <row r="1297" spans="2:5">
      <c r="B1297" s="91"/>
      <c r="C1297" s="57" t="s">
        <v>187</v>
      </c>
      <c r="D1297" s="60">
        <v>3</v>
      </c>
      <c r="E1297" s="59">
        <v>0</v>
      </c>
    </row>
    <row r="1298" spans="2:5">
      <c r="B1298" s="91"/>
      <c r="C1298" s="57" t="s">
        <v>173</v>
      </c>
      <c r="D1298" s="60">
        <v>3</v>
      </c>
      <c r="E1298" s="59">
        <v>0</v>
      </c>
    </row>
    <row r="1299" spans="2:5">
      <c r="B1299" s="91"/>
      <c r="C1299" s="57" t="s">
        <v>175</v>
      </c>
      <c r="D1299" s="60">
        <v>3</v>
      </c>
      <c r="E1299" s="59">
        <v>0</v>
      </c>
    </row>
    <row r="1300" spans="2:5">
      <c r="B1300" s="91"/>
      <c r="C1300" s="57" t="s">
        <v>177</v>
      </c>
      <c r="D1300" s="60">
        <v>3</v>
      </c>
      <c r="E1300" s="59">
        <v>0</v>
      </c>
    </row>
    <row r="1301" spans="2:5">
      <c r="B1301" s="91"/>
      <c r="C1301" s="57" t="s">
        <v>147</v>
      </c>
      <c r="D1301" s="60">
        <v>2</v>
      </c>
      <c r="E1301" s="59">
        <v>0</v>
      </c>
    </row>
    <row r="1302" spans="2:5">
      <c r="B1302" s="91"/>
      <c r="C1302" s="57" t="s">
        <v>291</v>
      </c>
      <c r="D1302" s="60">
        <v>2</v>
      </c>
      <c r="E1302" s="59">
        <v>0</v>
      </c>
    </row>
    <row r="1303" spans="2:5">
      <c r="B1303" s="91"/>
      <c r="C1303" s="57" t="s">
        <v>166</v>
      </c>
      <c r="D1303" s="60">
        <v>2</v>
      </c>
      <c r="E1303" s="59">
        <v>0</v>
      </c>
    </row>
    <row r="1304" spans="2:5">
      <c r="B1304" s="91"/>
      <c r="C1304" s="57" t="s">
        <v>171</v>
      </c>
      <c r="D1304" s="60">
        <v>2</v>
      </c>
      <c r="E1304" s="59">
        <v>0</v>
      </c>
    </row>
    <row r="1305" spans="2:5">
      <c r="B1305" s="91"/>
      <c r="C1305" s="57" t="s">
        <v>148</v>
      </c>
      <c r="D1305" s="60">
        <v>1</v>
      </c>
      <c r="E1305" s="59">
        <v>0</v>
      </c>
    </row>
    <row r="1306" spans="2:5">
      <c r="B1306" s="91"/>
      <c r="C1306" s="57" t="s">
        <v>149</v>
      </c>
      <c r="D1306" s="60">
        <v>1</v>
      </c>
      <c r="E1306" s="59">
        <v>0</v>
      </c>
    </row>
    <row r="1307" spans="2:5">
      <c r="B1307" s="91"/>
      <c r="C1307" s="57" t="s">
        <v>153</v>
      </c>
      <c r="D1307" s="60">
        <v>1</v>
      </c>
      <c r="E1307" s="59">
        <v>0</v>
      </c>
    </row>
    <row r="1308" spans="2:5">
      <c r="B1308" s="91"/>
      <c r="C1308" s="57" t="s">
        <v>155</v>
      </c>
      <c r="D1308" s="60">
        <v>1</v>
      </c>
      <c r="E1308" s="59">
        <v>0</v>
      </c>
    </row>
    <row r="1309" spans="2:5">
      <c r="B1309" s="91"/>
      <c r="C1309" s="57" t="s">
        <v>161</v>
      </c>
      <c r="D1309" s="60">
        <v>1</v>
      </c>
      <c r="E1309" s="59">
        <v>0</v>
      </c>
    </row>
    <row r="1310" spans="2:5">
      <c r="B1310" s="91"/>
      <c r="C1310" s="57" t="s">
        <v>163</v>
      </c>
      <c r="D1310" s="60">
        <v>1</v>
      </c>
      <c r="E1310" s="59">
        <v>0</v>
      </c>
    </row>
    <row r="1311" spans="2:5">
      <c r="B1311" s="91"/>
      <c r="C1311" s="57" t="s">
        <v>174</v>
      </c>
      <c r="D1311" s="60">
        <v>1</v>
      </c>
      <c r="E1311" s="59">
        <v>0</v>
      </c>
    </row>
    <row r="1312" spans="2:5">
      <c r="B1312" s="91"/>
      <c r="C1312" s="57" t="s">
        <v>189</v>
      </c>
      <c r="D1312" s="60">
        <v>1</v>
      </c>
      <c r="E1312" s="59">
        <v>0</v>
      </c>
    </row>
    <row r="1313" spans="2:5">
      <c r="B1313" s="91"/>
      <c r="C1313" s="57" t="s">
        <v>191</v>
      </c>
      <c r="D1313" s="60">
        <v>1</v>
      </c>
      <c r="E1313" s="59">
        <v>0</v>
      </c>
    </row>
    <row r="1314" spans="2:5">
      <c r="B1314" s="91"/>
      <c r="C1314" s="57" t="s">
        <v>179</v>
      </c>
      <c r="D1314" s="60">
        <v>1</v>
      </c>
      <c r="E1314" s="59">
        <v>0</v>
      </c>
    </row>
    <row r="1315" spans="2:5">
      <c r="B1315" s="92"/>
      <c r="C1315" s="71" t="s">
        <v>302</v>
      </c>
      <c r="D1315" s="69">
        <v>137</v>
      </c>
      <c r="E1315" s="72">
        <v>2E-3</v>
      </c>
    </row>
    <row r="1316" spans="2:5">
      <c r="B1316" s="90" t="s">
        <v>80</v>
      </c>
      <c r="C1316" s="57" t="s">
        <v>160</v>
      </c>
      <c r="D1316" s="60">
        <v>24</v>
      </c>
      <c r="E1316" s="59">
        <v>0</v>
      </c>
    </row>
    <row r="1317" spans="2:5">
      <c r="B1317" s="91"/>
      <c r="C1317" s="57" t="s">
        <v>157</v>
      </c>
      <c r="D1317" s="60">
        <v>14</v>
      </c>
      <c r="E1317" s="59">
        <v>0</v>
      </c>
    </row>
    <row r="1318" spans="2:5">
      <c r="B1318" s="91"/>
      <c r="C1318" s="57" t="s">
        <v>163</v>
      </c>
      <c r="D1318" s="60">
        <v>13</v>
      </c>
      <c r="E1318" s="59">
        <v>0</v>
      </c>
    </row>
    <row r="1319" spans="2:5">
      <c r="B1319" s="91"/>
      <c r="C1319" s="57" t="s">
        <v>165</v>
      </c>
      <c r="D1319" s="60">
        <v>9</v>
      </c>
      <c r="E1319" s="59">
        <v>0</v>
      </c>
    </row>
    <row r="1320" spans="2:5">
      <c r="B1320" s="91"/>
      <c r="C1320" s="57" t="s">
        <v>147</v>
      </c>
      <c r="D1320" s="60">
        <v>8</v>
      </c>
      <c r="E1320" s="59">
        <v>0</v>
      </c>
    </row>
    <row r="1321" spans="2:5">
      <c r="B1321" s="91"/>
      <c r="C1321" s="57" t="s">
        <v>153</v>
      </c>
      <c r="D1321" s="60">
        <v>6</v>
      </c>
      <c r="E1321" s="59">
        <v>0</v>
      </c>
    </row>
    <row r="1322" spans="2:5">
      <c r="B1322" s="91"/>
      <c r="C1322" s="57" t="s">
        <v>176</v>
      </c>
      <c r="D1322" s="60">
        <v>6</v>
      </c>
      <c r="E1322" s="59">
        <v>0</v>
      </c>
    </row>
    <row r="1323" spans="2:5">
      <c r="B1323" s="91"/>
      <c r="C1323" s="57" t="s">
        <v>168</v>
      </c>
      <c r="D1323" s="60">
        <v>4</v>
      </c>
      <c r="E1323" s="59">
        <v>0</v>
      </c>
    </row>
    <row r="1324" spans="2:5">
      <c r="B1324" s="91"/>
      <c r="C1324" s="57" t="s">
        <v>173</v>
      </c>
      <c r="D1324" s="60">
        <v>4</v>
      </c>
      <c r="E1324" s="59">
        <v>0</v>
      </c>
    </row>
    <row r="1325" spans="2:5">
      <c r="B1325" s="91"/>
      <c r="C1325" s="57" t="s">
        <v>148</v>
      </c>
      <c r="D1325" s="60">
        <v>3</v>
      </c>
      <c r="E1325" s="59">
        <v>0</v>
      </c>
    </row>
    <row r="1326" spans="2:5">
      <c r="B1326" s="91"/>
      <c r="C1326" s="57" t="s">
        <v>151</v>
      </c>
      <c r="D1326" s="60">
        <v>3</v>
      </c>
      <c r="E1326" s="59">
        <v>0</v>
      </c>
    </row>
    <row r="1327" spans="2:5">
      <c r="B1327" s="91"/>
      <c r="C1327" s="57" t="s">
        <v>155</v>
      </c>
      <c r="D1327" s="60">
        <v>3</v>
      </c>
      <c r="E1327" s="59">
        <v>0</v>
      </c>
    </row>
    <row r="1328" spans="2:5">
      <c r="B1328" s="91"/>
      <c r="C1328" s="57" t="s">
        <v>156</v>
      </c>
      <c r="D1328" s="60">
        <v>3</v>
      </c>
      <c r="E1328" s="59">
        <v>0</v>
      </c>
    </row>
    <row r="1329" spans="2:5">
      <c r="B1329" s="91"/>
      <c r="C1329" s="57" t="s">
        <v>169</v>
      </c>
      <c r="D1329" s="60">
        <v>3</v>
      </c>
      <c r="E1329" s="59">
        <v>0</v>
      </c>
    </row>
    <row r="1330" spans="2:5">
      <c r="B1330" s="91"/>
      <c r="C1330" s="57" t="s">
        <v>182</v>
      </c>
      <c r="D1330" s="60">
        <v>2</v>
      </c>
      <c r="E1330" s="59">
        <v>0</v>
      </c>
    </row>
    <row r="1331" spans="2:5">
      <c r="B1331" s="91"/>
      <c r="C1331" s="57" t="s">
        <v>161</v>
      </c>
      <c r="D1331" s="60">
        <v>2</v>
      </c>
      <c r="E1331" s="59">
        <v>0</v>
      </c>
    </row>
    <row r="1332" spans="2:5">
      <c r="B1332" s="91"/>
      <c r="C1332" s="57" t="s">
        <v>184</v>
      </c>
      <c r="D1332" s="60">
        <v>2</v>
      </c>
      <c r="E1332" s="59">
        <v>0</v>
      </c>
    </row>
    <row r="1333" spans="2:5">
      <c r="B1333" s="91"/>
      <c r="C1333" s="57" t="s">
        <v>174</v>
      </c>
      <c r="D1333" s="60">
        <v>2</v>
      </c>
      <c r="E1333" s="59">
        <v>0</v>
      </c>
    </row>
    <row r="1334" spans="2:5">
      <c r="B1334" s="91"/>
      <c r="C1334" s="57" t="s">
        <v>175</v>
      </c>
      <c r="D1334" s="60">
        <v>2</v>
      </c>
      <c r="E1334" s="59">
        <v>0</v>
      </c>
    </row>
    <row r="1335" spans="2:5">
      <c r="B1335" s="91"/>
      <c r="C1335" s="57" t="s">
        <v>158</v>
      </c>
      <c r="D1335" s="60">
        <v>1</v>
      </c>
      <c r="E1335" s="59">
        <v>0</v>
      </c>
    </row>
    <row r="1336" spans="2:5">
      <c r="B1336" s="91"/>
      <c r="C1336" s="57" t="s">
        <v>159</v>
      </c>
      <c r="D1336" s="60">
        <v>1</v>
      </c>
      <c r="E1336" s="59">
        <v>0</v>
      </c>
    </row>
    <row r="1337" spans="2:5" ht="28.5" customHeight="1">
      <c r="B1337" s="91"/>
      <c r="C1337" s="57" t="s">
        <v>185</v>
      </c>
      <c r="D1337" s="60">
        <v>1</v>
      </c>
      <c r="E1337" s="59">
        <v>0</v>
      </c>
    </row>
    <row r="1338" spans="2:5">
      <c r="B1338" s="91"/>
      <c r="C1338" s="57" t="s">
        <v>164</v>
      </c>
      <c r="D1338" s="60">
        <v>1</v>
      </c>
      <c r="E1338" s="59">
        <v>0</v>
      </c>
    </row>
    <row r="1339" spans="2:5">
      <c r="B1339" s="91"/>
      <c r="C1339" s="57" t="s">
        <v>166</v>
      </c>
      <c r="D1339" s="60">
        <v>1</v>
      </c>
      <c r="E1339" s="59">
        <v>0</v>
      </c>
    </row>
    <row r="1340" spans="2:5">
      <c r="B1340" s="91"/>
      <c r="C1340" s="57" t="s">
        <v>167</v>
      </c>
      <c r="D1340" s="60">
        <v>1</v>
      </c>
      <c r="E1340" s="59">
        <v>0</v>
      </c>
    </row>
    <row r="1341" spans="2:5">
      <c r="B1341" s="91"/>
      <c r="C1341" s="57" t="s">
        <v>172</v>
      </c>
      <c r="D1341" s="60">
        <v>1</v>
      </c>
      <c r="E1341" s="59">
        <v>0</v>
      </c>
    </row>
    <row r="1342" spans="2:5">
      <c r="B1342" s="91"/>
      <c r="C1342" s="57" t="s">
        <v>189</v>
      </c>
      <c r="D1342" s="60">
        <v>1</v>
      </c>
      <c r="E1342" s="59">
        <v>0</v>
      </c>
    </row>
    <row r="1343" spans="2:5">
      <c r="B1343" s="91"/>
      <c r="C1343" s="57" t="s">
        <v>177</v>
      </c>
      <c r="D1343" s="60">
        <v>1</v>
      </c>
      <c r="E1343" s="59">
        <v>0</v>
      </c>
    </row>
    <row r="1344" spans="2:5">
      <c r="B1344" s="91"/>
      <c r="C1344" s="57" t="s">
        <v>191</v>
      </c>
      <c r="D1344" s="60">
        <v>1</v>
      </c>
      <c r="E1344" s="59">
        <v>0</v>
      </c>
    </row>
    <row r="1345" spans="2:5">
      <c r="B1345" s="91"/>
      <c r="C1345" s="57" t="s">
        <v>178</v>
      </c>
      <c r="D1345" s="60">
        <v>1</v>
      </c>
      <c r="E1345" s="59">
        <v>0</v>
      </c>
    </row>
    <row r="1346" spans="2:5">
      <c r="B1346" s="91"/>
      <c r="C1346" s="57" t="s">
        <v>179</v>
      </c>
      <c r="D1346" s="60">
        <v>1</v>
      </c>
      <c r="E1346" s="59">
        <v>0</v>
      </c>
    </row>
    <row r="1347" spans="2:5">
      <c r="B1347" s="92"/>
      <c r="C1347" s="71" t="s">
        <v>302</v>
      </c>
      <c r="D1347" s="69">
        <v>125</v>
      </c>
      <c r="E1347" s="72">
        <v>2E-3</v>
      </c>
    </row>
    <row r="1348" spans="2:5">
      <c r="B1348" s="90" t="s">
        <v>127</v>
      </c>
      <c r="C1348" s="57" t="s">
        <v>160</v>
      </c>
      <c r="D1348" s="60">
        <v>23</v>
      </c>
      <c r="E1348" s="59">
        <v>0</v>
      </c>
    </row>
    <row r="1349" spans="2:5">
      <c r="B1349" s="91"/>
      <c r="C1349" s="57" t="s">
        <v>151</v>
      </c>
      <c r="D1349" s="60">
        <v>19</v>
      </c>
      <c r="E1349" s="59">
        <v>0</v>
      </c>
    </row>
    <row r="1350" spans="2:5">
      <c r="B1350" s="91"/>
      <c r="C1350" s="57" t="s">
        <v>157</v>
      </c>
      <c r="D1350" s="60">
        <v>14</v>
      </c>
      <c r="E1350" s="59">
        <v>0</v>
      </c>
    </row>
    <row r="1351" spans="2:5">
      <c r="B1351" s="91"/>
      <c r="C1351" s="57" t="s">
        <v>148</v>
      </c>
      <c r="D1351" s="60">
        <v>8</v>
      </c>
      <c r="E1351" s="59">
        <v>0</v>
      </c>
    </row>
    <row r="1352" spans="2:5">
      <c r="B1352" s="91"/>
      <c r="C1352" s="57" t="s">
        <v>149</v>
      </c>
      <c r="D1352" s="60">
        <v>6</v>
      </c>
      <c r="E1352" s="59">
        <v>0</v>
      </c>
    </row>
    <row r="1353" spans="2:5">
      <c r="B1353" s="91"/>
      <c r="C1353" s="57" t="s">
        <v>291</v>
      </c>
      <c r="D1353" s="60">
        <v>6</v>
      </c>
      <c r="E1353" s="59">
        <v>0</v>
      </c>
    </row>
    <row r="1354" spans="2:5">
      <c r="B1354" s="91"/>
      <c r="C1354" s="57" t="s">
        <v>165</v>
      </c>
      <c r="D1354" s="60">
        <v>5</v>
      </c>
      <c r="E1354" s="59">
        <v>0</v>
      </c>
    </row>
    <row r="1355" spans="2:5">
      <c r="B1355" s="91"/>
      <c r="C1355" s="57" t="s">
        <v>173</v>
      </c>
      <c r="D1355" s="60">
        <v>5</v>
      </c>
      <c r="E1355" s="59">
        <v>0</v>
      </c>
    </row>
    <row r="1356" spans="2:5">
      <c r="B1356" s="91"/>
      <c r="C1356" s="57" t="s">
        <v>161</v>
      </c>
      <c r="D1356" s="60">
        <v>4</v>
      </c>
      <c r="E1356" s="59">
        <v>0</v>
      </c>
    </row>
    <row r="1357" spans="2:5">
      <c r="B1357" s="91"/>
      <c r="C1357" s="57" t="s">
        <v>179</v>
      </c>
      <c r="D1357" s="60">
        <v>4</v>
      </c>
      <c r="E1357" s="59">
        <v>0</v>
      </c>
    </row>
    <row r="1358" spans="2:5">
      <c r="B1358" s="91"/>
      <c r="C1358" s="57" t="s">
        <v>187</v>
      </c>
      <c r="D1358" s="60">
        <v>3</v>
      </c>
      <c r="E1358" s="59">
        <v>0</v>
      </c>
    </row>
    <row r="1359" spans="2:5">
      <c r="B1359" s="91"/>
      <c r="C1359" s="57" t="s">
        <v>147</v>
      </c>
      <c r="D1359" s="60">
        <v>2</v>
      </c>
      <c r="E1359" s="59">
        <v>0</v>
      </c>
    </row>
    <row r="1360" spans="2:5">
      <c r="B1360" s="91"/>
      <c r="C1360" s="57" t="s">
        <v>152</v>
      </c>
      <c r="D1360" s="60">
        <v>2</v>
      </c>
      <c r="E1360" s="59">
        <v>0</v>
      </c>
    </row>
    <row r="1361" spans="2:5">
      <c r="B1361" s="91"/>
      <c r="C1361" s="57" t="s">
        <v>163</v>
      </c>
      <c r="D1361" s="60">
        <v>2</v>
      </c>
      <c r="E1361" s="59">
        <v>0</v>
      </c>
    </row>
    <row r="1362" spans="2:5">
      <c r="B1362" s="91"/>
      <c r="C1362" s="57" t="s">
        <v>167</v>
      </c>
      <c r="D1362" s="60">
        <v>2</v>
      </c>
      <c r="E1362" s="59">
        <v>0</v>
      </c>
    </row>
    <row r="1363" spans="2:5">
      <c r="B1363" s="91"/>
      <c r="C1363" s="57" t="s">
        <v>172</v>
      </c>
      <c r="D1363" s="60">
        <v>2</v>
      </c>
      <c r="E1363" s="59">
        <v>0</v>
      </c>
    </row>
    <row r="1364" spans="2:5">
      <c r="B1364" s="91"/>
      <c r="C1364" s="57" t="s">
        <v>175</v>
      </c>
      <c r="D1364" s="60">
        <v>2</v>
      </c>
      <c r="E1364" s="59">
        <v>0</v>
      </c>
    </row>
    <row r="1365" spans="2:5">
      <c r="B1365" s="91"/>
      <c r="C1365" s="57" t="s">
        <v>150</v>
      </c>
      <c r="D1365" s="60">
        <v>1</v>
      </c>
      <c r="E1365" s="59">
        <v>0</v>
      </c>
    </row>
    <row r="1366" spans="2:5">
      <c r="B1366" s="91"/>
      <c r="C1366" s="57" t="s">
        <v>182</v>
      </c>
      <c r="D1366" s="60">
        <v>1</v>
      </c>
      <c r="E1366" s="59">
        <v>0</v>
      </c>
    </row>
    <row r="1367" spans="2:5">
      <c r="B1367" s="91"/>
      <c r="C1367" s="57" t="s">
        <v>153</v>
      </c>
      <c r="D1367" s="60">
        <v>1</v>
      </c>
      <c r="E1367" s="59">
        <v>0</v>
      </c>
    </row>
    <row r="1368" spans="2:5">
      <c r="B1368" s="91"/>
      <c r="C1368" s="57" t="s">
        <v>183</v>
      </c>
      <c r="D1368" s="60">
        <v>1</v>
      </c>
      <c r="E1368" s="59">
        <v>0</v>
      </c>
    </row>
    <row r="1369" spans="2:5">
      <c r="B1369" s="91"/>
      <c r="C1369" s="57" t="s">
        <v>155</v>
      </c>
      <c r="D1369" s="60">
        <v>1</v>
      </c>
      <c r="E1369" s="59">
        <v>0</v>
      </c>
    </row>
    <row r="1370" spans="2:5">
      <c r="B1370" s="91"/>
      <c r="C1370" s="57" t="s">
        <v>168</v>
      </c>
      <c r="D1370" s="60">
        <v>1</v>
      </c>
      <c r="E1370" s="59">
        <v>0</v>
      </c>
    </row>
    <row r="1371" spans="2:5">
      <c r="B1371" s="91"/>
      <c r="C1371" s="57" t="s">
        <v>169</v>
      </c>
      <c r="D1371" s="60">
        <v>1</v>
      </c>
      <c r="E1371" s="59">
        <v>0</v>
      </c>
    </row>
    <row r="1372" spans="2:5">
      <c r="B1372" s="91"/>
      <c r="C1372" s="57" t="s">
        <v>170</v>
      </c>
      <c r="D1372" s="60">
        <v>1</v>
      </c>
      <c r="E1372" s="59">
        <v>0</v>
      </c>
    </row>
    <row r="1373" spans="2:5">
      <c r="B1373" s="91"/>
      <c r="C1373" s="57" t="s">
        <v>192</v>
      </c>
      <c r="D1373" s="60">
        <v>1</v>
      </c>
      <c r="E1373" s="59">
        <v>0</v>
      </c>
    </row>
    <row r="1374" spans="2:5">
      <c r="B1374" s="91"/>
      <c r="C1374" s="57" t="s">
        <v>190</v>
      </c>
      <c r="D1374" s="60">
        <v>1</v>
      </c>
      <c r="E1374" s="59">
        <v>0</v>
      </c>
    </row>
    <row r="1375" spans="2:5">
      <c r="B1375" s="91"/>
      <c r="C1375" s="57" t="s">
        <v>177</v>
      </c>
      <c r="D1375" s="60">
        <v>1</v>
      </c>
      <c r="E1375" s="59">
        <v>0</v>
      </c>
    </row>
    <row r="1376" spans="2:5">
      <c r="B1376" s="91"/>
      <c r="C1376" s="57" t="s">
        <v>191</v>
      </c>
      <c r="D1376" s="60">
        <v>1</v>
      </c>
      <c r="E1376" s="59">
        <v>0</v>
      </c>
    </row>
    <row r="1377" spans="2:5">
      <c r="B1377" s="92"/>
      <c r="C1377" s="71" t="s">
        <v>302</v>
      </c>
      <c r="D1377" s="69">
        <v>121</v>
      </c>
      <c r="E1377" s="72">
        <v>2E-3</v>
      </c>
    </row>
    <row r="1378" spans="2:5">
      <c r="B1378" s="90" t="s">
        <v>126</v>
      </c>
      <c r="C1378" s="57" t="s">
        <v>160</v>
      </c>
      <c r="D1378" s="60">
        <v>22</v>
      </c>
      <c r="E1378" s="59">
        <v>0</v>
      </c>
    </row>
    <row r="1379" spans="2:5">
      <c r="B1379" s="91"/>
      <c r="C1379" s="57" t="s">
        <v>179</v>
      </c>
      <c r="D1379" s="60">
        <v>11</v>
      </c>
      <c r="E1379" s="59">
        <v>0</v>
      </c>
    </row>
    <row r="1380" spans="2:5">
      <c r="B1380" s="91"/>
      <c r="C1380" s="57" t="s">
        <v>157</v>
      </c>
      <c r="D1380" s="60">
        <v>6</v>
      </c>
      <c r="E1380" s="59">
        <v>0</v>
      </c>
    </row>
    <row r="1381" spans="2:5">
      <c r="B1381" s="91"/>
      <c r="C1381" s="57" t="s">
        <v>168</v>
      </c>
      <c r="D1381" s="60">
        <v>6</v>
      </c>
      <c r="E1381" s="59">
        <v>0</v>
      </c>
    </row>
    <row r="1382" spans="2:5">
      <c r="B1382" s="91"/>
      <c r="C1382" s="57" t="s">
        <v>151</v>
      </c>
      <c r="D1382" s="60">
        <v>5</v>
      </c>
      <c r="E1382" s="59">
        <v>0</v>
      </c>
    </row>
    <row r="1383" spans="2:5">
      <c r="B1383" s="91"/>
      <c r="C1383" s="57" t="s">
        <v>152</v>
      </c>
      <c r="D1383" s="60">
        <v>4</v>
      </c>
      <c r="E1383" s="59">
        <v>0</v>
      </c>
    </row>
    <row r="1384" spans="2:5" ht="28.5">
      <c r="B1384" s="91"/>
      <c r="C1384" s="57" t="s">
        <v>154</v>
      </c>
      <c r="D1384" s="60">
        <v>4</v>
      </c>
      <c r="E1384" s="59">
        <v>0</v>
      </c>
    </row>
    <row r="1385" spans="2:5">
      <c r="B1385" s="91"/>
      <c r="C1385" s="57" t="s">
        <v>156</v>
      </c>
      <c r="D1385" s="60">
        <v>4</v>
      </c>
      <c r="E1385" s="59">
        <v>0</v>
      </c>
    </row>
    <row r="1386" spans="2:5">
      <c r="B1386" s="91"/>
      <c r="C1386" s="57" t="s">
        <v>165</v>
      </c>
      <c r="D1386" s="60">
        <v>4</v>
      </c>
      <c r="E1386" s="59">
        <v>0</v>
      </c>
    </row>
    <row r="1387" spans="2:5">
      <c r="B1387" s="91"/>
      <c r="C1387" s="57" t="s">
        <v>189</v>
      </c>
      <c r="D1387" s="60">
        <v>4</v>
      </c>
      <c r="E1387" s="59">
        <v>0</v>
      </c>
    </row>
    <row r="1388" spans="2:5">
      <c r="B1388" s="91"/>
      <c r="C1388" s="57" t="s">
        <v>147</v>
      </c>
      <c r="D1388" s="60">
        <v>3</v>
      </c>
      <c r="E1388" s="59">
        <v>0</v>
      </c>
    </row>
    <row r="1389" spans="2:5">
      <c r="B1389" s="91"/>
      <c r="C1389" s="57" t="s">
        <v>153</v>
      </c>
      <c r="D1389" s="60">
        <v>3</v>
      </c>
      <c r="E1389" s="59">
        <v>0</v>
      </c>
    </row>
    <row r="1390" spans="2:5">
      <c r="B1390" s="91"/>
      <c r="C1390" s="57" t="s">
        <v>159</v>
      </c>
      <c r="D1390" s="60">
        <v>3</v>
      </c>
      <c r="E1390" s="59">
        <v>0</v>
      </c>
    </row>
    <row r="1391" spans="2:5">
      <c r="B1391" s="91"/>
      <c r="C1391" s="57" t="s">
        <v>163</v>
      </c>
      <c r="D1391" s="60">
        <v>3</v>
      </c>
      <c r="E1391" s="59">
        <v>0</v>
      </c>
    </row>
    <row r="1392" spans="2:5">
      <c r="B1392" s="91"/>
      <c r="C1392" s="57" t="s">
        <v>172</v>
      </c>
      <c r="D1392" s="60">
        <v>3</v>
      </c>
      <c r="E1392" s="59">
        <v>0</v>
      </c>
    </row>
    <row r="1393" spans="2:5">
      <c r="B1393" s="91"/>
      <c r="C1393" s="57" t="s">
        <v>175</v>
      </c>
      <c r="D1393" s="60">
        <v>3</v>
      </c>
      <c r="E1393" s="59">
        <v>0</v>
      </c>
    </row>
    <row r="1394" spans="2:5">
      <c r="B1394" s="91"/>
      <c r="C1394" s="57" t="s">
        <v>155</v>
      </c>
      <c r="D1394" s="60">
        <v>2</v>
      </c>
      <c r="E1394" s="59">
        <v>0</v>
      </c>
    </row>
    <row r="1395" spans="2:5">
      <c r="B1395" s="91"/>
      <c r="C1395" s="57" t="s">
        <v>161</v>
      </c>
      <c r="D1395" s="60">
        <v>2</v>
      </c>
      <c r="E1395" s="59">
        <v>0</v>
      </c>
    </row>
    <row r="1396" spans="2:5">
      <c r="B1396" s="91"/>
      <c r="C1396" s="57" t="s">
        <v>164</v>
      </c>
      <c r="D1396" s="60">
        <v>2</v>
      </c>
      <c r="E1396" s="59">
        <v>0</v>
      </c>
    </row>
    <row r="1397" spans="2:5">
      <c r="B1397" s="91"/>
      <c r="C1397" s="57" t="s">
        <v>171</v>
      </c>
      <c r="D1397" s="60">
        <v>2</v>
      </c>
      <c r="E1397" s="59">
        <v>0</v>
      </c>
    </row>
    <row r="1398" spans="2:5">
      <c r="B1398" s="91"/>
      <c r="C1398" s="57" t="s">
        <v>173</v>
      </c>
      <c r="D1398" s="60">
        <v>2</v>
      </c>
      <c r="E1398" s="59">
        <v>0</v>
      </c>
    </row>
    <row r="1399" spans="2:5">
      <c r="B1399" s="91"/>
      <c r="C1399" s="57" t="s">
        <v>176</v>
      </c>
      <c r="D1399" s="60">
        <v>2</v>
      </c>
      <c r="E1399" s="59">
        <v>0</v>
      </c>
    </row>
    <row r="1400" spans="2:5">
      <c r="B1400" s="91"/>
      <c r="C1400" s="57" t="s">
        <v>148</v>
      </c>
      <c r="D1400" s="60">
        <v>1</v>
      </c>
      <c r="E1400" s="59">
        <v>0</v>
      </c>
    </row>
    <row r="1401" spans="2:5">
      <c r="B1401" s="91"/>
      <c r="C1401" s="57" t="s">
        <v>158</v>
      </c>
      <c r="D1401" s="60">
        <v>1</v>
      </c>
      <c r="E1401" s="59">
        <v>0</v>
      </c>
    </row>
    <row r="1402" spans="2:5">
      <c r="B1402" s="91"/>
      <c r="C1402" s="57" t="s">
        <v>167</v>
      </c>
      <c r="D1402" s="60">
        <v>1</v>
      </c>
      <c r="E1402" s="59">
        <v>0</v>
      </c>
    </row>
    <row r="1403" spans="2:5">
      <c r="B1403" s="91"/>
      <c r="C1403" s="57" t="s">
        <v>169</v>
      </c>
      <c r="D1403" s="60">
        <v>1</v>
      </c>
      <c r="E1403" s="59">
        <v>0</v>
      </c>
    </row>
    <row r="1404" spans="2:5">
      <c r="B1404" s="91"/>
      <c r="C1404" s="57" t="s">
        <v>174</v>
      </c>
      <c r="D1404" s="60">
        <v>1</v>
      </c>
      <c r="E1404" s="59">
        <v>0</v>
      </c>
    </row>
    <row r="1405" spans="2:5">
      <c r="B1405" s="91"/>
      <c r="C1405" s="57" t="s">
        <v>190</v>
      </c>
      <c r="D1405" s="60">
        <v>1</v>
      </c>
      <c r="E1405" s="59">
        <v>0</v>
      </c>
    </row>
    <row r="1406" spans="2:5">
      <c r="B1406" s="92"/>
      <c r="C1406" s="71" t="s">
        <v>302</v>
      </c>
      <c r="D1406" s="69">
        <v>106</v>
      </c>
      <c r="E1406" s="72">
        <v>2E-3</v>
      </c>
    </row>
    <row r="1407" spans="2:5">
      <c r="B1407" s="90" t="s">
        <v>103</v>
      </c>
      <c r="C1407" s="57" t="s">
        <v>184</v>
      </c>
      <c r="D1407" s="60">
        <v>30</v>
      </c>
      <c r="E1407" s="59">
        <v>0</v>
      </c>
    </row>
    <row r="1408" spans="2:5">
      <c r="B1408" s="91"/>
      <c r="C1408" s="57" t="s">
        <v>179</v>
      </c>
      <c r="D1408" s="60">
        <v>13</v>
      </c>
      <c r="E1408" s="59">
        <v>0</v>
      </c>
    </row>
    <row r="1409" spans="2:5">
      <c r="B1409" s="91"/>
      <c r="C1409" s="57" t="s">
        <v>157</v>
      </c>
      <c r="D1409" s="60">
        <v>9</v>
      </c>
      <c r="E1409" s="59">
        <v>0</v>
      </c>
    </row>
    <row r="1410" spans="2:5">
      <c r="B1410" s="91"/>
      <c r="C1410" s="57" t="s">
        <v>175</v>
      </c>
      <c r="D1410" s="60">
        <v>5</v>
      </c>
      <c r="E1410" s="59">
        <v>0</v>
      </c>
    </row>
    <row r="1411" spans="2:5">
      <c r="B1411" s="91"/>
      <c r="C1411" s="57" t="s">
        <v>160</v>
      </c>
      <c r="D1411" s="60">
        <v>4</v>
      </c>
      <c r="E1411" s="59">
        <v>0</v>
      </c>
    </row>
    <row r="1412" spans="2:5">
      <c r="B1412" s="91"/>
      <c r="C1412" s="57" t="s">
        <v>165</v>
      </c>
      <c r="D1412" s="60">
        <v>4</v>
      </c>
      <c r="E1412" s="59">
        <v>0</v>
      </c>
    </row>
    <row r="1413" spans="2:5">
      <c r="B1413" s="91"/>
      <c r="C1413" s="57" t="s">
        <v>148</v>
      </c>
      <c r="D1413" s="60">
        <v>3</v>
      </c>
      <c r="E1413" s="59">
        <v>0</v>
      </c>
    </row>
    <row r="1414" spans="2:5">
      <c r="B1414" s="91"/>
      <c r="C1414" s="57" t="s">
        <v>151</v>
      </c>
      <c r="D1414" s="60">
        <v>2</v>
      </c>
      <c r="E1414" s="59">
        <v>0</v>
      </c>
    </row>
    <row r="1415" spans="2:5">
      <c r="B1415" s="91"/>
      <c r="C1415" s="57" t="s">
        <v>161</v>
      </c>
      <c r="D1415" s="60">
        <v>2</v>
      </c>
      <c r="E1415" s="59">
        <v>0</v>
      </c>
    </row>
    <row r="1416" spans="2:5">
      <c r="B1416" s="91"/>
      <c r="C1416" s="57" t="s">
        <v>164</v>
      </c>
      <c r="D1416" s="60">
        <v>2</v>
      </c>
      <c r="E1416" s="59">
        <v>0</v>
      </c>
    </row>
    <row r="1417" spans="2:5">
      <c r="B1417" s="91"/>
      <c r="C1417" s="57" t="s">
        <v>155</v>
      </c>
      <c r="D1417" s="60">
        <v>1</v>
      </c>
      <c r="E1417" s="59">
        <v>0</v>
      </c>
    </row>
    <row r="1418" spans="2:5">
      <c r="B1418" s="91"/>
      <c r="C1418" s="57" t="s">
        <v>163</v>
      </c>
      <c r="D1418" s="60">
        <v>1</v>
      </c>
      <c r="E1418" s="59">
        <v>0</v>
      </c>
    </row>
    <row r="1419" spans="2:5">
      <c r="B1419" s="91"/>
      <c r="C1419" s="57" t="s">
        <v>168</v>
      </c>
      <c r="D1419" s="60">
        <v>1</v>
      </c>
      <c r="E1419" s="59">
        <v>0</v>
      </c>
    </row>
    <row r="1420" spans="2:5">
      <c r="B1420" s="91"/>
      <c r="C1420" s="57" t="s">
        <v>170</v>
      </c>
      <c r="D1420" s="60">
        <v>1</v>
      </c>
      <c r="E1420" s="59">
        <v>0</v>
      </c>
    </row>
    <row r="1421" spans="2:5">
      <c r="B1421" s="91"/>
      <c r="C1421" s="57" t="s">
        <v>176</v>
      </c>
      <c r="D1421" s="60">
        <v>1</v>
      </c>
      <c r="E1421" s="59">
        <v>0</v>
      </c>
    </row>
    <row r="1422" spans="2:5">
      <c r="B1422" s="91"/>
      <c r="C1422" s="57" t="s">
        <v>178</v>
      </c>
      <c r="D1422" s="60">
        <v>1</v>
      </c>
      <c r="E1422" s="59">
        <v>0</v>
      </c>
    </row>
    <row r="1423" spans="2:5">
      <c r="B1423" s="92"/>
      <c r="C1423" s="71" t="s">
        <v>302</v>
      </c>
      <c r="D1423" s="69">
        <v>80</v>
      </c>
      <c r="E1423" s="72">
        <v>1E-3</v>
      </c>
    </row>
    <row r="1424" spans="2:5">
      <c r="B1424" s="90" t="s">
        <v>115</v>
      </c>
      <c r="C1424" s="57" t="s">
        <v>151</v>
      </c>
      <c r="D1424" s="60">
        <v>8</v>
      </c>
      <c r="E1424" s="59">
        <v>0</v>
      </c>
    </row>
    <row r="1425" spans="2:5">
      <c r="B1425" s="91"/>
      <c r="C1425" s="57" t="s">
        <v>160</v>
      </c>
      <c r="D1425" s="60">
        <v>7</v>
      </c>
      <c r="E1425" s="59">
        <v>0</v>
      </c>
    </row>
    <row r="1426" spans="2:5">
      <c r="B1426" s="91"/>
      <c r="C1426" s="57" t="s">
        <v>149</v>
      </c>
      <c r="D1426" s="60">
        <v>6</v>
      </c>
      <c r="E1426" s="59">
        <v>0</v>
      </c>
    </row>
    <row r="1427" spans="2:5">
      <c r="B1427" s="91"/>
      <c r="C1427" s="57" t="s">
        <v>159</v>
      </c>
      <c r="D1427" s="60">
        <v>6</v>
      </c>
      <c r="E1427" s="59">
        <v>0</v>
      </c>
    </row>
    <row r="1428" spans="2:5">
      <c r="B1428" s="91"/>
      <c r="C1428" s="57" t="s">
        <v>148</v>
      </c>
      <c r="D1428" s="60">
        <v>5</v>
      </c>
      <c r="E1428" s="59">
        <v>0</v>
      </c>
    </row>
    <row r="1429" spans="2:5" ht="28.5">
      <c r="B1429" s="91"/>
      <c r="C1429" s="57" t="s">
        <v>154</v>
      </c>
      <c r="D1429" s="60">
        <v>3</v>
      </c>
      <c r="E1429" s="59">
        <v>0</v>
      </c>
    </row>
    <row r="1430" spans="2:5">
      <c r="B1430" s="91"/>
      <c r="C1430" s="57" t="s">
        <v>161</v>
      </c>
      <c r="D1430" s="60">
        <v>3</v>
      </c>
      <c r="E1430" s="59">
        <v>0</v>
      </c>
    </row>
    <row r="1431" spans="2:5">
      <c r="B1431" s="91"/>
      <c r="C1431" s="57" t="s">
        <v>184</v>
      </c>
      <c r="D1431" s="60">
        <v>2</v>
      </c>
      <c r="E1431" s="59">
        <v>0</v>
      </c>
    </row>
    <row r="1432" spans="2:5">
      <c r="B1432" s="91"/>
      <c r="C1432" s="57" t="s">
        <v>163</v>
      </c>
      <c r="D1432" s="60">
        <v>2</v>
      </c>
      <c r="E1432" s="59">
        <v>0</v>
      </c>
    </row>
    <row r="1433" spans="2:5">
      <c r="B1433" s="91"/>
      <c r="C1433" s="57" t="s">
        <v>164</v>
      </c>
      <c r="D1433" s="60">
        <v>2</v>
      </c>
      <c r="E1433" s="59">
        <v>0</v>
      </c>
    </row>
    <row r="1434" spans="2:5">
      <c r="B1434" s="91"/>
      <c r="C1434" s="57" t="s">
        <v>165</v>
      </c>
      <c r="D1434" s="60">
        <v>2</v>
      </c>
      <c r="E1434" s="59">
        <v>0</v>
      </c>
    </row>
    <row r="1435" spans="2:5">
      <c r="B1435" s="91"/>
      <c r="C1435" s="57" t="s">
        <v>168</v>
      </c>
      <c r="D1435" s="60">
        <v>2</v>
      </c>
      <c r="E1435" s="59">
        <v>0</v>
      </c>
    </row>
    <row r="1436" spans="2:5">
      <c r="B1436" s="91"/>
      <c r="C1436" s="57" t="s">
        <v>171</v>
      </c>
      <c r="D1436" s="60">
        <v>2</v>
      </c>
      <c r="E1436" s="59">
        <v>0</v>
      </c>
    </row>
    <row r="1437" spans="2:5">
      <c r="B1437" s="91"/>
      <c r="C1437" s="57" t="s">
        <v>191</v>
      </c>
      <c r="D1437" s="60">
        <v>2</v>
      </c>
      <c r="E1437" s="59">
        <v>0</v>
      </c>
    </row>
    <row r="1438" spans="2:5">
      <c r="B1438" s="91"/>
      <c r="C1438" s="57" t="s">
        <v>152</v>
      </c>
      <c r="D1438" s="60">
        <v>1</v>
      </c>
      <c r="E1438" s="59">
        <v>0</v>
      </c>
    </row>
    <row r="1439" spans="2:5">
      <c r="B1439" s="91"/>
      <c r="C1439" s="57" t="s">
        <v>153</v>
      </c>
      <c r="D1439" s="60">
        <v>1</v>
      </c>
      <c r="E1439" s="59">
        <v>0</v>
      </c>
    </row>
    <row r="1440" spans="2:5">
      <c r="B1440" s="91"/>
      <c r="C1440" s="57" t="s">
        <v>157</v>
      </c>
      <c r="D1440" s="60">
        <v>1</v>
      </c>
      <c r="E1440" s="59">
        <v>0</v>
      </c>
    </row>
    <row r="1441" spans="2:5">
      <c r="B1441" s="91"/>
      <c r="C1441" s="57" t="s">
        <v>166</v>
      </c>
      <c r="D1441" s="60">
        <v>1</v>
      </c>
      <c r="E1441" s="59">
        <v>0</v>
      </c>
    </row>
    <row r="1442" spans="2:5">
      <c r="B1442" s="91"/>
      <c r="C1442" s="57" t="s">
        <v>169</v>
      </c>
      <c r="D1442" s="60">
        <v>1</v>
      </c>
      <c r="E1442" s="59">
        <v>0</v>
      </c>
    </row>
    <row r="1443" spans="2:5">
      <c r="B1443" s="91"/>
      <c r="C1443" s="57" t="s">
        <v>172</v>
      </c>
      <c r="D1443" s="60">
        <v>1</v>
      </c>
      <c r="E1443" s="59">
        <v>0</v>
      </c>
    </row>
    <row r="1444" spans="2:5">
      <c r="B1444" s="91"/>
      <c r="C1444" s="57" t="s">
        <v>174</v>
      </c>
      <c r="D1444" s="60">
        <v>1</v>
      </c>
      <c r="E1444" s="59">
        <v>0</v>
      </c>
    </row>
    <row r="1445" spans="2:5">
      <c r="B1445" s="91"/>
      <c r="C1445" s="57" t="s">
        <v>176</v>
      </c>
      <c r="D1445" s="60">
        <v>1</v>
      </c>
      <c r="E1445" s="59">
        <v>0</v>
      </c>
    </row>
    <row r="1446" spans="2:5">
      <c r="B1446" s="91"/>
      <c r="C1446" s="57" t="s">
        <v>179</v>
      </c>
      <c r="D1446" s="60">
        <v>1</v>
      </c>
      <c r="E1446" s="59">
        <v>0</v>
      </c>
    </row>
    <row r="1447" spans="2:5">
      <c r="B1447" s="92"/>
      <c r="C1447" s="71" t="s">
        <v>302</v>
      </c>
      <c r="D1447" s="69">
        <v>61</v>
      </c>
      <c r="E1447" s="72">
        <v>1E-3</v>
      </c>
    </row>
    <row r="1448" spans="2:5">
      <c r="B1448" s="90" t="s">
        <v>102</v>
      </c>
      <c r="C1448" s="57" t="s">
        <v>160</v>
      </c>
      <c r="D1448" s="60">
        <v>13</v>
      </c>
      <c r="E1448" s="59">
        <v>0</v>
      </c>
    </row>
    <row r="1449" spans="2:5">
      <c r="B1449" s="91"/>
      <c r="C1449" s="57" t="s">
        <v>179</v>
      </c>
      <c r="D1449" s="60">
        <v>5</v>
      </c>
      <c r="E1449" s="59">
        <v>0</v>
      </c>
    </row>
    <row r="1450" spans="2:5">
      <c r="B1450" s="91"/>
      <c r="C1450" s="57" t="s">
        <v>149</v>
      </c>
      <c r="D1450" s="60">
        <v>4</v>
      </c>
      <c r="E1450" s="59">
        <v>0</v>
      </c>
    </row>
    <row r="1451" spans="2:5" ht="28.5">
      <c r="B1451" s="91"/>
      <c r="C1451" s="57" t="s">
        <v>154</v>
      </c>
      <c r="D1451" s="60">
        <v>2</v>
      </c>
      <c r="E1451" s="59">
        <v>0</v>
      </c>
    </row>
    <row r="1452" spans="2:5">
      <c r="B1452" s="91"/>
      <c r="C1452" s="57" t="s">
        <v>184</v>
      </c>
      <c r="D1452" s="60">
        <v>2</v>
      </c>
      <c r="E1452" s="59">
        <v>0</v>
      </c>
    </row>
    <row r="1453" spans="2:5">
      <c r="B1453" s="91"/>
      <c r="C1453" s="57" t="s">
        <v>186</v>
      </c>
      <c r="D1453" s="60">
        <v>2</v>
      </c>
      <c r="E1453" s="59">
        <v>0</v>
      </c>
    </row>
    <row r="1454" spans="2:5">
      <c r="B1454" s="91"/>
      <c r="C1454" s="57" t="s">
        <v>190</v>
      </c>
      <c r="D1454" s="60">
        <v>2</v>
      </c>
      <c r="E1454" s="59">
        <v>0</v>
      </c>
    </row>
    <row r="1455" spans="2:5">
      <c r="B1455" s="91"/>
      <c r="C1455" s="57" t="s">
        <v>147</v>
      </c>
      <c r="D1455" s="60">
        <v>1</v>
      </c>
      <c r="E1455" s="59">
        <v>0</v>
      </c>
    </row>
    <row r="1456" spans="2:5">
      <c r="B1456" s="91"/>
      <c r="C1456" s="57" t="s">
        <v>151</v>
      </c>
      <c r="D1456" s="60">
        <v>1</v>
      </c>
      <c r="E1456" s="59">
        <v>0</v>
      </c>
    </row>
    <row r="1457" spans="2:5">
      <c r="B1457" s="91"/>
      <c r="C1457" s="57" t="s">
        <v>157</v>
      </c>
      <c r="D1457" s="60">
        <v>1</v>
      </c>
      <c r="E1457" s="59">
        <v>0</v>
      </c>
    </row>
    <row r="1458" spans="2:5">
      <c r="B1458" s="91"/>
      <c r="C1458" s="57" t="s">
        <v>161</v>
      </c>
      <c r="D1458" s="60">
        <v>1</v>
      </c>
      <c r="E1458" s="59">
        <v>0</v>
      </c>
    </row>
    <row r="1459" spans="2:5">
      <c r="B1459" s="91"/>
      <c r="C1459" s="57" t="s">
        <v>163</v>
      </c>
      <c r="D1459" s="60">
        <v>1</v>
      </c>
      <c r="E1459" s="59">
        <v>0</v>
      </c>
    </row>
    <row r="1460" spans="2:5">
      <c r="B1460" s="91"/>
      <c r="C1460" s="57" t="s">
        <v>166</v>
      </c>
      <c r="D1460" s="60">
        <v>1</v>
      </c>
      <c r="E1460" s="59">
        <v>0</v>
      </c>
    </row>
    <row r="1461" spans="2:5">
      <c r="B1461" s="91"/>
      <c r="C1461" s="57" t="s">
        <v>172</v>
      </c>
      <c r="D1461" s="60">
        <v>1</v>
      </c>
      <c r="E1461" s="59">
        <v>0</v>
      </c>
    </row>
    <row r="1462" spans="2:5">
      <c r="B1462" s="91"/>
      <c r="C1462" s="57" t="s">
        <v>178</v>
      </c>
      <c r="D1462" s="60">
        <v>1</v>
      </c>
      <c r="E1462" s="59">
        <v>0</v>
      </c>
    </row>
    <row r="1463" spans="2:5">
      <c r="B1463" s="92"/>
      <c r="C1463" s="71" t="s">
        <v>302</v>
      </c>
      <c r="D1463" s="69">
        <v>38</v>
      </c>
      <c r="E1463" s="72">
        <v>1E-3</v>
      </c>
    </row>
    <row r="1464" spans="2:5">
      <c r="B1464" s="90" t="s">
        <v>144</v>
      </c>
      <c r="C1464" s="57" t="s">
        <v>160</v>
      </c>
      <c r="D1464" s="60">
        <v>5</v>
      </c>
      <c r="E1464" s="59">
        <v>0</v>
      </c>
    </row>
    <row r="1465" spans="2:5" ht="28.5">
      <c r="B1465" s="91"/>
      <c r="C1465" s="57" t="s">
        <v>154</v>
      </c>
      <c r="D1465" s="60">
        <v>4</v>
      </c>
      <c r="E1465" s="59">
        <v>0</v>
      </c>
    </row>
    <row r="1466" spans="2:5">
      <c r="B1466" s="91"/>
      <c r="C1466" s="57" t="s">
        <v>183</v>
      </c>
      <c r="D1466" s="60">
        <v>3</v>
      </c>
      <c r="E1466" s="59">
        <v>0</v>
      </c>
    </row>
    <row r="1467" spans="2:5">
      <c r="B1467" s="91"/>
      <c r="C1467" s="57" t="s">
        <v>155</v>
      </c>
      <c r="D1467" s="60">
        <v>3</v>
      </c>
      <c r="E1467" s="59">
        <v>0</v>
      </c>
    </row>
    <row r="1468" spans="2:5">
      <c r="B1468" s="91"/>
      <c r="C1468" s="57" t="s">
        <v>165</v>
      </c>
      <c r="D1468" s="60">
        <v>3</v>
      </c>
      <c r="E1468" s="59">
        <v>0</v>
      </c>
    </row>
    <row r="1469" spans="2:5">
      <c r="B1469" s="91"/>
      <c r="C1469" s="57" t="s">
        <v>150</v>
      </c>
      <c r="D1469" s="60">
        <v>2</v>
      </c>
      <c r="E1469" s="59">
        <v>0</v>
      </c>
    </row>
    <row r="1470" spans="2:5">
      <c r="B1470" s="91"/>
      <c r="C1470" s="57" t="s">
        <v>151</v>
      </c>
      <c r="D1470" s="60">
        <v>2</v>
      </c>
      <c r="E1470" s="59">
        <v>0</v>
      </c>
    </row>
    <row r="1471" spans="2:5">
      <c r="B1471" s="91"/>
      <c r="C1471" s="57" t="s">
        <v>291</v>
      </c>
      <c r="D1471" s="60">
        <v>2</v>
      </c>
      <c r="E1471" s="59">
        <v>0</v>
      </c>
    </row>
    <row r="1472" spans="2:5">
      <c r="B1472" s="91"/>
      <c r="C1472" s="57" t="s">
        <v>157</v>
      </c>
      <c r="D1472" s="60">
        <v>2</v>
      </c>
      <c r="E1472" s="59">
        <v>0</v>
      </c>
    </row>
    <row r="1473" spans="2:5">
      <c r="B1473" s="91"/>
      <c r="C1473" s="57" t="s">
        <v>149</v>
      </c>
      <c r="D1473" s="60">
        <v>1</v>
      </c>
      <c r="E1473" s="59">
        <v>0</v>
      </c>
    </row>
    <row r="1474" spans="2:5">
      <c r="B1474" s="91"/>
      <c r="C1474" s="57" t="s">
        <v>159</v>
      </c>
      <c r="D1474" s="60">
        <v>1</v>
      </c>
      <c r="E1474" s="59">
        <v>0</v>
      </c>
    </row>
    <row r="1475" spans="2:5">
      <c r="B1475" s="91"/>
      <c r="C1475" s="57" t="s">
        <v>184</v>
      </c>
      <c r="D1475" s="60">
        <v>1</v>
      </c>
      <c r="E1475" s="59">
        <v>0</v>
      </c>
    </row>
    <row r="1476" spans="2:5">
      <c r="B1476" s="91"/>
      <c r="C1476" s="57" t="s">
        <v>163</v>
      </c>
      <c r="D1476" s="60">
        <v>1</v>
      </c>
      <c r="E1476" s="59">
        <v>0</v>
      </c>
    </row>
    <row r="1477" spans="2:5">
      <c r="B1477" s="91"/>
      <c r="C1477" s="57" t="s">
        <v>164</v>
      </c>
      <c r="D1477" s="60">
        <v>1</v>
      </c>
      <c r="E1477" s="59">
        <v>0</v>
      </c>
    </row>
    <row r="1478" spans="2:5">
      <c r="B1478" s="91"/>
      <c r="C1478" s="57" t="s">
        <v>172</v>
      </c>
      <c r="D1478" s="60">
        <v>1</v>
      </c>
      <c r="E1478" s="59">
        <v>0</v>
      </c>
    </row>
    <row r="1479" spans="2:5">
      <c r="B1479" s="91"/>
      <c r="C1479" s="57" t="s">
        <v>191</v>
      </c>
      <c r="D1479" s="60">
        <v>1</v>
      </c>
      <c r="E1479" s="59">
        <v>0</v>
      </c>
    </row>
    <row r="1480" spans="2:5">
      <c r="B1480" s="92"/>
      <c r="C1480" s="71" t="s">
        <v>302</v>
      </c>
      <c r="D1480" s="69">
        <v>33</v>
      </c>
      <c r="E1480" s="72">
        <v>1E-3</v>
      </c>
    </row>
    <row r="1481" spans="2:5">
      <c r="B1481" s="90" t="s">
        <v>121</v>
      </c>
      <c r="C1481" s="57" t="s">
        <v>160</v>
      </c>
      <c r="D1481" s="60">
        <v>9</v>
      </c>
      <c r="E1481" s="59">
        <v>0</v>
      </c>
    </row>
    <row r="1482" spans="2:5">
      <c r="B1482" s="91"/>
      <c r="C1482" s="57" t="s">
        <v>187</v>
      </c>
      <c r="D1482" s="60">
        <v>5</v>
      </c>
      <c r="E1482" s="59">
        <v>0</v>
      </c>
    </row>
    <row r="1483" spans="2:5">
      <c r="B1483" s="91"/>
      <c r="C1483" s="57" t="s">
        <v>183</v>
      </c>
      <c r="D1483" s="60">
        <v>3</v>
      </c>
      <c r="E1483" s="59">
        <v>0</v>
      </c>
    </row>
    <row r="1484" spans="2:5">
      <c r="B1484" s="91"/>
      <c r="C1484" s="57" t="s">
        <v>163</v>
      </c>
      <c r="D1484" s="60">
        <v>3</v>
      </c>
      <c r="E1484" s="59">
        <v>0</v>
      </c>
    </row>
    <row r="1485" spans="2:5">
      <c r="B1485" s="91"/>
      <c r="C1485" s="57" t="s">
        <v>171</v>
      </c>
      <c r="D1485" s="60">
        <v>2</v>
      </c>
      <c r="E1485" s="59">
        <v>0</v>
      </c>
    </row>
    <row r="1486" spans="2:5">
      <c r="B1486" s="91"/>
      <c r="C1486" s="57" t="s">
        <v>189</v>
      </c>
      <c r="D1486" s="60">
        <v>2</v>
      </c>
      <c r="E1486" s="59">
        <v>0</v>
      </c>
    </row>
    <row r="1487" spans="2:5">
      <c r="B1487" s="91"/>
      <c r="C1487" s="57" t="s">
        <v>148</v>
      </c>
      <c r="D1487" s="60">
        <v>1</v>
      </c>
      <c r="E1487" s="59">
        <v>0</v>
      </c>
    </row>
    <row r="1488" spans="2:5">
      <c r="B1488" s="91"/>
      <c r="C1488" s="57" t="s">
        <v>149</v>
      </c>
      <c r="D1488" s="60">
        <v>1</v>
      </c>
      <c r="E1488" s="59">
        <v>0</v>
      </c>
    </row>
    <row r="1489" spans="2:5">
      <c r="B1489" s="91"/>
      <c r="C1489" s="57" t="s">
        <v>151</v>
      </c>
      <c r="D1489" s="60">
        <v>1</v>
      </c>
      <c r="E1489" s="59">
        <v>0</v>
      </c>
    </row>
    <row r="1490" spans="2:5">
      <c r="B1490" s="91"/>
      <c r="C1490" s="57" t="s">
        <v>181</v>
      </c>
      <c r="D1490" s="60">
        <v>1</v>
      </c>
      <c r="E1490" s="59">
        <v>0</v>
      </c>
    </row>
    <row r="1491" spans="2:5">
      <c r="B1491" s="91"/>
      <c r="C1491" s="57" t="s">
        <v>157</v>
      </c>
      <c r="D1491" s="60">
        <v>1</v>
      </c>
      <c r="E1491" s="59">
        <v>0</v>
      </c>
    </row>
    <row r="1492" spans="2:5" ht="28.5" customHeight="1">
      <c r="B1492" s="91"/>
      <c r="C1492" s="57" t="s">
        <v>165</v>
      </c>
      <c r="D1492" s="60">
        <v>1</v>
      </c>
      <c r="E1492" s="59">
        <v>0</v>
      </c>
    </row>
    <row r="1493" spans="2:5">
      <c r="B1493" s="91"/>
      <c r="C1493" s="57" t="s">
        <v>172</v>
      </c>
      <c r="D1493" s="60">
        <v>1</v>
      </c>
      <c r="E1493" s="59">
        <v>0</v>
      </c>
    </row>
    <row r="1494" spans="2:5">
      <c r="B1494" s="91"/>
      <c r="C1494" s="57" t="s">
        <v>173</v>
      </c>
      <c r="D1494" s="60">
        <v>1</v>
      </c>
      <c r="E1494" s="59">
        <v>0</v>
      </c>
    </row>
    <row r="1495" spans="2:5">
      <c r="B1495" s="92"/>
      <c r="C1495" s="71" t="s">
        <v>302</v>
      </c>
      <c r="D1495" s="69">
        <v>32</v>
      </c>
      <c r="E1495" s="72">
        <v>1E-3</v>
      </c>
    </row>
    <row r="1496" spans="2:5">
      <c r="B1496" s="90" t="s">
        <v>129</v>
      </c>
      <c r="C1496" s="57" t="s">
        <v>157</v>
      </c>
      <c r="D1496" s="60">
        <v>11</v>
      </c>
      <c r="E1496" s="59">
        <v>0</v>
      </c>
    </row>
    <row r="1497" spans="2:5">
      <c r="B1497" s="91"/>
      <c r="C1497" s="57" t="s">
        <v>161</v>
      </c>
      <c r="D1497" s="60">
        <v>3</v>
      </c>
      <c r="E1497" s="59">
        <v>0</v>
      </c>
    </row>
    <row r="1498" spans="2:5">
      <c r="B1498" s="91"/>
      <c r="C1498" s="57" t="s">
        <v>163</v>
      </c>
      <c r="D1498" s="60">
        <v>3</v>
      </c>
      <c r="E1498" s="59">
        <v>0</v>
      </c>
    </row>
    <row r="1499" spans="2:5">
      <c r="B1499" s="91"/>
      <c r="C1499" s="57" t="s">
        <v>160</v>
      </c>
      <c r="D1499" s="60">
        <v>2</v>
      </c>
      <c r="E1499" s="59">
        <v>0</v>
      </c>
    </row>
    <row r="1500" spans="2:5">
      <c r="B1500" s="91"/>
      <c r="C1500" s="57" t="s">
        <v>171</v>
      </c>
      <c r="D1500" s="60">
        <v>2</v>
      </c>
      <c r="E1500" s="59">
        <v>0</v>
      </c>
    </row>
    <row r="1501" spans="2:5">
      <c r="B1501" s="91"/>
      <c r="C1501" s="57" t="s">
        <v>149</v>
      </c>
      <c r="D1501" s="60">
        <v>1</v>
      </c>
      <c r="E1501" s="59">
        <v>0</v>
      </c>
    </row>
    <row r="1502" spans="2:5">
      <c r="B1502" s="91"/>
      <c r="C1502" s="57" t="s">
        <v>151</v>
      </c>
      <c r="D1502" s="60">
        <v>1</v>
      </c>
      <c r="E1502" s="59">
        <v>0</v>
      </c>
    </row>
    <row r="1503" spans="2:5">
      <c r="B1503" s="91"/>
      <c r="C1503" s="57" t="s">
        <v>186</v>
      </c>
      <c r="D1503" s="60">
        <v>1</v>
      </c>
      <c r="E1503" s="59">
        <v>0</v>
      </c>
    </row>
    <row r="1504" spans="2:5">
      <c r="B1504" s="91"/>
      <c r="C1504" s="57" t="s">
        <v>164</v>
      </c>
      <c r="D1504" s="60">
        <v>1</v>
      </c>
      <c r="E1504" s="59">
        <v>0</v>
      </c>
    </row>
    <row r="1505" spans="2:5">
      <c r="B1505" s="91"/>
      <c r="C1505" s="57" t="s">
        <v>168</v>
      </c>
      <c r="D1505" s="60">
        <v>1</v>
      </c>
      <c r="E1505" s="59">
        <v>0</v>
      </c>
    </row>
    <row r="1506" spans="2:5">
      <c r="B1506" s="91"/>
      <c r="C1506" s="57" t="s">
        <v>175</v>
      </c>
      <c r="D1506" s="60">
        <v>1</v>
      </c>
      <c r="E1506" s="59">
        <v>0</v>
      </c>
    </row>
    <row r="1507" spans="2:5">
      <c r="B1507" s="92"/>
      <c r="C1507" s="71" t="s">
        <v>302</v>
      </c>
      <c r="D1507" s="69">
        <v>27</v>
      </c>
      <c r="E1507" s="72">
        <v>0</v>
      </c>
    </row>
    <row r="1508" spans="2:5">
      <c r="B1508" s="90" t="s">
        <v>136</v>
      </c>
      <c r="C1508" s="57" t="s">
        <v>160</v>
      </c>
      <c r="D1508" s="60">
        <v>11</v>
      </c>
      <c r="E1508" s="59">
        <v>0</v>
      </c>
    </row>
    <row r="1509" spans="2:5">
      <c r="B1509" s="91"/>
      <c r="C1509" s="57" t="s">
        <v>165</v>
      </c>
      <c r="D1509" s="60">
        <v>2</v>
      </c>
      <c r="E1509" s="59">
        <v>0</v>
      </c>
    </row>
    <row r="1510" spans="2:5">
      <c r="B1510" s="91"/>
      <c r="C1510" s="57" t="s">
        <v>166</v>
      </c>
      <c r="D1510" s="60">
        <v>2</v>
      </c>
      <c r="E1510" s="59">
        <v>0</v>
      </c>
    </row>
    <row r="1511" spans="2:5">
      <c r="B1511" s="91"/>
      <c r="C1511" s="57" t="s">
        <v>169</v>
      </c>
      <c r="D1511" s="60">
        <v>2</v>
      </c>
      <c r="E1511" s="59">
        <v>0</v>
      </c>
    </row>
    <row r="1512" spans="2:5">
      <c r="B1512" s="91"/>
      <c r="C1512" s="57" t="s">
        <v>187</v>
      </c>
      <c r="D1512" s="60">
        <v>2</v>
      </c>
      <c r="E1512" s="59">
        <v>0</v>
      </c>
    </row>
    <row r="1513" spans="2:5">
      <c r="B1513" s="91"/>
      <c r="C1513" s="57" t="s">
        <v>151</v>
      </c>
      <c r="D1513" s="60">
        <v>1</v>
      </c>
      <c r="E1513" s="59">
        <v>0</v>
      </c>
    </row>
    <row r="1514" spans="2:5">
      <c r="B1514" s="91"/>
      <c r="C1514" s="57" t="s">
        <v>155</v>
      </c>
      <c r="D1514" s="60">
        <v>1</v>
      </c>
      <c r="E1514" s="59">
        <v>0</v>
      </c>
    </row>
    <row r="1515" spans="2:5">
      <c r="B1515" s="91"/>
      <c r="C1515" s="57" t="s">
        <v>157</v>
      </c>
      <c r="D1515" s="60">
        <v>1</v>
      </c>
      <c r="E1515" s="59">
        <v>0</v>
      </c>
    </row>
    <row r="1516" spans="2:5">
      <c r="B1516" s="91"/>
      <c r="C1516" s="57" t="s">
        <v>186</v>
      </c>
      <c r="D1516" s="60">
        <v>1</v>
      </c>
      <c r="E1516" s="59">
        <v>0</v>
      </c>
    </row>
    <row r="1517" spans="2:5">
      <c r="B1517" s="91"/>
      <c r="C1517" s="57" t="s">
        <v>170</v>
      </c>
      <c r="D1517" s="60">
        <v>1</v>
      </c>
      <c r="E1517" s="59">
        <v>0</v>
      </c>
    </row>
    <row r="1518" spans="2:5">
      <c r="B1518" s="91"/>
      <c r="C1518" s="57" t="s">
        <v>189</v>
      </c>
      <c r="D1518" s="60">
        <v>1</v>
      </c>
      <c r="E1518" s="59">
        <v>0</v>
      </c>
    </row>
    <row r="1519" spans="2:5">
      <c r="B1519" s="91"/>
      <c r="C1519" s="57" t="s">
        <v>191</v>
      </c>
      <c r="D1519" s="60">
        <v>1</v>
      </c>
      <c r="E1519" s="59">
        <v>0</v>
      </c>
    </row>
    <row r="1520" spans="2:5">
      <c r="B1520" s="91"/>
      <c r="C1520" s="57" t="s">
        <v>179</v>
      </c>
      <c r="D1520" s="60">
        <v>1</v>
      </c>
      <c r="E1520" s="59">
        <v>0</v>
      </c>
    </row>
    <row r="1521" spans="2:5">
      <c r="B1521" s="92"/>
      <c r="C1521" s="71" t="s">
        <v>302</v>
      </c>
      <c r="D1521" s="69">
        <v>27</v>
      </c>
      <c r="E1521" s="72">
        <v>0</v>
      </c>
    </row>
    <row r="1522" spans="2:5">
      <c r="B1522" s="90" t="s">
        <v>142</v>
      </c>
      <c r="C1522" s="57" t="s">
        <v>159</v>
      </c>
      <c r="D1522" s="60">
        <v>2</v>
      </c>
      <c r="E1522" s="59">
        <v>0</v>
      </c>
    </row>
    <row r="1523" spans="2:5">
      <c r="B1523" s="91"/>
      <c r="C1523" s="57" t="s">
        <v>160</v>
      </c>
      <c r="D1523" s="60">
        <v>2</v>
      </c>
      <c r="E1523" s="59">
        <v>0</v>
      </c>
    </row>
    <row r="1524" spans="2:5">
      <c r="B1524" s="91"/>
      <c r="C1524" s="57" t="s">
        <v>148</v>
      </c>
      <c r="D1524" s="60">
        <v>1</v>
      </c>
      <c r="E1524" s="59">
        <v>0</v>
      </c>
    </row>
    <row r="1525" spans="2:5">
      <c r="B1525" s="91"/>
      <c r="C1525" s="57" t="s">
        <v>182</v>
      </c>
      <c r="D1525" s="60">
        <v>1</v>
      </c>
      <c r="E1525" s="59">
        <v>0</v>
      </c>
    </row>
    <row r="1526" spans="2:5">
      <c r="B1526" s="91"/>
      <c r="C1526" s="57" t="s">
        <v>161</v>
      </c>
      <c r="D1526" s="60">
        <v>1</v>
      </c>
      <c r="E1526" s="59">
        <v>0</v>
      </c>
    </row>
    <row r="1527" spans="2:5">
      <c r="B1527" s="91"/>
      <c r="C1527" s="57" t="s">
        <v>162</v>
      </c>
      <c r="D1527" s="60">
        <v>1</v>
      </c>
      <c r="E1527" s="59">
        <v>0</v>
      </c>
    </row>
    <row r="1528" spans="2:5">
      <c r="B1528" s="91"/>
      <c r="C1528" s="57" t="s">
        <v>164</v>
      </c>
      <c r="D1528" s="60">
        <v>1</v>
      </c>
      <c r="E1528" s="59">
        <v>0</v>
      </c>
    </row>
    <row r="1529" spans="2:5">
      <c r="B1529" s="91"/>
      <c r="C1529" s="57" t="s">
        <v>166</v>
      </c>
      <c r="D1529" s="60">
        <v>1</v>
      </c>
      <c r="E1529" s="59">
        <v>0</v>
      </c>
    </row>
    <row r="1530" spans="2:5">
      <c r="B1530" s="91"/>
      <c r="C1530" s="57" t="s">
        <v>172</v>
      </c>
      <c r="D1530" s="60">
        <v>1</v>
      </c>
      <c r="E1530" s="59">
        <v>0</v>
      </c>
    </row>
    <row r="1531" spans="2:5">
      <c r="B1531" s="92"/>
      <c r="C1531" s="71" t="s">
        <v>302</v>
      </c>
      <c r="D1531" s="69">
        <v>11</v>
      </c>
      <c r="E1531" s="72">
        <v>0</v>
      </c>
    </row>
    <row r="1532" spans="2:5" ht="15" customHeight="1">
      <c r="B1532" s="90" t="s">
        <v>116</v>
      </c>
      <c r="C1532" s="57" t="s">
        <v>151</v>
      </c>
      <c r="D1532" s="60">
        <v>3</v>
      </c>
      <c r="E1532" s="59">
        <v>0</v>
      </c>
    </row>
    <row r="1533" spans="2:5" ht="15" customHeight="1">
      <c r="B1533" s="91"/>
      <c r="C1533" s="57" t="s">
        <v>160</v>
      </c>
      <c r="D1533" s="60">
        <v>3</v>
      </c>
      <c r="E1533" s="59">
        <v>0</v>
      </c>
    </row>
    <row r="1534" spans="2:5" ht="15" customHeight="1">
      <c r="B1534" s="91"/>
      <c r="C1534" s="57" t="s">
        <v>148</v>
      </c>
      <c r="D1534" s="60">
        <v>1</v>
      </c>
      <c r="E1534" s="59">
        <v>0</v>
      </c>
    </row>
    <row r="1535" spans="2:5" ht="15" customHeight="1">
      <c r="B1535" s="91"/>
      <c r="C1535" s="57" t="s">
        <v>182</v>
      </c>
      <c r="D1535" s="60">
        <v>1</v>
      </c>
      <c r="E1535" s="59">
        <v>0</v>
      </c>
    </row>
    <row r="1536" spans="2:5" ht="15" customHeight="1">
      <c r="B1536" s="91"/>
      <c r="C1536" s="57" t="s">
        <v>168</v>
      </c>
      <c r="D1536" s="60">
        <v>1</v>
      </c>
      <c r="E1536" s="59">
        <v>0</v>
      </c>
    </row>
    <row r="1537" spans="2:5" ht="15" customHeight="1">
      <c r="B1537" s="91"/>
      <c r="C1537" s="57" t="s">
        <v>190</v>
      </c>
      <c r="D1537" s="60">
        <v>1</v>
      </c>
      <c r="E1537" s="59">
        <v>0</v>
      </c>
    </row>
    <row r="1538" spans="2:5" ht="15" customHeight="1">
      <c r="B1538" s="92"/>
      <c r="C1538" s="71" t="s">
        <v>302</v>
      </c>
      <c r="D1538" s="69">
        <v>10</v>
      </c>
      <c r="E1538" s="72">
        <v>0</v>
      </c>
    </row>
    <row r="1539" spans="2:5" ht="15" customHeight="1">
      <c r="B1539" s="90" t="s">
        <v>134</v>
      </c>
      <c r="C1539" s="57" t="s">
        <v>149</v>
      </c>
      <c r="D1539" s="60">
        <v>2</v>
      </c>
      <c r="E1539" s="59">
        <v>0</v>
      </c>
    </row>
    <row r="1540" spans="2:5" ht="15" customHeight="1">
      <c r="B1540" s="91"/>
      <c r="C1540" s="57" t="s">
        <v>155</v>
      </c>
      <c r="D1540" s="60">
        <v>1</v>
      </c>
      <c r="E1540" s="59">
        <v>0</v>
      </c>
    </row>
    <row r="1541" spans="2:5" ht="15" customHeight="1">
      <c r="B1541" s="91"/>
      <c r="C1541" s="57" t="s">
        <v>185</v>
      </c>
      <c r="D1541" s="60">
        <v>1</v>
      </c>
      <c r="E1541" s="59">
        <v>0</v>
      </c>
    </row>
    <row r="1542" spans="2:5" ht="15" customHeight="1">
      <c r="B1542" s="91"/>
      <c r="C1542" s="57" t="s">
        <v>165</v>
      </c>
      <c r="D1542" s="60">
        <v>1</v>
      </c>
      <c r="E1542" s="59">
        <v>0</v>
      </c>
    </row>
    <row r="1543" spans="2:5" ht="15" customHeight="1">
      <c r="B1543" s="92"/>
      <c r="C1543" s="71" t="s">
        <v>302</v>
      </c>
      <c r="D1543" s="69">
        <v>5</v>
      </c>
      <c r="E1543" s="72">
        <v>0</v>
      </c>
    </row>
    <row r="1544" spans="2:5" ht="15" customHeight="1">
      <c r="B1544" s="90" t="s">
        <v>106</v>
      </c>
      <c r="C1544" s="57" t="s">
        <v>155</v>
      </c>
      <c r="D1544" s="60">
        <v>1</v>
      </c>
      <c r="E1544" s="59">
        <v>0</v>
      </c>
    </row>
    <row r="1545" spans="2:5" ht="15" customHeight="1">
      <c r="B1545" s="91"/>
      <c r="C1545" s="57" t="s">
        <v>184</v>
      </c>
      <c r="D1545" s="60">
        <v>1</v>
      </c>
      <c r="E1545" s="59">
        <v>0</v>
      </c>
    </row>
    <row r="1546" spans="2:5" ht="15" customHeight="1">
      <c r="B1546" s="91"/>
      <c r="C1546" s="57" t="s">
        <v>165</v>
      </c>
      <c r="D1546" s="60">
        <v>1</v>
      </c>
      <c r="E1546" s="59">
        <v>0</v>
      </c>
    </row>
    <row r="1547" spans="2:5" ht="15" customHeight="1">
      <c r="B1547" s="92"/>
      <c r="C1547" s="71" t="s">
        <v>302</v>
      </c>
      <c r="D1547" s="69">
        <v>3</v>
      </c>
      <c r="E1547" s="72">
        <v>0</v>
      </c>
    </row>
    <row r="1548" spans="2:5" ht="15" customHeight="1">
      <c r="B1548" s="90" t="s">
        <v>124</v>
      </c>
      <c r="C1548" s="57" t="s">
        <v>151</v>
      </c>
      <c r="D1548" s="60">
        <v>2</v>
      </c>
      <c r="E1548" s="59">
        <v>0</v>
      </c>
    </row>
    <row r="1549" spans="2:5" ht="15" customHeight="1">
      <c r="B1549" s="91"/>
      <c r="C1549" s="57" t="s">
        <v>163</v>
      </c>
      <c r="D1549" s="60">
        <v>1</v>
      </c>
      <c r="E1549" s="59">
        <v>0</v>
      </c>
    </row>
    <row r="1550" spans="2:5" ht="15" customHeight="1">
      <c r="B1550" s="92"/>
      <c r="C1550" s="71" t="s">
        <v>302</v>
      </c>
      <c r="D1550" s="69">
        <v>3</v>
      </c>
      <c r="E1550" s="72">
        <v>0</v>
      </c>
    </row>
    <row r="1551" spans="2:5" ht="15" customHeight="1">
      <c r="B1551" s="90" t="s">
        <v>140</v>
      </c>
      <c r="C1551" s="57" t="s">
        <v>149</v>
      </c>
      <c r="D1551" s="60">
        <v>1</v>
      </c>
      <c r="E1551" s="59">
        <v>0</v>
      </c>
    </row>
    <row r="1552" spans="2:5" ht="15" customHeight="1">
      <c r="B1552" s="91"/>
      <c r="C1552" s="57" t="s">
        <v>182</v>
      </c>
      <c r="D1552" s="60">
        <v>1</v>
      </c>
      <c r="E1552" s="59">
        <v>0</v>
      </c>
    </row>
    <row r="1553" spans="2:5" ht="15" customHeight="1">
      <c r="B1553" s="91"/>
      <c r="C1553" s="57" t="s">
        <v>155</v>
      </c>
      <c r="D1553" s="60">
        <v>1</v>
      </c>
      <c r="E1553" s="59">
        <v>0</v>
      </c>
    </row>
    <row r="1554" spans="2:5" ht="15" customHeight="1">
      <c r="B1554" s="92"/>
      <c r="C1554" s="71" t="s">
        <v>302</v>
      </c>
      <c r="D1554" s="69">
        <v>3</v>
      </c>
      <c r="E1554" s="72">
        <v>0</v>
      </c>
    </row>
    <row r="1555" spans="2:5" ht="15" customHeight="1">
      <c r="B1555" s="90" t="s">
        <v>290</v>
      </c>
      <c r="C1555" s="57" t="s">
        <v>151</v>
      </c>
      <c r="D1555" s="60">
        <v>1</v>
      </c>
      <c r="E1555" s="59">
        <v>0</v>
      </c>
    </row>
    <row r="1556" spans="2:5" ht="15" customHeight="1">
      <c r="B1556" s="91"/>
      <c r="C1556" s="57" t="s">
        <v>291</v>
      </c>
      <c r="D1556" s="60">
        <v>1</v>
      </c>
      <c r="E1556" s="59">
        <v>0</v>
      </c>
    </row>
    <row r="1557" spans="2:5" ht="15" customHeight="1">
      <c r="B1557" s="92"/>
      <c r="C1557" s="71" t="s">
        <v>302</v>
      </c>
      <c r="D1557" s="69">
        <v>2</v>
      </c>
      <c r="E1557" s="72">
        <v>0</v>
      </c>
    </row>
    <row r="1558" spans="2:5" ht="15" customHeight="1">
      <c r="B1558" s="90" t="s">
        <v>288</v>
      </c>
      <c r="C1558" s="57" t="s">
        <v>160</v>
      </c>
      <c r="D1558" s="60">
        <v>1</v>
      </c>
      <c r="E1558" s="59">
        <v>0</v>
      </c>
    </row>
    <row r="1559" spans="2:5" ht="15" customHeight="1">
      <c r="B1559" s="92"/>
      <c r="C1559" s="71" t="s">
        <v>302</v>
      </c>
      <c r="D1559" s="69">
        <v>1</v>
      </c>
      <c r="E1559" s="72">
        <v>0</v>
      </c>
    </row>
    <row r="1560" spans="2:5" ht="15" customHeight="1">
      <c r="B1560" s="90" t="s">
        <v>114</v>
      </c>
      <c r="C1560" s="57" t="s">
        <v>171</v>
      </c>
      <c r="D1560" s="60">
        <v>1</v>
      </c>
      <c r="E1560" s="59">
        <v>0</v>
      </c>
    </row>
    <row r="1561" spans="2:5" ht="15" customHeight="1">
      <c r="B1561" s="92"/>
      <c r="C1561" s="71" t="s">
        <v>302</v>
      </c>
      <c r="D1561" s="69">
        <v>1</v>
      </c>
      <c r="E1561" s="72">
        <v>0</v>
      </c>
    </row>
    <row r="1562" spans="2:5" ht="15" customHeight="1">
      <c r="B1562" s="88" t="s">
        <v>302</v>
      </c>
      <c r="C1562" s="89"/>
      <c r="D1562" s="46">
        <v>63491</v>
      </c>
      <c r="E1562" s="56">
        <v>1</v>
      </c>
    </row>
    <row r="1563" spans="2:5" ht="15" customHeight="1">
      <c r="B1563" s="51"/>
      <c r="C1563" s="51"/>
      <c r="D1563" s="51"/>
      <c r="E1563" s="51"/>
    </row>
    <row r="1564" spans="2:5" ht="15" customHeight="1">
      <c r="B1564" s="35" t="s">
        <v>284</v>
      </c>
      <c r="C1564" s="39"/>
      <c r="D1564" s="51"/>
      <c r="E1564" s="51"/>
    </row>
    <row r="1565" spans="2:5" ht="15" customHeight="1">
      <c r="B1565" s="36" t="s">
        <v>17</v>
      </c>
      <c r="C1565" s="39"/>
      <c r="D1565" s="51"/>
      <c r="E1565" s="51"/>
    </row>
    <row r="1566" spans="2:5" ht="15" customHeight="1">
      <c r="B1566" s="37" t="s">
        <v>96</v>
      </c>
      <c r="C1566" s="39"/>
      <c r="D1566" s="51"/>
      <c r="E1566" s="51"/>
    </row>
    <row r="1567" spans="2:5" ht="15" customHeight="1">
      <c r="B1567" s="35" t="s">
        <v>16</v>
      </c>
      <c r="C1567" s="39"/>
      <c r="D1567" s="51"/>
      <c r="E1567" s="51"/>
    </row>
    <row r="1568" spans="2:5" ht="15" customHeight="1">
      <c r="B1568" s="35" t="s">
        <v>303</v>
      </c>
      <c r="C1568" s="39"/>
      <c r="D1568" s="51"/>
      <c r="E1568" s="51"/>
    </row>
  </sheetData>
  <mergeCells count="53">
    <mergeCell ref="B1104:B1140"/>
    <mergeCell ref="B1141:B1181"/>
    <mergeCell ref="B1182:B1217"/>
    <mergeCell ref="B1218:B1256"/>
    <mergeCell ref="B1257:B1284"/>
    <mergeCell ref="B1285:B1315"/>
    <mergeCell ref="B1316:B1347"/>
    <mergeCell ref="B1348:B1377"/>
    <mergeCell ref="B1378:B1406"/>
    <mergeCell ref="B10:B57"/>
    <mergeCell ref="B58:B105"/>
    <mergeCell ref="B106:B152"/>
    <mergeCell ref="B153:B199"/>
    <mergeCell ref="B200:B247"/>
    <mergeCell ref="B248:B294"/>
    <mergeCell ref="B295:B341"/>
    <mergeCell ref="B342:B385"/>
    <mergeCell ref="B386:B430"/>
    <mergeCell ref="B431:B475"/>
    <mergeCell ref="B476:B517"/>
    <mergeCell ref="B518:B562"/>
    <mergeCell ref="B1548:B1550"/>
    <mergeCell ref="B1551:B1554"/>
    <mergeCell ref="B1555:B1557"/>
    <mergeCell ref="B1558:B1559"/>
    <mergeCell ref="B1560:B1561"/>
    <mergeCell ref="B918:B953"/>
    <mergeCell ref="B563:B600"/>
    <mergeCell ref="B601:B643"/>
    <mergeCell ref="B644:B688"/>
    <mergeCell ref="B689:B722"/>
    <mergeCell ref="B723:B761"/>
    <mergeCell ref="B7:E8"/>
    <mergeCell ref="B762:B798"/>
    <mergeCell ref="B799:B838"/>
    <mergeCell ref="B839:B877"/>
    <mergeCell ref="B878:B917"/>
    <mergeCell ref="B1562:C1562"/>
    <mergeCell ref="B954:B987"/>
    <mergeCell ref="B988:B1030"/>
    <mergeCell ref="B1031:B1063"/>
    <mergeCell ref="B1064:B1103"/>
    <mergeCell ref="B1544:B1547"/>
    <mergeCell ref="B1407:B1423"/>
    <mergeCell ref="B1424:B1447"/>
    <mergeCell ref="B1448:B1463"/>
    <mergeCell ref="B1464:B1480"/>
    <mergeCell ref="B1481:B1495"/>
    <mergeCell ref="B1496:B1507"/>
    <mergeCell ref="B1508:B1521"/>
    <mergeCell ref="B1522:B1531"/>
    <mergeCell ref="B1532:B1538"/>
    <mergeCell ref="B1539:B154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3" orientation="portrait" r:id="rId1"/>
  <rowBreaks count="1" manualBreakCount="1">
    <brk id="1518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1877"/>
  <sheetViews>
    <sheetView showGridLines="0" view="pageBreakPreview" zoomScaleNormal="100" zoomScaleSheetLayoutView="100" workbookViewId="0">
      <selection activeCell="G1" sqref="G1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41.425781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7"/>
      <c r="C6" s="38"/>
      <c r="D6" s="38"/>
      <c r="E6" s="38"/>
    </row>
    <row r="7" spans="1:5" s="22" customFormat="1" ht="26.25" customHeight="1">
      <c r="A7" s="23"/>
      <c r="B7" s="93"/>
      <c r="C7" s="93"/>
      <c r="D7" s="93"/>
      <c r="E7" s="93"/>
    </row>
    <row r="8" spans="1:5" s="22" customFormat="1" ht="33" customHeight="1">
      <c r="A8" s="23"/>
      <c r="B8" s="93"/>
      <c r="C8" s="93"/>
      <c r="D8" s="93"/>
      <c r="E8" s="93"/>
    </row>
    <row r="9" spans="1:5" s="16" customFormat="1" ht="40.5" customHeight="1">
      <c r="B9" s="48" t="s">
        <v>21</v>
      </c>
      <c r="C9" s="49" t="s">
        <v>23</v>
      </c>
      <c r="D9" s="50" t="s">
        <v>19</v>
      </c>
      <c r="E9" s="48" t="s">
        <v>18</v>
      </c>
    </row>
    <row r="10" spans="1:5">
      <c r="B10" s="90" t="s">
        <v>82</v>
      </c>
      <c r="C10" s="57" t="s">
        <v>147</v>
      </c>
      <c r="D10" s="60">
        <v>3</v>
      </c>
      <c r="E10" s="59">
        <v>0</v>
      </c>
    </row>
    <row r="11" spans="1:5">
      <c r="B11" s="91"/>
      <c r="C11" s="57" t="s">
        <v>148</v>
      </c>
      <c r="D11" s="60">
        <v>4</v>
      </c>
      <c r="E11" s="59">
        <v>0</v>
      </c>
    </row>
    <row r="12" spans="1:5">
      <c r="B12" s="91"/>
      <c r="C12" s="57" t="s">
        <v>149</v>
      </c>
      <c r="D12" s="60">
        <v>1</v>
      </c>
      <c r="E12" s="59">
        <v>0</v>
      </c>
    </row>
    <row r="13" spans="1:5">
      <c r="B13" s="91"/>
      <c r="C13" s="57" t="s">
        <v>150</v>
      </c>
      <c r="D13" s="60">
        <v>2</v>
      </c>
      <c r="E13" s="59">
        <v>0</v>
      </c>
    </row>
    <row r="14" spans="1:5">
      <c r="B14" s="91"/>
      <c r="C14" s="57" t="s">
        <v>151</v>
      </c>
      <c r="D14" s="60">
        <v>4</v>
      </c>
      <c r="E14" s="59">
        <v>0</v>
      </c>
    </row>
    <row r="15" spans="1:5">
      <c r="B15" s="91"/>
      <c r="C15" s="57" t="s">
        <v>152</v>
      </c>
      <c r="D15" s="60">
        <v>1</v>
      </c>
      <c r="E15" s="59">
        <v>0</v>
      </c>
    </row>
    <row r="16" spans="1:5">
      <c r="B16" s="91"/>
      <c r="C16" s="57" t="s">
        <v>181</v>
      </c>
      <c r="D16" s="60">
        <v>5</v>
      </c>
      <c r="E16" s="59">
        <v>0</v>
      </c>
    </row>
    <row r="17" spans="2:5">
      <c r="B17" s="91"/>
      <c r="C17" s="57" t="s">
        <v>153</v>
      </c>
      <c r="D17" s="60">
        <v>4</v>
      </c>
      <c r="E17" s="59">
        <v>0</v>
      </c>
    </row>
    <row r="18" spans="2:5" ht="28.5">
      <c r="B18" s="91"/>
      <c r="C18" s="57" t="s">
        <v>154</v>
      </c>
      <c r="D18" s="60">
        <v>14</v>
      </c>
      <c r="E18" s="59">
        <v>0</v>
      </c>
    </row>
    <row r="19" spans="2:5">
      <c r="B19" s="91"/>
      <c r="C19" s="57" t="s">
        <v>155</v>
      </c>
      <c r="D19" s="60">
        <v>10</v>
      </c>
      <c r="E19" s="59">
        <v>0</v>
      </c>
    </row>
    <row r="20" spans="2:5">
      <c r="B20" s="91"/>
      <c r="C20" s="57" t="s">
        <v>156</v>
      </c>
      <c r="D20" s="60">
        <v>4</v>
      </c>
      <c r="E20" s="59">
        <v>0</v>
      </c>
    </row>
    <row r="21" spans="2:5">
      <c r="B21" s="91"/>
      <c r="C21" s="57" t="s">
        <v>157</v>
      </c>
      <c r="D21" s="60">
        <v>8</v>
      </c>
      <c r="E21" s="59">
        <v>0</v>
      </c>
    </row>
    <row r="22" spans="2:5">
      <c r="B22" s="91"/>
      <c r="C22" s="57" t="s">
        <v>158</v>
      </c>
      <c r="D22" s="60">
        <v>4</v>
      </c>
      <c r="E22" s="59">
        <v>0</v>
      </c>
    </row>
    <row r="23" spans="2:5">
      <c r="B23" s="91"/>
      <c r="C23" s="57" t="s">
        <v>159</v>
      </c>
      <c r="D23" s="60">
        <v>9</v>
      </c>
      <c r="E23" s="59">
        <v>0</v>
      </c>
    </row>
    <row r="24" spans="2:5">
      <c r="B24" s="91"/>
      <c r="C24" s="57" t="s">
        <v>160</v>
      </c>
      <c r="D24" s="60">
        <v>25</v>
      </c>
      <c r="E24" s="59">
        <v>0</v>
      </c>
    </row>
    <row r="25" spans="2:5">
      <c r="B25" s="91"/>
      <c r="C25" s="57" t="s">
        <v>161</v>
      </c>
      <c r="D25" s="60">
        <v>3</v>
      </c>
      <c r="E25" s="59">
        <v>0</v>
      </c>
    </row>
    <row r="26" spans="2:5">
      <c r="B26" s="91"/>
      <c r="C26" s="57" t="s">
        <v>184</v>
      </c>
      <c r="D26" s="60">
        <v>1</v>
      </c>
      <c r="E26" s="59">
        <v>0</v>
      </c>
    </row>
    <row r="27" spans="2:5">
      <c r="B27" s="91"/>
      <c r="C27" s="57" t="s">
        <v>186</v>
      </c>
      <c r="D27" s="60">
        <v>1</v>
      </c>
      <c r="E27" s="59">
        <v>0</v>
      </c>
    </row>
    <row r="28" spans="2:5">
      <c r="B28" s="91"/>
      <c r="C28" s="57" t="s">
        <v>163</v>
      </c>
      <c r="D28" s="60">
        <v>5</v>
      </c>
      <c r="E28" s="59">
        <v>0</v>
      </c>
    </row>
    <row r="29" spans="2:5">
      <c r="B29" s="91"/>
      <c r="C29" s="57" t="s">
        <v>164</v>
      </c>
      <c r="D29" s="60">
        <v>2</v>
      </c>
      <c r="E29" s="59">
        <v>0</v>
      </c>
    </row>
    <row r="30" spans="2:5">
      <c r="B30" s="91"/>
      <c r="C30" s="57" t="s">
        <v>165</v>
      </c>
      <c r="D30" s="60">
        <v>7</v>
      </c>
      <c r="E30" s="59">
        <v>0</v>
      </c>
    </row>
    <row r="31" spans="2:5">
      <c r="B31" s="91"/>
      <c r="C31" s="57" t="s">
        <v>166</v>
      </c>
      <c r="D31" s="60">
        <v>9</v>
      </c>
      <c r="E31" s="59">
        <v>0</v>
      </c>
    </row>
    <row r="32" spans="2:5">
      <c r="B32" s="91"/>
      <c r="C32" s="57" t="s">
        <v>167</v>
      </c>
      <c r="D32" s="60">
        <v>2</v>
      </c>
      <c r="E32" s="59">
        <v>0</v>
      </c>
    </row>
    <row r="33" spans="2:5">
      <c r="B33" s="91"/>
      <c r="C33" s="57" t="s">
        <v>168</v>
      </c>
      <c r="D33" s="60">
        <v>11</v>
      </c>
      <c r="E33" s="59">
        <v>0</v>
      </c>
    </row>
    <row r="34" spans="2:5">
      <c r="B34" s="91"/>
      <c r="C34" s="57" t="s">
        <v>169</v>
      </c>
      <c r="D34" s="60">
        <v>2</v>
      </c>
      <c r="E34" s="59">
        <v>0</v>
      </c>
    </row>
    <row r="35" spans="2:5">
      <c r="B35" s="91"/>
      <c r="C35" s="57" t="s">
        <v>170</v>
      </c>
      <c r="D35" s="60">
        <v>1</v>
      </c>
      <c r="E35" s="59">
        <v>0</v>
      </c>
    </row>
    <row r="36" spans="2:5">
      <c r="B36" s="91"/>
      <c r="C36" s="57" t="s">
        <v>171</v>
      </c>
      <c r="D36" s="60">
        <v>6</v>
      </c>
      <c r="E36" s="59">
        <v>0</v>
      </c>
    </row>
    <row r="37" spans="2:5">
      <c r="B37" s="91"/>
      <c r="C37" s="57" t="s">
        <v>172</v>
      </c>
      <c r="D37" s="60">
        <v>11</v>
      </c>
      <c r="E37" s="59">
        <v>0</v>
      </c>
    </row>
    <row r="38" spans="2:5">
      <c r="B38" s="91"/>
      <c r="C38" s="57" t="s">
        <v>187</v>
      </c>
      <c r="D38" s="60">
        <v>2</v>
      </c>
      <c r="E38" s="59">
        <v>0</v>
      </c>
    </row>
    <row r="39" spans="2:5">
      <c r="B39" s="91"/>
      <c r="C39" s="57" t="s">
        <v>188</v>
      </c>
      <c r="D39" s="60">
        <v>2</v>
      </c>
      <c r="E39" s="59">
        <v>0</v>
      </c>
    </row>
    <row r="40" spans="2:5">
      <c r="B40" s="91"/>
      <c r="C40" s="57" t="s">
        <v>173</v>
      </c>
      <c r="D40" s="60">
        <v>4</v>
      </c>
      <c r="E40" s="59">
        <v>0</v>
      </c>
    </row>
    <row r="41" spans="2:5">
      <c r="B41" s="91"/>
      <c r="C41" s="57" t="s">
        <v>174</v>
      </c>
      <c r="D41" s="60">
        <v>1</v>
      </c>
      <c r="E41" s="59">
        <v>0</v>
      </c>
    </row>
    <row r="42" spans="2:5">
      <c r="B42" s="91"/>
      <c r="C42" s="57" t="s">
        <v>189</v>
      </c>
      <c r="D42" s="60">
        <v>12</v>
      </c>
      <c r="E42" s="59">
        <v>0</v>
      </c>
    </row>
    <row r="43" spans="2:5">
      <c r="B43" s="91"/>
      <c r="C43" s="57" t="s">
        <v>190</v>
      </c>
      <c r="D43" s="60">
        <v>1</v>
      </c>
      <c r="E43" s="59">
        <v>0</v>
      </c>
    </row>
    <row r="44" spans="2:5">
      <c r="B44" s="91"/>
      <c r="C44" s="57" t="s">
        <v>175</v>
      </c>
      <c r="D44" s="60">
        <v>4</v>
      </c>
      <c r="E44" s="59">
        <v>0</v>
      </c>
    </row>
    <row r="45" spans="2:5">
      <c r="B45" s="91"/>
      <c r="C45" s="57" t="s">
        <v>176</v>
      </c>
      <c r="D45" s="60">
        <v>5</v>
      </c>
      <c r="E45" s="59">
        <v>0</v>
      </c>
    </row>
    <row r="46" spans="2:5">
      <c r="B46" s="91"/>
      <c r="C46" s="57" t="s">
        <v>177</v>
      </c>
      <c r="D46" s="60">
        <v>2</v>
      </c>
      <c r="E46" s="59">
        <v>0</v>
      </c>
    </row>
    <row r="47" spans="2:5">
      <c r="B47" s="91"/>
      <c r="C47" s="57" t="s">
        <v>179</v>
      </c>
      <c r="D47" s="60">
        <v>11</v>
      </c>
      <c r="E47" s="59">
        <v>0</v>
      </c>
    </row>
    <row r="48" spans="2:5">
      <c r="B48" s="92"/>
      <c r="C48" s="71" t="s">
        <v>302</v>
      </c>
      <c r="D48" s="73">
        <v>203</v>
      </c>
      <c r="E48" s="72">
        <v>3.0000000000000001E-3</v>
      </c>
    </row>
    <row r="49" spans="2:5">
      <c r="B49" s="90" t="s">
        <v>53</v>
      </c>
      <c r="C49" s="57" t="s">
        <v>147</v>
      </c>
      <c r="D49" s="60">
        <v>52</v>
      </c>
      <c r="E49" s="59">
        <v>1E-3</v>
      </c>
    </row>
    <row r="50" spans="2:5">
      <c r="B50" s="91"/>
      <c r="C50" s="57" t="s">
        <v>148</v>
      </c>
      <c r="D50" s="60">
        <v>109</v>
      </c>
      <c r="E50" s="59">
        <v>2E-3</v>
      </c>
    </row>
    <row r="51" spans="2:5">
      <c r="B51" s="91"/>
      <c r="C51" s="57" t="s">
        <v>149</v>
      </c>
      <c r="D51" s="60">
        <v>47</v>
      </c>
      <c r="E51" s="59">
        <v>1E-3</v>
      </c>
    </row>
    <row r="52" spans="2:5">
      <c r="B52" s="91"/>
      <c r="C52" s="57" t="s">
        <v>150</v>
      </c>
      <c r="D52" s="60">
        <v>88</v>
      </c>
      <c r="E52" s="59">
        <v>1E-3</v>
      </c>
    </row>
    <row r="53" spans="2:5">
      <c r="B53" s="91"/>
      <c r="C53" s="57" t="s">
        <v>180</v>
      </c>
      <c r="D53" s="60">
        <v>11</v>
      </c>
      <c r="E53" s="59">
        <v>0</v>
      </c>
    </row>
    <row r="54" spans="2:5">
      <c r="B54" s="91"/>
      <c r="C54" s="57" t="s">
        <v>151</v>
      </c>
      <c r="D54" s="60">
        <v>243</v>
      </c>
      <c r="E54" s="59">
        <v>4.0000000000000001E-3</v>
      </c>
    </row>
    <row r="55" spans="2:5">
      <c r="B55" s="91"/>
      <c r="C55" s="57" t="s">
        <v>152</v>
      </c>
      <c r="D55" s="60">
        <v>66</v>
      </c>
      <c r="E55" s="59">
        <v>1E-3</v>
      </c>
    </row>
    <row r="56" spans="2:5">
      <c r="B56" s="91"/>
      <c r="C56" s="57" t="s">
        <v>181</v>
      </c>
      <c r="D56" s="60">
        <v>5</v>
      </c>
      <c r="E56" s="59">
        <v>0</v>
      </c>
    </row>
    <row r="57" spans="2:5">
      <c r="B57" s="91"/>
      <c r="C57" s="57" t="s">
        <v>182</v>
      </c>
      <c r="D57" s="60">
        <v>40</v>
      </c>
      <c r="E57" s="59">
        <v>1E-3</v>
      </c>
    </row>
    <row r="58" spans="2:5">
      <c r="B58" s="91"/>
      <c r="C58" s="57" t="s">
        <v>153</v>
      </c>
      <c r="D58" s="60">
        <v>19</v>
      </c>
      <c r="E58" s="59">
        <v>0</v>
      </c>
    </row>
    <row r="59" spans="2:5">
      <c r="B59" s="91"/>
      <c r="C59" s="57" t="s">
        <v>291</v>
      </c>
      <c r="D59" s="60">
        <v>12</v>
      </c>
      <c r="E59" s="59">
        <v>0</v>
      </c>
    </row>
    <row r="60" spans="2:5">
      <c r="B60" s="91"/>
      <c r="C60" s="57" t="s">
        <v>183</v>
      </c>
      <c r="D60" s="60">
        <v>24</v>
      </c>
      <c r="E60" s="59">
        <v>0</v>
      </c>
    </row>
    <row r="61" spans="2:5" ht="28.5">
      <c r="B61" s="91"/>
      <c r="C61" s="57" t="s">
        <v>154</v>
      </c>
      <c r="D61" s="60">
        <v>152</v>
      </c>
      <c r="E61" s="59">
        <v>2E-3</v>
      </c>
    </row>
    <row r="62" spans="2:5">
      <c r="B62" s="91"/>
      <c r="C62" s="57" t="s">
        <v>155</v>
      </c>
      <c r="D62" s="60">
        <v>48</v>
      </c>
      <c r="E62" s="59">
        <v>1E-3</v>
      </c>
    </row>
    <row r="63" spans="2:5">
      <c r="B63" s="91"/>
      <c r="C63" s="57" t="s">
        <v>156</v>
      </c>
      <c r="D63" s="60">
        <v>44</v>
      </c>
      <c r="E63" s="59">
        <v>1E-3</v>
      </c>
    </row>
    <row r="64" spans="2:5">
      <c r="B64" s="91"/>
      <c r="C64" s="57" t="s">
        <v>157</v>
      </c>
      <c r="D64" s="60">
        <v>174</v>
      </c>
      <c r="E64" s="59">
        <v>3.0000000000000001E-3</v>
      </c>
    </row>
    <row r="65" spans="2:5">
      <c r="B65" s="91"/>
      <c r="C65" s="57" t="s">
        <v>158</v>
      </c>
      <c r="D65" s="60">
        <v>20</v>
      </c>
      <c r="E65" s="59">
        <v>0</v>
      </c>
    </row>
    <row r="66" spans="2:5">
      <c r="B66" s="91"/>
      <c r="C66" s="57" t="s">
        <v>159</v>
      </c>
      <c r="D66" s="60">
        <v>51</v>
      </c>
      <c r="E66" s="59">
        <v>1E-3</v>
      </c>
    </row>
    <row r="67" spans="2:5">
      <c r="B67" s="91"/>
      <c r="C67" s="57" t="s">
        <v>160</v>
      </c>
      <c r="D67" s="60">
        <v>145</v>
      </c>
      <c r="E67" s="59">
        <v>2E-3</v>
      </c>
    </row>
    <row r="68" spans="2:5">
      <c r="B68" s="91"/>
      <c r="C68" s="57" t="s">
        <v>161</v>
      </c>
      <c r="D68" s="60">
        <v>29</v>
      </c>
      <c r="E68" s="59">
        <v>0</v>
      </c>
    </row>
    <row r="69" spans="2:5">
      <c r="B69" s="91"/>
      <c r="C69" s="57" t="s">
        <v>184</v>
      </c>
      <c r="D69" s="60">
        <v>14</v>
      </c>
      <c r="E69" s="59">
        <v>0</v>
      </c>
    </row>
    <row r="70" spans="2:5">
      <c r="B70" s="91"/>
      <c r="C70" s="57" t="s">
        <v>162</v>
      </c>
      <c r="D70" s="60">
        <v>12</v>
      </c>
      <c r="E70" s="59">
        <v>0</v>
      </c>
    </row>
    <row r="71" spans="2:5">
      <c r="B71" s="91"/>
      <c r="C71" s="57" t="s">
        <v>185</v>
      </c>
      <c r="D71" s="60">
        <v>4</v>
      </c>
      <c r="E71" s="59">
        <v>0</v>
      </c>
    </row>
    <row r="72" spans="2:5">
      <c r="B72" s="91"/>
      <c r="C72" s="57" t="s">
        <v>186</v>
      </c>
      <c r="D72" s="60">
        <v>3</v>
      </c>
      <c r="E72" s="59">
        <v>0</v>
      </c>
    </row>
    <row r="73" spans="2:5">
      <c r="B73" s="91"/>
      <c r="C73" s="57" t="s">
        <v>163</v>
      </c>
      <c r="D73" s="60">
        <v>40</v>
      </c>
      <c r="E73" s="59">
        <v>1E-3</v>
      </c>
    </row>
    <row r="74" spans="2:5">
      <c r="B74" s="91"/>
      <c r="C74" s="57" t="s">
        <v>164</v>
      </c>
      <c r="D74" s="60">
        <v>3</v>
      </c>
      <c r="E74" s="59">
        <v>0</v>
      </c>
    </row>
    <row r="75" spans="2:5">
      <c r="B75" s="91"/>
      <c r="C75" s="57" t="s">
        <v>165</v>
      </c>
      <c r="D75" s="60">
        <v>64</v>
      </c>
      <c r="E75" s="59">
        <v>1E-3</v>
      </c>
    </row>
    <row r="76" spans="2:5">
      <c r="B76" s="91"/>
      <c r="C76" s="57" t="s">
        <v>166</v>
      </c>
      <c r="D76" s="60">
        <v>88</v>
      </c>
      <c r="E76" s="59">
        <v>1E-3</v>
      </c>
    </row>
    <row r="77" spans="2:5">
      <c r="B77" s="91"/>
      <c r="C77" s="57" t="s">
        <v>167</v>
      </c>
      <c r="D77" s="60">
        <v>73</v>
      </c>
      <c r="E77" s="59">
        <v>1E-3</v>
      </c>
    </row>
    <row r="78" spans="2:5">
      <c r="B78" s="91"/>
      <c r="C78" s="57" t="s">
        <v>168</v>
      </c>
      <c r="D78" s="60">
        <v>80</v>
      </c>
      <c r="E78" s="59">
        <v>1E-3</v>
      </c>
    </row>
    <row r="79" spans="2:5">
      <c r="B79" s="91"/>
      <c r="C79" s="57" t="s">
        <v>169</v>
      </c>
      <c r="D79" s="60">
        <v>38</v>
      </c>
      <c r="E79" s="59">
        <v>1E-3</v>
      </c>
    </row>
    <row r="80" spans="2:5">
      <c r="B80" s="91"/>
      <c r="C80" s="57" t="s">
        <v>170</v>
      </c>
      <c r="D80" s="60">
        <v>97</v>
      </c>
      <c r="E80" s="59">
        <v>2E-3</v>
      </c>
    </row>
    <row r="81" spans="2:5">
      <c r="B81" s="91"/>
      <c r="C81" s="57" t="s">
        <v>171</v>
      </c>
      <c r="D81" s="60">
        <v>115</v>
      </c>
      <c r="E81" s="59">
        <v>2E-3</v>
      </c>
    </row>
    <row r="82" spans="2:5">
      <c r="B82" s="91"/>
      <c r="C82" s="57" t="s">
        <v>172</v>
      </c>
      <c r="D82" s="60">
        <v>38</v>
      </c>
      <c r="E82" s="59">
        <v>1E-3</v>
      </c>
    </row>
    <row r="83" spans="2:5">
      <c r="B83" s="91"/>
      <c r="C83" s="57" t="s">
        <v>187</v>
      </c>
      <c r="D83" s="60">
        <v>20</v>
      </c>
      <c r="E83" s="59">
        <v>0</v>
      </c>
    </row>
    <row r="84" spans="2:5">
      <c r="B84" s="91"/>
      <c r="C84" s="57" t="s">
        <v>188</v>
      </c>
      <c r="D84" s="60">
        <v>1</v>
      </c>
      <c r="E84" s="59">
        <v>0</v>
      </c>
    </row>
    <row r="85" spans="2:5">
      <c r="B85" s="91"/>
      <c r="C85" s="57" t="s">
        <v>173</v>
      </c>
      <c r="D85" s="60">
        <v>79</v>
      </c>
      <c r="E85" s="59">
        <v>1E-3</v>
      </c>
    </row>
    <row r="86" spans="2:5">
      <c r="B86" s="91"/>
      <c r="C86" s="57" t="s">
        <v>174</v>
      </c>
      <c r="D86" s="60">
        <v>9</v>
      </c>
      <c r="E86" s="59">
        <v>0</v>
      </c>
    </row>
    <row r="87" spans="2:5">
      <c r="B87" s="91"/>
      <c r="C87" s="57" t="s">
        <v>189</v>
      </c>
      <c r="D87" s="60">
        <v>24</v>
      </c>
      <c r="E87" s="59">
        <v>0</v>
      </c>
    </row>
    <row r="88" spans="2:5">
      <c r="B88" s="91"/>
      <c r="C88" s="57" t="s">
        <v>190</v>
      </c>
      <c r="D88" s="60">
        <v>9</v>
      </c>
      <c r="E88" s="59">
        <v>0</v>
      </c>
    </row>
    <row r="89" spans="2:5">
      <c r="B89" s="91"/>
      <c r="C89" s="57" t="s">
        <v>175</v>
      </c>
      <c r="D89" s="60">
        <v>17</v>
      </c>
      <c r="E89" s="59">
        <v>0</v>
      </c>
    </row>
    <row r="90" spans="2:5">
      <c r="B90" s="91"/>
      <c r="C90" s="57" t="s">
        <v>176</v>
      </c>
      <c r="D90" s="60">
        <v>142</v>
      </c>
      <c r="E90" s="59">
        <v>2E-3</v>
      </c>
    </row>
    <row r="91" spans="2:5">
      <c r="B91" s="91"/>
      <c r="C91" s="57" t="s">
        <v>177</v>
      </c>
      <c r="D91" s="60">
        <v>30</v>
      </c>
      <c r="E91" s="59">
        <v>0</v>
      </c>
    </row>
    <row r="92" spans="2:5">
      <c r="B92" s="91"/>
      <c r="C92" s="57" t="s">
        <v>191</v>
      </c>
      <c r="D92" s="60">
        <v>23</v>
      </c>
      <c r="E92" s="59">
        <v>0</v>
      </c>
    </row>
    <row r="93" spans="2:5">
      <c r="B93" s="91"/>
      <c r="C93" s="57" t="s">
        <v>178</v>
      </c>
      <c r="D93" s="60">
        <v>17</v>
      </c>
      <c r="E93" s="59">
        <v>0</v>
      </c>
    </row>
    <row r="94" spans="2:5">
      <c r="B94" s="91"/>
      <c r="C94" s="57" t="s">
        <v>179</v>
      </c>
      <c r="D94" s="60">
        <v>74</v>
      </c>
      <c r="E94" s="59">
        <v>1E-3</v>
      </c>
    </row>
    <row r="95" spans="2:5">
      <c r="B95" s="92"/>
      <c r="C95" s="71" t="s">
        <v>302</v>
      </c>
      <c r="D95" s="73">
        <v>2493</v>
      </c>
      <c r="E95" s="72">
        <v>3.9E-2</v>
      </c>
    </row>
    <row r="96" spans="2:5">
      <c r="B96" s="90" t="s">
        <v>50</v>
      </c>
      <c r="C96" s="57" t="s">
        <v>147</v>
      </c>
      <c r="D96" s="60">
        <v>1</v>
      </c>
      <c r="E96" s="59">
        <v>0</v>
      </c>
    </row>
    <row r="97" spans="2:5">
      <c r="B97" s="91"/>
      <c r="C97" s="57" t="s">
        <v>148</v>
      </c>
      <c r="D97" s="60">
        <v>28</v>
      </c>
      <c r="E97" s="59">
        <v>0</v>
      </c>
    </row>
    <row r="98" spans="2:5">
      <c r="B98" s="91"/>
      <c r="C98" s="57" t="s">
        <v>149</v>
      </c>
      <c r="D98" s="60">
        <v>56</v>
      </c>
      <c r="E98" s="59">
        <v>1E-3</v>
      </c>
    </row>
    <row r="99" spans="2:5">
      <c r="B99" s="91"/>
      <c r="C99" s="57" t="s">
        <v>150</v>
      </c>
      <c r="D99" s="60">
        <v>128</v>
      </c>
      <c r="E99" s="59">
        <v>2E-3</v>
      </c>
    </row>
    <row r="100" spans="2:5">
      <c r="B100" s="91"/>
      <c r="C100" s="57" t="s">
        <v>180</v>
      </c>
      <c r="D100" s="60">
        <v>3</v>
      </c>
      <c r="E100" s="59">
        <v>0</v>
      </c>
    </row>
    <row r="101" spans="2:5">
      <c r="B101" s="91"/>
      <c r="C101" s="57" t="s">
        <v>151</v>
      </c>
      <c r="D101" s="60">
        <v>229</v>
      </c>
      <c r="E101" s="59">
        <v>4.0000000000000001E-3</v>
      </c>
    </row>
    <row r="102" spans="2:5">
      <c r="B102" s="91"/>
      <c r="C102" s="57" t="s">
        <v>152</v>
      </c>
      <c r="D102" s="60">
        <v>87</v>
      </c>
      <c r="E102" s="59">
        <v>1E-3</v>
      </c>
    </row>
    <row r="103" spans="2:5">
      <c r="B103" s="91"/>
      <c r="C103" s="57" t="s">
        <v>181</v>
      </c>
      <c r="D103" s="60">
        <v>4</v>
      </c>
      <c r="E103" s="59">
        <v>0</v>
      </c>
    </row>
    <row r="104" spans="2:5">
      <c r="B104" s="91"/>
      <c r="C104" s="57" t="s">
        <v>182</v>
      </c>
      <c r="D104" s="60">
        <v>20</v>
      </c>
      <c r="E104" s="59">
        <v>0</v>
      </c>
    </row>
    <row r="105" spans="2:5">
      <c r="B105" s="91"/>
      <c r="C105" s="57" t="s">
        <v>153</v>
      </c>
      <c r="D105" s="60">
        <v>4</v>
      </c>
      <c r="E105" s="59">
        <v>0</v>
      </c>
    </row>
    <row r="106" spans="2:5">
      <c r="B106" s="91"/>
      <c r="C106" s="57" t="s">
        <v>291</v>
      </c>
      <c r="D106" s="60">
        <v>123</v>
      </c>
      <c r="E106" s="59">
        <v>2E-3</v>
      </c>
    </row>
    <row r="107" spans="2:5">
      <c r="B107" s="91"/>
      <c r="C107" s="57" t="s">
        <v>183</v>
      </c>
      <c r="D107" s="60">
        <v>2</v>
      </c>
      <c r="E107" s="59">
        <v>0</v>
      </c>
    </row>
    <row r="108" spans="2:5" ht="28.5">
      <c r="B108" s="91"/>
      <c r="C108" s="57" t="s">
        <v>154</v>
      </c>
      <c r="D108" s="60">
        <v>414</v>
      </c>
      <c r="E108" s="59">
        <v>7.0000000000000001E-3</v>
      </c>
    </row>
    <row r="109" spans="2:5">
      <c r="B109" s="91"/>
      <c r="C109" s="57" t="s">
        <v>155</v>
      </c>
      <c r="D109" s="60">
        <v>79</v>
      </c>
      <c r="E109" s="59">
        <v>1E-3</v>
      </c>
    </row>
    <row r="110" spans="2:5">
      <c r="B110" s="91"/>
      <c r="C110" s="57" t="s">
        <v>157</v>
      </c>
      <c r="D110" s="60">
        <v>60</v>
      </c>
      <c r="E110" s="59">
        <v>1E-3</v>
      </c>
    </row>
    <row r="111" spans="2:5">
      <c r="B111" s="91"/>
      <c r="C111" s="57" t="s">
        <v>158</v>
      </c>
      <c r="D111" s="60">
        <v>19</v>
      </c>
      <c r="E111" s="59">
        <v>0</v>
      </c>
    </row>
    <row r="112" spans="2:5">
      <c r="B112" s="91"/>
      <c r="C112" s="57" t="s">
        <v>159</v>
      </c>
      <c r="D112" s="60">
        <v>72</v>
      </c>
      <c r="E112" s="59">
        <v>1E-3</v>
      </c>
    </row>
    <row r="113" spans="2:5">
      <c r="B113" s="91"/>
      <c r="C113" s="57" t="s">
        <v>160</v>
      </c>
      <c r="D113" s="60">
        <v>106</v>
      </c>
      <c r="E113" s="59">
        <v>2E-3</v>
      </c>
    </row>
    <row r="114" spans="2:5">
      <c r="B114" s="91"/>
      <c r="C114" s="57" t="s">
        <v>161</v>
      </c>
      <c r="D114" s="60">
        <v>3</v>
      </c>
      <c r="E114" s="59">
        <v>0</v>
      </c>
    </row>
    <row r="115" spans="2:5">
      <c r="B115" s="91"/>
      <c r="C115" s="57" t="s">
        <v>184</v>
      </c>
      <c r="D115" s="60">
        <v>1</v>
      </c>
      <c r="E115" s="59">
        <v>0</v>
      </c>
    </row>
    <row r="116" spans="2:5">
      <c r="B116" s="91"/>
      <c r="C116" s="57" t="s">
        <v>162</v>
      </c>
      <c r="D116" s="60">
        <v>7</v>
      </c>
      <c r="E116" s="59">
        <v>0</v>
      </c>
    </row>
    <row r="117" spans="2:5">
      <c r="B117" s="91"/>
      <c r="C117" s="57" t="s">
        <v>185</v>
      </c>
      <c r="D117" s="60">
        <v>8</v>
      </c>
      <c r="E117" s="59">
        <v>0</v>
      </c>
    </row>
    <row r="118" spans="2:5">
      <c r="B118" s="91"/>
      <c r="C118" s="57" t="s">
        <v>186</v>
      </c>
      <c r="D118" s="60">
        <v>3</v>
      </c>
      <c r="E118" s="59">
        <v>0</v>
      </c>
    </row>
    <row r="119" spans="2:5">
      <c r="B119" s="91"/>
      <c r="C119" s="57" t="s">
        <v>163</v>
      </c>
      <c r="D119" s="60">
        <v>3</v>
      </c>
      <c r="E119" s="59">
        <v>0</v>
      </c>
    </row>
    <row r="120" spans="2:5">
      <c r="B120" s="91"/>
      <c r="C120" s="57" t="s">
        <v>164</v>
      </c>
      <c r="D120" s="60">
        <v>4</v>
      </c>
      <c r="E120" s="59">
        <v>0</v>
      </c>
    </row>
    <row r="121" spans="2:5">
      <c r="B121" s="91"/>
      <c r="C121" s="57" t="s">
        <v>165</v>
      </c>
      <c r="D121" s="60">
        <v>130</v>
      </c>
      <c r="E121" s="59">
        <v>2E-3</v>
      </c>
    </row>
    <row r="122" spans="2:5">
      <c r="B122" s="91"/>
      <c r="C122" s="57" t="s">
        <v>166</v>
      </c>
      <c r="D122" s="60">
        <v>14</v>
      </c>
      <c r="E122" s="59">
        <v>0</v>
      </c>
    </row>
    <row r="123" spans="2:5">
      <c r="B123" s="91"/>
      <c r="C123" s="57" t="s">
        <v>167</v>
      </c>
      <c r="D123" s="60">
        <v>113</v>
      </c>
      <c r="E123" s="59">
        <v>2E-3</v>
      </c>
    </row>
    <row r="124" spans="2:5">
      <c r="B124" s="91"/>
      <c r="C124" s="57" t="s">
        <v>168</v>
      </c>
      <c r="D124" s="60">
        <v>117</v>
      </c>
      <c r="E124" s="59">
        <v>2E-3</v>
      </c>
    </row>
    <row r="125" spans="2:5">
      <c r="B125" s="91"/>
      <c r="C125" s="57" t="s">
        <v>169</v>
      </c>
      <c r="D125" s="60">
        <v>6</v>
      </c>
      <c r="E125" s="59">
        <v>0</v>
      </c>
    </row>
    <row r="126" spans="2:5">
      <c r="B126" s="91"/>
      <c r="C126" s="57" t="s">
        <v>170</v>
      </c>
      <c r="D126" s="60">
        <v>6</v>
      </c>
      <c r="E126" s="59">
        <v>0</v>
      </c>
    </row>
    <row r="127" spans="2:5">
      <c r="B127" s="91"/>
      <c r="C127" s="57" t="s">
        <v>171</v>
      </c>
      <c r="D127" s="60">
        <v>252</v>
      </c>
      <c r="E127" s="59">
        <v>4.0000000000000001E-3</v>
      </c>
    </row>
    <row r="128" spans="2:5">
      <c r="B128" s="91"/>
      <c r="C128" s="57" t="s">
        <v>172</v>
      </c>
      <c r="D128" s="60">
        <v>308</v>
      </c>
      <c r="E128" s="59">
        <v>5.0000000000000001E-3</v>
      </c>
    </row>
    <row r="129" spans="2:5">
      <c r="B129" s="91"/>
      <c r="C129" s="57" t="s">
        <v>192</v>
      </c>
      <c r="D129" s="60">
        <v>15</v>
      </c>
      <c r="E129" s="59">
        <v>0</v>
      </c>
    </row>
    <row r="130" spans="2:5">
      <c r="B130" s="91"/>
      <c r="C130" s="57" t="s">
        <v>187</v>
      </c>
      <c r="D130" s="60">
        <v>291</v>
      </c>
      <c r="E130" s="59">
        <v>5.0000000000000001E-3</v>
      </c>
    </row>
    <row r="131" spans="2:5">
      <c r="B131" s="91"/>
      <c r="C131" s="57" t="s">
        <v>188</v>
      </c>
      <c r="D131" s="60">
        <v>1</v>
      </c>
      <c r="E131" s="59">
        <v>0</v>
      </c>
    </row>
    <row r="132" spans="2:5">
      <c r="B132" s="91"/>
      <c r="C132" s="57" t="s">
        <v>173</v>
      </c>
      <c r="D132" s="60">
        <v>10</v>
      </c>
      <c r="E132" s="59">
        <v>0</v>
      </c>
    </row>
    <row r="133" spans="2:5">
      <c r="B133" s="91"/>
      <c r="C133" s="57" t="s">
        <v>189</v>
      </c>
      <c r="D133" s="60">
        <v>18</v>
      </c>
      <c r="E133" s="59">
        <v>0</v>
      </c>
    </row>
    <row r="134" spans="2:5">
      <c r="B134" s="91"/>
      <c r="C134" s="57" t="s">
        <v>190</v>
      </c>
      <c r="D134" s="60">
        <v>2</v>
      </c>
      <c r="E134" s="59">
        <v>0</v>
      </c>
    </row>
    <row r="135" spans="2:5">
      <c r="B135" s="91"/>
      <c r="C135" s="57" t="s">
        <v>175</v>
      </c>
      <c r="D135" s="60">
        <v>2</v>
      </c>
      <c r="E135" s="59">
        <v>0</v>
      </c>
    </row>
    <row r="136" spans="2:5">
      <c r="B136" s="91"/>
      <c r="C136" s="57" t="s">
        <v>176</v>
      </c>
      <c r="D136" s="60">
        <v>54</v>
      </c>
      <c r="E136" s="59">
        <v>1E-3</v>
      </c>
    </row>
    <row r="137" spans="2:5">
      <c r="B137" s="91"/>
      <c r="C137" s="57" t="s">
        <v>177</v>
      </c>
      <c r="D137" s="60">
        <v>45</v>
      </c>
      <c r="E137" s="59">
        <v>1E-3</v>
      </c>
    </row>
    <row r="138" spans="2:5">
      <c r="B138" s="91"/>
      <c r="C138" s="57" t="s">
        <v>191</v>
      </c>
      <c r="D138" s="60">
        <v>5</v>
      </c>
      <c r="E138" s="59">
        <v>0</v>
      </c>
    </row>
    <row r="139" spans="2:5">
      <c r="B139" s="91"/>
      <c r="C139" s="57" t="s">
        <v>178</v>
      </c>
      <c r="D139" s="60">
        <v>26</v>
      </c>
      <c r="E139" s="59">
        <v>0</v>
      </c>
    </row>
    <row r="140" spans="2:5">
      <c r="B140" s="91"/>
      <c r="C140" s="57" t="s">
        <v>179</v>
      </c>
      <c r="D140" s="60">
        <v>5</v>
      </c>
      <c r="E140" s="59">
        <v>0</v>
      </c>
    </row>
    <row r="141" spans="2:5">
      <c r="B141" s="92"/>
      <c r="C141" s="71" t="s">
        <v>302</v>
      </c>
      <c r="D141" s="73">
        <v>2884</v>
      </c>
      <c r="E141" s="72">
        <v>4.4999999999999998E-2</v>
      </c>
    </row>
    <row r="142" spans="2:5">
      <c r="B142" s="90" t="s">
        <v>73</v>
      </c>
      <c r="C142" s="57" t="s">
        <v>147</v>
      </c>
      <c r="D142" s="60">
        <v>8</v>
      </c>
      <c r="E142" s="59">
        <v>0</v>
      </c>
    </row>
    <row r="143" spans="2:5">
      <c r="B143" s="91"/>
      <c r="C143" s="57" t="s">
        <v>148</v>
      </c>
      <c r="D143" s="60">
        <v>3</v>
      </c>
      <c r="E143" s="59">
        <v>0</v>
      </c>
    </row>
    <row r="144" spans="2:5">
      <c r="B144" s="91"/>
      <c r="C144" s="57" t="s">
        <v>149</v>
      </c>
      <c r="D144" s="60">
        <v>6</v>
      </c>
      <c r="E144" s="59">
        <v>0</v>
      </c>
    </row>
    <row r="145" spans="2:5">
      <c r="B145" s="91"/>
      <c r="C145" s="57" t="s">
        <v>150</v>
      </c>
      <c r="D145" s="60">
        <v>2</v>
      </c>
      <c r="E145" s="59">
        <v>0</v>
      </c>
    </row>
    <row r="146" spans="2:5">
      <c r="B146" s="91"/>
      <c r="C146" s="57" t="s">
        <v>180</v>
      </c>
      <c r="D146" s="60">
        <v>1</v>
      </c>
      <c r="E146" s="59">
        <v>0</v>
      </c>
    </row>
    <row r="147" spans="2:5">
      <c r="B147" s="91"/>
      <c r="C147" s="57" t="s">
        <v>151</v>
      </c>
      <c r="D147" s="60">
        <v>20</v>
      </c>
      <c r="E147" s="59">
        <v>0</v>
      </c>
    </row>
    <row r="148" spans="2:5">
      <c r="B148" s="91"/>
      <c r="C148" s="57" t="s">
        <v>181</v>
      </c>
      <c r="D148" s="60">
        <v>2</v>
      </c>
      <c r="E148" s="59">
        <v>0</v>
      </c>
    </row>
    <row r="149" spans="2:5">
      <c r="B149" s="91"/>
      <c r="C149" s="57" t="s">
        <v>182</v>
      </c>
      <c r="D149" s="60">
        <v>6</v>
      </c>
      <c r="E149" s="59">
        <v>0</v>
      </c>
    </row>
    <row r="150" spans="2:5">
      <c r="B150" s="91"/>
      <c r="C150" s="57" t="s">
        <v>153</v>
      </c>
      <c r="D150" s="60">
        <v>10</v>
      </c>
      <c r="E150" s="59">
        <v>0</v>
      </c>
    </row>
    <row r="151" spans="2:5">
      <c r="B151" s="91"/>
      <c r="C151" s="57" t="s">
        <v>291</v>
      </c>
      <c r="D151" s="60">
        <v>1</v>
      </c>
      <c r="E151" s="59">
        <v>0</v>
      </c>
    </row>
    <row r="152" spans="2:5">
      <c r="B152" s="91"/>
      <c r="C152" s="57" t="s">
        <v>183</v>
      </c>
      <c r="D152" s="60">
        <v>3</v>
      </c>
      <c r="E152" s="59">
        <v>0</v>
      </c>
    </row>
    <row r="153" spans="2:5" ht="28.5">
      <c r="B153" s="91"/>
      <c r="C153" s="57" t="s">
        <v>154</v>
      </c>
      <c r="D153" s="60">
        <v>25</v>
      </c>
      <c r="E153" s="59">
        <v>0</v>
      </c>
    </row>
    <row r="154" spans="2:5">
      <c r="B154" s="91"/>
      <c r="C154" s="57" t="s">
        <v>155</v>
      </c>
      <c r="D154" s="60">
        <v>30</v>
      </c>
      <c r="E154" s="59">
        <v>0</v>
      </c>
    </row>
    <row r="155" spans="2:5">
      <c r="B155" s="91"/>
      <c r="C155" s="57" t="s">
        <v>156</v>
      </c>
      <c r="D155" s="60">
        <v>3</v>
      </c>
      <c r="E155" s="59">
        <v>0</v>
      </c>
    </row>
    <row r="156" spans="2:5">
      <c r="B156" s="91"/>
      <c r="C156" s="57" t="s">
        <v>157</v>
      </c>
      <c r="D156" s="60">
        <v>67</v>
      </c>
      <c r="E156" s="59">
        <v>1E-3</v>
      </c>
    </row>
    <row r="157" spans="2:5">
      <c r="B157" s="91"/>
      <c r="C157" s="57" t="s">
        <v>158</v>
      </c>
      <c r="D157" s="60">
        <v>1</v>
      </c>
      <c r="E157" s="59">
        <v>0</v>
      </c>
    </row>
    <row r="158" spans="2:5">
      <c r="B158" s="91"/>
      <c r="C158" s="57" t="s">
        <v>160</v>
      </c>
      <c r="D158" s="60">
        <v>49</v>
      </c>
      <c r="E158" s="59">
        <v>1E-3</v>
      </c>
    </row>
    <row r="159" spans="2:5">
      <c r="B159" s="91"/>
      <c r="C159" s="57" t="s">
        <v>161</v>
      </c>
      <c r="D159" s="60">
        <v>13</v>
      </c>
      <c r="E159" s="59">
        <v>0</v>
      </c>
    </row>
    <row r="160" spans="2:5">
      <c r="B160" s="91"/>
      <c r="C160" s="57" t="s">
        <v>184</v>
      </c>
      <c r="D160" s="60">
        <v>1</v>
      </c>
      <c r="E160" s="59">
        <v>0</v>
      </c>
    </row>
    <row r="161" spans="2:5">
      <c r="B161" s="91"/>
      <c r="C161" s="57" t="s">
        <v>185</v>
      </c>
      <c r="D161" s="60">
        <v>1</v>
      </c>
      <c r="E161" s="59">
        <v>0</v>
      </c>
    </row>
    <row r="162" spans="2:5">
      <c r="B162" s="91"/>
      <c r="C162" s="57" t="s">
        <v>186</v>
      </c>
      <c r="D162" s="60">
        <v>7</v>
      </c>
      <c r="E162" s="59">
        <v>0</v>
      </c>
    </row>
    <row r="163" spans="2:5">
      <c r="B163" s="91"/>
      <c r="C163" s="57" t="s">
        <v>163</v>
      </c>
      <c r="D163" s="60">
        <v>89</v>
      </c>
      <c r="E163" s="59">
        <v>1E-3</v>
      </c>
    </row>
    <row r="164" spans="2:5">
      <c r="B164" s="91"/>
      <c r="C164" s="57" t="s">
        <v>164</v>
      </c>
      <c r="D164" s="60">
        <v>97</v>
      </c>
      <c r="E164" s="59">
        <v>2E-3</v>
      </c>
    </row>
    <row r="165" spans="2:5">
      <c r="B165" s="91"/>
      <c r="C165" s="57" t="s">
        <v>165</v>
      </c>
      <c r="D165" s="60">
        <v>24</v>
      </c>
      <c r="E165" s="59">
        <v>0</v>
      </c>
    </row>
    <row r="166" spans="2:5">
      <c r="B166" s="91"/>
      <c r="C166" s="57" t="s">
        <v>166</v>
      </c>
      <c r="D166" s="60">
        <v>8</v>
      </c>
      <c r="E166" s="59">
        <v>0</v>
      </c>
    </row>
    <row r="167" spans="2:5">
      <c r="B167" s="91"/>
      <c r="C167" s="57" t="s">
        <v>168</v>
      </c>
      <c r="D167" s="60">
        <v>2</v>
      </c>
      <c r="E167" s="59">
        <v>0</v>
      </c>
    </row>
    <row r="168" spans="2:5">
      <c r="B168" s="91"/>
      <c r="C168" s="57" t="s">
        <v>169</v>
      </c>
      <c r="D168" s="60">
        <v>7</v>
      </c>
      <c r="E168" s="59">
        <v>0</v>
      </c>
    </row>
    <row r="169" spans="2:5">
      <c r="B169" s="91"/>
      <c r="C169" s="57" t="s">
        <v>170</v>
      </c>
      <c r="D169" s="60">
        <v>2</v>
      </c>
      <c r="E169" s="59">
        <v>0</v>
      </c>
    </row>
    <row r="170" spans="2:5">
      <c r="B170" s="91"/>
      <c r="C170" s="57" t="s">
        <v>171</v>
      </c>
      <c r="D170" s="60">
        <v>4</v>
      </c>
      <c r="E170" s="59">
        <v>0</v>
      </c>
    </row>
    <row r="171" spans="2:5">
      <c r="B171" s="91"/>
      <c r="C171" s="57" t="s">
        <v>172</v>
      </c>
      <c r="D171" s="60">
        <v>1</v>
      </c>
      <c r="E171" s="59">
        <v>0</v>
      </c>
    </row>
    <row r="172" spans="2:5">
      <c r="B172" s="91"/>
      <c r="C172" s="57" t="s">
        <v>187</v>
      </c>
      <c r="D172" s="60">
        <v>13</v>
      </c>
      <c r="E172" s="59">
        <v>0</v>
      </c>
    </row>
    <row r="173" spans="2:5">
      <c r="B173" s="91"/>
      <c r="C173" s="57" t="s">
        <v>173</v>
      </c>
      <c r="D173" s="60">
        <v>12</v>
      </c>
      <c r="E173" s="59">
        <v>0</v>
      </c>
    </row>
    <row r="174" spans="2:5">
      <c r="B174" s="91"/>
      <c r="C174" s="57" t="s">
        <v>174</v>
      </c>
      <c r="D174" s="60">
        <v>1</v>
      </c>
      <c r="E174" s="59">
        <v>0</v>
      </c>
    </row>
    <row r="175" spans="2:5">
      <c r="B175" s="91"/>
      <c r="C175" s="57" t="s">
        <v>189</v>
      </c>
      <c r="D175" s="60">
        <v>7</v>
      </c>
      <c r="E175" s="59">
        <v>0</v>
      </c>
    </row>
    <row r="176" spans="2:5">
      <c r="B176" s="91"/>
      <c r="C176" s="57" t="s">
        <v>175</v>
      </c>
      <c r="D176" s="60">
        <v>1</v>
      </c>
      <c r="E176" s="59">
        <v>0</v>
      </c>
    </row>
    <row r="177" spans="2:5">
      <c r="B177" s="91"/>
      <c r="C177" s="57" t="s">
        <v>176</v>
      </c>
      <c r="D177" s="60">
        <v>40</v>
      </c>
      <c r="E177" s="59">
        <v>1E-3</v>
      </c>
    </row>
    <row r="178" spans="2:5">
      <c r="B178" s="91"/>
      <c r="C178" s="57" t="s">
        <v>177</v>
      </c>
      <c r="D178" s="60">
        <v>1</v>
      </c>
      <c r="E178" s="59">
        <v>0</v>
      </c>
    </row>
    <row r="179" spans="2:5">
      <c r="B179" s="91"/>
      <c r="C179" s="57" t="s">
        <v>179</v>
      </c>
      <c r="D179" s="60">
        <v>9</v>
      </c>
      <c r="E179" s="59">
        <v>0</v>
      </c>
    </row>
    <row r="180" spans="2:5">
      <c r="B180" s="92"/>
      <c r="C180" s="71" t="s">
        <v>302</v>
      </c>
      <c r="D180" s="73">
        <v>577</v>
      </c>
      <c r="E180" s="72">
        <v>8.9999999999999993E-3</v>
      </c>
    </row>
    <row r="181" spans="2:5">
      <c r="B181" s="90" t="s">
        <v>88</v>
      </c>
      <c r="C181" s="57" t="s">
        <v>147</v>
      </c>
      <c r="D181" s="60">
        <v>1</v>
      </c>
      <c r="E181" s="59">
        <v>0</v>
      </c>
    </row>
    <row r="182" spans="2:5">
      <c r="B182" s="91"/>
      <c r="C182" s="57" t="s">
        <v>148</v>
      </c>
      <c r="D182" s="60">
        <v>1</v>
      </c>
      <c r="E182" s="59">
        <v>0</v>
      </c>
    </row>
    <row r="183" spans="2:5">
      <c r="B183" s="91"/>
      <c r="C183" s="57" t="s">
        <v>149</v>
      </c>
      <c r="D183" s="60">
        <v>4</v>
      </c>
      <c r="E183" s="59">
        <v>0</v>
      </c>
    </row>
    <row r="184" spans="2:5">
      <c r="B184" s="91"/>
      <c r="C184" s="57" t="s">
        <v>151</v>
      </c>
      <c r="D184" s="60">
        <v>6</v>
      </c>
      <c r="E184" s="59">
        <v>0</v>
      </c>
    </row>
    <row r="185" spans="2:5">
      <c r="B185" s="91"/>
      <c r="C185" s="57" t="s">
        <v>182</v>
      </c>
      <c r="D185" s="60">
        <v>2</v>
      </c>
      <c r="E185" s="59">
        <v>0</v>
      </c>
    </row>
    <row r="186" spans="2:5" ht="28.5">
      <c r="B186" s="91"/>
      <c r="C186" s="57" t="s">
        <v>154</v>
      </c>
      <c r="D186" s="60">
        <v>3</v>
      </c>
      <c r="E186" s="59">
        <v>0</v>
      </c>
    </row>
    <row r="187" spans="2:5">
      <c r="B187" s="91"/>
      <c r="C187" s="57" t="s">
        <v>155</v>
      </c>
      <c r="D187" s="60">
        <v>1</v>
      </c>
      <c r="E187" s="59">
        <v>0</v>
      </c>
    </row>
    <row r="188" spans="2:5">
      <c r="B188" s="91"/>
      <c r="C188" s="57" t="s">
        <v>160</v>
      </c>
      <c r="D188" s="60">
        <v>12</v>
      </c>
      <c r="E188" s="59">
        <v>0</v>
      </c>
    </row>
    <row r="189" spans="2:5">
      <c r="B189" s="91"/>
      <c r="C189" s="57" t="s">
        <v>161</v>
      </c>
      <c r="D189" s="60">
        <v>1</v>
      </c>
      <c r="E189" s="59">
        <v>0</v>
      </c>
    </row>
    <row r="190" spans="2:5">
      <c r="B190" s="91"/>
      <c r="C190" s="57" t="s">
        <v>184</v>
      </c>
      <c r="D190" s="60">
        <v>2</v>
      </c>
      <c r="E190" s="59">
        <v>0</v>
      </c>
    </row>
    <row r="191" spans="2:5">
      <c r="B191" s="91"/>
      <c r="C191" s="57" t="s">
        <v>185</v>
      </c>
      <c r="D191" s="60">
        <v>1</v>
      </c>
      <c r="E191" s="59">
        <v>0</v>
      </c>
    </row>
    <row r="192" spans="2:5">
      <c r="B192" s="91"/>
      <c r="C192" s="57" t="s">
        <v>163</v>
      </c>
      <c r="D192" s="60">
        <v>2</v>
      </c>
      <c r="E192" s="59">
        <v>0</v>
      </c>
    </row>
    <row r="193" spans="2:5">
      <c r="B193" s="91"/>
      <c r="C193" s="57" t="s">
        <v>165</v>
      </c>
      <c r="D193" s="60">
        <v>1</v>
      </c>
      <c r="E193" s="59">
        <v>0</v>
      </c>
    </row>
    <row r="194" spans="2:5">
      <c r="B194" s="91"/>
      <c r="C194" s="57" t="s">
        <v>168</v>
      </c>
      <c r="D194" s="60">
        <v>1</v>
      </c>
      <c r="E194" s="59">
        <v>0</v>
      </c>
    </row>
    <row r="195" spans="2:5">
      <c r="B195" s="91"/>
      <c r="C195" s="57" t="s">
        <v>171</v>
      </c>
      <c r="D195" s="60">
        <v>1</v>
      </c>
      <c r="E195" s="59">
        <v>0</v>
      </c>
    </row>
    <row r="196" spans="2:5">
      <c r="B196" s="91"/>
      <c r="C196" s="57" t="s">
        <v>190</v>
      </c>
      <c r="D196" s="60">
        <v>3</v>
      </c>
      <c r="E196" s="59">
        <v>0</v>
      </c>
    </row>
    <row r="197" spans="2:5">
      <c r="B197" s="91"/>
      <c r="C197" s="57" t="s">
        <v>178</v>
      </c>
      <c r="D197" s="60">
        <v>1</v>
      </c>
      <c r="E197" s="59">
        <v>0</v>
      </c>
    </row>
    <row r="198" spans="2:5">
      <c r="B198" s="91"/>
      <c r="C198" s="57" t="s">
        <v>179</v>
      </c>
      <c r="D198" s="60">
        <v>5</v>
      </c>
      <c r="E198" s="59">
        <v>0</v>
      </c>
    </row>
    <row r="199" spans="2:5">
      <c r="B199" s="92"/>
      <c r="C199" s="71" t="s">
        <v>302</v>
      </c>
      <c r="D199" s="73">
        <v>48</v>
      </c>
      <c r="E199" s="72">
        <v>1E-3</v>
      </c>
    </row>
    <row r="200" spans="2:5">
      <c r="B200" s="90" t="s">
        <v>87</v>
      </c>
      <c r="C200" s="57" t="s">
        <v>147</v>
      </c>
      <c r="D200" s="60">
        <v>3</v>
      </c>
      <c r="E200" s="59">
        <v>0</v>
      </c>
    </row>
    <row r="201" spans="2:5">
      <c r="B201" s="91"/>
      <c r="C201" s="57" t="s">
        <v>148</v>
      </c>
      <c r="D201" s="60">
        <v>2</v>
      </c>
      <c r="E201" s="59">
        <v>0</v>
      </c>
    </row>
    <row r="202" spans="2:5">
      <c r="B202" s="91"/>
      <c r="C202" s="57" t="s">
        <v>149</v>
      </c>
      <c r="D202" s="60">
        <v>2</v>
      </c>
      <c r="E202" s="59">
        <v>0</v>
      </c>
    </row>
    <row r="203" spans="2:5">
      <c r="B203" s="91"/>
      <c r="C203" s="57" t="s">
        <v>150</v>
      </c>
      <c r="D203" s="60">
        <v>2</v>
      </c>
      <c r="E203" s="59">
        <v>0</v>
      </c>
    </row>
    <row r="204" spans="2:5">
      <c r="B204" s="91"/>
      <c r="C204" s="57" t="s">
        <v>151</v>
      </c>
      <c r="D204" s="60">
        <v>6</v>
      </c>
      <c r="E204" s="59">
        <v>0</v>
      </c>
    </row>
    <row r="205" spans="2:5">
      <c r="B205" s="91"/>
      <c r="C205" s="57" t="s">
        <v>153</v>
      </c>
      <c r="D205" s="60">
        <v>3</v>
      </c>
      <c r="E205" s="59">
        <v>0</v>
      </c>
    </row>
    <row r="206" spans="2:5" ht="28.5">
      <c r="B206" s="91"/>
      <c r="C206" s="57" t="s">
        <v>154</v>
      </c>
      <c r="D206" s="60">
        <v>2</v>
      </c>
      <c r="E206" s="59">
        <v>0</v>
      </c>
    </row>
    <row r="207" spans="2:5">
      <c r="B207" s="91"/>
      <c r="C207" s="57" t="s">
        <v>157</v>
      </c>
      <c r="D207" s="60">
        <v>7</v>
      </c>
      <c r="E207" s="59">
        <v>0</v>
      </c>
    </row>
    <row r="208" spans="2:5">
      <c r="B208" s="91"/>
      <c r="C208" s="57" t="s">
        <v>160</v>
      </c>
      <c r="D208" s="60">
        <v>7</v>
      </c>
      <c r="E208" s="59">
        <v>0</v>
      </c>
    </row>
    <row r="209" spans="2:5">
      <c r="B209" s="91"/>
      <c r="C209" s="57" t="s">
        <v>184</v>
      </c>
      <c r="D209" s="60">
        <v>1</v>
      </c>
      <c r="E209" s="59">
        <v>0</v>
      </c>
    </row>
    <row r="210" spans="2:5">
      <c r="B210" s="91"/>
      <c r="C210" s="57" t="s">
        <v>162</v>
      </c>
      <c r="D210" s="60">
        <v>1</v>
      </c>
      <c r="E210" s="59">
        <v>0</v>
      </c>
    </row>
    <row r="211" spans="2:5">
      <c r="B211" s="91"/>
      <c r="C211" s="57" t="s">
        <v>163</v>
      </c>
      <c r="D211" s="60">
        <v>3</v>
      </c>
      <c r="E211" s="59">
        <v>0</v>
      </c>
    </row>
    <row r="212" spans="2:5">
      <c r="B212" s="91"/>
      <c r="C212" s="57" t="s">
        <v>165</v>
      </c>
      <c r="D212" s="60">
        <v>4</v>
      </c>
      <c r="E212" s="59">
        <v>0</v>
      </c>
    </row>
    <row r="213" spans="2:5">
      <c r="B213" s="91"/>
      <c r="C213" s="57" t="s">
        <v>166</v>
      </c>
      <c r="D213" s="60">
        <v>3</v>
      </c>
      <c r="E213" s="59">
        <v>0</v>
      </c>
    </row>
    <row r="214" spans="2:5">
      <c r="B214" s="91"/>
      <c r="C214" s="57" t="s">
        <v>167</v>
      </c>
      <c r="D214" s="60">
        <v>1</v>
      </c>
      <c r="E214" s="59">
        <v>0</v>
      </c>
    </row>
    <row r="215" spans="2:5">
      <c r="B215" s="91"/>
      <c r="C215" s="57" t="s">
        <v>168</v>
      </c>
      <c r="D215" s="60">
        <v>3</v>
      </c>
      <c r="E215" s="59">
        <v>0</v>
      </c>
    </row>
    <row r="216" spans="2:5">
      <c r="B216" s="91"/>
      <c r="C216" s="57" t="s">
        <v>169</v>
      </c>
      <c r="D216" s="60">
        <v>2</v>
      </c>
      <c r="E216" s="59">
        <v>0</v>
      </c>
    </row>
    <row r="217" spans="2:5">
      <c r="B217" s="91"/>
      <c r="C217" s="57" t="s">
        <v>171</v>
      </c>
      <c r="D217" s="60">
        <v>3</v>
      </c>
      <c r="E217" s="59">
        <v>0</v>
      </c>
    </row>
    <row r="218" spans="2:5">
      <c r="B218" s="91"/>
      <c r="C218" s="57" t="s">
        <v>172</v>
      </c>
      <c r="D218" s="60">
        <v>1</v>
      </c>
      <c r="E218" s="59">
        <v>0</v>
      </c>
    </row>
    <row r="219" spans="2:5">
      <c r="B219" s="91"/>
      <c r="C219" s="57" t="s">
        <v>187</v>
      </c>
      <c r="D219" s="60">
        <v>1</v>
      </c>
      <c r="E219" s="59">
        <v>0</v>
      </c>
    </row>
    <row r="220" spans="2:5">
      <c r="B220" s="91"/>
      <c r="C220" s="57" t="s">
        <v>189</v>
      </c>
      <c r="D220" s="60">
        <v>1</v>
      </c>
      <c r="E220" s="59">
        <v>0</v>
      </c>
    </row>
    <row r="221" spans="2:5">
      <c r="B221" s="91"/>
      <c r="C221" s="57" t="s">
        <v>176</v>
      </c>
      <c r="D221" s="60">
        <v>1</v>
      </c>
      <c r="E221" s="59">
        <v>0</v>
      </c>
    </row>
    <row r="222" spans="2:5">
      <c r="B222" s="91"/>
      <c r="C222" s="57" t="s">
        <v>178</v>
      </c>
      <c r="D222" s="60">
        <v>1</v>
      </c>
      <c r="E222" s="59">
        <v>0</v>
      </c>
    </row>
    <row r="223" spans="2:5">
      <c r="B223" s="91"/>
      <c r="C223" s="57" t="s">
        <v>179</v>
      </c>
      <c r="D223" s="60">
        <v>4</v>
      </c>
      <c r="E223" s="59">
        <v>0</v>
      </c>
    </row>
    <row r="224" spans="2:5">
      <c r="B224" s="92"/>
      <c r="C224" s="71" t="s">
        <v>302</v>
      </c>
      <c r="D224" s="73">
        <v>64</v>
      </c>
      <c r="E224" s="72">
        <v>1E-3</v>
      </c>
    </row>
    <row r="225" spans="2:5">
      <c r="B225" s="90" t="s">
        <v>94</v>
      </c>
      <c r="C225" s="57" t="s">
        <v>151</v>
      </c>
      <c r="D225" s="60">
        <v>1</v>
      </c>
      <c r="E225" s="59">
        <v>0</v>
      </c>
    </row>
    <row r="226" spans="2:5">
      <c r="B226" s="91"/>
      <c r="C226" s="57" t="s">
        <v>182</v>
      </c>
      <c r="D226" s="60">
        <v>1</v>
      </c>
      <c r="E226" s="59">
        <v>0</v>
      </c>
    </row>
    <row r="227" spans="2:5">
      <c r="B227" s="91"/>
      <c r="C227" s="57" t="s">
        <v>156</v>
      </c>
      <c r="D227" s="60">
        <v>1</v>
      </c>
      <c r="E227" s="59">
        <v>0</v>
      </c>
    </row>
    <row r="228" spans="2:5">
      <c r="B228" s="91"/>
      <c r="C228" s="57" t="s">
        <v>157</v>
      </c>
      <c r="D228" s="60">
        <v>1</v>
      </c>
      <c r="E228" s="59">
        <v>0</v>
      </c>
    </row>
    <row r="229" spans="2:5">
      <c r="B229" s="91"/>
      <c r="C229" s="57" t="s">
        <v>159</v>
      </c>
      <c r="D229" s="60">
        <v>1</v>
      </c>
      <c r="E229" s="59">
        <v>0</v>
      </c>
    </row>
    <row r="230" spans="2:5">
      <c r="B230" s="91"/>
      <c r="C230" s="57" t="s">
        <v>160</v>
      </c>
      <c r="D230" s="60">
        <v>3</v>
      </c>
      <c r="E230" s="59">
        <v>0</v>
      </c>
    </row>
    <row r="231" spans="2:5">
      <c r="B231" s="91"/>
      <c r="C231" s="57" t="s">
        <v>162</v>
      </c>
      <c r="D231" s="60">
        <v>1</v>
      </c>
      <c r="E231" s="59">
        <v>0</v>
      </c>
    </row>
    <row r="232" spans="2:5">
      <c r="B232" s="91"/>
      <c r="C232" s="57" t="s">
        <v>163</v>
      </c>
      <c r="D232" s="60">
        <v>4</v>
      </c>
      <c r="E232" s="59">
        <v>0</v>
      </c>
    </row>
    <row r="233" spans="2:5">
      <c r="B233" s="91"/>
      <c r="C233" s="57" t="s">
        <v>164</v>
      </c>
      <c r="D233" s="60">
        <v>6</v>
      </c>
      <c r="E233" s="59">
        <v>0</v>
      </c>
    </row>
    <row r="234" spans="2:5">
      <c r="B234" s="91"/>
      <c r="C234" s="57" t="s">
        <v>168</v>
      </c>
      <c r="D234" s="60">
        <v>2</v>
      </c>
      <c r="E234" s="59">
        <v>0</v>
      </c>
    </row>
    <row r="235" spans="2:5">
      <c r="B235" s="91"/>
      <c r="C235" s="57" t="s">
        <v>170</v>
      </c>
      <c r="D235" s="60">
        <v>1</v>
      </c>
      <c r="E235" s="59">
        <v>0</v>
      </c>
    </row>
    <row r="236" spans="2:5">
      <c r="B236" s="91"/>
      <c r="C236" s="57" t="s">
        <v>176</v>
      </c>
      <c r="D236" s="60">
        <v>2</v>
      </c>
      <c r="E236" s="59">
        <v>0</v>
      </c>
    </row>
    <row r="237" spans="2:5">
      <c r="B237" s="91"/>
      <c r="C237" s="57" t="s">
        <v>178</v>
      </c>
      <c r="D237" s="60">
        <v>2</v>
      </c>
      <c r="E237" s="59">
        <v>0</v>
      </c>
    </row>
    <row r="238" spans="2:5">
      <c r="B238" s="92"/>
      <c r="C238" s="71" t="s">
        <v>302</v>
      </c>
      <c r="D238" s="73">
        <v>26</v>
      </c>
      <c r="E238" s="72">
        <v>0</v>
      </c>
    </row>
    <row r="239" spans="2:5">
      <c r="B239" s="90" t="s">
        <v>47</v>
      </c>
      <c r="C239" s="57" t="s">
        <v>147</v>
      </c>
      <c r="D239" s="60">
        <v>41</v>
      </c>
      <c r="E239" s="59">
        <v>1E-3</v>
      </c>
    </row>
    <row r="240" spans="2:5">
      <c r="B240" s="91"/>
      <c r="C240" s="57" t="s">
        <v>148</v>
      </c>
      <c r="D240" s="60">
        <v>427</v>
      </c>
      <c r="E240" s="59">
        <v>7.0000000000000001E-3</v>
      </c>
    </row>
    <row r="241" spans="2:5">
      <c r="B241" s="91"/>
      <c r="C241" s="57" t="s">
        <v>149</v>
      </c>
      <c r="D241" s="60">
        <v>69</v>
      </c>
      <c r="E241" s="59">
        <v>1E-3</v>
      </c>
    </row>
    <row r="242" spans="2:5">
      <c r="B242" s="91"/>
      <c r="C242" s="57" t="s">
        <v>150</v>
      </c>
      <c r="D242" s="60">
        <v>66</v>
      </c>
      <c r="E242" s="59">
        <v>1E-3</v>
      </c>
    </row>
    <row r="243" spans="2:5">
      <c r="B243" s="91"/>
      <c r="C243" s="57" t="s">
        <v>180</v>
      </c>
      <c r="D243" s="60">
        <v>3</v>
      </c>
      <c r="E243" s="59">
        <v>0</v>
      </c>
    </row>
    <row r="244" spans="2:5">
      <c r="B244" s="91"/>
      <c r="C244" s="57" t="s">
        <v>151</v>
      </c>
      <c r="D244" s="58">
        <v>1003</v>
      </c>
      <c r="E244" s="59">
        <v>1.6E-2</v>
      </c>
    </row>
    <row r="245" spans="2:5">
      <c r="B245" s="91"/>
      <c r="C245" s="57" t="s">
        <v>152</v>
      </c>
      <c r="D245" s="60">
        <v>47</v>
      </c>
      <c r="E245" s="59">
        <v>1E-3</v>
      </c>
    </row>
    <row r="246" spans="2:5">
      <c r="B246" s="91"/>
      <c r="C246" s="57" t="s">
        <v>181</v>
      </c>
      <c r="D246" s="60">
        <v>9</v>
      </c>
      <c r="E246" s="59">
        <v>0</v>
      </c>
    </row>
    <row r="247" spans="2:5">
      <c r="B247" s="91"/>
      <c r="C247" s="57" t="s">
        <v>182</v>
      </c>
      <c r="D247" s="60">
        <v>63</v>
      </c>
      <c r="E247" s="59">
        <v>1E-3</v>
      </c>
    </row>
    <row r="248" spans="2:5">
      <c r="B248" s="91"/>
      <c r="C248" s="57" t="s">
        <v>153</v>
      </c>
      <c r="D248" s="60">
        <v>92</v>
      </c>
      <c r="E248" s="59">
        <v>1E-3</v>
      </c>
    </row>
    <row r="249" spans="2:5">
      <c r="B249" s="91"/>
      <c r="C249" s="57" t="s">
        <v>291</v>
      </c>
      <c r="D249" s="60">
        <v>2</v>
      </c>
      <c r="E249" s="59">
        <v>0</v>
      </c>
    </row>
    <row r="250" spans="2:5">
      <c r="B250" s="91"/>
      <c r="C250" s="57" t="s">
        <v>183</v>
      </c>
      <c r="D250" s="60">
        <v>10</v>
      </c>
      <c r="E250" s="59">
        <v>0</v>
      </c>
    </row>
    <row r="251" spans="2:5" ht="28.5">
      <c r="B251" s="91"/>
      <c r="C251" s="57" t="s">
        <v>154</v>
      </c>
      <c r="D251" s="60">
        <v>48</v>
      </c>
      <c r="E251" s="59">
        <v>1E-3</v>
      </c>
    </row>
    <row r="252" spans="2:5">
      <c r="B252" s="91"/>
      <c r="C252" s="57" t="s">
        <v>155</v>
      </c>
      <c r="D252" s="60">
        <v>221</v>
      </c>
      <c r="E252" s="59">
        <v>3.0000000000000001E-3</v>
      </c>
    </row>
    <row r="253" spans="2:5">
      <c r="B253" s="91"/>
      <c r="C253" s="57" t="s">
        <v>156</v>
      </c>
      <c r="D253" s="60">
        <v>12</v>
      </c>
      <c r="E253" s="59">
        <v>0</v>
      </c>
    </row>
    <row r="254" spans="2:5">
      <c r="B254" s="91"/>
      <c r="C254" s="57" t="s">
        <v>157</v>
      </c>
      <c r="D254" s="60">
        <v>391</v>
      </c>
      <c r="E254" s="59">
        <v>6.0000000000000001E-3</v>
      </c>
    </row>
    <row r="255" spans="2:5">
      <c r="B255" s="91"/>
      <c r="C255" s="57" t="s">
        <v>158</v>
      </c>
      <c r="D255" s="60">
        <v>73</v>
      </c>
      <c r="E255" s="59">
        <v>1E-3</v>
      </c>
    </row>
    <row r="256" spans="2:5">
      <c r="B256" s="91"/>
      <c r="C256" s="57" t="s">
        <v>159</v>
      </c>
      <c r="D256" s="60">
        <v>147</v>
      </c>
      <c r="E256" s="59">
        <v>2E-3</v>
      </c>
    </row>
    <row r="257" spans="2:5">
      <c r="B257" s="91"/>
      <c r="C257" s="57" t="s">
        <v>160</v>
      </c>
      <c r="D257" s="58">
        <v>1136</v>
      </c>
      <c r="E257" s="59">
        <v>1.7999999999999999E-2</v>
      </c>
    </row>
    <row r="258" spans="2:5">
      <c r="B258" s="91"/>
      <c r="C258" s="57" t="s">
        <v>161</v>
      </c>
      <c r="D258" s="60">
        <v>174</v>
      </c>
      <c r="E258" s="59">
        <v>3.0000000000000001E-3</v>
      </c>
    </row>
    <row r="259" spans="2:5">
      <c r="B259" s="91"/>
      <c r="C259" s="57" t="s">
        <v>184</v>
      </c>
      <c r="D259" s="60">
        <v>291</v>
      </c>
      <c r="E259" s="59">
        <v>5.0000000000000001E-3</v>
      </c>
    </row>
    <row r="260" spans="2:5">
      <c r="B260" s="91"/>
      <c r="C260" s="57" t="s">
        <v>162</v>
      </c>
      <c r="D260" s="60">
        <v>144</v>
      </c>
      <c r="E260" s="59">
        <v>2E-3</v>
      </c>
    </row>
    <row r="261" spans="2:5">
      <c r="B261" s="91"/>
      <c r="C261" s="57" t="s">
        <v>185</v>
      </c>
      <c r="D261" s="60">
        <v>15</v>
      </c>
      <c r="E261" s="59">
        <v>0</v>
      </c>
    </row>
    <row r="262" spans="2:5">
      <c r="B262" s="91"/>
      <c r="C262" s="57" t="s">
        <v>186</v>
      </c>
      <c r="D262" s="60">
        <v>23</v>
      </c>
      <c r="E262" s="59">
        <v>0</v>
      </c>
    </row>
    <row r="263" spans="2:5">
      <c r="B263" s="91"/>
      <c r="C263" s="57" t="s">
        <v>163</v>
      </c>
      <c r="D263" s="60">
        <v>130</v>
      </c>
      <c r="E263" s="59">
        <v>2E-3</v>
      </c>
    </row>
    <row r="264" spans="2:5">
      <c r="B264" s="91"/>
      <c r="C264" s="57" t="s">
        <v>164</v>
      </c>
      <c r="D264" s="60">
        <v>27</v>
      </c>
      <c r="E264" s="59">
        <v>0</v>
      </c>
    </row>
    <row r="265" spans="2:5">
      <c r="B265" s="91"/>
      <c r="C265" s="57" t="s">
        <v>165</v>
      </c>
      <c r="D265" s="60">
        <v>112</v>
      </c>
      <c r="E265" s="59">
        <v>2E-3</v>
      </c>
    </row>
    <row r="266" spans="2:5">
      <c r="B266" s="91"/>
      <c r="C266" s="57" t="s">
        <v>166</v>
      </c>
      <c r="D266" s="60">
        <v>486</v>
      </c>
      <c r="E266" s="59">
        <v>8.0000000000000002E-3</v>
      </c>
    </row>
    <row r="267" spans="2:5">
      <c r="B267" s="91"/>
      <c r="C267" s="57" t="s">
        <v>167</v>
      </c>
      <c r="D267" s="60">
        <v>5</v>
      </c>
      <c r="E267" s="59">
        <v>0</v>
      </c>
    </row>
    <row r="268" spans="2:5">
      <c r="B268" s="91"/>
      <c r="C268" s="57" t="s">
        <v>168</v>
      </c>
      <c r="D268" s="60">
        <v>78</v>
      </c>
      <c r="E268" s="59">
        <v>1E-3</v>
      </c>
    </row>
    <row r="269" spans="2:5">
      <c r="B269" s="91"/>
      <c r="C269" s="57" t="s">
        <v>169</v>
      </c>
      <c r="D269" s="60">
        <v>154</v>
      </c>
      <c r="E269" s="59">
        <v>2E-3</v>
      </c>
    </row>
    <row r="270" spans="2:5">
      <c r="B270" s="91"/>
      <c r="C270" s="57" t="s">
        <v>170</v>
      </c>
      <c r="D270" s="60">
        <v>24</v>
      </c>
      <c r="E270" s="59">
        <v>0</v>
      </c>
    </row>
    <row r="271" spans="2:5">
      <c r="B271" s="91"/>
      <c r="C271" s="57" t="s">
        <v>171</v>
      </c>
      <c r="D271" s="60">
        <v>22</v>
      </c>
      <c r="E271" s="59">
        <v>0</v>
      </c>
    </row>
    <row r="272" spans="2:5">
      <c r="B272" s="91"/>
      <c r="C272" s="57" t="s">
        <v>172</v>
      </c>
      <c r="D272" s="60">
        <v>48</v>
      </c>
      <c r="E272" s="59">
        <v>1E-3</v>
      </c>
    </row>
    <row r="273" spans="2:5">
      <c r="B273" s="91"/>
      <c r="C273" s="57" t="s">
        <v>192</v>
      </c>
      <c r="D273" s="60">
        <v>1</v>
      </c>
      <c r="E273" s="59">
        <v>0</v>
      </c>
    </row>
    <row r="274" spans="2:5">
      <c r="B274" s="91"/>
      <c r="C274" s="57" t="s">
        <v>187</v>
      </c>
      <c r="D274" s="60">
        <v>144</v>
      </c>
      <c r="E274" s="59">
        <v>2E-3</v>
      </c>
    </row>
    <row r="275" spans="2:5">
      <c r="B275" s="91"/>
      <c r="C275" s="57" t="s">
        <v>188</v>
      </c>
      <c r="D275" s="60">
        <v>42</v>
      </c>
      <c r="E275" s="59">
        <v>1E-3</v>
      </c>
    </row>
    <row r="276" spans="2:5">
      <c r="B276" s="91"/>
      <c r="C276" s="57" t="s">
        <v>173</v>
      </c>
      <c r="D276" s="60">
        <v>215</v>
      </c>
      <c r="E276" s="59">
        <v>3.0000000000000001E-3</v>
      </c>
    </row>
    <row r="277" spans="2:5">
      <c r="B277" s="91"/>
      <c r="C277" s="57" t="s">
        <v>174</v>
      </c>
      <c r="D277" s="60">
        <v>111</v>
      </c>
      <c r="E277" s="59">
        <v>2E-3</v>
      </c>
    </row>
    <row r="278" spans="2:5">
      <c r="B278" s="91"/>
      <c r="C278" s="57" t="s">
        <v>189</v>
      </c>
      <c r="D278" s="60">
        <v>225</v>
      </c>
      <c r="E278" s="59">
        <v>4.0000000000000001E-3</v>
      </c>
    </row>
    <row r="279" spans="2:5">
      <c r="B279" s="91"/>
      <c r="C279" s="57" t="s">
        <v>190</v>
      </c>
      <c r="D279" s="60">
        <v>3</v>
      </c>
      <c r="E279" s="59">
        <v>0</v>
      </c>
    </row>
    <row r="280" spans="2:5">
      <c r="B280" s="91"/>
      <c r="C280" s="57" t="s">
        <v>175</v>
      </c>
      <c r="D280" s="60">
        <v>261</v>
      </c>
      <c r="E280" s="59">
        <v>4.0000000000000001E-3</v>
      </c>
    </row>
    <row r="281" spans="2:5">
      <c r="B281" s="91"/>
      <c r="C281" s="57" t="s">
        <v>176</v>
      </c>
      <c r="D281" s="60">
        <v>170</v>
      </c>
      <c r="E281" s="59">
        <v>3.0000000000000001E-3</v>
      </c>
    </row>
    <row r="282" spans="2:5">
      <c r="B282" s="91"/>
      <c r="C282" s="57" t="s">
        <v>177</v>
      </c>
      <c r="D282" s="60">
        <v>3</v>
      </c>
      <c r="E282" s="59">
        <v>0</v>
      </c>
    </row>
    <row r="283" spans="2:5">
      <c r="B283" s="91"/>
      <c r="C283" s="57" t="s">
        <v>191</v>
      </c>
      <c r="D283" s="60">
        <v>40</v>
      </c>
      <c r="E283" s="59">
        <v>1E-3</v>
      </c>
    </row>
    <row r="284" spans="2:5">
      <c r="B284" s="91"/>
      <c r="C284" s="57" t="s">
        <v>178</v>
      </c>
      <c r="D284" s="60">
        <v>3</v>
      </c>
      <c r="E284" s="59">
        <v>0</v>
      </c>
    </row>
    <row r="285" spans="2:5">
      <c r="B285" s="91"/>
      <c r="C285" s="57" t="s">
        <v>179</v>
      </c>
      <c r="D285" s="60">
        <v>331</v>
      </c>
      <c r="E285" s="59">
        <v>5.0000000000000001E-3</v>
      </c>
    </row>
    <row r="286" spans="2:5">
      <c r="B286" s="92"/>
      <c r="C286" s="71" t="s">
        <v>302</v>
      </c>
      <c r="D286" s="73">
        <v>7142</v>
      </c>
      <c r="E286" s="72">
        <v>0.112</v>
      </c>
    </row>
    <row r="287" spans="2:5">
      <c r="B287" s="90" t="s">
        <v>46</v>
      </c>
      <c r="C287" s="57" t="s">
        <v>147</v>
      </c>
      <c r="D287" s="60">
        <v>21</v>
      </c>
      <c r="E287" s="59">
        <v>0</v>
      </c>
    </row>
    <row r="288" spans="2:5">
      <c r="B288" s="91"/>
      <c r="C288" s="57" t="s">
        <v>148</v>
      </c>
      <c r="D288" s="60">
        <v>261</v>
      </c>
      <c r="E288" s="59">
        <v>4.0000000000000001E-3</v>
      </c>
    </row>
    <row r="289" spans="2:5">
      <c r="B289" s="91"/>
      <c r="C289" s="57" t="s">
        <v>149</v>
      </c>
      <c r="D289" s="60">
        <v>242</v>
      </c>
      <c r="E289" s="59">
        <v>4.0000000000000001E-3</v>
      </c>
    </row>
    <row r="290" spans="2:5">
      <c r="B290" s="91"/>
      <c r="C290" s="57" t="s">
        <v>150</v>
      </c>
      <c r="D290" s="60">
        <v>266</v>
      </c>
      <c r="E290" s="59">
        <v>4.0000000000000001E-3</v>
      </c>
    </row>
    <row r="291" spans="2:5">
      <c r="B291" s="91"/>
      <c r="C291" s="57" t="s">
        <v>180</v>
      </c>
      <c r="D291" s="60">
        <v>14</v>
      </c>
      <c r="E291" s="59">
        <v>0</v>
      </c>
    </row>
    <row r="292" spans="2:5">
      <c r="B292" s="91"/>
      <c r="C292" s="57" t="s">
        <v>151</v>
      </c>
      <c r="D292" s="58">
        <v>1150</v>
      </c>
      <c r="E292" s="59">
        <v>1.7999999999999999E-2</v>
      </c>
    </row>
    <row r="293" spans="2:5">
      <c r="B293" s="91"/>
      <c r="C293" s="57" t="s">
        <v>152</v>
      </c>
      <c r="D293" s="60">
        <v>574</v>
      </c>
      <c r="E293" s="59">
        <v>8.9999999999999993E-3</v>
      </c>
    </row>
    <row r="294" spans="2:5">
      <c r="B294" s="91"/>
      <c r="C294" s="57" t="s">
        <v>181</v>
      </c>
      <c r="D294" s="60">
        <v>72</v>
      </c>
      <c r="E294" s="59">
        <v>1E-3</v>
      </c>
    </row>
    <row r="295" spans="2:5">
      <c r="B295" s="91"/>
      <c r="C295" s="57" t="s">
        <v>182</v>
      </c>
      <c r="D295" s="60">
        <v>244</v>
      </c>
      <c r="E295" s="59">
        <v>4.0000000000000001E-3</v>
      </c>
    </row>
    <row r="296" spans="2:5">
      <c r="B296" s="91"/>
      <c r="C296" s="57" t="s">
        <v>153</v>
      </c>
      <c r="D296" s="60">
        <v>19</v>
      </c>
      <c r="E296" s="59">
        <v>0</v>
      </c>
    </row>
    <row r="297" spans="2:5">
      <c r="B297" s="91"/>
      <c r="C297" s="57" t="s">
        <v>291</v>
      </c>
      <c r="D297" s="60">
        <v>7</v>
      </c>
      <c r="E297" s="59">
        <v>0</v>
      </c>
    </row>
    <row r="298" spans="2:5">
      <c r="B298" s="91"/>
      <c r="C298" s="57" t="s">
        <v>183</v>
      </c>
      <c r="D298" s="60">
        <v>22</v>
      </c>
      <c r="E298" s="59">
        <v>0</v>
      </c>
    </row>
    <row r="299" spans="2:5" ht="28.5">
      <c r="B299" s="91"/>
      <c r="C299" s="57" t="s">
        <v>154</v>
      </c>
      <c r="D299" s="60">
        <v>969</v>
      </c>
      <c r="E299" s="59">
        <v>1.4999999999999999E-2</v>
      </c>
    </row>
    <row r="300" spans="2:5">
      <c r="B300" s="91"/>
      <c r="C300" s="57" t="s">
        <v>155</v>
      </c>
      <c r="D300" s="60">
        <v>151</v>
      </c>
      <c r="E300" s="59">
        <v>2E-3</v>
      </c>
    </row>
    <row r="301" spans="2:5">
      <c r="B301" s="91"/>
      <c r="C301" s="57" t="s">
        <v>156</v>
      </c>
      <c r="D301" s="60">
        <v>23</v>
      </c>
      <c r="E301" s="59">
        <v>0</v>
      </c>
    </row>
    <row r="302" spans="2:5">
      <c r="B302" s="91"/>
      <c r="C302" s="57" t="s">
        <v>157</v>
      </c>
      <c r="D302" s="60">
        <v>246</v>
      </c>
      <c r="E302" s="59">
        <v>4.0000000000000001E-3</v>
      </c>
    </row>
    <row r="303" spans="2:5">
      <c r="B303" s="91"/>
      <c r="C303" s="57" t="s">
        <v>158</v>
      </c>
      <c r="D303" s="60">
        <v>34</v>
      </c>
      <c r="E303" s="59">
        <v>1E-3</v>
      </c>
    </row>
    <row r="304" spans="2:5">
      <c r="B304" s="91"/>
      <c r="C304" s="57" t="s">
        <v>159</v>
      </c>
      <c r="D304" s="60">
        <v>195</v>
      </c>
      <c r="E304" s="59">
        <v>3.0000000000000001E-3</v>
      </c>
    </row>
    <row r="305" spans="2:5">
      <c r="B305" s="91"/>
      <c r="C305" s="57" t="s">
        <v>160</v>
      </c>
      <c r="D305" s="60">
        <v>878</v>
      </c>
      <c r="E305" s="59">
        <v>1.4E-2</v>
      </c>
    </row>
    <row r="306" spans="2:5">
      <c r="B306" s="91"/>
      <c r="C306" s="57" t="s">
        <v>161</v>
      </c>
      <c r="D306" s="60">
        <v>21</v>
      </c>
      <c r="E306" s="59">
        <v>0</v>
      </c>
    </row>
    <row r="307" spans="2:5">
      <c r="B307" s="91"/>
      <c r="C307" s="57" t="s">
        <v>184</v>
      </c>
      <c r="D307" s="60">
        <v>15</v>
      </c>
      <c r="E307" s="59">
        <v>0</v>
      </c>
    </row>
    <row r="308" spans="2:5">
      <c r="B308" s="91"/>
      <c r="C308" s="57" t="s">
        <v>162</v>
      </c>
      <c r="D308" s="60">
        <v>495</v>
      </c>
      <c r="E308" s="59">
        <v>8.0000000000000002E-3</v>
      </c>
    </row>
    <row r="309" spans="2:5">
      <c r="B309" s="91"/>
      <c r="C309" s="57" t="s">
        <v>185</v>
      </c>
      <c r="D309" s="60">
        <v>5</v>
      </c>
      <c r="E309" s="59">
        <v>0</v>
      </c>
    </row>
    <row r="310" spans="2:5">
      <c r="B310" s="91"/>
      <c r="C310" s="57" t="s">
        <v>186</v>
      </c>
      <c r="D310" s="60">
        <v>14</v>
      </c>
      <c r="E310" s="59">
        <v>0</v>
      </c>
    </row>
    <row r="311" spans="2:5">
      <c r="B311" s="91"/>
      <c r="C311" s="57" t="s">
        <v>163</v>
      </c>
      <c r="D311" s="60">
        <v>33</v>
      </c>
      <c r="E311" s="59">
        <v>1E-3</v>
      </c>
    </row>
    <row r="312" spans="2:5">
      <c r="B312" s="91"/>
      <c r="C312" s="57" t="s">
        <v>164</v>
      </c>
      <c r="D312" s="60">
        <v>17</v>
      </c>
      <c r="E312" s="59">
        <v>0</v>
      </c>
    </row>
    <row r="313" spans="2:5">
      <c r="B313" s="91"/>
      <c r="C313" s="57" t="s">
        <v>165</v>
      </c>
      <c r="D313" s="60">
        <v>272</v>
      </c>
      <c r="E313" s="59">
        <v>4.0000000000000001E-3</v>
      </c>
    </row>
    <row r="314" spans="2:5">
      <c r="B314" s="91"/>
      <c r="C314" s="57" t="s">
        <v>166</v>
      </c>
      <c r="D314" s="60">
        <v>243</v>
      </c>
      <c r="E314" s="59">
        <v>4.0000000000000001E-3</v>
      </c>
    </row>
    <row r="315" spans="2:5">
      <c r="B315" s="91"/>
      <c r="C315" s="57" t="s">
        <v>167</v>
      </c>
      <c r="D315" s="60">
        <v>348</v>
      </c>
      <c r="E315" s="59">
        <v>5.0000000000000001E-3</v>
      </c>
    </row>
    <row r="316" spans="2:5">
      <c r="B316" s="91"/>
      <c r="C316" s="57" t="s">
        <v>168</v>
      </c>
      <c r="D316" s="60">
        <v>979</v>
      </c>
      <c r="E316" s="59">
        <v>1.4999999999999999E-2</v>
      </c>
    </row>
    <row r="317" spans="2:5">
      <c r="B317" s="91"/>
      <c r="C317" s="57" t="s">
        <v>169</v>
      </c>
      <c r="D317" s="60">
        <v>85</v>
      </c>
      <c r="E317" s="59">
        <v>1E-3</v>
      </c>
    </row>
    <row r="318" spans="2:5">
      <c r="B318" s="91"/>
      <c r="C318" s="57" t="s">
        <v>170</v>
      </c>
      <c r="D318" s="60">
        <v>142</v>
      </c>
      <c r="E318" s="59">
        <v>2E-3</v>
      </c>
    </row>
    <row r="319" spans="2:5">
      <c r="B319" s="91"/>
      <c r="C319" s="57" t="s">
        <v>171</v>
      </c>
      <c r="D319" s="58">
        <v>1073</v>
      </c>
      <c r="E319" s="59">
        <v>1.7000000000000001E-2</v>
      </c>
    </row>
    <row r="320" spans="2:5">
      <c r="B320" s="91"/>
      <c r="C320" s="57" t="s">
        <v>172</v>
      </c>
      <c r="D320" s="58">
        <v>1203</v>
      </c>
      <c r="E320" s="59">
        <v>1.9E-2</v>
      </c>
    </row>
    <row r="321" spans="2:5">
      <c r="B321" s="91"/>
      <c r="C321" s="57" t="s">
        <v>192</v>
      </c>
      <c r="D321" s="60">
        <v>3</v>
      </c>
      <c r="E321" s="59">
        <v>0</v>
      </c>
    </row>
    <row r="322" spans="2:5">
      <c r="B322" s="91"/>
      <c r="C322" s="57" t="s">
        <v>187</v>
      </c>
      <c r="D322" s="60">
        <v>262</v>
      </c>
      <c r="E322" s="59">
        <v>4.0000000000000001E-3</v>
      </c>
    </row>
    <row r="323" spans="2:5">
      <c r="B323" s="91"/>
      <c r="C323" s="57" t="s">
        <v>188</v>
      </c>
      <c r="D323" s="60">
        <v>82</v>
      </c>
      <c r="E323" s="59">
        <v>1E-3</v>
      </c>
    </row>
    <row r="324" spans="2:5">
      <c r="B324" s="91"/>
      <c r="C324" s="57" t="s">
        <v>173</v>
      </c>
      <c r="D324" s="60">
        <v>32</v>
      </c>
      <c r="E324" s="59">
        <v>1E-3</v>
      </c>
    </row>
    <row r="325" spans="2:5">
      <c r="B325" s="91"/>
      <c r="C325" s="57" t="s">
        <v>174</v>
      </c>
      <c r="D325" s="60">
        <v>56</v>
      </c>
      <c r="E325" s="59">
        <v>1E-3</v>
      </c>
    </row>
    <row r="326" spans="2:5">
      <c r="B326" s="91"/>
      <c r="C326" s="57" t="s">
        <v>189</v>
      </c>
      <c r="D326" s="60">
        <v>315</v>
      </c>
      <c r="E326" s="59">
        <v>5.0000000000000001E-3</v>
      </c>
    </row>
    <row r="327" spans="2:5">
      <c r="B327" s="91"/>
      <c r="C327" s="57" t="s">
        <v>190</v>
      </c>
      <c r="D327" s="60">
        <v>11</v>
      </c>
      <c r="E327" s="59">
        <v>0</v>
      </c>
    </row>
    <row r="328" spans="2:5">
      <c r="B328" s="91"/>
      <c r="C328" s="57" t="s">
        <v>175</v>
      </c>
      <c r="D328" s="60">
        <v>33</v>
      </c>
      <c r="E328" s="59">
        <v>1E-3</v>
      </c>
    </row>
    <row r="329" spans="2:5">
      <c r="B329" s="91"/>
      <c r="C329" s="57" t="s">
        <v>176</v>
      </c>
      <c r="D329" s="60">
        <v>131</v>
      </c>
      <c r="E329" s="59">
        <v>2E-3</v>
      </c>
    </row>
    <row r="330" spans="2:5">
      <c r="B330" s="91"/>
      <c r="C330" s="57" t="s">
        <v>177</v>
      </c>
      <c r="D330" s="60">
        <v>65</v>
      </c>
      <c r="E330" s="59">
        <v>1E-3</v>
      </c>
    </row>
    <row r="331" spans="2:5">
      <c r="B331" s="91"/>
      <c r="C331" s="57" t="s">
        <v>191</v>
      </c>
      <c r="D331" s="60">
        <v>76</v>
      </c>
      <c r="E331" s="59">
        <v>1E-3</v>
      </c>
    </row>
    <row r="332" spans="2:5">
      <c r="B332" s="91"/>
      <c r="C332" s="57" t="s">
        <v>178</v>
      </c>
      <c r="D332" s="60">
        <v>34</v>
      </c>
      <c r="E332" s="59">
        <v>1E-3</v>
      </c>
    </row>
    <row r="333" spans="2:5">
      <c r="B333" s="91"/>
      <c r="C333" s="57" t="s">
        <v>179</v>
      </c>
      <c r="D333" s="60">
        <v>51</v>
      </c>
      <c r="E333" s="59">
        <v>1E-3</v>
      </c>
    </row>
    <row r="334" spans="2:5">
      <c r="B334" s="92"/>
      <c r="C334" s="71" t="s">
        <v>302</v>
      </c>
      <c r="D334" s="73">
        <v>11484</v>
      </c>
      <c r="E334" s="72">
        <v>0.18099999999999999</v>
      </c>
    </row>
    <row r="335" spans="2:5">
      <c r="B335" s="90" t="s">
        <v>91</v>
      </c>
      <c r="C335" s="57" t="s">
        <v>152</v>
      </c>
      <c r="D335" s="60">
        <v>1</v>
      </c>
      <c r="E335" s="59">
        <v>0</v>
      </c>
    </row>
    <row r="336" spans="2:5" ht="28.5">
      <c r="B336" s="91"/>
      <c r="C336" s="57" t="s">
        <v>154</v>
      </c>
      <c r="D336" s="60">
        <v>5</v>
      </c>
      <c r="E336" s="59">
        <v>0</v>
      </c>
    </row>
    <row r="337" spans="2:5">
      <c r="B337" s="91"/>
      <c r="C337" s="57" t="s">
        <v>157</v>
      </c>
      <c r="D337" s="60">
        <v>1</v>
      </c>
      <c r="E337" s="59">
        <v>0</v>
      </c>
    </row>
    <row r="338" spans="2:5">
      <c r="B338" s="91"/>
      <c r="C338" s="57" t="s">
        <v>160</v>
      </c>
      <c r="D338" s="60">
        <v>1</v>
      </c>
      <c r="E338" s="59">
        <v>0</v>
      </c>
    </row>
    <row r="339" spans="2:5">
      <c r="B339" s="91"/>
      <c r="C339" s="57" t="s">
        <v>162</v>
      </c>
      <c r="D339" s="60">
        <v>1</v>
      </c>
      <c r="E339" s="59">
        <v>0</v>
      </c>
    </row>
    <row r="340" spans="2:5">
      <c r="B340" s="91"/>
      <c r="C340" s="57" t="s">
        <v>163</v>
      </c>
      <c r="D340" s="60">
        <v>1</v>
      </c>
      <c r="E340" s="59">
        <v>0</v>
      </c>
    </row>
    <row r="341" spans="2:5">
      <c r="B341" s="91"/>
      <c r="C341" s="57" t="s">
        <v>165</v>
      </c>
      <c r="D341" s="60">
        <v>6</v>
      </c>
      <c r="E341" s="59">
        <v>0</v>
      </c>
    </row>
    <row r="342" spans="2:5">
      <c r="B342" s="91"/>
      <c r="C342" s="57" t="s">
        <v>167</v>
      </c>
      <c r="D342" s="60">
        <v>7</v>
      </c>
      <c r="E342" s="59">
        <v>0</v>
      </c>
    </row>
    <row r="343" spans="2:5">
      <c r="B343" s="91"/>
      <c r="C343" s="57" t="s">
        <v>168</v>
      </c>
      <c r="D343" s="60">
        <v>5</v>
      </c>
      <c r="E343" s="59">
        <v>0</v>
      </c>
    </row>
    <row r="344" spans="2:5">
      <c r="B344" s="91"/>
      <c r="C344" s="57" t="s">
        <v>169</v>
      </c>
      <c r="D344" s="60">
        <v>3</v>
      </c>
      <c r="E344" s="59">
        <v>0</v>
      </c>
    </row>
    <row r="345" spans="2:5">
      <c r="B345" s="91"/>
      <c r="C345" s="57" t="s">
        <v>170</v>
      </c>
      <c r="D345" s="60">
        <v>1</v>
      </c>
      <c r="E345" s="59">
        <v>0</v>
      </c>
    </row>
    <row r="346" spans="2:5">
      <c r="B346" s="91"/>
      <c r="C346" s="57" t="s">
        <v>171</v>
      </c>
      <c r="D346" s="60">
        <v>4</v>
      </c>
      <c r="E346" s="59">
        <v>0</v>
      </c>
    </row>
    <row r="347" spans="2:5">
      <c r="B347" s="91"/>
      <c r="C347" s="57" t="s">
        <v>172</v>
      </c>
      <c r="D347" s="60">
        <v>8</v>
      </c>
      <c r="E347" s="59">
        <v>0</v>
      </c>
    </row>
    <row r="348" spans="2:5">
      <c r="B348" s="92"/>
      <c r="C348" s="71" t="s">
        <v>302</v>
      </c>
      <c r="D348" s="73">
        <v>44</v>
      </c>
      <c r="E348" s="72">
        <v>1E-3</v>
      </c>
    </row>
    <row r="349" spans="2:5">
      <c r="B349" s="90" t="s">
        <v>65</v>
      </c>
      <c r="C349" s="57" t="s">
        <v>147</v>
      </c>
      <c r="D349" s="60">
        <v>10</v>
      </c>
      <c r="E349" s="59">
        <v>0</v>
      </c>
    </row>
    <row r="350" spans="2:5">
      <c r="B350" s="91"/>
      <c r="C350" s="57" t="s">
        <v>148</v>
      </c>
      <c r="D350" s="60">
        <v>18</v>
      </c>
      <c r="E350" s="59">
        <v>0</v>
      </c>
    </row>
    <row r="351" spans="2:5">
      <c r="B351" s="91"/>
      <c r="C351" s="57" t="s">
        <v>149</v>
      </c>
      <c r="D351" s="60">
        <v>5</v>
      </c>
      <c r="E351" s="59">
        <v>0</v>
      </c>
    </row>
    <row r="352" spans="2:5">
      <c r="B352" s="91"/>
      <c r="C352" s="57" t="s">
        <v>150</v>
      </c>
      <c r="D352" s="60">
        <v>5</v>
      </c>
      <c r="E352" s="59">
        <v>0</v>
      </c>
    </row>
    <row r="353" spans="2:5">
      <c r="B353" s="91"/>
      <c r="C353" s="57" t="s">
        <v>180</v>
      </c>
      <c r="D353" s="60">
        <v>2</v>
      </c>
      <c r="E353" s="59">
        <v>0</v>
      </c>
    </row>
    <row r="354" spans="2:5">
      <c r="B354" s="91"/>
      <c r="C354" s="57" t="s">
        <v>151</v>
      </c>
      <c r="D354" s="60">
        <v>20</v>
      </c>
      <c r="E354" s="59">
        <v>0</v>
      </c>
    </row>
    <row r="355" spans="2:5">
      <c r="B355" s="91"/>
      <c r="C355" s="57" t="s">
        <v>152</v>
      </c>
      <c r="D355" s="60">
        <v>4</v>
      </c>
      <c r="E355" s="59">
        <v>0</v>
      </c>
    </row>
    <row r="356" spans="2:5">
      <c r="B356" s="91"/>
      <c r="C356" s="57" t="s">
        <v>181</v>
      </c>
      <c r="D356" s="60">
        <v>5</v>
      </c>
      <c r="E356" s="59">
        <v>0</v>
      </c>
    </row>
    <row r="357" spans="2:5">
      <c r="B357" s="91"/>
      <c r="C357" s="57" t="s">
        <v>182</v>
      </c>
      <c r="D357" s="60">
        <v>2</v>
      </c>
      <c r="E357" s="59">
        <v>0</v>
      </c>
    </row>
    <row r="358" spans="2:5">
      <c r="B358" s="91"/>
      <c r="C358" s="57" t="s">
        <v>153</v>
      </c>
      <c r="D358" s="60">
        <v>23</v>
      </c>
      <c r="E358" s="59">
        <v>0</v>
      </c>
    </row>
    <row r="359" spans="2:5">
      <c r="B359" s="91"/>
      <c r="C359" s="57" t="s">
        <v>291</v>
      </c>
      <c r="D359" s="60">
        <v>30</v>
      </c>
      <c r="E359" s="59">
        <v>0</v>
      </c>
    </row>
    <row r="360" spans="2:5">
      <c r="B360" s="91"/>
      <c r="C360" s="57" t="s">
        <v>183</v>
      </c>
      <c r="D360" s="60">
        <v>2</v>
      </c>
      <c r="E360" s="59">
        <v>0</v>
      </c>
    </row>
    <row r="361" spans="2:5" ht="28.5">
      <c r="B361" s="91"/>
      <c r="C361" s="57" t="s">
        <v>154</v>
      </c>
      <c r="D361" s="60">
        <v>30</v>
      </c>
      <c r="E361" s="59">
        <v>0</v>
      </c>
    </row>
    <row r="362" spans="2:5">
      <c r="B362" s="91"/>
      <c r="C362" s="57" t="s">
        <v>155</v>
      </c>
      <c r="D362" s="60">
        <v>29</v>
      </c>
      <c r="E362" s="59">
        <v>0</v>
      </c>
    </row>
    <row r="363" spans="2:5">
      <c r="B363" s="91"/>
      <c r="C363" s="57" t="s">
        <v>157</v>
      </c>
      <c r="D363" s="60">
        <v>102</v>
      </c>
      <c r="E363" s="59">
        <v>2E-3</v>
      </c>
    </row>
    <row r="364" spans="2:5">
      <c r="B364" s="91"/>
      <c r="C364" s="57" t="s">
        <v>158</v>
      </c>
      <c r="D364" s="60">
        <v>5</v>
      </c>
      <c r="E364" s="59">
        <v>0</v>
      </c>
    </row>
    <row r="365" spans="2:5">
      <c r="B365" s="91"/>
      <c r="C365" s="57" t="s">
        <v>159</v>
      </c>
      <c r="D365" s="60">
        <v>37</v>
      </c>
      <c r="E365" s="59">
        <v>1E-3</v>
      </c>
    </row>
    <row r="366" spans="2:5">
      <c r="B366" s="91"/>
      <c r="C366" s="57" t="s">
        <v>160</v>
      </c>
      <c r="D366" s="60">
        <v>117</v>
      </c>
      <c r="E366" s="59">
        <v>2E-3</v>
      </c>
    </row>
    <row r="367" spans="2:5">
      <c r="B367" s="91"/>
      <c r="C367" s="57" t="s">
        <v>161</v>
      </c>
      <c r="D367" s="60">
        <v>23</v>
      </c>
      <c r="E367" s="59">
        <v>0</v>
      </c>
    </row>
    <row r="368" spans="2:5">
      <c r="B368" s="91"/>
      <c r="C368" s="57" t="s">
        <v>184</v>
      </c>
      <c r="D368" s="60">
        <v>3</v>
      </c>
      <c r="E368" s="59">
        <v>0</v>
      </c>
    </row>
    <row r="369" spans="2:5">
      <c r="B369" s="91"/>
      <c r="C369" s="57" t="s">
        <v>162</v>
      </c>
      <c r="D369" s="60">
        <v>3</v>
      </c>
      <c r="E369" s="59">
        <v>0</v>
      </c>
    </row>
    <row r="370" spans="2:5">
      <c r="B370" s="91"/>
      <c r="C370" s="57" t="s">
        <v>186</v>
      </c>
      <c r="D370" s="60">
        <v>6</v>
      </c>
      <c r="E370" s="59">
        <v>0</v>
      </c>
    </row>
    <row r="371" spans="2:5">
      <c r="B371" s="91"/>
      <c r="C371" s="57" t="s">
        <v>163</v>
      </c>
      <c r="D371" s="60">
        <v>17</v>
      </c>
      <c r="E371" s="59">
        <v>0</v>
      </c>
    </row>
    <row r="372" spans="2:5">
      <c r="B372" s="91"/>
      <c r="C372" s="57" t="s">
        <v>164</v>
      </c>
      <c r="D372" s="60">
        <v>64</v>
      </c>
      <c r="E372" s="59">
        <v>1E-3</v>
      </c>
    </row>
    <row r="373" spans="2:5">
      <c r="B373" s="91"/>
      <c r="C373" s="57" t="s">
        <v>165</v>
      </c>
      <c r="D373" s="60">
        <v>75</v>
      </c>
      <c r="E373" s="59">
        <v>1E-3</v>
      </c>
    </row>
    <row r="374" spans="2:5">
      <c r="B374" s="91"/>
      <c r="C374" s="57" t="s">
        <v>166</v>
      </c>
      <c r="D374" s="60">
        <v>8</v>
      </c>
      <c r="E374" s="59">
        <v>0</v>
      </c>
    </row>
    <row r="375" spans="2:5">
      <c r="B375" s="91"/>
      <c r="C375" s="57" t="s">
        <v>167</v>
      </c>
      <c r="D375" s="60">
        <v>2</v>
      </c>
      <c r="E375" s="59">
        <v>0</v>
      </c>
    </row>
    <row r="376" spans="2:5">
      <c r="B376" s="91"/>
      <c r="C376" s="57" t="s">
        <v>168</v>
      </c>
      <c r="D376" s="60">
        <v>8</v>
      </c>
      <c r="E376" s="59">
        <v>0</v>
      </c>
    </row>
    <row r="377" spans="2:5">
      <c r="B377" s="91"/>
      <c r="C377" s="57" t="s">
        <v>169</v>
      </c>
      <c r="D377" s="60">
        <v>23</v>
      </c>
      <c r="E377" s="59">
        <v>0</v>
      </c>
    </row>
    <row r="378" spans="2:5">
      <c r="B378" s="91"/>
      <c r="C378" s="57" t="s">
        <v>170</v>
      </c>
      <c r="D378" s="60">
        <v>10</v>
      </c>
      <c r="E378" s="59">
        <v>0</v>
      </c>
    </row>
    <row r="379" spans="2:5">
      <c r="B379" s="91"/>
      <c r="C379" s="57" t="s">
        <v>171</v>
      </c>
      <c r="D379" s="60">
        <v>30</v>
      </c>
      <c r="E379" s="59">
        <v>0</v>
      </c>
    </row>
    <row r="380" spans="2:5">
      <c r="B380" s="91"/>
      <c r="C380" s="57" t="s">
        <v>172</v>
      </c>
      <c r="D380" s="60">
        <v>24</v>
      </c>
      <c r="E380" s="59">
        <v>0</v>
      </c>
    </row>
    <row r="381" spans="2:5">
      <c r="B381" s="91"/>
      <c r="C381" s="57" t="s">
        <v>187</v>
      </c>
      <c r="D381" s="60">
        <v>27</v>
      </c>
      <c r="E381" s="59">
        <v>0</v>
      </c>
    </row>
    <row r="382" spans="2:5">
      <c r="B382" s="91"/>
      <c r="C382" s="57" t="s">
        <v>173</v>
      </c>
      <c r="D382" s="60">
        <v>15</v>
      </c>
      <c r="E382" s="59">
        <v>0</v>
      </c>
    </row>
    <row r="383" spans="2:5">
      <c r="B383" s="91"/>
      <c r="C383" s="57" t="s">
        <v>174</v>
      </c>
      <c r="D383" s="60">
        <v>3</v>
      </c>
      <c r="E383" s="59">
        <v>0</v>
      </c>
    </row>
    <row r="384" spans="2:5">
      <c r="B384" s="91"/>
      <c r="C384" s="57" t="s">
        <v>189</v>
      </c>
      <c r="D384" s="60">
        <v>2</v>
      </c>
      <c r="E384" s="59">
        <v>0</v>
      </c>
    </row>
    <row r="385" spans="2:5">
      <c r="B385" s="91"/>
      <c r="C385" s="57" t="s">
        <v>175</v>
      </c>
      <c r="D385" s="60">
        <v>2</v>
      </c>
      <c r="E385" s="59">
        <v>0</v>
      </c>
    </row>
    <row r="386" spans="2:5">
      <c r="B386" s="91"/>
      <c r="C386" s="57" t="s">
        <v>176</v>
      </c>
      <c r="D386" s="60">
        <v>121</v>
      </c>
      <c r="E386" s="59">
        <v>2E-3</v>
      </c>
    </row>
    <row r="387" spans="2:5">
      <c r="B387" s="91"/>
      <c r="C387" s="57" t="s">
        <v>177</v>
      </c>
      <c r="D387" s="60">
        <v>1</v>
      </c>
      <c r="E387" s="59">
        <v>0</v>
      </c>
    </row>
    <row r="388" spans="2:5">
      <c r="B388" s="91"/>
      <c r="C388" s="57" t="s">
        <v>191</v>
      </c>
      <c r="D388" s="60">
        <v>12</v>
      </c>
      <c r="E388" s="59">
        <v>0</v>
      </c>
    </row>
    <row r="389" spans="2:5">
      <c r="B389" s="91"/>
      <c r="C389" s="57" t="s">
        <v>178</v>
      </c>
      <c r="D389" s="60">
        <v>5</v>
      </c>
      <c r="E389" s="59">
        <v>0</v>
      </c>
    </row>
    <row r="390" spans="2:5">
      <c r="B390" s="91"/>
      <c r="C390" s="57" t="s">
        <v>179</v>
      </c>
      <c r="D390" s="60">
        <v>9</v>
      </c>
      <c r="E390" s="59">
        <v>0</v>
      </c>
    </row>
    <row r="391" spans="2:5">
      <c r="B391" s="92"/>
      <c r="C391" s="71" t="s">
        <v>302</v>
      </c>
      <c r="D391" s="73">
        <v>939</v>
      </c>
      <c r="E391" s="72">
        <v>1.4999999999999999E-2</v>
      </c>
    </row>
    <row r="392" spans="2:5">
      <c r="B392" s="90" t="s">
        <v>61</v>
      </c>
      <c r="C392" s="57" t="s">
        <v>147</v>
      </c>
      <c r="D392" s="60">
        <v>14</v>
      </c>
      <c r="E392" s="59">
        <v>0</v>
      </c>
    </row>
    <row r="393" spans="2:5">
      <c r="B393" s="91"/>
      <c r="C393" s="57" t="s">
        <v>148</v>
      </c>
      <c r="D393" s="60">
        <v>36</v>
      </c>
      <c r="E393" s="59">
        <v>1E-3</v>
      </c>
    </row>
    <row r="394" spans="2:5">
      <c r="B394" s="91"/>
      <c r="C394" s="57" t="s">
        <v>149</v>
      </c>
      <c r="D394" s="60">
        <v>24</v>
      </c>
      <c r="E394" s="59">
        <v>0</v>
      </c>
    </row>
    <row r="395" spans="2:5">
      <c r="B395" s="91"/>
      <c r="C395" s="57" t="s">
        <v>150</v>
      </c>
      <c r="D395" s="60">
        <v>5</v>
      </c>
      <c r="E395" s="59">
        <v>0</v>
      </c>
    </row>
    <row r="396" spans="2:5">
      <c r="B396" s="91"/>
      <c r="C396" s="57" t="s">
        <v>180</v>
      </c>
      <c r="D396" s="60">
        <v>1</v>
      </c>
      <c r="E396" s="59">
        <v>0</v>
      </c>
    </row>
    <row r="397" spans="2:5">
      <c r="B397" s="91"/>
      <c r="C397" s="57" t="s">
        <v>151</v>
      </c>
      <c r="D397" s="60">
        <v>101</v>
      </c>
      <c r="E397" s="59">
        <v>2E-3</v>
      </c>
    </row>
    <row r="398" spans="2:5">
      <c r="B398" s="91"/>
      <c r="C398" s="57" t="s">
        <v>152</v>
      </c>
      <c r="D398" s="60">
        <v>9</v>
      </c>
      <c r="E398" s="59">
        <v>0</v>
      </c>
    </row>
    <row r="399" spans="2:5">
      <c r="B399" s="91"/>
      <c r="C399" s="57" t="s">
        <v>181</v>
      </c>
      <c r="D399" s="60">
        <v>1</v>
      </c>
      <c r="E399" s="59">
        <v>0</v>
      </c>
    </row>
    <row r="400" spans="2:5">
      <c r="B400" s="91"/>
      <c r="C400" s="57" t="s">
        <v>182</v>
      </c>
      <c r="D400" s="60">
        <v>25</v>
      </c>
      <c r="E400" s="59">
        <v>0</v>
      </c>
    </row>
    <row r="401" spans="2:5">
      <c r="B401" s="91"/>
      <c r="C401" s="57" t="s">
        <v>153</v>
      </c>
      <c r="D401" s="60">
        <v>13</v>
      </c>
      <c r="E401" s="59">
        <v>0</v>
      </c>
    </row>
    <row r="402" spans="2:5">
      <c r="B402" s="91"/>
      <c r="C402" s="57" t="s">
        <v>291</v>
      </c>
      <c r="D402" s="60">
        <v>29</v>
      </c>
      <c r="E402" s="59">
        <v>0</v>
      </c>
    </row>
    <row r="403" spans="2:5">
      <c r="B403" s="91"/>
      <c r="C403" s="57" t="s">
        <v>183</v>
      </c>
      <c r="D403" s="60">
        <v>16</v>
      </c>
      <c r="E403" s="59">
        <v>0</v>
      </c>
    </row>
    <row r="404" spans="2:5" ht="28.5">
      <c r="B404" s="91"/>
      <c r="C404" s="57" t="s">
        <v>154</v>
      </c>
      <c r="D404" s="60">
        <v>16</v>
      </c>
      <c r="E404" s="59">
        <v>0</v>
      </c>
    </row>
    <row r="405" spans="2:5">
      <c r="B405" s="91"/>
      <c r="C405" s="57" t="s">
        <v>155</v>
      </c>
      <c r="D405" s="60">
        <v>28</v>
      </c>
      <c r="E405" s="59">
        <v>0</v>
      </c>
    </row>
    <row r="406" spans="2:5">
      <c r="B406" s="91"/>
      <c r="C406" s="57" t="s">
        <v>157</v>
      </c>
      <c r="D406" s="60">
        <v>57</v>
      </c>
      <c r="E406" s="59">
        <v>1E-3</v>
      </c>
    </row>
    <row r="407" spans="2:5">
      <c r="B407" s="91"/>
      <c r="C407" s="57" t="s">
        <v>158</v>
      </c>
      <c r="D407" s="60">
        <v>3</v>
      </c>
      <c r="E407" s="59">
        <v>0</v>
      </c>
    </row>
    <row r="408" spans="2:5">
      <c r="B408" s="91"/>
      <c r="C408" s="57" t="s">
        <v>159</v>
      </c>
      <c r="D408" s="60">
        <v>41</v>
      </c>
      <c r="E408" s="59">
        <v>1E-3</v>
      </c>
    </row>
    <row r="409" spans="2:5">
      <c r="B409" s="91"/>
      <c r="C409" s="57" t="s">
        <v>160</v>
      </c>
      <c r="D409" s="60">
        <v>274</v>
      </c>
      <c r="E409" s="59">
        <v>4.0000000000000001E-3</v>
      </c>
    </row>
    <row r="410" spans="2:5">
      <c r="B410" s="91"/>
      <c r="C410" s="57" t="s">
        <v>161</v>
      </c>
      <c r="D410" s="60">
        <v>67</v>
      </c>
      <c r="E410" s="59">
        <v>1E-3</v>
      </c>
    </row>
    <row r="411" spans="2:5">
      <c r="B411" s="91"/>
      <c r="C411" s="57" t="s">
        <v>184</v>
      </c>
      <c r="D411" s="60">
        <v>12</v>
      </c>
      <c r="E411" s="59">
        <v>0</v>
      </c>
    </row>
    <row r="412" spans="2:5">
      <c r="B412" s="91"/>
      <c r="C412" s="57" t="s">
        <v>162</v>
      </c>
      <c r="D412" s="60">
        <v>13</v>
      </c>
      <c r="E412" s="59">
        <v>0</v>
      </c>
    </row>
    <row r="413" spans="2:5">
      <c r="B413" s="91"/>
      <c r="C413" s="57" t="s">
        <v>185</v>
      </c>
      <c r="D413" s="60">
        <v>1</v>
      </c>
      <c r="E413" s="59">
        <v>0</v>
      </c>
    </row>
    <row r="414" spans="2:5">
      <c r="B414" s="91"/>
      <c r="C414" s="57" t="s">
        <v>186</v>
      </c>
      <c r="D414" s="60">
        <v>1</v>
      </c>
      <c r="E414" s="59">
        <v>0</v>
      </c>
    </row>
    <row r="415" spans="2:5">
      <c r="B415" s="91"/>
      <c r="C415" s="57" t="s">
        <v>163</v>
      </c>
      <c r="D415" s="60">
        <v>36</v>
      </c>
      <c r="E415" s="59">
        <v>1E-3</v>
      </c>
    </row>
    <row r="416" spans="2:5">
      <c r="B416" s="91"/>
      <c r="C416" s="57" t="s">
        <v>164</v>
      </c>
      <c r="D416" s="60">
        <v>8</v>
      </c>
      <c r="E416" s="59">
        <v>0</v>
      </c>
    </row>
    <row r="417" spans="2:5">
      <c r="B417" s="91"/>
      <c r="C417" s="57" t="s">
        <v>165</v>
      </c>
      <c r="D417" s="60">
        <v>14</v>
      </c>
      <c r="E417" s="59">
        <v>0</v>
      </c>
    </row>
    <row r="418" spans="2:5">
      <c r="B418" s="91"/>
      <c r="C418" s="57" t="s">
        <v>166</v>
      </c>
      <c r="D418" s="60">
        <v>177</v>
      </c>
      <c r="E418" s="59">
        <v>3.0000000000000001E-3</v>
      </c>
    </row>
    <row r="419" spans="2:5">
      <c r="B419" s="91"/>
      <c r="C419" s="57" t="s">
        <v>167</v>
      </c>
      <c r="D419" s="60">
        <v>2</v>
      </c>
      <c r="E419" s="59">
        <v>0</v>
      </c>
    </row>
    <row r="420" spans="2:5">
      <c r="B420" s="91"/>
      <c r="C420" s="57" t="s">
        <v>168</v>
      </c>
      <c r="D420" s="60">
        <v>37</v>
      </c>
      <c r="E420" s="59">
        <v>1E-3</v>
      </c>
    </row>
    <row r="421" spans="2:5">
      <c r="B421" s="91"/>
      <c r="C421" s="57" t="s">
        <v>169</v>
      </c>
      <c r="D421" s="60">
        <v>51</v>
      </c>
      <c r="E421" s="59">
        <v>1E-3</v>
      </c>
    </row>
    <row r="422" spans="2:5">
      <c r="B422" s="91"/>
      <c r="C422" s="57" t="s">
        <v>170</v>
      </c>
      <c r="D422" s="60">
        <v>90</v>
      </c>
      <c r="E422" s="59">
        <v>1E-3</v>
      </c>
    </row>
    <row r="423" spans="2:5">
      <c r="B423" s="91"/>
      <c r="C423" s="57" t="s">
        <v>171</v>
      </c>
      <c r="D423" s="60">
        <v>59</v>
      </c>
      <c r="E423" s="59">
        <v>1E-3</v>
      </c>
    </row>
    <row r="424" spans="2:5">
      <c r="B424" s="91"/>
      <c r="C424" s="57" t="s">
        <v>172</v>
      </c>
      <c r="D424" s="60">
        <v>28</v>
      </c>
      <c r="E424" s="59">
        <v>0</v>
      </c>
    </row>
    <row r="425" spans="2:5">
      <c r="B425" s="91"/>
      <c r="C425" s="57" t="s">
        <v>187</v>
      </c>
      <c r="D425" s="60">
        <v>19</v>
      </c>
      <c r="E425" s="59">
        <v>0</v>
      </c>
    </row>
    <row r="426" spans="2:5">
      <c r="B426" s="91"/>
      <c r="C426" s="57" t="s">
        <v>188</v>
      </c>
      <c r="D426" s="60">
        <v>22</v>
      </c>
      <c r="E426" s="59">
        <v>0</v>
      </c>
    </row>
    <row r="427" spans="2:5">
      <c r="B427" s="91"/>
      <c r="C427" s="57" t="s">
        <v>173</v>
      </c>
      <c r="D427" s="60">
        <v>57</v>
      </c>
      <c r="E427" s="59">
        <v>1E-3</v>
      </c>
    </row>
    <row r="428" spans="2:5">
      <c r="B428" s="91"/>
      <c r="C428" s="57" t="s">
        <v>174</v>
      </c>
      <c r="D428" s="60">
        <v>1</v>
      </c>
      <c r="E428" s="59">
        <v>0</v>
      </c>
    </row>
    <row r="429" spans="2:5">
      <c r="B429" s="91"/>
      <c r="C429" s="57" t="s">
        <v>189</v>
      </c>
      <c r="D429" s="60">
        <v>22</v>
      </c>
      <c r="E429" s="59">
        <v>0</v>
      </c>
    </row>
    <row r="430" spans="2:5">
      <c r="B430" s="91"/>
      <c r="C430" s="57" t="s">
        <v>190</v>
      </c>
      <c r="D430" s="60">
        <v>26</v>
      </c>
      <c r="E430" s="59">
        <v>0</v>
      </c>
    </row>
    <row r="431" spans="2:5">
      <c r="B431" s="91"/>
      <c r="C431" s="57" t="s">
        <v>175</v>
      </c>
      <c r="D431" s="60">
        <v>13</v>
      </c>
      <c r="E431" s="59">
        <v>0</v>
      </c>
    </row>
    <row r="432" spans="2:5">
      <c r="B432" s="91"/>
      <c r="C432" s="57" t="s">
        <v>176</v>
      </c>
      <c r="D432" s="60">
        <v>13</v>
      </c>
      <c r="E432" s="59">
        <v>0</v>
      </c>
    </row>
    <row r="433" spans="2:5">
      <c r="B433" s="91"/>
      <c r="C433" s="57" t="s">
        <v>177</v>
      </c>
      <c r="D433" s="60">
        <v>5</v>
      </c>
      <c r="E433" s="59">
        <v>0</v>
      </c>
    </row>
    <row r="434" spans="2:5">
      <c r="B434" s="91"/>
      <c r="C434" s="57" t="s">
        <v>191</v>
      </c>
      <c r="D434" s="60">
        <v>10</v>
      </c>
      <c r="E434" s="59">
        <v>0</v>
      </c>
    </row>
    <row r="435" spans="2:5">
      <c r="B435" s="91"/>
      <c r="C435" s="57" t="s">
        <v>178</v>
      </c>
      <c r="D435" s="60">
        <v>3</v>
      </c>
      <c r="E435" s="59">
        <v>0</v>
      </c>
    </row>
    <row r="436" spans="2:5">
      <c r="B436" s="91"/>
      <c r="C436" s="57" t="s">
        <v>179</v>
      </c>
      <c r="D436" s="60">
        <v>59</v>
      </c>
      <c r="E436" s="59">
        <v>1E-3</v>
      </c>
    </row>
    <row r="437" spans="2:5">
      <c r="B437" s="92"/>
      <c r="C437" s="71" t="s">
        <v>302</v>
      </c>
      <c r="D437" s="73">
        <v>1539</v>
      </c>
      <c r="E437" s="72">
        <v>2.4E-2</v>
      </c>
    </row>
    <row r="438" spans="2:5">
      <c r="B438" s="90" t="s">
        <v>283</v>
      </c>
      <c r="C438" s="57" t="s">
        <v>148</v>
      </c>
      <c r="D438" s="60">
        <v>1</v>
      </c>
      <c r="E438" s="59">
        <v>0</v>
      </c>
    </row>
    <row r="439" spans="2:5">
      <c r="B439" s="92"/>
      <c r="C439" s="71" t="s">
        <v>302</v>
      </c>
      <c r="D439" s="73">
        <v>1</v>
      </c>
      <c r="E439" s="72">
        <v>0</v>
      </c>
    </row>
    <row r="440" spans="2:5">
      <c r="B440" s="90" t="s">
        <v>95</v>
      </c>
      <c r="C440" s="57" t="s">
        <v>151</v>
      </c>
      <c r="D440" s="60">
        <v>3</v>
      </c>
      <c r="E440" s="59">
        <v>0</v>
      </c>
    </row>
    <row r="441" spans="2:5">
      <c r="B441" s="91"/>
      <c r="C441" s="57" t="s">
        <v>153</v>
      </c>
      <c r="D441" s="60">
        <v>1</v>
      </c>
      <c r="E441" s="59">
        <v>0</v>
      </c>
    </row>
    <row r="442" spans="2:5">
      <c r="B442" s="91"/>
      <c r="C442" s="57" t="s">
        <v>291</v>
      </c>
      <c r="D442" s="60">
        <v>1</v>
      </c>
      <c r="E442" s="59">
        <v>0</v>
      </c>
    </row>
    <row r="443" spans="2:5" ht="28.5">
      <c r="B443" s="91"/>
      <c r="C443" s="57" t="s">
        <v>154</v>
      </c>
      <c r="D443" s="60">
        <v>4</v>
      </c>
      <c r="E443" s="59">
        <v>0</v>
      </c>
    </row>
    <row r="444" spans="2:5">
      <c r="B444" s="91"/>
      <c r="C444" s="57" t="s">
        <v>160</v>
      </c>
      <c r="D444" s="60">
        <v>1</v>
      </c>
      <c r="E444" s="59">
        <v>0</v>
      </c>
    </row>
    <row r="445" spans="2:5">
      <c r="B445" s="91"/>
      <c r="C445" s="57" t="s">
        <v>161</v>
      </c>
      <c r="D445" s="60">
        <v>1</v>
      </c>
      <c r="E445" s="59">
        <v>0</v>
      </c>
    </row>
    <row r="446" spans="2:5">
      <c r="B446" s="91"/>
      <c r="C446" s="57" t="s">
        <v>166</v>
      </c>
      <c r="D446" s="60">
        <v>2</v>
      </c>
      <c r="E446" s="59">
        <v>0</v>
      </c>
    </row>
    <row r="447" spans="2:5">
      <c r="B447" s="91"/>
      <c r="C447" s="57" t="s">
        <v>172</v>
      </c>
      <c r="D447" s="60">
        <v>3</v>
      </c>
      <c r="E447" s="59">
        <v>0</v>
      </c>
    </row>
    <row r="448" spans="2:5">
      <c r="B448" s="92"/>
      <c r="C448" s="71" t="s">
        <v>302</v>
      </c>
      <c r="D448" s="73">
        <v>16</v>
      </c>
      <c r="E448" s="72">
        <v>0</v>
      </c>
    </row>
    <row r="449" spans="2:5">
      <c r="B449" s="90" t="s">
        <v>89</v>
      </c>
      <c r="C449" s="57" t="s">
        <v>147</v>
      </c>
      <c r="D449" s="60">
        <v>2</v>
      </c>
      <c r="E449" s="59">
        <v>0</v>
      </c>
    </row>
    <row r="450" spans="2:5">
      <c r="B450" s="91"/>
      <c r="C450" s="57" t="s">
        <v>148</v>
      </c>
      <c r="D450" s="60">
        <v>1</v>
      </c>
      <c r="E450" s="59">
        <v>0</v>
      </c>
    </row>
    <row r="451" spans="2:5">
      <c r="B451" s="91"/>
      <c r="C451" s="57" t="s">
        <v>149</v>
      </c>
      <c r="D451" s="60">
        <v>1</v>
      </c>
      <c r="E451" s="59">
        <v>0</v>
      </c>
    </row>
    <row r="452" spans="2:5">
      <c r="B452" s="91"/>
      <c r="C452" s="57" t="s">
        <v>151</v>
      </c>
      <c r="D452" s="60">
        <v>4</v>
      </c>
      <c r="E452" s="59">
        <v>0</v>
      </c>
    </row>
    <row r="453" spans="2:5">
      <c r="B453" s="91"/>
      <c r="C453" s="57" t="s">
        <v>152</v>
      </c>
      <c r="D453" s="60">
        <v>4</v>
      </c>
      <c r="E453" s="59">
        <v>0</v>
      </c>
    </row>
    <row r="454" spans="2:5">
      <c r="B454" s="91"/>
      <c r="C454" s="57" t="s">
        <v>182</v>
      </c>
      <c r="D454" s="60">
        <v>1</v>
      </c>
      <c r="E454" s="59">
        <v>0</v>
      </c>
    </row>
    <row r="455" spans="2:5" ht="28.5">
      <c r="B455" s="91"/>
      <c r="C455" s="57" t="s">
        <v>154</v>
      </c>
      <c r="D455" s="60">
        <v>2</v>
      </c>
      <c r="E455" s="59">
        <v>0</v>
      </c>
    </row>
    <row r="456" spans="2:5">
      <c r="B456" s="91"/>
      <c r="C456" s="57" t="s">
        <v>155</v>
      </c>
      <c r="D456" s="60">
        <v>4</v>
      </c>
      <c r="E456" s="59">
        <v>0</v>
      </c>
    </row>
    <row r="457" spans="2:5">
      <c r="B457" s="91"/>
      <c r="C457" s="57" t="s">
        <v>157</v>
      </c>
      <c r="D457" s="60">
        <v>6</v>
      </c>
      <c r="E457" s="59">
        <v>0</v>
      </c>
    </row>
    <row r="458" spans="2:5">
      <c r="B458" s="91"/>
      <c r="C458" s="57" t="s">
        <v>158</v>
      </c>
      <c r="D458" s="60">
        <v>2</v>
      </c>
      <c r="E458" s="59">
        <v>0</v>
      </c>
    </row>
    <row r="459" spans="2:5">
      <c r="B459" s="91"/>
      <c r="C459" s="57" t="s">
        <v>159</v>
      </c>
      <c r="D459" s="60">
        <v>1</v>
      </c>
      <c r="E459" s="59">
        <v>0</v>
      </c>
    </row>
    <row r="460" spans="2:5">
      <c r="B460" s="91"/>
      <c r="C460" s="57" t="s">
        <v>160</v>
      </c>
      <c r="D460" s="60">
        <v>14</v>
      </c>
      <c r="E460" s="59">
        <v>0</v>
      </c>
    </row>
    <row r="461" spans="2:5">
      <c r="B461" s="91"/>
      <c r="C461" s="57" t="s">
        <v>161</v>
      </c>
      <c r="D461" s="60">
        <v>1</v>
      </c>
      <c r="E461" s="59">
        <v>0</v>
      </c>
    </row>
    <row r="462" spans="2:5">
      <c r="B462" s="91"/>
      <c r="C462" s="57" t="s">
        <v>163</v>
      </c>
      <c r="D462" s="60">
        <v>2</v>
      </c>
      <c r="E462" s="59">
        <v>0</v>
      </c>
    </row>
    <row r="463" spans="2:5">
      <c r="B463" s="91"/>
      <c r="C463" s="57" t="s">
        <v>165</v>
      </c>
      <c r="D463" s="60">
        <v>1</v>
      </c>
      <c r="E463" s="59">
        <v>0</v>
      </c>
    </row>
    <row r="464" spans="2:5">
      <c r="B464" s="91"/>
      <c r="C464" s="57" t="s">
        <v>167</v>
      </c>
      <c r="D464" s="60">
        <v>1</v>
      </c>
      <c r="E464" s="59">
        <v>0</v>
      </c>
    </row>
    <row r="465" spans="2:5">
      <c r="B465" s="91"/>
      <c r="C465" s="57" t="s">
        <v>168</v>
      </c>
      <c r="D465" s="60">
        <v>9</v>
      </c>
      <c r="E465" s="59">
        <v>0</v>
      </c>
    </row>
    <row r="466" spans="2:5">
      <c r="B466" s="91"/>
      <c r="C466" s="57" t="s">
        <v>171</v>
      </c>
      <c r="D466" s="60">
        <v>1</v>
      </c>
      <c r="E466" s="59">
        <v>0</v>
      </c>
    </row>
    <row r="467" spans="2:5">
      <c r="B467" s="91"/>
      <c r="C467" s="57" t="s">
        <v>172</v>
      </c>
      <c r="D467" s="60">
        <v>6</v>
      </c>
      <c r="E467" s="59">
        <v>0</v>
      </c>
    </row>
    <row r="468" spans="2:5">
      <c r="B468" s="91"/>
      <c r="C468" s="57" t="s">
        <v>187</v>
      </c>
      <c r="D468" s="60">
        <v>1</v>
      </c>
      <c r="E468" s="59">
        <v>0</v>
      </c>
    </row>
    <row r="469" spans="2:5">
      <c r="B469" s="91"/>
      <c r="C469" s="57" t="s">
        <v>188</v>
      </c>
      <c r="D469" s="60">
        <v>1</v>
      </c>
      <c r="E469" s="59">
        <v>0</v>
      </c>
    </row>
    <row r="470" spans="2:5">
      <c r="B470" s="91"/>
      <c r="C470" s="57" t="s">
        <v>173</v>
      </c>
      <c r="D470" s="60">
        <v>4</v>
      </c>
      <c r="E470" s="59">
        <v>0</v>
      </c>
    </row>
    <row r="471" spans="2:5">
      <c r="B471" s="91"/>
      <c r="C471" s="57" t="s">
        <v>190</v>
      </c>
      <c r="D471" s="60">
        <v>1</v>
      </c>
      <c r="E471" s="59">
        <v>0</v>
      </c>
    </row>
    <row r="472" spans="2:5">
      <c r="B472" s="91"/>
      <c r="C472" s="57" t="s">
        <v>176</v>
      </c>
      <c r="D472" s="60">
        <v>1</v>
      </c>
      <c r="E472" s="59">
        <v>0</v>
      </c>
    </row>
    <row r="473" spans="2:5">
      <c r="B473" s="91"/>
      <c r="C473" s="57" t="s">
        <v>179</v>
      </c>
      <c r="D473" s="60">
        <v>2</v>
      </c>
      <c r="E473" s="59">
        <v>0</v>
      </c>
    </row>
    <row r="474" spans="2:5">
      <c r="B474" s="92"/>
      <c r="C474" s="71" t="s">
        <v>302</v>
      </c>
      <c r="D474" s="73">
        <v>73</v>
      </c>
      <c r="E474" s="72">
        <v>1E-3</v>
      </c>
    </row>
    <row r="475" spans="2:5">
      <c r="B475" s="90" t="s">
        <v>68</v>
      </c>
      <c r="C475" s="57" t="s">
        <v>147</v>
      </c>
      <c r="D475" s="60">
        <v>5</v>
      </c>
      <c r="E475" s="59">
        <v>0</v>
      </c>
    </row>
    <row r="476" spans="2:5">
      <c r="B476" s="91"/>
      <c r="C476" s="57" t="s">
        <v>148</v>
      </c>
      <c r="D476" s="60">
        <v>13</v>
      </c>
      <c r="E476" s="59">
        <v>0</v>
      </c>
    </row>
    <row r="477" spans="2:5">
      <c r="B477" s="91"/>
      <c r="C477" s="57" t="s">
        <v>149</v>
      </c>
      <c r="D477" s="60">
        <v>2</v>
      </c>
      <c r="E477" s="59">
        <v>0</v>
      </c>
    </row>
    <row r="478" spans="2:5">
      <c r="B478" s="91"/>
      <c r="C478" s="57" t="s">
        <v>150</v>
      </c>
      <c r="D478" s="60">
        <v>3</v>
      </c>
      <c r="E478" s="59">
        <v>0</v>
      </c>
    </row>
    <row r="479" spans="2:5">
      <c r="B479" s="91"/>
      <c r="C479" s="57" t="s">
        <v>180</v>
      </c>
      <c r="D479" s="60">
        <v>1</v>
      </c>
      <c r="E479" s="59">
        <v>0</v>
      </c>
    </row>
    <row r="480" spans="2:5">
      <c r="B480" s="91"/>
      <c r="C480" s="57" t="s">
        <v>151</v>
      </c>
      <c r="D480" s="60">
        <v>67</v>
      </c>
      <c r="E480" s="59">
        <v>1E-3</v>
      </c>
    </row>
    <row r="481" spans="2:5">
      <c r="B481" s="91"/>
      <c r="C481" s="57" t="s">
        <v>152</v>
      </c>
      <c r="D481" s="60">
        <v>6</v>
      </c>
      <c r="E481" s="59">
        <v>0</v>
      </c>
    </row>
    <row r="482" spans="2:5">
      <c r="B482" s="91"/>
      <c r="C482" s="57" t="s">
        <v>181</v>
      </c>
      <c r="D482" s="60">
        <v>2</v>
      </c>
      <c r="E482" s="59">
        <v>0</v>
      </c>
    </row>
    <row r="483" spans="2:5">
      <c r="B483" s="91"/>
      <c r="C483" s="57" t="s">
        <v>182</v>
      </c>
      <c r="D483" s="60">
        <v>4</v>
      </c>
      <c r="E483" s="59">
        <v>0</v>
      </c>
    </row>
    <row r="484" spans="2:5">
      <c r="B484" s="91"/>
      <c r="C484" s="57" t="s">
        <v>291</v>
      </c>
      <c r="D484" s="60">
        <v>4</v>
      </c>
      <c r="E484" s="59">
        <v>0</v>
      </c>
    </row>
    <row r="485" spans="2:5" ht="28.5">
      <c r="B485" s="91"/>
      <c r="C485" s="57" t="s">
        <v>154</v>
      </c>
      <c r="D485" s="60">
        <v>3</v>
      </c>
      <c r="E485" s="59">
        <v>0</v>
      </c>
    </row>
    <row r="486" spans="2:5">
      <c r="B486" s="91"/>
      <c r="C486" s="57" t="s">
        <v>155</v>
      </c>
      <c r="D486" s="60">
        <v>24</v>
      </c>
      <c r="E486" s="59">
        <v>0</v>
      </c>
    </row>
    <row r="487" spans="2:5">
      <c r="B487" s="91"/>
      <c r="C487" s="57" t="s">
        <v>156</v>
      </c>
      <c r="D487" s="60">
        <v>3</v>
      </c>
      <c r="E487" s="59">
        <v>0</v>
      </c>
    </row>
    <row r="488" spans="2:5">
      <c r="B488" s="91"/>
      <c r="C488" s="57" t="s">
        <v>157</v>
      </c>
      <c r="D488" s="60">
        <v>26</v>
      </c>
      <c r="E488" s="59">
        <v>0</v>
      </c>
    </row>
    <row r="489" spans="2:5">
      <c r="B489" s="91"/>
      <c r="C489" s="57" t="s">
        <v>158</v>
      </c>
      <c r="D489" s="60">
        <v>4</v>
      </c>
      <c r="E489" s="59">
        <v>0</v>
      </c>
    </row>
    <row r="490" spans="2:5">
      <c r="B490" s="91"/>
      <c r="C490" s="57" t="s">
        <v>159</v>
      </c>
      <c r="D490" s="60">
        <v>6</v>
      </c>
      <c r="E490" s="59">
        <v>0</v>
      </c>
    </row>
    <row r="491" spans="2:5">
      <c r="B491" s="91"/>
      <c r="C491" s="57" t="s">
        <v>160</v>
      </c>
      <c r="D491" s="60">
        <v>36</v>
      </c>
      <c r="E491" s="59">
        <v>1E-3</v>
      </c>
    </row>
    <row r="492" spans="2:5">
      <c r="B492" s="91"/>
      <c r="C492" s="57" t="s">
        <v>161</v>
      </c>
      <c r="D492" s="60">
        <v>8</v>
      </c>
      <c r="E492" s="59">
        <v>0</v>
      </c>
    </row>
    <row r="493" spans="2:5">
      <c r="B493" s="91"/>
      <c r="C493" s="57" t="s">
        <v>184</v>
      </c>
      <c r="D493" s="60">
        <v>90</v>
      </c>
      <c r="E493" s="59">
        <v>1E-3</v>
      </c>
    </row>
    <row r="494" spans="2:5">
      <c r="B494" s="91"/>
      <c r="C494" s="57" t="s">
        <v>163</v>
      </c>
      <c r="D494" s="60">
        <v>6</v>
      </c>
      <c r="E494" s="59">
        <v>0</v>
      </c>
    </row>
    <row r="495" spans="2:5">
      <c r="B495" s="91"/>
      <c r="C495" s="57" t="s">
        <v>164</v>
      </c>
      <c r="D495" s="60">
        <v>2</v>
      </c>
      <c r="E495" s="59">
        <v>0</v>
      </c>
    </row>
    <row r="496" spans="2:5">
      <c r="B496" s="91"/>
      <c r="C496" s="57" t="s">
        <v>165</v>
      </c>
      <c r="D496" s="60">
        <v>12</v>
      </c>
      <c r="E496" s="59">
        <v>0</v>
      </c>
    </row>
    <row r="497" spans="2:5">
      <c r="B497" s="91"/>
      <c r="C497" s="57" t="s">
        <v>166</v>
      </c>
      <c r="D497" s="60">
        <v>20</v>
      </c>
      <c r="E497" s="59">
        <v>0</v>
      </c>
    </row>
    <row r="498" spans="2:5">
      <c r="B498" s="91"/>
      <c r="C498" s="57" t="s">
        <v>167</v>
      </c>
      <c r="D498" s="60">
        <v>1</v>
      </c>
      <c r="E498" s="59">
        <v>0</v>
      </c>
    </row>
    <row r="499" spans="2:5">
      <c r="B499" s="91"/>
      <c r="C499" s="57" t="s">
        <v>168</v>
      </c>
      <c r="D499" s="60">
        <v>4</v>
      </c>
      <c r="E499" s="59">
        <v>0</v>
      </c>
    </row>
    <row r="500" spans="2:5">
      <c r="B500" s="91"/>
      <c r="C500" s="57" t="s">
        <v>169</v>
      </c>
      <c r="D500" s="60">
        <v>4</v>
      </c>
      <c r="E500" s="59">
        <v>0</v>
      </c>
    </row>
    <row r="501" spans="2:5">
      <c r="B501" s="91"/>
      <c r="C501" s="57" t="s">
        <v>170</v>
      </c>
      <c r="D501" s="60">
        <v>1</v>
      </c>
      <c r="E501" s="59">
        <v>0</v>
      </c>
    </row>
    <row r="502" spans="2:5">
      <c r="B502" s="91"/>
      <c r="C502" s="57" t="s">
        <v>172</v>
      </c>
      <c r="D502" s="60">
        <v>2</v>
      </c>
      <c r="E502" s="59">
        <v>0</v>
      </c>
    </row>
    <row r="503" spans="2:5">
      <c r="B503" s="91"/>
      <c r="C503" s="57" t="s">
        <v>187</v>
      </c>
      <c r="D503" s="60">
        <v>1</v>
      </c>
      <c r="E503" s="59">
        <v>0</v>
      </c>
    </row>
    <row r="504" spans="2:5">
      <c r="B504" s="91"/>
      <c r="C504" s="57" t="s">
        <v>188</v>
      </c>
      <c r="D504" s="60">
        <v>7</v>
      </c>
      <c r="E504" s="59">
        <v>0</v>
      </c>
    </row>
    <row r="505" spans="2:5">
      <c r="B505" s="91"/>
      <c r="C505" s="57" t="s">
        <v>173</v>
      </c>
      <c r="D505" s="60">
        <v>18</v>
      </c>
      <c r="E505" s="59">
        <v>0</v>
      </c>
    </row>
    <row r="506" spans="2:5">
      <c r="B506" s="91"/>
      <c r="C506" s="57" t="s">
        <v>189</v>
      </c>
      <c r="D506" s="60">
        <v>4</v>
      </c>
      <c r="E506" s="59">
        <v>0</v>
      </c>
    </row>
    <row r="507" spans="2:5">
      <c r="B507" s="91"/>
      <c r="C507" s="57" t="s">
        <v>175</v>
      </c>
      <c r="D507" s="60">
        <v>42</v>
      </c>
      <c r="E507" s="59">
        <v>1E-3</v>
      </c>
    </row>
    <row r="508" spans="2:5">
      <c r="B508" s="91"/>
      <c r="C508" s="57" t="s">
        <v>176</v>
      </c>
      <c r="D508" s="60">
        <v>13</v>
      </c>
      <c r="E508" s="59">
        <v>0</v>
      </c>
    </row>
    <row r="509" spans="2:5">
      <c r="B509" s="91"/>
      <c r="C509" s="57" t="s">
        <v>177</v>
      </c>
      <c r="D509" s="60">
        <v>1</v>
      </c>
      <c r="E509" s="59">
        <v>0</v>
      </c>
    </row>
    <row r="510" spans="2:5">
      <c r="B510" s="91"/>
      <c r="C510" s="57" t="s">
        <v>191</v>
      </c>
      <c r="D510" s="60">
        <v>4</v>
      </c>
      <c r="E510" s="59">
        <v>0</v>
      </c>
    </row>
    <row r="511" spans="2:5">
      <c r="B511" s="91"/>
      <c r="C511" s="57" t="s">
        <v>178</v>
      </c>
      <c r="D511" s="60">
        <v>2</v>
      </c>
      <c r="E511" s="59">
        <v>0</v>
      </c>
    </row>
    <row r="512" spans="2:5">
      <c r="B512" s="91"/>
      <c r="C512" s="57" t="s">
        <v>179</v>
      </c>
      <c r="D512" s="60">
        <v>95</v>
      </c>
      <c r="E512" s="59">
        <v>1E-3</v>
      </c>
    </row>
    <row r="513" spans="2:5">
      <c r="B513" s="92"/>
      <c r="C513" s="71" t="s">
        <v>302</v>
      </c>
      <c r="D513" s="73">
        <v>546</v>
      </c>
      <c r="E513" s="72">
        <v>8.9999999999999993E-3</v>
      </c>
    </row>
    <row r="514" spans="2:5">
      <c r="B514" s="90" t="s">
        <v>54</v>
      </c>
      <c r="C514" s="57" t="s">
        <v>147</v>
      </c>
      <c r="D514" s="60">
        <v>133</v>
      </c>
      <c r="E514" s="59">
        <v>2E-3</v>
      </c>
    </row>
    <row r="515" spans="2:5">
      <c r="B515" s="91"/>
      <c r="C515" s="57" t="s">
        <v>148</v>
      </c>
      <c r="D515" s="60">
        <v>79</v>
      </c>
      <c r="E515" s="59">
        <v>1E-3</v>
      </c>
    </row>
    <row r="516" spans="2:5">
      <c r="B516" s="91"/>
      <c r="C516" s="57" t="s">
        <v>149</v>
      </c>
      <c r="D516" s="60">
        <v>5</v>
      </c>
      <c r="E516" s="59">
        <v>0</v>
      </c>
    </row>
    <row r="517" spans="2:5">
      <c r="B517" s="91"/>
      <c r="C517" s="57" t="s">
        <v>150</v>
      </c>
      <c r="D517" s="60">
        <v>1</v>
      </c>
      <c r="E517" s="59">
        <v>0</v>
      </c>
    </row>
    <row r="518" spans="2:5">
      <c r="B518" s="91"/>
      <c r="C518" s="57" t="s">
        <v>180</v>
      </c>
      <c r="D518" s="60">
        <v>2</v>
      </c>
      <c r="E518" s="59">
        <v>0</v>
      </c>
    </row>
    <row r="519" spans="2:5">
      <c r="B519" s="91"/>
      <c r="C519" s="57" t="s">
        <v>151</v>
      </c>
      <c r="D519" s="60">
        <v>38</v>
      </c>
      <c r="E519" s="59">
        <v>1E-3</v>
      </c>
    </row>
    <row r="520" spans="2:5">
      <c r="B520" s="91"/>
      <c r="C520" s="57" t="s">
        <v>152</v>
      </c>
      <c r="D520" s="60">
        <v>3</v>
      </c>
      <c r="E520" s="59">
        <v>0</v>
      </c>
    </row>
    <row r="521" spans="2:5">
      <c r="B521" s="91"/>
      <c r="C521" s="57" t="s">
        <v>181</v>
      </c>
      <c r="D521" s="60">
        <v>1</v>
      </c>
      <c r="E521" s="59">
        <v>0</v>
      </c>
    </row>
    <row r="522" spans="2:5">
      <c r="B522" s="91"/>
      <c r="C522" s="57" t="s">
        <v>182</v>
      </c>
      <c r="D522" s="60">
        <v>22</v>
      </c>
      <c r="E522" s="59">
        <v>0</v>
      </c>
    </row>
    <row r="523" spans="2:5">
      <c r="B523" s="91"/>
      <c r="C523" s="57" t="s">
        <v>153</v>
      </c>
      <c r="D523" s="60">
        <v>54</v>
      </c>
      <c r="E523" s="59">
        <v>1E-3</v>
      </c>
    </row>
    <row r="524" spans="2:5" ht="28.5">
      <c r="B524" s="91"/>
      <c r="C524" s="57" t="s">
        <v>154</v>
      </c>
      <c r="D524" s="60">
        <v>2</v>
      </c>
      <c r="E524" s="59">
        <v>0</v>
      </c>
    </row>
    <row r="525" spans="2:5">
      <c r="B525" s="91"/>
      <c r="C525" s="57" t="s">
        <v>155</v>
      </c>
      <c r="D525" s="60">
        <v>25</v>
      </c>
      <c r="E525" s="59">
        <v>0</v>
      </c>
    </row>
    <row r="526" spans="2:5">
      <c r="B526" s="91"/>
      <c r="C526" s="57" t="s">
        <v>156</v>
      </c>
      <c r="D526" s="60">
        <v>23</v>
      </c>
      <c r="E526" s="59">
        <v>0</v>
      </c>
    </row>
    <row r="527" spans="2:5">
      <c r="B527" s="91"/>
      <c r="C527" s="57" t="s">
        <v>157</v>
      </c>
      <c r="D527" s="60">
        <v>218</v>
      </c>
      <c r="E527" s="59">
        <v>3.0000000000000001E-3</v>
      </c>
    </row>
    <row r="528" spans="2:5">
      <c r="B528" s="91"/>
      <c r="C528" s="57" t="s">
        <v>158</v>
      </c>
      <c r="D528" s="60">
        <v>4</v>
      </c>
      <c r="E528" s="59">
        <v>0</v>
      </c>
    </row>
    <row r="529" spans="2:5">
      <c r="B529" s="91"/>
      <c r="C529" s="57" t="s">
        <v>159</v>
      </c>
      <c r="D529" s="60">
        <v>32</v>
      </c>
      <c r="E529" s="59">
        <v>1E-3</v>
      </c>
    </row>
    <row r="530" spans="2:5">
      <c r="B530" s="91"/>
      <c r="C530" s="57" t="s">
        <v>160</v>
      </c>
      <c r="D530" s="60">
        <v>151</v>
      </c>
      <c r="E530" s="59">
        <v>2E-3</v>
      </c>
    </row>
    <row r="531" spans="2:5">
      <c r="B531" s="91"/>
      <c r="C531" s="57" t="s">
        <v>161</v>
      </c>
      <c r="D531" s="60">
        <v>43</v>
      </c>
      <c r="E531" s="59">
        <v>1E-3</v>
      </c>
    </row>
    <row r="532" spans="2:5">
      <c r="B532" s="91"/>
      <c r="C532" s="57" t="s">
        <v>184</v>
      </c>
      <c r="D532" s="60">
        <v>13</v>
      </c>
      <c r="E532" s="59">
        <v>0</v>
      </c>
    </row>
    <row r="533" spans="2:5">
      <c r="B533" s="91"/>
      <c r="C533" s="57" t="s">
        <v>162</v>
      </c>
      <c r="D533" s="60">
        <v>4</v>
      </c>
      <c r="E533" s="59">
        <v>0</v>
      </c>
    </row>
    <row r="534" spans="2:5">
      <c r="B534" s="91"/>
      <c r="C534" s="57" t="s">
        <v>185</v>
      </c>
      <c r="D534" s="60">
        <v>8</v>
      </c>
      <c r="E534" s="59">
        <v>0</v>
      </c>
    </row>
    <row r="535" spans="2:5">
      <c r="B535" s="91"/>
      <c r="C535" s="57" t="s">
        <v>186</v>
      </c>
      <c r="D535" s="60">
        <v>10</v>
      </c>
      <c r="E535" s="59">
        <v>0</v>
      </c>
    </row>
    <row r="536" spans="2:5">
      <c r="B536" s="91"/>
      <c r="C536" s="57" t="s">
        <v>163</v>
      </c>
      <c r="D536" s="60">
        <v>363</v>
      </c>
      <c r="E536" s="59">
        <v>6.0000000000000001E-3</v>
      </c>
    </row>
    <row r="537" spans="2:5">
      <c r="B537" s="91"/>
      <c r="C537" s="57" t="s">
        <v>164</v>
      </c>
      <c r="D537" s="60">
        <v>53</v>
      </c>
      <c r="E537" s="59">
        <v>1E-3</v>
      </c>
    </row>
    <row r="538" spans="2:5">
      <c r="B538" s="91"/>
      <c r="C538" s="57" t="s">
        <v>165</v>
      </c>
      <c r="D538" s="60">
        <v>36</v>
      </c>
      <c r="E538" s="59">
        <v>1E-3</v>
      </c>
    </row>
    <row r="539" spans="2:5">
      <c r="B539" s="91"/>
      <c r="C539" s="57" t="s">
        <v>166</v>
      </c>
      <c r="D539" s="60">
        <v>51</v>
      </c>
      <c r="E539" s="59">
        <v>1E-3</v>
      </c>
    </row>
    <row r="540" spans="2:5">
      <c r="B540" s="91"/>
      <c r="C540" s="57" t="s">
        <v>168</v>
      </c>
      <c r="D540" s="60">
        <v>4</v>
      </c>
      <c r="E540" s="59">
        <v>0</v>
      </c>
    </row>
    <row r="541" spans="2:5">
      <c r="B541" s="91"/>
      <c r="C541" s="57" t="s">
        <v>169</v>
      </c>
      <c r="D541" s="60">
        <v>43</v>
      </c>
      <c r="E541" s="59">
        <v>1E-3</v>
      </c>
    </row>
    <row r="542" spans="2:5">
      <c r="B542" s="91"/>
      <c r="C542" s="57" t="s">
        <v>170</v>
      </c>
      <c r="D542" s="60">
        <v>6</v>
      </c>
      <c r="E542" s="59">
        <v>0</v>
      </c>
    </row>
    <row r="543" spans="2:5">
      <c r="B543" s="91"/>
      <c r="C543" s="57" t="s">
        <v>171</v>
      </c>
      <c r="D543" s="60">
        <v>3</v>
      </c>
      <c r="E543" s="59">
        <v>0</v>
      </c>
    </row>
    <row r="544" spans="2:5">
      <c r="B544" s="91"/>
      <c r="C544" s="57" t="s">
        <v>172</v>
      </c>
      <c r="D544" s="60">
        <v>2</v>
      </c>
      <c r="E544" s="59">
        <v>0</v>
      </c>
    </row>
    <row r="545" spans="2:5">
      <c r="B545" s="91"/>
      <c r="C545" s="57" t="s">
        <v>192</v>
      </c>
      <c r="D545" s="60">
        <v>8</v>
      </c>
      <c r="E545" s="59">
        <v>0</v>
      </c>
    </row>
    <row r="546" spans="2:5">
      <c r="B546" s="91"/>
      <c r="C546" s="57" t="s">
        <v>187</v>
      </c>
      <c r="D546" s="60">
        <v>5</v>
      </c>
      <c r="E546" s="59">
        <v>0</v>
      </c>
    </row>
    <row r="547" spans="2:5">
      <c r="B547" s="91"/>
      <c r="C547" s="57" t="s">
        <v>188</v>
      </c>
      <c r="D547" s="60">
        <v>2</v>
      </c>
      <c r="E547" s="59">
        <v>0</v>
      </c>
    </row>
    <row r="548" spans="2:5">
      <c r="B548" s="91"/>
      <c r="C548" s="57" t="s">
        <v>173</v>
      </c>
      <c r="D548" s="60">
        <v>86</v>
      </c>
      <c r="E548" s="59">
        <v>1E-3</v>
      </c>
    </row>
    <row r="549" spans="2:5">
      <c r="B549" s="91"/>
      <c r="C549" s="57" t="s">
        <v>174</v>
      </c>
      <c r="D549" s="60">
        <v>5</v>
      </c>
      <c r="E549" s="59">
        <v>0</v>
      </c>
    </row>
    <row r="550" spans="2:5">
      <c r="B550" s="91"/>
      <c r="C550" s="57" t="s">
        <v>189</v>
      </c>
      <c r="D550" s="60">
        <v>7</v>
      </c>
      <c r="E550" s="59">
        <v>0</v>
      </c>
    </row>
    <row r="551" spans="2:5">
      <c r="B551" s="91"/>
      <c r="C551" s="57" t="s">
        <v>190</v>
      </c>
      <c r="D551" s="60">
        <v>5</v>
      </c>
      <c r="E551" s="59">
        <v>0</v>
      </c>
    </row>
    <row r="552" spans="2:5">
      <c r="B552" s="91"/>
      <c r="C552" s="57" t="s">
        <v>175</v>
      </c>
      <c r="D552" s="60">
        <v>17</v>
      </c>
      <c r="E552" s="59">
        <v>0</v>
      </c>
    </row>
    <row r="553" spans="2:5">
      <c r="B553" s="91"/>
      <c r="C553" s="57" t="s">
        <v>176</v>
      </c>
      <c r="D553" s="60">
        <v>91</v>
      </c>
      <c r="E553" s="59">
        <v>1E-3</v>
      </c>
    </row>
    <row r="554" spans="2:5">
      <c r="B554" s="91"/>
      <c r="C554" s="57" t="s">
        <v>177</v>
      </c>
      <c r="D554" s="60">
        <v>5</v>
      </c>
      <c r="E554" s="59">
        <v>0</v>
      </c>
    </row>
    <row r="555" spans="2:5">
      <c r="B555" s="91"/>
      <c r="C555" s="57" t="s">
        <v>191</v>
      </c>
      <c r="D555" s="60">
        <v>1</v>
      </c>
      <c r="E555" s="59">
        <v>0</v>
      </c>
    </row>
    <row r="556" spans="2:5">
      <c r="B556" s="91"/>
      <c r="C556" s="57" t="s">
        <v>178</v>
      </c>
      <c r="D556" s="60">
        <v>10</v>
      </c>
      <c r="E556" s="59">
        <v>0</v>
      </c>
    </row>
    <row r="557" spans="2:5">
      <c r="B557" s="91"/>
      <c r="C557" s="57" t="s">
        <v>179</v>
      </c>
      <c r="D557" s="60">
        <v>86</v>
      </c>
      <c r="E557" s="59">
        <v>1E-3</v>
      </c>
    </row>
    <row r="558" spans="2:5">
      <c r="B558" s="92"/>
      <c r="C558" s="71" t="s">
        <v>302</v>
      </c>
      <c r="D558" s="73">
        <v>1760</v>
      </c>
      <c r="E558" s="72">
        <v>2.8000000000000001E-2</v>
      </c>
    </row>
    <row r="559" spans="2:5">
      <c r="B559" s="90" t="s">
        <v>48</v>
      </c>
      <c r="C559" s="57" t="s">
        <v>147</v>
      </c>
      <c r="D559" s="60">
        <v>99</v>
      </c>
      <c r="E559" s="59">
        <v>2E-3</v>
      </c>
    </row>
    <row r="560" spans="2:5">
      <c r="B560" s="91"/>
      <c r="C560" s="57" t="s">
        <v>148</v>
      </c>
      <c r="D560" s="60">
        <v>113</v>
      </c>
      <c r="E560" s="59">
        <v>2E-3</v>
      </c>
    </row>
    <row r="561" spans="2:5">
      <c r="B561" s="91"/>
      <c r="C561" s="57" t="s">
        <v>149</v>
      </c>
      <c r="D561" s="60">
        <v>104</v>
      </c>
      <c r="E561" s="59">
        <v>2E-3</v>
      </c>
    </row>
    <row r="562" spans="2:5">
      <c r="B562" s="91"/>
      <c r="C562" s="57" t="s">
        <v>150</v>
      </c>
      <c r="D562" s="60">
        <v>132</v>
      </c>
      <c r="E562" s="59">
        <v>2E-3</v>
      </c>
    </row>
    <row r="563" spans="2:5">
      <c r="B563" s="91"/>
      <c r="C563" s="57" t="s">
        <v>180</v>
      </c>
      <c r="D563" s="60">
        <v>11</v>
      </c>
      <c r="E563" s="59">
        <v>0</v>
      </c>
    </row>
    <row r="564" spans="2:5">
      <c r="B564" s="91"/>
      <c r="C564" s="57" t="s">
        <v>151</v>
      </c>
      <c r="D564" s="60">
        <v>719</v>
      </c>
      <c r="E564" s="59">
        <v>1.0999999999999999E-2</v>
      </c>
    </row>
    <row r="565" spans="2:5">
      <c r="B565" s="91"/>
      <c r="C565" s="57" t="s">
        <v>152</v>
      </c>
      <c r="D565" s="60">
        <v>164</v>
      </c>
      <c r="E565" s="59">
        <v>3.0000000000000001E-3</v>
      </c>
    </row>
    <row r="566" spans="2:5">
      <c r="B566" s="91"/>
      <c r="C566" s="57" t="s">
        <v>181</v>
      </c>
      <c r="D566" s="60">
        <v>3</v>
      </c>
      <c r="E566" s="59">
        <v>0</v>
      </c>
    </row>
    <row r="567" spans="2:5">
      <c r="B567" s="91"/>
      <c r="C567" s="57" t="s">
        <v>182</v>
      </c>
      <c r="D567" s="60">
        <v>67</v>
      </c>
      <c r="E567" s="59">
        <v>1E-3</v>
      </c>
    </row>
    <row r="568" spans="2:5">
      <c r="B568" s="91"/>
      <c r="C568" s="57" t="s">
        <v>153</v>
      </c>
      <c r="D568" s="60">
        <v>32</v>
      </c>
      <c r="E568" s="59">
        <v>1E-3</v>
      </c>
    </row>
    <row r="569" spans="2:5">
      <c r="B569" s="91"/>
      <c r="C569" s="57" t="s">
        <v>291</v>
      </c>
      <c r="D569" s="60">
        <v>5</v>
      </c>
      <c r="E569" s="59">
        <v>0</v>
      </c>
    </row>
    <row r="570" spans="2:5">
      <c r="B570" s="91"/>
      <c r="C570" s="57" t="s">
        <v>183</v>
      </c>
      <c r="D570" s="60">
        <v>13</v>
      </c>
      <c r="E570" s="59">
        <v>0</v>
      </c>
    </row>
    <row r="571" spans="2:5" ht="28.5">
      <c r="B571" s="91"/>
      <c r="C571" s="57" t="s">
        <v>154</v>
      </c>
      <c r="D571" s="60">
        <v>481</v>
      </c>
      <c r="E571" s="59">
        <v>8.0000000000000002E-3</v>
      </c>
    </row>
    <row r="572" spans="2:5">
      <c r="B572" s="91"/>
      <c r="C572" s="57" t="s">
        <v>155</v>
      </c>
      <c r="D572" s="60">
        <v>45</v>
      </c>
      <c r="E572" s="59">
        <v>1E-3</v>
      </c>
    </row>
    <row r="573" spans="2:5">
      <c r="B573" s="91"/>
      <c r="C573" s="57" t="s">
        <v>156</v>
      </c>
      <c r="D573" s="60">
        <v>36</v>
      </c>
      <c r="E573" s="59">
        <v>1E-3</v>
      </c>
    </row>
    <row r="574" spans="2:5">
      <c r="B574" s="91"/>
      <c r="C574" s="57" t="s">
        <v>157</v>
      </c>
      <c r="D574" s="60">
        <v>307</v>
      </c>
      <c r="E574" s="59">
        <v>5.0000000000000001E-3</v>
      </c>
    </row>
    <row r="575" spans="2:5">
      <c r="B575" s="91"/>
      <c r="C575" s="57" t="s">
        <v>158</v>
      </c>
      <c r="D575" s="60">
        <v>18</v>
      </c>
      <c r="E575" s="59">
        <v>0</v>
      </c>
    </row>
    <row r="576" spans="2:5">
      <c r="B576" s="91"/>
      <c r="C576" s="57" t="s">
        <v>159</v>
      </c>
      <c r="D576" s="60">
        <v>153</v>
      </c>
      <c r="E576" s="59">
        <v>2E-3</v>
      </c>
    </row>
    <row r="577" spans="2:5">
      <c r="B577" s="91"/>
      <c r="C577" s="57" t="s">
        <v>160</v>
      </c>
      <c r="D577" s="60">
        <v>332</v>
      </c>
      <c r="E577" s="59">
        <v>5.0000000000000001E-3</v>
      </c>
    </row>
    <row r="578" spans="2:5">
      <c r="B578" s="91"/>
      <c r="C578" s="57" t="s">
        <v>161</v>
      </c>
      <c r="D578" s="60">
        <v>14</v>
      </c>
      <c r="E578" s="59">
        <v>0</v>
      </c>
    </row>
    <row r="579" spans="2:5">
      <c r="B579" s="91"/>
      <c r="C579" s="57" t="s">
        <v>184</v>
      </c>
      <c r="D579" s="60">
        <v>17</v>
      </c>
      <c r="E579" s="59">
        <v>0</v>
      </c>
    </row>
    <row r="580" spans="2:5">
      <c r="B580" s="91"/>
      <c r="C580" s="57" t="s">
        <v>162</v>
      </c>
      <c r="D580" s="60">
        <v>64</v>
      </c>
      <c r="E580" s="59">
        <v>1E-3</v>
      </c>
    </row>
    <row r="581" spans="2:5">
      <c r="B581" s="91"/>
      <c r="C581" s="57" t="s">
        <v>185</v>
      </c>
      <c r="D581" s="60">
        <v>107</v>
      </c>
      <c r="E581" s="59">
        <v>2E-3</v>
      </c>
    </row>
    <row r="582" spans="2:5">
      <c r="B582" s="91"/>
      <c r="C582" s="57" t="s">
        <v>186</v>
      </c>
      <c r="D582" s="60">
        <v>31</v>
      </c>
      <c r="E582" s="59">
        <v>0</v>
      </c>
    </row>
    <row r="583" spans="2:5">
      <c r="B583" s="91"/>
      <c r="C583" s="57" t="s">
        <v>163</v>
      </c>
      <c r="D583" s="60">
        <v>25</v>
      </c>
      <c r="E583" s="59">
        <v>0</v>
      </c>
    </row>
    <row r="584" spans="2:5">
      <c r="B584" s="91"/>
      <c r="C584" s="57" t="s">
        <v>164</v>
      </c>
      <c r="D584" s="60">
        <v>4</v>
      </c>
      <c r="E584" s="59">
        <v>0</v>
      </c>
    </row>
    <row r="585" spans="2:5">
      <c r="B585" s="91"/>
      <c r="C585" s="57" t="s">
        <v>165</v>
      </c>
      <c r="D585" s="60">
        <v>896</v>
      </c>
      <c r="E585" s="59">
        <v>1.4E-2</v>
      </c>
    </row>
    <row r="586" spans="2:5">
      <c r="B586" s="91"/>
      <c r="C586" s="57" t="s">
        <v>166</v>
      </c>
      <c r="D586" s="60">
        <v>153</v>
      </c>
      <c r="E586" s="59">
        <v>2E-3</v>
      </c>
    </row>
    <row r="587" spans="2:5">
      <c r="B587" s="91"/>
      <c r="C587" s="57" t="s">
        <v>167</v>
      </c>
      <c r="D587" s="60">
        <v>156</v>
      </c>
      <c r="E587" s="59">
        <v>2E-3</v>
      </c>
    </row>
    <row r="588" spans="2:5">
      <c r="B588" s="91"/>
      <c r="C588" s="57" t="s">
        <v>168</v>
      </c>
      <c r="D588" s="60">
        <v>271</v>
      </c>
      <c r="E588" s="59">
        <v>4.0000000000000001E-3</v>
      </c>
    </row>
    <row r="589" spans="2:5">
      <c r="B589" s="91"/>
      <c r="C589" s="57" t="s">
        <v>169</v>
      </c>
      <c r="D589" s="60">
        <v>18</v>
      </c>
      <c r="E589" s="59">
        <v>0</v>
      </c>
    </row>
    <row r="590" spans="2:5">
      <c r="B590" s="91"/>
      <c r="C590" s="57" t="s">
        <v>170</v>
      </c>
      <c r="D590" s="60">
        <v>164</v>
      </c>
      <c r="E590" s="59">
        <v>3.0000000000000001E-3</v>
      </c>
    </row>
    <row r="591" spans="2:5">
      <c r="B591" s="91"/>
      <c r="C591" s="57" t="s">
        <v>171</v>
      </c>
      <c r="D591" s="60">
        <v>299</v>
      </c>
      <c r="E591" s="59">
        <v>5.0000000000000001E-3</v>
      </c>
    </row>
    <row r="592" spans="2:5">
      <c r="B592" s="91"/>
      <c r="C592" s="57" t="s">
        <v>172</v>
      </c>
      <c r="D592" s="60">
        <v>215</v>
      </c>
      <c r="E592" s="59">
        <v>3.0000000000000001E-3</v>
      </c>
    </row>
    <row r="593" spans="2:5">
      <c r="B593" s="91"/>
      <c r="C593" s="57" t="s">
        <v>192</v>
      </c>
      <c r="D593" s="60">
        <v>4</v>
      </c>
      <c r="E593" s="59">
        <v>0</v>
      </c>
    </row>
    <row r="594" spans="2:5">
      <c r="B594" s="91"/>
      <c r="C594" s="57" t="s">
        <v>187</v>
      </c>
      <c r="D594" s="60">
        <v>180</v>
      </c>
      <c r="E594" s="59">
        <v>3.0000000000000001E-3</v>
      </c>
    </row>
    <row r="595" spans="2:5">
      <c r="B595" s="91"/>
      <c r="C595" s="57" t="s">
        <v>188</v>
      </c>
      <c r="D595" s="60">
        <v>30</v>
      </c>
      <c r="E595" s="59">
        <v>0</v>
      </c>
    </row>
    <row r="596" spans="2:5">
      <c r="B596" s="91"/>
      <c r="C596" s="57" t="s">
        <v>173</v>
      </c>
      <c r="D596" s="60">
        <v>17</v>
      </c>
      <c r="E596" s="59">
        <v>0</v>
      </c>
    </row>
    <row r="597" spans="2:5">
      <c r="B597" s="91"/>
      <c r="C597" s="57" t="s">
        <v>174</v>
      </c>
      <c r="D597" s="60">
        <v>6</v>
      </c>
      <c r="E597" s="59">
        <v>0</v>
      </c>
    </row>
    <row r="598" spans="2:5">
      <c r="B598" s="91"/>
      <c r="C598" s="57" t="s">
        <v>189</v>
      </c>
      <c r="D598" s="60">
        <v>68</v>
      </c>
      <c r="E598" s="59">
        <v>1E-3</v>
      </c>
    </row>
    <row r="599" spans="2:5">
      <c r="B599" s="91"/>
      <c r="C599" s="57" t="s">
        <v>190</v>
      </c>
      <c r="D599" s="60">
        <v>4</v>
      </c>
      <c r="E599" s="59">
        <v>0</v>
      </c>
    </row>
    <row r="600" spans="2:5">
      <c r="B600" s="91"/>
      <c r="C600" s="57" t="s">
        <v>175</v>
      </c>
      <c r="D600" s="60">
        <v>16</v>
      </c>
      <c r="E600" s="59">
        <v>0</v>
      </c>
    </row>
    <row r="601" spans="2:5">
      <c r="B601" s="91"/>
      <c r="C601" s="57" t="s">
        <v>176</v>
      </c>
      <c r="D601" s="60">
        <v>357</v>
      </c>
      <c r="E601" s="59">
        <v>6.0000000000000001E-3</v>
      </c>
    </row>
    <row r="602" spans="2:5">
      <c r="B602" s="91"/>
      <c r="C602" s="57" t="s">
        <v>177</v>
      </c>
      <c r="D602" s="60">
        <v>54</v>
      </c>
      <c r="E602" s="59">
        <v>1E-3</v>
      </c>
    </row>
    <row r="603" spans="2:5">
      <c r="B603" s="91"/>
      <c r="C603" s="57" t="s">
        <v>191</v>
      </c>
      <c r="D603" s="60">
        <v>90</v>
      </c>
      <c r="E603" s="59">
        <v>1E-3</v>
      </c>
    </row>
    <row r="604" spans="2:5">
      <c r="B604" s="91"/>
      <c r="C604" s="57" t="s">
        <v>178</v>
      </c>
      <c r="D604" s="60">
        <v>7</v>
      </c>
      <c r="E604" s="59">
        <v>0</v>
      </c>
    </row>
    <row r="605" spans="2:5">
      <c r="B605" s="91"/>
      <c r="C605" s="57" t="s">
        <v>179</v>
      </c>
      <c r="D605" s="60">
        <v>41</v>
      </c>
      <c r="E605" s="59">
        <v>1E-3</v>
      </c>
    </row>
    <row r="606" spans="2:5">
      <c r="B606" s="92"/>
      <c r="C606" s="71" t="s">
        <v>302</v>
      </c>
      <c r="D606" s="73">
        <v>6142</v>
      </c>
      <c r="E606" s="72">
        <v>9.7000000000000003E-2</v>
      </c>
    </row>
    <row r="607" spans="2:5">
      <c r="B607" s="90" t="s">
        <v>69</v>
      </c>
      <c r="C607" s="57" t="s">
        <v>147</v>
      </c>
      <c r="D607" s="60">
        <v>1</v>
      </c>
      <c r="E607" s="59">
        <v>0</v>
      </c>
    </row>
    <row r="608" spans="2:5">
      <c r="B608" s="91"/>
      <c r="C608" s="57" t="s">
        <v>148</v>
      </c>
      <c r="D608" s="60">
        <v>21</v>
      </c>
      <c r="E608" s="59">
        <v>0</v>
      </c>
    </row>
    <row r="609" spans="2:5">
      <c r="B609" s="91"/>
      <c r="C609" s="57" t="s">
        <v>149</v>
      </c>
      <c r="D609" s="60">
        <v>4</v>
      </c>
      <c r="E609" s="59">
        <v>0</v>
      </c>
    </row>
    <row r="610" spans="2:5">
      <c r="B610" s="91"/>
      <c r="C610" s="57" t="s">
        <v>180</v>
      </c>
      <c r="D610" s="60">
        <v>1</v>
      </c>
      <c r="E610" s="59">
        <v>0</v>
      </c>
    </row>
    <row r="611" spans="2:5">
      <c r="B611" s="91"/>
      <c r="C611" s="57" t="s">
        <v>151</v>
      </c>
      <c r="D611" s="60">
        <v>44</v>
      </c>
      <c r="E611" s="59">
        <v>1E-3</v>
      </c>
    </row>
    <row r="612" spans="2:5">
      <c r="B612" s="91"/>
      <c r="C612" s="57" t="s">
        <v>152</v>
      </c>
      <c r="D612" s="60">
        <v>25</v>
      </c>
      <c r="E612" s="59">
        <v>0</v>
      </c>
    </row>
    <row r="613" spans="2:5">
      <c r="B613" s="91"/>
      <c r="C613" s="57" t="s">
        <v>181</v>
      </c>
      <c r="D613" s="60">
        <v>1</v>
      </c>
      <c r="E613" s="59">
        <v>0</v>
      </c>
    </row>
    <row r="614" spans="2:5">
      <c r="B614" s="91"/>
      <c r="C614" s="57" t="s">
        <v>182</v>
      </c>
      <c r="D614" s="60">
        <v>4</v>
      </c>
      <c r="E614" s="59">
        <v>0</v>
      </c>
    </row>
    <row r="615" spans="2:5">
      <c r="B615" s="91"/>
      <c r="C615" s="57" t="s">
        <v>153</v>
      </c>
      <c r="D615" s="60">
        <v>7</v>
      </c>
      <c r="E615" s="59">
        <v>0</v>
      </c>
    </row>
    <row r="616" spans="2:5">
      <c r="B616" s="91"/>
      <c r="C616" s="57" t="s">
        <v>291</v>
      </c>
      <c r="D616" s="60">
        <v>5</v>
      </c>
      <c r="E616" s="59">
        <v>0</v>
      </c>
    </row>
    <row r="617" spans="2:5">
      <c r="B617" s="91"/>
      <c r="C617" s="57" t="s">
        <v>183</v>
      </c>
      <c r="D617" s="60">
        <v>13</v>
      </c>
      <c r="E617" s="59">
        <v>0</v>
      </c>
    </row>
    <row r="618" spans="2:5" ht="28.5">
      <c r="B618" s="91"/>
      <c r="C618" s="57" t="s">
        <v>154</v>
      </c>
      <c r="D618" s="60">
        <v>9</v>
      </c>
      <c r="E618" s="59">
        <v>0</v>
      </c>
    </row>
    <row r="619" spans="2:5">
      <c r="B619" s="91"/>
      <c r="C619" s="57" t="s">
        <v>155</v>
      </c>
      <c r="D619" s="60">
        <v>11</v>
      </c>
      <c r="E619" s="59">
        <v>0</v>
      </c>
    </row>
    <row r="620" spans="2:5">
      <c r="B620" s="91"/>
      <c r="C620" s="57" t="s">
        <v>156</v>
      </c>
      <c r="D620" s="60">
        <v>1</v>
      </c>
      <c r="E620" s="59">
        <v>0</v>
      </c>
    </row>
    <row r="621" spans="2:5">
      <c r="B621" s="91"/>
      <c r="C621" s="57" t="s">
        <v>157</v>
      </c>
      <c r="D621" s="60">
        <v>15</v>
      </c>
      <c r="E621" s="59">
        <v>0</v>
      </c>
    </row>
    <row r="622" spans="2:5">
      <c r="B622" s="91"/>
      <c r="C622" s="57" t="s">
        <v>158</v>
      </c>
      <c r="D622" s="60">
        <v>5</v>
      </c>
      <c r="E622" s="59">
        <v>0</v>
      </c>
    </row>
    <row r="623" spans="2:5">
      <c r="B623" s="91"/>
      <c r="C623" s="57" t="s">
        <v>159</v>
      </c>
      <c r="D623" s="60">
        <v>9</v>
      </c>
      <c r="E623" s="59">
        <v>0</v>
      </c>
    </row>
    <row r="624" spans="2:5">
      <c r="B624" s="91"/>
      <c r="C624" s="57" t="s">
        <v>160</v>
      </c>
      <c r="D624" s="60">
        <v>89</v>
      </c>
      <c r="E624" s="59">
        <v>1E-3</v>
      </c>
    </row>
    <row r="625" spans="2:5">
      <c r="B625" s="91"/>
      <c r="C625" s="57" t="s">
        <v>161</v>
      </c>
      <c r="D625" s="60">
        <v>20</v>
      </c>
      <c r="E625" s="59">
        <v>0</v>
      </c>
    </row>
    <row r="626" spans="2:5">
      <c r="B626" s="91"/>
      <c r="C626" s="57" t="s">
        <v>184</v>
      </c>
      <c r="D626" s="60">
        <v>1</v>
      </c>
      <c r="E626" s="59">
        <v>0</v>
      </c>
    </row>
    <row r="627" spans="2:5">
      <c r="B627" s="91"/>
      <c r="C627" s="57" t="s">
        <v>162</v>
      </c>
      <c r="D627" s="60">
        <v>2</v>
      </c>
      <c r="E627" s="59">
        <v>0</v>
      </c>
    </row>
    <row r="628" spans="2:5">
      <c r="B628" s="91"/>
      <c r="C628" s="57" t="s">
        <v>186</v>
      </c>
      <c r="D628" s="60">
        <v>2</v>
      </c>
      <c r="E628" s="59">
        <v>0</v>
      </c>
    </row>
    <row r="629" spans="2:5">
      <c r="B629" s="91"/>
      <c r="C629" s="57" t="s">
        <v>163</v>
      </c>
      <c r="D629" s="60">
        <v>20</v>
      </c>
      <c r="E629" s="59">
        <v>0</v>
      </c>
    </row>
    <row r="630" spans="2:5">
      <c r="B630" s="91"/>
      <c r="C630" s="57" t="s">
        <v>164</v>
      </c>
      <c r="D630" s="60">
        <v>1</v>
      </c>
      <c r="E630" s="59">
        <v>0</v>
      </c>
    </row>
    <row r="631" spans="2:5">
      <c r="B631" s="91"/>
      <c r="C631" s="57" t="s">
        <v>165</v>
      </c>
      <c r="D631" s="60">
        <v>21</v>
      </c>
      <c r="E631" s="59">
        <v>0</v>
      </c>
    </row>
    <row r="632" spans="2:5">
      <c r="B632" s="91"/>
      <c r="C632" s="57" t="s">
        <v>166</v>
      </c>
      <c r="D632" s="60">
        <v>8</v>
      </c>
      <c r="E632" s="59">
        <v>0</v>
      </c>
    </row>
    <row r="633" spans="2:5">
      <c r="B633" s="91"/>
      <c r="C633" s="57" t="s">
        <v>167</v>
      </c>
      <c r="D633" s="60">
        <v>5</v>
      </c>
      <c r="E633" s="59">
        <v>0</v>
      </c>
    </row>
    <row r="634" spans="2:5">
      <c r="B634" s="91"/>
      <c r="C634" s="57" t="s">
        <v>168</v>
      </c>
      <c r="D634" s="60">
        <v>10</v>
      </c>
      <c r="E634" s="59">
        <v>0</v>
      </c>
    </row>
    <row r="635" spans="2:5">
      <c r="B635" s="91"/>
      <c r="C635" s="57" t="s">
        <v>169</v>
      </c>
      <c r="D635" s="60">
        <v>27</v>
      </c>
      <c r="E635" s="59">
        <v>0</v>
      </c>
    </row>
    <row r="636" spans="2:5">
      <c r="B636" s="91"/>
      <c r="C636" s="57" t="s">
        <v>170</v>
      </c>
      <c r="D636" s="60">
        <v>18</v>
      </c>
      <c r="E636" s="59">
        <v>0</v>
      </c>
    </row>
    <row r="637" spans="2:5">
      <c r="B637" s="91"/>
      <c r="C637" s="57" t="s">
        <v>171</v>
      </c>
      <c r="D637" s="60">
        <v>10</v>
      </c>
      <c r="E637" s="59">
        <v>0</v>
      </c>
    </row>
    <row r="638" spans="2:5">
      <c r="B638" s="91"/>
      <c r="C638" s="57" t="s">
        <v>172</v>
      </c>
      <c r="D638" s="60">
        <v>13</v>
      </c>
      <c r="E638" s="59">
        <v>0</v>
      </c>
    </row>
    <row r="639" spans="2:5">
      <c r="B639" s="91"/>
      <c r="C639" s="57" t="s">
        <v>187</v>
      </c>
      <c r="D639" s="60">
        <v>34</v>
      </c>
      <c r="E639" s="59">
        <v>1E-3</v>
      </c>
    </row>
    <row r="640" spans="2:5">
      <c r="B640" s="91"/>
      <c r="C640" s="57" t="s">
        <v>188</v>
      </c>
      <c r="D640" s="60">
        <v>9</v>
      </c>
      <c r="E640" s="59">
        <v>0</v>
      </c>
    </row>
    <row r="641" spans="2:5">
      <c r="B641" s="91"/>
      <c r="C641" s="57" t="s">
        <v>173</v>
      </c>
      <c r="D641" s="60">
        <v>5</v>
      </c>
      <c r="E641" s="59">
        <v>0</v>
      </c>
    </row>
    <row r="642" spans="2:5">
      <c r="B642" s="91"/>
      <c r="C642" s="57" t="s">
        <v>174</v>
      </c>
      <c r="D642" s="60">
        <v>5</v>
      </c>
      <c r="E642" s="59">
        <v>0</v>
      </c>
    </row>
    <row r="643" spans="2:5">
      <c r="B643" s="91"/>
      <c r="C643" s="57" t="s">
        <v>189</v>
      </c>
      <c r="D643" s="60">
        <v>2</v>
      </c>
      <c r="E643" s="59">
        <v>0</v>
      </c>
    </row>
    <row r="644" spans="2:5">
      <c r="B644" s="91"/>
      <c r="C644" s="57" t="s">
        <v>190</v>
      </c>
      <c r="D644" s="60">
        <v>2</v>
      </c>
      <c r="E644" s="59">
        <v>0</v>
      </c>
    </row>
    <row r="645" spans="2:5">
      <c r="B645" s="91"/>
      <c r="C645" s="57" t="s">
        <v>176</v>
      </c>
      <c r="D645" s="60">
        <v>5</v>
      </c>
      <c r="E645" s="59">
        <v>0</v>
      </c>
    </row>
    <row r="646" spans="2:5">
      <c r="B646" s="91"/>
      <c r="C646" s="57" t="s">
        <v>177</v>
      </c>
      <c r="D646" s="60">
        <v>4</v>
      </c>
      <c r="E646" s="59">
        <v>0</v>
      </c>
    </row>
    <row r="647" spans="2:5">
      <c r="B647" s="91"/>
      <c r="C647" s="57" t="s">
        <v>191</v>
      </c>
      <c r="D647" s="60">
        <v>2</v>
      </c>
      <c r="E647" s="59">
        <v>0</v>
      </c>
    </row>
    <row r="648" spans="2:5">
      <c r="B648" s="91"/>
      <c r="C648" s="57" t="s">
        <v>178</v>
      </c>
      <c r="D648" s="60">
        <v>1</v>
      </c>
      <c r="E648" s="59">
        <v>0</v>
      </c>
    </row>
    <row r="649" spans="2:5">
      <c r="B649" s="91"/>
      <c r="C649" s="57" t="s">
        <v>179</v>
      </c>
      <c r="D649" s="60">
        <v>5</v>
      </c>
      <c r="E649" s="59">
        <v>0</v>
      </c>
    </row>
    <row r="650" spans="2:5">
      <c r="B650" s="92"/>
      <c r="C650" s="71" t="s">
        <v>302</v>
      </c>
      <c r="D650" s="73">
        <v>497</v>
      </c>
      <c r="E650" s="72">
        <v>8.0000000000000002E-3</v>
      </c>
    </row>
    <row r="651" spans="2:5">
      <c r="B651" s="90" t="s">
        <v>64</v>
      </c>
      <c r="C651" s="57" t="s">
        <v>147</v>
      </c>
      <c r="D651" s="60">
        <v>4</v>
      </c>
      <c r="E651" s="59">
        <v>0</v>
      </c>
    </row>
    <row r="652" spans="2:5">
      <c r="B652" s="91"/>
      <c r="C652" s="57" t="s">
        <v>148</v>
      </c>
      <c r="D652" s="60">
        <v>15</v>
      </c>
      <c r="E652" s="59">
        <v>0</v>
      </c>
    </row>
    <row r="653" spans="2:5">
      <c r="B653" s="91"/>
      <c r="C653" s="57" t="s">
        <v>149</v>
      </c>
      <c r="D653" s="60">
        <v>1</v>
      </c>
      <c r="E653" s="59">
        <v>0</v>
      </c>
    </row>
    <row r="654" spans="2:5">
      <c r="B654" s="91"/>
      <c r="C654" s="57" t="s">
        <v>150</v>
      </c>
      <c r="D654" s="60">
        <v>2</v>
      </c>
      <c r="E654" s="59">
        <v>0</v>
      </c>
    </row>
    <row r="655" spans="2:5">
      <c r="B655" s="91"/>
      <c r="C655" s="57" t="s">
        <v>151</v>
      </c>
      <c r="D655" s="60">
        <v>67</v>
      </c>
      <c r="E655" s="59">
        <v>1E-3</v>
      </c>
    </row>
    <row r="656" spans="2:5">
      <c r="B656" s="91"/>
      <c r="C656" s="57" t="s">
        <v>152</v>
      </c>
      <c r="D656" s="60">
        <v>8</v>
      </c>
      <c r="E656" s="59">
        <v>0</v>
      </c>
    </row>
    <row r="657" spans="2:5">
      <c r="B657" s="91"/>
      <c r="C657" s="57" t="s">
        <v>181</v>
      </c>
      <c r="D657" s="60">
        <v>1</v>
      </c>
      <c r="E657" s="59">
        <v>0</v>
      </c>
    </row>
    <row r="658" spans="2:5">
      <c r="B658" s="91"/>
      <c r="C658" s="57" t="s">
        <v>182</v>
      </c>
      <c r="D658" s="60">
        <v>6</v>
      </c>
      <c r="E658" s="59">
        <v>0</v>
      </c>
    </row>
    <row r="659" spans="2:5">
      <c r="B659" s="91"/>
      <c r="C659" s="57" t="s">
        <v>153</v>
      </c>
      <c r="D659" s="60">
        <v>3</v>
      </c>
      <c r="E659" s="59">
        <v>0</v>
      </c>
    </row>
    <row r="660" spans="2:5">
      <c r="B660" s="91"/>
      <c r="C660" s="57" t="s">
        <v>291</v>
      </c>
      <c r="D660" s="60">
        <v>13</v>
      </c>
      <c r="E660" s="59">
        <v>0</v>
      </c>
    </row>
    <row r="661" spans="2:5">
      <c r="B661" s="91"/>
      <c r="C661" s="57" t="s">
        <v>183</v>
      </c>
      <c r="D661" s="60">
        <v>1</v>
      </c>
      <c r="E661" s="59">
        <v>0</v>
      </c>
    </row>
    <row r="662" spans="2:5" ht="28.5">
      <c r="B662" s="91"/>
      <c r="C662" s="57" t="s">
        <v>154</v>
      </c>
      <c r="D662" s="60">
        <v>18</v>
      </c>
      <c r="E662" s="59">
        <v>0</v>
      </c>
    </row>
    <row r="663" spans="2:5">
      <c r="B663" s="91"/>
      <c r="C663" s="57" t="s">
        <v>155</v>
      </c>
      <c r="D663" s="60">
        <v>5</v>
      </c>
      <c r="E663" s="59">
        <v>0</v>
      </c>
    </row>
    <row r="664" spans="2:5">
      <c r="B664" s="91"/>
      <c r="C664" s="57" t="s">
        <v>157</v>
      </c>
      <c r="D664" s="60">
        <v>44</v>
      </c>
      <c r="E664" s="59">
        <v>1E-3</v>
      </c>
    </row>
    <row r="665" spans="2:5">
      <c r="B665" s="91"/>
      <c r="C665" s="57" t="s">
        <v>158</v>
      </c>
      <c r="D665" s="60">
        <v>4</v>
      </c>
      <c r="E665" s="59">
        <v>0</v>
      </c>
    </row>
    <row r="666" spans="2:5">
      <c r="B666" s="91"/>
      <c r="C666" s="57" t="s">
        <v>159</v>
      </c>
      <c r="D666" s="60">
        <v>25</v>
      </c>
      <c r="E666" s="59">
        <v>0</v>
      </c>
    </row>
    <row r="667" spans="2:5">
      <c r="B667" s="91"/>
      <c r="C667" s="57" t="s">
        <v>160</v>
      </c>
      <c r="D667" s="60">
        <v>104</v>
      </c>
      <c r="E667" s="59">
        <v>2E-3</v>
      </c>
    </row>
    <row r="668" spans="2:5">
      <c r="B668" s="91"/>
      <c r="C668" s="57" t="s">
        <v>161</v>
      </c>
      <c r="D668" s="60">
        <v>28</v>
      </c>
      <c r="E668" s="59">
        <v>0</v>
      </c>
    </row>
    <row r="669" spans="2:5">
      <c r="B669" s="91"/>
      <c r="C669" s="57" t="s">
        <v>184</v>
      </c>
      <c r="D669" s="60">
        <v>5</v>
      </c>
      <c r="E669" s="59">
        <v>0</v>
      </c>
    </row>
    <row r="670" spans="2:5">
      <c r="B670" s="91"/>
      <c r="C670" s="57" t="s">
        <v>162</v>
      </c>
      <c r="D670" s="60">
        <v>8</v>
      </c>
      <c r="E670" s="59">
        <v>0</v>
      </c>
    </row>
    <row r="671" spans="2:5">
      <c r="B671" s="91"/>
      <c r="C671" s="57" t="s">
        <v>185</v>
      </c>
      <c r="D671" s="60">
        <v>3</v>
      </c>
      <c r="E671" s="59">
        <v>0</v>
      </c>
    </row>
    <row r="672" spans="2:5">
      <c r="B672" s="91"/>
      <c r="C672" s="57" t="s">
        <v>186</v>
      </c>
      <c r="D672" s="60">
        <v>1</v>
      </c>
      <c r="E672" s="59">
        <v>0</v>
      </c>
    </row>
    <row r="673" spans="2:5">
      <c r="B673" s="91"/>
      <c r="C673" s="57" t="s">
        <v>163</v>
      </c>
      <c r="D673" s="60">
        <v>41</v>
      </c>
      <c r="E673" s="59">
        <v>1E-3</v>
      </c>
    </row>
    <row r="674" spans="2:5">
      <c r="B674" s="91"/>
      <c r="C674" s="57" t="s">
        <v>164</v>
      </c>
      <c r="D674" s="60">
        <v>2</v>
      </c>
      <c r="E674" s="59">
        <v>0</v>
      </c>
    </row>
    <row r="675" spans="2:5">
      <c r="B675" s="91"/>
      <c r="C675" s="57" t="s">
        <v>165</v>
      </c>
      <c r="D675" s="60">
        <v>37</v>
      </c>
      <c r="E675" s="59">
        <v>1E-3</v>
      </c>
    </row>
    <row r="676" spans="2:5">
      <c r="B676" s="91"/>
      <c r="C676" s="57" t="s">
        <v>166</v>
      </c>
      <c r="D676" s="60">
        <v>16</v>
      </c>
      <c r="E676" s="59">
        <v>0</v>
      </c>
    </row>
    <row r="677" spans="2:5">
      <c r="B677" s="91"/>
      <c r="C677" s="57" t="s">
        <v>167</v>
      </c>
      <c r="D677" s="60">
        <v>8</v>
      </c>
      <c r="E677" s="59">
        <v>0</v>
      </c>
    </row>
    <row r="678" spans="2:5">
      <c r="B678" s="91"/>
      <c r="C678" s="57" t="s">
        <v>168</v>
      </c>
      <c r="D678" s="60">
        <v>16</v>
      </c>
      <c r="E678" s="59">
        <v>0</v>
      </c>
    </row>
    <row r="679" spans="2:5">
      <c r="B679" s="91"/>
      <c r="C679" s="57" t="s">
        <v>169</v>
      </c>
      <c r="D679" s="60">
        <v>26</v>
      </c>
      <c r="E679" s="59">
        <v>0</v>
      </c>
    </row>
    <row r="680" spans="2:5">
      <c r="B680" s="91"/>
      <c r="C680" s="57" t="s">
        <v>170</v>
      </c>
      <c r="D680" s="60">
        <v>4</v>
      </c>
      <c r="E680" s="59">
        <v>0</v>
      </c>
    </row>
    <row r="681" spans="2:5">
      <c r="B681" s="91"/>
      <c r="C681" s="57" t="s">
        <v>171</v>
      </c>
      <c r="D681" s="60">
        <v>14</v>
      </c>
      <c r="E681" s="59">
        <v>0</v>
      </c>
    </row>
    <row r="682" spans="2:5">
      <c r="B682" s="91"/>
      <c r="C682" s="57" t="s">
        <v>172</v>
      </c>
      <c r="D682" s="60">
        <v>10</v>
      </c>
      <c r="E682" s="59">
        <v>0</v>
      </c>
    </row>
    <row r="683" spans="2:5">
      <c r="B683" s="91"/>
      <c r="C683" s="57" t="s">
        <v>192</v>
      </c>
      <c r="D683" s="60">
        <v>1</v>
      </c>
      <c r="E683" s="59">
        <v>0</v>
      </c>
    </row>
    <row r="684" spans="2:5">
      <c r="B684" s="91"/>
      <c r="C684" s="57" t="s">
        <v>187</v>
      </c>
      <c r="D684" s="60">
        <v>75</v>
      </c>
      <c r="E684" s="59">
        <v>1E-3</v>
      </c>
    </row>
    <row r="685" spans="2:5">
      <c r="B685" s="91"/>
      <c r="C685" s="57" t="s">
        <v>173</v>
      </c>
      <c r="D685" s="60">
        <v>13</v>
      </c>
      <c r="E685" s="59">
        <v>0</v>
      </c>
    </row>
    <row r="686" spans="2:5">
      <c r="B686" s="91"/>
      <c r="C686" s="57" t="s">
        <v>174</v>
      </c>
      <c r="D686" s="60">
        <v>2</v>
      </c>
      <c r="E686" s="59">
        <v>0</v>
      </c>
    </row>
    <row r="687" spans="2:5">
      <c r="B687" s="91"/>
      <c r="C687" s="57" t="s">
        <v>189</v>
      </c>
      <c r="D687" s="60">
        <v>9</v>
      </c>
      <c r="E687" s="59">
        <v>0</v>
      </c>
    </row>
    <row r="688" spans="2:5">
      <c r="B688" s="91"/>
      <c r="C688" s="57" t="s">
        <v>190</v>
      </c>
      <c r="D688" s="60">
        <v>4</v>
      </c>
      <c r="E688" s="59">
        <v>0</v>
      </c>
    </row>
    <row r="689" spans="2:5">
      <c r="B689" s="91"/>
      <c r="C689" s="57" t="s">
        <v>175</v>
      </c>
      <c r="D689" s="60">
        <v>42</v>
      </c>
      <c r="E689" s="59">
        <v>1E-3</v>
      </c>
    </row>
    <row r="690" spans="2:5">
      <c r="B690" s="91"/>
      <c r="C690" s="57" t="s">
        <v>176</v>
      </c>
      <c r="D690" s="60">
        <v>11</v>
      </c>
      <c r="E690" s="59">
        <v>0</v>
      </c>
    </row>
    <row r="691" spans="2:5">
      <c r="B691" s="91"/>
      <c r="C691" s="57" t="s">
        <v>177</v>
      </c>
      <c r="D691" s="60">
        <v>1</v>
      </c>
      <c r="E691" s="59">
        <v>0</v>
      </c>
    </row>
    <row r="692" spans="2:5">
      <c r="B692" s="91"/>
      <c r="C692" s="57" t="s">
        <v>191</v>
      </c>
      <c r="D692" s="60">
        <v>3</v>
      </c>
      <c r="E692" s="59">
        <v>0</v>
      </c>
    </row>
    <row r="693" spans="2:5">
      <c r="B693" s="91"/>
      <c r="C693" s="57" t="s">
        <v>178</v>
      </c>
      <c r="D693" s="60">
        <v>7</v>
      </c>
      <c r="E693" s="59">
        <v>0</v>
      </c>
    </row>
    <row r="694" spans="2:5">
      <c r="B694" s="91"/>
      <c r="C694" s="57" t="s">
        <v>179</v>
      </c>
      <c r="D694" s="60">
        <v>7</v>
      </c>
      <c r="E694" s="59">
        <v>0</v>
      </c>
    </row>
    <row r="695" spans="2:5">
      <c r="B695" s="92"/>
      <c r="C695" s="71" t="s">
        <v>302</v>
      </c>
      <c r="D695" s="73">
        <v>715</v>
      </c>
      <c r="E695" s="72">
        <v>1.0999999999999999E-2</v>
      </c>
    </row>
    <row r="696" spans="2:5">
      <c r="B696" s="90" t="s">
        <v>86</v>
      </c>
      <c r="C696" s="57" t="s">
        <v>147</v>
      </c>
      <c r="D696" s="60">
        <v>1</v>
      </c>
      <c r="E696" s="59">
        <v>0</v>
      </c>
    </row>
    <row r="697" spans="2:5">
      <c r="B697" s="91"/>
      <c r="C697" s="57" t="s">
        <v>148</v>
      </c>
      <c r="D697" s="60">
        <v>1</v>
      </c>
      <c r="E697" s="59">
        <v>0</v>
      </c>
    </row>
    <row r="698" spans="2:5">
      <c r="B698" s="91"/>
      <c r="C698" s="57" t="s">
        <v>149</v>
      </c>
      <c r="D698" s="60">
        <v>1</v>
      </c>
      <c r="E698" s="59">
        <v>0</v>
      </c>
    </row>
    <row r="699" spans="2:5">
      <c r="B699" s="91"/>
      <c r="C699" s="57" t="s">
        <v>151</v>
      </c>
      <c r="D699" s="60">
        <v>5</v>
      </c>
      <c r="E699" s="59">
        <v>0</v>
      </c>
    </row>
    <row r="700" spans="2:5">
      <c r="B700" s="91"/>
      <c r="C700" s="57" t="s">
        <v>182</v>
      </c>
      <c r="D700" s="60">
        <v>4</v>
      </c>
      <c r="E700" s="59">
        <v>0</v>
      </c>
    </row>
    <row r="701" spans="2:5" ht="28.5">
      <c r="B701" s="91"/>
      <c r="C701" s="57" t="s">
        <v>154</v>
      </c>
      <c r="D701" s="60">
        <v>7</v>
      </c>
      <c r="E701" s="59">
        <v>0</v>
      </c>
    </row>
    <row r="702" spans="2:5">
      <c r="B702" s="91"/>
      <c r="C702" s="57" t="s">
        <v>155</v>
      </c>
      <c r="D702" s="60">
        <v>2</v>
      </c>
      <c r="E702" s="59">
        <v>0</v>
      </c>
    </row>
    <row r="703" spans="2:5">
      <c r="B703" s="91"/>
      <c r="C703" s="57" t="s">
        <v>157</v>
      </c>
      <c r="D703" s="60">
        <v>10</v>
      </c>
      <c r="E703" s="59">
        <v>0</v>
      </c>
    </row>
    <row r="704" spans="2:5">
      <c r="B704" s="91"/>
      <c r="C704" s="57" t="s">
        <v>158</v>
      </c>
      <c r="D704" s="60">
        <v>1</v>
      </c>
      <c r="E704" s="59">
        <v>0</v>
      </c>
    </row>
    <row r="705" spans="2:5">
      <c r="B705" s="91"/>
      <c r="C705" s="57" t="s">
        <v>159</v>
      </c>
      <c r="D705" s="60">
        <v>1</v>
      </c>
      <c r="E705" s="59">
        <v>0</v>
      </c>
    </row>
    <row r="706" spans="2:5">
      <c r="B706" s="91"/>
      <c r="C706" s="57" t="s">
        <v>160</v>
      </c>
      <c r="D706" s="60">
        <v>23</v>
      </c>
      <c r="E706" s="59">
        <v>0</v>
      </c>
    </row>
    <row r="707" spans="2:5">
      <c r="B707" s="91"/>
      <c r="C707" s="57" t="s">
        <v>184</v>
      </c>
      <c r="D707" s="60">
        <v>1</v>
      </c>
      <c r="E707" s="59">
        <v>0</v>
      </c>
    </row>
    <row r="708" spans="2:5">
      <c r="B708" s="91"/>
      <c r="C708" s="57" t="s">
        <v>164</v>
      </c>
      <c r="D708" s="60">
        <v>1</v>
      </c>
      <c r="E708" s="59">
        <v>0</v>
      </c>
    </row>
    <row r="709" spans="2:5">
      <c r="B709" s="91"/>
      <c r="C709" s="57" t="s">
        <v>165</v>
      </c>
      <c r="D709" s="60">
        <v>6</v>
      </c>
      <c r="E709" s="59">
        <v>0</v>
      </c>
    </row>
    <row r="710" spans="2:5">
      <c r="B710" s="91"/>
      <c r="C710" s="57" t="s">
        <v>167</v>
      </c>
      <c r="D710" s="60">
        <v>3</v>
      </c>
      <c r="E710" s="59">
        <v>0</v>
      </c>
    </row>
    <row r="711" spans="2:5">
      <c r="B711" s="91"/>
      <c r="C711" s="57" t="s">
        <v>168</v>
      </c>
      <c r="D711" s="60">
        <v>7</v>
      </c>
      <c r="E711" s="59">
        <v>0</v>
      </c>
    </row>
    <row r="712" spans="2:5">
      <c r="B712" s="91"/>
      <c r="C712" s="57" t="s">
        <v>171</v>
      </c>
      <c r="D712" s="60">
        <v>8</v>
      </c>
      <c r="E712" s="59">
        <v>0</v>
      </c>
    </row>
    <row r="713" spans="2:5">
      <c r="B713" s="91"/>
      <c r="C713" s="57" t="s">
        <v>187</v>
      </c>
      <c r="D713" s="60">
        <v>1</v>
      </c>
      <c r="E713" s="59">
        <v>0</v>
      </c>
    </row>
    <row r="714" spans="2:5">
      <c r="B714" s="91"/>
      <c r="C714" s="57" t="s">
        <v>173</v>
      </c>
      <c r="D714" s="60">
        <v>8</v>
      </c>
      <c r="E714" s="59">
        <v>0</v>
      </c>
    </row>
    <row r="715" spans="2:5">
      <c r="B715" s="91"/>
      <c r="C715" s="57" t="s">
        <v>189</v>
      </c>
      <c r="D715" s="60">
        <v>1</v>
      </c>
      <c r="E715" s="59">
        <v>0</v>
      </c>
    </row>
    <row r="716" spans="2:5">
      <c r="B716" s="91"/>
      <c r="C716" s="57" t="s">
        <v>176</v>
      </c>
      <c r="D716" s="60">
        <v>1</v>
      </c>
      <c r="E716" s="59">
        <v>0</v>
      </c>
    </row>
    <row r="717" spans="2:5">
      <c r="B717" s="91"/>
      <c r="C717" s="57" t="s">
        <v>177</v>
      </c>
      <c r="D717" s="60">
        <v>1</v>
      </c>
      <c r="E717" s="59">
        <v>0</v>
      </c>
    </row>
    <row r="718" spans="2:5">
      <c r="B718" s="91"/>
      <c r="C718" s="57" t="s">
        <v>179</v>
      </c>
      <c r="D718" s="60">
        <v>1</v>
      </c>
      <c r="E718" s="59">
        <v>0</v>
      </c>
    </row>
    <row r="719" spans="2:5">
      <c r="B719" s="92"/>
      <c r="C719" s="71" t="s">
        <v>302</v>
      </c>
      <c r="D719" s="73">
        <v>95</v>
      </c>
      <c r="E719" s="72">
        <v>1E-3</v>
      </c>
    </row>
    <row r="720" spans="2:5">
      <c r="B720" s="90" t="s">
        <v>75</v>
      </c>
      <c r="C720" s="57" t="s">
        <v>147</v>
      </c>
      <c r="D720" s="60">
        <v>9</v>
      </c>
      <c r="E720" s="59">
        <v>0</v>
      </c>
    </row>
    <row r="721" spans="2:5">
      <c r="B721" s="91"/>
      <c r="C721" s="57" t="s">
        <v>148</v>
      </c>
      <c r="D721" s="60">
        <v>19</v>
      </c>
      <c r="E721" s="59">
        <v>0</v>
      </c>
    </row>
    <row r="722" spans="2:5">
      <c r="B722" s="91"/>
      <c r="C722" s="57" t="s">
        <v>149</v>
      </c>
      <c r="D722" s="60">
        <v>2</v>
      </c>
      <c r="E722" s="59">
        <v>0</v>
      </c>
    </row>
    <row r="723" spans="2:5">
      <c r="B723" s="91"/>
      <c r="C723" s="57" t="s">
        <v>151</v>
      </c>
      <c r="D723" s="60">
        <v>30</v>
      </c>
      <c r="E723" s="59">
        <v>0</v>
      </c>
    </row>
    <row r="724" spans="2:5">
      <c r="B724" s="91"/>
      <c r="C724" s="57" t="s">
        <v>152</v>
      </c>
      <c r="D724" s="60">
        <v>2</v>
      </c>
      <c r="E724" s="59">
        <v>0</v>
      </c>
    </row>
    <row r="725" spans="2:5">
      <c r="B725" s="91"/>
      <c r="C725" s="57" t="s">
        <v>182</v>
      </c>
      <c r="D725" s="60">
        <v>14</v>
      </c>
      <c r="E725" s="59">
        <v>0</v>
      </c>
    </row>
    <row r="726" spans="2:5">
      <c r="B726" s="91"/>
      <c r="C726" s="57" t="s">
        <v>153</v>
      </c>
      <c r="D726" s="60">
        <v>8</v>
      </c>
      <c r="E726" s="59">
        <v>0</v>
      </c>
    </row>
    <row r="727" spans="2:5">
      <c r="B727" s="91"/>
      <c r="C727" s="57" t="s">
        <v>291</v>
      </c>
      <c r="D727" s="60">
        <v>39</v>
      </c>
      <c r="E727" s="59">
        <v>1E-3</v>
      </c>
    </row>
    <row r="728" spans="2:5" ht="28.5">
      <c r="B728" s="91"/>
      <c r="C728" s="57" t="s">
        <v>154</v>
      </c>
      <c r="D728" s="60">
        <v>5</v>
      </c>
      <c r="E728" s="59">
        <v>0</v>
      </c>
    </row>
    <row r="729" spans="2:5">
      <c r="B729" s="91"/>
      <c r="C729" s="57" t="s">
        <v>155</v>
      </c>
      <c r="D729" s="60">
        <v>15</v>
      </c>
      <c r="E729" s="59">
        <v>0</v>
      </c>
    </row>
    <row r="730" spans="2:5">
      <c r="B730" s="91"/>
      <c r="C730" s="57" t="s">
        <v>156</v>
      </c>
      <c r="D730" s="60">
        <v>3</v>
      </c>
      <c r="E730" s="59">
        <v>0</v>
      </c>
    </row>
    <row r="731" spans="2:5">
      <c r="B731" s="91"/>
      <c r="C731" s="57" t="s">
        <v>157</v>
      </c>
      <c r="D731" s="60">
        <v>62</v>
      </c>
      <c r="E731" s="59">
        <v>1E-3</v>
      </c>
    </row>
    <row r="732" spans="2:5">
      <c r="B732" s="91"/>
      <c r="C732" s="57" t="s">
        <v>158</v>
      </c>
      <c r="D732" s="60">
        <v>21</v>
      </c>
      <c r="E732" s="59">
        <v>0</v>
      </c>
    </row>
    <row r="733" spans="2:5">
      <c r="B733" s="91"/>
      <c r="C733" s="57" t="s">
        <v>159</v>
      </c>
      <c r="D733" s="60">
        <v>9</v>
      </c>
      <c r="E733" s="59">
        <v>0</v>
      </c>
    </row>
    <row r="734" spans="2:5">
      <c r="B734" s="91"/>
      <c r="C734" s="57" t="s">
        <v>160</v>
      </c>
      <c r="D734" s="60">
        <v>83</v>
      </c>
      <c r="E734" s="59">
        <v>1E-3</v>
      </c>
    </row>
    <row r="735" spans="2:5">
      <c r="B735" s="91"/>
      <c r="C735" s="57" t="s">
        <v>161</v>
      </c>
      <c r="D735" s="60">
        <v>22</v>
      </c>
      <c r="E735" s="59">
        <v>0</v>
      </c>
    </row>
    <row r="736" spans="2:5">
      <c r="B736" s="91"/>
      <c r="C736" s="57" t="s">
        <v>184</v>
      </c>
      <c r="D736" s="60">
        <v>2</v>
      </c>
      <c r="E736" s="59">
        <v>0</v>
      </c>
    </row>
    <row r="737" spans="2:5">
      <c r="B737" s="91"/>
      <c r="C737" s="57" t="s">
        <v>185</v>
      </c>
      <c r="D737" s="60">
        <v>8</v>
      </c>
      <c r="E737" s="59">
        <v>0</v>
      </c>
    </row>
    <row r="738" spans="2:5">
      <c r="B738" s="91"/>
      <c r="C738" s="57" t="s">
        <v>186</v>
      </c>
      <c r="D738" s="60">
        <v>11</v>
      </c>
      <c r="E738" s="59">
        <v>0</v>
      </c>
    </row>
    <row r="739" spans="2:5">
      <c r="B739" s="91"/>
      <c r="C739" s="57" t="s">
        <v>163</v>
      </c>
      <c r="D739" s="60">
        <v>34</v>
      </c>
      <c r="E739" s="59">
        <v>1E-3</v>
      </c>
    </row>
    <row r="740" spans="2:5">
      <c r="B740" s="91"/>
      <c r="C740" s="57" t="s">
        <v>164</v>
      </c>
      <c r="D740" s="60">
        <v>4</v>
      </c>
      <c r="E740" s="59">
        <v>0</v>
      </c>
    </row>
    <row r="741" spans="2:5">
      <c r="B741" s="91"/>
      <c r="C741" s="57" t="s">
        <v>165</v>
      </c>
      <c r="D741" s="60">
        <v>13</v>
      </c>
      <c r="E741" s="59">
        <v>0</v>
      </c>
    </row>
    <row r="742" spans="2:5">
      <c r="B742" s="91"/>
      <c r="C742" s="57" t="s">
        <v>166</v>
      </c>
      <c r="D742" s="60">
        <v>19</v>
      </c>
      <c r="E742" s="59">
        <v>0</v>
      </c>
    </row>
    <row r="743" spans="2:5">
      <c r="B743" s="91"/>
      <c r="C743" s="57" t="s">
        <v>168</v>
      </c>
      <c r="D743" s="60">
        <v>3</v>
      </c>
      <c r="E743" s="59">
        <v>0</v>
      </c>
    </row>
    <row r="744" spans="2:5">
      <c r="B744" s="91"/>
      <c r="C744" s="57" t="s">
        <v>169</v>
      </c>
      <c r="D744" s="60">
        <v>60</v>
      </c>
      <c r="E744" s="59">
        <v>1E-3</v>
      </c>
    </row>
    <row r="745" spans="2:5">
      <c r="B745" s="91"/>
      <c r="C745" s="57" t="s">
        <v>170</v>
      </c>
      <c r="D745" s="60">
        <v>2</v>
      </c>
      <c r="E745" s="59">
        <v>0</v>
      </c>
    </row>
    <row r="746" spans="2:5">
      <c r="B746" s="91"/>
      <c r="C746" s="57" t="s">
        <v>171</v>
      </c>
      <c r="D746" s="60">
        <v>2</v>
      </c>
      <c r="E746" s="59">
        <v>0</v>
      </c>
    </row>
    <row r="747" spans="2:5">
      <c r="B747" s="91"/>
      <c r="C747" s="57" t="s">
        <v>187</v>
      </c>
      <c r="D747" s="60">
        <v>1</v>
      </c>
      <c r="E747" s="59">
        <v>0</v>
      </c>
    </row>
    <row r="748" spans="2:5">
      <c r="B748" s="91"/>
      <c r="C748" s="57" t="s">
        <v>173</v>
      </c>
      <c r="D748" s="60">
        <v>13</v>
      </c>
      <c r="E748" s="59">
        <v>0</v>
      </c>
    </row>
    <row r="749" spans="2:5">
      <c r="B749" s="91"/>
      <c r="C749" s="57" t="s">
        <v>189</v>
      </c>
      <c r="D749" s="60">
        <v>3</v>
      </c>
      <c r="E749" s="59">
        <v>0</v>
      </c>
    </row>
    <row r="750" spans="2:5">
      <c r="B750" s="91"/>
      <c r="C750" s="57" t="s">
        <v>190</v>
      </c>
      <c r="D750" s="60">
        <v>1</v>
      </c>
      <c r="E750" s="59">
        <v>0</v>
      </c>
    </row>
    <row r="751" spans="2:5">
      <c r="B751" s="91"/>
      <c r="C751" s="57" t="s">
        <v>176</v>
      </c>
      <c r="D751" s="60">
        <v>17</v>
      </c>
      <c r="E751" s="59">
        <v>0</v>
      </c>
    </row>
    <row r="752" spans="2:5">
      <c r="B752" s="91"/>
      <c r="C752" s="57" t="s">
        <v>179</v>
      </c>
      <c r="D752" s="60">
        <v>5</v>
      </c>
      <c r="E752" s="59">
        <v>0</v>
      </c>
    </row>
    <row r="753" spans="2:5">
      <c r="B753" s="92"/>
      <c r="C753" s="71" t="s">
        <v>302</v>
      </c>
      <c r="D753" s="73">
        <v>541</v>
      </c>
      <c r="E753" s="72">
        <v>8.9999999999999993E-3</v>
      </c>
    </row>
    <row r="754" spans="2:5">
      <c r="B754" s="90" t="s">
        <v>52</v>
      </c>
      <c r="C754" s="57" t="s">
        <v>147</v>
      </c>
      <c r="D754" s="60">
        <v>8</v>
      </c>
      <c r="E754" s="59">
        <v>0</v>
      </c>
    </row>
    <row r="755" spans="2:5">
      <c r="B755" s="91"/>
      <c r="C755" s="57" t="s">
        <v>148</v>
      </c>
      <c r="D755" s="60">
        <v>110</v>
      </c>
      <c r="E755" s="59">
        <v>2E-3</v>
      </c>
    </row>
    <row r="756" spans="2:5">
      <c r="B756" s="91"/>
      <c r="C756" s="57" t="s">
        <v>149</v>
      </c>
      <c r="D756" s="60">
        <v>44</v>
      </c>
      <c r="E756" s="59">
        <v>1E-3</v>
      </c>
    </row>
    <row r="757" spans="2:5">
      <c r="B757" s="91"/>
      <c r="C757" s="57" t="s">
        <v>150</v>
      </c>
      <c r="D757" s="60">
        <v>16</v>
      </c>
      <c r="E757" s="59">
        <v>0</v>
      </c>
    </row>
    <row r="758" spans="2:5">
      <c r="B758" s="91"/>
      <c r="C758" s="57" t="s">
        <v>180</v>
      </c>
      <c r="D758" s="60">
        <v>2</v>
      </c>
      <c r="E758" s="59">
        <v>0</v>
      </c>
    </row>
    <row r="759" spans="2:5">
      <c r="B759" s="91"/>
      <c r="C759" s="57" t="s">
        <v>151</v>
      </c>
      <c r="D759" s="60">
        <v>105</v>
      </c>
      <c r="E759" s="59">
        <v>2E-3</v>
      </c>
    </row>
    <row r="760" spans="2:5">
      <c r="B760" s="91"/>
      <c r="C760" s="57" t="s">
        <v>152</v>
      </c>
      <c r="D760" s="60">
        <v>70</v>
      </c>
      <c r="E760" s="59">
        <v>1E-3</v>
      </c>
    </row>
    <row r="761" spans="2:5">
      <c r="B761" s="91"/>
      <c r="C761" s="57" t="s">
        <v>181</v>
      </c>
      <c r="D761" s="60">
        <v>5</v>
      </c>
      <c r="E761" s="59">
        <v>0</v>
      </c>
    </row>
    <row r="762" spans="2:5">
      <c r="B762" s="91"/>
      <c r="C762" s="57" t="s">
        <v>182</v>
      </c>
      <c r="D762" s="60">
        <v>14</v>
      </c>
      <c r="E762" s="59">
        <v>0</v>
      </c>
    </row>
    <row r="763" spans="2:5">
      <c r="B763" s="91"/>
      <c r="C763" s="57" t="s">
        <v>153</v>
      </c>
      <c r="D763" s="60">
        <v>6</v>
      </c>
      <c r="E763" s="59">
        <v>0</v>
      </c>
    </row>
    <row r="764" spans="2:5">
      <c r="B764" s="91"/>
      <c r="C764" s="57" t="s">
        <v>183</v>
      </c>
      <c r="D764" s="60">
        <v>25</v>
      </c>
      <c r="E764" s="59">
        <v>0</v>
      </c>
    </row>
    <row r="765" spans="2:5" ht="28.5">
      <c r="B765" s="91"/>
      <c r="C765" s="57" t="s">
        <v>154</v>
      </c>
      <c r="D765" s="60">
        <v>71</v>
      </c>
      <c r="E765" s="59">
        <v>1E-3</v>
      </c>
    </row>
    <row r="766" spans="2:5">
      <c r="B766" s="91"/>
      <c r="C766" s="57" t="s">
        <v>155</v>
      </c>
      <c r="D766" s="60">
        <v>46</v>
      </c>
      <c r="E766" s="59">
        <v>1E-3</v>
      </c>
    </row>
    <row r="767" spans="2:5">
      <c r="B767" s="91"/>
      <c r="C767" s="57" t="s">
        <v>156</v>
      </c>
      <c r="D767" s="60">
        <v>3</v>
      </c>
      <c r="E767" s="59">
        <v>0</v>
      </c>
    </row>
    <row r="768" spans="2:5">
      <c r="B768" s="91"/>
      <c r="C768" s="57" t="s">
        <v>157</v>
      </c>
      <c r="D768" s="60">
        <v>580</v>
      </c>
      <c r="E768" s="59">
        <v>8.9999999999999993E-3</v>
      </c>
    </row>
    <row r="769" spans="2:5">
      <c r="B769" s="91"/>
      <c r="C769" s="57" t="s">
        <v>159</v>
      </c>
      <c r="D769" s="60">
        <v>111</v>
      </c>
      <c r="E769" s="59">
        <v>2E-3</v>
      </c>
    </row>
    <row r="770" spans="2:5">
      <c r="B770" s="91"/>
      <c r="C770" s="57" t="s">
        <v>160</v>
      </c>
      <c r="D770" s="60">
        <v>265</v>
      </c>
      <c r="E770" s="59">
        <v>4.0000000000000001E-3</v>
      </c>
    </row>
    <row r="771" spans="2:5">
      <c r="B771" s="91"/>
      <c r="C771" s="57" t="s">
        <v>161</v>
      </c>
      <c r="D771" s="60">
        <v>25</v>
      </c>
      <c r="E771" s="59">
        <v>0</v>
      </c>
    </row>
    <row r="772" spans="2:5">
      <c r="B772" s="91"/>
      <c r="C772" s="57" t="s">
        <v>184</v>
      </c>
      <c r="D772" s="60">
        <v>2</v>
      </c>
      <c r="E772" s="59">
        <v>0</v>
      </c>
    </row>
    <row r="773" spans="2:5">
      <c r="B773" s="91"/>
      <c r="C773" s="57" t="s">
        <v>162</v>
      </c>
      <c r="D773" s="60">
        <v>9</v>
      </c>
      <c r="E773" s="59">
        <v>0</v>
      </c>
    </row>
    <row r="774" spans="2:5">
      <c r="B774" s="91"/>
      <c r="C774" s="57" t="s">
        <v>185</v>
      </c>
      <c r="D774" s="60">
        <v>2</v>
      </c>
      <c r="E774" s="59">
        <v>0</v>
      </c>
    </row>
    <row r="775" spans="2:5">
      <c r="B775" s="91"/>
      <c r="C775" s="57" t="s">
        <v>186</v>
      </c>
      <c r="D775" s="60">
        <v>4</v>
      </c>
      <c r="E775" s="59">
        <v>0</v>
      </c>
    </row>
    <row r="776" spans="2:5">
      <c r="B776" s="91"/>
      <c r="C776" s="57" t="s">
        <v>163</v>
      </c>
      <c r="D776" s="60">
        <v>70</v>
      </c>
      <c r="E776" s="59">
        <v>1E-3</v>
      </c>
    </row>
    <row r="777" spans="2:5">
      <c r="B777" s="91"/>
      <c r="C777" s="57" t="s">
        <v>164</v>
      </c>
      <c r="D777" s="60">
        <v>1</v>
      </c>
      <c r="E777" s="59">
        <v>0</v>
      </c>
    </row>
    <row r="778" spans="2:5">
      <c r="B778" s="91"/>
      <c r="C778" s="57" t="s">
        <v>165</v>
      </c>
      <c r="D778" s="60">
        <v>38</v>
      </c>
      <c r="E778" s="59">
        <v>1E-3</v>
      </c>
    </row>
    <row r="779" spans="2:5">
      <c r="B779" s="91"/>
      <c r="C779" s="57" t="s">
        <v>166</v>
      </c>
      <c r="D779" s="60">
        <v>20</v>
      </c>
      <c r="E779" s="59">
        <v>0</v>
      </c>
    </row>
    <row r="780" spans="2:5">
      <c r="B780" s="91"/>
      <c r="C780" s="57" t="s">
        <v>167</v>
      </c>
      <c r="D780" s="60">
        <v>10</v>
      </c>
      <c r="E780" s="59">
        <v>0</v>
      </c>
    </row>
    <row r="781" spans="2:5">
      <c r="B781" s="91"/>
      <c r="C781" s="57" t="s">
        <v>168</v>
      </c>
      <c r="D781" s="60">
        <v>122</v>
      </c>
      <c r="E781" s="59">
        <v>2E-3</v>
      </c>
    </row>
    <row r="782" spans="2:5">
      <c r="B782" s="91"/>
      <c r="C782" s="57" t="s">
        <v>169</v>
      </c>
      <c r="D782" s="60">
        <v>26</v>
      </c>
      <c r="E782" s="59">
        <v>0</v>
      </c>
    </row>
    <row r="783" spans="2:5">
      <c r="B783" s="91"/>
      <c r="C783" s="57" t="s">
        <v>170</v>
      </c>
      <c r="D783" s="60">
        <v>21</v>
      </c>
      <c r="E783" s="59">
        <v>0</v>
      </c>
    </row>
    <row r="784" spans="2:5">
      <c r="B784" s="91"/>
      <c r="C784" s="57" t="s">
        <v>171</v>
      </c>
      <c r="D784" s="60">
        <v>119</v>
      </c>
      <c r="E784" s="59">
        <v>2E-3</v>
      </c>
    </row>
    <row r="785" spans="2:5">
      <c r="B785" s="91"/>
      <c r="C785" s="57" t="s">
        <v>172</v>
      </c>
      <c r="D785" s="60">
        <v>39</v>
      </c>
      <c r="E785" s="59">
        <v>1E-3</v>
      </c>
    </row>
    <row r="786" spans="2:5">
      <c r="B786" s="91"/>
      <c r="C786" s="57" t="s">
        <v>187</v>
      </c>
      <c r="D786" s="60">
        <v>40</v>
      </c>
      <c r="E786" s="59">
        <v>1E-3</v>
      </c>
    </row>
    <row r="787" spans="2:5">
      <c r="B787" s="91"/>
      <c r="C787" s="57" t="s">
        <v>188</v>
      </c>
      <c r="D787" s="60">
        <v>2</v>
      </c>
      <c r="E787" s="59">
        <v>0</v>
      </c>
    </row>
    <row r="788" spans="2:5">
      <c r="B788" s="91"/>
      <c r="C788" s="57" t="s">
        <v>173</v>
      </c>
      <c r="D788" s="60">
        <v>12</v>
      </c>
      <c r="E788" s="59">
        <v>0</v>
      </c>
    </row>
    <row r="789" spans="2:5">
      <c r="B789" s="91"/>
      <c r="C789" s="57" t="s">
        <v>174</v>
      </c>
      <c r="D789" s="60">
        <v>94</v>
      </c>
      <c r="E789" s="59">
        <v>1E-3</v>
      </c>
    </row>
    <row r="790" spans="2:5">
      <c r="B790" s="91"/>
      <c r="C790" s="57" t="s">
        <v>189</v>
      </c>
      <c r="D790" s="60">
        <v>10</v>
      </c>
      <c r="E790" s="59">
        <v>0</v>
      </c>
    </row>
    <row r="791" spans="2:5">
      <c r="B791" s="91"/>
      <c r="C791" s="57" t="s">
        <v>190</v>
      </c>
      <c r="D791" s="60">
        <v>2</v>
      </c>
      <c r="E791" s="59">
        <v>0</v>
      </c>
    </row>
    <row r="792" spans="2:5">
      <c r="B792" s="91"/>
      <c r="C792" s="57" t="s">
        <v>175</v>
      </c>
      <c r="D792" s="60">
        <v>4</v>
      </c>
      <c r="E792" s="59">
        <v>0</v>
      </c>
    </row>
    <row r="793" spans="2:5">
      <c r="B793" s="91"/>
      <c r="C793" s="57" t="s">
        <v>176</v>
      </c>
      <c r="D793" s="60">
        <v>45</v>
      </c>
      <c r="E793" s="59">
        <v>1E-3</v>
      </c>
    </row>
    <row r="794" spans="2:5">
      <c r="B794" s="91"/>
      <c r="C794" s="57" t="s">
        <v>177</v>
      </c>
      <c r="D794" s="60">
        <v>47</v>
      </c>
      <c r="E794" s="59">
        <v>1E-3</v>
      </c>
    </row>
    <row r="795" spans="2:5">
      <c r="B795" s="91"/>
      <c r="C795" s="57" t="s">
        <v>191</v>
      </c>
      <c r="D795" s="60">
        <v>5</v>
      </c>
      <c r="E795" s="59">
        <v>0</v>
      </c>
    </row>
    <row r="796" spans="2:5">
      <c r="B796" s="91"/>
      <c r="C796" s="57" t="s">
        <v>178</v>
      </c>
      <c r="D796" s="60">
        <v>49</v>
      </c>
      <c r="E796" s="59">
        <v>1E-3</v>
      </c>
    </row>
    <row r="797" spans="2:5">
      <c r="B797" s="91"/>
      <c r="C797" s="57" t="s">
        <v>179</v>
      </c>
      <c r="D797" s="60">
        <v>8</v>
      </c>
      <c r="E797" s="59">
        <v>0</v>
      </c>
    </row>
    <row r="798" spans="2:5">
      <c r="B798" s="92"/>
      <c r="C798" s="71" t="s">
        <v>302</v>
      </c>
      <c r="D798" s="73">
        <v>2307</v>
      </c>
      <c r="E798" s="72">
        <v>3.5999999999999997E-2</v>
      </c>
    </row>
    <row r="799" spans="2:5">
      <c r="B799" s="90" t="s">
        <v>49</v>
      </c>
      <c r="C799" s="57" t="s">
        <v>147</v>
      </c>
      <c r="D799" s="60">
        <v>140</v>
      </c>
      <c r="E799" s="59">
        <v>2E-3</v>
      </c>
    </row>
    <row r="800" spans="2:5">
      <c r="B800" s="91"/>
      <c r="C800" s="57" t="s">
        <v>148</v>
      </c>
      <c r="D800" s="60">
        <v>116</v>
      </c>
      <c r="E800" s="59">
        <v>2E-3</v>
      </c>
    </row>
    <row r="801" spans="2:5">
      <c r="B801" s="91"/>
      <c r="C801" s="57" t="s">
        <v>149</v>
      </c>
      <c r="D801" s="60">
        <v>12</v>
      </c>
      <c r="E801" s="59">
        <v>0</v>
      </c>
    </row>
    <row r="802" spans="2:5">
      <c r="B802" s="91"/>
      <c r="C802" s="57" t="s">
        <v>150</v>
      </c>
      <c r="D802" s="60">
        <v>2</v>
      </c>
      <c r="E802" s="59">
        <v>0</v>
      </c>
    </row>
    <row r="803" spans="2:5">
      <c r="B803" s="91"/>
      <c r="C803" s="57" t="s">
        <v>180</v>
      </c>
      <c r="D803" s="60">
        <v>1</v>
      </c>
      <c r="E803" s="59">
        <v>0</v>
      </c>
    </row>
    <row r="804" spans="2:5">
      <c r="B804" s="91"/>
      <c r="C804" s="57" t="s">
        <v>151</v>
      </c>
      <c r="D804" s="60">
        <v>106</v>
      </c>
      <c r="E804" s="59">
        <v>2E-3</v>
      </c>
    </row>
    <row r="805" spans="2:5">
      <c r="B805" s="91"/>
      <c r="C805" s="57" t="s">
        <v>152</v>
      </c>
      <c r="D805" s="60">
        <v>8</v>
      </c>
      <c r="E805" s="59">
        <v>0</v>
      </c>
    </row>
    <row r="806" spans="2:5">
      <c r="B806" s="91"/>
      <c r="C806" s="57" t="s">
        <v>181</v>
      </c>
      <c r="D806" s="60">
        <v>2</v>
      </c>
      <c r="E806" s="59">
        <v>0</v>
      </c>
    </row>
    <row r="807" spans="2:5">
      <c r="B807" s="91"/>
      <c r="C807" s="57" t="s">
        <v>182</v>
      </c>
      <c r="D807" s="60">
        <v>20</v>
      </c>
      <c r="E807" s="59">
        <v>0</v>
      </c>
    </row>
    <row r="808" spans="2:5">
      <c r="B808" s="91"/>
      <c r="C808" s="57" t="s">
        <v>153</v>
      </c>
      <c r="D808" s="60">
        <v>44</v>
      </c>
      <c r="E808" s="59">
        <v>1E-3</v>
      </c>
    </row>
    <row r="809" spans="2:5">
      <c r="B809" s="91"/>
      <c r="C809" s="57" t="s">
        <v>291</v>
      </c>
      <c r="D809" s="60">
        <v>13</v>
      </c>
      <c r="E809" s="59">
        <v>0</v>
      </c>
    </row>
    <row r="810" spans="2:5">
      <c r="B810" s="91"/>
      <c r="C810" s="57" t="s">
        <v>183</v>
      </c>
      <c r="D810" s="60">
        <v>8</v>
      </c>
      <c r="E810" s="59">
        <v>0</v>
      </c>
    </row>
    <row r="811" spans="2:5" ht="28.5">
      <c r="B811" s="91"/>
      <c r="C811" s="57" t="s">
        <v>154</v>
      </c>
      <c r="D811" s="60">
        <v>13</v>
      </c>
      <c r="E811" s="59">
        <v>0</v>
      </c>
    </row>
    <row r="812" spans="2:5">
      <c r="B812" s="91"/>
      <c r="C812" s="57" t="s">
        <v>155</v>
      </c>
      <c r="D812" s="60">
        <v>62</v>
      </c>
      <c r="E812" s="59">
        <v>1E-3</v>
      </c>
    </row>
    <row r="813" spans="2:5">
      <c r="B813" s="91"/>
      <c r="C813" s="57" t="s">
        <v>156</v>
      </c>
      <c r="D813" s="60">
        <v>42</v>
      </c>
      <c r="E813" s="59">
        <v>1E-3</v>
      </c>
    </row>
    <row r="814" spans="2:5">
      <c r="B814" s="91"/>
      <c r="C814" s="57" t="s">
        <v>157</v>
      </c>
      <c r="D814" s="60">
        <v>645</v>
      </c>
      <c r="E814" s="59">
        <v>0.01</v>
      </c>
    </row>
    <row r="815" spans="2:5">
      <c r="B815" s="91"/>
      <c r="C815" s="57" t="s">
        <v>158</v>
      </c>
      <c r="D815" s="60">
        <v>22</v>
      </c>
      <c r="E815" s="59">
        <v>0</v>
      </c>
    </row>
    <row r="816" spans="2:5">
      <c r="B816" s="91"/>
      <c r="C816" s="57" t="s">
        <v>159</v>
      </c>
      <c r="D816" s="60">
        <v>34</v>
      </c>
      <c r="E816" s="59">
        <v>1E-3</v>
      </c>
    </row>
    <row r="817" spans="2:5">
      <c r="B817" s="91"/>
      <c r="C817" s="57" t="s">
        <v>160</v>
      </c>
      <c r="D817" s="60">
        <v>658</v>
      </c>
      <c r="E817" s="59">
        <v>0.01</v>
      </c>
    </row>
    <row r="818" spans="2:5">
      <c r="B818" s="91"/>
      <c r="C818" s="57" t="s">
        <v>161</v>
      </c>
      <c r="D818" s="60">
        <v>32</v>
      </c>
      <c r="E818" s="59">
        <v>1E-3</v>
      </c>
    </row>
    <row r="819" spans="2:5">
      <c r="B819" s="91"/>
      <c r="C819" s="57" t="s">
        <v>184</v>
      </c>
      <c r="D819" s="60">
        <v>19</v>
      </c>
      <c r="E819" s="59">
        <v>0</v>
      </c>
    </row>
    <row r="820" spans="2:5">
      <c r="B820" s="91"/>
      <c r="C820" s="57" t="s">
        <v>162</v>
      </c>
      <c r="D820" s="60">
        <v>6</v>
      </c>
      <c r="E820" s="59">
        <v>0</v>
      </c>
    </row>
    <row r="821" spans="2:5">
      <c r="B821" s="91"/>
      <c r="C821" s="57" t="s">
        <v>185</v>
      </c>
      <c r="D821" s="60">
        <v>72</v>
      </c>
      <c r="E821" s="59">
        <v>1E-3</v>
      </c>
    </row>
    <row r="822" spans="2:5">
      <c r="B822" s="91"/>
      <c r="C822" s="57" t="s">
        <v>186</v>
      </c>
      <c r="D822" s="60">
        <v>15</v>
      </c>
      <c r="E822" s="59">
        <v>0</v>
      </c>
    </row>
    <row r="823" spans="2:5">
      <c r="B823" s="91"/>
      <c r="C823" s="57" t="s">
        <v>163</v>
      </c>
      <c r="D823" s="60">
        <v>321</v>
      </c>
      <c r="E823" s="59">
        <v>5.0000000000000001E-3</v>
      </c>
    </row>
    <row r="824" spans="2:5">
      <c r="B824" s="91"/>
      <c r="C824" s="57" t="s">
        <v>164</v>
      </c>
      <c r="D824" s="60">
        <v>117</v>
      </c>
      <c r="E824" s="59">
        <v>2E-3</v>
      </c>
    </row>
    <row r="825" spans="2:5">
      <c r="B825" s="91"/>
      <c r="C825" s="57" t="s">
        <v>165</v>
      </c>
      <c r="D825" s="60">
        <v>134</v>
      </c>
      <c r="E825" s="59">
        <v>2E-3</v>
      </c>
    </row>
    <row r="826" spans="2:5">
      <c r="B826" s="91"/>
      <c r="C826" s="57" t="s">
        <v>166</v>
      </c>
      <c r="D826" s="60">
        <v>154</v>
      </c>
      <c r="E826" s="59">
        <v>2E-3</v>
      </c>
    </row>
    <row r="827" spans="2:5">
      <c r="B827" s="91"/>
      <c r="C827" s="57" t="s">
        <v>167</v>
      </c>
      <c r="D827" s="60">
        <v>4</v>
      </c>
      <c r="E827" s="59">
        <v>0</v>
      </c>
    </row>
    <row r="828" spans="2:5">
      <c r="B828" s="91"/>
      <c r="C828" s="57" t="s">
        <v>168</v>
      </c>
      <c r="D828" s="60">
        <v>12</v>
      </c>
      <c r="E828" s="59">
        <v>0</v>
      </c>
    </row>
    <row r="829" spans="2:5">
      <c r="B829" s="91"/>
      <c r="C829" s="57" t="s">
        <v>169</v>
      </c>
      <c r="D829" s="60">
        <v>102</v>
      </c>
      <c r="E829" s="59">
        <v>2E-3</v>
      </c>
    </row>
    <row r="830" spans="2:5">
      <c r="B830" s="91"/>
      <c r="C830" s="57" t="s">
        <v>170</v>
      </c>
      <c r="D830" s="60">
        <v>61</v>
      </c>
      <c r="E830" s="59">
        <v>1E-3</v>
      </c>
    </row>
    <row r="831" spans="2:5">
      <c r="B831" s="91"/>
      <c r="C831" s="57" t="s">
        <v>171</v>
      </c>
      <c r="D831" s="60">
        <v>14</v>
      </c>
      <c r="E831" s="59">
        <v>0</v>
      </c>
    </row>
    <row r="832" spans="2:5">
      <c r="B832" s="91"/>
      <c r="C832" s="57" t="s">
        <v>172</v>
      </c>
      <c r="D832" s="60">
        <v>13</v>
      </c>
      <c r="E832" s="59">
        <v>0</v>
      </c>
    </row>
    <row r="833" spans="2:5">
      <c r="B833" s="91"/>
      <c r="C833" s="57" t="s">
        <v>192</v>
      </c>
      <c r="D833" s="60">
        <v>1</v>
      </c>
      <c r="E833" s="59">
        <v>0</v>
      </c>
    </row>
    <row r="834" spans="2:5">
      <c r="B834" s="91"/>
      <c r="C834" s="57" t="s">
        <v>187</v>
      </c>
      <c r="D834" s="60">
        <v>4</v>
      </c>
      <c r="E834" s="59">
        <v>0</v>
      </c>
    </row>
    <row r="835" spans="2:5">
      <c r="B835" s="91"/>
      <c r="C835" s="57" t="s">
        <v>188</v>
      </c>
      <c r="D835" s="60">
        <v>2</v>
      </c>
      <c r="E835" s="59">
        <v>0</v>
      </c>
    </row>
    <row r="836" spans="2:5">
      <c r="B836" s="91"/>
      <c r="C836" s="57" t="s">
        <v>173</v>
      </c>
      <c r="D836" s="60">
        <v>123</v>
      </c>
      <c r="E836" s="59">
        <v>2E-3</v>
      </c>
    </row>
    <row r="837" spans="2:5">
      <c r="B837" s="91"/>
      <c r="C837" s="57" t="s">
        <v>174</v>
      </c>
      <c r="D837" s="60">
        <v>6</v>
      </c>
      <c r="E837" s="59">
        <v>0</v>
      </c>
    </row>
    <row r="838" spans="2:5">
      <c r="B838" s="91"/>
      <c r="C838" s="57" t="s">
        <v>189</v>
      </c>
      <c r="D838" s="60">
        <v>39</v>
      </c>
      <c r="E838" s="59">
        <v>1E-3</v>
      </c>
    </row>
    <row r="839" spans="2:5">
      <c r="B839" s="91"/>
      <c r="C839" s="57" t="s">
        <v>190</v>
      </c>
      <c r="D839" s="60">
        <v>2</v>
      </c>
      <c r="E839" s="59">
        <v>0</v>
      </c>
    </row>
    <row r="840" spans="2:5">
      <c r="B840" s="91"/>
      <c r="C840" s="57" t="s">
        <v>175</v>
      </c>
      <c r="D840" s="60">
        <v>31</v>
      </c>
      <c r="E840" s="59">
        <v>0</v>
      </c>
    </row>
    <row r="841" spans="2:5">
      <c r="B841" s="91"/>
      <c r="C841" s="57" t="s">
        <v>176</v>
      </c>
      <c r="D841" s="60">
        <v>133</v>
      </c>
      <c r="E841" s="59">
        <v>2E-3</v>
      </c>
    </row>
    <row r="842" spans="2:5">
      <c r="B842" s="91"/>
      <c r="C842" s="57" t="s">
        <v>177</v>
      </c>
      <c r="D842" s="60">
        <v>8</v>
      </c>
      <c r="E842" s="59">
        <v>0</v>
      </c>
    </row>
    <row r="843" spans="2:5">
      <c r="B843" s="91"/>
      <c r="C843" s="57" t="s">
        <v>191</v>
      </c>
      <c r="D843" s="60">
        <v>13</v>
      </c>
      <c r="E843" s="59">
        <v>0</v>
      </c>
    </row>
    <row r="844" spans="2:5">
      <c r="B844" s="91"/>
      <c r="C844" s="57" t="s">
        <v>178</v>
      </c>
      <c r="D844" s="60">
        <v>4</v>
      </c>
      <c r="E844" s="59">
        <v>0</v>
      </c>
    </row>
    <row r="845" spans="2:5">
      <c r="B845" s="91"/>
      <c r="C845" s="57" t="s">
        <v>179</v>
      </c>
      <c r="D845" s="60">
        <v>31</v>
      </c>
      <c r="E845" s="59">
        <v>0</v>
      </c>
    </row>
    <row r="846" spans="2:5">
      <c r="B846" s="92"/>
      <c r="C846" s="71" t="s">
        <v>302</v>
      </c>
      <c r="D846" s="73">
        <v>3421</v>
      </c>
      <c r="E846" s="72">
        <v>5.3999999999999999E-2</v>
      </c>
    </row>
    <row r="847" spans="2:5">
      <c r="B847" s="90" t="s">
        <v>77</v>
      </c>
      <c r="C847" s="57" t="s">
        <v>147</v>
      </c>
      <c r="D847" s="60">
        <v>13</v>
      </c>
      <c r="E847" s="59">
        <v>0</v>
      </c>
    </row>
    <row r="848" spans="2:5">
      <c r="B848" s="91"/>
      <c r="C848" s="57" t="s">
        <v>148</v>
      </c>
      <c r="D848" s="60">
        <v>23</v>
      </c>
      <c r="E848" s="59">
        <v>0</v>
      </c>
    </row>
    <row r="849" spans="2:5">
      <c r="B849" s="91"/>
      <c r="C849" s="57" t="s">
        <v>149</v>
      </c>
      <c r="D849" s="60">
        <v>1</v>
      </c>
      <c r="E849" s="59">
        <v>0</v>
      </c>
    </row>
    <row r="850" spans="2:5">
      <c r="B850" s="91"/>
      <c r="C850" s="57" t="s">
        <v>150</v>
      </c>
      <c r="D850" s="60">
        <v>5</v>
      </c>
      <c r="E850" s="59">
        <v>0</v>
      </c>
    </row>
    <row r="851" spans="2:5">
      <c r="B851" s="91"/>
      <c r="C851" s="57" t="s">
        <v>151</v>
      </c>
      <c r="D851" s="60">
        <v>31</v>
      </c>
      <c r="E851" s="59">
        <v>0</v>
      </c>
    </row>
    <row r="852" spans="2:5">
      <c r="B852" s="91"/>
      <c r="C852" s="57" t="s">
        <v>152</v>
      </c>
      <c r="D852" s="60">
        <v>5</v>
      </c>
      <c r="E852" s="59">
        <v>0</v>
      </c>
    </row>
    <row r="853" spans="2:5">
      <c r="B853" s="91"/>
      <c r="C853" s="57" t="s">
        <v>182</v>
      </c>
      <c r="D853" s="60">
        <v>6</v>
      </c>
      <c r="E853" s="59">
        <v>0</v>
      </c>
    </row>
    <row r="854" spans="2:5">
      <c r="B854" s="91"/>
      <c r="C854" s="57" t="s">
        <v>153</v>
      </c>
      <c r="D854" s="60">
        <v>9</v>
      </c>
      <c r="E854" s="59">
        <v>0</v>
      </c>
    </row>
    <row r="855" spans="2:5" ht="28.5">
      <c r="B855" s="91"/>
      <c r="C855" s="57" t="s">
        <v>154</v>
      </c>
      <c r="D855" s="60">
        <v>17</v>
      </c>
      <c r="E855" s="59">
        <v>0</v>
      </c>
    </row>
    <row r="856" spans="2:5">
      <c r="B856" s="91"/>
      <c r="C856" s="57" t="s">
        <v>155</v>
      </c>
      <c r="D856" s="60">
        <v>6</v>
      </c>
      <c r="E856" s="59">
        <v>0</v>
      </c>
    </row>
    <row r="857" spans="2:5">
      <c r="B857" s="91"/>
      <c r="C857" s="57" t="s">
        <v>157</v>
      </c>
      <c r="D857" s="60">
        <v>39</v>
      </c>
      <c r="E857" s="59">
        <v>1E-3</v>
      </c>
    </row>
    <row r="858" spans="2:5">
      <c r="B858" s="91"/>
      <c r="C858" s="57" t="s">
        <v>158</v>
      </c>
      <c r="D858" s="60">
        <v>1</v>
      </c>
      <c r="E858" s="59">
        <v>0</v>
      </c>
    </row>
    <row r="859" spans="2:5">
      <c r="B859" s="91"/>
      <c r="C859" s="57" t="s">
        <v>159</v>
      </c>
      <c r="D859" s="60">
        <v>1</v>
      </c>
      <c r="E859" s="59">
        <v>0</v>
      </c>
    </row>
    <row r="860" spans="2:5">
      <c r="B860" s="91"/>
      <c r="C860" s="57" t="s">
        <v>160</v>
      </c>
      <c r="D860" s="60">
        <v>40</v>
      </c>
      <c r="E860" s="59">
        <v>1E-3</v>
      </c>
    </row>
    <row r="861" spans="2:5">
      <c r="B861" s="91"/>
      <c r="C861" s="57" t="s">
        <v>161</v>
      </c>
      <c r="D861" s="60">
        <v>1</v>
      </c>
      <c r="E861" s="59">
        <v>0</v>
      </c>
    </row>
    <row r="862" spans="2:5">
      <c r="B862" s="91"/>
      <c r="C862" s="57" t="s">
        <v>184</v>
      </c>
      <c r="D862" s="60">
        <v>1</v>
      </c>
      <c r="E862" s="59">
        <v>0</v>
      </c>
    </row>
    <row r="863" spans="2:5">
      <c r="B863" s="91"/>
      <c r="C863" s="57" t="s">
        <v>162</v>
      </c>
      <c r="D863" s="60">
        <v>5</v>
      </c>
      <c r="E863" s="59">
        <v>0</v>
      </c>
    </row>
    <row r="864" spans="2:5">
      <c r="B864" s="91"/>
      <c r="C864" s="57" t="s">
        <v>185</v>
      </c>
      <c r="D864" s="60">
        <v>1</v>
      </c>
      <c r="E864" s="59">
        <v>0</v>
      </c>
    </row>
    <row r="865" spans="2:5">
      <c r="B865" s="91"/>
      <c r="C865" s="57" t="s">
        <v>186</v>
      </c>
      <c r="D865" s="60">
        <v>2</v>
      </c>
      <c r="E865" s="59">
        <v>0</v>
      </c>
    </row>
    <row r="866" spans="2:5">
      <c r="B866" s="91"/>
      <c r="C866" s="57" t="s">
        <v>163</v>
      </c>
      <c r="D866" s="60">
        <v>14</v>
      </c>
      <c r="E866" s="59">
        <v>0</v>
      </c>
    </row>
    <row r="867" spans="2:5">
      <c r="B867" s="91"/>
      <c r="C867" s="57" t="s">
        <v>164</v>
      </c>
      <c r="D867" s="60">
        <v>4</v>
      </c>
      <c r="E867" s="59">
        <v>0</v>
      </c>
    </row>
    <row r="868" spans="2:5">
      <c r="B868" s="91"/>
      <c r="C868" s="57" t="s">
        <v>165</v>
      </c>
      <c r="D868" s="60">
        <v>10</v>
      </c>
      <c r="E868" s="59">
        <v>0</v>
      </c>
    </row>
    <row r="869" spans="2:5">
      <c r="B869" s="91"/>
      <c r="C869" s="57" t="s">
        <v>166</v>
      </c>
      <c r="D869" s="60">
        <v>11</v>
      </c>
      <c r="E869" s="59">
        <v>0</v>
      </c>
    </row>
    <row r="870" spans="2:5">
      <c r="B870" s="91"/>
      <c r="C870" s="57" t="s">
        <v>167</v>
      </c>
      <c r="D870" s="60">
        <v>3</v>
      </c>
      <c r="E870" s="59">
        <v>0</v>
      </c>
    </row>
    <row r="871" spans="2:5">
      <c r="B871" s="91"/>
      <c r="C871" s="57" t="s">
        <v>168</v>
      </c>
      <c r="D871" s="60">
        <v>28</v>
      </c>
      <c r="E871" s="59">
        <v>0</v>
      </c>
    </row>
    <row r="872" spans="2:5">
      <c r="B872" s="91"/>
      <c r="C872" s="57" t="s">
        <v>169</v>
      </c>
      <c r="D872" s="60">
        <v>1</v>
      </c>
      <c r="E872" s="59">
        <v>0</v>
      </c>
    </row>
    <row r="873" spans="2:5">
      <c r="B873" s="91"/>
      <c r="C873" s="57" t="s">
        <v>171</v>
      </c>
      <c r="D873" s="60">
        <v>7</v>
      </c>
      <c r="E873" s="59">
        <v>0</v>
      </c>
    </row>
    <row r="874" spans="2:5">
      <c r="B874" s="91"/>
      <c r="C874" s="57" t="s">
        <v>172</v>
      </c>
      <c r="D874" s="60">
        <v>10</v>
      </c>
      <c r="E874" s="59">
        <v>0</v>
      </c>
    </row>
    <row r="875" spans="2:5">
      <c r="B875" s="91"/>
      <c r="C875" s="57" t="s">
        <v>192</v>
      </c>
      <c r="D875" s="60">
        <v>1</v>
      </c>
      <c r="E875" s="59">
        <v>0</v>
      </c>
    </row>
    <row r="876" spans="2:5">
      <c r="B876" s="91"/>
      <c r="C876" s="57" t="s">
        <v>187</v>
      </c>
      <c r="D876" s="60">
        <v>14</v>
      </c>
      <c r="E876" s="59">
        <v>0</v>
      </c>
    </row>
    <row r="877" spans="2:5">
      <c r="B877" s="91"/>
      <c r="C877" s="57" t="s">
        <v>173</v>
      </c>
      <c r="D877" s="60">
        <v>6</v>
      </c>
      <c r="E877" s="59">
        <v>0</v>
      </c>
    </row>
    <row r="878" spans="2:5">
      <c r="B878" s="91"/>
      <c r="C878" s="57" t="s">
        <v>174</v>
      </c>
      <c r="D878" s="60">
        <v>1</v>
      </c>
      <c r="E878" s="59">
        <v>0</v>
      </c>
    </row>
    <row r="879" spans="2:5">
      <c r="B879" s="91"/>
      <c r="C879" s="57" t="s">
        <v>189</v>
      </c>
      <c r="D879" s="60">
        <v>2</v>
      </c>
      <c r="E879" s="59">
        <v>0</v>
      </c>
    </row>
    <row r="880" spans="2:5">
      <c r="B880" s="91"/>
      <c r="C880" s="57" t="s">
        <v>175</v>
      </c>
      <c r="D880" s="60">
        <v>5</v>
      </c>
      <c r="E880" s="59">
        <v>0</v>
      </c>
    </row>
    <row r="881" spans="2:5">
      <c r="B881" s="91"/>
      <c r="C881" s="57" t="s">
        <v>176</v>
      </c>
      <c r="D881" s="60">
        <v>4</v>
      </c>
      <c r="E881" s="59">
        <v>0</v>
      </c>
    </row>
    <row r="882" spans="2:5">
      <c r="B882" s="91"/>
      <c r="C882" s="57" t="s">
        <v>177</v>
      </c>
      <c r="D882" s="60">
        <v>1</v>
      </c>
      <c r="E882" s="59">
        <v>0</v>
      </c>
    </row>
    <row r="883" spans="2:5">
      <c r="B883" s="91"/>
      <c r="C883" s="57" t="s">
        <v>191</v>
      </c>
      <c r="D883" s="60">
        <v>1</v>
      </c>
      <c r="E883" s="59">
        <v>0</v>
      </c>
    </row>
    <row r="884" spans="2:5">
      <c r="B884" s="91"/>
      <c r="C884" s="57" t="s">
        <v>179</v>
      </c>
      <c r="D884" s="60">
        <v>5</v>
      </c>
      <c r="E884" s="59">
        <v>0</v>
      </c>
    </row>
    <row r="885" spans="2:5">
      <c r="B885" s="92"/>
      <c r="C885" s="71" t="s">
        <v>302</v>
      </c>
      <c r="D885" s="73">
        <v>335</v>
      </c>
      <c r="E885" s="72">
        <v>5.0000000000000001E-3</v>
      </c>
    </row>
    <row r="886" spans="2:5">
      <c r="B886" s="90" t="s">
        <v>63</v>
      </c>
      <c r="C886" s="57" t="s">
        <v>147</v>
      </c>
      <c r="D886" s="60">
        <v>4</v>
      </c>
      <c r="E886" s="59">
        <v>0</v>
      </c>
    </row>
    <row r="887" spans="2:5">
      <c r="B887" s="91"/>
      <c r="C887" s="57" t="s">
        <v>148</v>
      </c>
      <c r="D887" s="60">
        <v>25</v>
      </c>
      <c r="E887" s="59">
        <v>0</v>
      </c>
    </row>
    <row r="888" spans="2:5">
      <c r="B888" s="91"/>
      <c r="C888" s="57" t="s">
        <v>149</v>
      </c>
      <c r="D888" s="60">
        <v>16</v>
      </c>
      <c r="E888" s="59">
        <v>0</v>
      </c>
    </row>
    <row r="889" spans="2:5">
      <c r="B889" s="91"/>
      <c r="C889" s="57" t="s">
        <v>150</v>
      </c>
      <c r="D889" s="60">
        <v>9</v>
      </c>
      <c r="E889" s="59">
        <v>0</v>
      </c>
    </row>
    <row r="890" spans="2:5">
      <c r="B890" s="91"/>
      <c r="C890" s="57" t="s">
        <v>180</v>
      </c>
      <c r="D890" s="60">
        <v>3</v>
      </c>
      <c r="E890" s="59">
        <v>0</v>
      </c>
    </row>
    <row r="891" spans="2:5">
      <c r="B891" s="91"/>
      <c r="C891" s="57" t="s">
        <v>151</v>
      </c>
      <c r="D891" s="60">
        <v>82</v>
      </c>
      <c r="E891" s="59">
        <v>1E-3</v>
      </c>
    </row>
    <row r="892" spans="2:5">
      <c r="B892" s="91"/>
      <c r="C892" s="57" t="s">
        <v>152</v>
      </c>
      <c r="D892" s="60">
        <v>13</v>
      </c>
      <c r="E892" s="59">
        <v>0</v>
      </c>
    </row>
    <row r="893" spans="2:5">
      <c r="B893" s="91"/>
      <c r="C893" s="57" t="s">
        <v>182</v>
      </c>
      <c r="D893" s="60">
        <v>38</v>
      </c>
      <c r="E893" s="59">
        <v>1E-3</v>
      </c>
    </row>
    <row r="894" spans="2:5">
      <c r="B894" s="91"/>
      <c r="C894" s="57" t="s">
        <v>291</v>
      </c>
      <c r="D894" s="60">
        <v>17</v>
      </c>
      <c r="E894" s="59">
        <v>0</v>
      </c>
    </row>
    <row r="895" spans="2:5" ht="28.5">
      <c r="B895" s="91"/>
      <c r="C895" s="57" t="s">
        <v>154</v>
      </c>
      <c r="D895" s="60">
        <v>35</v>
      </c>
      <c r="E895" s="59">
        <v>1E-3</v>
      </c>
    </row>
    <row r="896" spans="2:5">
      <c r="B896" s="91"/>
      <c r="C896" s="57" t="s">
        <v>155</v>
      </c>
      <c r="D896" s="60">
        <v>14</v>
      </c>
      <c r="E896" s="59">
        <v>0</v>
      </c>
    </row>
    <row r="897" spans="2:5">
      <c r="B897" s="91"/>
      <c r="C897" s="57" t="s">
        <v>156</v>
      </c>
      <c r="D897" s="60">
        <v>1</v>
      </c>
      <c r="E897" s="59">
        <v>0</v>
      </c>
    </row>
    <row r="898" spans="2:5">
      <c r="B898" s="91"/>
      <c r="C898" s="57" t="s">
        <v>157</v>
      </c>
      <c r="D898" s="60">
        <v>21</v>
      </c>
      <c r="E898" s="59">
        <v>0</v>
      </c>
    </row>
    <row r="899" spans="2:5">
      <c r="B899" s="91"/>
      <c r="C899" s="57" t="s">
        <v>158</v>
      </c>
      <c r="D899" s="60">
        <v>21</v>
      </c>
      <c r="E899" s="59">
        <v>0</v>
      </c>
    </row>
    <row r="900" spans="2:5">
      <c r="B900" s="91"/>
      <c r="C900" s="57" t="s">
        <v>159</v>
      </c>
      <c r="D900" s="60">
        <v>63</v>
      </c>
      <c r="E900" s="59">
        <v>1E-3</v>
      </c>
    </row>
    <row r="901" spans="2:5">
      <c r="B901" s="91"/>
      <c r="C901" s="57" t="s">
        <v>160</v>
      </c>
      <c r="D901" s="60">
        <v>47</v>
      </c>
      <c r="E901" s="59">
        <v>1E-3</v>
      </c>
    </row>
    <row r="902" spans="2:5">
      <c r="B902" s="91"/>
      <c r="C902" s="57" t="s">
        <v>161</v>
      </c>
      <c r="D902" s="60">
        <v>15</v>
      </c>
      <c r="E902" s="59">
        <v>0</v>
      </c>
    </row>
    <row r="903" spans="2:5">
      <c r="B903" s="91"/>
      <c r="C903" s="57" t="s">
        <v>184</v>
      </c>
      <c r="D903" s="60">
        <v>1</v>
      </c>
      <c r="E903" s="59">
        <v>0</v>
      </c>
    </row>
    <row r="904" spans="2:5">
      <c r="B904" s="91"/>
      <c r="C904" s="57" t="s">
        <v>162</v>
      </c>
      <c r="D904" s="60">
        <v>1</v>
      </c>
      <c r="E904" s="59">
        <v>0</v>
      </c>
    </row>
    <row r="905" spans="2:5">
      <c r="B905" s="91"/>
      <c r="C905" s="57" t="s">
        <v>186</v>
      </c>
      <c r="D905" s="60">
        <v>4</v>
      </c>
      <c r="E905" s="59">
        <v>0</v>
      </c>
    </row>
    <row r="906" spans="2:5">
      <c r="B906" s="91"/>
      <c r="C906" s="57" t="s">
        <v>163</v>
      </c>
      <c r="D906" s="60">
        <v>14</v>
      </c>
      <c r="E906" s="59">
        <v>0</v>
      </c>
    </row>
    <row r="907" spans="2:5">
      <c r="B907" s="91"/>
      <c r="C907" s="57" t="s">
        <v>164</v>
      </c>
      <c r="D907" s="60">
        <v>3</v>
      </c>
      <c r="E907" s="59">
        <v>0</v>
      </c>
    </row>
    <row r="908" spans="2:5">
      <c r="B908" s="91"/>
      <c r="C908" s="57" t="s">
        <v>165</v>
      </c>
      <c r="D908" s="60">
        <v>62</v>
      </c>
      <c r="E908" s="59">
        <v>1E-3</v>
      </c>
    </row>
    <row r="909" spans="2:5">
      <c r="B909" s="91"/>
      <c r="C909" s="57" t="s">
        <v>166</v>
      </c>
      <c r="D909" s="60">
        <v>99</v>
      </c>
      <c r="E909" s="59">
        <v>2E-3</v>
      </c>
    </row>
    <row r="910" spans="2:5">
      <c r="B910" s="91"/>
      <c r="C910" s="57" t="s">
        <v>167</v>
      </c>
      <c r="D910" s="60">
        <v>2</v>
      </c>
      <c r="E910" s="59">
        <v>0</v>
      </c>
    </row>
    <row r="911" spans="2:5">
      <c r="B911" s="91"/>
      <c r="C911" s="57" t="s">
        <v>168</v>
      </c>
      <c r="D911" s="60">
        <v>10</v>
      </c>
      <c r="E911" s="59">
        <v>0</v>
      </c>
    </row>
    <row r="912" spans="2:5">
      <c r="B912" s="91"/>
      <c r="C912" s="57" t="s">
        <v>169</v>
      </c>
      <c r="D912" s="60">
        <v>27</v>
      </c>
      <c r="E912" s="59">
        <v>0</v>
      </c>
    </row>
    <row r="913" spans="2:5">
      <c r="B913" s="91"/>
      <c r="C913" s="57" t="s">
        <v>170</v>
      </c>
      <c r="D913" s="60">
        <v>3</v>
      </c>
      <c r="E913" s="59">
        <v>0</v>
      </c>
    </row>
    <row r="914" spans="2:5">
      <c r="B914" s="91"/>
      <c r="C914" s="57" t="s">
        <v>171</v>
      </c>
      <c r="D914" s="60">
        <v>38</v>
      </c>
      <c r="E914" s="59">
        <v>1E-3</v>
      </c>
    </row>
    <row r="915" spans="2:5">
      <c r="B915" s="91"/>
      <c r="C915" s="57" t="s">
        <v>172</v>
      </c>
      <c r="D915" s="60">
        <v>17</v>
      </c>
      <c r="E915" s="59">
        <v>0</v>
      </c>
    </row>
    <row r="916" spans="2:5">
      <c r="B916" s="91"/>
      <c r="C916" s="57" t="s">
        <v>192</v>
      </c>
      <c r="D916" s="60">
        <v>1</v>
      </c>
      <c r="E916" s="59">
        <v>0</v>
      </c>
    </row>
    <row r="917" spans="2:5">
      <c r="B917" s="91"/>
      <c r="C917" s="57" t="s">
        <v>187</v>
      </c>
      <c r="D917" s="60">
        <v>23</v>
      </c>
      <c r="E917" s="59">
        <v>0</v>
      </c>
    </row>
    <row r="918" spans="2:5">
      <c r="B918" s="91"/>
      <c r="C918" s="57" t="s">
        <v>174</v>
      </c>
      <c r="D918" s="60">
        <v>15</v>
      </c>
      <c r="E918" s="59">
        <v>0</v>
      </c>
    </row>
    <row r="919" spans="2:5">
      <c r="B919" s="91"/>
      <c r="C919" s="57" t="s">
        <v>189</v>
      </c>
      <c r="D919" s="60">
        <v>3</v>
      </c>
      <c r="E919" s="59">
        <v>0</v>
      </c>
    </row>
    <row r="920" spans="2:5">
      <c r="B920" s="91"/>
      <c r="C920" s="57" t="s">
        <v>190</v>
      </c>
      <c r="D920" s="60">
        <v>3</v>
      </c>
      <c r="E920" s="59">
        <v>0</v>
      </c>
    </row>
    <row r="921" spans="2:5">
      <c r="B921" s="91"/>
      <c r="C921" s="57" t="s">
        <v>175</v>
      </c>
      <c r="D921" s="60">
        <v>8</v>
      </c>
      <c r="E921" s="59">
        <v>0</v>
      </c>
    </row>
    <row r="922" spans="2:5">
      <c r="B922" s="91"/>
      <c r="C922" s="57" t="s">
        <v>176</v>
      </c>
      <c r="D922" s="60">
        <v>27</v>
      </c>
      <c r="E922" s="59">
        <v>0</v>
      </c>
    </row>
    <row r="923" spans="2:5">
      <c r="B923" s="91"/>
      <c r="C923" s="57" t="s">
        <v>177</v>
      </c>
      <c r="D923" s="60">
        <v>3</v>
      </c>
      <c r="E923" s="59">
        <v>0</v>
      </c>
    </row>
    <row r="924" spans="2:5">
      <c r="B924" s="91"/>
      <c r="C924" s="57" t="s">
        <v>191</v>
      </c>
      <c r="D924" s="60">
        <v>4</v>
      </c>
      <c r="E924" s="59">
        <v>0</v>
      </c>
    </row>
    <row r="925" spans="2:5">
      <c r="B925" s="91"/>
      <c r="C925" s="57" t="s">
        <v>178</v>
      </c>
      <c r="D925" s="60">
        <v>16</v>
      </c>
      <c r="E925" s="59">
        <v>0</v>
      </c>
    </row>
    <row r="926" spans="2:5">
      <c r="B926" s="91"/>
      <c r="C926" s="57" t="s">
        <v>179</v>
      </c>
      <c r="D926" s="60">
        <v>16</v>
      </c>
      <c r="E926" s="59">
        <v>0</v>
      </c>
    </row>
    <row r="927" spans="2:5">
      <c r="B927" s="92"/>
      <c r="C927" s="71" t="s">
        <v>302</v>
      </c>
      <c r="D927" s="73">
        <v>824</v>
      </c>
      <c r="E927" s="72">
        <v>1.2999999999999999E-2</v>
      </c>
    </row>
    <row r="928" spans="2:5">
      <c r="B928" s="90" t="s">
        <v>66</v>
      </c>
      <c r="C928" s="57" t="s">
        <v>148</v>
      </c>
      <c r="D928" s="60">
        <v>43</v>
      </c>
      <c r="E928" s="59">
        <v>1E-3</v>
      </c>
    </row>
    <row r="929" spans="2:5">
      <c r="B929" s="91"/>
      <c r="C929" s="57" t="s">
        <v>149</v>
      </c>
      <c r="D929" s="60">
        <v>3</v>
      </c>
      <c r="E929" s="59">
        <v>0</v>
      </c>
    </row>
    <row r="930" spans="2:5">
      <c r="B930" s="91"/>
      <c r="C930" s="57" t="s">
        <v>150</v>
      </c>
      <c r="D930" s="60">
        <v>4</v>
      </c>
      <c r="E930" s="59">
        <v>0</v>
      </c>
    </row>
    <row r="931" spans="2:5">
      <c r="B931" s="91"/>
      <c r="C931" s="57" t="s">
        <v>151</v>
      </c>
      <c r="D931" s="60">
        <v>36</v>
      </c>
      <c r="E931" s="59">
        <v>1E-3</v>
      </c>
    </row>
    <row r="932" spans="2:5">
      <c r="B932" s="91"/>
      <c r="C932" s="57" t="s">
        <v>152</v>
      </c>
      <c r="D932" s="60">
        <v>2</v>
      </c>
      <c r="E932" s="59">
        <v>0</v>
      </c>
    </row>
    <row r="933" spans="2:5">
      <c r="B933" s="91"/>
      <c r="C933" s="57" t="s">
        <v>181</v>
      </c>
      <c r="D933" s="60">
        <v>1</v>
      </c>
      <c r="E933" s="59">
        <v>0</v>
      </c>
    </row>
    <row r="934" spans="2:5">
      <c r="B934" s="91"/>
      <c r="C934" s="57" t="s">
        <v>182</v>
      </c>
      <c r="D934" s="60">
        <v>57</v>
      </c>
      <c r="E934" s="59">
        <v>1E-3</v>
      </c>
    </row>
    <row r="935" spans="2:5">
      <c r="B935" s="91"/>
      <c r="C935" s="57" t="s">
        <v>153</v>
      </c>
      <c r="D935" s="60">
        <v>1</v>
      </c>
      <c r="E935" s="59">
        <v>0</v>
      </c>
    </row>
    <row r="936" spans="2:5">
      <c r="B936" s="91"/>
      <c r="C936" s="57" t="s">
        <v>291</v>
      </c>
      <c r="D936" s="60">
        <v>22</v>
      </c>
      <c r="E936" s="59">
        <v>0</v>
      </c>
    </row>
    <row r="937" spans="2:5" ht="28.5">
      <c r="B937" s="91"/>
      <c r="C937" s="57" t="s">
        <v>154</v>
      </c>
      <c r="D937" s="60">
        <v>1</v>
      </c>
      <c r="E937" s="59">
        <v>0</v>
      </c>
    </row>
    <row r="938" spans="2:5">
      <c r="B938" s="91"/>
      <c r="C938" s="57" t="s">
        <v>155</v>
      </c>
      <c r="D938" s="60">
        <v>26</v>
      </c>
      <c r="E938" s="59">
        <v>0</v>
      </c>
    </row>
    <row r="939" spans="2:5">
      <c r="B939" s="91"/>
      <c r="C939" s="57" t="s">
        <v>156</v>
      </c>
      <c r="D939" s="60">
        <v>1</v>
      </c>
      <c r="E939" s="59">
        <v>0</v>
      </c>
    </row>
    <row r="940" spans="2:5">
      <c r="B940" s="91"/>
      <c r="C940" s="57" t="s">
        <v>157</v>
      </c>
      <c r="D940" s="60">
        <v>3</v>
      </c>
      <c r="E940" s="59">
        <v>0</v>
      </c>
    </row>
    <row r="941" spans="2:5">
      <c r="B941" s="91"/>
      <c r="C941" s="57" t="s">
        <v>158</v>
      </c>
      <c r="D941" s="60">
        <v>28</v>
      </c>
      <c r="E941" s="59">
        <v>0</v>
      </c>
    </row>
    <row r="942" spans="2:5">
      <c r="B942" s="91"/>
      <c r="C942" s="57" t="s">
        <v>159</v>
      </c>
      <c r="D942" s="60">
        <v>11</v>
      </c>
      <c r="E942" s="59">
        <v>0</v>
      </c>
    </row>
    <row r="943" spans="2:5">
      <c r="B943" s="91"/>
      <c r="C943" s="57" t="s">
        <v>160</v>
      </c>
      <c r="D943" s="60">
        <v>253</v>
      </c>
      <c r="E943" s="59">
        <v>4.0000000000000001E-3</v>
      </c>
    </row>
    <row r="944" spans="2:5">
      <c r="B944" s="91"/>
      <c r="C944" s="57" t="s">
        <v>161</v>
      </c>
      <c r="D944" s="60">
        <v>21</v>
      </c>
      <c r="E944" s="59">
        <v>0</v>
      </c>
    </row>
    <row r="945" spans="2:5">
      <c r="B945" s="91"/>
      <c r="C945" s="57" t="s">
        <v>184</v>
      </c>
      <c r="D945" s="60">
        <v>4</v>
      </c>
      <c r="E945" s="59">
        <v>0</v>
      </c>
    </row>
    <row r="946" spans="2:5">
      <c r="B946" s="91"/>
      <c r="C946" s="57" t="s">
        <v>162</v>
      </c>
      <c r="D946" s="60">
        <v>9</v>
      </c>
      <c r="E946" s="59">
        <v>0</v>
      </c>
    </row>
    <row r="947" spans="2:5">
      <c r="B947" s="91"/>
      <c r="C947" s="57" t="s">
        <v>186</v>
      </c>
      <c r="D947" s="60">
        <v>1</v>
      </c>
      <c r="E947" s="59">
        <v>0</v>
      </c>
    </row>
    <row r="948" spans="2:5">
      <c r="B948" s="91"/>
      <c r="C948" s="57" t="s">
        <v>163</v>
      </c>
      <c r="D948" s="60">
        <v>14</v>
      </c>
      <c r="E948" s="59">
        <v>0</v>
      </c>
    </row>
    <row r="949" spans="2:5">
      <c r="B949" s="91"/>
      <c r="C949" s="57" t="s">
        <v>164</v>
      </c>
      <c r="D949" s="60">
        <v>15</v>
      </c>
      <c r="E949" s="59">
        <v>0</v>
      </c>
    </row>
    <row r="950" spans="2:5">
      <c r="B950" s="91"/>
      <c r="C950" s="57" t="s">
        <v>165</v>
      </c>
      <c r="D950" s="60">
        <v>9</v>
      </c>
      <c r="E950" s="59">
        <v>0</v>
      </c>
    </row>
    <row r="951" spans="2:5">
      <c r="B951" s="91"/>
      <c r="C951" s="57" t="s">
        <v>166</v>
      </c>
      <c r="D951" s="60">
        <v>19</v>
      </c>
      <c r="E951" s="59">
        <v>0</v>
      </c>
    </row>
    <row r="952" spans="2:5">
      <c r="B952" s="91"/>
      <c r="C952" s="57" t="s">
        <v>168</v>
      </c>
      <c r="D952" s="60">
        <v>5</v>
      </c>
      <c r="E952" s="59">
        <v>0</v>
      </c>
    </row>
    <row r="953" spans="2:5">
      <c r="B953" s="91"/>
      <c r="C953" s="57" t="s">
        <v>169</v>
      </c>
      <c r="D953" s="60">
        <v>23</v>
      </c>
      <c r="E953" s="59">
        <v>0</v>
      </c>
    </row>
    <row r="954" spans="2:5">
      <c r="B954" s="91"/>
      <c r="C954" s="57" t="s">
        <v>170</v>
      </c>
      <c r="D954" s="60">
        <v>3</v>
      </c>
      <c r="E954" s="59">
        <v>0</v>
      </c>
    </row>
    <row r="955" spans="2:5">
      <c r="B955" s="91"/>
      <c r="C955" s="57" t="s">
        <v>171</v>
      </c>
      <c r="D955" s="60">
        <v>6</v>
      </c>
      <c r="E955" s="59">
        <v>0</v>
      </c>
    </row>
    <row r="956" spans="2:5">
      <c r="B956" s="91"/>
      <c r="C956" s="57" t="s">
        <v>172</v>
      </c>
      <c r="D956" s="60">
        <v>10</v>
      </c>
      <c r="E956" s="59">
        <v>0</v>
      </c>
    </row>
    <row r="957" spans="2:5">
      <c r="B957" s="91"/>
      <c r="C957" s="57" t="s">
        <v>187</v>
      </c>
      <c r="D957" s="60">
        <v>2</v>
      </c>
      <c r="E957" s="59">
        <v>0</v>
      </c>
    </row>
    <row r="958" spans="2:5">
      <c r="B958" s="91"/>
      <c r="C958" s="57" t="s">
        <v>188</v>
      </c>
      <c r="D958" s="60">
        <v>5</v>
      </c>
      <c r="E958" s="59">
        <v>0</v>
      </c>
    </row>
    <row r="959" spans="2:5">
      <c r="B959" s="91"/>
      <c r="C959" s="57" t="s">
        <v>173</v>
      </c>
      <c r="D959" s="60">
        <v>18</v>
      </c>
      <c r="E959" s="59">
        <v>0</v>
      </c>
    </row>
    <row r="960" spans="2:5">
      <c r="B960" s="91"/>
      <c r="C960" s="57" t="s">
        <v>189</v>
      </c>
      <c r="D960" s="60">
        <v>3</v>
      </c>
      <c r="E960" s="59">
        <v>0</v>
      </c>
    </row>
    <row r="961" spans="2:5">
      <c r="B961" s="91"/>
      <c r="C961" s="57" t="s">
        <v>175</v>
      </c>
      <c r="D961" s="60">
        <v>8</v>
      </c>
      <c r="E961" s="59">
        <v>0</v>
      </c>
    </row>
    <row r="962" spans="2:5">
      <c r="B962" s="91"/>
      <c r="C962" s="57" t="s">
        <v>176</v>
      </c>
      <c r="D962" s="60">
        <v>14</v>
      </c>
      <c r="E962" s="59">
        <v>0</v>
      </c>
    </row>
    <row r="963" spans="2:5">
      <c r="B963" s="91"/>
      <c r="C963" s="57" t="s">
        <v>191</v>
      </c>
      <c r="D963" s="60">
        <v>3</v>
      </c>
      <c r="E963" s="59">
        <v>0</v>
      </c>
    </row>
    <row r="964" spans="2:5">
      <c r="B964" s="91"/>
      <c r="C964" s="57" t="s">
        <v>178</v>
      </c>
      <c r="D964" s="60">
        <v>2</v>
      </c>
      <c r="E964" s="59">
        <v>0</v>
      </c>
    </row>
    <row r="965" spans="2:5">
      <c r="B965" s="91"/>
      <c r="C965" s="57" t="s">
        <v>179</v>
      </c>
      <c r="D965" s="60">
        <v>17</v>
      </c>
      <c r="E965" s="59">
        <v>0</v>
      </c>
    </row>
    <row r="966" spans="2:5">
      <c r="B966" s="92"/>
      <c r="C966" s="71" t="s">
        <v>302</v>
      </c>
      <c r="D966" s="73">
        <v>703</v>
      </c>
      <c r="E966" s="72">
        <v>1.0999999999999999E-2</v>
      </c>
    </row>
    <row r="967" spans="2:5">
      <c r="B967" s="90" t="s">
        <v>93</v>
      </c>
      <c r="C967" s="57" t="s">
        <v>149</v>
      </c>
      <c r="D967" s="60">
        <v>1</v>
      </c>
      <c r="E967" s="59">
        <v>0</v>
      </c>
    </row>
    <row r="968" spans="2:5">
      <c r="B968" s="91"/>
      <c r="C968" s="57" t="s">
        <v>151</v>
      </c>
      <c r="D968" s="60">
        <v>10</v>
      </c>
      <c r="E968" s="59">
        <v>0</v>
      </c>
    </row>
    <row r="969" spans="2:5">
      <c r="B969" s="91"/>
      <c r="C969" s="57" t="s">
        <v>152</v>
      </c>
      <c r="D969" s="60">
        <v>2</v>
      </c>
      <c r="E969" s="59">
        <v>0</v>
      </c>
    </row>
    <row r="970" spans="2:5">
      <c r="B970" s="91"/>
      <c r="C970" s="57" t="s">
        <v>182</v>
      </c>
      <c r="D970" s="60">
        <v>3</v>
      </c>
      <c r="E970" s="59">
        <v>0</v>
      </c>
    </row>
    <row r="971" spans="2:5">
      <c r="B971" s="91"/>
      <c r="C971" s="57" t="s">
        <v>153</v>
      </c>
      <c r="D971" s="60">
        <v>1</v>
      </c>
      <c r="E971" s="59">
        <v>0</v>
      </c>
    </row>
    <row r="972" spans="2:5">
      <c r="B972" s="91"/>
      <c r="C972" s="57" t="s">
        <v>291</v>
      </c>
      <c r="D972" s="60">
        <v>1</v>
      </c>
      <c r="E972" s="59">
        <v>0</v>
      </c>
    </row>
    <row r="973" spans="2:5" ht="28.5">
      <c r="B973" s="91"/>
      <c r="C973" s="57" t="s">
        <v>154</v>
      </c>
      <c r="D973" s="60">
        <v>1</v>
      </c>
      <c r="E973" s="59">
        <v>0</v>
      </c>
    </row>
    <row r="974" spans="2:5">
      <c r="B974" s="91"/>
      <c r="C974" s="57" t="s">
        <v>155</v>
      </c>
      <c r="D974" s="60">
        <v>1</v>
      </c>
      <c r="E974" s="59">
        <v>0</v>
      </c>
    </row>
    <row r="975" spans="2:5">
      <c r="B975" s="91"/>
      <c r="C975" s="57" t="s">
        <v>157</v>
      </c>
      <c r="D975" s="60">
        <v>4</v>
      </c>
      <c r="E975" s="59">
        <v>0</v>
      </c>
    </row>
    <row r="976" spans="2:5">
      <c r="B976" s="91"/>
      <c r="C976" s="57" t="s">
        <v>160</v>
      </c>
      <c r="D976" s="60">
        <v>2</v>
      </c>
      <c r="E976" s="59">
        <v>0</v>
      </c>
    </row>
    <row r="977" spans="2:5">
      <c r="B977" s="91"/>
      <c r="C977" s="57" t="s">
        <v>184</v>
      </c>
      <c r="D977" s="60">
        <v>1</v>
      </c>
      <c r="E977" s="59">
        <v>0</v>
      </c>
    </row>
    <row r="978" spans="2:5">
      <c r="B978" s="91"/>
      <c r="C978" s="57" t="s">
        <v>163</v>
      </c>
      <c r="D978" s="60">
        <v>1</v>
      </c>
      <c r="E978" s="59">
        <v>0</v>
      </c>
    </row>
    <row r="979" spans="2:5">
      <c r="B979" s="91"/>
      <c r="C979" s="57" t="s">
        <v>165</v>
      </c>
      <c r="D979" s="60">
        <v>2</v>
      </c>
      <c r="E979" s="59">
        <v>0</v>
      </c>
    </row>
    <row r="980" spans="2:5">
      <c r="B980" s="91"/>
      <c r="C980" s="57" t="s">
        <v>168</v>
      </c>
      <c r="D980" s="60">
        <v>2</v>
      </c>
      <c r="E980" s="59">
        <v>0</v>
      </c>
    </row>
    <row r="981" spans="2:5">
      <c r="B981" s="91"/>
      <c r="C981" s="57" t="s">
        <v>169</v>
      </c>
      <c r="D981" s="60">
        <v>2</v>
      </c>
      <c r="E981" s="59">
        <v>0</v>
      </c>
    </row>
    <row r="982" spans="2:5">
      <c r="B982" s="91"/>
      <c r="C982" s="57" t="s">
        <v>172</v>
      </c>
      <c r="D982" s="60">
        <v>2</v>
      </c>
      <c r="E982" s="59">
        <v>0</v>
      </c>
    </row>
    <row r="983" spans="2:5">
      <c r="B983" s="91"/>
      <c r="C983" s="57" t="s">
        <v>187</v>
      </c>
      <c r="D983" s="60">
        <v>3</v>
      </c>
      <c r="E983" s="59">
        <v>0</v>
      </c>
    </row>
    <row r="984" spans="2:5">
      <c r="B984" s="91"/>
      <c r="C984" s="57" t="s">
        <v>175</v>
      </c>
      <c r="D984" s="60">
        <v>1</v>
      </c>
      <c r="E984" s="59">
        <v>0</v>
      </c>
    </row>
    <row r="985" spans="2:5">
      <c r="B985" s="91"/>
      <c r="C985" s="57" t="s">
        <v>176</v>
      </c>
      <c r="D985" s="60">
        <v>3</v>
      </c>
      <c r="E985" s="59">
        <v>0</v>
      </c>
    </row>
    <row r="986" spans="2:5">
      <c r="B986" s="91"/>
      <c r="C986" s="57" t="s">
        <v>191</v>
      </c>
      <c r="D986" s="60">
        <v>1</v>
      </c>
      <c r="E986" s="59">
        <v>0</v>
      </c>
    </row>
    <row r="987" spans="2:5">
      <c r="B987" s="91"/>
      <c r="C987" s="57" t="s">
        <v>178</v>
      </c>
      <c r="D987" s="60">
        <v>1</v>
      </c>
      <c r="E987" s="59">
        <v>0</v>
      </c>
    </row>
    <row r="988" spans="2:5">
      <c r="B988" s="92"/>
      <c r="C988" s="71" t="s">
        <v>302</v>
      </c>
      <c r="D988" s="73">
        <v>45</v>
      </c>
      <c r="E988" s="72">
        <v>1E-3</v>
      </c>
    </row>
    <row r="989" spans="2:5">
      <c r="B989" s="90" t="s">
        <v>72</v>
      </c>
      <c r="C989" s="57" t="s">
        <v>147</v>
      </c>
      <c r="D989" s="60">
        <v>3</v>
      </c>
      <c r="E989" s="59">
        <v>0</v>
      </c>
    </row>
    <row r="990" spans="2:5">
      <c r="B990" s="91"/>
      <c r="C990" s="57" t="s">
        <v>148</v>
      </c>
      <c r="D990" s="60">
        <v>25</v>
      </c>
      <c r="E990" s="59">
        <v>0</v>
      </c>
    </row>
    <row r="991" spans="2:5">
      <c r="B991" s="91"/>
      <c r="C991" s="57" t="s">
        <v>149</v>
      </c>
      <c r="D991" s="60">
        <v>12</v>
      </c>
      <c r="E991" s="59">
        <v>0</v>
      </c>
    </row>
    <row r="992" spans="2:5">
      <c r="B992" s="91"/>
      <c r="C992" s="57" t="s">
        <v>150</v>
      </c>
      <c r="D992" s="60">
        <v>8</v>
      </c>
      <c r="E992" s="59">
        <v>0</v>
      </c>
    </row>
    <row r="993" spans="2:5">
      <c r="B993" s="91"/>
      <c r="C993" s="57" t="s">
        <v>180</v>
      </c>
      <c r="D993" s="60">
        <v>3</v>
      </c>
      <c r="E993" s="59">
        <v>0</v>
      </c>
    </row>
    <row r="994" spans="2:5">
      <c r="B994" s="91"/>
      <c r="C994" s="57" t="s">
        <v>151</v>
      </c>
      <c r="D994" s="60">
        <v>35</v>
      </c>
      <c r="E994" s="59">
        <v>1E-3</v>
      </c>
    </row>
    <row r="995" spans="2:5">
      <c r="B995" s="91"/>
      <c r="C995" s="57" t="s">
        <v>152</v>
      </c>
      <c r="D995" s="60">
        <v>34</v>
      </c>
      <c r="E995" s="59">
        <v>1E-3</v>
      </c>
    </row>
    <row r="996" spans="2:5">
      <c r="B996" s="91"/>
      <c r="C996" s="57" t="s">
        <v>181</v>
      </c>
      <c r="D996" s="60">
        <v>2</v>
      </c>
      <c r="E996" s="59">
        <v>0</v>
      </c>
    </row>
    <row r="997" spans="2:5">
      <c r="B997" s="91"/>
      <c r="C997" s="57" t="s">
        <v>182</v>
      </c>
      <c r="D997" s="60">
        <v>5</v>
      </c>
      <c r="E997" s="59">
        <v>0</v>
      </c>
    </row>
    <row r="998" spans="2:5">
      <c r="B998" s="91"/>
      <c r="C998" s="57" t="s">
        <v>153</v>
      </c>
      <c r="D998" s="60">
        <v>2</v>
      </c>
      <c r="E998" s="59">
        <v>0</v>
      </c>
    </row>
    <row r="999" spans="2:5">
      <c r="B999" s="91"/>
      <c r="C999" s="57" t="s">
        <v>291</v>
      </c>
      <c r="D999" s="60">
        <v>6</v>
      </c>
      <c r="E999" s="59">
        <v>0</v>
      </c>
    </row>
    <row r="1000" spans="2:5">
      <c r="B1000" s="91"/>
      <c r="C1000" s="57" t="s">
        <v>183</v>
      </c>
      <c r="D1000" s="60">
        <v>5</v>
      </c>
      <c r="E1000" s="59">
        <v>0</v>
      </c>
    </row>
    <row r="1001" spans="2:5" ht="28.5">
      <c r="B1001" s="91"/>
      <c r="C1001" s="57" t="s">
        <v>154</v>
      </c>
      <c r="D1001" s="60">
        <v>25</v>
      </c>
      <c r="E1001" s="59">
        <v>0</v>
      </c>
    </row>
    <row r="1002" spans="2:5">
      <c r="B1002" s="91"/>
      <c r="C1002" s="57" t="s">
        <v>155</v>
      </c>
      <c r="D1002" s="60">
        <v>16</v>
      </c>
      <c r="E1002" s="59">
        <v>0</v>
      </c>
    </row>
    <row r="1003" spans="2:5">
      <c r="B1003" s="91"/>
      <c r="C1003" s="57" t="s">
        <v>156</v>
      </c>
      <c r="D1003" s="60">
        <v>2</v>
      </c>
      <c r="E1003" s="59">
        <v>0</v>
      </c>
    </row>
    <row r="1004" spans="2:5">
      <c r="B1004" s="91"/>
      <c r="C1004" s="57" t="s">
        <v>157</v>
      </c>
      <c r="D1004" s="60">
        <v>13</v>
      </c>
      <c r="E1004" s="59">
        <v>0</v>
      </c>
    </row>
    <row r="1005" spans="2:5">
      <c r="B1005" s="91"/>
      <c r="C1005" s="57" t="s">
        <v>159</v>
      </c>
      <c r="D1005" s="60">
        <v>10</v>
      </c>
      <c r="E1005" s="59">
        <v>0</v>
      </c>
    </row>
    <row r="1006" spans="2:5">
      <c r="B1006" s="91"/>
      <c r="C1006" s="57" t="s">
        <v>160</v>
      </c>
      <c r="D1006" s="60">
        <v>44</v>
      </c>
      <c r="E1006" s="59">
        <v>1E-3</v>
      </c>
    </row>
    <row r="1007" spans="2:5">
      <c r="B1007" s="91"/>
      <c r="C1007" s="57" t="s">
        <v>161</v>
      </c>
      <c r="D1007" s="60">
        <v>5</v>
      </c>
      <c r="E1007" s="59">
        <v>0</v>
      </c>
    </row>
    <row r="1008" spans="2:5">
      <c r="B1008" s="91"/>
      <c r="C1008" s="57" t="s">
        <v>184</v>
      </c>
      <c r="D1008" s="60">
        <v>1</v>
      </c>
      <c r="E1008" s="59">
        <v>0</v>
      </c>
    </row>
    <row r="1009" spans="2:5">
      <c r="B1009" s="91"/>
      <c r="C1009" s="57" t="s">
        <v>162</v>
      </c>
      <c r="D1009" s="60">
        <v>2</v>
      </c>
      <c r="E1009" s="59">
        <v>0</v>
      </c>
    </row>
    <row r="1010" spans="2:5">
      <c r="B1010" s="91"/>
      <c r="C1010" s="57" t="s">
        <v>185</v>
      </c>
      <c r="D1010" s="60">
        <v>1</v>
      </c>
      <c r="E1010" s="59">
        <v>0</v>
      </c>
    </row>
    <row r="1011" spans="2:5">
      <c r="B1011" s="91"/>
      <c r="C1011" s="57" t="s">
        <v>186</v>
      </c>
      <c r="D1011" s="60">
        <v>1</v>
      </c>
      <c r="E1011" s="59">
        <v>0</v>
      </c>
    </row>
    <row r="1012" spans="2:5">
      <c r="B1012" s="91"/>
      <c r="C1012" s="57" t="s">
        <v>163</v>
      </c>
      <c r="D1012" s="60">
        <v>4</v>
      </c>
      <c r="E1012" s="59">
        <v>0</v>
      </c>
    </row>
    <row r="1013" spans="2:5">
      <c r="B1013" s="91"/>
      <c r="C1013" s="57" t="s">
        <v>164</v>
      </c>
      <c r="D1013" s="60">
        <v>2</v>
      </c>
      <c r="E1013" s="59">
        <v>0</v>
      </c>
    </row>
    <row r="1014" spans="2:5">
      <c r="B1014" s="91"/>
      <c r="C1014" s="57" t="s">
        <v>165</v>
      </c>
      <c r="D1014" s="60">
        <v>44</v>
      </c>
      <c r="E1014" s="59">
        <v>1E-3</v>
      </c>
    </row>
    <row r="1015" spans="2:5">
      <c r="B1015" s="91"/>
      <c r="C1015" s="57" t="s">
        <v>166</v>
      </c>
      <c r="D1015" s="60">
        <v>2</v>
      </c>
      <c r="E1015" s="59">
        <v>0</v>
      </c>
    </row>
    <row r="1016" spans="2:5">
      <c r="B1016" s="91"/>
      <c r="C1016" s="57" t="s">
        <v>167</v>
      </c>
      <c r="D1016" s="60">
        <v>1</v>
      </c>
      <c r="E1016" s="59">
        <v>0</v>
      </c>
    </row>
    <row r="1017" spans="2:5">
      <c r="B1017" s="91"/>
      <c r="C1017" s="57" t="s">
        <v>168</v>
      </c>
      <c r="D1017" s="60">
        <v>19</v>
      </c>
      <c r="E1017" s="59">
        <v>0</v>
      </c>
    </row>
    <row r="1018" spans="2:5">
      <c r="B1018" s="91"/>
      <c r="C1018" s="57" t="s">
        <v>169</v>
      </c>
      <c r="D1018" s="60">
        <v>4</v>
      </c>
      <c r="E1018" s="59">
        <v>0</v>
      </c>
    </row>
    <row r="1019" spans="2:5">
      <c r="B1019" s="91"/>
      <c r="C1019" s="57" t="s">
        <v>170</v>
      </c>
      <c r="D1019" s="60">
        <v>6</v>
      </c>
      <c r="E1019" s="59">
        <v>0</v>
      </c>
    </row>
    <row r="1020" spans="2:5">
      <c r="B1020" s="91"/>
      <c r="C1020" s="57" t="s">
        <v>171</v>
      </c>
      <c r="D1020" s="60">
        <v>61</v>
      </c>
      <c r="E1020" s="59">
        <v>1E-3</v>
      </c>
    </row>
    <row r="1021" spans="2:5">
      <c r="B1021" s="91"/>
      <c r="C1021" s="57" t="s">
        <v>172</v>
      </c>
      <c r="D1021" s="60">
        <v>102</v>
      </c>
      <c r="E1021" s="59">
        <v>2E-3</v>
      </c>
    </row>
    <row r="1022" spans="2:5">
      <c r="B1022" s="91"/>
      <c r="C1022" s="57" t="s">
        <v>187</v>
      </c>
      <c r="D1022" s="60">
        <v>9</v>
      </c>
      <c r="E1022" s="59">
        <v>0</v>
      </c>
    </row>
    <row r="1023" spans="2:5">
      <c r="B1023" s="91"/>
      <c r="C1023" s="57" t="s">
        <v>173</v>
      </c>
      <c r="D1023" s="60">
        <v>1</v>
      </c>
      <c r="E1023" s="59">
        <v>0</v>
      </c>
    </row>
    <row r="1024" spans="2:5">
      <c r="B1024" s="91"/>
      <c r="C1024" s="57" t="s">
        <v>190</v>
      </c>
      <c r="D1024" s="60">
        <v>1</v>
      </c>
      <c r="E1024" s="59">
        <v>0</v>
      </c>
    </row>
    <row r="1025" spans="2:5">
      <c r="B1025" s="91"/>
      <c r="C1025" s="57" t="s">
        <v>175</v>
      </c>
      <c r="D1025" s="60">
        <v>3</v>
      </c>
      <c r="E1025" s="59">
        <v>0</v>
      </c>
    </row>
    <row r="1026" spans="2:5">
      <c r="B1026" s="91"/>
      <c r="C1026" s="57" t="s">
        <v>176</v>
      </c>
      <c r="D1026" s="60">
        <v>33</v>
      </c>
      <c r="E1026" s="59">
        <v>1E-3</v>
      </c>
    </row>
    <row r="1027" spans="2:5">
      <c r="B1027" s="91"/>
      <c r="C1027" s="57" t="s">
        <v>177</v>
      </c>
      <c r="D1027" s="60">
        <v>19</v>
      </c>
      <c r="E1027" s="59">
        <v>0</v>
      </c>
    </row>
    <row r="1028" spans="2:5">
      <c r="B1028" s="91"/>
      <c r="C1028" s="57" t="s">
        <v>191</v>
      </c>
      <c r="D1028" s="60">
        <v>2</v>
      </c>
      <c r="E1028" s="59">
        <v>0</v>
      </c>
    </row>
    <row r="1029" spans="2:5">
      <c r="B1029" s="91"/>
      <c r="C1029" s="57" t="s">
        <v>178</v>
      </c>
      <c r="D1029" s="60">
        <v>13</v>
      </c>
      <c r="E1029" s="59">
        <v>0</v>
      </c>
    </row>
    <row r="1030" spans="2:5">
      <c r="B1030" s="92"/>
      <c r="C1030" s="71" t="s">
        <v>302</v>
      </c>
      <c r="D1030" s="73">
        <v>586</v>
      </c>
      <c r="E1030" s="72">
        <v>8.9999999999999993E-3</v>
      </c>
    </row>
    <row r="1031" spans="2:5">
      <c r="B1031" s="90" t="s">
        <v>84</v>
      </c>
      <c r="C1031" s="57" t="s">
        <v>147</v>
      </c>
      <c r="D1031" s="60">
        <v>3</v>
      </c>
      <c r="E1031" s="59">
        <v>0</v>
      </c>
    </row>
    <row r="1032" spans="2:5">
      <c r="B1032" s="91"/>
      <c r="C1032" s="57" t="s">
        <v>148</v>
      </c>
      <c r="D1032" s="60">
        <v>9</v>
      </c>
      <c r="E1032" s="59">
        <v>0</v>
      </c>
    </row>
    <row r="1033" spans="2:5">
      <c r="B1033" s="91"/>
      <c r="C1033" s="57" t="s">
        <v>149</v>
      </c>
      <c r="D1033" s="60">
        <v>9</v>
      </c>
      <c r="E1033" s="59">
        <v>0</v>
      </c>
    </row>
    <row r="1034" spans="2:5">
      <c r="B1034" s="91"/>
      <c r="C1034" s="57" t="s">
        <v>150</v>
      </c>
      <c r="D1034" s="60">
        <v>1</v>
      </c>
      <c r="E1034" s="59">
        <v>0</v>
      </c>
    </row>
    <row r="1035" spans="2:5">
      <c r="B1035" s="91"/>
      <c r="C1035" s="57" t="s">
        <v>151</v>
      </c>
      <c r="D1035" s="60">
        <v>23</v>
      </c>
      <c r="E1035" s="59">
        <v>0</v>
      </c>
    </row>
    <row r="1036" spans="2:5">
      <c r="B1036" s="91"/>
      <c r="C1036" s="57" t="s">
        <v>152</v>
      </c>
      <c r="D1036" s="60">
        <v>2</v>
      </c>
      <c r="E1036" s="59">
        <v>0</v>
      </c>
    </row>
    <row r="1037" spans="2:5">
      <c r="B1037" s="91"/>
      <c r="C1037" s="57" t="s">
        <v>182</v>
      </c>
      <c r="D1037" s="60">
        <v>1</v>
      </c>
      <c r="E1037" s="59">
        <v>0</v>
      </c>
    </row>
    <row r="1038" spans="2:5">
      <c r="B1038" s="91"/>
      <c r="C1038" s="57" t="s">
        <v>153</v>
      </c>
      <c r="D1038" s="60">
        <v>1</v>
      </c>
      <c r="E1038" s="59">
        <v>0</v>
      </c>
    </row>
    <row r="1039" spans="2:5">
      <c r="B1039" s="91"/>
      <c r="C1039" s="57" t="s">
        <v>291</v>
      </c>
      <c r="D1039" s="60">
        <v>6</v>
      </c>
      <c r="E1039" s="59">
        <v>0</v>
      </c>
    </row>
    <row r="1040" spans="2:5">
      <c r="B1040" s="91"/>
      <c r="C1040" s="57" t="s">
        <v>183</v>
      </c>
      <c r="D1040" s="60">
        <v>1</v>
      </c>
      <c r="E1040" s="59">
        <v>0</v>
      </c>
    </row>
    <row r="1041" spans="2:5" ht="28.5">
      <c r="B1041" s="91"/>
      <c r="C1041" s="57" t="s">
        <v>154</v>
      </c>
      <c r="D1041" s="60">
        <v>1</v>
      </c>
      <c r="E1041" s="59">
        <v>0</v>
      </c>
    </row>
    <row r="1042" spans="2:5">
      <c r="B1042" s="91"/>
      <c r="C1042" s="57" t="s">
        <v>155</v>
      </c>
      <c r="D1042" s="60">
        <v>2</v>
      </c>
      <c r="E1042" s="59">
        <v>0</v>
      </c>
    </row>
    <row r="1043" spans="2:5">
      <c r="B1043" s="91"/>
      <c r="C1043" s="57" t="s">
        <v>157</v>
      </c>
      <c r="D1043" s="60">
        <v>16</v>
      </c>
      <c r="E1043" s="59">
        <v>0</v>
      </c>
    </row>
    <row r="1044" spans="2:5">
      <c r="B1044" s="91"/>
      <c r="C1044" s="57" t="s">
        <v>160</v>
      </c>
      <c r="D1044" s="60">
        <v>27</v>
      </c>
      <c r="E1044" s="59">
        <v>0</v>
      </c>
    </row>
    <row r="1045" spans="2:5">
      <c r="B1045" s="91"/>
      <c r="C1045" s="57" t="s">
        <v>161</v>
      </c>
      <c r="D1045" s="60">
        <v>5</v>
      </c>
      <c r="E1045" s="59">
        <v>0</v>
      </c>
    </row>
    <row r="1046" spans="2:5">
      <c r="B1046" s="91"/>
      <c r="C1046" s="57" t="s">
        <v>186</v>
      </c>
      <c r="D1046" s="60">
        <v>2</v>
      </c>
      <c r="E1046" s="59">
        <v>0</v>
      </c>
    </row>
    <row r="1047" spans="2:5">
      <c r="B1047" s="91"/>
      <c r="C1047" s="57" t="s">
        <v>163</v>
      </c>
      <c r="D1047" s="60">
        <v>1</v>
      </c>
      <c r="E1047" s="59">
        <v>0</v>
      </c>
    </row>
    <row r="1048" spans="2:5">
      <c r="B1048" s="91"/>
      <c r="C1048" s="57" t="s">
        <v>165</v>
      </c>
      <c r="D1048" s="60">
        <v>6</v>
      </c>
      <c r="E1048" s="59">
        <v>0</v>
      </c>
    </row>
    <row r="1049" spans="2:5">
      <c r="B1049" s="91"/>
      <c r="C1049" s="57" t="s">
        <v>166</v>
      </c>
      <c r="D1049" s="60">
        <v>1</v>
      </c>
      <c r="E1049" s="59">
        <v>0</v>
      </c>
    </row>
    <row r="1050" spans="2:5">
      <c r="B1050" s="91"/>
      <c r="C1050" s="57" t="s">
        <v>167</v>
      </c>
      <c r="D1050" s="60">
        <v>2</v>
      </c>
      <c r="E1050" s="59">
        <v>0</v>
      </c>
    </row>
    <row r="1051" spans="2:5">
      <c r="B1051" s="91"/>
      <c r="C1051" s="57" t="s">
        <v>168</v>
      </c>
      <c r="D1051" s="60">
        <v>1</v>
      </c>
      <c r="E1051" s="59">
        <v>0</v>
      </c>
    </row>
    <row r="1052" spans="2:5">
      <c r="B1052" s="91"/>
      <c r="C1052" s="57" t="s">
        <v>169</v>
      </c>
      <c r="D1052" s="60">
        <v>1</v>
      </c>
      <c r="E1052" s="59">
        <v>0</v>
      </c>
    </row>
    <row r="1053" spans="2:5">
      <c r="B1053" s="91"/>
      <c r="C1053" s="57" t="s">
        <v>170</v>
      </c>
      <c r="D1053" s="60">
        <v>1</v>
      </c>
      <c r="E1053" s="59">
        <v>0</v>
      </c>
    </row>
    <row r="1054" spans="2:5">
      <c r="B1054" s="91"/>
      <c r="C1054" s="57" t="s">
        <v>171</v>
      </c>
      <c r="D1054" s="60">
        <v>3</v>
      </c>
      <c r="E1054" s="59">
        <v>0</v>
      </c>
    </row>
    <row r="1055" spans="2:5">
      <c r="B1055" s="91"/>
      <c r="C1055" s="57" t="s">
        <v>172</v>
      </c>
      <c r="D1055" s="60">
        <v>4</v>
      </c>
      <c r="E1055" s="59">
        <v>0</v>
      </c>
    </row>
    <row r="1056" spans="2:5">
      <c r="B1056" s="91"/>
      <c r="C1056" s="57" t="s">
        <v>192</v>
      </c>
      <c r="D1056" s="60">
        <v>1</v>
      </c>
      <c r="E1056" s="59">
        <v>0</v>
      </c>
    </row>
    <row r="1057" spans="2:5">
      <c r="B1057" s="91"/>
      <c r="C1057" s="57" t="s">
        <v>187</v>
      </c>
      <c r="D1057" s="60">
        <v>3</v>
      </c>
      <c r="E1057" s="59">
        <v>0</v>
      </c>
    </row>
    <row r="1058" spans="2:5">
      <c r="B1058" s="91"/>
      <c r="C1058" s="57" t="s">
        <v>188</v>
      </c>
      <c r="D1058" s="60">
        <v>1</v>
      </c>
      <c r="E1058" s="59">
        <v>0</v>
      </c>
    </row>
    <row r="1059" spans="2:5">
      <c r="B1059" s="91"/>
      <c r="C1059" s="57" t="s">
        <v>173</v>
      </c>
      <c r="D1059" s="60">
        <v>6</v>
      </c>
      <c r="E1059" s="59">
        <v>0</v>
      </c>
    </row>
    <row r="1060" spans="2:5">
      <c r="B1060" s="91"/>
      <c r="C1060" s="57" t="s">
        <v>174</v>
      </c>
      <c r="D1060" s="60">
        <v>1</v>
      </c>
      <c r="E1060" s="59">
        <v>0</v>
      </c>
    </row>
    <row r="1061" spans="2:5">
      <c r="B1061" s="91"/>
      <c r="C1061" s="57" t="s">
        <v>190</v>
      </c>
      <c r="D1061" s="60">
        <v>1</v>
      </c>
      <c r="E1061" s="59">
        <v>0</v>
      </c>
    </row>
    <row r="1062" spans="2:5">
      <c r="B1062" s="91"/>
      <c r="C1062" s="57" t="s">
        <v>175</v>
      </c>
      <c r="D1062" s="60">
        <v>2</v>
      </c>
      <c r="E1062" s="59">
        <v>0</v>
      </c>
    </row>
    <row r="1063" spans="2:5">
      <c r="B1063" s="91"/>
      <c r="C1063" s="57" t="s">
        <v>176</v>
      </c>
      <c r="D1063" s="60">
        <v>4</v>
      </c>
      <c r="E1063" s="59">
        <v>0</v>
      </c>
    </row>
    <row r="1064" spans="2:5">
      <c r="B1064" s="91"/>
      <c r="C1064" s="57" t="s">
        <v>177</v>
      </c>
      <c r="D1064" s="60">
        <v>4</v>
      </c>
      <c r="E1064" s="59">
        <v>0</v>
      </c>
    </row>
    <row r="1065" spans="2:5">
      <c r="B1065" s="91"/>
      <c r="C1065" s="57" t="s">
        <v>191</v>
      </c>
      <c r="D1065" s="60">
        <v>1</v>
      </c>
      <c r="E1065" s="59">
        <v>0</v>
      </c>
    </row>
    <row r="1066" spans="2:5">
      <c r="B1066" s="91"/>
      <c r="C1066" s="57" t="s">
        <v>179</v>
      </c>
      <c r="D1066" s="60">
        <v>4</v>
      </c>
      <c r="E1066" s="59">
        <v>0</v>
      </c>
    </row>
    <row r="1067" spans="2:5">
      <c r="B1067" s="92"/>
      <c r="C1067" s="71" t="s">
        <v>302</v>
      </c>
      <c r="D1067" s="73">
        <v>157</v>
      </c>
      <c r="E1067" s="72">
        <v>2E-3</v>
      </c>
    </row>
    <row r="1068" spans="2:5">
      <c r="B1068" s="90" t="s">
        <v>57</v>
      </c>
      <c r="C1068" s="57" t="s">
        <v>147</v>
      </c>
      <c r="D1068" s="60">
        <v>5</v>
      </c>
      <c r="E1068" s="59">
        <v>0</v>
      </c>
    </row>
    <row r="1069" spans="2:5">
      <c r="B1069" s="91"/>
      <c r="C1069" s="57" t="s">
        <v>148</v>
      </c>
      <c r="D1069" s="60">
        <v>15</v>
      </c>
      <c r="E1069" s="59">
        <v>0</v>
      </c>
    </row>
    <row r="1070" spans="2:5">
      <c r="B1070" s="91"/>
      <c r="C1070" s="57" t="s">
        <v>149</v>
      </c>
      <c r="D1070" s="60">
        <v>24</v>
      </c>
      <c r="E1070" s="59">
        <v>0</v>
      </c>
    </row>
    <row r="1071" spans="2:5">
      <c r="B1071" s="91"/>
      <c r="C1071" s="57" t="s">
        <v>150</v>
      </c>
      <c r="D1071" s="60">
        <v>32</v>
      </c>
      <c r="E1071" s="59">
        <v>1E-3</v>
      </c>
    </row>
    <row r="1072" spans="2:5">
      <c r="B1072" s="91"/>
      <c r="C1072" s="57" t="s">
        <v>180</v>
      </c>
      <c r="D1072" s="60">
        <v>1</v>
      </c>
      <c r="E1072" s="59">
        <v>0</v>
      </c>
    </row>
    <row r="1073" spans="2:5">
      <c r="B1073" s="91"/>
      <c r="C1073" s="57" t="s">
        <v>151</v>
      </c>
      <c r="D1073" s="60">
        <v>201</v>
      </c>
      <c r="E1073" s="59">
        <v>3.0000000000000001E-3</v>
      </c>
    </row>
    <row r="1074" spans="2:5">
      <c r="B1074" s="91"/>
      <c r="C1074" s="57" t="s">
        <v>152</v>
      </c>
      <c r="D1074" s="60">
        <v>63</v>
      </c>
      <c r="E1074" s="59">
        <v>1E-3</v>
      </c>
    </row>
    <row r="1075" spans="2:5">
      <c r="B1075" s="91"/>
      <c r="C1075" s="57" t="s">
        <v>181</v>
      </c>
      <c r="D1075" s="60">
        <v>3</v>
      </c>
      <c r="E1075" s="59">
        <v>0</v>
      </c>
    </row>
    <row r="1076" spans="2:5">
      <c r="B1076" s="91"/>
      <c r="C1076" s="57" t="s">
        <v>182</v>
      </c>
      <c r="D1076" s="60">
        <v>35</v>
      </c>
      <c r="E1076" s="59">
        <v>1E-3</v>
      </c>
    </row>
    <row r="1077" spans="2:5">
      <c r="B1077" s="91"/>
      <c r="C1077" s="57" t="s">
        <v>153</v>
      </c>
      <c r="D1077" s="60">
        <v>4</v>
      </c>
      <c r="E1077" s="59">
        <v>0</v>
      </c>
    </row>
    <row r="1078" spans="2:5">
      <c r="B1078" s="91"/>
      <c r="C1078" s="57" t="s">
        <v>291</v>
      </c>
      <c r="D1078" s="60">
        <v>2</v>
      </c>
      <c r="E1078" s="59">
        <v>0</v>
      </c>
    </row>
    <row r="1079" spans="2:5">
      <c r="B1079" s="91"/>
      <c r="C1079" s="57" t="s">
        <v>183</v>
      </c>
      <c r="D1079" s="60">
        <v>2</v>
      </c>
      <c r="E1079" s="59">
        <v>0</v>
      </c>
    </row>
    <row r="1080" spans="2:5" ht="28.5">
      <c r="B1080" s="91"/>
      <c r="C1080" s="57" t="s">
        <v>154</v>
      </c>
      <c r="D1080" s="60">
        <v>159</v>
      </c>
      <c r="E1080" s="59">
        <v>3.0000000000000001E-3</v>
      </c>
    </row>
    <row r="1081" spans="2:5">
      <c r="B1081" s="91"/>
      <c r="C1081" s="57" t="s">
        <v>155</v>
      </c>
      <c r="D1081" s="60">
        <v>36</v>
      </c>
      <c r="E1081" s="59">
        <v>1E-3</v>
      </c>
    </row>
    <row r="1082" spans="2:5">
      <c r="B1082" s="91"/>
      <c r="C1082" s="57" t="s">
        <v>156</v>
      </c>
      <c r="D1082" s="60">
        <v>6</v>
      </c>
      <c r="E1082" s="59">
        <v>0</v>
      </c>
    </row>
    <row r="1083" spans="2:5">
      <c r="B1083" s="91"/>
      <c r="C1083" s="57" t="s">
        <v>157</v>
      </c>
      <c r="D1083" s="60">
        <v>55</v>
      </c>
      <c r="E1083" s="59">
        <v>1E-3</v>
      </c>
    </row>
    <row r="1084" spans="2:5">
      <c r="B1084" s="91"/>
      <c r="C1084" s="57" t="s">
        <v>158</v>
      </c>
      <c r="D1084" s="60">
        <v>14</v>
      </c>
      <c r="E1084" s="59">
        <v>0</v>
      </c>
    </row>
    <row r="1085" spans="2:5">
      <c r="B1085" s="91"/>
      <c r="C1085" s="57" t="s">
        <v>159</v>
      </c>
      <c r="D1085" s="60">
        <v>21</v>
      </c>
      <c r="E1085" s="59">
        <v>0</v>
      </c>
    </row>
    <row r="1086" spans="2:5">
      <c r="B1086" s="91"/>
      <c r="C1086" s="57" t="s">
        <v>160</v>
      </c>
      <c r="D1086" s="60">
        <v>159</v>
      </c>
      <c r="E1086" s="59">
        <v>3.0000000000000001E-3</v>
      </c>
    </row>
    <row r="1087" spans="2:5">
      <c r="B1087" s="91"/>
      <c r="C1087" s="57" t="s">
        <v>161</v>
      </c>
      <c r="D1087" s="60">
        <v>44</v>
      </c>
      <c r="E1087" s="59">
        <v>1E-3</v>
      </c>
    </row>
    <row r="1088" spans="2:5">
      <c r="B1088" s="91"/>
      <c r="C1088" s="57" t="s">
        <v>184</v>
      </c>
      <c r="D1088" s="60">
        <v>7</v>
      </c>
      <c r="E1088" s="59">
        <v>0</v>
      </c>
    </row>
    <row r="1089" spans="2:5">
      <c r="B1089" s="91"/>
      <c r="C1089" s="57" t="s">
        <v>162</v>
      </c>
      <c r="D1089" s="60">
        <v>14</v>
      </c>
      <c r="E1089" s="59">
        <v>0</v>
      </c>
    </row>
    <row r="1090" spans="2:5">
      <c r="B1090" s="91"/>
      <c r="C1090" s="57" t="s">
        <v>185</v>
      </c>
      <c r="D1090" s="60">
        <v>1</v>
      </c>
      <c r="E1090" s="59">
        <v>0</v>
      </c>
    </row>
    <row r="1091" spans="2:5">
      <c r="B1091" s="91"/>
      <c r="C1091" s="57" t="s">
        <v>186</v>
      </c>
      <c r="D1091" s="60">
        <v>8</v>
      </c>
      <c r="E1091" s="59">
        <v>0</v>
      </c>
    </row>
    <row r="1092" spans="2:5">
      <c r="B1092" s="91"/>
      <c r="C1092" s="57" t="s">
        <v>163</v>
      </c>
      <c r="D1092" s="60">
        <v>16</v>
      </c>
      <c r="E1092" s="59">
        <v>0</v>
      </c>
    </row>
    <row r="1093" spans="2:5">
      <c r="B1093" s="91"/>
      <c r="C1093" s="57" t="s">
        <v>164</v>
      </c>
      <c r="D1093" s="60">
        <v>2</v>
      </c>
      <c r="E1093" s="59">
        <v>0</v>
      </c>
    </row>
    <row r="1094" spans="2:5">
      <c r="B1094" s="91"/>
      <c r="C1094" s="57" t="s">
        <v>165</v>
      </c>
      <c r="D1094" s="60">
        <v>86</v>
      </c>
      <c r="E1094" s="59">
        <v>1E-3</v>
      </c>
    </row>
    <row r="1095" spans="2:5">
      <c r="B1095" s="91"/>
      <c r="C1095" s="57" t="s">
        <v>166</v>
      </c>
      <c r="D1095" s="60">
        <v>10</v>
      </c>
      <c r="E1095" s="59">
        <v>0</v>
      </c>
    </row>
    <row r="1096" spans="2:5">
      <c r="B1096" s="91"/>
      <c r="C1096" s="57" t="s">
        <v>167</v>
      </c>
      <c r="D1096" s="60">
        <v>22</v>
      </c>
      <c r="E1096" s="59">
        <v>0</v>
      </c>
    </row>
    <row r="1097" spans="2:5">
      <c r="B1097" s="91"/>
      <c r="C1097" s="57" t="s">
        <v>168</v>
      </c>
      <c r="D1097" s="60">
        <v>376</v>
      </c>
      <c r="E1097" s="59">
        <v>6.0000000000000001E-3</v>
      </c>
    </row>
    <row r="1098" spans="2:5">
      <c r="B1098" s="91"/>
      <c r="C1098" s="57" t="s">
        <v>169</v>
      </c>
      <c r="D1098" s="60">
        <v>24</v>
      </c>
      <c r="E1098" s="59">
        <v>0</v>
      </c>
    </row>
    <row r="1099" spans="2:5">
      <c r="B1099" s="91"/>
      <c r="C1099" s="57" t="s">
        <v>170</v>
      </c>
      <c r="D1099" s="60">
        <v>7</v>
      </c>
      <c r="E1099" s="59">
        <v>0</v>
      </c>
    </row>
    <row r="1100" spans="2:5">
      <c r="B1100" s="91"/>
      <c r="C1100" s="57" t="s">
        <v>171</v>
      </c>
      <c r="D1100" s="60">
        <v>84</v>
      </c>
      <c r="E1100" s="59">
        <v>1E-3</v>
      </c>
    </row>
    <row r="1101" spans="2:5">
      <c r="B1101" s="91"/>
      <c r="C1101" s="57" t="s">
        <v>172</v>
      </c>
      <c r="D1101" s="60">
        <v>132</v>
      </c>
      <c r="E1101" s="59">
        <v>2E-3</v>
      </c>
    </row>
    <row r="1102" spans="2:5">
      <c r="B1102" s="91"/>
      <c r="C1102" s="57" t="s">
        <v>192</v>
      </c>
      <c r="D1102" s="60">
        <v>1</v>
      </c>
      <c r="E1102" s="59">
        <v>0</v>
      </c>
    </row>
    <row r="1103" spans="2:5">
      <c r="B1103" s="91"/>
      <c r="C1103" s="57" t="s">
        <v>187</v>
      </c>
      <c r="D1103" s="60">
        <v>134</v>
      </c>
      <c r="E1103" s="59">
        <v>2E-3</v>
      </c>
    </row>
    <row r="1104" spans="2:5">
      <c r="B1104" s="91"/>
      <c r="C1104" s="57" t="s">
        <v>188</v>
      </c>
      <c r="D1104" s="60">
        <v>2</v>
      </c>
      <c r="E1104" s="59">
        <v>0</v>
      </c>
    </row>
    <row r="1105" spans="2:5">
      <c r="B1105" s="91"/>
      <c r="C1105" s="57" t="s">
        <v>173</v>
      </c>
      <c r="D1105" s="60">
        <v>6</v>
      </c>
      <c r="E1105" s="59">
        <v>0</v>
      </c>
    </row>
    <row r="1106" spans="2:5">
      <c r="B1106" s="91"/>
      <c r="C1106" s="57" t="s">
        <v>174</v>
      </c>
      <c r="D1106" s="60">
        <v>2</v>
      </c>
      <c r="E1106" s="59">
        <v>0</v>
      </c>
    </row>
    <row r="1107" spans="2:5">
      <c r="B1107" s="91"/>
      <c r="C1107" s="57" t="s">
        <v>189</v>
      </c>
      <c r="D1107" s="60">
        <v>6</v>
      </c>
      <c r="E1107" s="59">
        <v>0</v>
      </c>
    </row>
    <row r="1108" spans="2:5">
      <c r="B1108" s="91"/>
      <c r="C1108" s="57" t="s">
        <v>190</v>
      </c>
      <c r="D1108" s="60">
        <v>5</v>
      </c>
      <c r="E1108" s="59">
        <v>0</v>
      </c>
    </row>
    <row r="1109" spans="2:5">
      <c r="B1109" s="91"/>
      <c r="C1109" s="57" t="s">
        <v>175</v>
      </c>
      <c r="D1109" s="60">
        <v>13</v>
      </c>
      <c r="E1109" s="59">
        <v>0</v>
      </c>
    </row>
    <row r="1110" spans="2:5">
      <c r="B1110" s="91"/>
      <c r="C1110" s="57" t="s">
        <v>176</v>
      </c>
      <c r="D1110" s="60">
        <v>44</v>
      </c>
      <c r="E1110" s="59">
        <v>1E-3</v>
      </c>
    </row>
    <row r="1111" spans="2:5">
      <c r="B1111" s="91"/>
      <c r="C1111" s="57" t="s">
        <v>177</v>
      </c>
      <c r="D1111" s="60">
        <v>7</v>
      </c>
      <c r="E1111" s="59">
        <v>0</v>
      </c>
    </row>
    <row r="1112" spans="2:5">
      <c r="B1112" s="91"/>
      <c r="C1112" s="57" t="s">
        <v>191</v>
      </c>
      <c r="D1112" s="60">
        <v>19</v>
      </c>
      <c r="E1112" s="59">
        <v>0</v>
      </c>
    </row>
    <row r="1113" spans="2:5">
      <c r="B1113" s="91"/>
      <c r="C1113" s="57" t="s">
        <v>178</v>
      </c>
      <c r="D1113" s="60">
        <v>7</v>
      </c>
      <c r="E1113" s="59">
        <v>0</v>
      </c>
    </row>
    <row r="1114" spans="2:5">
      <c r="B1114" s="91"/>
      <c r="C1114" s="57" t="s">
        <v>179</v>
      </c>
      <c r="D1114" s="60">
        <v>36</v>
      </c>
      <c r="E1114" s="59">
        <v>1E-3</v>
      </c>
    </row>
    <row r="1115" spans="2:5">
      <c r="B1115" s="92"/>
      <c r="C1115" s="71" t="s">
        <v>302</v>
      </c>
      <c r="D1115" s="73">
        <v>1952</v>
      </c>
      <c r="E1115" s="72">
        <v>3.1E-2</v>
      </c>
    </row>
    <row r="1116" spans="2:5">
      <c r="B1116" s="90" t="s">
        <v>78</v>
      </c>
      <c r="C1116" s="57" t="s">
        <v>147</v>
      </c>
      <c r="D1116" s="60">
        <v>4</v>
      </c>
      <c r="E1116" s="59">
        <v>0</v>
      </c>
    </row>
    <row r="1117" spans="2:5">
      <c r="B1117" s="91"/>
      <c r="C1117" s="57" t="s">
        <v>148</v>
      </c>
      <c r="D1117" s="60">
        <v>17</v>
      </c>
      <c r="E1117" s="59">
        <v>0</v>
      </c>
    </row>
    <row r="1118" spans="2:5">
      <c r="B1118" s="91"/>
      <c r="C1118" s="57" t="s">
        <v>149</v>
      </c>
      <c r="D1118" s="60">
        <v>2</v>
      </c>
      <c r="E1118" s="59">
        <v>0</v>
      </c>
    </row>
    <row r="1119" spans="2:5">
      <c r="B1119" s="91"/>
      <c r="C1119" s="57" t="s">
        <v>150</v>
      </c>
      <c r="D1119" s="60">
        <v>2</v>
      </c>
      <c r="E1119" s="59">
        <v>0</v>
      </c>
    </row>
    <row r="1120" spans="2:5">
      <c r="B1120" s="91"/>
      <c r="C1120" s="57" t="s">
        <v>151</v>
      </c>
      <c r="D1120" s="60">
        <v>30</v>
      </c>
      <c r="E1120" s="59">
        <v>0</v>
      </c>
    </row>
    <row r="1121" spans="2:5">
      <c r="B1121" s="91"/>
      <c r="C1121" s="57" t="s">
        <v>152</v>
      </c>
      <c r="D1121" s="60">
        <v>5</v>
      </c>
      <c r="E1121" s="59">
        <v>0</v>
      </c>
    </row>
    <row r="1122" spans="2:5">
      <c r="B1122" s="91"/>
      <c r="C1122" s="57" t="s">
        <v>182</v>
      </c>
      <c r="D1122" s="60">
        <v>1</v>
      </c>
      <c r="E1122" s="59">
        <v>0</v>
      </c>
    </row>
    <row r="1123" spans="2:5">
      <c r="B1123" s="91"/>
      <c r="C1123" s="57" t="s">
        <v>291</v>
      </c>
      <c r="D1123" s="60">
        <v>5</v>
      </c>
      <c r="E1123" s="59">
        <v>0</v>
      </c>
    </row>
    <row r="1124" spans="2:5">
      <c r="B1124" s="91"/>
      <c r="C1124" s="57" t="s">
        <v>183</v>
      </c>
      <c r="D1124" s="60">
        <v>5</v>
      </c>
      <c r="E1124" s="59">
        <v>0</v>
      </c>
    </row>
    <row r="1125" spans="2:5" ht="28.5">
      <c r="B1125" s="91"/>
      <c r="C1125" s="57" t="s">
        <v>154</v>
      </c>
      <c r="D1125" s="60">
        <v>1</v>
      </c>
      <c r="E1125" s="59">
        <v>0</v>
      </c>
    </row>
    <row r="1126" spans="2:5">
      <c r="B1126" s="91"/>
      <c r="C1126" s="57" t="s">
        <v>155</v>
      </c>
      <c r="D1126" s="60">
        <v>8</v>
      </c>
      <c r="E1126" s="59">
        <v>0</v>
      </c>
    </row>
    <row r="1127" spans="2:5">
      <c r="B1127" s="91"/>
      <c r="C1127" s="57" t="s">
        <v>156</v>
      </c>
      <c r="D1127" s="60">
        <v>6</v>
      </c>
      <c r="E1127" s="59">
        <v>0</v>
      </c>
    </row>
    <row r="1128" spans="2:5">
      <c r="B1128" s="91"/>
      <c r="C1128" s="57" t="s">
        <v>157</v>
      </c>
      <c r="D1128" s="60">
        <v>21</v>
      </c>
      <c r="E1128" s="59">
        <v>0</v>
      </c>
    </row>
    <row r="1129" spans="2:5">
      <c r="B1129" s="91"/>
      <c r="C1129" s="57" t="s">
        <v>159</v>
      </c>
      <c r="D1129" s="60">
        <v>23</v>
      </c>
      <c r="E1129" s="59">
        <v>0</v>
      </c>
    </row>
    <row r="1130" spans="2:5">
      <c r="B1130" s="91"/>
      <c r="C1130" s="57" t="s">
        <v>160</v>
      </c>
      <c r="D1130" s="60">
        <v>65</v>
      </c>
      <c r="E1130" s="59">
        <v>1E-3</v>
      </c>
    </row>
    <row r="1131" spans="2:5">
      <c r="B1131" s="91"/>
      <c r="C1131" s="57" t="s">
        <v>161</v>
      </c>
      <c r="D1131" s="60">
        <v>4</v>
      </c>
      <c r="E1131" s="59">
        <v>0</v>
      </c>
    </row>
    <row r="1132" spans="2:5">
      <c r="B1132" s="91"/>
      <c r="C1132" s="57" t="s">
        <v>184</v>
      </c>
      <c r="D1132" s="60">
        <v>8</v>
      </c>
      <c r="E1132" s="59">
        <v>0</v>
      </c>
    </row>
    <row r="1133" spans="2:5">
      <c r="B1133" s="91"/>
      <c r="C1133" s="57" t="s">
        <v>186</v>
      </c>
      <c r="D1133" s="60">
        <v>36</v>
      </c>
      <c r="E1133" s="59">
        <v>1E-3</v>
      </c>
    </row>
    <row r="1134" spans="2:5">
      <c r="B1134" s="91"/>
      <c r="C1134" s="57" t="s">
        <v>163</v>
      </c>
      <c r="D1134" s="60">
        <v>18</v>
      </c>
      <c r="E1134" s="59">
        <v>0</v>
      </c>
    </row>
    <row r="1135" spans="2:5">
      <c r="B1135" s="91"/>
      <c r="C1135" s="57" t="s">
        <v>164</v>
      </c>
      <c r="D1135" s="60">
        <v>16</v>
      </c>
      <c r="E1135" s="59">
        <v>0</v>
      </c>
    </row>
    <row r="1136" spans="2:5">
      <c r="B1136" s="91"/>
      <c r="C1136" s="57" t="s">
        <v>165</v>
      </c>
      <c r="D1136" s="60">
        <v>22</v>
      </c>
      <c r="E1136" s="59">
        <v>0</v>
      </c>
    </row>
    <row r="1137" spans="2:5">
      <c r="B1137" s="91"/>
      <c r="C1137" s="57" t="s">
        <v>166</v>
      </c>
      <c r="D1137" s="60">
        <v>12</v>
      </c>
      <c r="E1137" s="59">
        <v>0</v>
      </c>
    </row>
    <row r="1138" spans="2:5">
      <c r="B1138" s="91"/>
      <c r="C1138" s="57" t="s">
        <v>167</v>
      </c>
      <c r="D1138" s="60">
        <v>1</v>
      </c>
      <c r="E1138" s="59">
        <v>0</v>
      </c>
    </row>
    <row r="1139" spans="2:5">
      <c r="B1139" s="91"/>
      <c r="C1139" s="57" t="s">
        <v>168</v>
      </c>
      <c r="D1139" s="60">
        <v>6</v>
      </c>
      <c r="E1139" s="59">
        <v>0</v>
      </c>
    </row>
    <row r="1140" spans="2:5">
      <c r="B1140" s="91"/>
      <c r="C1140" s="57" t="s">
        <v>169</v>
      </c>
      <c r="D1140" s="60">
        <v>38</v>
      </c>
      <c r="E1140" s="59">
        <v>1E-3</v>
      </c>
    </row>
    <row r="1141" spans="2:5">
      <c r="B1141" s="91"/>
      <c r="C1141" s="57" t="s">
        <v>170</v>
      </c>
      <c r="D1141" s="60">
        <v>35</v>
      </c>
      <c r="E1141" s="59">
        <v>1E-3</v>
      </c>
    </row>
    <row r="1142" spans="2:5">
      <c r="B1142" s="91"/>
      <c r="C1142" s="57" t="s">
        <v>171</v>
      </c>
      <c r="D1142" s="60">
        <v>11</v>
      </c>
      <c r="E1142" s="59">
        <v>0</v>
      </c>
    </row>
    <row r="1143" spans="2:5">
      <c r="B1143" s="91"/>
      <c r="C1143" s="57" t="s">
        <v>172</v>
      </c>
      <c r="D1143" s="60">
        <v>9</v>
      </c>
      <c r="E1143" s="59">
        <v>0</v>
      </c>
    </row>
    <row r="1144" spans="2:5">
      <c r="B1144" s="91"/>
      <c r="C1144" s="57" t="s">
        <v>187</v>
      </c>
      <c r="D1144" s="60">
        <v>28</v>
      </c>
      <c r="E1144" s="59">
        <v>0</v>
      </c>
    </row>
    <row r="1145" spans="2:5">
      <c r="B1145" s="91"/>
      <c r="C1145" s="57" t="s">
        <v>173</v>
      </c>
      <c r="D1145" s="60">
        <v>2</v>
      </c>
      <c r="E1145" s="59">
        <v>0</v>
      </c>
    </row>
    <row r="1146" spans="2:5">
      <c r="B1146" s="91"/>
      <c r="C1146" s="57" t="s">
        <v>174</v>
      </c>
      <c r="D1146" s="60">
        <v>3</v>
      </c>
      <c r="E1146" s="59">
        <v>0</v>
      </c>
    </row>
    <row r="1147" spans="2:5">
      <c r="B1147" s="91"/>
      <c r="C1147" s="57" t="s">
        <v>189</v>
      </c>
      <c r="D1147" s="60">
        <v>6</v>
      </c>
      <c r="E1147" s="59">
        <v>0</v>
      </c>
    </row>
    <row r="1148" spans="2:5">
      <c r="B1148" s="91"/>
      <c r="C1148" s="57" t="s">
        <v>190</v>
      </c>
      <c r="D1148" s="60">
        <v>3</v>
      </c>
      <c r="E1148" s="59">
        <v>0</v>
      </c>
    </row>
    <row r="1149" spans="2:5">
      <c r="B1149" s="91"/>
      <c r="C1149" s="57" t="s">
        <v>175</v>
      </c>
      <c r="D1149" s="60">
        <v>6</v>
      </c>
      <c r="E1149" s="59">
        <v>0</v>
      </c>
    </row>
    <row r="1150" spans="2:5">
      <c r="B1150" s="91"/>
      <c r="C1150" s="57" t="s">
        <v>176</v>
      </c>
      <c r="D1150" s="60">
        <v>44</v>
      </c>
      <c r="E1150" s="59">
        <v>1E-3</v>
      </c>
    </row>
    <row r="1151" spans="2:5">
      <c r="B1151" s="91"/>
      <c r="C1151" s="57" t="s">
        <v>177</v>
      </c>
      <c r="D1151" s="60">
        <v>3</v>
      </c>
      <c r="E1151" s="59">
        <v>0</v>
      </c>
    </row>
    <row r="1152" spans="2:5">
      <c r="B1152" s="91"/>
      <c r="C1152" s="57" t="s">
        <v>179</v>
      </c>
      <c r="D1152" s="60">
        <v>29</v>
      </c>
      <c r="E1152" s="59">
        <v>0</v>
      </c>
    </row>
    <row r="1153" spans="2:5">
      <c r="B1153" s="92"/>
      <c r="C1153" s="71" t="s">
        <v>302</v>
      </c>
      <c r="D1153" s="73">
        <v>535</v>
      </c>
      <c r="E1153" s="72">
        <v>8.0000000000000002E-3</v>
      </c>
    </row>
    <row r="1154" spans="2:5">
      <c r="B1154" s="90" t="s">
        <v>60</v>
      </c>
      <c r="C1154" s="57" t="s">
        <v>147</v>
      </c>
      <c r="D1154" s="60">
        <v>4</v>
      </c>
      <c r="E1154" s="59">
        <v>0</v>
      </c>
    </row>
    <row r="1155" spans="2:5">
      <c r="B1155" s="91"/>
      <c r="C1155" s="57" t="s">
        <v>148</v>
      </c>
      <c r="D1155" s="60">
        <v>44</v>
      </c>
      <c r="E1155" s="59">
        <v>1E-3</v>
      </c>
    </row>
    <row r="1156" spans="2:5">
      <c r="B1156" s="91"/>
      <c r="C1156" s="57" t="s">
        <v>149</v>
      </c>
      <c r="D1156" s="60">
        <v>54</v>
      </c>
      <c r="E1156" s="59">
        <v>1E-3</v>
      </c>
    </row>
    <row r="1157" spans="2:5">
      <c r="B1157" s="91"/>
      <c r="C1157" s="57" t="s">
        <v>150</v>
      </c>
      <c r="D1157" s="60">
        <v>10</v>
      </c>
      <c r="E1157" s="59">
        <v>0</v>
      </c>
    </row>
    <row r="1158" spans="2:5">
      <c r="B1158" s="91"/>
      <c r="C1158" s="57" t="s">
        <v>180</v>
      </c>
      <c r="D1158" s="60">
        <v>7</v>
      </c>
      <c r="E1158" s="59">
        <v>0</v>
      </c>
    </row>
    <row r="1159" spans="2:5">
      <c r="B1159" s="91"/>
      <c r="C1159" s="57" t="s">
        <v>151</v>
      </c>
      <c r="D1159" s="60">
        <v>56</v>
      </c>
      <c r="E1159" s="59">
        <v>1E-3</v>
      </c>
    </row>
    <row r="1160" spans="2:5">
      <c r="B1160" s="91"/>
      <c r="C1160" s="57" t="s">
        <v>152</v>
      </c>
      <c r="D1160" s="60">
        <v>15</v>
      </c>
      <c r="E1160" s="59">
        <v>0</v>
      </c>
    </row>
    <row r="1161" spans="2:5">
      <c r="B1161" s="91"/>
      <c r="C1161" s="57" t="s">
        <v>181</v>
      </c>
      <c r="D1161" s="60">
        <v>3</v>
      </c>
      <c r="E1161" s="59">
        <v>0</v>
      </c>
    </row>
    <row r="1162" spans="2:5">
      <c r="B1162" s="91"/>
      <c r="C1162" s="57" t="s">
        <v>182</v>
      </c>
      <c r="D1162" s="60">
        <v>39</v>
      </c>
      <c r="E1162" s="59">
        <v>1E-3</v>
      </c>
    </row>
    <row r="1163" spans="2:5">
      <c r="B1163" s="91"/>
      <c r="C1163" s="57" t="s">
        <v>153</v>
      </c>
      <c r="D1163" s="60">
        <v>25</v>
      </c>
      <c r="E1163" s="59">
        <v>0</v>
      </c>
    </row>
    <row r="1164" spans="2:5">
      <c r="B1164" s="91"/>
      <c r="C1164" s="57" t="s">
        <v>291</v>
      </c>
      <c r="D1164" s="60">
        <v>1</v>
      </c>
      <c r="E1164" s="59">
        <v>0</v>
      </c>
    </row>
    <row r="1165" spans="2:5">
      <c r="B1165" s="91"/>
      <c r="C1165" s="57" t="s">
        <v>183</v>
      </c>
      <c r="D1165" s="60">
        <v>9</v>
      </c>
      <c r="E1165" s="59">
        <v>0</v>
      </c>
    </row>
    <row r="1166" spans="2:5" ht="28.5">
      <c r="B1166" s="91"/>
      <c r="C1166" s="57" t="s">
        <v>154</v>
      </c>
      <c r="D1166" s="60">
        <v>38</v>
      </c>
      <c r="E1166" s="59">
        <v>1E-3</v>
      </c>
    </row>
    <row r="1167" spans="2:5">
      <c r="B1167" s="91"/>
      <c r="C1167" s="57" t="s">
        <v>155</v>
      </c>
      <c r="D1167" s="60">
        <v>35</v>
      </c>
      <c r="E1167" s="59">
        <v>1E-3</v>
      </c>
    </row>
    <row r="1168" spans="2:5">
      <c r="B1168" s="91"/>
      <c r="C1168" s="57" t="s">
        <v>156</v>
      </c>
      <c r="D1168" s="60">
        <v>1</v>
      </c>
      <c r="E1168" s="59">
        <v>0</v>
      </c>
    </row>
    <row r="1169" spans="2:5">
      <c r="B1169" s="91"/>
      <c r="C1169" s="57" t="s">
        <v>157</v>
      </c>
      <c r="D1169" s="60">
        <v>60</v>
      </c>
      <c r="E1169" s="59">
        <v>1E-3</v>
      </c>
    </row>
    <row r="1170" spans="2:5">
      <c r="B1170" s="91"/>
      <c r="C1170" s="57" t="s">
        <v>158</v>
      </c>
      <c r="D1170" s="60">
        <v>22</v>
      </c>
      <c r="E1170" s="59">
        <v>0</v>
      </c>
    </row>
    <row r="1171" spans="2:5">
      <c r="B1171" s="91"/>
      <c r="C1171" s="57" t="s">
        <v>159</v>
      </c>
      <c r="D1171" s="60">
        <v>29</v>
      </c>
      <c r="E1171" s="59">
        <v>0</v>
      </c>
    </row>
    <row r="1172" spans="2:5">
      <c r="B1172" s="91"/>
      <c r="C1172" s="57" t="s">
        <v>160</v>
      </c>
      <c r="D1172" s="60">
        <v>47</v>
      </c>
      <c r="E1172" s="59">
        <v>1E-3</v>
      </c>
    </row>
    <row r="1173" spans="2:5">
      <c r="B1173" s="91"/>
      <c r="C1173" s="57" t="s">
        <v>161</v>
      </c>
      <c r="D1173" s="60">
        <v>6</v>
      </c>
      <c r="E1173" s="59">
        <v>0</v>
      </c>
    </row>
    <row r="1174" spans="2:5">
      <c r="B1174" s="91"/>
      <c r="C1174" s="57" t="s">
        <v>184</v>
      </c>
      <c r="D1174" s="60">
        <v>2</v>
      </c>
      <c r="E1174" s="59">
        <v>0</v>
      </c>
    </row>
    <row r="1175" spans="2:5">
      <c r="B1175" s="91"/>
      <c r="C1175" s="57" t="s">
        <v>162</v>
      </c>
      <c r="D1175" s="60">
        <v>1</v>
      </c>
      <c r="E1175" s="59">
        <v>0</v>
      </c>
    </row>
    <row r="1176" spans="2:5">
      <c r="B1176" s="91"/>
      <c r="C1176" s="57" t="s">
        <v>185</v>
      </c>
      <c r="D1176" s="60">
        <v>5</v>
      </c>
      <c r="E1176" s="59">
        <v>0</v>
      </c>
    </row>
    <row r="1177" spans="2:5">
      <c r="B1177" s="91"/>
      <c r="C1177" s="57" t="s">
        <v>163</v>
      </c>
      <c r="D1177" s="60">
        <v>16</v>
      </c>
      <c r="E1177" s="59">
        <v>0</v>
      </c>
    </row>
    <row r="1178" spans="2:5">
      <c r="B1178" s="91"/>
      <c r="C1178" s="57" t="s">
        <v>164</v>
      </c>
      <c r="D1178" s="60">
        <v>1</v>
      </c>
      <c r="E1178" s="59">
        <v>0</v>
      </c>
    </row>
    <row r="1179" spans="2:5">
      <c r="B1179" s="91"/>
      <c r="C1179" s="57" t="s">
        <v>165</v>
      </c>
      <c r="D1179" s="60">
        <v>43</v>
      </c>
      <c r="E1179" s="59">
        <v>1E-3</v>
      </c>
    </row>
    <row r="1180" spans="2:5">
      <c r="B1180" s="91"/>
      <c r="C1180" s="57" t="s">
        <v>166</v>
      </c>
      <c r="D1180" s="60">
        <v>31</v>
      </c>
      <c r="E1180" s="59">
        <v>0</v>
      </c>
    </row>
    <row r="1181" spans="2:5">
      <c r="B1181" s="91"/>
      <c r="C1181" s="57" t="s">
        <v>167</v>
      </c>
      <c r="D1181" s="60">
        <v>9</v>
      </c>
      <c r="E1181" s="59">
        <v>0</v>
      </c>
    </row>
    <row r="1182" spans="2:5">
      <c r="B1182" s="91"/>
      <c r="C1182" s="57" t="s">
        <v>168</v>
      </c>
      <c r="D1182" s="60">
        <v>22</v>
      </c>
      <c r="E1182" s="59">
        <v>0</v>
      </c>
    </row>
    <row r="1183" spans="2:5">
      <c r="B1183" s="91"/>
      <c r="C1183" s="57" t="s">
        <v>169</v>
      </c>
      <c r="D1183" s="60">
        <v>13</v>
      </c>
      <c r="E1183" s="59">
        <v>0</v>
      </c>
    </row>
    <row r="1184" spans="2:5">
      <c r="B1184" s="91"/>
      <c r="C1184" s="57" t="s">
        <v>170</v>
      </c>
      <c r="D1184" s="60">
        <v>11</v>
      </c>
      <c r="E1184" s="59">
        <v>0</v>
      </c>
    </row>
    <row r="1185" spans="2:5">
      <c r="B1185" s="91"/>
      <c r="C1185" s="57" t="s">
        <v>171</v>
      </c>
      <c r="D1185" s="60">
        <v>29</v>
      </c>
      <c r="E1185" s="59">
        <v>0</v>
      </c>
    </row>
    <row r="1186" spans="2:5">
      <c r="B1186" s="91"/>
      <c r="C1186" s="57" t="s">
        <v>172</v>
      </c>
      <c r="D1186" s="60">
        <v>32</v>
      </c>
      <c r="E1186" s="59">
        <v>1E-3</v>
      </c>
    </row>
    <row r="1187" spans="2:5">
      <c r="B1187" s="91"/>
      <c r="C1187" s="57" t="s">
        <v>192</v>
      </c>
      <c r="D1187" s="60">
        <v>1</v>
      </c>
      <c r="E1187" s="59">
        <v>0</v>
      </c>
    </row>
    <row r="1188" spans="2:5">
      <c r="B1188" s="91"/>
      <c r="C1188" s="57" t="s">
        <v>187</v>
      </c>
      <c r="D1188" s="60">
        <v>34</v>
      </c>
      <c r="E1188" s="59">
        <v>1E-3</v>
      </c>
    </row>
    <row r="1189" spans="2:5">
      <c r="B1189" s="91"/>
      <c r="C1189" s="57" t="s">
        <v>173</v>
      </c>
      <c r="D1189" s="60">
        <v>11</v>
      </c>
      <c r="E1189" s="59">
        <v>0</v>
      </c>
    </row>
    <row r="1190" spans="2:5">
      <c r="B1190" s="91"/>
      <c r="C1190" s="57" t="s">
        <v>189</v>
      </c>
      <c r="D1190" s="60">
        <v>6</v>
      </c>
      <c r="E1190" s="59">
        <v>0</v>
      </c>
    </row>
    <row r="1191" spans="2:5">
      <c r="B1191" s="91"/>
      <c r="C1191" s="57" t="s">
        <v>190</v>
      </c>
      <c r="D1191" s="60">
        <v>32</v>
      </c>
      <c r="E1191" s="59">
        <v>1E-3</v>
      </c>
    </row>
    <row r="1192" spans="2:5">
      <c r="B1192" s="91"/>
      <c r="C1192" s="57" t="s">
        <v>175</v>
      </c>
      <c r="D1192" s="60">
        <v>7</v>
      </c>
      <c r="E1192" s="59">
        <v>0</v>
      </c>
    </row>
    <row r="1193" spans="2:5">
      <c r="B1193" s="91"/>
      <c r="C1193" s="57" t="s">
        <v>176</v>
      </c>
      <c r="D1193" s="60">
        <v>26</v>
      </c>
      <c r="E1193" s="59">
        <v>0</v>
      </c>
    </row>
    <row r="1194" spans="2:5">
      <c r="B1194" s="91"/>
      <c r="C1194" s="57" t="s">
        <v>177</v>
      </c>
      <c r="D1194" s="60">
        <v>4</v>
      </c>
      <c r="E1194" s="59">
        <v>0</v>
      </c>
    </row>
    <row r="1195" spans="2:5">
      <c r="B1195" s="91"/>
      <c r="C1195" s="57" t="s">
        <v>191</v>
      </c>
      <c r="D1195" s="60">
        <v>11</v>
      </c>
      <c r="E1195" s="59">
        <v>0</v>
      </c>
    </row>
    <row r="1196" spans="2:5">
      <c r="B1196" s="91"/>
      <c r="C1196" s="57" t="s">
        <v>178</v>
      </c>
      <c r="D1196" s="60">
        <v>23</v>
      </c>
      <c r="E1196" s="59">
        <v>0</v>
      </c>
    </row>
    <row r="1197" spans="2:5">
      <c r="B1197" s="91"/>
      <c r="C1197" s="57" t="s">
        <v>179</v>
      </c>
      <c r="D1197" s="60">
        <v>20</v>
      </c>
      <c r="E1197" s="59">
        <v>0</v>
      </c>
    </row>
    <row r="1198" spans="2:5">
      <c r="B1198" s="92"/>
      <c r="C1198" s="71" t="s">
        <v>302</v>
      </c>
      <c r="D1198" s="73">
        <v>895</v>
      </c>
      <c r="E1198" s="72">
        <v>1.4E-2</v>
      </c>
    </row>
    <row r="1199" spans="2:5">
      <c r="B1199" s="90" t="s">
        <v>74</v>
      </c>
      <c r="C1199" s="57" t="s">
        <v>147</v>
      </c>
      <c r="D1199" s="60">
        <v>48</v>
      </c>
      <c r="E1199" s="59">
        <v>1E-3</v>
      </c>
    </row>
    <row r="1200" spans="2:5">
      <c r="B1200" s="91"/>
      <c r="C1200" s="57" t="s">
        <v>148</v>
      </c>
      <c r="D1200" s="60">
        <v>34</v>
      </c>
      <c r="E1200" s="59">
        <v>1E-3</v>
      </c>
    </row>
    <row r="1201" spans="2:5">
      <c r="B1201" s="91"/>
      <c r="C1201" s="57" t="s">
        <v>150</v>
      </c>
      <c r="D1201" s="60">
        <v>2</v>
      </c>
      <c r="E1201" s="59">
        <v>0</v>
      </c>
    </row>
    <row r="1202" spans="2:5">
      <c r="B1202" s="91"/>
      <c r="C1202" s="57" t="s">
        <v>180</v>
      </c>
      <c r="D1202" s="60">
        <v>1</v>
      </c>
      <c r="E1202" s="59">
        <v>0</v>
      </c>
    </row>
    <row r="1203" spans="2:5">
      <c r="B1203" s="91"/>
      <c r="C1203" s="57" t="s">
        <v>151</v>
      </c>
      <c r="D1203" s="60">
        <v>9</v>
      </c>
      <c r="E1203" s="59">
        <v>0</v>
      </c>
    </row>
    <row r="1204" spans="2:5">
      <c r="B1204" s="91"/>
      <c r="C1204" s="57" t="s">
        <v>181</v>
      </c>
      <c r="D1204" s="60">
        <v>2</v>
      </c>
      <c r="E1204" s="59">
        <v>0</v>
      </c>
    </row>
    <row r="1205" spans="2:5">
      <c r="B1205" s="91"/>
      <c r="C1205" s="57" t="s">
        <v>182</v>
      </c>
      <c r="D1205" s="60">
        <v>18</v>
      </c>
      <c r="E1205" s="59">
        <v>0</v>
      </c>
    </row>
    <row r="1206" spans="2:5">
      <c r="B1206" s="91"/>
      <c r="C1206" s="57" t="s">
        <v>153</v>
      </c>
      <c r="D1206" s="60">
        <v>34</v>
      </c>
      <c r="E1206" s="59">
        <v>1E-3</v>
      </c>
    </row>
    <row r="1207" spans="2:5">
      <c r="B1207" s="91"/>
      <c r="C1207" s="57" t="s">
        <v>183</v>
      </c>
      <c r="D1207" s="60">
        <v>1</v>
      </c>
      <c r="E1207" s="59">
        <v>0</v>
      </c>
    </row>
    <row r="1208" spans="2:5" ht="28.5">
      <c r="B1208" s="91"/>
      <c r="C1208" s="57" t="s">
        <v>154</v>
      </c>
      <c r="D1208" s="60">
        <v>3</v>
      </c>
      <c r="E1208" s="59">
        <v>0</v>
      </c>
    </row>
    <row r="1209" spans="2:5">
      <c r="B1209" s="91"/>
      <c r="C1209" s="57" t="s">
        <v>155</v>
      </c>
      <c r="D1209" s="60">
        <v>3</v>
      </c>
      <c r="E1209" s="59">
        <v>0</v>
      </c>
    </row>
    <row r="1210" spans="2:5">
      <c r="B1210" s="91"/>
      <c r="C1210" s="57" t="s">
        <v>156</v>
      </c>
      <c r="D1210" s="60">
        <v>4</v>
      </c>
      <c r="E1210" s="59">
        <v>0</v>
      </c>
    </row>
    <row r="1211" spans="2:5">
      <c r="B1211" s="91"/>
      <c r="C1211" s="57" t="s">
        <v>157</v>
      </c>
      <c r="D1211" s="60">
        <v>128</v>
      </c>
      <c r="E1211" s="59">
        <v>2E-3</v>
      </c>
    </row>
    <row r="1212" spans="2:5">
      <c r="B1212" s="91"/>
      <c r="C1212" s="57" t="s">
        <v>158</v>
      </c>
      <c r="D1212" s="60">
        <v>1</v>
      </c>
      <c r="E1212" s="59">
        <v>0</v>
      </c>
    </row>
    <row r="1213" spans="2:5">
      <c r="B1213" s="91"/>
      <c r="C1213" s="57" t="s">
        <v>159</v>
      </c>
      <c r="D1213" s="60">
        <v>16</v>
      </c>
      <c r="E1213" s="59">
        <v>0</v>
      </c>
    </row>
    <row r="1214" spans="2:5">
      <c r="B1214" s="91"/>
      <c r="C1214" s="57" t="s">
        <v>160</v>
      </c>
      <c r="D1214" s="60">
        <v>55</v>
      </c>
      <c r="E1214" s="59">
        <v>1E-3</v>
      </c>
    </row>
    <row r="1215" spans="2:5">
      <c r="B1215" s="91"/>
      <c r="C1215" s="57" t="s">
        <v>161</v>
      </c>
      <c r="D1215" s="60">
        <v>2</v>
      </c>
      <c r="E1215" s="59">
        <v>0</v>
      </c>
    </row>
    <row r="1216" spans="2:5">
      <c r="B1216" s="91"/>
      <c r="C1216" s="57" t="s">
        <v>184</v>
      </c>
      <c r="D1216" s="60">
        <v>10</v>
      </c>
      <c r="E1216" s="59">
        <v>0</v>
      </c>
    </row>
    <row r="1217" spans="2:5">
      <c r="B1217" s="91"/>
      <c r="C1217" s="57" t="s">
        <v>185</v>
      </c>
      <c r="D1217" s="60">
        <v>3</v>
      </c>
      <c r="E1217" s="59">
        <v>0</v>
      </c>
    </row>
    <row r="1218" spans="2:5">
      <c r="B1218" s="91"/>
      <c r="C1218" s="57" t="s">
        <v>186</v>
      </c>
      <c r="D1218" s="60">
        <v>4</v>
      </c>
      <c r="E1218" s="59">
        <v>0</v>
      </c>
    </row>
    <row r="1219" spans="2:5">
      <c r="B1219" s="91"/>
      <c r="C1219" s="57" t="s">
        <v>163</v>
      </c>
      <c r="D1219" s="60">
        <v>84</v>
      </c>
      <c r="E1219" s="59">
        <v>1E-3</v>
      </c>
    </row>
    <row r="1220" spans="2:5">
      <c r="B1220" s="91"/>
      <c r="C1220" s="57" t="s">
        <v>164</v>
      </c>
      <c r="D1220" s="60">
        <v>67</v>
      </c>
      <c r="E1220" s="59">
        <v>1E-3</v>
      </c>
    </row>
    <row r="1221" spans="2:5">
      <c r="B1221" s="91"/>
      <c r="C1221" s="57" t="s">
        <v>165</v>
      </c>
      <c r="D1221" s="60">
        <v>31</v>
      </c>
      <c r="E1221" s="59">
        <v>0</v>
      </c>
    </row>
    <row r="1222" spans="2:5">
      <c r="B1222" s="91"/>
      <c r="C1222" s="57" t="s">
        <v>166</v>
      </c>
      <c r="D1222" s="60">
        <v>28</v>
      </c>
      <c r="E1222" s="59">
        <v>0</v>
      </c>
    </row>
    <row r="1223" spans="2:5">
      <c r="B1223" s="91"/>
      <c r="C1223" s="57" t="s">
        <v>169</v>
      </c>
      <c r="D1223" s="60">
        <v>17</v>
      </c>
      <c r="E1223" s="59">
        <v>0</v>
      </c>
    </row>
    <row r="1224" spans="2:5">
      <c r="B1224" s="91"/>
      <c r="C1224" s="57" t="s">
        <v>171</v>
      </c>
      <c r="D1224" s="60">
        <v>5</v>
      </c>
      <c r="E1224" s="59">
        <v>0</v>
      </c>
    </row>
    <row r="1225" spans="2:5">
      <c r="B1225" s="91"/>
      <c r="C1225" s="57" t="s">
        <v>188</v>
      </c>
      <c r="D1225" s="60">
        <v>1</v>
      </c>
      <c r="E1225" s="59">
        <v>0</v>
      </c>
    </row>
    <row r="1226" spans="2:5">
      <c r="B1226" s="91"/>
      <c r="C1226" s="57" t="s">
        <v>173</v>
      </c>
      <c r="D1226" s="60">
        <v>29</v>
      </c>
      <c r="E1226" s="59">
        <v>0</v>
      </c>
    </row>
    <row r="1227" spans="2:5">
      <c r="B1227" s="91"/>
      <c r="C1227" s="57" t="s">
        <v>174</v>
      </c>
      <c r="D1227" s="60">
        <v>9</v>
      </c>
      <c r="E1227" s="59">
        <v>0</v>
      </c>
    </row>
    <row r="1228" spans="2:5">
      <c r="B1228" s="91"/>
      <c r="C1228" s="57" t="s">
        <v>189</v>
      </c>
      <c r="D1228" s="60">
        <v>1</v>
      </c>
      <c r="E1228" s="59">
        <v>0</v>
      </c>
    </row>
    <row r="1229" spans="2:5">
      <c r="B1229" s="91"/>
      <c r="C1229" s="57" t="s">
        <v>190</v>
      </c>
      <c r="D1229" s="60">
        <v>7</v>
      </c>
      <c r="E1229" s="59">
        <v>0</v>
      </c>
    </row>
    <row r="1230" spans="2:5">
      <c r="B1230" s="91"/>
      <c r="C1230" s="57" t="s">
        <v>175</v>
      </c>
      <c r="D1230" s="60">
        <v>10</v>
      </c>
      <c r="E1230" s="59">
        <v>0</v>
      </c>
    </row>
    <row r="1231" spans="2:5">
      <c r="B1231" s="91"/>
      <c r="C1231" s="57" t="s">
        <v>176</v>
      </c>
      <c r="D1231" s="60">
        <v>34</v>
      </c>
      <c r="E1231" s="59">
        <v>1E-3</v>
      </c>
    </row>
    <row r="1232" spans="2:5">
      <c r="B1232" s="91"/>
      <c r="C1232" s="57" t="s">
        <v>177</v>
      </c>
      <c r="D1232" s="60">
        <v>1</v>
      </c>
      <c r="E1232" s="59">
        <v>0</v>
      </c>
    </row>
    <row r="1233" spans="2:5">
      <c r="B1233" s="91"/>
      <c r="C1233" s="57" t="s">
        <v>179</v>
      </c>
      <c r="D1233" s="60">
        <v>2</v>
      </c>
      <c r="E1233" s="59">
        <v>0</v>
      </c>
    </row>
    <row r="1234" spans="2:5">
      <c r="B1234" s="92"/>
      <c r="C1234" s="71" t="s">
        <v>302</v>
      </c>
      <c r="D1234" s="73">
        <v>704</v>
      </c>
      <c r="E1234" s="72">
        <v>1.0999999999999999E-2</v>
      </c>
    </row>
    <row r="1235" spans="2:5">
      <c r="B1235" s="90" t="s">
        <v>67</v>
      </c>
      <c r="C1235" s="57" t="s">
        <v>147</v>
      </c>
      <c r="D1235" s="60">
        <v>7</v>
      </c>
      <c r="E1235" s="59">
        <v>0</v>
      </c>
    </row>
    <row r="1236" spans="2:5">
      <c r="B1236" s="91"/>
      <c r="C1236" s="57" t="s">
        <v>148</v>
      </c>
      <c r="D1236" s="60">
        <v>21</v>
      </c>
      <c r="E1236" s="59">
        <v>0</v>
      </c>
    </row>
    <row r="1237" spans="2:5">
      <c r="B1237" s="91"/>
      <c r="C1237" s="57" t="s">
        <v>149</v>
      </c>
      <c r="D1237" s="60">
        <v>27</v>
      </c>
      <c r="E1237" s="59">
        <v>0</v>
      </c>
    </row>
    <row r="1238" spans="2:5">
      <c r="B1238" s="91"/>
      <c r="C1238" s="57" t="s">
        <v>150</v>
      </c>
      <c r="D1238" s="60">
        <v>1</v>
      </c>
      <c r="E1238" s="59">
        <v>0</v>
      </c>
    </row>
    <row r="1239" spans="2:5">
      <c r="B1239" s="91"/>
      <c r="C1239" s="57" t="s">
        <v>180</v>
      </c>
      <c r="D1239" s="60">
        <v>4</v>
      </c>
      <c r="E1239" s="59">
        <v>0</v>
      </c>
    </row>
    <row r="1240" spans="2:5">
      <c r="B1240" s="91"/>
      <c r="C1240" s="57" t="s">
        <v>151</v>
      </c>
      <c r="D1240" s="60">
        <v>18</v>
      </c>
      <c r="E1240" s="59">
        <v>0</v>
      </c>
    </row>
    <row r="1241" spans="2:5">
      <c r="B1241" s="91"/>
      <c r="C1241" s="57" t="s">
        <v>152</v>
      </c>
      <c r="D1241" s="60">
        <v>3</v>
      </c>
      <c r="E1241" s="59">
        <v>0</v>
      </c>
    </row>
    <row r="1242" spans="2:5">
      <c r="B1242" s="91"/>
      <c r="C1242" s="57" t="s">
        <v>181</v>
      </c>
      <c r="D1242" s="60">
        <v>3</v>
      </c>
      <c r="E1242" s="59">
        <v>0</v>
      </c>
    </row>
    <row r="1243" spans="2:5">
      <c r="B1243" s="91"/>
      <c r="C1243" s="57" t="s">
        <v>182</v>
      </c>
      <c r="D1243" s="60">
        <v>10</v>
      </c>
      <c r="E1243" s="59">
        <v>0</v>
      </c>
    </row>
    <row r="1244" spans="2:5">
      <c r="B1244" s="91"/>
      <c r="C1244" s="57" t="s">
        <v>153</v>
      </c>
      <c r="D1244" s="60">
        <v>18</v>
      </c>
      <c r="E1244" s="59">
        <v>0</v>
      </c>
    </row>
    <row r="1245" spans="2:5">
      <c r="B1245" s="91"/>
      <c r="C1245" s="57" t="s">
        <v>291</v>
      </c>
      <c r="D1245" s="60">
        <v>10</v>
      </c>
      <c r="E1245" s="59">
        <v>0</v>
      </c>
    </row>
    <row r="1246" spans="2:5">
      <c r="B1246" s="91"/>
      <c r="C1246" s="57" t="s">
        <v>183</v>
      </c>
      <c r="D1246" s="60">
        <v>1</v>
      </c>
      <c r="E1246" s="59">
        <v>0</v>
      </c>
    </row>
    <row r="1247" spans="2:5" ht="28.5">
      <c r="B1247" s="91"/>
      <c r="C1247" s="57" t="s">
        <v>154</v>
      </c>
      <c r="D1247" s="60">
        <v>3</v>
      </c>
      <c r="E1247" s="59">
        <v>0</v>
      </c>
    </row>
    <row r="1248" spans="2:5">
      <c r="B1248" s="91"/>
      <c r="C1248" s="57" t="s">
        <v>155</v>
      </c>
      <c r="D1248" s="60">
        <v>14</v>
      </c>
      <c r="E1248" s="59">
        <v>0</v>
      </c>
    </row>
    <row r="1249" spans="2:5">
      <c r="B1249" s="91"/>
      <c r="C1249" s="57" t="s">
        <v>156</v>
      </c>
      <c r="D1249" s="60">
        <v>1</v>
      </c>
      <c r="E1249" s="59">
        <v>0</v>
      </c>
    </row>
    <row r="1250" spans="2:5">
      <c r="B1250" s="91"/>
      <c r="C1250" s="57" t="s">
        <v>157</v>
      </c>
      <c r="D1250" s="60">
        <v>62</v>
      </c>
      <c r="E1250" s="59">
        <v>1E-3</v>
      </c>
    </row>
    <row r="1251" spans="2:5">
      <c r="B1251" s="91"/>
      <c r="C1251" s="57" t="s">
        <v>158</v>
      </c>
      <c r="D1251" s="60">
        <v>36</v>
      </c>
      <c r="E1251" s="59">
        <v>1E-3</v>
      </c>
    </row>
    <row r="1252" spans="2:5">
      <c r="B1252" s="91"/>
      <c r="C1252" s="57" t="s">
        <v>159</v>
      </c>
      <c r="D1252" s="60">
        <v>20</v>
      </c>
      <c r="E1252" s="59">
        <v>0</v>
      </c>
    </row>
    <row r="1253" spans="2:5">
      <c r="B1253" s="91"/>
      <c r="C1253" s="57" t="s">
        <v>160</v>
      </c>
      <c r="D1253" s="60">
        <v>113</v>
      </c>
      <c r="E1253" s="59">
        <v>2E-3</v>
      </c>
    </row>
    <row r="1254" spans="2:5">
      <c r="B1254" s="91"/>
      <c r="C1254" s="57" t="s">
        <v>161</v>
      </c>
      <c r="D1254" s="60">
        <v>31</v>
      </c>
      <c r="E1254" s="59">
        <v>0</v>
      </c>
    </row>
    <row r="1255" spans="2:5">
      <c r="B1255" s="91"/>
      <c r="C1255" s="57" t="s">
        <v>184</v>
      </c>
      <c r="D1255" s="60">
        <v>7</v>
      </c>
      <c r="E1255" s="59">
        <v>0</v>
      </c>
    </row>
    <row r="1256" spans="2:5">
      <c r="B1256" s="91"/>
      <c r="C1256" s="57" t="s">
        <v>162</v>
      </c>
      <c r="D1256" s="60">
        <v>1</v>
      </c>
      <c r="E1256" s="59">
        <v>0</v>
      </c>
    </row>
    <row r="1257" spans="2:5">
      <c r="B1257" s="91"/>
      <c r="C1257" s="57" t="s">
        <v>185</v>
      </c>
      <c r="D1257" s="60">
        <v>3</v>
      </c>
      <c r="E1257" s="59">
        <v>0</v>
      </c>
    </row>
    <row r="1258" spans="2:5">
      <c r="B1258" s="91"/>
      <c r="C1258" s="57" t="s">
        <v>186</v>
      </c>
      <c r="D1258" s="60">
        <v>5</v>
      </c>
      <c r="E1258" s="59">
        <v>0</v>
      </c>
    </row>
    <row r="1259" spans="2:5">
      <c r="B1259" s="91"/>
      <c r="C1259" s="57" t="s">
        <v>163</v>
      </c>
      <c r="D1259" s="60">
        <v>38</v>
      </c>
      <c r="E1259" s="59">
        <v>1E-3</v>
      </c>
    </row>
    <row r="1260" spans="2:5">
      <c r="B1260" s="91"/>
      <c r="C1260" s="57" t="s">
        <v>164</v>
      </c>
      <c r="D1260" s="60">
        <v>24</v>
      </c>
      <c r="E1260" s="59">
        <v>0</v>
      </c>
    </row>
    <row r="1261" spans="2:5">
      <c r="B1261" s="91"/>
      <c r="C1261" s="57" t="s">
        <v>165</v>
      </c>
      <c r="D1261" s="60">
        <v>34</v>
      </c>
      <c r="E1261" s="59">
        <v>1E-3</v>
      </c>
    </row>
    <row r="1262" spans="2:5">
      <c r="B1262" s="91"/>
      <c r="C1262" s="57" t="s">
        <v>166</v>
      </c>
      <c r="D1262" s="60">
        <v>7</v>
      </c>
      <c r="E1262" s="59">
        <v>0</v>
      </c>
    </row>
    <row r="1263" spans="2:5">
      <c r="B1263" s="91"/>
      <c r="C1263" s="57" t="s">
        <v>167</v>
      </c>
      <c r="D1263" s="60">
        <v>2</v>
      </c>
      <c r="E1263" s="59">
        <v>0</v>
      </c>
    </row>
    <row r="1264" spans="2:5">
      <c r="B1264" s="91"/>
      <c r="C1264" s="57" t="s">
        <v>168</v>
      </c>
      <c r="D1264" s="60">
        <v>12</v>
      </c>
      <c r="E1264" s="59">
        <v>0</v>
      </c>
    </row>
    <row r="1265" spans="2:5">
      <c r="B1265" s="91"/>
      <c r="C1265" s="57" t="s">
        <v>169</v>
      </c>
      <c r="D1265" s="60">
        <v>15</v>
      </c>
      <c r="E1265" s="59">
        <v>0</v>
      </c>
    </row>
    <row r="1266" spans="2:5">
      <c r="B1266" s="91"/>
      <c r="C1266" s="57" t="s">
        <v>170</v>
      </c>
      <c r="D1266" s="60">
        <v>4</v>
      </c>
      <c r="E1266" s="59">
        <v>0</v>
      </c>
    </row>
    <row r="1267" spans="2:5">
      <c r="B1267" s="91"/>
      <c r="C1267" s="57" t="s">
        <v>171</v>
      </c>
      <c r="D1267" s="60">
        <v>8</v>
      </c>
      <c r="E1267" s="59">
        <v>0</v>
      </c>
    </row>
    <row r="1268" spans="2:5">
      <c r="B1268" s="91"/>
      <c r="C1268" s="57" t="s">
        <v>172</v>
      </c>
      <c r="D1268" s="60">
        <v>5</v>
      </c>
      <c r="E1268" s="59">
        <v>0</v>
      </c>
    </row>
    <row r="1269" spans="2:5">
      <c r="B1269" s="91"/>
      <c r="C1269" s="57" t="s">
        <v>187</v>
      </c>
      <c r="D1269" s="60">
        <v>1</v>
      </c>
      <c r="E1269" s="59">
        <v>0</v>
      </c>
    </row>
    <row r="1270" spans="2:5">
      <c r="B1270" s="91"/>
      <c r="C1270" s="57" t="s">
        <v>173</v>
      </c>
      <c r="D1270" s="60">
        <v>25</v>
      </c>
      <c r="E1270" s="59">
        <v>0</v>
      </c>
    </row>
    <row r="1271" spans="2:5">
      <c r="B1271" s="91"/>
      <c r="C1271" s="57" t="s">
        <v>189</v>
      </c>
      <c r="D1271" s="60">
        <v>7</v>
      </c>
      <c r="E1271" s="59">
        <v>0</v>
      </c>
    </row>
    <row r="1272" spans="2:5">
      <c r="B1272" s="91"/>
      <c r="C1272" s="57" t="s">
        <v>190</v>
      </c>
      <c r="D1272" s="60">
        <v>1</v>
      </c>
      <c r="E1272" s="59">
        <v>0</v>
      </c>
    </row>
    <row r="1273" spans="2:5">
      <c r="B1273" s="91"/>
      <c r="C1273" s="57" t="s">
        <v>175</v>
      </c>
      <c r="D1273" s="60">
        <v>1</v>
      </c>
      <c r="E1273" s="59">
        <v>0</v>
      </c>
    </row>
    <row r="1274" spans="2:5">
      <c r="B1274" s="91"/>
      <c r="C1274" s="57" t="s">
        <v>176</v>
      </c>
      <c r="D1274" s="60">
        <v>50</v>
      </c>
      <c r="E1274" s="59">
        <v>1E-3</v>
      </c>
    </row>
    <row r="1275" spans="2:5">
      <c r="B1275" s="91"/>
      <c r="C1275" s="57" t="s">
        <v>177</v>
      </c>
      <c r="D1275" s="60">
        <v>1</v>
      </c>
      <c r="E1275" s="59">
        <v>0</v>
      </c>
    </row>
    <row r="1276" spans="2:5">
      <c r="B1276" s="91"/>
      <c r="C1276" s="57" t="s">
        <v>191</v>
      </c>
      <c r="D1276" s="60">
        <v>2</v>
      </c>
      <c r="E1276" s="59">
        <v>0</v>
      </c>
    </row>
    <row r="1277" spans="2:5">
      <c r="B1277" s="91"/>
      <c r="C1277" s="57" t="s">
        <v>178</v>
      </c>
      <c r="D1277" s="60">
        <v>5</v>
      </c>
      <c r="E1277" s="59">
        <v>0</v>
      </c>
    </row>
    <row r="1278" spans="2:5">
      <c r="B1278" s="91"/>
      <c r="C1278" s="57" t="s">
        <v>179</v>
      </c>
      <c r="D1278" s="60">
        <v>10</v>
      </c>
      <c r="E1278" s="59">
        <v>0</v>
      </c>
    </row>
    <row r="1279" spans="2:5">
      <c r="B1279" s="92"/>
      <c r="C1279" s="71" t="s">
        <v>302</v>
      </c>
      <c r="D1279" s="73">
        <v>671</v>
      </c>
      <c r="E1279" s="72">
        <v>1.0999999999999999E-2</v>
      </c>
    </row>
    <row r="1280" spans="2:5">
      <c r="B1280" s="90" t="s">
        <v>81</v>
      </c>
      <c r="C1280" s="57" t="s">
        <v>147</v>
      </c>
      <c r="D1280" s="60">
        <v>14</v>
      </c>
      <c r="E1280" s="59">
        <v>0</v>
      </c>
    </row>
    <row r="1281" spans="2:5">
      <c r="B1281" s="91"/>
      <c r="C1281" s="57" t="s">
        <v>148</v>
      </c>
      <c r="D1281" s="60">
        <v>9</v>
      </c>
      <c r="E1281" s="59">
        <v>0</v>
      </c>
    </row>
    <row r="1282" spans="2:5">
      <c r="B1282" s="91"/>
      <c r="C1282" s="57" t="s">
        <v>151</v>
      </c>
      <c r="D1282" s="60">
        <v>4</v>
      </c>
      <c r="E1282" s="59">
        <v>0</v>
      </c>
    </row>
    <row r="1283" spans="2:5">
      <c r="B1283" s="91"/>
      <c r="C1283" s="57" t="s">
        <v>152</v>
      </c>
      <c r="D1283" s="60">
        <v>1</v>
      </c>
      <c r="E1283" s="59">
        <v>0</v>
      </c>
    </row>
    <row r="1284" spans="2:5">
      <c r="B1284" s="91"/>
      <c r="C1284" s="57" t="s">
        <v>182</v>
      </c>
      <c r="D1284" s="60">
        <v>2</v>
      </c>
      <c r="E1284" s="59">
        <v>0</v>
      </c>
    </row>
    <row r="1285" spans="2:5">
      <c r="B1285" s="91"/>
      <c r="C1285" s="57" t="s">
        <v>153</v>
      </c>
      <c r="D1285" s="60">
        <v>11</v>
      </c>
      <c r="E1285" s="59">
        <v>0</v>
      </c>
    </row>
    <row r="1286" spans="2:5">
      <c r="B1286" s="91"/>
      <c r="C1286" s="57" t="s">
        <v>291</v>
      </c>
      <c r="D1286" s="60">
        <v>1</v>
      </c>
      <c r="E1286" s="59">
        <v>0</v>
      </c>
    </row>
    <row r="1287" spans="2:5">
      <c r="B1287" s="91"/>
      <c r="C1287" s="57" t="s">
        <v>183</v>
      </c>
      <c r="D1287" s="60">
        <v>2</v>
      </c>
      <c r="E1287" s="59">
        <v>0</v>
      </c>
    </row>
    <row r="1288" spans="2:5" ht="28.5">
      <c r="B1288" s="91"/>
      <c r="C1288" s="57" t="s">
        <v>154</v>
      </c>
      <c r="D1288" s="60">
        <v>2</v>
      </c>
      <c r="E1288" s="59">
        <v>0</v>
      </c>
    </row>
    <row r="1289" spans="2:5">
      <c r="B1289" s="91"/>
      <c r="C1289" s="57" t="s">
        <v>155</v>
      </c>
      <c r="D1289" s="60">
        <v>7</v>
      </c>
      <c r="E1289" s="59">
        <v>0</v>
      </c>
    </row>
    <row r="1290" spans="2:5">
      <c r="B1290" s="91"/>
      <c r="C1290" s="57" t="s">
        <v>157</v>
      </c>
      <c r="D1290" s="60">
        <v>21</v>
      </c>
      <c r="E1290" s="59">
        <v>0</v>
      </c>
    </row>
    <row r="1291" spans="2:5">
      <c r="B1291" s="91"/>
      <c r="C1291" s="57" t="s">
        <v>158</v>
      </c>
      <c r="D1291" s="60">
        <v>2</v>
      </c>
      <c r="E1291" s="59">
        <v>0</v>
      </c>
    </row>
    <row r="1292" spans="2:5">
      <c r="B1292" s="91"/>
      <c r="C1292" s="57" t="s">
        <v>159</v>
      </c>
      <c r="D1292" s="60">
        <v>1</v>
      </c>
      <c r="E1292" s="59">
        <v>0</v>
      </c>
    </row>
    <row r="1293" spans="2:5">
      <c r="B1293" s="91"/>
      <c r="C1293" s="57" t="s">
        <v>160</v>
      </c>
      <c r="D1293" s="60">
        <v>24</v>
      </c>
      <c r="E1293" s="59">
        <v>0</v>
      </c>
    </row>
    <row r="1294" spans="2:5">
      <c r="B1294" s="91"/>
      <c r="C1294" s="57" t="s">
        <v>184</v>
      </c>
      <c r="D1294" s="60">
        <v>1</v>
      </c>
      <c r="E1294" s="59">
        <v>0</v>
      </c>
    </row>
    <row r="1295" spans="2:5">
      <c r="B1295" s="91"/>
      <c r="C1295" s="57" t="s">
        <v>185</v>
      </c>
      <c r="D1295" s="60">
        <v>1</v>
      </c>
      <c r="E1295" s="59">
        <v>0</v>
      </c>
    </row>
    <row r="1296" spans="2:5">
      <c r="B1296" s="91"/>
      <c r="C1296" s="57" t="s">
        <v>163</v>
      </c>
      <c r="D1296" s="60">
        <v>48</v>
      </c>
      <c r="E1296" s="59">
        <v>1E-3</v>
      </c>
    </row>
    <row r="1297" spans="2:5">
      <c r="B1297" s="91"/>
      <c r="C1297" s="57" t="s">
        <v>164</v>
      </c>
      <c r="D1297" s="60">
        <v>7</v>
      </c>
      <c r="E1297" s="59">
        <v>0</v>
      </c>
    </row>
    <row r="1298" spans="2:5">
      <c r="B1298" s="91"/>
      <c r="C1298" s="57" t="s">
        <v>165</v>
      </c>
      <c r="D1298" s="60">
        <v>12</v>
      </c>
      <c r="E1298" s="59">
        <v>0</v>
      </c>
    </row>
    <row r="1299" spans="2:5">
      <c r="B1299" s="91"/>
      <c r="C1299" s="57" t="s">
        <v>166</v>
      </c>
      <c r="D1299" s="60">
        <v>8</v>
      </c>
      <c r="E1299" s="59">
        <v>0</v>
      </c>
    </row>
    <row r="1300" spans="2:5">
      <c r="B1300" s="91"/>
      <c r="C1300" s="57" t="s">
        <v>168</v>
      </c>
      <c r="D1300" s="60">
        <v>3</v>
      </c>
      <c r="E1300" s="59">
        <v>0</v>
      </c>
    </row>
    <row r="1301" spans="2:5">
      <c r="B1301" s="91"/>
      <c r="C1301" s="57" t="s">
        <v>169</v>
      </c>
      <c r="D1301" s="60">
        <v>3</v>
      </c>
      <c r="E1301" s="59">
        <v>0</v>
      </c>
    </row>
    <row r="1302" spans="2:5">
      <c r="B1302" s="91"/>
      <c r="C1302" s="57" t="s">
        <v>170</v>
      </c>
      <c r="D1302" s="60">
        <v>2</v>
      </c>
      <c r="E1302" s="59">
        <v>0</v>
      </c>
    </row>
    <row r="1303" spans="2:5">
      <c r="B1303" s="91"/>
      <c r="C1303" s="57" t="s">
        <v>171</v>
      </c>
      <c r="D1303" s="60">
        <v>1</v>
      </c>
      <c r="E1303" s="59">
        <v>0</v>
      </c>
    </row>
    <row r="1304" spans="2:5">
      <c r="B1304" s="91"/>
      <c r="C1304" s="57" t="s">
        <v>173</v>
      </c>
      <c r="D1304" s="60">
        <v>5</v>
      </c>
      <c r="E1304" s="59">
        <v>0</v>
      </c>
    </row>
    <row r="1305" spans="2:5">
      <c r="B1305" s="91"/>
      <c r="C1305" s="57" t="s">
        <v>174</v>
      </c>
      <c r="D1305" s="60">
        <v>3</v>
      </c>
      <c r="E1305" s="59">
        <v>0</v>
      </c>
    </row>
    <row r="1306" spans="2:5">
      <c r="B1306" s="91"/>
      <c r="C1306" s="57" t="s">
        <v>189</v>
      </c>
      <c r="D1306" s="60">
        <v>6</v>
      </c>
      <c r="E1306" s="59">
        <v>0</v>
      </c>
    </row>
    <row r="1307" spans="2:5">
      <c r="B1307" s="91"/>
      <c r="C1307" s="57" t="s">
        <v>175</v>
      </c>
      <c r="D1307" s="60">
        <v>1</v>
      </c>
      <c r="E1307" s="59">
        <v>0</v>
      </c>
    </row>
    <row r="1308" spans="2:5">
      <c r="B1308" s="91"/>
      <c r="C1308" s="57" t="s">
        <v>176</v>
      </c>
      <c r="D1308" s="60">
        <v>8</v>
      </c>
      <c r="E1308" s="59">
        <v>0</v>
      </c>
    </row>
    <row r="1309" spans="2:5">
      <c r="B1309" s="91"/>
      <c r="C1309" s="57" t="s">
        <v>177</v>
      </c>
      <c r="D1309" s="60">
        <v>1</v>
      </c>
      <c r="E1309" s="59">
        <v>0</v>
      </c>
    </row>
    <row r="1310" spans="2:5">
      <c r="B1310" s="91"/>
      <c r="C1310" s="57" t="s">
        <v>191</v>
      </c>
      <c r="D1310" s="60">
        <v>1</v>
      </c>
      <c r="E1310" s="59">
        <v>0</v>
      </c>
    </row>
    <row r="1311" spans="2:5">
      <c r="B1311" s="91"/>
      <c r="C1311" s="57" t="s">
        <v>178</v>
      </c>
      <c r="D1311" s="60">
        <v>1</v>
      </c>
      <c r="E1311" s="59">
        <v>0</v>
      </c>
    </row>
    <row r="1312" spans="2:5">
      <c r="B1312" s="91"/>
      <c r="C1312" s="57" t="s">
        <v>179</v>
      </c>
      <c r="D1312" s="60">
        <v>5</v>
      </c>
      <c r="E1312" s="59">
        <v>0</v>
      </c>
    </row>
    <row r="1313" spans="2:5">
      <c r="B1313" s="92"/>
      <c r="C1313" s="71" t="s">
        <v>302</v>
      </c>
      <c r="D1313" s="73">
        <v>218</v>
      </c>
      <c r="E1313" s="72">
        <v>3.0000000000000001E-3</v>
      </c>
    </row>
    <row r="1314" spans="2:5">
      <c r="B1314" s="90" t="s">
        <v>90</v>
      </c>
      <c r="C1314" s="57" t="s">
        <v>149</v>
      </c>
      <c r="D1314" s="60">
        <v>2</v>
      </c>
      <c r="E1314" s="59">
        <v>0</v>
      </c>
    </row>
    <row r="1315" spans="2:5">
      <c r="B1315" s="91"/>
      <c r="C1315" s="57" t="s">
        <v>151</v>
      </c>
      <c r="D1315" s="60">
        <v>5</v>
      </c>
      <c r="E1315" s="59">
        <v>0</v>
      </c>
    </row>
    <row r="1316" spans="2:5">
      <c r="B1316" s="91"/>
      <c r="C1316" s="57" t="s">
        <v>152</v>
      </c>
      <c r="D1316" s="60">
        <v>4</v>
      </c>
      <c r="E1316" s="59">
        <v>0</v>
      </c>
    </row>
    <row r="1317" spans="2:5">
      <c r="B1317" s="91"/>
      <c r="C1317" s="57" t="s">
        <v>291</v>
      </c>
      <c r="D1317" s="60">
        <v>4</v>
      </c>
      <c r="E1317" s="59">
        <v>0</v>
      </c>
    </row>
    <row r="1318" spans="2:5" ht="28.5">
      <c r="B1318" s="91"/>
      <c r="C1318" s="57" t="s">
        <v>154</v>
      </c>
      <c r="D1318" s="60">
        <v>4</v>
      </c>
      <c r="E1318" s="59">
        <v>0</v>
      </c>
    </row>
    <row r="1319" spans="2:5">
      <c r="B1319" s="91"/>
      <c r="C1319" s="57" t="s">
        <v>155</v>
      </c>
      <c r="D1319" s="60">
        <v>2</v>
      </c>
      <c r="E1319" s="59">
        <v>0</v>
      </c>
    </row>
    <row r="1320" spans="2:5">
      <c r="B1320" s="91"/>
      <c r="C1320" s="57" t="s">
        <v>157</v>
      </c>
      <c r="D1320" s="60">
        <v>2</v>
      </c>
      <c r="E1320" s="59">
        <v>0</v>
      </c>
    </row>
    <row r="1321" spans="2:5">
      <c r="B1321" s="91"/>
      <c r="C1321" s="57" t="s">
        <v>160</v>
      </c>
      <c r="D1321" s="60">
        <v>4</v>
      </c>
      <c r="E1321" s="59">
        <v>0</v>
      </c>
    </row>
    <row r="1322" spans="2:5">
      <c r="B1322" s="91"/>
      <c r="C1322" s="57" t="s">
        <v>161</v>
      </c>
      <c r="D1322" s="60">
        <v>1</v>
      </c>
      <c r="E1322" s="59">
        <v>0</v>
      </c>
    </row>
    <row r="1323" spans="2:5">
      <c r="B1323" s="91"/>
      <c r="C1323" s="57" t="s">
        <v>162</v>
      </c>
      <c r="D1323" s="60">
        <v>1</v>
      </c>
      <c r="E1323" s="59">
        <v>0</v>
      </c>
    </row>
    <row r="1324" spans="2:5">
      <c r="B1324" s="91"/>
      <c r="C1324" s="57" t="s">
        <v>163</v>
      </c>
      <c r="D1324" s="60">
        <v>2</v>
      </c>
      <c r="E1324" s="59">
        <v>0</v>
      </c>
    </row>
    <row r="1325" spans="2:5">
      <c r="B1325" s="91"/>
      <c r="C1325" s="57" t="s">
        <v>164</v>
      </c>
      <c r="D1325" s="60">
        <v>1</v>
      </c>
      <c r="E1325" s="59">
        <v>0</v>
      </c>
    </row>
    <row r="1326" spans="2:5">
      <c r="B1326" s="91"/>
      <c r="C1326" s="57" t="s">
        <v>165</v>
      </c>
      <c r="D1326" s="60">
        <v>1</v>
      </c>
      <c r="E1326" s="59">
        <v>0</v>
      </c>
    </row>
    <row r="1327" spans="2:5">
      <c r="B1327" s="91"/>
      <c r="C1327" s="57" t="s">
        <v>166</v>
      </c>
      <c r="D1327" s="60">
        <v>4</v>
      </c>
      <c r="E1327" s="59">
        <v>0</v>
      </c>
    </row>
    <row r="1328" spans="2:5">
      <c r="B1328" s="91"/>
      <c r="C1328" s="57" t="s">
        <v>168</v>
      </c>
      <c r="D1328" s="60">
        <v>4</v>
      </c>
      <c r="E1328" s="59">
        <v>0</v>
      </c>
    </row>
    <row r="1329" spans="2:5">
      <c r="B1329" s="91"/>
      <c r="C1329" s="57" t="s">
        <v>169</v>
      </c>
      <c r="D1329" s="60">
        <v>2</v>
      </c>
      <c r="E1329" s="59">
        <v>0</v>
      </c>
    </row>
    <row r="1330" spans="2:5">
      <c r="B1330" s="91"/>
      <c r="C1330" s="57" t="s">
        <v>170</v>
      </c>
      <c r="D1330" s="60">
        <v>1</v>
      </c>
      <c r="E1330" s="59">
        <v>0</v>
      </c>
    </row>
    <row r="1331" spans="2:5">
      <c r="B1331" s="91"/>
      <c r="C1331" s="57" t="s">
        <v>171</v>
      </c>
      <c r="D1331" s="60">
        <v>1</v>
      </c>
      <c r="E1331" s="59">
        <v>0</v>
      </c>
    </row>
    <row r="1332" spans="2:5">
      <c r="B1332" s="91"/>
      <c r="C1332" s="57" t="s">
        <v>172</v>
      </c>
      <c r="D1332" s="60">
        <v>5</v>
      </c>
      <c r="E1332" s="59">
        <v>0</v>
      </c>
    </row>
    <row r="1333" spans="2:5">
      <c r="B1333" s="91"/>
      <c r="C1333" s="57" t="s">
        <v>187</v>
      </c>
      <c r="D1333" s="60">
        <v>1</v>
      </c>
      <c r="E1333" s="59">
        <v>0</v>
      </c>
    </row>
    <row r="1334" spans="2:5">
      <c r="B1334" s="91"/>
      <c r="C1334" s="57" t="s">
        <v>173</v>
      </c>
      <c r="D1334" s="60">
        <v>1</v>
      </c>
      <c r="E1334" s="59">
        <v>0</v>
      </c>
    </row>
    <row r="1335" spans="2:5">
      <c r="B1335" s="92"/>
      <c r="C1335" s="71" t="s">
        <v>302</v>
      </c>
      <c r="D1335" s="73">
        <v>52</v>
      </c>
      <c r="E1335" s="72">
        <v>1E-3</v>
      </c>
    </row>
    <row r="1336" spans="2:5">
      <c r="B1336" s="90" t="s">
        <v>51</v>
      </c>
      <c r="C1336" s="57" t="s">
        <v>147</v>
      </c>
      <c r="D1336" s="60">
        <v>22</v>
      </c>
      <c r="E1336" s="59">
        <v>0</v>
      </c>
    </row>
    <row r="1337" spans="2:5">
      <c r="B1337" s="91"/>
      <c r="C1337" s="57" t="s">
        <v>148</v>
      </c>
      <c r="D1337" s="60">
        <v>89</v>
      </c>
      <c r="E1337" s="59">
        <v>1E-3</v>
      </c>
    </row>
    <row r="1338" spans="2:5">
      <c r="B1338" s="91"/>
      <c r="C1338" s="57" t="s">
        <v>149</v>
      </c>
      <c r="D1338" s="60">
        <v>42</v>
      </c>
      <c r="E1338" s="59">
        <v>1E-3</v>
      </c>
    </row>
    <row r="1339" spans="2:5">
      <c r="B1339" s="91"/>
      <c r="C1339" s="57" t="s">
        <v>150</v>
      </c>
      <c r="D1339" s="60">
        <v>83</v>
      </c>
      <c r="E1339" s="59">
        <v>1E-3</v>
      </c>
    </row>
    <row r="1340" spans="2:5">
      <c r="B1340" s="91"/>
      <c r="C1340" s="57" t="s">
        <v>180</v>
      </c>
      <c r="D1340" s="60">
        <v>12</v>
      </c>
      <c r="E1340" s="59">
        <v>0</v>
      </c>
    </row>
    <row r="1341" spans="2:5">
      <c r="B1341" s="91"/>
      <c r="C1341" s="57" t="s">
        <v>151</v>
      </c>
      <c r="D1341" s="60">
        <v>284</v>
      </c>
      <c r="E1341" s="59">
        <v>4.0000000000000001E-3</v>
      </c>
    </row>
    <row r="1342" spans="2:5">
      <c r="B1342" s="91"/>
      <c r="C1342" s="57" t="s">
        <v>152</v>
      </c>
      <c r="D1342" s="60">
        <v>75</v>
      </c>
      <c r="E1342" s="59">
        <v>1E-3</v>
      </c>
    </row>
    <row r="1343" spans="2:5">
      <c r="B1343" s="91"/>
      <c r="C1343" s="57" t="s">
        <v>181</v>
      </c>
      <c r="D1343" s="60">
        <v>2</v>
      </c>
      <c r="E1343" s="59">
        <v>0</v>
      </c>
    </row>
    <row r="1344" spans="2:5">
      <c r="B1344" s="91"/>
      <c r="C1344" s="57" t="s">
        <v>182</v>
      </c>
      <c r="D1344" s="60">
        <v>65</v>
      </c>
      <c r="E1344" s="59">
        <v>1E-3</v>
      </c>
    </row>
    <row r="1345" spans="2:5">
      <c r="B1345" s="91"/>
      <c r="C1345" s="57" t="s">
        <v>153</v>
      </c>
      <c r="D1345" s="60">
        <v>16</v>
      </c>
      <c r="E1345" s="59">
        <v>0</v>
      </c>
    </row>
    <row r="1346" spans="2:5">
      <c r="B1346" s="91"/>
      <c r="C1346" s="57" t="s">
        <v>291</v>
      </c>
      <c r="D1346" s="60">
        <v>6</v>
      </c>
      <c r="E1346" s="59">
        <v>0</v>
      </c>
    </row>
    <row r="1347" spans="2:5">
      <c r="B1347" s="91"/>
      <c r="C1347" s="57" t="s">
        <v>183</v>
      </c>
      <c r="D1347" s="60">
        <v>16</v>
      </c>
      <c r="E1347" s="59">
        <v>0</v>
      </c>
    </row>
    <row r="1348" spans="2:5" ht="28.5">
      <c r="B1348" s="91"/>
      <c r="C1348" s="57" t="s">
        <v>154</v>
      </c>
      <c r="D1348" s="60">
        <v>121</v>
      </c>
      <c r="E1348" s="59">
        <v>2E-3</v>
      </c>
    </row>
    <row r="1349" spans="2:5">
      <c r="B1349" s="91"/>
      <c r="C1349" s="57" t="s">
        <v>155</v>
      </c>
      <c r="D1349" s="60">
        <v>33</v>
      </c>
      <c r="E1349" s="59">
        <v>1E-3</v>
      </c>
    </row>
    <row r="1350" spans="2:5">
      <c r="B1350" s="91"/>
      <c r="C1350" s="57" t="s">
        <v>156</v>
      </c>
      <c r="D1350" s="60">
        <v>38</v>
      </c>
      <c r="E1350" s="59">
        <v>1E-3</v>
      </c>
    </row>
    <row r="1351" spans="2:5">
      <c r="B1351" s="91"/>
      <c r="C1351" s="57" t="s">
        <v>157</v>
      </c>
      <c r="D1351" s="60">
        <v>93</v>
      </c>
      <c r="E1351" s="59">
        <v>1E-3</v>
      </c>
    </row>
    <row r="1352" spans="2:5">
      <c r="B1352" s="91"/>
      <c r="C1352" s="57" t="s">
        <v>158</v>
      </c>
      <c r="D1352" s="60">
        <v>22</v>
      </c>
      <c r="E1352" s="59">
        <v>0</v>
      </c>
    </row>
    <row r="1353" spans="2:5">
      <c r="B1353" s="91"/>
      <c r="C1353" s="57" t="s">
        <v>159</v>
      </c>
      <c r="D1353" s="60">
        <v>104</v>
      </c>
      <c r="E1353" s="59">
        <v>2E-3</v>
      </c>
    </row>
    <row r="1354" spans="2:5">
      <c r="B1354" s="91"/>
      <c r="C1354" s="57" t="s">
        <v>160</v>
      </c>
      <c r="D1354" s="60">
        <v>202</v>
      </c>
      <c r="E1354" s="59">
        <v>3.0000000000000001E-3</v>
      </c>
    </row>
    <row r="1355" spans="2:5">
      <c r="B1355" s="91"/>
      <c r="C1355" s="57" t="s">
        <v>161</v>
      </c>
      <c r="D1355" s="60">
        <v>63</v>
      </c>
      <c r="E1355" s="59">
        <v>1E-3</v>
      </c>
    </row>
    <row r="1356" spans="2:5">
      <c r="B1356" s="91"/>
      <c r="C1356" s="57" t="s">
        <v>184</v>
      </c>
      <c r="D1356" s="60">
        <v>13</v>
      </c>
      <c r="E1356" s="59">
        <v>0</v>
      </c>
    </row>
    <row r="1357" spans="2:5">
      <c r="B1357" s="91"/>
      <c r="C1357" s="57" t="s">
        <v>162</v>
      </c>
      <c r="D1357" s="60">
        <v>5</v>
      </c>
      <c r="E1357" s="59">
        <v>0</v>
      </c>
    </row>
    <row r="1358" spans="2:5">
      <c r="B1358" s="91"/>
      <c r="C1358" s="57" t="s">
        <v>185</v>
      </c>
      <c r="D1358" s="60">
        <v>18</v>
      </c>
      <c r="E1358" s="59">
        <v>0</v>
      </c>
    </row>
    <row r="1359" spans="2:5">
      <c r="B1359" s="91"/>
      <c r="C1359" s="57" t="s">
        <v>186</v>
      </c>
      <c r="D1359" s="60">
        <v>19</v>
      </c>
      <c r="E1359" s="59">
        <v>0</v>
      </c>
    </row>
    <row r="1360" spans="2:5">
      <c r="B1360" s="91"/>
      <c r="C1360" s="57" t="s">
        <v>163</v>
      </c>
      <c r="D1360" s="60">
        <v>84</v>
      </c>
      <c r="E1360" s="59">
        <v>1E-3</v>
      </c>
    </row>
    <row r="1361" spans="2:5">
      <c r="B1361" s="91"/>
      <c r="C1361" s="57" t="s">
        <v>164</v>
      </c>
      <c r="D1361" s="60">
        <v>3</v>
      </c>
      <c r="E1361" s="59">
        <v>0</v>
      </c>
    </row>
    <row r="1362" spans="2:5">
      <c r="B1362" s="91"/>
      <c r="C1362" s="57" t="s">
        <v>165</v>
      </c>
      <c r="D1362" s="60">
        <v>108</v>
      </c>
      <c r="E1362" s="59">
        <v>2E-3</v>
      </c>
    </row>
    <row r="1363" spans="2:5">
      <c r="B1363" s="91"/>
      <c r="C1363" s="57" t="s">
        <v>166</v>
      </c>
      <c r="D1363" s="60">
        <v>51</v>
      </c>
      <c r="E1363" s="59">
        <v>1E-3</v>
      </c>
    </row>
    <row r="1364" spans="2:5">
      <c r="B1364" s="91"/>
      <c r="C1364" s="57" t="s">
        <v>167</v>
      </c>
      <c r="D1364" s="60">
        <v>14</v>
      </c>
      <c r="E1364" s="59">
        <v>0</v>
      </c>
    </row>
    <row r="1365" spans="2:5">
      <c r="B1365" s="91"/>
      <c r="C1365" s="57" t="s">
        <v>168</v>
      </c>
      <c r="D1365" s="60">
        <v>84</v>
      </c>
      <c r="E1365" s="59">
        <v>1E-3</v>
      </c>
    </row>
    <row r="1366" spans="2:5">
      <c r="B1366" s="91"/>
      <c r="C1366" s="57" t="s">
        <v>169</v>
      </c>
      <c r="D1366" s="60">
        <v>44</v>
      </c>
      <c r="E1366" s="59">
        <v>1E-3</v>
      </c>
    </row>
    <row r="1367" spans="2:5">
      <c r="B1367" s="91"/>
      <c r="C1367" s="57" t="s">
        <v>170</v>
      </c>
      <c r="D1367" s="60">
        <v>39</v>
      </c>
      <c r="E1367" s="59">
        <v>1E-3</v>
      </c>
    </row>
    <row r="1368" spans="2:5">
      <c r="B1368" s="91"/>
      <c r="C1368" s="57" t="s">
        <v>171</v>
      </c>
      <c r="D1368" s="60">
        <v>78</v>
      </c>
      <c r="E1368" s="59">
        <v>1E-3</v>
      </c>
    </row>
    <row r="1369" spans="2:5">
      <c r="B1369" s="91"/>
      <c r="C1369" s="57" t="s">
        <v>172</v>
      </c>
      <c r="D1369" s="60">
        <v>70</v>
      </c>
      <c r="E1369" s="59">
        <v>1E-3</v>
      </c>
    </row>
    <row r="1370" spans="2:5">
      <c r="B1370" s="91"/>
      <c r="C1370" s="57" t="s">
        <v>192</v>
      </c>
      <c r="D1370" s="60">
        <v>3</v>
      </c>
      <c r="E1370" s="59">
        <v>0</v>
      </c>
    </row>
    <row r="1371" spans="2:5">
      <c r="B1371" s="91"/>
      <c r="C1371" s="57" t="s">
        <v>187</v>
      </c>
      <c r="D1371" s="60">
        <v>67</v>
      </c>
      <c r="E1371" s="59">
        <v>1E-3</v>
      </c>
    </row>
    <row r="1372" spans="2:5">
      <c r="B1372" s="91"/>
      <c r="C1372" s="57" t="s">
        <v>173</v>
      </c>
      <c r="D1372" s="60">
        <v>16</v>
      </c>
      <c r="E1372" s="59">
        <v>0</v>
      </c>
    </row>
    <row r="1373" spans="2:5">
      <c r="B1373" s="91"/>
      <c r="C1373" s="57" t="s">
        <v>174</v>
      </c>
      <c r="D1373" s="60">
        <v>9</v>
      </c>
      <c r="E1373" s="59">
        <v>0</v>
      </c>
    </row>
    <row r="1374" spans="2:5">
      <c r="B1374" s="91"/>
      <c r="C1374" s="57" t="s">
        <v>189</v>
      </c>
      <c r="D1374" s="60">
        <v>22</v>
      </c>
      <c r="E1374" s="59">
        <v>0</v>
      </c>
    </row>
    <row r="1375" spans="2:5">
      <c r="B1375" s="91"/>
      <c r="C1375" s="57" t="s">
        <v>190</v>
      </c>
      <c r="D1375" s="60">
        <v>9</v>
      </c>
      <c r="E1375" s="59">
        <v>0</v>
      </c>
    </row>
    <row r="1376" spans="2:5">
      <c r="B1376" s="91"/>
      <c r="C1376" s="57" t="s">
        <v>175</v>
      </c>
      <c r="D1376" s="60">
        <v>25</v>
      </c>
      <c r="E1376" s="59">
        <v>0</v>
      </c>
    </row>
    <row r="1377" spans="2:5">
      <c r="B1377" s="91"/>
      <c r="C1377" s="57" t="s">
        <v>176</v>
      </c>
      <c r="D1377" s="60">
        <v>139</v>
      </c>
      <c r="E1377" s="59">
        <v>2E-3</v>
      </c>
    </row>
    <row r="1378" spans="2:5">
      <c r="B1378" s="91"/>
      <c r="C1378" s="57" t="s">
        <v>177</v>
      </c>
      <c r="D1378" s="60">
        <v>30</v>
      </c>
      <c r="E1378" s="59">
        <v>0</v>
      </c>
    </row>
    <row r="1379" spans="2:5">
      <c r="B1379" s="91"/>
      <c r="C1379" s="57" t="s">
        <v>191</v>
      </c>
      <c r="D1379" s="60">
        <v>36</v>
      </c>
      <c r="E1379" s="59">
        <v>1E-3</v>
      </c>
    </row>
    <row r="1380" spans="2:5">
      <c r="B1380" s="91"/>
      <c r="C1380" s="57" t="s">
        <v>178</v>
      </c>
      <c r="D1380" s="60">
        <v>13</v>
      </c>
      <c r="E1380" s="59">
        <v>0</v>
      </c>
    </row>
    <row r="1381" spans="2:5">
      <c r="B1381" s="91"/>
      <c r="C1381" s="57" t="s">
        <v>179</v>
      </c>
      <c r="D1381" s="60">
        <v>87</v>
      </c>
      <c r="E1381" s="59">
        <v>1E-3</v>
      </c>
    </row>
    <row r="1382" spans="2:5">
      <c r="B1382" s="92"/>
      <c r="C1382" s="71" t="s">
        <v>302</v>
      </c>
      <c r="D1382" s="73">
        <v>2474</v>
      </c>
      <c r="E1382" s="72">
        <v>3.9E-2</v>
      </c>
    </row>
    <row r="1383" spans="2:5">
      <c r="B1383" s="90" t="s">
        <v>55</v>
      </c>
      <c r="C1383" s="57" t="s">
        <v>147</v>
      </c>
      <c r="D1383" s="60">
        <v>83</v>
      </c>
      <c r="E1383" s="59">
        <v>1E-3</v>
      </c>
    </row>
    <row r="1384" spans="2:5">
      <c r="B1384" s="91"/>
      <c r="C1384" s="57" t="s">
        <v>148</v>
      </c>
      <c r="D1384" s="60">
        <v>163</v>
      </c>
      <c r="E1384" s="59">
        <v>3.0000000000000001E-3</v>
      </c>
    </row>
    <row r="1385" spans="2:5">
      <c r="B1385" s="91"/>
      <c r="C1385" s="57" t="s">
        <v>149</v>
      </c>
      <c r="D1385" s="60">
        <v>3</v>
      </c>
      <c r="E1385" s="59">
        <v>0</v>
      </c>
    </row>
    <row r="1386" spans="2:5">
      <c r="B1386" s="91"/>
      <c r="C1386" s="57" t="s">
        <v>150</v>
      </c>
      <c r="D1386" s="60">
        <v>4</v>
      </c>
      <c r="E1386" s="59">
        <v>0</v>
      </c>
    </row>
    <row r="1387" spans="2:5">
      <c r="B1387" s="91"/>
      <c r="C1387" s="57" t="s">
        <v>180</v>
      </c>
      <c r="D1387" s="60">
        <v>1</v>
      </c>
      <c r="E1387" s="59">
        <v>0</v>
      </c>
    </row>
    <row r="1388" spans="2:5">
      <c r="B1388" s="91"/>
      <c r="C1388" s="57" t="s">
        <v>151</v>
      </c>
      <c r="D1388" s="60">
        <v>27</v>
      </c>
      <c r="E1388" s="59">
        <v>0</v>
      </c>
    </row>
    <row r="1389" spans="2:5">
      <c r="B1389" s="91"/>
      <c r="C1389" s="57" t="s">
        <v>152</v>
      </c>
      <c r="D1389" s="60">
        <v>2</v>
      </c>
      <c r="E1389" s="59">
        <v>0</v>
      </c>
    </row>
    <row r="1390" spans="2:5">
      <c r="B1390" s="91"/>
      <c r="C1390" s="57" t="s">
        <v>181</v>
      </c>
      <c r="D1390" s="60">
        <v>1</v>
      </c>
      <c r="E1390" s="59">
        <v>0</v>
      </c>
    </row>
    <row r="1391" spans="2:5">
      <c r="B1391" s="91"/>
      <c r="C1391" s="57" t="s">
        <v>182</v>
      </c>
      <c r="D1391" s="60">
        <v>9</v>
      </c>
      <c r="E1391" s="59">
        <v>0</v>
      </c>
    </row>
    <row r="1392" spans="2:5">
      <c r="B1392" s="91"/>
      <c r="C1392" s="57" t="s">
        <v>153</v>
      </c>
      <c r="D1392" s="60">
        <v>44</v>
      </c>
      <c r="E1392" s="59">
        <v>1E-3</v>
      </c>
    </row>
    <row r="1393" spans="2:5">
      <c r="B1393" s="91"/>
      <c r="C1393" s="57" t="s">
        <v>291</v>
      </c>
      <c r="D1393" s="60">
        <v>10</v>
      </c>
      <c r="E1393" s="59">
        <v>0</v>
      </c>
    </row>
    <row r="1394" spans="2:5">
      <c r="B1394" s="91"/>
      <c r="C1394" s="57" t="s">
        <v>183</v>
      </c>
      <c r="D1394" s="60">
        <v>19</v>
      </c>
      <c r="E1394" s="59">
        <v>0</v>
      </c>
    </row>
    <row r="1395" spans="2:5" ht="28.5">
      <c r="B1395" s="91"/>
      <c r="C1395" s="57" t="s">
        <v>154</v>
      </c>
      <c r="D1395" s="60">
        <v>3</v>
      </c>
      <c r="E1395" s="59">
        <v>0</v>
      </c>
    </row>
    <row r="1396" spans="2:5">
      <c r="B1396" s="91"/>
      <c r="C1396" s="57" t="s">
        <v>155</v>
      </c>
      <c r="D1396" s="60">
        <v>21</v>
      </c>
      <c r="E1396" s="59">
        <v>0</v>
      </c>
    </row>
    <row r="1397" spans="2:5">
      <c r="B1397" s="91"/>
      <c r="C1397" s="57" t="s">
        <v>156</v>
      </c>
      <c r="D1397" s="60">
        <v>18</v>
      </c>
      <c r="E1397" s="59">
        <v>0</v>
      </c>
    </row>
    <row r="1398" spans="2:5">
      <c r="B1398" s="91"/>
      <c r="C1398" s="57" t="s">
        <v>157</v>
      </c>
      <c r="D1398" s="60">
        <v>139</v>
      </c>
      <c r="E1398" s="59">
        <v>2E-3</v>
      </c>
    </row>
    <row r="1399" spans="2:5">
      <c r="B1399" s="91"/>
      <c r="C1399" s="57" t="s">
        <v>158</v>
      </c>
      <c r="D1399" s="60">
        <v>7</v>
      </c>
      <c r="E1399" s="59">
        <v>0</v>
      </c>
    </row>
    <row r="1400" spans="2:5">
      <c r="B1400" s="91"/>
      <c r="C1400" s="57" t="s">
        <v>159</v>
      </c>
      <c r="D1400" s="60">
        <v>3</v>
      </c>
      <c r="E1400" s="59">
        <v>0</v>
      </c>
    </row>
    <row r="1401" spans="2:5">
      <c r="B1401" s="91"/>
      <c r="C1401" s="57" t="s">
        <v>160</v>
      </c>
      <c r="D1401" s="60">
        <v>245</v>
      </c>
      <c r="E1401" s="59">
        <v>4.0000000000000001E-3</v>
      </c>
    </row>
    <row r="1402" spans="2:5">
      <c r="B1402" s="91"/>
      <c r="C1402" s="57" t="s">
        <v>161</v>
      </c>
      <c r="D1402" s="60">
        <v>20</v>
      </c>
      <c r="E1402" s="59">
        <v>0</v>
      </c>
    </row>
    <row r="1403" spans="2:5">
      <c r="B1403" s="91"/>
      <c r="C1403" s="57" t="s">
        <v>184</v>
      </c>
      <c r="D1403" s="60">
        <v>11</v>
      </c>
      <c r="E1403" s="59">
        <v>0</v>
      </c>
    </row>
    <row r="1404" spans="2:5">
      <c r="B1404" s="91"/>
      <c r="C1404" s="57" t="s">
        <v>162</v>
      </c>
      <c r="D1404" s="60">
        <v>2</v>
      </c>
      <c r="E1404" s="59">
        <v>0</v>
      </c>
    </row>
    <row r="1405" spans="2:5">
      <c r="B1405" s="91"/>
      <c r="C1405" s="57" t="s">
        <v>185</v>
      </c>
      <c r="D1405" s="60">
        <v>12</v>
      </c>
      <c r="E1405" s="59">
        <v>0</v>
      </c>
    </row>
    <row r="1406" spans="2:5">
      <c r="B1406" s="91"/>
      <c r="C1406" s="57" t="s">
        <v>186</v>
      </c>
      <c r="D1406" s="60">
        <v>17</v>
      </c>
      <c r="E1406" s="59">
        <v>0</v>
      </c>
    </row>
    <row r="1407" spans="2:5">
      <c r="B1407" s="91"/>
      <c r="C1407" s="57" t="s">
        <v>163</v>
      </c>
      <c r="D1407" s="60">
        <v>104</v>
      </c>
      <c r="E1407" s="59">
        <v>2E-3</v>
      </c>
    </row>
    <row r="1408" spans="2:5">
      <c r="B1408" s="91"/>
      <c r="C1408" s="57" t="s">
        <v>164</v>
      </c>
      <c r="D1408" s="60">
        <v>21</v>
      </c>
      <c r="E1408" s="59">
        <v>0</v>
      </c>
    </row>
    <row r="1409" spans="2:5">
      <c r="B1409" s="91"/>
      <c r="C1409" s="57" t="s">
        <v>165</v>
      </c>
      <c r="D1409" s="60">
        <v>189</v>
      </c>
      <c r="E1409" s="59">
        <v>3.0000000000000001E-3</v>
      </c>
    </row>
    <row r="1410" spans="2:5">
      <c r="B1410" s="91"/>
      <c r="C1410" s="57" t="s">
        <v>166</v>
      </c>
      <c r="D1410" s="60">
        <v>27</v>
      </c>
      <c r="E1410" s="59">
        <v>0</v>
      </c>
    </row>
    <row r="1411" spans="2:5">
      <c r="B1411" s="91"/>
      <c r="C1411" s="57" t="s">
        <v>167</v>
      </c>
      <c r="D1411" s="60">
        <v>1</v>
      </c>
      <c r="E1411" s="59">
        <v>0</v>
      </c>
    </row>
    <row r="1412" spans="2:5">
      <c r="B1412" s="91"/>
      <c r="C1412" s="57" t="s">
        <v>168</v>
      </c>
      <c r="D1412" s="60">
        <v>2</v>
      </c>
      <c r="E1412" s="59">
        <v>0</v>
      </c>
    </row>
    <row r="1413" spans="2:5">
      <c r="B1413" s="91"/>
      <c r="C1413" s="57" t="s">
        <v>169</v>
      </c>
      <c r="D1413" s="60">
        <v>63</v>
      </c>
      <c r="E1413" s="59">
        <v>1E-3</v>
      </c>
    </row>
    <row r="1414" spans="2:5">
      <c r="B1414" s="91"/>
      <c r="C1414" s="57" t="s">
        <v>170</v>
      </c>
      <c r="D1414" s="60">
        <v>5</v>
      </c>
      <c r="E1414" s="59">
        <v>0</v>
      </c>
    </row>
    <row r="1415" spans="2:5">
      <c r="B1415" s="91"/>
      <c r="C1415" s="57" t="s">
        <v>171</v>
      </c>
      <c r="D1415" s="60">
        <v>7</v>
      </c>
      <c r="E1415" s="59">
        <v>0</v>
      </c>
    </row>
    <row r="1416" spans="2:5">
      <c r="B1416" s="91"/>
      <c r="C1416" s="57" t="s">
        <v>172</v>
      </c>
      <c r="D1416" s="60">
        <v>2</v>
      </c>
      <c r="E1416" s="59">
        <v>0</v>
      </c>
    </row>
    <row r="1417" spans="2:5">
      <c r="B1417" s="91"/>
      <c r="C1417" s="57" t="s">
        <v>192</v>
      </c>
      <c r="D1417" s="60">
        <v>1</v>
      </c>
      <c r="E1417" s="59">
        <v>0</v>
      </c>
    </row>
    <row r="1418" spans="2:5">
      <c r="B1418" s="91"/>
      <c r="C1418" s="57" t="s">
        <v>187</v>
      </c>
      <c r="D1418" s="60">
        <v>8</v>
      </c>
      <c r="E1418" s="59">
        <v>0</v>
      </c>
    </row>
    <row r="1419" spans="2:5">
      <c r="B1419" s="91"/>
      <c r="C1419" s="57" t="s">
        <v>188</v>
      </c>
      <c r="D1419" s="60">
        <v>1</v>
      </c>
      <c r="E1419" s="59">
        <v>0</v>
      </c>
    </row>
    <row r="1420" spans="2:5">
      <c r="B1420" s="91"/>
      <c r="C1420" s="57" t="s">
        <v>173</v>
      </c>
      <c r="D1420" s="60">
        <v>34</v>
      </c>
      <c r="E1420" s="59">
        <v>1E-3</v>
      </c>
    </row>
    <row r="1421" spans="2:5">
      <c r="B1421" s="91"/>
      <c r="C1421" s="57" t="s">
        <v>174</v>
      </c>
      <c r="D1421" s="60">
        <v>16</v>
      </c>
      <c r="E1421" s="59">
        <v>0</v>
      </c>
    </row>
    <row r="1422" spans="2:5">
      <c r="B1422" s="91"/>
      <c r="C1422" s="57" t="s">
        <v>189</v>
      </c>
      <c r="D1422" s="60">
        <v>18</v>
      </c>
      <c r="E1422" s="59">
        <v>0</v>
      </c>
    </row>
    <row r="1423" spans="2:5">
      <c r="B1423" s="91"/>
      <c r="C1423" s="57" t="s">
        <v>190</v>
      </c>
      <c r="D1423" s="60">
        <v>3</v>
      </c>
      <c r="E1423" s="59">
        <v>0</v>
      </c>
    </row>
    <row r="1424" spans="2:5">
      <c r="B1424" s="91"/>
      <c r="C1424" s="57" t="s">
        <v>175</v>
      </c>
      <c r="D1424" s="60">
        <v>8</v>
      </c>
      <c r="E1424" s="59">
        <v>0</v>
      </c>
    </row>
    <row r="1425" spans="2:5">
      <c r="B1425" s="91"/>
      <c r="C1425" s="57" t="s">
        <v>176</v>
      </c>
      <c r="D1425" s="60">
        <v>95</v>
      </c>
      <c r="E1425" s="59">
        <v>1E-3</v>
      </c>
    </row>
    <row r="1426" spans="2:5">
      <c r="B1426" s="91"/>
      <c r="C1426" s="57" t="s">
        <v>177</v>
      </c>
      <c r="D1426" s="60">
        <v>4</v>
      </c>
      <c r="E1426" s="59">
        <v>0</v>
      </c>
    </row>
    <row r="1427" spans="2:5">
      <c r="B1427" s="91"/>
      <c r="C1427" s="57" t="s">
        <v>191</v>
      </c>
      <c r="D1427" s="60">
        <v>2</v>
      </c>
      <c r="E1427" s="59">
        <v>0</v>
      </c>
    </row>
    <row r="1428" spans="2:5">
      <c r="B1428" s="91"/>
      <c r="C1428" s="57" t="s">
        <v>178</v>
      </c>
      <c r="D1428" s="60">
        <v>5</v>
      </c>
      <c r="E1428" s="59">
        <v>0</v>
      </c>
    </row>
    <row r="1429" spans="2:5">
      <c r="B1429" s="91"/>
      <c r="C1429" s="57" t="s">
        <v>179</v>
      </c>
      <c r="D1429" s="60">
        <v>10</v>
      </c>
      <c r="E1429" s="59">
        <v>0</v>
      </c>
    </row>
    <row r="1430" spans="2:5">
      <c r="B1430" s="92"/>
      <c r="C1430" s="71" t="s">
        <v>302</v>
      </c>
      <c r="D1430" s="73">
        <v>1490</v>
      </c>
      <c r="E1430" s="72">
        <v>2.3E-2</v>
      </c>
    </row>
    <row r="1431" spans="2:5">
      <c r="B1431" s="90" t="s">
        <v>70</v>
      </c>
      <c r="C1431" s="57" t="s">
        <v>147</v>
      </c>
      <c r="D1431" s="60">
        <v>7</v>
      </c>
      <c r="E1431" s="59">
        <v>0</v>
      </c>
    </row>
    <row r="1432" spans="2:5">
      <c r="B1432" s="91"/>
      <c r="C1432" s="57" t="s">
        <v>148</v>
      </c>
      <c r="D1432" s="60">
        <v>14</v>
      </c>
      <c r="E1432" s="59">
        <v>0</v>
      </c>
    </row>
    <row r="1433" spans="2:5">
      <c r="B1433" s="91"/>
      <c r="C1433" s="57" t="s">
        <v>149</v>
      </c>
      <c r="D1433" s="60">
        <v>4</v>
      </c>
      <c r="E1433" s="59">
        <v>0</v>
      </c>
    </row>
    <row r="1434" spans="2:5">
      <c r="B1434" s="91"/>
      <c r="C1434" s="57" t="s">
        <v>150</v>
      </c>
      <c r="D1434" s="60">
        <v>2</v>
      </c>
      <c r="E1434" s="59">
        <v>0</v>
      </c>
    </row>
    <row r="1435" spans="2:5">
      <c r="B1435" s="91"/>
      <c r="C1435" s="57" t="s">
        <v>151</v>
      </c>
      <c r="D1435" s="60">
        <v>32</v>
      </c>
      <c r="E1435" s="59">
        <v>1E-3</v>
      </c>
    </row>
    <row r="1436" spans="2:5">
      <c r="B1436" s="91"/>
      <c r="C1436" s="57" t="s">
        <v>152</v>
      </c>
      <c r="D1436" s="60">
        <v>22</v>
      </c>
      <c r="E1436" s="59">
        <v>0</v>
      </c>
    </row>
    <row r="1437" spans="2:5">
      <c r="B1437" s="91"/>
      <c r="C1437" s="57" t="s">
        <v>182</v>
      </c>
      <c r="D1437" s="60">
        <v>6</v>
      </c>
      <c r="E1437" s="59">
        <v>0</v>
      </c>
    </row>
    <row r="1438" spans="2:5">
      <c r="B1438" s="91"/>
      <c r="C1438" s="57" t="s">
        <v>153</v>
      </c>
      <c r="D1438" s="60">
        <v>2</v>
      </c>
      <c r="E1438" s="59">
        <v>0</v>
      </c>
    </row>
    <row r="1439" spans="2:5">
      <c r="B1439" s="91"/>
      <c r="C1439" s="57" t="s">
        <v>183</v>
      </c>
      <c r="D1439" s="60">
        <v>3</v>
      </c>
      <c r="E1439" s="59">
        <v>0</v>
      </c>
    </row>
    <row r="1440" spans="2:5" ht="28.5">
      <c r="B1440" s="91"/>
      <c r="C1440" s="57" t="s">
        <v>154</v>
      </c>
      <c r="D1440" s="60">
        <v>7</v>
      </c>
      <c r="E1440" s="59">
        <v>0</v>
      </c>
    </row>
    <row r="1441" spans="2:5">
      <c r="B1441" s="91"/>
      <c r="C1441" s="57" t="s">
        <v>155</v>
      </c>
      <c r="D1441" s="60">
        <v>15</v>
      </c>
      <c r="E1441" s="59">
        <v>0</v>
      </c>
    </row>
    <row r="1442" spans="2:5">
      <c r="B1442" s="91"/>
      <c r="C1442" s="57" t="s">
        <v>157</v>
      </c>
      <c r="D1442" s="60">
        <v>22</v>
      </c>
      <c r="E1442" s="59">
        <v>0</v>
      </c>
    </row>
    <row r="1443" spans="2:5">
      <c r="B1443" s="91"/>
      <c r="C1443" s="57" t="s">
        <v>158</v>
      </c>
      <c r="D1443" s="60">
        <v>9</v>
      </c>
      <c r="E1443" s="59">
        <v>0</v>
      </c>
    </row>
    <row r="1444" spans="2:5">
      <c r="B1444" s="91"/>
      <c r="C1444" s="57" t="s">
        <v>159</v>
      </c>
      <c r="D1444" s="60">
        <v>8</v>
      </c>
      <c r="E1444" s="59">
        <v>0</v>
      </c>
    </row>
    <row r="1445" spans="2:5">
      <c r="B1445" s="91"/>
      <c r="C1445" s="57" t="s">
        <v>160</v>
      </c>
      <c r="D1445" s="60">
        <v>77</v>
      </c>
      <c r="E1445" s="59">
        <v>1E-3</v>
      </c>
    </row>
    <row r="1446" spans="2:5">
      <c r="B1446" s="91"/>
      <c r="C1446" s="57" t="s">
        <v>161</v>
      </c>
      <c r="D1446" s="60">
        <v>18</v>
      </c>
      <c r="E1446" s="59">
        <v>0</v>
      </c>
    </row>
    <row r="1447" spans="2:5">
      <c r="B1447" s="91"/>
      <c r="C1447" s="57" t="s">
        <v>184</v>
      </c>
      <c r="D1447" s="60">
        <v>1</v>
      </c>
      <c r="E1447" s="59">
        <v>0</v>
      </c>
    </row>
    <row r="1448" spans="2:5">
      <c r="B1448" s="91"/>
      <c r="C1448" s="57" t="s">
        <v>162</v>
      </c>
      <c r="D1448" s="60">
        <v>1</v>
      </c>
      <c r="E1448" s="59">
        <v>0</v>
      </c>
    </row>
    <row r="1449" spans="2:5">
      <c r="B1449" s="91"/>
      <c r="C1449" s="57" t="s">
        <v>186</v>
      </c>
      <c r="D1449" s="60">
        <v>2</v>
      </c>
      <c r="E1449" s="59">
        <v>0</v>
      </c>
    </row>
    <row r="1450" spans="2:5">
      <c r="B1450" s="91"/>
      <c r="C1450" s="57" t="s">
        <v>163</v>
      </c>
      <c r="D1450" s="60">
        <v>15</v>
      </c>
      <c r="E1450" s="59">
        <v>0</v>
      </c>
    </row>
    <row r="1451" spans="2:5">
      <c r="B1451" s="91"/>
      <c r="C1451" s="57" t="s">
        <v>164</v>
      </c>
      <c r="D1451" s="60">
        <v>11</v>
      </c>
      <c r="E1451" s="59">
        <v>0</v>
      </c>
    </row>
    <row r="1452" spans="2:5">
      <c r="B1452" s="91"/>
      <c r="C1452" s="57" t="s">
        <v>165</v>
      </c>
      <c r="D1452" s="60">
        <v>23</v>
      </c>
      <c r="E1452" s="59">
        <v>0</v>
      </c>
    </row>
    <row r="1453" spans="2:5">
      <c r="B1453" s="91"/>
      <c r="C1453" s="57" t="s">
        <v>166</v>
      </c>
      <c r="D1453" s="60">
        <v>27</v>
      </c>
      <c r="E1453" s="59">
        <v>0</v>
      </c>
    </row>
    <row r="1454" spans="2:5">
      <c r="B1454" s="91"/>
      <c r="C1454" s="57" t="s">
        <v>168</v>
      </c>
      <c r="D1454" s="60">
        <v>9</v>
      </c>
      <c r="E1454" s="59">
        <v>0</v>
      </c>
    </row>
    <row r="1455" spans="2:5">
      <c r="B1455" s="91"/>
      <c r="C1455" s="57" t="s">
        <v>169</v>
      </c>
      <c r="D1455" s="60">
        <v>7</v>
      </c>
      <c r="E1455" s="59">
        <v>0</v>
      </c>
    </row>
    <row r="1456" spans="2:5">
      <c r="B1456" s="91"/>
      <c r="C1456" s="57" t="s">
        <v>170</v>
      </c>
      <c r="D1456" s="60">
        <v>42</v>
      </c>
      <c r="E1456" s="59">
        <v>1E-3</v>
      </c>
    </row>
    <row r="1457" spans="2:5">
      <c r="B1457" s="91"/>
      <c r="C1457" s="57" t="s">
        <v>171</v>
      </c>
      <c r="D1457" s="60">
        <v>48</v>
      </c>
      <c r="E1457" s="59">
        <v>1E-3</v>
      </c>
    </row>
    <row r="1458" spans="2:5">
      <c r="B1458" s="91"/>
      <c r="C1458" s="57" t="s">
        <v>172</v>
      </c>
      <c r="D1458" s="60">
        <v>25</v>
      </c>
      <c r="E1458" s="59">
        <v>0</v>
      </c>
    </row>
    <row r="1459" spans="2:5">
      <c r="B1459" s="91"/>
      <c r="C1459" s="57" t="s">
        <v>187</v>
      </c>
      <c r="D1459" s="60">
        <v>66</v>
      </c>
      <c r="E1459" s="59">
        <v>1E-3</v>
      </c>
    </row>
    <row r="1460" spans="2:5">
      <c r="B1460" s="91"/>
      <c r="C1460" s="57" t="s">
        <v>188</v>
      </c>
      <c r="D1460" s="60">
        <v>1</v>
      </c>
      <c r="E1460" s="59">
        <v>0</v>
      </c>
    </row>
    <row r="1461" spans="2:5">
      <c r="B1461" s="91"/>
      <c r="C1461" s="57" t="s">
        <v>173</v>
      </c>
      <c r="D1461" s="60">
        <v>3</v>
      </c>
      <c r="E1461" s="59">
        <v>0</v>
      </c>
    </row>
    <row r="1462" spans="2:5">
      <c r="B1462" s="91"/>
      <c r="C1462" s="57" t="s">
        <v>174</v>
      </c>
      <c r="D1462" s="60">
        <v>2</v>
      </c>
      <c r="E1462" s="59">
        <v>0</v>
      </c>
    </row>
    <row r="1463" spans="2:5">
      <c r="B1463" s="91"/>
      <c r="C1463" s="57" t="s">
        <v>189</v>
      </c>
      <c r="D1463" s="60">
        <v>15</v>
      </c>
      <c r="E1463" s="59">
        <v>0</v>
      </c>
    </row>
    <row r="1464" spans="2:5">
      <c r="B1464" s="91"/>
      <c r="C1464" s="57" t="s">
        <v>190</v>
      </c>
      <c r="D1464" s="60">
        <v>2</v>
      </c>
      <c r="E1464" s="59">
        <v>0</v>
      </c>
    </row>
    <row r="1465" spans="2:5">
      <c r="B1465" s="91"/>
      <c r="C1465" s="57" t="s">
        <v>175</v>
      </c>
      <c r="D1465" s="60">
        <v>5</v>
      </c>
      <c r="E1465" s="59">
        <v>0</v>
      </c>
    </row>
    <row r="1466" spans="2:5">
      <c r="B1466" s="91"/>
      <c r="C1466" s="57" t="s">
        <v>176</v>
      </c>
      <c r="D1466" s="60">
        <v>12</v>
      </c>
      <c r="E1466" s="59">
        <v>0</v>
      </c>
    </row>
    <row r="1467" spans="2:5">
      <c r="B1467" s="91"/>
      <c r="C1467" s="57" t="s">
        <v>177</v>
      </c>
      <c r="D1467" s="60">
        <v>1</v>
      </c>
      <c r="E1467" s="59">
        <v>0</v>
      </c>
    </row>
    <row r="1468" spans="2:5">
      <c r="B1468" s="91"/>
      <c r="C1468" s="57" t="s">
        <v>191</v>
      </c>
      <c r="D1468" s="60">
        <v>2</v>
      </c>
      <c r="E1468" s="59">
        <v>0</v>
      </c>
    </row>
    <row r="1469" spans="2:5">
      <c r="B1469" s="91"/>
      <c r="C1469" s="57" t="s">
        <v>178</v>
      </c>
      <c r="D1469" s="60">
        <v>3</v>
      </c>
      <c r="E1469" s="59">
        <v>0</v>
      </c>
    </row>
    <row r="1470" spans="2:5">
      <c r="B1470" s="91"/>
      <c r="C1470" s="57" t="s">
        <v>179</v>
      </c>
      <c r="D1470" s="60">
        <v>3</v>
      </c>
      <c r="E1470" s="59">
        <v>0</v>
      </c>
    </row>
    <row r="1471" spans="2:5">
      <c r="B1471" s="92"/>
      <c r="C1471" s="71" t="s">
        <v>302</v>
      </c>
      <c r="D1471" s="73">
        <v>574</v>
      </c>
      <c r="E1471" s="72">
        <v>8.9999999999999993E-3</v>
      </c>
    </row>
    <row r="1472" spans="2:5">
      <c r="B1472" s="90" t="s">
        <v>79</v>
      </c>
      <c r="C1472" s="57" t="s">
        <v>147</v>
      </c>
      <c r="D1472" s="60">
        <v>20</v>
      </c>
      <c r="E1472" s="59">
        <v>0</v>
      </c>
    </row>
    <row r="1473" spans="2:5">
      <c r="B1473" s="91"/>
      <c r="C1473" s="57" t="s">
        <v>148</v>
      </c>
      <c r="D1473" s="60">
        <v>13</v>
      </c>
      <c r="E1473" s="59">
        <v>0</v>
      </c>
    </row>
    <row r="1474" spans="2:5">
      <c r="B1474" s="91"/>
      <c r="C1474" s="57" t="s">
        <v>149</v>
      </c>
      <c r="D1474" s="60">
        <v>1</v>
      </c>
      <c r="E1474" s="59">
        <v>0</v>
      </c>
    </row>
    <row r="1475" spans="2:5">
      <c r="B1475" s="91"/>
      <c r="C1475" s="57" t="s">
        <v>150</v>
      </c>
      <c r="D1475" s="60">
        <v>1</v>
      </c>
      <c r="E1475" s="59">
        <v>0</v>
      </c>
    </row>
    <row r="1476" spans="2:5">
      <c r="B1476" s="91"/>
      <c r="C1476" s="57" t="s">
        <v>151</v>
      </c>
      <c r="D1476" s="60">
        <v>24</v>
      </c>
      <c r="E1476" s="59">
        <v>0</v>
      </c>
    </row>
    <row r="1477" spans="2:5">
      <c r="B1477" s="91"/>
      <c r="C1477" s="57" t="s">
        <v>152</v>
      </c>
      <c r="D1477" s="60">
        <v>1</v>
      </c>
      <c r="E1477" s="59">
        <v>0</v>
      </c>
    </row>
    <row r="1478" spans="2:5">
      <c r="B1478" s="91"/>
      <c r="C1478" s="57" t="s">
        <v>182</v>
      </c>
      <c r="D1478" s="60">
        <v>6</v>
      </c>
      <c r="E1478" s="59">
        <v>0</v>
      </c>
    </row>
    <row r="1479" spans="2:5">
      <c r="B1479" s="91"/>
      <c r="C1479" s="57" t="s">
        <v>153</v>
      </c>
      <c r="D1479" s="60">
        <v>4</v>
      </c>
      <c r="E1479" s="59">
        <v>0</v>
      </c>
    </row>
    <row r="1480" spans="2:5">
      <c r="B1480" s="91"/>
      <c r="C1480" s="57" t="s">
        <v>291</v>
      </c>
      <c r="D1480" s="60">
        <v>2</v>
      </c>
      <c r="E1480" s="59">
        <v>0</v>
      </c>
    </row>
    <row r="1481" spans="2:5">
      <c r="B1481" s="91"/>
      <c r="C1481" s="57" t="s">
        <v>183</v>
      </c>
      <c r="D1481" s="60">
        <v>2</v>
      </c>
      <c r="E1481" s="59">
        <v>0</v>
      </c>
    </row>
    <row r="1482" spans="2:5" ht="28.5">
      <c r="B1482" s="91"/>
      <c r="C1482" s="57" t="s">
        <v>154</v>
      </c>
      <c r="D1482" s="60">
        <v>8</v>
      </c>
      <c r="E1482" s="59">
        <v>0</v>
      </c>
    </row>
    <row r="1483" spans="2:5">
      <c r="B1483" s="91"/>
      <c r="C1483" s="57" t="s">
        <v>155</v>
      </c>
      <c r="D1483" s="60">
        <v>7</v>
      </c>
      <c r="E1483" s="59">
        <v>0</v>
      </c>
    </row>
    <row r="1484" spans="2:5">
      <c r="B1484" s="91"/>
      <c r="C1484" s="57" t="s">
        <v>157</v>
      </c>
      <c r="D1484" s="60">
        <v>54</v>
      </c>
      <c r="E1484" s="59">
        <v>1E-3</v>
      </c>
    </row>
    <row r="1485" spans="2:5">
      <c r="B1485" s="91"/>
      <c r="C1485" s="57" t="s">
        <v>158</v>
      </c>
      <c r="D1485" s="60">
        <v>2</v>
      </c>
      <c r="E1485" s="59">
        <v>0</v>
      </c>
    </row>
    <row r="1486" spans="2:5">
      <c r="B1486" s="91"/>
      <c r="C1486" s="57" t="s">
        <v>159</v>
      </c>
      <c r="D1486" s="60">
        <v>8</v>
      </c>
      <c r="E1486" s="59">
        <v>0</v>
      </c>
    </row>
    <row r="1487" spans="2:5">
      <c r="B1487" s="91"/>
      <c r="C1487" s="57" t="s">
        <v>160</v>
      </c>
      <c r="D1487" s="60">
        <v>44</v>
      </c>
      <c r="E1487" s="59">
        <v>1E-3</v>
      </c>
    </row>
    <row r="1488" spans="2:5">
      <c r="B1488" s="91"/>
      <c r="C1488" s="57" t="s">
        <v>161</v>
      </c>
      <c r="D1488" s="60">
        <v>5</v>
      </c>
      <c r="E1488" s="59">
        <v>0</v>
      </c>
    </row>
    <row r="1489" spans="2:5">
      <c r="B1489" s="91"/>
      <c r="C1489" s="57" t="s">
        <v>184</v>
      </c>
      <c r="D1489" s="60">
        <v>13</v>
      </c>
      <c r="E1489" s="59">
        <v>0</v>
      </c>
    </row>
    <row r="1490" spans="2:5">
      <c r="B1490" s="91"/>
      <c r="C1490" s="57" t="s">
        <v>162</v>
      </c>
      <c r="D1490" s="60">
        <v>1</v>
      </c>
      <c r="E1490" s="59">
        <v>0</v>
      </c>
    </row>
    <row r="1491" spans="2:5">
      <c r="B1491" s="91"/>
      <c r="C1491" s="57" t="s">
        <v>186</v>
      </c>
      <c r="D1491" s="60">
        <v>1</v>
      </c>
      <c r="E1491" s="59">
        <v>0</v>
      </c>
    </row>
    <row r="1492" spans="2:5">
      <c r="B1492" s="91"/>
      <c r="C1492" s="57" t="s">
        <v>163</v>
      </c>
      <c r="D1492" s="60">
        <v>50</v>
      </c>
      <c r="E1492" s="59">
        <v>1E-3</v>
      </c>
    </row>
    <row r="1493" spans="2:5">
      <c r="B1493" s="91"/>
      <c r="C1493" s="57" t="s">
        <v>164</v>
      </c>
      <c r="D1493" s="60">
        <v>2</v>
      </c>
      <c r="E1493" s="59">
        <v>0</v>
      </c>
    </row>
    <row r="1494" spans="2:5">
      <c r="B1494" s="91"/>
      <c r="C1494" s="57" t="s">
        <v>165</v>
      </c>
      <c r="D1494" s="60">
        <v>23</v>
      </c>
      <c r="E1494" s="59">
        <v>0</v>
      </c>
    </row>
    <row r="1495" spans="2:5">
      <c r="B1495" s="91"/>
      <c r="C1495" s="57" t="s">
        <v>166</v>
      </c>
      <c r="D1495" s="60">
        <v>6</v>
      </c>
      <c r="E1495" s="59">
        <v>0</v>
      </c>
    </row>
    <row r="1496" spans="2:5">
      <c r="B1496" s="91"/>
      <c r="C1496" s="57" t="s">
        <v>167</v>
      </c>
      <c r="D1496" s="60">
        <v>1</v>
      </c>
      <c r="E1496" s="59">
        <v>0</v>
      </c>
    </row>
    <row r="1497" spans="2:5">
      <c r="B1497" s="91"/>
      <c r="C1497" s="57" t="s">
        <v>169</v>
      </c>
      <c r="D1497" s="60">
        <v>3</v>
      </c>
      <c r="E1497" s="59">
        <v>0</v>
      </c>
    </row>
    <row r="1498" spans="2:5">
      <c r="B1498" s="91"/>
      <c r="C1498" s="57" t="s">
        <v>170</v>
      </c>
      <c r="D1498" s="60">
        <v>3</v>
      </c>
      <c r="E1498" s="59">
        <v>0</v>
      </c>
    </row>
    <row r="1499" spans="2:5">
      <c r="B1499" s="91"/>
      <c r="C1499" s="57" t="s">
        <v>171</v>
      </c>
      <c r="D1499" s="60">
        <v>6</v>
      </c>
      <c r="E1499" s="59">
        <v>0</v>
      </c>
    </row>
    <row r="1500" spans="2:5">
      <c r="B1500" s="91"/>
      <c r="C1500" s="57" t="s">
        <v>172</v>
      </c>
      <c r="D1500" s="60">
        <v>14</v>
      </c>
      <c r="E1500" s="59">
        <v>0</v>
      </c>
    </row>
    <row r="1501" spans="2:5">
      <c r="B1501" s="91"/>
      <c r="C1501" s="57" t="s">
        <v>187</v>
      </c>
      <c r="D1501" s="60">
        <v>2</v>
      </c>
      <c r="E1501" s="59">
        <v>0</v>
      </c>
    </row>
    <row r="1502" spans="2:5">
      <c r="B1502" s="91"/>
      <c r="C1502" s="57" t="s">
        <v>173</v>
      </c>
      <c r="D1502" s="60">
        <v>10</v>
      </c>
      <c r="E1502" s="59">
        <v>0</v>
      </c>
    </row>
    <row r="1503" spans="2:5">
      <c r="B1503" s="91"/>
      <c r="C1503" s="57" t="s">
        <v>189</v>
      </c>
      <c r="D1503" s="60">
        <v>9</v>
      </c>
      <c r="E1503" s="59">
        <v>0</v>
      </c>
    </row>
    <row r="1504" spans="2:5">
      <c r="B1504" s="91"/>
      <c r="C1504" s="57" t="s">
        <v>190</v>
      </c>
      <c r="D1504" s="60">
        <v>1</v>
      </c>
      <c r="E1504" s="59">
        <v>0</v>
      </c>
    </row>
    <row r="1505" spans="2:5">
      <c r="B1505" s="91"/>
      <c r="C1505" s="57" t="s">
        <v>175</v>
      </c>
      <c r="D1505" s="60">
        <v>6</v>
      </c>
      <c r="E1505" s="59">
        <v>0</v>
      </c>
    </row>
    <row r="1506" spans="2:5">
      <c r="B1506" s="91"/>
      <c r="C1506" s="57" t="s">
        <v>176</v>
      </c>
      <c r="D1506" s="60">
        <v>13</v>
      </c>
      <c r="E1506" s="59">
        <v>0</v>
      </c>
    </row>
    <row r="1507" spans="2:5">
      <c r="B1507" s="91"/>
      <c r="C1507" s="57" t="s">
        <v>191</v>
      </c>
      <c r="D1507" s="60">
        <v>14</v>
      </c>
      <c r="E1507" s="59">
        <v>0</v>
      </c>
    </row>
    <row r="1508" spans="2:5">
      <c r="B1508" s="91"/>
      <c r="C1508" s="57" t="s">
        <v>179</v>
      </c>
      <c r="D1508" s="60">
        <v>59</v>
      </c>
      <c r="E1508" s="59">
        <v>1E-3</v>
      </c>
    </row>
    <row r="1509" spans="2:5">
      <c r="B1509" s="92"/>
      <c r="C1509" s="71" t="s">
        <v>302</v>
      </c>
      <c r="D1509" s="73">
        <v>439</v>
      </c>
      <c r="E1509" s="72">
        <v>7.0000000000000001E-3</v>
      </c>
    </row>
    <row r="1510" spans="2:5">
      <c r="B1510" s="90" t="s">
        <v>56</v>
      </c>
      <c r="C1510" s="57" t="s">
        <v>147</v>
      </c>
      <c r="D1510" s="60">
        <v>3</v>
      </c>
      <c r="E1510" s="59">
        <v>0</v>
      </c>
    </row>
    <row r="1511" spans="2:5">
      <c r="B1511" s="91"/>
      <c r="C1511" s="57" t="s">
        <v>148</v>
      </c>
      <c r="D1511" s="60">
        <v>43</v>
      </c>
      <c r="E1511" s="59">
        <v>1E-3</v>
      </c>
    </row>
    <row r="1512" spans="2:5">
      <c r="B1512" s="91"/>
      <c r="C1512" s="57" t="s">
        <v>149</v>
      </c>
      <c r="D1512" s="60">
        <v>28</v>
      </c>
      <c r="E1512" s="59">
        <v>0</v>
      </c>
    </row>
    <row r="1513" spans="2:5">
      <c r="B1513" s="91"/>
      <c r="C1513" s="57" t="s">
        <v>150</v>
      </c>
      <c r="D1513" s="60">
        <v>94</v>
      </c>
      <c r="E1513" s="59">
        <v>1E-3</v>
      </c>
    </row>
    <row r="1514" spans="2:5">
      <c r="B1514" s="91"/>
      <c r="C1514" s="57" t="s">
        <v>151</v>
      </c>
      <c r="D1514" s="60">
        <v>265</v>
      </c>
      <c r="E1514" s="59">
        <v>4.0000000000000001E-3</v>
      </c>
    </row>
    <row r="1515" spans="2:5">
      <c r="B1515" s="91"/>
      <c r="C1515" s="57" t="s">
        <v>152</v>
      </c>
      <c r="D1515" s="60">
        <v>29</v>
      </c>
      <c r="E1515" s="59">
        <v>0</v>
      </c>
    </row>
    <row r="1516" spans="2:5">
      <c r="B1516" s="91"/>
      <c r="C1516" s="57" t="s">
        <v>181</v>
      </c>
      <c r="D1516" s="60">
        <v>13</v>
      </c>
      <c r="E1516" s="59">
        <v>0</v>
      </c>
    </row>
    <row r="1517" spans="2:5">
      <c r="B1517" s="91"/>
      <c r="C1517" s="57" t="s">
        <v>182</v>
      </c>
      <c r="D1517" s="60">
        <v>16</v>
      </c>
      <c r="E1517" s="59">
        <v>0</v>
      </c>
    </row>
    <row r="1518" spans="2:5">
      <c r="B1518" s="91"/>
      <c r="C1518" s="57" t="s">
        <v>153</v>
      </c>
      <c r="D1518" s="60">
        <v>9</v>
      </c>
      <c r="E1518" s="59">
        <v>0</v>
      </c>
    </row>
    <row r="1519" spans="2:5">
      <c r="B1519" s="91"/>
      <c r="C1519" s="57" t="s">
        <v>291</v>
      </c>
      <c r="D1519" s="60">
        <v>2</v>
      </c>
      <c r="E1519" s="59">
        <v>0</v>
      </c>
    </row>
    <row r="1520" spans="2:5">
      <c r="B1520" s="91"/>
      <c r="C1520" s="57" t="s">
        <v>183</v>
      </c>
      <c r="D1520" s="60">
        <v>2</v>
      </c>
      <c r="E1520" s="59">
        <v>0</v>
      </c>
    </row>
    <row r="1521" spans="2:5" ht="28.5">
      <c r="B1521" s="91"/>
      <c r="C1521" s="57" t="s">
        <v>154</v>
      </c>
      <c r="D1521" s="60">
        <v>345</v>
      </c>
      <c r="E1521" s="59">
        <v>5.0000000000000001E-3</v>
      </c>
    </row>
    <row r="1522" spans="2:5">
      <c r="B1522" s="91"/>
      <c r="C1522" s="57" t="s">
        <v>155</v>
      </c>
      <c r="D1522" s="60">
        <v>42</v>
      </c>
      <c r="E1522" s="59">
        <v>1E-3</v>
      </c>
    </row>
    <row r="1523" spans="2:5">
      <c r="B1523" s="91"/>
      <c r="C1523" s="57" t="s">
        <v>156</v>
      </c>
      <c r="D1523" s="60">
        <v>1</v>
      </c>
      <c r="E1523" s="59">
        <v>0</v>
      </c>
    </row>
    <row r="1524" spans="2:5">
      <c r="B1524" s="91"/>
      <c r="C1524" s="57" t="s">
        <v>157</v>
      </c>
      <c r="D1524" s="60">
        <v>47</v>
      </c>
      <c r="E1524" s="59">
        <v>1E-3</v>
      </c>
    </row>
    <row r="1525" spans="2:5">
      <c r="B1525" s="91"/>
      <c r="C1525" s="57" t="s">
        <v>158</v>
      </c>
      <c r="D1525" s="60">
        <v>7</v>
      </c>
      <c r="E1525" s="59">
        <v>0</v>
      </c>
    </row>
    <row r="1526" spans="2:5">
      <c r="B1526" s="91"/>
      <c r="C1526" s="57" t="s">
        <v>159</v>
      </c>
      <c r="D1526" s="60">
        <v>96</v>
      </c>
      <c r="E1526" s="59">
        <v>2E-3</v>
      </c>
    </row>
    <row r="1527" spans="2:5">
      <c r="B1527" s="91"/>
      <c r="C1527" s="57" t="s">
        <v>160</v>
      </c>
      <c r="D1527" s="60">
        <v>131</v>
      </c>
      <c r="E1527" s="59">
        <v>2E-3</v>
      </c>
    </row>
    <row r="1528" spans="2:5">
      <c r="B1528" s="91"/>
      <c r="C1528" s="57" t="s">
        <v>161</v>
      </c>
      <c r="D1528" s="60">
        <v>9</v>
      </c>
      <c r="E1528" s="59">
        <v>0</v>
      </c>
    </row>
    <row r="1529" spans="2:5">
      <c r="B1529" s="91"/>
      <c r="C1529" s="57" t="s">
        <v>184</v>
      </c>
      <c r="D1529" s="60">
        <v>1</v>
      </c>
      <c r="E1529" s="59">
        <v>0</v>
      </c>
    </row>
    <row r="1530" spans="2:5">
      <c r="B1530" s="91"/>
      <c r="C1530" s="57" t="s">
        <v>162</v>
      </c>
      <c r="D1530" s="60">
        <v>2</v>
      </c>
      <c r="E1530" s="59">
        <v>0</v>
      </c>
    </row>
    <row r="1531" spans="2:5">
      <c r="B1531" s="91"/>
      <c r="C1531" s="57" t="s">
        <v>185</v>
      </c>
      <c r="D1531" s="60">
        <v>3</v>
      </c>
      <c r="E1531" s="59">
        <v>0</v>
      </c>
    </row>
    <row r="1532" spans="2:5">
      <c r="B1532" s="91"/>
      <c r="C1532" s="57" t="s">
        <v>186</v>
      </c>
      <c r="D1532" s="60">
        <v>3</v>
      </c>
      <c r="E1532" s="59">
        <v>0</v>
      </c>
    </row>
    <row r="1533" spans="2:5">
      <c r="B1533" s="91"/>
      <c r="C1533" s="57" t="s">
        <v>163</v>
      </c>
      <c r="D1533" s="60">
        <v>7</v>
      </c>
      <c r="E1533" s="59">
        <v>0</v>
      </c>
    </row>
    <row r="1534" spans="2:5">
      <c r="B1534" s="91"/>
      <c r="C1534" s="57" t="s">
        <v>164</v>
      </c>
      <c r="D1534" s="60">
        <v>3</v>
      </c>
      <c r="E1534" s="59">
        <v>0</v>
      </c>
    </row>
    <row r="1535" spans="2:5">
      <c r="B1535" s="91"/>
      <c r="C1535" s="57" t="s">
        <v>165</v>
      </c>
      <c r="D1535" s="60">
        <v>77</v>
      </c>
      <c r="E1535" s="59">
        <v>1E-3</v>
      </c>
    </row>
    <row r="1536" spans="2:5">
      <c r="B1536" s="91"/>
      <c r="C1536" s="57" t="s">
        <v>166</v>
      </c>
      <c r="D1536" s="60">
        <v>15</v>
      </c>
      <c r="E1536" s="59">
        <v>0</v>
      </c>
    </row>
    <row r="1537" spans="2:5">
      <c r="B1537" s="91"/>
      <c r="C1537" s="57" t="s">
        <v>167</v>
      </c>
      <c r="D1537" s="60">
        <v>49</v>
      </c>
      <c r="E1537" s="59">
        <v>1E-3</v>
      </c>
    </row>
    <row r="1538" spans="2:5">
      <c r="B1538" s="91"/>
      <c r="C1538" s="57" t="s">
        <v>168</v>
      </c>
      <c r="D1538" s="60">
        <v>130</v>
      </c>
      <c r="E1538" s="59">
        <v>2E-3</v>
      </c>
    </row>
    <row r="1539" spans="2:5">
      <c r="B1539" s="91"/>
      <c r="C1539" s="57" t="s">
        <v>169</v>
      </c>
      <c r="D1539" s="60">
        <v>10</v>
      </c>
      <c r="E1539" s="59">
        <v>0</v>
      </c>
    </row>
    <row r="1540" spans="2:5">
      <c r="B1540" s="91"/>
      <c r="C1540" s="57" t="s">
        <v>170</v>
      </c>
      <c r="D1540" s="60">
        <v>20</v>
      </c>
      <c r="E1540" s="59">
        <v>0</v>
      </c>
    </row>
    <row r="1541" spans="2:5">
      <c r="B1541" s="91"/>
      <c r="C1541" s="57" t="s">
        <v>171</v>
      </c>
      <c r="D1541" s="60">
        <v>116</v>
      </c>
      <c r="E1541" s="59">
        <v>2E-3</v>
      </c>
    </row>
    <row r="1542" spans="2:5">
      <c r="B1542" s="91"/>
      <c r="C1542" s="57" t="s">
        <v>172</v>
      </c>
      <c r="D1542" s="60">
        <v>175</v>
      </c>
      <c r="E1542" s="59">
        <v>3.0000000000000001E-3</v>
      </c>
    </row>
    <row r="1543" spans="2:5">
      <c r="B1543" s="91"/>
      <c r="C1543" s="57" t="s">
        <v>187</v>
      </c>
      <c r="D1543" s="60">
        <v>39</v>
      </c>
      <c r="E1543" s="59">
        <v>1E-3</v>
      </c>
    </row>
    <row r="1544" spans="2:5">
      <c r="B1544" s="91"/>
      <c r="C1544" s="57" t="s">
        <v>188</v>
      </c>
      <c r="D1544" s="60">
        <v>2</v>
      </c>
      <c r="E1544" s="59">
        <v>0</v>
      </c>
    </row>
    <row r="1545" spans="2:5">
      <c r="B1545" s="91"/>
      <c r="C1545" s="57" t="s">
        <v>173</v>
      </c>
      <c r="D1545" s="60">
        <v>16</v>
      </c>
      <c r="E1545" s="59">
        <v>0</v>
      </c>
    </row>
    <row r="1546" spans="2:5">
      <c r="B1546" s="91"/>
      <c r="C1546" s="57" t="s">
        <v>174</v>
      </c>
      <c r="D1546" s="60">
        <v>2</v>
      </c>
      <c r="E1546" s="59">
        <v>0</v>
      </c>
    </row>
    <row r="1547" spans="2:5">
      <c r="B1547" s="91"/>
      <c r="C1547" s="57" t="s">
        <v>189</v>
      </c>
      <c r="D1547" s="60">
        <v>6</v>
      </c>
      <c r="E1547" s="59">
        <v>0</v>
      </c>
    </row>
    <row r="1548" spans="2:5">
      <c r="B1548" s="91"/>
      <c r="C1548" s="57" t="s">
        <v>190</v>
      </c>
      <c r="D1548" s="60">
        <v>4</v>
      </c>
      <c r="E1548" s="59">
        <v>0</v>
      </c>
    </row>
    <row r="1549" spans="2:5">
      <c r="B1549" s="91"/>
      <c r="C1549" s="57" t="s">
        <v>175</v>
      </c>
      <c r="D1549" s="60">
        <v>2</v>
      </c>
      <c r="E1549" s="59">
        <v>0</v>
      </c>
    </row>
    <row r="1550" spans="2:5">
      <c r="B1550" s="91"/>
      <c r="C1550" s="57" t="s">
        <v>176</v>
      </c>
      <c r="D1550" s="60">
        <v>35</v>
      </c>
      <c r="E1550" s="59">
        <v>1E-3</v>
      </c>
    </row>
    <row r="1551" spans="2:5">
      <c r="B1551" s="91"/>
      <c r="C1551" s="57" t="s">
        <v>177</v>
      </c>
      <c r="D1551" s="60">
        <v>7</v>
      </c>
      <c r="E1551" s="59">
        <v>0</v>
      </c>
    </row>
    <row r="1552" spans="2:5">
      <c r="B1552" s="91"/>
      <c r="C1552" s="57" t="s">
        <v>191</v>
      </c>
      <c r="D1552" s="60">
        <v>8</v>
      </c>
      <c r="E1552" s="59">
        <v>0</v>
      </c>
    </row>
    <row r="1553" spans="2:5">
      <c r="B1553" s="91"/>
      <c r="C1553" s="57" t="s">
        <v>178</v>
      </c>
      <c r="D1553" s="60">
        <v>4</v>
      </c>
      <c r="E1553" s="59">
        <v>0</v>
      </c>
    </row>
    <row r="1554" spans="2:5">
      <c r="B1554" s="91"/>
      <c r="C1554" s="57" t="s">
        <v>179</v>
      </c>
      <c r="D1554" s="60">
        <v>6</v>
      </c>
      <c r="E1554" s="59">
        <v>0</v>
      </c>
    </row>
    <row r="1555" spans="2:5">
      <c r="B1555" s="92"/>
      <c r="C1555" s="71" t="s">
        <v>302</v>
      </c>
      <c r="D1555" s="73">
        <v>1924</v>
      </c>
      <c r="E1555" s="72">
        <v>0.03</v>
      </c>
    </row>
    <row r="1556" spans="2:5">
      <c r="B1556" s="90" t="s">
        <v>62</v>
      </c>
      <c r="C1556" s="57" t="s">
        <v>147</v>
      </c>
      <c r="D1556" s="60">
        <v>45</v>
      </c>
      <c r="E1556" s="59">
        <v>1E-3</v>
      </c>
    </row>
    <row r="1557" spans="2:5">
      <c r="B1557" s="91"/>
      <c r="C1557" s="57" t="s">
        <v>148</v>
      </c>
      <c r="D1557" s="60">
        <v>35</v>
      </c>
      <c r="E1557" s="59">
        <v>1E-3</v>
      </c>
    </row>
    <row r="1558" spans="2:5">
      <c r="B1558" s="91"/>
      <c r="C1558" s="57" t="s">
        <v>149</v>
      </c>
      <c r="D1558" s="60">
        <v>6</v>
      </c>
      <c r="E1558" s="59">
        <v>0</v>
      </c>
    </row>
    <row r="1559" spans="2:5">
      <c r="B1559" s="91"/>
      <c r="C1559" s="57" t="s">
        <v>150</v>
      </c>
      <c r="D1559" s="60">
        <v>3</v>
      </c>
      <c r="E1559" s="59">
        <v>0</v>
      </c>
    </row>
    <row r="1560" spans="2:5">
      <c r="B1560" s="91"/>
      <c r="C1560" s="57" t="s">
        <v>151</v>
      </c>
      <c r="D1560" s="60">
        <v>35</v>
      </c>
      <c r="E1560" s="59">
        <v>1E-3</v>
      </c>
    </row>
    <row r="1561" spans="2:5">
      <c r="B1561" s="91"/>
      <c r="C1561" s="57" t="s">
        <v>152</v>
      </c>
      <c r="D1561" s="60">
        <v>6</v>
      </c>
      <c r="E1561" s="59">
        <v>0</v>
      </c>
    </row>
    <row r="1562" spans="2:5">
      <c r="B1562" s="91"/>
      <c r="C1562" s="57" t="s">
        <v>181</v>
      </c>
      <c r="D1562" s="60">
        <v>1</v>
      </c>
      <c r="E1562" s="59">
        <v>0</v>
      </c>
    </row>
    <row r="1563" spans="2:5">
      <c r="B1563" s="91"/>
      <c r="C1563" s="57" t="s">
        <v>182</v>
      </c>
      <c r="D1563" s="60">
        <v>2</v>
      </c>
      <c r="E1563" s="59">
        <v>0</v>
      </c>
    </row>
    <row r="1564" spans="2:5">
      <c r="B1564" s="91"/>
      <c r="C1564" s="57" t="s">
        <v>153</v>
      </c>
      <c r="D1564" s="60">
        <v>16</v>
      </c>
      <c r="E1564" s="59">
        <v>0</v>
      </c>
    </row>
    <row r="1565" spans="2:5">
      <c r="B1565" s="91"/>
      <c r="C1565" s="57" t="s">
        <v>291</v>
      </c>
      <c r="D1565" s="60">
        <v>5</v>
      </c>
      <c r="E1565" s="59">
        <v>0</v>
      </c>
    </row>
    <row r="1566" spans="2:5">
      <c r="B1566" s="91"/>
      <c r="C1566" s="57" t="s">
        <v>183</v>
      </c>
      <c r="D1566" s="60">
        <v>4</v>
      </c>
      <c r="E1566" s="59">
        <v>0</v>
      </c>
    </row>
    <row r="1567" spans="2:5" ht="28.5">
      <c r="B1567" s="91"/>
      <c r="C1567" s="57" t="s">
        <v>154</v>
      </c>
      <c r="D1567" s="60">
        <v>3</v>
      </c>
      <c r="E1567" s="59">
        <v>0</v>
      </c>
    </row>
    <row r="1568" spans="2:5">
      <c r="B1568" s="91"/>
      <c r="C1568" s="57" t="s">
        <v>155</v>
      </c>
      <c r="D1568" s="60">
        <v>23</v>
      </c>
      <c r="E1568" s="59">
        <v>0</v>
      </c>
    </row>
    <row r="1569" spans="2:5">
      <c r="B1569" s="91"/>
      <c r="C1569" s="57" t="s">
        <v>156</v>
      </c>
      <c r="D1569" s="60">
        <v>22</v>
      </c>
      <c r="E1569" s="59">
        <v>0</v>
      </c>
    </row>
    <row r="1570" spans="2:5">
      <c r="B1570" s="91"/>
      <c r="C1570" s="57" t="s">
        <v>157</v>
      </c>
      <c r="D1570" s="60">
        <v>236</v>
      </c>
      <c r="E1570" s="59">
        <v>4.0000000000000001E-3</v>
      </c>
    </row>
    <row r="1571" spans="2:5">
      <c r="B1571" s="91"/>
      <c r="C1571" s="57" t="s">
        <v>158</v>
      </c>
      <c r="D1571" s="60">
        <v>5</v>
      </c>
      <c r="E1571" s="59">
        <v>0</v>
      </c>
    </row>
    <row r="1572" spans="2:5">
      <c r="B1572" s="91"/>
      <c r="C1572" s="57" t="s">
        <v>159</v>
      </c>
      <c r="D1572" s="60">
        <v>8</v>
      </c>
      <c r="E1572" s="59">
        <v>0</v>
      </c>
    </row>
    <row r="1573" spans="2:5">
      <c r="B1573" s="91"/>
      <c r="C1573" s="57" t="s">
        <v>160</v>
      </c>
      <c r="D1573" s="60">
        <v>188</v>
      </c>
      <c r="E1573" s="59">
        <v>3.0000000000000001E-3</v>
      </c>
    </row>
    <row r="1574" spans="2:5">
      <c r="B1574" s="91"/>
      <c r="C1574" s="57" t="s">
        <v>161</v>
      </c>
      <c r="D1574" s="60">
        <v>16</v>
      </c>
      <c r="E1574" s="59">
        <v>0</v>
      </c>
    </row>
    <row r="1575" spans="2:5">
      <c r="B1575" s="91"/>
      <c r="C1575" s="57" t="s">
        <v>184</v>
      </c>
      <c r="D1575" s="60">
        <v>4</v>
      </c>
      <c r="E1575" s="59">
        <v>0</v>
      </c>
    </row>
    <row r="1576" spans="2:5">
      <c r="B1576" s="91"/>
      <c r="C1576" s="57" t="s">
        <v>162</v>
      </c>
      <c r="D1576" s="60">
        <v>2</v>
      </c>
      <c r="E1576" s="59">
        <v>0</v>
      </c>
    </row>
    <row r="1577" spans="2:5">
      <c r="B1577" s="91"/>
      <c r="C1577" s="57" t="s">
        <v>185</v>
      </c>
      <c r="D1577" s="60">
        <v>8</v>
      </c>
      <c r="E1577" s="59">
        <v>0</v>
      </c>
    </row>
    <row r="1578" spans="2:5">
      <c r="B1578" s="91"/>
      <c r="C1578" s="57" t="s">
        <v>186</v>
      </c>
      <c r="D1578" s="60">
        <v>16</v>
      </c>
      <c r="E1578" s="59">
        <v>0</v>
      </c>
    </row>
    <row r="1579" spans="2:5">
      <c r="B1579" s="91"/>
      <c r="C1579" s="57" t="s">
        <v>163</v>
      </c>
      <c r="D1579" s="60">
        <v>188</v>
      </c>
      <c r="E1579" s="59">
        <v>3.0000000000000001E-3</v>
      </c>
    </row>
    <row r="1580" spans="2:5">
      <c r="B1580" s="91"/>
      <c r="C1580" s="57" t="s">
        <v>164</v>
      </c>
      <c r="D1580" s="60">
        <v>40</v>
      </c>
      <c r="E1580" s="59">
        <v>1E-3</v>
      </c>
    </row>
    <row r="1581" spans="2:5">
      <c r="B1581" s="91"/>
      <c r="C1581" s="57" t="s">
        <v>165</v>
      </c>
      <c r="D1581" s="60">
        <v>37</v>
      </c>
      <c r="E1581" s="59">
        <v>1E-3</v>
      </c>
    </row>
    <row r="1582" spans="2:5">
      <c r="B1582" s="91"/>
      <c r="C1582" s="57" t="s">
        <v>166</v>
      </c>
      <c r="D1582" s="60">
        <v>14</v>
      </c>
      <c r="E1582" s="59">
        <v>0</v>
      </c>
    </row>
    <row r="1583" spans="2:5">
      <c r="B1583" s="91"/>
      <c r="C1583" s="57" t="s">
        <v>168</v>
      </c>
      <c r="D1583" s="60">
        <v>6</v>
      </c>
      <c r="E1583" s="59">
        <v>0</v>
      </c>
    </row>
    <row r="1584" spans="2:5">
      <c r="B1584" s="91"/>
      <c r="C1584" s="57" t="s">
        <v>169</v>
      </c>
      <c r="D1584" s="60">
        <v>58</v>
      </c>
      <c r="E1584" s="59">
        <v>1E-3</v>
      </c>
    </row>
    <row r="1585" spans="2:5">
      <c r="B1585" s="91"/>
      <c r="C1585" s="57" t="s">
        <v>170</v>
      </c>
      <c r="D1585" s="60">
        <v>8</v>
      </c>
      <c r="E1585" s="59">
        <v>0</v>
      </c>
    </row>
    <row r="1586" spans="2:5">
      <c r="B1586" s="91"/>
      <c r="C1586" s="57" t="s">
        <v>171</v>
      </c>
      <c r="D1586" s="60">
        <v>6</v>
      </c>
      <c r="E1586" s="59">
        <v>0</v>
      </c>
    </row>
    <row r="1587" spans="2:5">
      <c r="B1587" s="91"/>
      <c r="C1587" s="57" t="s">
        <v>172</v>
      </c>
      <c r="D1587" s="60">
        <v>2</v>
      </c>
      <c r="E1587" s="59">
        <v>0</v>
      </c>
    </row>
    <row r="1588" spans="2:5">
      <c r="B1588" s="91"/>
      <c r="C1588" s="57" t="s">
        <v>192</v>
      </c>
      <c r="D1588" s="60">
        <v>1</v>
      </c>
      <c r="E1588" s="59">
        <v>0</v>
      </c>
    </row>
    <row r="1589" spans="2:5">
      <c r="B1589" s="91"/>
      <c r="C1589" s="57" t="s">
        <v>187</v>
      </c>
      <c r="D1589" s="60">
        <v>3</v>
      </c>
      <c r="E1589" s="59">
        <v>0</v>
      </c>
    </row>
    <row r="1590" spans="2:5">
      <c r="B1590" s="91"/>
      <c r="C1590" s="57" t="s">
        <v>188</v>
      </c>
      <c r="D1590" s="60">
        <v>2</v>
      </c>
      <c r="E1590" s="59">
        <v>0</v>
      </c>
    </row>
    <row r="1591" spans="2:5">
      <c r="B1591" s="91"/>
      <c r="C1591" s="57" t="s">
        <v>173</v>
      </c>
      <c r="D1591" s="60">
        <v>41</v>
      </c>
      <c r="E1591" s="59">
        <v>1E-3</v>
      </c>
    </row>
    <row r="1592" spans="2:5">
      <c r="B1592" s="91"/>
      <c r="C1592" s="57" t="s">
        <v>174</v>
      </c>
      <c r="D1592" s="60">
        <v>1</v>
      </c>
      <c r="E1592" s="59">
        <v>0</v>
      </c>
    </row>
    <row r="1593" spans="2:5">
      <c r="B1593" s="91"/>
      <c r="C1593" s="57" t="s">
        <v>189</v>
      </c>
      <c r="D1593" s="60">
        <v>11</v>
      </c>
      <c r="E1593" s="59">
        <v>0</v>
      </c>
    </row>
    <row r="1594" spans="2:5">
      <c r="B1594" s="91"/>
      <c r="C1594" s="57" t="s">
        <v>175</v>
      </c>
      <c r="D1594" s="60">
        <v>11</v>
      </c>
      <c r="E1594" s="59">
        <v>0</v>
      </c>
    </row>
    <row r="1595" spans="2:5">
      <c r="B1595" s="91"/>
      <c r="C1595" s="57" t="s">
        <v>176</v>
      </c>
      <c r="D1595" s="60">
        <v>51</v>
      </c>
      <c r="E1595" s="59">
        <v>1E-3</v>
      </c>
    </row>
    <row r="1596" spans="2:5">
      <c r="B1596" s="91"/>
      <c r="C1596" s="57" t="s">
        <v>191</v>
      </c>
      <c r="D1596" s="60">
        <v>3</v>
      </c>
      <c r="E1596" s="59">
        <v>0</v>
      </c>
    </row>
    <row r="1597" spans="2:5">
      <c r="B1597" s="91"/>
      <c r="C1597" s="57" t="s">
        <v>178</v>
      </c>
      <c r="D1597" s="60">
        <v>3</v>
      </c>
      <c r="E1597" s="59">
        <v>0</v>
      </c>
    </row>
    <row r="1598" spans="2:5">
      <c r="B1598" s="91"/>
      <c r="C1598" s="57" t="s">
        <v>179</v>
      </c>
      <c r="D1598" s="60">
        <v>18</v>
      </c>
      <c r="E1598" s="59">
        <v>0</v>
      </c>
    </row>
    <row r="1599" spans="2:5">
      <c r="B1599" s="92"/>
      <c r="C1599" s="71" t="s">
        <v>302</v>
      </c>
      <c r="D1599" s="73">
        <v>1193</v>
      </c>
      <c r="E1599" s="72">
        <v>1.9E-2</v>
      </c>
    </row>
    <row r="1600" spans="2:5">
      <c r="B1600" s="90" t="s">
        <v>76</v>
      </c>
      <c r="C1600" s="57" t="s">
        <v>147</v>
      </c>
      <c r="D1600" s="60">
        <v>1</v>
      </c>
      <c r="E1600" s="59">
        <v>0</v>
      </c>
    </row>
    <row r="1601" spans="2:5">
      <c r="B1601" s="91"/>
      <c r="C1601" s="57" t="s">
        <v>148</v>
      </c>
      <c r="D1601" s="60">
        <v>10</v>
      </c>
      <c r="E1601" s="59">
        <v>0</v>
      </c>
    </row>
    <row r="1602" spans="2:5">
      <c r="B1602" s="91"/>
      <c r="C1602" s="57" t="s">
        <v>149</v>
      </c>
      <c r="D1602" s="60">
        <v>2</v>
      </c>
      <c r="E1602" s="59">
        <v>0</v>
      </c>
    </row>
    <row r="1603" spans="2:5">
      <c r="B1603" s="91"/>
      <c r="C1603" s="57" t="s">
        <v>150</v>
      </c>
      <c r="D1603" s="60">
        <v>1</v>
      </c>
      <c r="E1603" s="59">
        <v>0</v>
      </c>
    </row>
    <row r="1604" spans="2:5">
      <c r="B1604" s="91"/>
      <c r="C1604" s="57" t="s">
        <v>180</v>
      </c>
      <c r="D1604" s="60">
        <v>3</v>
      </c>
      <c r="E1604" s="59">
        <v>0</v>
      </c>
    </row>
    <row r="1605" spans="2:5">
      <c r="B1605" s="91"/>
      <c r="C1605" s="57" t="s">
        <v>151</v>
      </c>
      <c r="D1605" s="60">
        <v>10</v>
      </c>
      <c r="E1605" s="59">
        <v>0</v>
      </c>
    </row>
    <row r="1606" spans="2:5">
      <c r="B1606" s="91"/>
      <c r="C1606" s="57" t="s">
        <v>152</v>
      </c>
      <c r="D1606" s="60">
        <v>7</v>
      </c>
      <c r="E1606" s="59">
        <v>0</v>
      </c>
    </row>
    <row r="1607" spans="2:5">
      <c r="B1607" s="91"/>
      <c r="C1607" s="57" t="s">
        <v>182</v>
      </c>
      <c r="D1607" s="60">
        <v>3</v>
      </c>
      <c r="E1607" s="59">
        <v>0</v>
      </c>
    </row>
    <row r="1608" spans="2:5">
      <c r="B1608" s="91"/>
      <c r="C1608" s="57" t="s">
        <v>153</v>
      </c>
      <c r="D1608" s="60">
        <v>5</v>
      </c>
      <c r="E1608" s="59">
        <v>0</v>
      </c>
    </row>
    <row r="1609" spans="2:5" ht="28.5">
      <c r="B1609" s="91"/>
      <c r="C1609" s="57" t="s">
        <v>154</v>
      </c>
      <c r="D1609" s="60">
        <v>4</v>
      </c>
      <c r="E1609" s="59">
        <v>0</v>
      </c>
    </row>
    <row r="1610" spans="2:5">
      <c r="B1610" s="91"/>
      <c r="C1610" s="57" t="s">
        <v>155</v>
      </c>
      <c r="D1610" s="60">
        <v>23</v>
      </c>
      <c r="E1610" s="59">
        <v>0</v>
      </c>
    </row>
    <row r="1611" spans="2:5">
      <c r="B1611" s="91"/>
      <c r="C1611" s="57" t="s">
        <v>156</v>
      </c>
      <c r="D1611" s="60">
        <v>6</v>
      </c>
      <c r="E1611" s="59">
        <v>0</v>
      </c>
    </row>
    <row r="1612" spans="2:5">
      <c r="B1612" s="91"/>
      <c r="C1612" s="57" t="s">
        <v>157</v>
      </c>
      <c r="D1612" s="60">
        <v>53</v>
      </c>
      <c r="E1612" s="59">
        <v>1E-3</v>
      </c>
    </row>
    <row r="1613" spans="2:5">
      <c r="B1613" s="91"/>
      <c r="C1613" s="57" t="s">
        <v>158</v>
      </c>
      <c r="D1613" s="60">
        <v>1</v>
      </c>
      <c r="E1613" s="59">
        <v>0</v>
      </c>
    </row>
    <row r="1614" spans="2:5">
      <c r="B1614" s="91"/>
      <c r="C1614" s="57" t="s">
        <v>159</v>
      </c>
      <c r="D1614" s="60">
        <v>8</v>
      </c>
      <c r="E1614" s="59">
        <v>0</v>
      </c>
    </row>
    <row r="1615" spans="2:5">
      <c r="B1615" s="91"/>
      <c r="C1615" s="57" t="s">
        <v>160</v>
      </c>
      <c r="D1615" s="60">
        <v>106</v>
      </c>
      <c r="E1615" s="59">
        <v>2E-3</v>
      </c>
    </row>
    <row r="1616" spans="2:5">
      <c r="B1616" s="91"/>
      <c r="C1616" s="57" t="s">
        <v>161</v>
      </c>
      <c r="D1616" s="60">
        <v>1</v>
      </c>
      <c r="E1616" s="59">
        <v>0</v>
      </c>
    </row>
    <row r="1617" spans="2:5">
      <c r="B1617" s="91"/>
      <c r="C1617" s="57" t="s">
        <v>185</v>
      </c>
      <c r="D1617" s="60">
        <v>3</v>
      </c>
      <c r="E1617" s="59">
        <v>0</v>
      </c>
    </row>
    <row r="1618" spans="2:5">
      <c r="B1618" s="91"/>
      <c r="C1618" s="57" t="s">
        <v>186</v>
      </c>
      <c r="D1618" s="60">
        <v>1</v>
      </c>
      <c r="E1618" s="59">
        <v>0</v>
      </c>
    </row>
    <row r="1619" spans="2:5">
      <c r="B1619" s="91"/>
      <c r="C1619" s="57" t="s">
        <v>163</v>
      </c>
      <c r="D1619" s="60">
        <v>25</v>
      </c>
      <c r="E1619" s="59">
        <v>0</v>
      </c>
    </row>
    <row r="1620" spans="2:5">
      <c r="B1620" s="91"/>
      <c r="C1620" s="57" t="s">
        <v>164</v>
      </c>
      <c r="D1620" s="60">
        <v>9</v>
      </c>
      <c r="E1620" s="59">
        <v>0</v>
      </c>
    </row>
    <row r="1621" spans="2:5">
      <c r="B1621" s="91"/>
      <c r="C1621" s="57" t="s">
        <v>165</v>
      </c>
      <c r="D1621" s="60">
        <v>36</v>
      </c>
      <c r="E1621" s="59">
        <v>1E-3</v>
      </c>
    </row>
    <row r="1622" spans="2:5">
      <c r="B1622" s="91"/>
      <c r="C1622" s="57" t="s">
        <v>166</v>
      </c>
      <c r="D1622" s="60">
        <v>5</v>
      </c>
      <c r="E1622" s="59">
        <v>0</v>
      </c>
    </row>
    <row r="1623" spans="2:5">
      <c r="B1623" s="91"/>
      <c r="C1623" s="57" t="s">
        <v>168</v>
      </c>
      <c r="D1623" s="60">
        <v>2</v>
      </c>
      <c r="E1623" s="59">
        <v>0</v>
      </c>
    </row>
    <row r="1624" spans="2:5">
      <c r="B1624" s="91"/>
      <c r="C1624" s="57" t="s">
        <v>169</v>
      </c>
      <c r="D1624" s="60">
        <v>40</v>
      </c>
      <c r="E1624" s="59">
        <v>1E-3</v>
      </c>
    </row>
    <row r="1625" spans="2:5">
      <c r="B1625" s="91"/>
      <c r="C1625" s="57" t="s">
        <v>170</v>
      </c>
      <c r="D1625" s="60">
        <v>2</v>
      </c>
      <c r="E1625" s="59">
        <v>0</v>
      </c>
    </row>
    <row r="1626" spans="2:5">
      <c r="B1626" s="91"/>
      <c r="C1626" s="57" t="s">
        <v>171</v>
      </c>
      <c r="D1626" s="60">
        <v>5</v>
      </c>
      <c r="E1626" s="59">
        <v>0</v>
      </c>
    </row>
    <row r="1627" spans="2:5">
      <c r="B1627" s="91"/>
      <c r="C1627" s="57" t="s">
        <v>172</v>
      </c>
      <c r="D1627" s="60">
        <v>2</v>
      </c>
      <c r="E1627" s="59">
        <v>0</v>
      </c>
    </row>
    <row r="1628" spans="2:5">
      <c r="B1628" s="91"/>
      <c r="C1628" s="57" t="s">
        <v>192</v>
      </c>
      <c r="D1628" s="60">
        <v>1</v>
      </c>
      <c r="E1628" s="59">
        <v>0</v>
      </c>
    </row>
    <row r="1629" spans="2:5">
      <c r="B1629" s="91"/>
      <c r="C1629" s="57" t="s">
        <v>188</v>
      </c>
      <c r="D1629" s="60">
        <v>1</v>
      </c>
      <c r="E1629" s="59">
        <v>0</v>
      </c>
    </row>
    <row r="1630" spans="2:5">
      <c r="B1630" s="91"/>
      <c r="C1630" s="57" t="s">
        <v>173</v>
      </c>
      <c r="D1630" s="60">
        <v>27</v>
      </c>
      <c r="E1630" s="59">
        <v>0</v>
      </c>
    </row>
    <row r="1631" spans="2:5">
      <c r="B1631" s="91"/>
      <c r="C1631" s="57" t="s">
        <v>174</v>
      </c>
      <c r="D1631" s="60">
        <v>1</v>
      </c>
      <c r="E1631" s="59">
        <v>0</v>
      </c>
    </row>
    <row r="1632" spans="2:5">
      <c r="B1632" s="91"/>
      <c r="C1632" s="57" t="s">
        <v>190</v>
      </c>
      <c r="D1632" s="60">
        <v>1</v>
      </c>
      <c r="E1632" s="59">
        <v>0</v>
      </c>
    </row>
    <row r="1633" spans="2:5">
      <c r="B1633" s="91"/>
      <c r="C1633" s="57" t="s">
        <v>175</v>
      </c>
      <c r="D1633" s="60">
        <v>1</v>
      </c>
      <c r="E1633" s="59">
        <v>0</v>
      </c>
    </row>
    <row r="1634" spans="2:5">
      <c r="B1634" s="91"/>
      <c r="C1634" s="57" t="s">
        <v>176</v>
      </c>
      <c r="D1634" s="60">
        <v>15</v>
      </c>
      <c r="E1634" s="59">
        <v>0</v>
      </c>
    </row>
    <row r="1635" spans="2:5">
      <c r="B1635" s="91"/>
      <c r="C1635" s="57" t="s">
        <v>177</v>
      </c>
      <c r="D1635" s="60">
        <v>2</v>
      </c>
      <c r="E1635" s="59">
        <v>0</v>
      </c>
    </row>
    <row r="1636" spans="2:5">
      <c r="B1636" s="91"/>
      <c r="C1636" s="57" t="s">
        <v>191</v>
      </c>
      <c r="D1636" s="60">
        <v>3</v>
      </c>
      <c r="E1636" s="59">
        <v>0</v>
      </c>
    </row>
    <row r="1637" spans="2:5">
      <c r="B1637" s="91"/>
      <c r="C1637" s="57" t="s">
        <v>178</v>
      </c>
      <c r="D1637" s="60">
        <v>4</v>
      </c>
      <c r="E1637" s="59">
        <v>0</v>
      </c>
    </row>
    <row r="1638" spans="2:5">
      <c r="B1638" s="91"/>
      <c r="C1638" s="57" t="s">
        <v>179</v>
      </c>
      <c r="D1638" s="60">
        <v>18</v>
      </c>
      <c r="E1638" s="59">
        <v>0</v>
      </c>
    </row>
    <row r="1639" spans="2:5">
      <c r="B1639" s="92"/>
      <c r="C1639" s="71" t="s">
        <v>302</v>
      </c>
      <c r="D1639" s="73">
        <v>448</v>
      </c>
      <c r="E1639" s="72">
        <v>7.0000000000000001E-3</v>
      </c>
    </row>
    <row r="1640" spans="2:5">
      <c r="B1640" s="90" t="s">
        <v>71</v>
      </c>
      <c r="C1640" s="57" t="s">
        <v>147</v>
      </c>
      <c r="D1640" s="60">
        <v>5</v>
      </c>
      <c r="E1640" s="59">
        <v>0</v>
      </c>
    </row>
    <row r="1641" spans="2:5">
      <c r="B1641" s="91"/>
      <c r="C1641" s="57" t="s">
        <v>148</v>
      </c>
      <c r="D1641" s="60">
        <v>59</v>
      </c>
      <c r="E1641" s="59">
        <v>1E-3</v>
      </c>
    </row>
    <row r="1642" spans="2:5">
      <c r="B1642" s="91"/>
      <c r="C1642" s="57" t="s">
        <v>151</v>
      </c>
      <c r="D1642" s="60">
        <v>28</v>
      </c>
      <c r="E1642" s="59">
        <v>0</v>
      </c>
    </row>
    <row r="1643" spans="2:5">
      <c r="B1643" s="91"/>
      <c r="C1643" s="57" t="s">
        <v>152</v>
      </c>
      <c r="D1643" s="60">
        <v>3</v>
      </c>
      <c r="E1643" s="59">
        <v>0</v>
      </c>
    </row>
    <row r="1644" spans="2:5">
      <c r="B1644" s="91"/>
      <c r="C1644" s="57" t="s">
        <v>181</v>
      </c>
      <c r="D1644" s="60">
        <v>6</v>
      </c>
      <c r="E1644" s="59">
        <v>0</v>
      </c>
    </row>
    <row r="1645" spans="2:5">
      <c r="B1645" s="91"/>
      <c r="C1645" s="57" t="s">
        <v>182</v>
      </c>
      <c r="D1645" s="60">
        <v>14</v>
      </c>
      <c r="E1645" s="59">
        <v>0</v>
      </c>
    </row>
    <row r="1646" spans="2:5">
      <c r="B1646" s="91"/>
      <c r="C1646" s="57" t="s">
        <v>153</v>
      </c>
      <c r="D1646" s="60">
        <v>16</v>
      </c>
      <c r="E1646" s="59">
        <v>0</v>
      </c>
    </row>
    <row r="1647" spans="2:5">
      <c r="B1647" s="91"/>
      <c r="C1647" s="57" t="s">
        <v>291</v>
      </c>
      <c r="D1647" s="60">
        <v>32</v>
      </c>
      <c r="E1647" s="59">
        <v>1E-3</v>
      </c>
    </row>
    <row r="1648" spans="2:5">
      <c r="B1648" s="91"/>
      <c r="C1648" s="57" t="s">
        <v>183</v>
      </c>
      <c r="D1648" s="60">
        <v>2</v>
      </c>
      <c r="E1648" s="59">
        <v>0</v>
      </c>
    </row>
    <row r="1649" spans="2:5" ht="28.5">
      <c r="B1649" s="91"/>
      <c r="C1649" s="57" t="s">
        <v>154</v>
      </c>
      <c r="D1649" s="60">
        <v>2</v>
      </c>
      <c r="E1649" s="59">
        <v>0</v>
      </c>
    </row>
    <row r="1650" spans="2:5">
      <c r="B1650" s="91"/>
      <c r="C1650" s="57" t="s">
        <v>155</v>
      </c>
      <c r="D1650" s="60">
        <v>36</v>
      </c>
      <c r="E1650" s="59">
        <v>1E-3</v>
      </c>
    </row>
    <row r="1651" spans="2:5">
      <c r="B1651" s="91"/>
      <c r="C1651" s="57" t="s">
        <v>156</v>
      </c>
      <c r="D1651" s="60">
        <v>2</v>
      </c>
      <c r="E1651" s="59">
        <v>0</v>
      </c>
    </row>
    <row r="1652" spans="2:5">
      <c r="B1652" s="91"/>
      <c r="C1652" s="57" t="s">
        <v>157</v>
      </c>
      <c r="D1652" s="60">
        <v>65</v>
      </c>
      <c r="E1652" s="59">
        <v>1E-3</v>
      </c>
    </row>
    <row r="1653" spans="2:5">
      <c r="B1653" s="91"/>
      <c r="C1653" s="57" t="s">
        <v>158</v>
      </c>
      <c r="D1653" s="60">
        <v>4</v>
      </c>
      <c r="E1653" s="59">
        <v>0</v>
      </c>
    </row>
    <row r="1654" spans="2:5">
      <c r="B1654" s="91"/>
      <c r="C1654" s="57" t="s">
        <v>159</v>
      </c>
      <c r="D1654" s="60">
        <v>7</v>
      </c>
      <c r="E1654" s="59">
        <v>0</v>
      </c>
    </row>
    <row r="1655" spans="2:5">
      <c r="B1655" s="91"/>
      <c r="C1655" s="57" t="s">
        <v>160</v>
      </c>
      <c r="D1655" s="60">
        <v>120</v>
      </c>
      <c r="E1655" s="59">
        <v>2E-3</v>
      </c>
    </row>
    <row r="1656" spans="2:5">
      <c r="B1656" s="91"/>
      <c r="C1656" s="57" t="s">
        <v>161</v>
      </c>
      <c r="D1656" s="60">
        <v>7</v>
      </c>
      <c r="E1656" s="59">
        <v>0</v>
      </c>
    </row>
    <row r="1657" spans="2:5">
      <c r="B1657" s="91"/>
      <c r="C1657" s="57" t="s">
        <v>184</v>
      </c>
      <c r="D1657" s="60">
        <v>3</v>
      </c>
      <c r="E1657" s="59">
        <v>0</v>
      </c>
    </row>
    <row r="1658" spans="2:5">
      <c r="B1658" s="91"/>
      <c r="C1658" s="57" t="s">
        <v>162</v>
      </c>
      <c r="D1658" s="60">
        <v>1</v>
      </c>
      <c r="E1658" s="59">
        <v>0</v>
      </c>
    </row>
    <row r="1659" spans="2:5">
      <c r="B1659" s="91"/>
      <c r="C1659" s="57" t="s">
        <v>185</v>
      </c>
      <c r="D1659" s="60">
        <v>3</v>
      </c>
      <c r="E1659" s="59">
        <v>0</v>
      </c>
    </row>
    <row r="1660" spans="2:5">
      <c r="B1660" s="91"/>
      <c r="C1660" s="57" t="s">
        <v>186</v>
      </c>
      <c r="D1660" s="60">
        <v>3</v>
      </c>
      <c r="E1660" s="59">
        <v>0</v>
      </c>
    </row>
    <row r="1661" spans="2:5">
      <c r="B1661" s="91"/>
      <c r="C1661" s="57" t="s">
        <v>163</v>
      </c>
      <c r="D1661" s="60">
        <v>26</v>
      </c>
      <c r="E1661" s="59">
        <v>0</v>
      </c>
    </row>
    <row r="1662" spans="2:5">
      <c r="B1662" s="91"/>
      <c r="C1662" s="57" t="s">
        <v>164</v>
      </c>
      <c r="D1662" s="60">
        <v>5</v>
      </c>
      <c r="E1662" s="59">
        <v>0</v>
      </c>
    </row>
    <row r="1663" spans="2:5">
      <c r="B1663" s="91"/>
      <c r="C1663" s="57" t="s">
        <v>165</v>
      </c>
      <c r="D1663" s="60">
        <v>12</v>
      </c>
      <c r="E1663" s="59">
        <v>0</v>
      </c>
    </row>
    <row r="1664" spans="2:5">
      <c r="B1664" s="91"/>
      <c r="C1664" s="57" t="s">
        <v>166</v>
      </c>
      <c r="D1664" s="60">
        <v>36</v>
      </c>
      <c r="E1664" s="59">
        <v>1E-3</v>
      </c>
    </row>
    <row r="1665" spans="2:5">
      <c r="B1665" s="91"/>
      <c r="C1665" s="57" t="s">
        <v>168</v>
      </c>
      <c r="D1665" s="60">
        <v>2</v>
      </c>
      <c r="E1665" s="59">
        <v>0</v>
      </c>
    </row>
    <row r="1666" spans="2:5">
      <c r="B1666" s="91"/>
      <c r="C1666" s="57" t="s">
        <v>169</v>
      </c>
      <c r="D1666" s="60">
        <v>27</v>
      </c>
      <c r="E1666" s="59">
        <v>0</v>
      </c>
    </row>
    <row r="1667" spans="2:5">
      <c r="B1667" s="91"/>
      <c r="C1667" s="57" t="s">
        <v>170</v>
      </c>
      <c r="D1667" s="60">
        <v>2</v>
      </c>
      <c r="E1667" s="59">
        <v>0</v>
      </c>
    </row>
    <row r="1668" spans="2:5">
      <c r="B1668" s="91"/>
      <c r="C1668" s="57" t="s">
        <v>171</v>
      </c>
      <c r="D1668" s="60">
        <v>15</v>
      </c>
      <c r="E1668" s="59">
        <v>0</v>
      </c>
    </row>
    <row r="1669" spans="2:5">
      <c r="B1669" s="91"/>
      <c r="C1669" s="57" t="s">
        <v>172</v>
      </c>
      <c r="D1669" s="60">
        <v>3</v>
      </c>
      <c r="E1669" s="59">
        <v>0</v>
      </c>
    </row>
    <row r="1670" spans="2:5">
      <c r="B1670" s="91"/>
      <c r="C1670" s="57" t="s">
        <v>192</v>
      </c>
      <c r="D1670" s="60">
        <v>1</v>
      </c>
      <c r="E1670" s="59">
        <v>0</v>
      </c>
    </row>
    <row r="1671" spans="2:5">
      <c r="B1671" s="91"/>
      <c r="C1671" s="57" t="s">
        <v>187</v>
      </c>
      <c r="D1671" s="60">
        <v>8</v>
      </c>
      <c r="E1671" s="59">
        <v>0</v>
      </c>
    </row>
    <row r="1672" spans="2:5">
      <c r="B1672" s="91"/>
      <c r="C1672" s="57" t="s">
        <v>173</v>
      </c>
      <c r="D1672" s="60">
        <v>13</v>
      </c>
      <c r="E1672" s="59">
        <v>0</v>
      </c>
    </row>
    <row r="1673" spans="2:5">
      <c r="B1673" s="91"/>
      <c r="C1673" s="57" t="s">
        <v>174</v>
      </c>
      <c r="D1673" s="60">
        <v>4</v>
      </c>
      <c r="E1673" s="59">
        <v>0</v>
      </c>
    </row>
    <row r="1674" spans="2:5">
      <c r="B1674" s="91"/>
      <c r="C1674" s="57" t="s">
        <v>189</v>
      </c>
      <c r="D1674" s="60">
        <v>30</v>
      </c>
      <c r="E1674" s="59">
        <v>0</v>
      </c>
    </row>
    <row r="1675" spans="2:5">
      <c r="B1675" s="91"/>
      <c r="C1675" s="57" t="s">
        <v>190</v>
      </c>
      <c r="D1675" s="60">
        <v>2</v>
      </c>
      <c r="E1675" s="59">
        <v>0</v>
      </c>
    </row>
    <row r="1676" spans="2:5">
      <c r="B1676" s="91"/>
      <c r="C1676" s="57" t="s">
        <v>175</v>
      </c>
      <c r="D1676" s="60">
        <v>8</v>
      </c>
      <c r="E1676" s="59">
        <v>0</v>
      </c>
    </row>
    <row r="1677" spans="2:5">
      <c r="B1677" s="91"/>
      <c r="C1677" s="57" t="s">
        <v>176</v>
      </c>
      <c r="D1677" s="60">
        <v>12</v>
      </c>
      <c r="E1677" s="59">
        <v>0</v>
      </c>
    </row>
    <row r="1678" spans="2:5">
      <c r="B1678" s="91"/>
      <c r="C1678" s="57" t="s">
        <v>177</v>
      </c>
      <c r="D1678" s="60">
        <v>10</v>
      </c>
      <c r="E1678" s="59">
        <v>0</v>
      </c>
    </row>
    <row r="1679" spans="2:5">
      <c r="B1679" s="91"/>
      <c r="C1679" s="57" t="s">
        <v>191</v>
      </c>
      <c r="D1679" s="60">
        <v>5</v>
      </c>
      <c r="E1679" s="59">
        <v>0</v>
      </c>
    </row>
    <row r="1680" spans="2:5">
      <c r="B1680" s="91"/>
      <c r="C1680" s="57" t="s">
        <v>178</v>
      </c>
      <c r="D1680" s="60">
        <v>35</v>
      </c>
      <c r="E1680" s="59">
        <v>1E-3</v>
      </c>
    </row>
    <row r="1681" spans="2:5">
      <c r="B1681" s="91"/>
      <c r="C1681" s="57" t="s">
        <v>179</v>
      </c>
      <c r="D1681" s="60">
        <v>8</v>
      </c>
      <c r="E1681" s="59">
        <v>0</v>
      </c>
    </row>
    <row r="1682" spans="2:5">
      <c r="B1682" s="92"/>
      <c r="C1682" s="71" t="s">
        <v>302</v>
      </c>
      <c r="D1682" s="73">
        <v>682</v>
      </c>
      <c r="E1682" s="72">
        <v>1.0999999999999999E-2</v>
      </c>
    </row>
    <row r="1683" spans="2:5">
      <c r="B1683" s="90" t="s">
        <v>58</v>
      </c>
      <c r="C1683" s="57" t="s">
        <v>147</v>
      </c>
      <c r="D1683" s="60">
        <v>28</v>
      </c>
      <c r="E1683" s="59">
        <v>0</v>
      </c>
    </row>
    <row r="1684" spans="2:5">
      <c r="B1684" s="91"/>
      <c r="C1684" s="57" t="s">
        <v>148</v>
      </c>
      <c r="D1684" s="60">
        <v>192</v>
      </c>
      <c r="E1684" s="59">
        <v>3.0000000000000001E-3</v>
      </c>
    </row>
    <row r="1685" spans="2:5">
      <c r="B1685" s="91"/>
      <c r="C1685" s="57" t="s">
        <v>149</v>
      </c>
      <c r="D1685" s="60">
        <v>1</v>
      </c>
      <c r="E1685" s="59">
        <v>0</v>
      </c>
    </row>
    <row r="1686" spans="2:5">
      <c r="B1686" s="91"/>
      <c r="C1686" s="57" t="s">
        <v>151</v>
      </c>
      <c r="D1686" s="60">
        <v>27</v>
      </c>
      <c r="E1686" s="59">
        <v>0</v>
      </c>
    </row>
    <row r="1687" spans="2:5">
      <c r="B1687" s="91"/>
      <c r="C1687" s="57" t="s">
        <v>152</v>
      </c>
      <c r="D1687" s="60">
        <v>3</v>
      </c>
      <c r="E1687" s="59">
        <v>0</v>
      </c>
    </row>
    <row r="1688" spans="2:5">
      <c r="B1688" s="91"/>
      <c r="C1688" s="57" t="s">
        <v>181</v>
      </c>
      <c r="D1688" s="60">
        <v>2</v>
      </c>
      <c r="E1688" s="59">
        <v>0</v>
      </c>
    </row>
    <row r="1689" spans="2:5">
      <c r="B1689" s="91"/>
      <c r="C1689" s="57" t="s">
        <v>182</v>
      </c>
      <c r="D1689" s="60">
        <v>10</v>
      </c>
      <c r="E1689" s="59">
        <v>0</v>
      </c>
    </row>
    <row r="1690" spans="2:5">
      <c r="B1690" s="91"/>
      <c r="C1690" s="57" t="s">
        <v>153</v>
      </c>
      <c r="D1690" s="60">
        <v>20</v>
      </c>
      <c r="E1690" s="59">
        <v>0</v>
      </c>
    </row>
    <row r="1691" spans="2:5">
      <c r="B1691" s="91"/>
      <c r="C1691" s="57" t="s">
        <v>291</v>
      </c>
      <c r="D1691" s="60">
        <v>8</v>
      </c>
      <c r="E1691" s="59">
        <v>0</v>
      </c>
    </row>
    <row r="1692" spans="2:5">
      <c r="B1692" s="91"/>
      <c r="C1692" s="57" t="s">
        <v>183</v>
      </c>
      <c r="D1692" s="60">
        <v>10</v>
      </c>
      <c r="E1692" s="59">
        <v>0</v>
      </c>
    </row>
    <row r="1693" spans="2:5" ht="28.5">
      <c r="B1693" s="91"/>
      <c r="C1693" s="57" t="s">
        <v>154</v>
      </c>
      <c r="D1693" s="60">
        <v>1</v>
      </c>
      <c r="E1693" s="59">
        <v>0</v>
      </c>
    </row>
    <row r="1694" spans="2:5">
      <c r="B1694" s="91"/>
      <c r="C1694" s="57" t="s">
        <v>155</v>
      </c>
      <c r="D1694" s="60">
        <v>31</v>
      </c>
      <c r="E1694" s="59">
        <v>0</v>
      </c>
    </row>
    <row r="1695" spans="2:5">
      <c r="B1695" s="91"/>
      <c r="C1695" s="57" t="s">
        <v>156</v>
      </c>
      <c r="D1695" s="60">
        <v>3</v>
      </c>
      <c r="E1695" s="59">
        <v>0</v>
      </c>
    </row>
    <row r="1696" spans="2:5">
      <c r="B1696" s="91"/>
      <c r="C1696" s="57" t="s">
        <v>157</v>
      </c>
      <c r="D1696" s="60">
        <v>139</v>
      </c>
      <c r="E1696" s="59">
        <v>2E-3</v>
      </c>
    </row>
    <row r="1697" spans="2:5">
      <c r="B1697" s="91"/>
      <c r="C1697" s="57" t="s">
        <v>158</v>
      </c>
      <c r="D1697" s="60">
        <v>7</v>
      </c>
      <c r="E1697" s="59">
        <v>0</v>
      </c>
    </row>
    <row r="1698" spans="2:5">
      <c r="B1698" s="91"/>
      <c r="C1698" s="57" t="s">
        <v>159</v>
      </c>
      <c r="D1698" s="60">
        <v>37</v>
      </c>
      <c r="E1698" s="59">
        <v>1E-3</v>
      </c>
    </row>
    <row r="1699" spans="2:5">
      <c r="B1699" s="91"/>
      <c r="C1699" s="57" t="s">
        <v>160</v>
      </c>
      <c r="D1699" s="60">
        <v>214</v>
      </c>
      <c r="E1699" s="59">
        <v>3.0000000000000001E-3</v>
      </c>
    </row>
    <row r="1700" spans="2:5">
      <c r="B1700" s="91"/>
      <c r="C1700" s="57" t="s">
        <v>161</v>
      </c>
      <c r="D1700" s="60">
        <v>12</v>
      </c>
      <c r="E1700" s="59">
        <v>0</v>
      </c>
    </row>
    <row r="1701" spans="2:5">
      <c r="B1701" s="91"/>
      <c r="C1701" s="57" t="s">
        <v>184</v>
      </c>
      <c r="D1701" s="60">
        <v>10</v>
      </c>
      <c r="E1701" s="59">
        <v>0</v>
      </c>
    </row>
    <row r="1702" spans="2:5">
      <c r="B1702" s="91"/>
      <c r="C1702" s="57" t="s">
        <v>185</v>
      </c>
      <c r="D1702" s="60">
        <v>1</v>
      </c>
      <c r="E1702" s="59">
        <v>0</v>
      </c>
    </row>
    <row r="1703" spans="2:5">
      <c r="B1703" s="91"/>
      <c r="C1703" s="57" t="s">
        <v>186</v>
      </c>
      <c r="D1703" s="60">
        <v>12</v>
      </c>
      <c r="E1703" s="59">
        <v>0</v>
      </c>
    </row>
    <row r="1704" spans="2:5">
      <c r="B1704" s="91"/>
      <c r="C1704" s="57" t="s">
        <v>163</v>
      </c>
      <c r="D1704" s="60">
        <v>80</v>
      </c>
      <c r="E1704" s="59">
        <v>1E-3</v>
      </c>
    </row>
    <row r="1705" spans="2:5">
      <c r="B1705" s="91"/>
      <c r="C1705" s="57" t="s">
        <v>164</v>
      </c>
      <c r="D1705" s="60">
        <v>57</v>
      </c>
      <c r="E1705" s="59">
        <v>1E-3</v>
      </c>
    </row>
    <row r="1706" spans="2:5">
      <c r="B1706" s="91"/>
      <c r="C1706" s="57" t="s">
        <v>165</v>
      </c>
      <c r="D1706" s="60">
        <v>29</v>
      </c>
      <c r="E1706" s="59">
        <v>0</v>
      </c>
    </row>
    <row r="1707" spans="2:5">
      <c r="B1707" s="91"/>
      <c r="C1707" s="57" t="s">
        <v>166</v>
      </c>
      <c r="D1707" s="60">
        <v>70</v>
      </c>
      <c r="E1707" s="59">
        <v>1E-3</v>
      </c>
    </row>
    <row r="1708" spans="2:5">
      <c r="B1708" s="91"/>
      <c r="C1708" s="57" t="s">
        <v>168</v>
      </c>
      <c r="D1708" s="60">
        <v>8</v>
      </c>
      <c r="E1708" s="59">
        <v>0</v>
      </c>
    </row>
    <row r="1709" spans="2:5">
      <c r="B1709" s="91"/>
      <c r="C1709" s="57" t="s">
        <v>169</v>
      </c>
      <c r="D1709" s="60">
        <v>26</v>
      </c>
      <c r="E1709" s="59">
        <v>0</v>
      </c>
    </row>
    <row r="1710" spans="2:5">
      <c r="B1710" s="91"/>
      <c r="C1710" s="57" t="s">
        <v>170</v>
      </c>
      <c r="D1710" s="60">
        <v>12</v>
      </c>
      <c r="E1710" s="59">
        <v>0</v>
      </c>
    </row>
    <row r="1711" spans="2:5">
      <c r="B1711" s="91"/>
      <c r="C1711" s="57" t="s">
        <v>171</v>
      </c>
      <c r="D1711" s="60">
        <v>8</v>
      </c>
      <c r="E1711" s="59">
        <v>0</v>
      </c>
    </row>
    <row r="1712" spans="2:5">
      <c r="B1712" s="91"/>
      <c r="C1712" s="57" t="s">
        <v>172</v>
      </c>
      <c r="D1712" s="60">
        <v>5</v>
      </c>
      <c r="E1712" s="59">
        <v>0</v>
      </c>
    </row>
    <row r="1713" spans="2:5">
      <c r="B1713" s="91"/>
      <c r="C1713" s="57" t="s">
        <v>192</v>
      </c>
      <c r="D1713" s="60">
        <v>78</v>
      </c>
      <c r="E1713" s="59">
        <v>1E-3</v>
      </c>
    </row>
    <row r="1714" spans="2:5">
      <c r="B1714" s="91"/>
      <c r="C1714" s="57" t="s">
        <v>187</v>
      </c>
      <c r="D1714" s="60">
        <v>2</v>
      </c>
      <c r="E1714" s="59">
        <v>0</v>
      </c>
    </row>
    <row r="1715" spans="2:5">
      <c r="B1715" s="91"/>
      <c r="C1715" s="57" t="s">
        <v>173</v>
      </c>
      <c r="D1715" s="60">
        <v>43</v>
      </c>
      <c r="E1715" s="59">
        <v>1E-3</v>
      </c>
    </row>
    <row r="1716" spans="2:5">
      <c r="B1716" s="91"/>
      <c r="C1716" s="57" t="s">
        <v>174</v>
      </c>
      <c r="D1716" s="60">
        <v>11</v>
      </c>
      <c r="E1716" s="59">
        <v>0</v>
      </c>
    </row>
    <row r="1717" spans="2:5">
      <c r="B1717" s="91"/>
      <c r="C1717" s="57" t="s">
        <v>189</v>
      </c>
      <c r="D1717" s="60">
        <v>7</v>
      </c>
      <c r="E1717" s="59">
        <v>0</v>
      </c>
    </row>
    <row r="1718" spans="2:5">
      <c r="B1718" s="91"/>
      <c r="C1718" s="57" t="s">
        <v>190</v>
      </c>
      <c r="D1718" s="60">
        <v>8</v>
      </c>
      <c r="E1718" s="59">
        <v>0</v>
      </c>
    </row>
    <row r="1719" spans="2:5">
      <c r="B1719" s="91"/>
      <c r="C1719" s="57" t="s">
        <v>175</v>
      </c>
      <c r="D1719" s="60">
        <v>22</v>
      </c>
      <c r="E1719" s="59">
        <v>0</v>
      </c>
    </row>
    <row r="1720" spans="2:5">
      <c r="B1720" s="91"/>
      <c r="C1720" s="57" t="s">
        <v>176</v>
      </c>
      <c r="D1720" s="60">
        <v>69</v>
      </c>
      <c r="E1720" s="59">
        <v>1E-3</v>
      </c>
    </row>
    <row r="1721" spans="2:5">
      <c r="B1721" s="91"/>
      <c r="C1721" s="57" t="s">
        <v>177</v>
      </c>
      <c r="D1721" s="60">
        <v>29</v>
      </c>
      <c r="E1721" s="59">
        <v>0</v>
      </c>
    </row>
    <row r="1722" spans="2:5">
      <c r="B1722" s="91"/>
      <c r="C1722" s="57" t="s">
        <v>191</v>
      </c>
      <c r="D1722" s="60">
        <v>5</v>
      </c>
      <c r="E1722" s="59">
        <v>0</v>
      </c>
    </row>
    <row r="1723" spans="2:5">
      <c r="B1723" s="91"/>
      <c r="C1723" s="57" t="s">
        <v>178</v>
      </c>
      <c r="D1723" s="60">
        <v>29</v>
      </c>
      <c r="E1723" s="59">
        <v>0</v>
      </c>
    </row>
    <row r="1724" spans="2:5">
      <c r="B1724" s="91"/>
      <c r="C1724" s="57" t="s">
        <v>179</v>
      </c>
      <c r="D1724" s="60">
        <v>12</v>
      </c>
      <c r="E1724" s="59">
        <v>0</v>
      </c>
    </row>
    <row r="1725" spans="2:5">
      <c r="B1725" s="92"/>
      <c r="C1725" s="71" t="s">
        <v>302</v>
      </c>
      <c r="D1725" s="73">
        <v>1378</v>
      </c>
      <c r="E1725" s="72">
        <v>2.1999999999999999E-2</v>
      </c>
    </row>
    <row r="1726" spans="2:5">
      <c r="B1726" s="90" t="s">
        <v>59</v>
      </c>
      <c r="C1726" s="57" t="s">
        <v>147</v>
      </c>
      <c r="D1726" s="60">
        <v>53</v>
      </c>
      <c r="E1726" s="59">
        <v>1E-3</v>
      </c>
    </row>
    <row r="1727" spans="2:5">
      <c r="B1727" s="91"/>
      <c r="C1727" s="57" t="s">
        <v>148</v>
      </c>
      <c r="D1727" s="60">
        <v>64</v>
      </c>
      <c r="E1727" s="59">
        <v>1E-3</v>
      </c>
    </row>
    <row r="1728" spans="2:5">
      <c r="B1728" s="91"/>
      <c r="C1728" s="57" t="s">
        <v>149</v>
      </c>
      <c r="D1728" s="60">
        <v>3</v>
      </c>
      <c r="E1728" s="59">
        <v>0</v>
      </c>
    </row>
    <row r="1729" spans="2:5">
      <c r="B1729" s="91"/>
      <c r="C1729" s="57" t="s">
        <v>150</v>
      </c>
      <c r="D1729" s="60">
        <v>1</v>
      </c>
      <c r="E1729" s="59">
        <v>0</v>
      </c>
    </row>
    <row r="1730" spans="2:5">
      <c r="B1730" s="91"/>
      <c r="C1730" s="57" t="s">
        <v>180</v>
      </c>
      <c r="D1730" s="60">
        <v>1</v>
      </c>
      <c r="E1730" s="59">
        <v>0</v>
      </c>
    </row>
    <row r="1731" spans="2:5">
      <c r="B1731" s="91"/>
      <c r="C1731" s="57" t="s">
        <v>151</v>
      </c>
      <c r="D1731" s="60">
        <v>37</v>
      </c>
      <c r="E1731" s="59">
        <v>1E-3</v>
      </c>
    </row>
    <row r="1732" spans="2:5">
      <c r="B1732" s="91"/>
      <c r="C1732" s="57" t="s">
        <v>152</v>
      </c>
      <c r="D1732" s="60">
        <v>9</v>
      </c>
      <c r="E1732" s="59">
        <v>0</v>
      </c>
    </row>
    <row r="1733" spans="2:5">
      <c r="B1733" s="91"/>
      <c r="C1733" s="57" t="s">
        <v>181</v>
      </c>
      <c r="D1733" s="60">
        <v>2</v>
      </c>
      <c r="E1733" s="59">
        <v>0</v>
      </c>
    </row>
    <row r="1734" spans="2:5">
      <c r="B1734" s="91"/>
      <c r="C1734" s="57" t="s">
        <v>182</v>
      </c>
      <c r="D1734" s="60">
        <v>7</v>
      </c>
      <c r="E1734" s="59">
        <v>0</v>
      </c>
    </row>
    <row r="1735" spans="2:5">
      <c r="B1735" s="91"/>
      <c r="C1735" s="57" t="s">
        <v>153</v>
      </c>
      <c r="D1735" s="60">
        <v>25</v>
      </c>
      <c r="E1735" s="59">
        <v>0</v>
      </c>
    </row>
    <row r="1736" spans="2:5">
      <c r="B1736" s="91"/>
      <c r="C1736" s="57" t="s">
        <v>291</v>
      </c>
      <c r="D1736" s="60">
        <v>9</v>
      </c>
      <c r="E1736" s="59">
        <v>0</v>
      </c>
    </row>
    <row r="1737" spans="2:5">
      <c r="B1737" s="91"/>
      <c r="C1737" s="57" t="s">
        <v>183</v>
      </c>
      <c r="D1737" s="60">
        <v>3</v>
      </c>
      <c r="E1737" s="59">
        <v>0</v>
      </c>
    </row>
    <row r="1738" spans="2:5" ht="28.5">
      <c r="B1738" s="91"/>
      <c r="C1738" s="57" t="s">
        <v>154</v>
      </c>
      <c r="D1738" s="60">
        <v>3</v>
      </c>
      <c r="E1738" s="59">
        <v>0</v>
      </c>
    </row>
    <row r="1739" spans="2:5">
      <c r="B1739" s="91"/>
      <c r="C1739" s="57" t="s">
        <v>155</v>
      </c>
      <c r="D1739" s="60">
        <v>22</v>
      </c>
      <c r="E1739" s="59">
        <v>0</v>
      </c>
    </row>
    <row r="1740" spans="2:5">
      <c r="B1740" s="91"/>
      <c r="C1740" s="57" t="s">
        <v>156</v>
      </c>
      <c r="D1740" s="60">
        <v>41</v>
      </c>
      <c r="E1740" s="59">
        <v>1E-3</v>
      </c>
    </row>
    <row r="1741" spans="2:5">
      <c r="B1741" s="91"/>
      <c r="C1741" s="57" t="s">
        <v>157</v>
      </c>
      <c r="D1741" s="60">
        <v>164</v>
      </c>
      <c r="E1741" s="59">
        <v>3.0000000000000001E-3</v>
      </c>
    </row>
    <row r="1742" spans="2:5">
      <c r="B1742" s="91"/>
      <c r="C1742" s="57" t="s">
        <v>158</v>
      </c>
      <c r="D1742" s="60">
        <v>2</v>
      </c>
      <c r="E1742" s="59">
        <v>0</v>
      </c>
    </row>
    <row r="1743" spans="2:5">
      <c r="B1743" s="91"/>
      <c r="C1743" s="57" t="s">
        <v>159</v>
      </c>
      <c r="D1743" s="60">
        <v>7</v>
      </c>
      <c r="E1743" s="59">
        <v>0</v>
      </c>
    </row>
    <row r="1744" spans="2:5">
      <c r="B1744" s="91"/>
      <c r="C1744" s="57" t="s">
        <v>160</v>
      </c>
      <c r="D1744" s="60">
        <v>207</v>
      </c>
      <c r="E1744" s="59">
        <v>3.0000000000000001E-3</v>
      </c>
    </row>
    <row r="1745" spans="2:5">
      <c r="B1745" s="91"/>
      <c r="C1745" s="57" t="s">
        <v>161</v>
      </c>
      <c r="D1745" s="60">
        <v>14</v>
      </c>
      <c r="E1745" s="59">
        <v>0</v>
      </c>
    </row>
    <row r="1746" spans="2:5">
      <c r="B1746" s="91"/>
      <c r="C1746" s="57" t="s">
        <v>184</v>
      </c>
      <c r="D1746" s="60">
        <v>6</v>
      </c>
      <c r="E1746" s="59">
        <v>0</v>
      </c>
    </row>
    <row r="1747" spans="2:5">
      <c r="B1747" s="91"/>
      <c r="C1747" s="57" t="s">
        <v>162</v>
      </c>
      <c r="D1747" s="60">
        <v>1</v>
      </c>
      <c r="E1747" s="59">
        <v>0</v>
      </c>
    </row>
    <row r="1748" spans="2:5">
      <c r="B1748" s="91"/>
      <c r="C1748" s="57" t="s">
        <v>185</v>
      </c>
      <c r="D1748" s="60">
        <v>15</v>
      </c>
      <c r="E1748" s="59">
        <v>0</v>
      </c>
    </row>
    <row r="1749" spans="2:5">
      <c r="B1749" s="91"/>
      <c r="C1749" s="57" t="s">
        <v>186</v>
      </c>
      <c r="D1749" s="60">
        <v>4</v>
      </c>
      <c r="E1749" s="59">
        <v>0</v>
      </c>
    </row>
    <row r="1750" spans="2:5">
      <c r="B1750" s="91"/>
      <c r="C1750" s="57" t="s">
        <v>163</v>
      </c>
      <c r="D1750" s="60">
        <v>221</v>
      </c>
      <c r="E1750" s="59">
        <v>3.0000000000000001E-3</v>
      </c>
    </row>
    <row r="1751" spans="2:5">
      <c r="B1751" s="91"/>
      <c r="C1751" s="57" t="s">
        <v>164</v>
      </c>
      <c r="D1751" s="60">
        <v>38</v>
      </c>
      <c r="E1751" s="59">
        <v>1E-3</v>
      </c>
    </row>
    <row r="1752" spans="2:5">
      <c r="B1752" s="91"/>
      <c r="C1752" s="57" t="s">
        <v>165</v>
      </c>
      <c r="D1752" s="60">
        <v>29</v>
      </c>
      <c r="E1752" s="59">
        <v>0</v>
      </c>
    </row>
    <row r="1753" spans="2:5">
      <c r="B1753" s="91"/>
      <c r="C1753" s="57" t="s">
        <v>166</v>
      </c>
      <c r="D1753" s="60">
        <v>16</v>
      </c>
      <c r="E1753" s="59">
        <v>0</v>
      </c>
    </row>
    <row r="1754" spans="2:5">
      <c r="B1754" s="91"/>
      <c r="C1754" s="57" t="s">
        <v>167</v>
      </c>
      <c r="D1754" s="60">
        <v>1</v>
      </c>
      <c r="E1754" s="59">
        <v>0</v>
      </c>
    </row>
    <row r="1755" spans="2:5">
      <c r="B1755" s="91"/>
      <c r="C1755" s="57" t="s">
        <v>169</v>
      </c>
      <c r="D1755" s="60">
        <v>26</v>
      </c>
      <c r="E1755" s="59">
        <v>0</v>
      </c>
    </row>
    <row r="1756" spans="2:5">
      <c r="B1756" s="91"/>
      <c r="C1756" s="57" t="s">
        <v>170</v>
      </c>
      <c r="D1756" s="60">
        <v>9</v>
      </c>
      <c r="E1756" s="59">
        <v>0</v>
      </c>
    </row>
    <row r="1757" spans="2:5">
      <c r="B1757" s="91"/>
      <c r="C1757" s="57" t="s">
        <v>171</v>
      </c>
      <c r="D1757" s="60">
        <v>5</v>
      </c>
      <c r="E1757" s="59">
        <v>0</v>
      </c>
    </row>
    <row r="1758" spans="2:5">
      <c r="B1758" s="91"/>
      <c r="C1758" s="57" t="s">
        <v>172</v>
      </c>
      <c r="D1758" s="60">
        <v>11</v>
      </c>
      <c r="E1758" s="59">
        <v>0</v>
      </c>
    </row>
    <row r="1759" spans="2:5">
      <c r="B1759" s="91"/>
      <c r="C1759" s="57" t="s">
        <v>192</v>
      </c>
      <c r="D1759" s="60">
        <v>1</v>
      </c>
      <c r="E1759" s="59">
        <v>0</v>
      </c>
    </row>
    <row r="1760" spans="2:5">
      <c r="B1760" s="91"/>
      <c r="C1760" s="57" t="s">
        <v>187</v>
      </c>
      <c r="D1760" s="60">
        <v>3</v>
      </c>
      <c r="E1760" s="59">
        <v>0</v>
      </c>
    </row>
    <row r="1761" spans="2:5">
      <c r="B1761" s="91"/>
      <c r="C1761" s="57" t="s">
        <v>173</v>
      </c>
      <c r="D1761" s="60">
        <v>85</v>
      </c>
      <c r="E1761" s="59">
        <v>1E-3</v>
      </c>
    </row>
    <row r="1762" spans="2:5">
      <c r="B1762" s="91"/>
      <c r="C1762" s="57" t="s">
        <v>174</v>
      </c>
      <c r="D1762" s="60">
        <v>2</v>
      </c>
      <c r="E1762" s="59">
        <v>0</v>
      </c>
    </row>
    <row r="1763" spans="2:5">
      <c r="B1763" s="91"/>
      <c r="C1763" s="57" t="s">
        <v>189</v>
      </c>
      <c r="D1763" s="60">
        <v>7</v>
      </c>
      <c r="E1763" s="59">
        <v>0</v>
      </c>
    </row>
    <row r="1764" spans="2:5">
      <c r="B1764" s="91"/>
      <c r="C1764" s="57" t="s">
        <v>190</v>
      </c>
      <c r="D1764" s="60">
        <v>1</v>
      </c>
      <c r="E1764" s="59">
        <v>0</v>
      </c>
    </row>
    <row r="1765" spans="2:5">
      <c r="B1765" s="91"/>
      <c r="C1765" s="57" t="s">
        <v>175</v>
      </c>
      <c r="D1765" s="60">
        <v>7</v>
      </c>
      <c r="E1765" s="59">
        <v>0</v>
      </c>
    </row>
    <row r="1766" spans="2:5">
      <c r="B1766" s="91"/>
      <c r="C1766" s="57" t="s">
        <v>176</v>
      </c>
      <c r="D1766" s="60">
        <v>25</v>
      </c>
      <c r="E1766" s="59">
        <v>0</v>
      </c>
    </row>
    <row r="1767" spans="2:5">
      <c r="B1767" s="91"/>
      <c r="C1767" s="57" t="s">
        <v>177</v>
      </c>
      <c r="D1767" s="60">
        <v>1</v>
      </c>
      <c r="E1767" s="59">
        <v>0</v>
      </c>
    </row>
    <row r="1768" spans="2:5">
      <c r="B1768" s="91"/>
      <c r="C1768" s="57" t="s">
        <v>191</v>
      </c>
      <c r="D1768" s="60">
        <v>3</v>
      </c>
      <c r="E1768" s="59">
        <v>0</v>
      </c>
    </row>
    <row r="1769" spans="2:5">
      <c r="B1769" s="91"/>
      <c r="C1769" s="57" t="s">
        <v>178</v>
      </c>
      <c r="D1769" s="60">
        <v>1</v>
      </c>
      <c r="E1769" s="59">
        <v>0</v>
      </c>
    </row>
    <row r="1770" spans="2:5">
      <c r="B1770" s="91"/>
      <c r="C1770" s="57" t="s">
        <v>179</v>
      </c>
      <c r="D1770" s="60">
        <v>9</v>
      </c>
      <c r="E1770" s="59">
        <v>0</v>
      </c>
    </row>
    <row r="1771" spans="2:5">
      <c r="B1771" s="92"/>
      <c r="C1771" s="71" t="s">
        <v>302</v>
      </c>
      <c r="D1771" s="73">
        <v>1201</v>
      </c>
      <c r="E1771" s="72">
        <v>1.9E-2</v>
      </c>
    </row>
    <row r="1772" spans="2:5">
      <c r="B1772" s="90" t="s">
        <v>85</v>
      </c>
      <c r="C1772" s="57" t="s">
        <v>147</v>
      </c>
      <c r="D1772" s="60">
        <v>3</v>
      </c>
      <c r="E1772" s="59">
        <v>0</v>
      </c>
    </row>
    <row r="1773" spans="2:5">
      <c r="B1773" s="91"/>
      <c r="C1773" s="57" t="s">
        <v>148</v>
      </c>
      <c r="D1773" s="60">
        <v>2</v>
      </c>
      <c r="E1773" s="59">
        <v>0</v>
      </c>
    </row>
    <row r="1774" spans="2:5">
      <c r="B1774" s="91"/>
      <c r="C1774" s="57" t="s">
        <v>151</v>
      </c>
      <c r="D1774" s="60">
        <v>3</v>
      </c>
      <c r="E1774" s="59">
        <v>0</v>
      </c>
    </row>
    <row r="1775" spans="2:5">
      <c r="B1775" s="91"/>
      <c r="C1775" s="57" t="s">
        <v>153</v>
      </c>
      <c r="D1775" s="60">
        <v>3</v>
      </c>
      <c r="E1775" s="59">
        <v>0</v>
      </c>
    </row>
    <row r="1776" spans="2:5">
      <c r="B1776" s="91"/>
      <c r="C1776" s="57" t="s">
        <v>156</v>
      </c>
      <c r="D1776" s="60">
        <v>1</v>
      </c>
      <c r="E1776" s="59">
        <v>0</v>
      </c>
    </row>
    <row r="1777" spans="2:5">
      <c r="B1777" s="91"/>
      <c r="C1777" s="57" t="s">
        <v>157</v>
      </c>
      <c r="D1777" s="60">
        <v>8</v>
      </c>
      <c r="E1777" s="59">
        <v>0</v>
      </c>
    </row>
    <row r="1778" spans="2:5">
      <c r="B1778" s="91"/>
      <c r="C1778" s="57" t="s">
        <v>158</v>
      </c>
      <c r="D1778" s="60">
        <v>1</v>
      </c>
      <c r="E1778" s="59">
        <v>0</v>
      </c>
    </row>
    <row r="1779" spans="2:5">
      <c r="B1779" s="91"/>
      <c r="C1779" s="57" t="s">
        <v>159</v>
      </c>
      <c r="D1779" s="60">
        <v>1</v>
      </c>
      <c r="E1779" s="59">
        <v>0</v>
      </c>
    </row>
    <row r="1780" spans="2:5">
      <c r="B1780" s="91"/>
      <c r="C1780" s="57" t="s">
        <v>160</v>
      </c>
      <c r="D1780" s="60">
        <v>12</v>
      </c>
      <c r="E1780" s="59">
        <v>0</v>
      </c>
    </row>
    <row r="1781" spans="2:5">
      <c r="B1781" s="91"/>
      <c r="C1781" s="57" t="s">
        <v>161</v>
      </c>
      <c r="D1781" s="60">
        <v>2</v>
      </c>
      <c r="E1781" s="59">
        <v>0</v>
      </c>
    </row>
    <row r="1782" spans="2:5">
      <c r="B1782" s="91"/>
      <c r="C1782" s="57" t="s">
        <v>184</v>
      </c>
      <c r="D1782" s="60">
        <v>2</v>
      </c>
      <c r="E1782" s="59">
        <v>0</v>
      </c>
    </row>
    <row r="1783" spans="2:5">
      <c r="B1783" s="91"/>
      <c r="C1783" s="57" t="s">
        <v>163</v>
      </c>
      <c r="D1783" s="60">
        <v>8</v>
      </c>
      <c r="E1783" s="59">
        <v>0</v>
      </c>
    </row>
    <row r="1784" spans="2:5">
      <c r="B1784" s="91"/>
      <c r="C1784" s="57" t="s">
        <v>164</v>
      </c>
      <c r="D1784" s="60">
        <v>1</v>
      </c>
      <c r="E1784" s="59">
        <v>0</v>
      </c>
    </row>
    <row r="1785" spans="2:5">
      <c r="B1785" s="91"/>
      <c r="C1785" s="57" t="s">
        <v>165</v>
      </c>
      <c r="D1785" s="60">
        <v>3</v>
      </c>
      <c r="E1785" s="59">
        <v>0</v>
      </c>
    </row>
    <row r="1786" spans="2:5">
      <c r="B1786" s="91"/>
      <c r="C1786" s="57" t="s">
        <v>166</v>
      </c>
      <c r="D1786" s="60">
        <v>2</v>
      </c>
      <c r="E1786" s="59">
        <v>0</v>
      </c>
    </row>
    <row r="1787" spans="2:5">
      <c r="B1787" s="91"/>
      <c r="C1787" s="57" t="s">
        <v>167</v>
      </c>
      <c r="D1787" s="60">
        <v>1</v>
      </c>
      <c r="E1787" s="59">
        <v>0</v>
      </c>
    </row>
    <row r="1788" spans="2:5">
      <c r="B1788" s="91"/>
      <c r="C1788" s="57" t="s">
        <v>168</v>
      </c>
      <c r="D1788" s="60">
        <v>1</v>
      </c>
      <c r="E1788" s="59">
        <v>0</v>
      </c>
    </row>
    <row r="1789" spans="2:5">
      <c r="B1789" s="91"/>
      <c r="C1789" s="57" t="s">
        <v>169</v>
      </c>
      <c r="D1789" s="60">
        <v>3</v>
      </c>
      <c r="E1789" s="59">
        <v>0</v>
      </c>
    </row>
    <row r="1790" spans="2:5">
      <c r="B1790" s="91"/>
      <c r="C1790" s="57" t="s">
        <v>172</v>
      </c>
      <c r="D1790" s="60">
        <v>1</v>
      </c>
      <c r="E1790" s="59">
        <v>0</v>
      </c>
    </row>
    <row r="1791" spans="2:5">
      <c r="B1791" s="91"/>
      <c r="C1791" s="57" t="s">
        <v>173</v>
      </c>
      <c r="D1791" s="60">
        <v>2</v>
      </c>
      <c r="E1791" s="59">
        <v>0</v>
      </c>
    </row>
    <row r="1792" spans="2:5">
      <c r="B1792" s="91"/>
      <c r="C1792" s="57" t="s">
        <v>175</v>
      </c>
      <c r="D1792" s="60">
        <v>1</v>
      </c>
      <c r="E1792" s="59">
        <v>0</v>
      </c>
    </row>
    <row r="1793" spans="2:5">
      <c r="B1793" s="91"/>
      <c r="C1793" s="57" t="s">
        <v>176</v>
      </c>
      <c r="D1793" s="60">
        <v>2</v>
      </c>
      <c r="E1793" s="59">
        <v>0</v>
      </c>
    </row>
    <row r="1794" spans="2:5">
      <c r="B1794" s="91"/>
      <c r="C1794" s="57" t="s">
        <v>191</v>
      </c>
      <c r="D1794" s="60">
        <v>1</v>
      </c>
      <c r="E1794" s="59">
        <v>0</v>
      </c>
    </row>
    <row r="1795" spans="2:5">
      <c r="B1795" s="92"/>
      <c r="C1795" s="71" t="s">
        <v>302</v>
      </c>
      <c r="D1795" s="73">
        <v>64</v>
      </c>
      <c r="E1795" s="72">
        <v>1E-3</v>
      </c>
    </row>
    <row r="1796" spans="2:5">
      <c r="B1796" s="90" t="s">
        <v>83</v>
      </c>
      <c r="C1796" s="57" t="s">
        <v>147</v>
      </c>
      <c r="D1796" s="60">
        <v>1</v>
      </c>
      <c r="E1796" s="59">
        <v>0</v>
      </c>
    </row>
    <row r="1797" spans="2:5">
      <c r="B1797" s="91"/>
      <c r="C1797" s="57" t="s">
        <v>148</v>
      </c>
      <c r="D1797" s="60">
        <v>1</v>
      </c>
      <c r="E1797" s="59">
        <v>0</v>
      </c>
    </row>
    <row r="1798" spans="2:5">
      <c r="B1798" s="91"/>
      <c r="C1798" s="57" t="s">
        <v>151</v>
      </c>
      <c r="D1798" s="60">
        <v>3</v>
      </c>
      <c r="E1798" s="59">
        <v>0</v>
      </c>
    </row>
    <row r="1799" spans="2:5">
      <c r="B1799" s="91"/>
      <c r="C1799" s="57" t="s">
        <v>182</v>
      </c>
      <c r="D1799" s="60">
        <v>1</v>
      </c>
      <c r="E1799" s="59">
        <v>0</v>
      </c>
    </row>
    <row r="1800" spans="2:5">
      <c r="B1800" s="91"/>
      <c r="C1800" s="57" t="s">
        <v>183</v>
      </c>
      <c r="D1800" s="60">
        <v>54</v>
      </c>
      <c r="E1800" s="59">
        <v>1E-3</v>
      </c>
    </row>
    <row r="1801" spans="2:5">
      <c r="B1801" s="91"/>
      <c r="C1801" s="57" t="s">
        <v>155</v>
      </c>
      <c r="D1801" s="60">
        <v>1</v>
      </c>
      <c r="E1801" s="59">
        <v>0</v>
      </c>
    </row>
    <row r="1802" spans="2:5">
      <c r="B1802" s="91"/>
      <c r="C1802" s="57" t="s">
        <v>157</v>
      </c>
      <c r="D1802" s="60">
        <v>3</v>
      </c>
      <c r="E1802" s="59">
        <v>0</v>
      </c>
    </row>
    <row r="1803" spans="2:5">
      <c r="B1803" s="91"/>
      <c r="C1803" s="57" t="s">
        <v>158</v>
      </c>
      <c r="D1803" s="60">
        <v>1</v>
      </c>
      <c r="E1803" s="59">
        <v>0</v>
      </c>
    </row>
    <row r="1804" spans="2:5">
      <c r="B1804" s="91"/>
      <c r="C1804" s="57" t="s">
        <v>160</v>
      </c>
      <c r="D1804" s="60">
        <v>5</v>
      </c>
      <c r="E1804" s="59">
        <v>0</v>
      </c>
    </row>
    <row r="1805" spans="2:5">
      <c r="B1805" s="91"/>
      <c r="C1805" s="57" t="s">
        <v>163</v>
      </c>
      <c r="D1805" s="60">
        <v>3</v>
      </c>
      <c r="E1805" s="59">
        <v>0</v>
      </c>
    </row>
    <row r="1806" spans="2:5">
      <c r="B1806" s="91"/>
      <c r="C1806" s="57" t="s">
        <v>166</v>
      </c>
      <c r="D1806" s="60">
        <v>3</v>
      </c>
      <c r="E1806" s="59">
        <v>0</v>
      </c>
    </row>
    <row r="1807" spans="2:5">
      <c r="B1807" s="91"/>
      <c r="C1807" s="57" t="s">
        <v>169</v>
      </c>
      <c r="D1807" s="60">
        <v>5</v>
      </c>
      <c r="E1807" s="59">
        <v>0</v>
      </c>
    </row>
    <row r="1808" spans="2:5">
      <c r="B1808" s="91"/>
      <c r="C1808" s="57" t="s">
        <v>170</v>
      </c>
      <c r="D1808" s="60">
        <v>2</v>
      </c>
      <c r="E1808" s="59">
        <v>0</v>
      </c>
    </row>
    <row r="1809" spans="2:5">
      <c r="B1809" s="91"/>
      <c r="C1809" s="57" t="s">
        <v>171</v>
      </c>
      <c r="D1809" s="60">
        <v>6</v>
      </c>
      <c r="E1809" s="59">
        <v>0</v>
      </c>
    </row>
    <row r="1810" spans="2:5">
      <c r="B1810" s="91"/>
      <c r="C1810" s="57" t="s">
        <v>172</v>
      </c>
      <c r="D1810" s="60">
        <v>1</v>
      </c>
      <c r="E1810" s="59">
        <v>0</v>
      </c>
    </row>
    <row r="1811" spans="2:5">
      <c r="B1811" s="91"/>
      <c r="C1811" s="57" t="s">
        <v>173</v>
      </c>
      <c r="D1811" s="60">
        <v>2</v>
      </c>
      <c r="E1811" s="59">
        <v>0</v>
      </c>
    </row>
    <row r="1812" spans="2:5">
      <c r="B1812" s="91"/>
      <c r="C1812" s="57" t="s">
        <v>176</v>
      </c>
      <c r="D1812" s="60">
        <v>1</v>
      </c>
      <c r="E1812" s="59">
        <v>0</v>
      </c>
    </row>
    <row r="1813" spans="2:5">
      <c r="B1813" s="91"/>
      <c r="C1813" s="57" t="s">
        <v>177</v>
      </c>
      <c r="D1813" s="60">
        <v>1</v>
      </c>
      <c r="E1813" s="59">
        <v>0</v>
      </c>
    </row>
    <row r="1814" spans="2:5">
      <c r="B1814" s="92"/>
      <c r="C1814" s="71" t="s">
        <v>302</v>
      </c>
      <c r="D1814" s="73">
        <v>94</v>
      </c>
      <c r="E1814" s="72">
        <v>1E-3</v>
      </c>
    </row>
    <row r="1815" spans="2:5">
      <c r="B1815" s="90" t="s">
        <v>80</v>
      </c>
      <c r="C1815" s="57" t="s">
        <v>148</v>
      </c>
      <c r="D1815" s="60">
        <v>20</v>
      </c>
      <c r="E1815" s="59">
        <v>0</v>
      </c>
    </row>
    <row r="1816" spans="2:5">
      <c r="B1816" s="91"/>
      <c r="C1816" s="57" t="s">
        <v>149</v>
      </c>
      <c r="D1816" s="60">
        <v>17</v>
      </c>
      <c r="E1816" s="59">
        <v>0</v>
      </c>
    </row>
    <row r="1817" spans="2:5">
      <c r="B1817" s="91"/>
      <c r="C1817" s="57" t="s">
        <v>150</v>
      </c>
      <c r="D1817" s="60">
        <v>5</v>
      </c>
      <c r="E1817" s="59">
        <v>0</v>
      </c>
    </row>
    <row r="1818" spans="2:5">
      <c r="B1818" s="91"/>
      <c r="C1818" s="57" t="s">
        <v>180</v>
      </c>
      <c r="D1818" s="60">
        <v>2</v>
      </c>
      <c r="E1818" s="59">
        <v>0</v>
      </c>
    </row>
    <row r="1819" spans="2:5">
      <c r="B1819" s="91"/>
      <c r="C1819" s="57" t="s">
        <v>151</v>
      </c>
      <c r="D1819" s="60">
        <v>31</v>
      </c>
      <c r="E1819" s="59">
        <v>0</v>
      </c>
    </row>
    <row r="1820" spans="2:5">
      <c r="B1820" s="91"/>
      <c r="C1820" s="57" t="s">
        <v>152</v>
      </c>
      <c r="D1820" s="60">
        <v>3</v>
      </c>
      <c r="E1820" s="59">
        <v>0</v>
      </c>
    </row>
    <row r="1821" spans="2:5">
      <c r="B1821" s="91"/>
      <c r="C1821" s="57" t="s">
        <v>182</v>
      </c>
      <c r="D1821" s="60">
        <v>11</v>
      </c>
      <c r="E1821" s="59">
        <v>0</v>
      </c>
    </row>
    <row r="1822" spans="2:5">
      <c r="B1822" s="91"/>
      <c r="C1822" s="57" t="s">
        <v>153</v>
      </c>
      <c r="D1822" s="60">
        <v>2</v>
      </c>
      <c r="E1822" s="59">
        <v>0</v>
      </c>
    </row>
    <row r="1823" spans="2:5">
      <c r="B1823" s="91"/>
      <c r="C1823" s="57" t="s">
        <v>291</v>
      </c>
      <c r="D1823" s="60">
        <v>8</v>
      </c>
      <c r="E1823" s="59">
        <v>0</v>
      </c>
    </row>
    <row r="1824" spans="2:5" ht="28.5">
      <c r="B1824" s="91"/>
      <c r="C1824" s="57" t="s">
        <v>154</v>
      </c>
      <c r="D1824" s="60">
        <v>4</v>
      </c>
      <c r="E1824" s="59">
        <v>0</v>
      </c>
    </row>
    <row r="1825" spans="2:5">
      <c r="B1825" s="91"/>
      <c r="C1825" s="57" t="s">
        <v>155</v>
      </c>
      <c r="D1825" s="60">
        <v>5</v>
      </c>
      <c r="E1825" s="59">
        <v>0</v>
      </c>
    </row>
    <row r="1826" spans="2:5">
      <c r="B1826" s="91"/>
      <c r="C1826" s="57" t="s">
        <v>156</v>
      </c>
      <c r="D1826" s="60">
        <v>1</v>
      </c>
      <c r="E1826" s="59">
        <v>0</v>
      </c>
    </row>
    <row r="1827" spans="2:5">
      <c r="B1827" s="91"/>
      <c r="C1827" s="57" t="s">
        <v>157</v>
      </c>
      <c r="D1827" s="60">
        <v>8</v>
      </c>
      <c r="E1827" s="59">
        <v>0</v>
      </c>
    </row>
    <row r="1828" spans="2:5">
      <c r="B1828" s="91"/>
      <c r="C1828" s="57" t="s">
        <v>158</v>
      </c>
      <c r="D1828" s="60">
        <v>2</v>
      </c>
      <c r="E1828" s="59">
        <v>0</v>
      </c>
    </row>
    <row r="1829" spans="2:5">
      <c r="B1829" s="91"/>
      <c r="C1829" s="57" t="s">
        <v>159</v>
      </c>
      <c r="D1829" s="60">
        <v>18</v>
      </c>
      <c r="E1829" s="59">
        <v>0</v>
      </c>
    </row>
    <row r="1830" spans="2:5">
      <c r="B1830" s="91"/>
      <c r="C1830" s="57" t="s">
        <v>160</v>
      </c>
      <c r="D1830" s="60">
        <v>26</v>
      </c>
      <c r="E1830" s="59">
        <v>0</v>
      </c>
    </row>
    <row r="1831" spans="2:5">
      <c r="B1831" s="91"/>
      <c r="C1831" s="57" t="s">
        <v>161</v>
      </c>
      <c r="D1831" s="60">
        <v>6</v>
      </c>
      <c r="E1831" s="59">
        <v>0</v>
      </c>
    </row>
    <row r="1832" spans="2:5">
      <c r="B1832" s="91"/>
      <c r="C1832" s="57" t="s">
        <v>184</v>
      </c>
      <c r="D1832" s="60">
        <v>2</v>
      </c>
      <c r="E1832" s="59">
        <v>0</v>
      </c>
    </row>
    <row r="1833" spans="2:5">
      <c r="B1833" s="91"/>
      <c r="C1833" s="57" t="s">
        <v>162</v>
      </c>
      <c r="D1833" s="60">
        <v>3</v>
      </c>
      <c r="E1833" s="59">
        <v>0</v>
      </c>
    </row>
    <row r="1834" spans="2:5">
      <c r="B1834" s="91"/>
      <c r="C1834" s="57" t="s">
        <v>186</v>
      </c>
      <c r="D1834" s="60">
        <v>1</v>
      </c>
      <c r="E1834" s="59">
        <v>0</v>
      </c>
    </row>
    <row r="1835" spans="2:5">
      <c r="B1835" s="91"/>
      <c r="C1835" s="57" t="s">
        <v>163</v>
      </c>
      <c r="D1835" s="60">
        <v>6</v>
      </c>
      <c r="E1835" s="59">
        <v>0</v>
      </c>
    </row>
    <row r="1836" spans="2:5">
      <c r="B1836" s="91"/>
      <c r="C1836" s="57" t="s">
        <v>164</v>
      </c>
      <c r="D1836" s="60">
        <v>4</v>
      </c>
      <c r="E1836" s="59">
        <v>0</v>
      </c>
    </row>
    <row r="1837" spans="2:5">
      <c r="B1837" s="91"/>
      <c r="C1837" s="57" t="s">
        <v>165</v>
      </c>
      <c r="D1837" s="60">
        <v>9</v>
      </c>
      <c r="E1837" s="59">
        <v>0</v>
      </c>
    </row>
    <row r="1838" spans="2:5">
      <c r="B1838" s="91"/>
      <c r="C1838" s="57" t="s">
        <v>166</v>
      </c>
      <c r="D1838" s="60">
        <v>11</v>
      </c>
      <c r="E1838" s="59">
        <v>0</v>
      </c>
    </row>
    <row r="1839" spans="2:5">
      <c r="B1839" s="91"/>
      <c r="C1839" s="57" t="s">
        <v>168</v>
      </c>
      <c r="D1839" s="60">
        <v>17</v>
      </c>
      <c r="E1839" s="59">
        <v>0</v>
      </c>
    </row>
    <row r="1840" spans="2:5">
      <c r="B1840" s="91"/>
      <c r="C1840" s="57" t="s">
        <v>169</v>
      </c>
      <c r="D1840" s="60">
        <v>9</v>
      </c>
      <c r="E1840" s="59">
        <v>0</v>
      </c>
    </row>
    <row r="1841" spans="2:5">
      <c r="B1841" s="91"/>
      <c r="C1841" s="57" t="s">
        <v>170</v>
      </c>
      <c r="D1841" s="60">
        <v>2</v>
      </c>
      <c r="E1841" s="59">
        <v>0</v>
      </c>
    </row>
    <row r="1842" spans="2:5">
      <c r="B1842" s="91"/>
      <c r="C1842" s="57" t="s">
        <v>171</v>
      </c>
      <c r="D1842" s="60">
        <v>7</v>
      </c>
      <c r="E1842" s="59">
        <v>0</v>
      </c>
    </row>
    <row r="1843" spans="2:5">
      <c r="B1843" s="91"/>
      <c r="C1843" s="57" t="s">
        <v>172</v>
      </c>
      <c r="D1843" s="60">
        <v>3</v>
      </c>
      <c r="E1843" s="59">
        <v>0</v>
      </c>
    </row>
    <row r="1844" spans="2:5">
      <c r="B1844" s="91"/>
      <c r="C1844" s="57" t="s">
        <v>192</v>
      </c>
      <c r="D1844" s="60">
        <v>1</v>
      </c>
      <c r="E1844" s="59">
        <v>0</v>
      </c>
    </row>
    <row r="1845" spans="2:5">
      <c r="B1845" s="91"/>
      <c r="C1845" s="57" t="s">
        <v>187</v>
      </c>
      <c r="D1845" s="60">
        <v>2</v>
      </c>
      <c r="E1845" s="59">
        <v>0</v>
      </c>
    </row>
    <row r="1846" spans="2:5">
      <c r="B1846" s="91"/>
      <c r="C1846" s="57" t="s">
        <v>188</v>
      </c>
      <c r="D1846" s="60">
        <v>1</v>
      </c>
      <c r="E1846" s="59">
        <v>0</v>
      </c>
    </row>
    <row r="1847" spans="2:5">
      <c r="B1847" s="91"/>
      <c r="C1847" s="57" t="s">
        <v>174</v>
      </c>
      <c r="D1847" s="60">
        <v>1</v>
      </c>
      <c r="E1847" s="59">
        <v>0</v>
      </c>
    </row>
    <row r="1848" spans="2:5">
      <c r="B1848" s="91"/>
      <c r="C1848" s="57" t="s">
        <v>189</v>
      </c>
      <c r="D1848" s="60">
        <v>1</v>
      </c>
      <c r="E1848" s="59">
        <v>0</v>
      </c>
    </row>
    <row r="1849" spans="2:5">
      <c r="B1849" s="91"/>
      <c r="C1849" s="57" t="s">
        <v>175</v>
      </c>
      <c r="D1849" s="60">
        <v>3</v>
      </c>
      <c r="E1849" s="59">
        <v>0</v>
      </c>
    </row>
    <row r="1850" spans="2:5">
      <c r="B1850" s="91"/>
      <c r="C1850" s="57" t="s">
        <v>176</v>
      </c>
      <c r="D1850" s="60">
        <v>7</v>
      </c>
      <c r="E1850" s="59">
        <v>0</v>
      </c>
    </row>
    <row r="1851" spans="2:5">
      <c r="B1851" s="91"/>
      <c r="C1851" s="57" t="s">
        <v>191</v>
      </c>
      <c r="D1851" s="60">
        <v>8</v>
      </c>
      <c r="E1851" s="59">
        <v>0</v>
      </c>
    </row>
    <row r="1852" spans="2:5">
      <c r="B1852" s="91"/>
      <c r="C1852" s="57" t="s">
        <v>179</v>
      </c>
      <c r="D1852" s="60">
        <v>6</v>
      </c>
      <c r="E1852" s="59">
        <v>0</v>
      </c>
    </row>
    <row r="1853" spans="2:5">
      <c r="B1853" s="92"/>
      <c r="C1853" s="71" t="s">
        <v>302</v>
      </c>
      <c r="D1853" s="73">
        <v>273</v>
      </c>
      <c r="E1853" s="72">
        <v>4.0000000000000001E-3</v>
      </c>
    </row>
    <row r="1854" spans="2:5" ht="15" customHeight="1">
      <c r="B1854" s="90" t="s">
        <v>92</v>
      </c>
      <c r="C1854" s="57" t="s">
        <v>148</v>
      </c>
      <c r="D1854" s="60">
        <v>7</v>
      </c>
      <c r="E1854" s="59">
        <v>0</v>
      </c>
    </row>
    <row r="1855" spans="2:5" ht="15" customHeight="1">
      <c r="B1855" s="91"/>
      <c r="C1855" s="57" t="s">
        <v>159</v>
      </c>
      <c r="D1855" s="60">
        <v>1</v>
      </c>
      <c r="E1855" s="59">
        <v>0</v>
      </c>
    </row>
    <row r="1856" spans="2:5" ht="15" customHeight="1">
      <c r="B1856" s="91"/>
      <c r="C1856" s="57" t="s">
        <v>160</v>
      </c>
      <c r="D1856" s="60">
        <v>1</v>
      </c>
      <c r="E1856" s="59">
        <v>0</v>
      </c>
    </row>
    <row r="1857" spans="2:5" ht="15" customHeight="1">
      <c r="B1857" s="91"/>
      <c r="C1857" s="57" t="s">
        <v>186</v>
      </c>
      <c r="D1857" s="60">
        <v>1</v>
      </c>
      <c r="E1857" s="59">
        <v>0</v>
      </c>
    </row>
    <row r="1858" spans="2:5" ht="15" customHeight="1">
      <c r="B1858" s="91"/>
      <c r="C1858" s="57" t="s">
        <v>163</v>
      </c>
      <c r="D1858" s="60">
        <v>2</v>
      </c>
      <c r="E1858" s="59">
        <v>0</v>
      </c>
    </row>
    <row r="1859" spans="2:5" ht="15" customHeight="1">
      <c r="B1859" s="91"/>
      <c r="C1859" s="57" t="s">
        <v>164</v>
      </c>
      <c r="D1859" s="60">
        <v>2</v>
      </c>
      <c r="E1859" s="59">
        <v>0</v>
      </c>
    </row>
    <row r="1860" spans="2:5" ht="15" customHeight="1">
      <c r="B1860" s="91"/>
      <c r="C1860" s="57" t="s">
        <v>165</v>
      </c>
      <c r="D1860" s="60">
        <v>1</v>
      </c>
      <c r="E1860" s="59">
        <v>0</v>
      </c>
    </row>
    <row r="1861" spans="2:5" ht="15" customHeight="1">
      <c r="B1861" s="91"/>
      <c r="C1861" s="57" t="s">
        <v>166</v>
      </c>
      <c r="D1861" s="60">
        <v>4</v>
      </c>
      <c r="E1861" s="59">
        <v>0</v>
      </c>
    </row>
    <row r="1862" spans="2:5" ht="15" customHeight="1">
      <c r="B1862" s="91"/>
      <c r="C1862" s="57" t="s">
        <v>167</v>
      </c>
      <c r="D1862" s="60">
        <v>1</v>
      </c>
      <c r="E1862" s="59">
        <v>0</v>
      </c>
    </row>
    <row r="1863" spans="2:5" ht="15" customHeight="1">
      <c r="B1863" s="91"/>
      <c r="C1863" s="57" t="s">
        <v>170</v>
      </c>
      <c r="D1863" s="60">
        <v>1</v>
      </c>
      <c r="E1863" s="59">
        <v>0</v>
      </c>
    </row>
    <row r="1864" spans="2:5" ht="15" customHeight="1">
      <c r="B1864" s="91"/>
      <c r="C1864" s="57" t="s">
        <v>176</v>
      </c>
      <c r="D1864" s="60">
        <v>2</v>
      </c>
      <c r="E1864" s="59">
        <v>0</v>
      </c>
    </row>
    <row r="1865" spans="2:5" ht="15" customHeight="1">
      <c r="B1865" s="92"/>
      <c r="C1865" s="71" t="s">
        <v>302</v>
      </c>
      <c r="D1865" s="73">
        <v>23</v>
      </c>
      <c r="E1865" s="72">
        <v>0</v>
      </c>
    </row>
    <row r="1866" spans="2:5" ht="15" customHeight="1">
      <c r="B1866" s="88" t="s">
        <v>305</v>
      </c>
      <c r="C1866" s="89"/>
      <c r="D1866" s="46">
        <v>63491</v>
      </c>
      <c r="E1866" s="56">
        <v>1</v>
      </c>
    </row>
    <row r="1867" spans="2:5" ht="15" customHeight="1">
      <c r="B1867" s="51"/>
      <c r="C1867" s="51"/>
      <c r="D1867" s="51"/>
      <c r="E1867" s="51"/>
    </row>
    <row r="1868" spans="2:5" ht="15" customHeight="1">
      <c r="B1868" s="35" t="s">
        <v>284</v>
      </c>
      <c r="C1868" s="51"/>
      <c r="D1868" s="51"/>
      <c r="E1868" s="51"/>
    </row>
    <row r="1869" spans="2:5" ht="15" customHeight="1">
      <c r="B1869" s="36" t="s">
        <v>17</v>
      </c>
      <c r="C1869" s="51"/>
      <c r="D1869" s="51"/>
      <c r="E1869" s="51"/>
    </row>
    <row r="1870" spans="2:5" ht="15" customHeight="1">
      <c r="B1870" s="37" t="s">
        <v>96</v>
      </c>
      <c r="C1870" s="51"/>
      <c r="D1870" s="51"/>
      <c r="E1870" s="51"/>
    </row>
    <row r="1871" spans="2:5" ht="15" customHeight="1">
      <c r="B1871" s="35" t="s">
        <v>16</v>
      </c>
      <c r="C1871" s="51"/>
      <c r="D1871" s="51"/>
      <c r="E1871" s="51"/>
    </row>
    <row r="1872" spans="2:5" ht="15" customHeight="1">
      <c r="B1872" s="35" t="s">
        <v>303</v>
      </c>
      <c r="C1872" s="51"/>
      <c r="D1872" s="51"/>
      <c r="E1872" s="51"/>
    </row>
    <row r="1873" spans="2:5" ht="15" customHeight="1">
      <c r="B1873" s="51"/>
      <c r="C1873" s="51"/>
      <c r="D1873" s="51"/>
      <c r="E1873" s="51"/>
    </row>
    <row r="1874" spans="2:5" ht="15" customHeight="1">
      <c r="B1874" s="51"/>
      <c r="C1874" s="51"/>
      <c r="D1874" s="51"/>
      <c r="E1874" s="51"/>
    </row>
    <row r="1875" spans="2:5" ht="15" customHeight="1">
      <c r="B1875" s="51"/>
      <c r="C1875" s="51"/>
      <c r="D1875" s="51"/>
      <c r="E1875" s="51"/>
    </row>
    <row r="1876" spans="2:5" ht="15" customHeight="1">
      <c r="B1876" s="51"/>
      <c r="C1876" s="51"/>
      <c r="D1876" s="51"/>
      <c r="E1876" s="51"/>
    </row>
    <row r="1877" spans="2:5" ht="15" customHeight="1">
      <c r="B1877" s="51"/>
      <c r="C1877" s="51"/>
      <c r="D1877" s="51"/>
      <c r="E1877" s="51"/>
    </row>
  </sheetData>
  <mergeCells count="53">
    <mergeCell ref="B1683:B1725"/>
    <mergeCell ref="B1726:B1771"/>
    <mergeCell ref="B1772:B1795"/>
    <mergeCell ref="B1068:B1115"/>
    <mergeCell ref="B1116:B1153"/>
    <mergeCell ref="B1154:B1198"/>
    <mergeCell ref="B1199:B1234"/>
    <mergeCell ref="B1235:B1279"/>
    <mergeCell ref="B1280:B1313"/>
    <mergeCell ref="B1314:B1335"/>
    <mergeCell ref="B1336:B1382"/>
    <mergeCell ref="B1383:B1430"/>
    <mergeCell ref="B1431:B1471"/>
    <mergeCell ref="B1472:B1509"/>
    <mergeCell ref="B1510:B1555"/>
    <mergeCell ref="B1556:B1599"/>
    <mergeCell ref="B349:B391"/>
    <mergeCell ref="B392:B437"/>
    <mergeCell ref="B438:B439"/>
    <mergeCell ref="B440:B448"/>
    <mergeCell ref="B1640:B1682"/>
    <mergeCell ref="B1600:B1639"/>
    <mergeCell ref="B200:B224"/>
    <mergeCell ref="B225:B238"/>
    <mergeCell ref="B239:B286"/>
    <mergeCell ref="B287:B334"/>
    <mergeCell ref="B335:B348"/>
    <mergeCell ref="B10:B48"/>
    <mergeCell ref="B49:B95"/>
    <mergeCell ref="B96:B141"/>
    <mergeCell ref="B142:B180"/>
    <mergeCell ref="B181:B199"/>
    <mergeCell ref="B1031:B1067"/>
    <mergeCell ref="B449:B474"/>
    <mergeCell ref="B475:B513"/>
    <mergeCell ref="B514:B558"/>
    <mergeCell ref="B559:B606"/>
    <mergeCell ref="B799:B846"/>
    <mergeCell ref="B7:E8"/>
    <mergeCell ref="B1866:C1866"/>
    <mergeCell ref="B607:B650"/>
    <mergeCell ref="B651:B695"/>
    <mergeCell ref="B696:B719"/>
    <mergeCell ref="B720:B753"/>
    <mergeCell ref="B754:B798"/>
    <mergeCell ref="B1796:B1814"/>
    <mergeCell ref="B1815:B1853"/>
    <mergeCell ref="B1854:B1865"/>
    <mergeCell ref="B847:B885"/>
    <mergeCell ref="B886:B927"/>
    <mergeCell ref="B928:B966"/>
    <mergeCell ref="B967:B988"/>
    <mergeCell ref="B989:B103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74"/>
  <sheetViews>
    <sheetView showGridLines="0" view="pageBreakPreview" zoomScale="115" zoomScaleNormal="85" zoomScaleSheetLayoutView="115" workbookViewId="0">
      <selection activeCell="B12" sqref="B12:D12"/>
    </sheetView>
  </sheetViews>
  <sheetFormatPr baseColWidth="10" defaultColWidth="11.42578125" defaultRowHeight="15"/>
  <cols>
    <col min="1" max="1" width="9.28515625" style="13" customWidth="1"/>
    <col min="2" max="2" width="33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4"/>
      <c r="B7" s="87" t="s">
        <v>38</v>
      </c>
      <c r="C7" s="87"/>
      <c r="D7" s="87"/>
      <c r="E7" s="34"/>
      <c r="F7" s="34"/>
    </row>
    <row r="8" spans="1:6" s="16" customFormat="1" ht="15" customHeight="1">
      <c r="A8" s="34"/>
      <c r="B8" s="87"/>
      <c r="C8" s="87"/>
      <c r="D8" s="87"/>
      <c r="E8" s="34"/>
      <c r="F8" s="34"/>
    </row>
    <row r="9" spans="1:6" s="16" customFormat="1" ht="33" customHeight="1">
      <c r="A9" s="34"/>
      <c r="B9" s="87"/>
      <c r="C9" s="87"/>
      <c r="D9" s="87"/>
      <c r="E9" s="34"/>
      <c r="F9" s="34"/>
    </row>
    <row r="10" spans="1:6" s="16" customFormat="1" ht="4.5" customHeight="1">
      <c r="A10" s="34"/>
      <c r="B10" s="40"/>
      <c r="C10" s="40"/>
      <c r="D10" s="40"/>
      <c r="E10" s="34"/>
      <c r="F10" s="34"/>
    </row>
    <row r="11" spans="1:6" s="16" customFormat="1" ht="33" customHeight="1">
      <c r="A11" s="34"/>
      <c r="B11" s="41" t="s">
        <v>26</v>
      </c>
      <c r="C11" s="42" t="s">
        <v>25</v>
      </c>
      <c r="D11" s="43" t="s">
        <v>18</v>
      </c>
      <c r="E11" s="34"/>
      <c r="F11" s="34"/>
    </row>
    <row r="12" spans="1:6" ht="16.5">
      <c r="A12" s="31"/>
      <c r="B12" s="61" t="s">
        <v>193</v>
      </c>
      <c r="C12" s="62">
        <v>1196</v>
      </c>
      <c r="D12" s="63">
        <v>1.8837315525034998E-2</v>
      </c>
      <c r="E12" s="31"/>
      <c r="F12" s="31"/>
    </row>
    <row r="13" spans="1:6" ht="16.5">
      <c r="A13" s="31"/>
      <c r="B13" s="61" t="s">
        <v>292</v>
      </c>
      <c r="C13" s="62">
        <v>11</v>
      </c>
      <c r="D13" s="63">
        <v>1.7325290198600001E-4</v>
      </c>
      <c r="E13" s="31"/>
      <c r="F13" s="31"/>
    </row>
    <row r="14" spans="1:6" ht="16.5">
      <c r="A14" s="31"/>
      <c r="B14" s="61" t="s">
        <v>194</v>
      </c>
      <c r="C14" s="62">
        <v>360</v>
      </c>
      <c r="D14" s="63">
        <v>5.6700949740910002E-3</v>
      </c>
      <c r="E14" s="31"/>
      <c r="F14" s="31"/>
    </row>
    <row r="15" spans="1:6" ht="16.5">
      <c r="A15" s="31"/>
      <c r="B15" s="61" t="s">
        <v>195</v>
      </c>
      <c r="C15" s="62">
        <v>715</v>
      </c>
      <c r="D15" s="63">
        <v>1.1261438629097001E-2</v>
      </c>
      <c r="E15" s="31"/>
      <c r="F15" s="31"/>
    </row>
    <row r="16" spans="1:6" ht="16.5">
      <c r="A16" s="31"/>
      <c r="B16" s="61" t="s">
        <v>196</v>
      </c>
      <c r="C16" s="62">
        <v>1350</v>
      </c>
      <c r="D16" s="63">
        <v>2.1262856152841E-2</v>
      </c>
      <c r="E16" s="31"/>
      <c r="F16" s="31"/>
    </row>
    <row r="17" spans="1:6" ht="16.5">
      <c r="A17" s="31"/>
      <c r="B17" s="61" t="s">
        <v>197</v>
      </c>
      <c r="C17" s="62">
        <v>970</v>
      </c>
      <c r="D17" s="63">
        <v>1.5277755902411001E-2</v>
      </c>
      <c r="E17" s="31"/>
      <c r="F17" s="31"/>
    </row>
    <row r="18" spans="1:6" ht="16.5">
      <c r="A18" s="31"/>
      <c r="B18" s="61" t="s">
        <v>198</v>
      </c>
      <c r="C18" s="62">
        <v>1112</v>
      </c>
      <c r="D18" s="63">
        <v>1.7514293364413999E-2</v>
      </c>
      <c r="E18" s="31"/>
      <c r="F18" s="31"/>
    </row>
    <row r="19" spans="1:6" ht="16.5">
      <c r="A19" s="31"/>
      <c r="B19" s="61" t="s">
        <v>199</v>
      </c>
      <c r="C19" s="62">
        <v>5665</v>
      </c>
      <c r="D19" s="63">
        <v>8.9225244522845998E-2</v>
      </c>
      <c r="E19" s="31"/>
      <c r="F19" s="31"/>
    </row>
    <row r="20" spans="1:6" ht="16.5">
      <c r="A20" s="31"/>
      <c r="B20" s="61" t="s">
        <v>200</v>
      </c>
      <c r="C20" s="62">
        <v>11245</v>
      </c>
      <c r="D20" s="63">
        <v>0.177111716621253</v>
      </c>
      <c r="E20" s="31"/>
      <c r="F20" s="31"/>
    </row>
    <row r="21" spans="1:6" ht="16.5">
      <c r="A21" s="31"/>
      <c r="B21" s="61" t="s">
        <v>201</v>
      </c>
      <c r="C21" s="62">
        <v>721</v>
      </c>
      <c r="D21" s="63">
        <v>1.1355940211999E-2</v>
      </c>
      <c r="E21" s="31"/>
      <c r="F21" s="31"/>
    </row>
    <row r="22" spans="1:6" ht="16.5">
      <c r="A22" s="31"/>
      <c r="B22" s="61" t="s">
        <v>202</v>
      </c>
      <c r="C22" s="62">
        <v>1406</v>
      </c>
      <c r="D22" s="63">
        <v>2.2144870926588001E-2</v>
      </c>
      <c r="E22" s="31"/>
      <c r="F22" s="31"/>
    </row>
    <row r="23" spans="1:6" ht="16.5">
      <c r="A23" s="31"/>
      <c r="B23" s="61" t="s">
        <v>203</v>
      </c>
      <c r="C23" s="62">
        <v>2767</v>
      </c>
      <c r="D23" s="63">
        <v>4.3580979981414997E-2</v>
      </c>
      <c r="E23" s="31"/>
      <c r="F23" s="31"/>
    </row>
    <row r="24" spans="1:6" ht="16.5">
      <c r="A24" s="31"/>
      <c r="B24" s="61" t="s">
        <v>204</v>
      </c>
      <c r="C24" s="62">
        <v>20723</v>
      </c>
      <c r="D24" s="63">
        <v>0.32639271707801099</v>
      </c>
      <c r="E24" s="31"/>
      <c r="F24" s="31"/>
    </row>
    <row r="25" spans="1:6" ht="16.5">
      <c r="A25" s="31"/>
      <c r="B25" s="61" t="s">
        <v>205</v>
      </c>
      <c r="C25" s="62">
        <v>536</v>
      </c>
      <c r="D25" s="63">
        <v>8.4421414058690001E-3</v>
      </c>
      <c r="E25" s="31"/>
      <c r="F25" s="31"/>
    </row>
    <row r="26" spans="1:6" ht="16.5">
      <c r="A26" s="31"/>
      <c r="B26" s="61" t="s">
        <v>206</v>
      </c>
      <c r="C26" s="62">
        <v>2681</v>
      </c>
      <c r="D26" s="63">
        <v>4.2226457293159998E-2</v>
      </c>
      <c r="E26" s="31"/>
      <c r="F26" s="31"/>
    </row>
    <row r="27" spans="1:6" ht="15" customHeight="1">
      <c r="A27" s="31"/>
      <c r="B27" s="61" t="s">
        <v>207</v>
      </c>
      <c r="C27" s="62">
        <v>9934</v>
      </c>
      <c r="D27" s="63">
        <v>0.15646312075727301</v>
      </c>
      <c r="E27" s="31"/>
      <c r="F27" s="31"/>
    </row>
    <row r="28" spans="1:6" ht="16.5">
      <c r="A28" s="31"/>
      <c r="B28" s="61" t="s">
        <v>208</v>
      </c>
      <c r="C28" s="62">
        <v>152</v>
      </c>
      <c r="D28" s="63">
        <v>2.3940401001720001E-3</v>
      </c>
      <c r="E28" s="31"/>
      <c r="F28" s="31"/>
    </row>
    <row r="29" spans="1:6" ht="16.5">
      <c r="A29" s="31"/>
      <c r="B29" s="61" t="s">
        <v>209</v>
      </c>
      <c r="C29" s="62">
        <v>165</v>
      </c>
      <c r="D29" s="63">
        <v>2.5987935297920001E-3</v>
      </c>
      <c r="E29" s="31"/>
      <c r="F29" s="31"/>
    </row>
    <row r="30" spans="1:6" ht="16.5">
      <c r="A30" s="31"/>
      <c r="B30" s="61" t="s">
        <v>210</v>
      </c>
      <c r="C30" s="62">
        <v>82</v>
      </c>
      <c r="D30" s="63">
        <v>1.291521632987E-3</v>
      </c>
      <c r="E30" s="31"/>
      <c r="F30" s="31"/>
    </row>
    <row r="31" spans="1:6" ht="16.5">
      <c r="A31" s="31"/>
      <c r="B31" s="61" t="s">
        <v>211</v>
      </c>
      <c r="C31" s="62">
        <v>56</v>
      </c>
      <c r="D31" s="63">
        <v>8.8201477374700004E-4</v>
      </c>
      <c r="E31" s="31"/>
      <c r="F31" s="31"/>
    </row>
    <row r="32" spans="1:6" ht="16.5">
      <c r="A32" s="31"/>
      <c r="B32" s="61" t="s">
        <v>212</v>
      </c>
      <c r="C32" s="62">
        <v>393</v>
      </c>
      <c r="D32" s="63">
        <v>6.1898536800490001E-3</v>
      </c>
      <c r="E32" s="31"/>
      <c r="F32" s="31"/>
    </row>
    <row r="33" spans="1:6" ht="16.5">
      <c r="A33" s="31"/>
      <c r="B33" s="61" t="s">
        <v>213</v>
      </c>
      <c r="C33" s="62">
        <v>1121</v>
      </c>
      <c r="D33" s="63">
        <v>1.7656045738765998E-2</v>
      </c>
      <c r="E33" s="31"/>
      <c r="F33" s="31"/>
    </row>
    <row r="34" spans="1:6" ht="16.5">
      <c r="A34" s="31"/>
      <c r="B34" s="61" t="s">
        <v>214</v>
      </c>
      <c r="C34" s="62">
        <v>79</v>
      </c>
      <c r="D34" s="63">
        <v>1.244270841537E-3</v>
      </c>
      <c r="E34" s="31"/>
      <c r="F34" s="31"/>
    </row>
    <row r="35" spans="1:6" ht="16.5">
      <c r="A35" s="31"/>
      <c r="B35" s="61" t="s">
        <v>215</v>
      </c>
      <c r="C35" s="62">
        <v>38</v>
      </c>
      <c r="D35" s="63">
        <v>5.9851002504300002E-4</v>
      </c>
      <c r="E35" s="31"/>
      <c r="F35" s="31"/>
    </row>
    <row r="36" spans="1:6" ht="16.5">
      <c r="A36" s="31"/>
      <c r="B36" s="61" t="s">
        <v>216</v>
      </c>
      <c r="C36" s="62">
        <v>13</v>
      </c>
      <c r="D36" s="63">
        <v>2.0475342962000001E-4</v>
      </c>
      <c r="E36" s="31"/>
      <c r="F36" s="31"/>
    </row>
    <row r="37" spans="1:6" ht="16.5">
      <c r="A37" s="31"/>
      <c r="B37" s="64" t="s">
        <v>306</v>
      </c>
      <c r="C37" s="65">
        <v>63491</v>
      </c>
      <c r="D37" s="66">
        <v>1</v>
      </c>
      <c r="E37" s="31"/>
      <c r="F37" s="31"/>
    </row>
    <row r="38" spans="1:6" ht="12" customHeight="1">
      <c r="A38" s="31"/>
      <c r="B38" s="31"/>
      <c r="C38" s="31"/>
      <c r="D38" s="31"/>
      <c r="E38" s="31"/>
      <c r="F38" s="31"/>
    </row>
    <row r="39" spans="1:6" ht="16.5">
      <c r="B39" s="35" t="s">
        <v>284</v>
      </c>
      <c r="C39" s="31"/>
      <c r="D39" s="31"/>
      <c r="E39" s="31"/>
      <c r="F39" s="31"/>
    </row>
    <row r="40" spans="1:6" ht="16.5">
      <c r="B40" s="36" t="s">
        <v>17</v>
      </c>
      <c r="C40" s="31"/>
      <c r="D40" s="31"/>
      <c r="E40" s="31"/>
      <c r="F40" s="31"/>
    </row>
    <row r="41" spans="1:6" ht="16.5">
      <c r="B41" s="37" t="s">
        <v>96</v>
      </c>
      <c r="C41" s="31"/>
      <c r="D41" s="31"/>
      <c r="E41" s="31"/>
      <c r="F41" s="31"/>
    </row>
    <row r="42" spans="1:6" ht="16.5">
      <c r="B42" s="35" t="s">
        <v>16</v>
      </c>
      <c r="C42" s="31"/>
      <c r="D42" s="31"/>
      <c r="E42" s="31"/>
      <c r="F42" s="31"/>
    </row>
    <row r="43" spans="1:6" ht="16.5">
      <c r="B43" s="35" t="s">
        <v>303</v>
      </c>
      <c r="C43" s="31"/>
      <c r="D43" s="31"/>
      <c r="E43" s="31"/>
      <c r="F43" s="31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  <row r="73" spans="3:3">
      <c r="C73" s="13"/>
    </row>
    <row r="74" spans="3:3">
      <c r="C74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833"/>
  <sheetViews>
    <sheetView showGridLines="0" view="pageBreakPreview" topLeftCell="A790" zoomScaleNormal="85" zoomScaleSheetLayoutView="100" workbookViewId="0">
      <selection activeCell="D827" sqref="D827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31.425781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A6" s="38"/>
      <c r="B6" s="47"/>
      <c r="C6" s="38"/>
      <c r="D6" s="38"/>
      <c r="E6" s="38"/>
    </row>
    <row r="7" spans="1:5" s="22" customFormat="1" ht="26.25" customHeight="1">
      <c r="A7" s="52"/>
      <c r="B7" s="93"/>
      <c r="C7" s="93"/>
      <c r="D7" s="93"/>
      <c r="E7" s="93"/>
    </row>
    <row r="8" spans="1:5" s="22" customFormat="1" ht="33" customHeight="1">
      <c r="A8" s="52"/>
      <c r="B8" s="93"/>
      <c r="C8" s="93"/>
      <c r="D8" s="93"/>
      <c r="E8" s="93"/>
    </row>
    <row r="9" spans="1:5" s="16" customFormat="1" ht="40.5" customHeight="1">
      <c r="A9" s="34"/>
      <c r="B9" s="48" t="s">
        <v>27</v>
      </c>
      <c r="C9" s="49" t="s">
        <v>24</v>
      </c>
      <c r="D9" s="50" t="s">
        <v>19</v>
      </c>
      <c r="E9" s="48" t="s">
        <v>18</v>
      </c>
    </row>
    <row r="10" spans="1:5" ht="15" customHeight="1">
      <c r="A10" s="51"/>
      <c r="B10" s="96" t="s">
        <v>193</v>
      </c>
      <c r="C10" s="61" t="s">
        <v>310</v>
      </c>
      <c r="D10" s="62">
        <v>3</v>
      </c>
      <c r="E10" s="63">
        <v>4.7250791451000003E-5</v>
      </c>
    </row>
    <row r="11" spans="1:5" ht="15" customHeight="1">
      <c r="A11" s="51"/>
      <c r="B11" s="97"/>
      <c r="C11" s="61" t="s">
        <v>311</v>
      </c>
      <c r="D11" s="62">
        <v>18</v>
      </c>
      <c r="E11" s="63">
        <v>2.8350474870499998E-4</v>
      </c>
    </row>
    <row r="12" spans="1:5" ht="15" customHeight="1">
      <c r="A12" s="51"/>
      <c r="B12" s="97"/>
      <c r="C12" s="61" t="s">
        <v>312</v>
      </c>
      <c r="D12" s="62">
        <v>29</v>
      </c>
      <c r="E12" s="63">
        <v>4.5675765069100001E-4</v>
      </c>
    </row>
    <row r="13" spans="1:5" ht="15" customHeight="1">
      <c r="A13" s="51"/>
      <c r="B13" s="97"/>
      <c r="C13" s="61" t="s">
        <v>313</v>
      </c>
      <c r="D13" s="62">
        <v>330</v>
      </c>
      <c r="E13" s="63">
        <v>5.197587059583E-3</v>
      </c>
    </row>
    <row r="14" spans="1:5" ht="15" customHeight="1">
      <c r="A14" s="51"/>
      <c r="B14" s="97"/>
      <c r="C14" s="61" t="s">
        <v>314</v>
      </c>
      <c r="D14" s="62">
        <v>15</v>
      </c>
      <c r="E14" s="63">
        <v>2.3625395725399999E-4</v>
      </c>
    </row>
    <row r="15" spans="1:5" ht="15" customHeight="1">
      <c r="A15" s="51"/>
      <c r="B15" s="97"/>
      <c r="C15" s="61" t="s">
        <v>315</v>
      </c>
      <c r="D15" s="62">
        <v>2</v>
      </c>
      <c r="E15" s="63">
        <v>3.1500527634000002E-5</v>
      </c>
    </row>
    <row r="16" spans="1:5" ht="15" customHeight="1">
      <c r="B16" s="97"/>
      <c r="C16" s="61" t="s">
        <v>316</v>
      </c>
      <c r="D16" s="62">
        <v>2</v>
      </c>
      <c r="E16" s="63">
        <v>3.1500527634000002E-5</v>
      </c>
    </row>
    <row r="17" spans="2:5" ht="15" customHeight="1">
      <c r="B17" s="97"/>
      <c r="C17" s="61" t="s">
        <v>317</v>
      </c>
      <c r="D17" s="62">
        <v>35</v>
      </c>
      <c r="E17" s="63">
        <v>5.5125923359200003E-4</v>
      </c>
    </row>
    <row r="18" spans="2:5" ht="15" customHeight="1">
      <c r="B18" s="97"/>
      <c r="C18" s="61" t="s">
        <v>318</v>
      </c>
      <c r="D18" s="62">
        <v>37</v>
      </c>
      <c r="E18" s="63">
        <v>5.8275976122599995E-4</v>
      </c>
    </row>
    <row r="19" spans="2:5" ht="15" customHeight="1">
      <c r="B19" s="97"/>
      <c r="C19" s="61" t="s">
        <v>319</v>
      </c>
      <c r="D19" s="62">
        <v>8</v>
      </c>
      <c r="E19" s="63">
        <v>1.2600211053499999E-4</v>
      </c>
    </row>
    <row r="20" spans="2:5" ht="15" customHeight="1">
      <c r="B20" s="97"/>
      <c r="C20" s="61" t="s">
        <v>320</v>
      </c>
      <c r="D20" s="62">
        <v>89</v>
      </c>
      <c r="E20" s="63">
        <v>1.401773479706E-3</v>
      </c>
    </row>
    <row r="21" spans="2:5" ht="15" customHeight="1">
      <c r="B21" s="97"/>
      <c r="C21" s="61" t="s">
        <v>321</v>
      </c>
      <c r="D21" s="62">
        <v>10</v>
      </c>
      <c r="E21" s="63">
        <v>1.57502638169E-4</v>
      </c>
    </row>
    <row r="22" spans="2:5" ht="15" customHeight="1">
      <c r="B22" s="97"/>
      <c r="C22" s="61" t="s">
        <v>322</v>
      </c>
      <c r="D22" s="62">
        <v>4</v>
      </c>
      <c r="E22" s="63">
        <v>6.3001055268000004E-5</v>
      </c>
    </row>
    <row r="23" spans="2:5" ht="15" customHeight="1">
      <c r="B23" s="97"/>
      <c r="C23" s="61" t="s">
        <v>323</v>
      </c>
      <c r="D23" s="62">
        <v>7</v>
      </c>
      <c r="E23" s="63">
        <v>1.1025184671800001E-4</v>
      </c>
    </row>
    <row r="24" spans="2:5" ht="15" customHeight="1">
      <c r="B24" s="97"/>
      <c r="C24" s="61" t="s">
        <v>324</v>
      </c>
      <c r="D24" s="62">
        <v>5</v>
      </c>
      <c r="E24" s="63">
        <v>7.8751319085000005E-5</v>
      </c>
    </row>
    <row r="25" spans="2:5" ht="15" customHeight="1">
      <c r="B25" s="97"/>
      <c r="C25" s="61" t="s">
        <v>325</v>
      </c>
      <c r="D25" s="62">
        <v>8</v>
      </c>
      <c r="E25" s="63">
        <v>1.2600211053499999E-4</v>
      </c>
    </row>
    <row r="26" spans="2:5" ht="15" customHeight="1">
      <c r="B26" s="97"/>
      <c r="C26" s="61" t="s">
        <v>326</v>
      </c>
      <c r="D26" s="62">
        <v>3</v>
      </c>
      <c r="E26" s="63">
        <v>4.7250791451000003E-5</v>
      </c>
    </row>
    <row r="27" spans="2:5" ht="15" customHeight="1">
      <c r="B27" s="97"/>
      <c r="C27" s="61" t="s">
        <v>327</v>
      </c>
      <c r="D27" s="62">
        <v>15</v>
      </c>
      <c r="E27" s="63">
        <v>2.3625395725399999E-4</v>
      </c>
    </row>
    <row r="28" spans="2:5" ht="15" customHeight="1">
      <c r="B28" s="97"/>
      <c r="C28" s="61" t="s">
        <v>328</v>
      </c>
      <c r="D28" s="62">
        <v>12</v>
      </c>
      <c r="E28" s="63">
        <v>1.89003165803E-4</v>
      </c>
    </row>
    <row r="29" spans="2:5" ht="15" customHeight="1">
      <c r="B29" s="97"/>
      <c r="C29" s="61" t="s">
        <v>329</v>
      </c>
      <c r="D29" s="62">
        <v>3</v>
      </c>
      <c r="E29" s="63">
        <v>4.7250791451000003E-5</v>
      </c>
    </row>
    <row r="30" spans="2:5" ht="15" customHeight="1">
      <c r="B30" s="97"/>
      <c r="C30" s="61" t="s">
        <v>330</v>
      </c>
      <c r="D30" s="62">
        <v>6</v>
      </c>
      <c r="E30" s="63">
        <v>9.4501582902000006E-5</v>
      </c>
    </row>
    <row r="31" spans="2:5" ht="15" customHeight="1">
      <c r="B31" s="97"/>
      <c r="C31" s="61" t="s">
        <v>331</v>
      </c>
      <c r="D31" s="62">
        <v>1</v>
      </c>
      <c r="E31" s="63">
        <v>1.5750263817000001E-5</v>
      </c>
    </row>
    <row r="32" spans="2:5" ht="15" customHeight="1">
      <c r="B32" s="97"/>
      <c r="C32" s="61" t="s">
        <v>332</v>
      </c>
      <c r="D32" s="62">
        <v>4</v>
      </c>
      <c r="E32" s="63">
        <v>6.3001055268000004E-5</v>
      </c>
    </row>
    <row r="33" spans="2:5" ht="15" customHeight="1">
      <c r="B33" s="97"/>
      <c r="C33" s="61" t="s">
        <v>333</v>
      </c>
      <c r="D33" s="62">
        <v>8</v>
      </c>
      <c r="E33" s="63">
        <v>1.2600211053499999E-4</v>
      </c>
    </row>
    <row r="34" spans="2:5" ht="15" customHeight="1">
      <c r="B34" s="97"/>
      <c r="C34" s="61" t="s">
        <v>334</v>
      </c>
      <c r="D34" s="62">
        <v>1</v>
      </c>
      <c r="E34" s="63">
        <v>1.5750263817000001E-5</v>
      </c>
    </row>
    <row r="35" spans="2:5" ht="15" customHeight="1">
      <c r="B35" s="97"/>
      <c r="C35" s="61" t="s">
        <v>335</v>
      </c>
      <c r="D35" s="62">
        <v>1</v>
      </c>
      <c r="E35" s="63">
        <v>1.5750263817000001E-5</v>
      </c>
    </row>
    <row r="36" spans="2:5" ht="15" customHeight="1">
      <c r="B36" s="97"/>
      <c r="C36" s="61" t="s">
        <v>336</v>
      </c>
      <c r="D36" s="62">
        <v>2</v>
      </c>
      <c r="E36" s="63">
        <v>3.1500527634000002E-5</v>
      </c>
    </row>
    <row r="37" spans="2:5" ht="15" customHeight="1">
      <c r="B37" s="97"/>
      <c r="C37" s="61" t="s">
        <v>337</v>
      </c>
      <c r="D37" s="62">
        <v>39</v>
      </c>
      <c r="E37" s="63">
        <v>6.1426028885999998E-4</v>
      </c>
    </row>
    <row r="38" spans="2:5" ht="15" customHeight="1">
      <c r="B38" s="97"/>
      <c r="C38" s="61" t="s">
        <v>338</v>
      </c>
      <c r="D38" s="62">
        <v>12</v>
      </c>
      <c r="E38" s="63">
        <v>1.89003165803E-4</v>
      </c>
    </row>
    <row r="39" spans="2:5" ht="15" customHeight="1">
      <c r="B39" s="97"/>
      <c r="C39" s="61" t="s">
        <v>339</v>
      </c>
      <c r="D39" s="62">
        <v>34</v>
      </c>
      <c r="E39" s="63">
        <v>5.3550896977499996E-4</v>
      </c>
    </row>
    <row r="40" spans="2:5" ht="15" customHeight="1">
      <c r="B40" s="97"/>
      <c r="C40" s="61" t="s">
        <v>340</v>
      </c>
      <c r="D40" s="62">
        <v>1</v>
      </c>
      <c r="E40" s="63">
        <v>1.5750263817000001E-5</v>
      </c>
    </row>
    <row r="41" spans="2:5" ht="15" customHeight="1">
      <c r="B41" s="97"/>
      <c r="C41" s="61" t="s">
        <v>341</v>
      </c>
      <c r="D41" s="62">
        <v>7</v>
      </c>
      <c r="E41" s="63">
        <v>1.1025184671800001E-4</v>
      </c>
    </row>
    <row r="42" spans="2:5" ht="15" customHeight="1">
      <c r="B42" s="97"/>
      <c r="C42" s="61" t="s">
        <v>342</v>
      </c>
      <c r="D42" s="62">
        <v>5</v>
      </c>
      <c r="E42" s="63">
        <v>7.8751319085000005E-5</v>
      </c>
    </row>
    <row r="43" spans="2:5" ht="15" customHeight="1">
      <c r="B43" s="97"/>
      <c r="C43" s="61" t="s">
        <v>343</v>
      </c>
      <c r="D43" s="62">
        <v>17</v>
      </c>
      <c r="E43" s="63">
        <v>2.6775448488800002E-4</v>
      </c>
    </row>
    <row r="44" spans="2:5" ht="15" customHeight="1">
      <c r="B44" s="97"/>
      <c r="C44" s="61" t="s">
        <v>344</v>
      </c>
      <c r="D44" s="62">
        <v>391</v>
      </c>
      <c r="E44" s="63">
        <v>6.158353152415E-3</v>
      </c>
    </row>
    <row r="45" spans="2:5" ht="15" customHeight="1">
      <c r="B45" s="97"/>
      <c r="C45" s="61" t="s">
        <v>345</v>
      </c>
      <c r="D45" s="62">
        <v>9</v>
      </c>
      <c r="E45" s="63">
        <v>1.4175237435200001E-4</v>
      </c>
    </row>
    <row r="46" spans="2:5" ht="15" customHeight="1">
      <c r="B46" s="97"/>
      <c r="C46" s="61" t="s">
        <v>346</v>
      </c>
      <c r="D46" s="62">
        <v>9</v>
      </c>
      <c r="E46" s="63">
        <v>1.4175237435200001E-4</v>
      </c>
    </row>
    <row r="47" spans="2:5" ht="15" customHeight="1">
      <c r="B47" s="97"/>
      <c r="C47" s="61" t="s">
        <v>347</v>
      </c>
      <c r="D47" s="62">
        <v>4</v>
      </c>
      <c r="E47" s="63">
        <v>6.3001055268000004E-5</v>
      </c>
    </row>
    <row r="48" spans="2:5" ht="15" customHeight="1">
      <c r="B48" s="97"/>
      <c r="C48" s="61" t="s">
        <v>348</v>
      </c>
      <c r="D48" s="62">
        <v>9</v>
      </c>
      <c r="E48" s="63">
        <v>1.4175237435200001E-4</v>
      </c>
    </row>
    <row r="49" spans="2:5" ht="15" customHeight="1">
      <c r="B49" s="97"/>
      <c r="C49" s="61" t="s">
        <v>349</v>
      </c>
      <c r="D49" s="62">
        <v>1</v>
      </c>
      <c r="E49" s="63">
        <v>1.5750263817000001E-5</v>
      </c>
    </row>
    <row r="50" spans="2:5" ht="15" customHeight="1">
      <c r="B50" s="98"/>
      <c r="C50" s="75" t="s">
        <v>304</v>
      </c>
      <c r="D50" s="74">
        <v>1196</v>
      </c>
      <c r="E50" s="76">
        <v>1.8837315525034998E-2</v>
      </c>
    </row>
    <row r="51" spans="2:5" ht="15" customHeight="1">
      <c r="B51" s="96" t="s">
        <v>292</v>
      </c>
      <c r="C51" s="61" t="s">
        <v>313</v>
      </c>
      <c r="D51" s="62">
        <v>1</v>
      </c>
      <c r="E51" s="63">
        <v>1.5750263817000001E-5</v>
      </c>
    </row>
    <row r="52" spans="2:5" ht="15" customHeight="1">
      <c r="B52" s="97"/>
      <c r="C52" s="61" t="s">
        <v>320</v>
      </c>
      <c r="D52" s="62">
        <v>1</v>
      </c>
      <c r="E52" s="63">
        <v>1.5750263817000001E-5</v>
      </c>
    </row>
    <row r="53" spans="2:5" ht="15" customHeight="1">
      <c r="B53" s="97"/>
      <c r="C53" s="61" t="s">
        <v>332</v>
      </c>
      <c r="D53" s="62">
        <v>2</v>
      </c>
      <c r="E53" s="63">
        <v>3.1500527634000002E-5</v>
      </c>
    </row>
    <row r="54" spans="2:5" ht="15" customHeight="1">
      <c r="B54" s="97"/>
      <c r="C54" s="61" t="s">
        <v>344</v>
      </c>
      <c r="D54" s="62">
        <v>7</v>
      </c>
      <c r="E54" s="63">
        <v>1.1025184671800001E-4</v>
      </c>
    </row>
    <row r="55" spans="2:5" ht="15" customHeight="1">
      <c r="B55" s="98"/>
      <c r="C55" s="75" t="s">
        <v>304</v>
      </c>
      <c r="D55" s="74">
        <v>11</v>
      </c>
      <c r="E55" s="76">
        <v>1.7325290198600001E-4</v>
      </c>
    </row>
    <row r="56" spans="2:5" ht="15" customHeight="1">
      <c r="B56" s="96" t="s">
        <v>194</v>
      </c>
      <c r="C56" s="61" t="s">
        <v>311</v>
      </c>
      <c r="D56" s="62">
        <v>13</v>
      </c>
      <c r="E56" s="63">
        <v>2.0475342962000001E-4</v>
      </c>
    </row>
    <row r="57" spans="2:5" ht="15" customHeight="1">
      <c r="B57" s="97"/>
      <c r="C57" s="61" t="s">
        <v>312</v>
      </c>
      <c r="D57" s="62">
        <v>6</v>
      </c>
      <c r="E57" s="63">
        <v>9.4501582902000006E-5</v>
      </c>
    </row>
    <row r="58" spans="2:5" ht="15" customHeight="1">
      <c r="B58" s="97"/>
      <c r="C58" s="61" t="s">
        <v>313</v>
      </c>
      <c r="D58" s="62">
        <v>97</v>
      </c>
      <c r="E58" s="63">
        <v>1.5277755902410001E-3</v>
      </c>
    </row>
    <row r="59" spans="2:5" ht="15" customHeight="1">
      <c r="B59" s="97"/>
      <c r="C59" s="61" t="s">
        <v>314</v>
      </c>
      <c r="D59" s="62">
        <v>3</v>
      </c>
      <c r="E59" s="63">
        <v>4.7250791451000003E-5</v>
      </c>
    </row>
    <row r="60" spans="2:5" ht="15" customHeight="1">
      <c r="B60" s="97"/>
      <c r="C60" s="61" t="s">
        <v>316</v>
      </c>
      <c r="D60" s="62">
        <v>1</v>
      </c>
      <c r="E60" s="63">
        <v>1.5750263817000001E-5</v>
      </c>
    </row>
    <row r="61" spans="2:5" ht="15" customHeight="1">
      <c r="B61" s="97"/>
      <c r="C61" s="61" t="s">
        <v>317</v>
      </c>
      <c r="D61" s="62">
        <v>8</v>
      </c>
      <c r="E61" s="63">
        <v>1.2600211053499999E-4</v>
      </c>
    </row>
    <row r="62" spans="2:5" ht="15" customHeight="1">
      <c r="B62" s="97"/>
      <c r="C62" s="61" t="s">
        <v>318</v>
      </c>
      <c r="D62" s="62">
        <v>7</v>
      </c>
      <c r="E62" s="63">
        <v>1.1025184671800001E-4</v>
      </c>
    </row>
    <row r="63" spans="2:5" ht="15" customHeight="1">
      <c r="B63" s="97"/>
      <c r="C63" s="61" t="s">
        <v>319</v>
      </c>
      <c r="D63" s="62">
        <v>6</v>
      </c>
      <c r="E63" s="63">
        <v>9.4501582902000006E-5</v>
      </c>
    </row>
    <row r="64" spans="2:5" ht="15" customHeight="1">
      <c r="B64" s="97"/>
      <c r="C64" s="61" t="s">
        <v>320</v>
      </c>
      <c r="D64" s="62">
        <v>24</v>
      </c>
      <c r="E64" s="63">
        <v>3.78006331606E-4</v>
      </c>
    </row>
    <row r="65" spans="2:5" ht="15" customHeight="1">
      <c r="B65" s="97"/>
      <c r="C65" s="61" t="s">
        <v>321</v>
      </c>
      <c r="D65" s="62">
        <v>3</v>
      </c>
      <c r="E65" s="63">
        <v>4.7250791451000003E-5</v>
      </c>
    </row>
    <row r="66" spans="2:5" ht="15" customHeight="1">
      <c r="B66" s="97"/>
      <c r="C66" s="61" t="s">
        <v>324</v>
      </c>
      <c r="D66" s="62">
        <v>1</v>
      </c>
      <c r="E66" s="63">
        <v>1.5750263817000001E-5</v>
      </c>
    </row>
    <row r="67" spans="2:5" ht="15" customHeight="1">
      <c r="B67" s="97"/>
      <c r="C67" s="61" t="s">
        <v>325</v>
      </c>
      <c r="D67" s="62">
        <v>2</v>
      </c>
      <c r="E67" s="63">
        <v>3.1500527634000002E-5</v>
      </c>
    </row>
    <row r="68" spans="2:5" ht="15" customHeight="1">
      <c r="B68" s="97"/>
      <c r="C68" s="61" t="s">
        <v>326</v>
      </c>
      <c r="D68" s="62">
        <v>1</v>
      </c>
      <c r="E68" s="63">
        <v>1.5750263817000001E-5</v>
      </c>
    </row>
    <row r="69" spans="2:5" ht="15" customHeight="1">
      <c r="B69" s="97"/>
      <c r="C69" s="61" t="s">
        <v>327</v>
      </c>
      <c r="D69" s="62">
        <v>5</v>
      </c>
      <c r="E69" s="63">
        <v>7.8751319085000005E-5</v>
      </c>
    </row>
    <row r="70" spans="2:5" ht="15" customHeight="1">
      <c r="B70" s="97"/>
      <c r="C70" s="61" t="s">
        <v>328</v>
      </c>
      <c r="D70" s="62">
        <v>1</v>
      </c>
      <c r="E70" s="63">
        <v>1.5750263817000001E-5</v>
      </c>
    </row>
    <row r="71" spans="2:5" ht="15" customHeight="1">
      <c r="B71" s="97"/>
      <c r="C71" s="61" t="s">
        <v>329</v>
      </c>
      <c r="D71" s="62">
        <v>1</v>
      </c>
      <c r="E71" s="63">
        <v>1.5750263817000001E-5</v>
      </c>
    </row>
    <row r="72" spans="2:5" ht="15" customHeight="1">
      <c r="B72" s="97"/>
      <c r="C72" s="61" t="s">
        <v>330</v>
      </c>
      <c r="D72" s="62">
        <v>1</v>
      </c>
      <c r="E72" s="63">
        <v>1.5750263817000001E-5</v>
      </c>
    </row>
    <row r="73" spans="2:5" ht="15" customHeight="1">
      <c r="B73" s="97"/>
      <c r="C73" s="61" t="s">
        <v>332</v>
      </c>
      <c r="D73" s="62">
        <v>2</v>
      </c>
      <c r="E73" s="63">
        <v>3.1500527634000002E-5</v>
      </c>
    </row>
    <row r="74" spans="2:5" ht="15" customHeight="1">
      <c r="B74" s="97"/>
      <c r="C74" s="61" t="s">
        <v>333</v>
      </c>
      <c r="D74" s="62">
        <v>4</v>
      </c>
      <c r="E74" s="63">
        <v>6.3001055268000004E-5</v>
      </c>
    </row>
    <row r="75" spans="2:5" ht="15" customHeight="1">
      <c r="B75" s="97"/>
      <c r="C75" s="61" t="s">
        <v>335</v>
      </c>
      <c r="D75" s="62">
        <v>5</v>
      </c>
      <c r="E75" s="63">
        <v>7.8751319085000005E-5</v>
      </c>
    </row>
    <row r="76" spans="2:5" ht="15" customHeight="1">
      <c r="B76" s="97"/>
      <c r="C76" s="61" t="s">
        <v>336</v>
      </c>
      <c r="D76" s="62">
        <v>4</v>
      </c>
      <c r="E76" s="63">
        <v>6.3001055268000004E-5</v>
      </c>
    </row>
    <row r="77" spans="2:5" ht="15" customHeight="1">
      <c r="B77" s="97"/>
      <c r="C77" s="61" t="s">
        <v>337</v>
      </c>
      <c r="D77" s="62">
        <v>10</v>
      </c>
      <c r="E77" s="63">
        <v>1.57502638169E-4</v>
      </c>
    </row>
    <row r="78" spans="2:5" ht="15" customHeight="1">
      <c r="B78" s="97"/>
      <c r="C78" s="61" t="s">
        <v>338</v>
      </c>
      <c r="D78" s="62">
        <v>3</v>
      </c>
      <c r="E78" s="63">
        <v>4.7250791451000003E-5</v>
      </c>
    </row>
    <row r="79" spans="2:5" ht="15" customHeight="1">
      <c r="B79" s="97"/>
      <c r="C79" s="61" t="s">
        <v>339</v>
      </c>
      <c r="D79" s="62">
        <v>6</v>
      </c>
      <c r="E79" s="63">
        <v>9.4501582902000006E-5</v>
      </c>
    </row>
    <row r="80" spans="2:5" ht="15" customHeight="1">
      <c r="B80" s="97"/>
      <c r="C80" s="61" t="s">
        <v>340</v>
      </c>
      <c r="D80" s="62">
        <v>5</v>
      </c>
      <c r="E80" s="63">
        <v>7.8751319085000005E-5</v>
      </c>
    </row>
    <row r="81" spans="2:5" ht="15" customHeight="1">
      <c r="B81" s="97"/>
      <c r="C81" s="61" t="s">
        <v>341</v>
      </c>
      <c r="D81" s="62">
        <v>2</v>
      </c>
      <c r="E81" s="63">
        <v>3.1500527634000002E-5</v>
      </c>
    </row>
    <row r="82" spans="2:5" ht="15" customHeight="1">
      <c r="B82" s="97"/>
      <c r="C82" s="61" t="s">
        <v>342</v>
      </c>
      <c r="D82" s="62">
        <v>1</v>
      </c>
      <c r="E82" s="63">
        <v>1.5750263817000001E-5</v>
      </c>
    </row>
    <row r="83" spans="2:5" ht="15" customHeight="1">
      <c r="B83" s="97"/>
      <c r="C83" s="61" t="s">
        <v>343</v>
      </c>
      <c r="D83" s="62">
        <v>5</v>
      </c>
      <c r="E83" s="63">
        <v>7.8751319085000005E-5</v>
      </c>
    </row>
    <row r="84" spans="2:5" ht="15" customHeight="1">
      <c r="B84" s="97"/>
      <c r="C84" s="61" t="s">
        <v>344</v>
      </c>
      <c r="D84" s="62">
        <v>125</v>
      </c>
      <c r="E84" s="63">
        <v>1.9687829771150001E-3</v>
      </c>
    </row>
    <row r="85" spans="2:5" ht="15" customHeight="1">
      <c r="B85" s="97"/>
      <c r="C85" s="61" t="s">
        <v>345</v>
      </c>
      <c r="D85" s="62">
        <v>1</v>
      </c>
      <c r="E85" s="63">
        <v>1.5750263817000001E-5</v>
      </c>
    </row>
    <row r="86" spans="2:5" ht="15" customHeight="1">
      <c r="B86" s="97"/>
      <c r="C86" s="61" t="s">
        <v>346</v>
      </c>
      <c r="D86" s="62">
        <v>2</v>
      </c>
      <c r="E86" s="63">
        <v>3.1500527634000002E-5</v>
      </c>
    </row>
    <row r="87" spans="2:5" ht="15" customHeight="1">
      <c r="B87" s="97"/>
      <c r="C87" s="61" t="s">
        <v>347</v>
      </c>
      <c r="D87" s="62">
        <v>3</v>
      </c>
      <c r="E87" s="63">
        <v>4.7250791451000003E-5</v>
      </c>
    </row>
    <row r="88" spans="2:5" ht="15" customHeight="1">
      <c r="B88" s="97"/>
      <c r="C88" s="61" t="s">
        <v>348</v>
      </c>
      <c r="D88" s="62">
        <v>2</v>
      </c>
      <c r="E88" s="63">
        <v>3.1500527634000002E-5</v>
      </c>
    </row>
    <row r="89" spans="2:5" ht="15" customHeight="1">
      <c r="B89" s="98"/>
      <c r="C89" s="75" t="s">
        <v>304</v>
      </c>
      <c r="D89" s="74">
        <v>360</v>
      </c>
      <c r="E89" s="76">
        <v>5.6700949740910002E-3</v>
      </c>
    </row>
    <row r="90" spans="2:5" ht="15" customHeight="1">
      <c r="B90" s="96" t="s">
        <v>195</v>
      </c>
      <c r="C90" s="61" t="s">
        <v>310</v>
      </c>
      <c r="D90" s="62">
        <v>5</v>
      </c>
      <c r="E90" s="63">
        <v>7.8751319085000005E-5</v>
      </c>
    </row>
    <row r="91" spans="2:5" ht="15" customHeight="1">
      <c r="B91" s="97"/>
      <c r="C91" s="61" t="s">
        <v>311</v>
      </c>
      <c r="D91" s="62">
        <v>14</v>
      </c>
      <c r="E91" s="63">
        <v>2.20503693437E-4</v>
      </c>
    </row>
    <row r="92" spans="2:5" ht="15" customHeight="1">
      <c r="B92" s="97"/>
      <c r="C92" s="61" t="s">
        <v>312</v>
      </c>
      <c r="D92" s="62">
        <v>20</v>
      </c>
      <c r="E92" s="63">
        <v>3.1500527633799999E-4</v>
      </c>
    </row>
    <row r="93" spans="2:5" ht="15" customHeight="1">
      <c r="B93" s="97"/>
      <c r="C93" s="61" t="s">
        <v>313</v>
      </c>
      <c r="D93" s="62">
        <v>198</v>
      </c>
      <c r="E93" s="63">
        <v>3.1185522357499999E-3</v>
      </c>
    </row>
    <row r="94" spans="2:5" ht="15" customHeight="1">
      <c r="B94" s="97"/>
      <c r="C94" s="61" t="s">
        <v>314</v>
      </c>
      <c r="D94" s="62">
        <v>12</v>
      </c>
      <c r="E94" s="63">
        <v>1.89003165803E-4</v>
      </c>
    </row>
    <row r="95" spans="2:5" ht="15" customHeight="1">
      <c r="B95" s="97"/>
      <c r="C95" s="61" t="s">
        <v>316</v>
      </c>
      <c r="D95" s="62">
        <v>1</v>
      </c>
      <c r="E95" s="63">
        <v>1.5750263817000001E-5</v>
      </c>
    </row>
    <row r="96" spans="2:5" ht="15" customHeight="1">
      <c r="B96" s="97"/>
      <c r="C96" s="61" t="s">
        <v>350</v>
      </c>
      <c r="D96" s="62">
        <v>1</v>
      </c>
      <c r="E96" s="63">
        <v>1.5750263817000001E-5</v>
      </c>
    </row>
    <row r="97" spans="2:5" ht="15" customHeight="1">
      <c r="B97" s="97"/>
      <c r="C97" s="61" t="s">
        <v>317</v>
      </c>
      <c r="D97" s="62">
        <v>27</v>
      </c>
      <c r="E97" s="63">
        <v>4.2525712305699999E-4</v>
      </c>
    </row>
    <row r="98" spans="2:5" ht="15" customHeight="1">
      <c r="B98" s="97"/>
      <c r="C98" s="61" t="s">
        <v>318</v>
      </c>
      <c r="D98" s="62">
        <v>21</v>
      </c>
      <c r="E98" s="63">
        <v>3.3075554015500001E-4</v>
      </c>
    </row>
    <row r="99" spans="2:5" ht="15" customHeight="1">
      <c r="B99" s="97"/>
      <c r="C99" s="61" t="s">
        <v>319</v>
      </c>
      <c r="D99" s="62">
        <v>6</v>
      </c>
      <c r="E99" s="63">
        <v>9.4501582902000006E-5</v>
      </c>
    </row>
    <row r="100" spans="2:5" ht="15" customHeight="1">
      <c r="B100" s="97"/>
      <c r="C100" s="61" t="s">
        <v>320</v>
      </c>
      <c r="D100" s="62">
        <v>38</v>
      </c>
      <c r="E100" s="63">
        <v>5.9851002504300002E-4</v>
      </c>
    </row>
    <row r="101" spans="2:5" ht="15" customHeight="1">
      <c r="B101" s="97"/>
      <c r="C101" s="61" t="s">
        <v>321</v>
      </c>
      <c r="D101" s="62">
        <v>6</v>
      </c>
      <c r="E101" s="63">
        <v>9.4501582902000006E-5</v>
      </c>
    </row>
    <row r="102" spans="2:5" ht="15" customHeight="1">
      <c r="B102" s="97"/>
      <c r="C102" s="61" t="s">
        <v>322</v>
      </c>
      <c r="D102" s="62">
        <v>1</v>
      </c>
      <c r="E102" s="63">
        <v>1.5750263817000001E-5</v>
      </c>
    </row>
    <row r="103" spans="2:5" ht="15" customHeight="1">
      <c r="B103" s="97"/>
      <c r="C103" s="61" t="s">
        <v>323</v>
      </c>
      <c r="D103" s="62">
        <v>8</v>
      </c>
      <c r="E103" s="63">
        <v>1.2600211053499999E-4</v>
      </c>
    </row>
    <row r="104" spans="2:5" ht="15" customHeight="1">
      <c r="B104" s="97"/>
      <c r="C104" s="61" t="s">
        <v>324</v>
      </c>
      <c r="D104" s="62">
        <v>1</v>
      </c>
      <c r="E104" s="63">
        <v>1.5750263817000001E-5</v>
      </c>
    </row>
    <row r="105" spans="2:5" ht="15" customHeight="1">
      <c r="B105" s="97"/>
      <c r="C105" s="61" t="s">
        <v>325</v>
      </c>
      <c r="D105" s="62">
        <v>3</v>
      </c>
      <c r="E105" s="63">
        <v>4.7250791451000003E-5</v>
      </c>
    </row>
    <row r="106" spans="2:5" ht="15" customHeight="1">
      <c r="B106" s="97"/>
      <c r="C106" s="61" t="s">
        <v>327</v>
      </c>
      <c r="D106" s="62">
        <v>10</v>
      </c>
      <c r="E106" s="63">
        <v>1.57502638169E-4</v>
      </c>
    </row>
    <row r="107" spans="2:5" ht="15" customHeight="1">
      <c r="B107" s="97"/>
      <c r="C107" s="61" t="s">
        <v>329</v>
      </c>
      <c r="D107" s="62">
        <v>4</v>
      </c>
      <c r="E107" s="63">
        <v>6.3001055268000004E-5</v>
      </c>
    </row>
    <row r="108" spans="2:5" ht="15" customHeight="1">
      <c r="B108" s="97"/>
      <c r="C108" s="61" t="s">
        <v>330</v>
      </c>
      <c r="D108" s="62">
        <v>4</v>
      </c>
      <c r="E108" s="63">
        <v>6.3001055268000004E-5</v>
      </c>
    </row>
    <row r="109" spans="2:5" ht="15" customHeight="1">
      <c r="B109" s="97"/>
      <c r="C109" s="61" t="s">
        <v>332</v>
      </c>
      <c r="D109" s="62">
        <v>4</v>
      </c>
      <c r="E109" s="63">
        <v>6.3001055268000004E-5</v>
      </c>
    </row>
    <row r="110" spans="2:5" ht="15" customHeight="1">
      <c r="B110" s="97"/>
      <c r="C110" s="61" t="s">
        <v>333</v>
      </c>
      <c r="D110" s="62">
        <v>3</v>
      </c>
      <c r="E110" s="63">
        <v>4.7250791451000003E-5</v>
      </c>
    </row>
    <row r="111" spans="2:5" ht="15" customHeight="1">
      <c r="B111" s="97"/>
      <c r="C111" s="61" t="s">
        <v>335</v>
      </c>
      <c r="D111" s="62">
        <v>1</v>
      </c>
      <c r="E111" s="63">
        <v>1.5750263817000001E-5</v>
      </c>
    </row>
    <row r="112" spans="2:5" ht="15" customHeight="1">
      <c r="B112" s="97"/>
      <c r="C112" s="61" t="s">
        <v>337</v>
      </c>
      <c r="D112" s="62">
        <v>24</v>
      </c>
      <c r="E112" s="63">
        <v>3.78006331606E-4</v>
      </c>
    </row>
    <row r="113" spans="2:5" ht="15" customHeight="1">
      <c r="B113" s="97"/>
      <c r="C113" s="61" t="s">
        <v>338</v>
      </c>
      <c r="D113" s="62">
        <v>6</v>
      </c>
      <c r="E113" s="63">
        <v>9.4501582902000006E-5</v>
      </c>
    </row>
    <row r="114" spans="2:5" ht="15" customHeight="1">
      <c r="B114" s="97"/>
      <c r="C114" s="61" t="s">
        <v>339</v>
      </c>
      <c r="D114" s="62">
        <v>23</v>
      </c>
      <c r="E114" s="63">
        <v>3.6225606778899998E-4</v>
      </c>
    </row>
    <row r="115" spans="2:5" ht="15" customHeight="1">
      <c r="B115" s="97"/>
      <c r="C115" s="61" t="s">
        <v>340</v>
      </c>
      <c r="D115" s="62">
        <v>9</v>
      </c>
      <c r="E115" s="63">
        <v>1.4175237435200001E-4</v>
      </c>
    </row>
    <row r="116" spans="2:5" ht="15" customHeight="1">
      <c r="B116" s="97"/>
      <c r="C116" s="61" t="s">
        <v>341</v>
      </c>
      <c r="D116" s="62">
        <v>4</v>
      </c>
      <c r="E116" s="63">
        <v>6.3001055268000004E-5</v>
      </c>
    </row>
    <row r="117" spans="2:5" ht="15" customHeight="1">
      <c r="B117" s="97"/>
      <c r="C117" s="61" t="s">
        <v>342</v>
      </c>
      <c r="D117" s="62">
        <v>1</v>
      </c>
      <c r="E117" s="63">
        <v>1.5750263817000001E-5</v>
      </c>
    </row>
    <row r="118" spans="2:5" ht="15" customHeight="1">
      <c r="B118" s="97"/>
      <c r="C118" s="61" t="s">
        <v>343</v>
      </c>
      <c r="D118" s="62">
        <v>8</v>
      </c>
      <c r="E118" s="63">
        <v>1.2600211053499999E-4</v>
      </c>
    </row>
    <row r="119" spans="2:5" ht="15" customHeight="1">
      <c r="B119" s="97"/>
      <c r="C119" s="61" t="s">
        <v>344</v>
      </c>
      <c r="D119" s="62">
        <v>241</v>
      </c>
      <c r="E119" s="63">
        <v>3.795813579877E-3</v>
      </c>
    </row>
    <row r="120" spans="2:5" ht="15" customHeight="1">
      <c r="B120" s="97"/>
      <c r="C120" s="61" t="s">
        <v>345</v>
      </c>
      <c r="D120" s="62">
        <v>2</v>
      </c>
      <c r="E120" s="63">
        <v>3.1500527634000002E-5</v>
      </c>
    </row>
    <row r="121" spans="2:5" ht="15" customHeight="1">
      <c r="B121" s="97"/>
      <c r="C121" s="61" t="s">
        <v>346</v>
      </c>
      <c r="D121" s="62">
        <v>3</v>
      </c>
      <c r="E121" s="63">
        <v>4.7250791451000003E-5</v>
      </c>
    </row>
    <row r="122" spans="2:5" ht="15" customHeight="1">
      <c r="B122" s="97"/>
      <c r="C122" s="61" t="s">
        <v>347</v>
      </c>
      <c r="D122" s="62">
        <v>2</v>
      </c>
      <c r="E122" s="63">
        <v>3.1500527634000002E-5</v>
      </c>
    </row>
    <row r="123" spans="2:5" ht="15" customHeight="1">
      <c r="B123" s="97"/>
      <c r="C123" s="61" t="s">
        <v>348</v>
      </c>
      <c r="D123" s="62">
        <v>4</v>
      </c>
      <c r="E123" s="63">
        <v>6.3001055268000004E-5</v>
      </c>
    </row>
    <row r="124" spans="2:5" ht="15" customHeight="1">
      <c r="B124" s="98"/>
      <c r="C124" s="75" t="s">
        <v>304</v>
      </c>
      <c r="D124" s="74">
        <v>715</v>
      </c>
      <c r="E124" s="76">
        <v>1.1261438629097001E-2</v>
      </c>
    </row>
    <row r="125" spans="2:5" ht="15" customHeight="1">
      <c r="B125" s="96" t="s">
        <v>196</v>
      </c>
      <c r="C125" s="61" t="s">
        <v>310</v>
      </c>
      <c r="D125" s="62">
        <v>8</v>
      </c>
      <c r="E125" s="63">
        <v>1.2600211053499999E-4</v>
      </c>
    </row>
    <row r="126" spans="2:5" ht="15" customHeight="1">
      <c r="B126" s="97"/>
      <c r="C126" s="61" t="s">
        <v>311</v>
      </c>
      <c r="D126" s="62">
        <v>20</v>
      </c>
      <c r="E126" s="63">
        <v>3.1500527633799999E-4</v>
      </c>
    </row>
    <row r="127" spans="2:5" ht="15" customHeight="1">
      <c r="B127" s="97"/>
      <c r="C127" s="61" t="s">
        <v>312</v>
      </c>
      <c r="D127" s="62">
        <v>36</v>
      </c>
      <c r="E127" s="63">
        <v>5.6700949740899999E-4</v>
      </c>
    </row>
    <row r="128" spans="2:5" ht="15" customHeight="1">
      <c r="B128" s="97"/>
      <c r="C128" s="61" t="s">
        <v>313</v>
      </c>
      <c r="D128" s="62">
        <v>327</v>
      </c>
      <c r="E128" s="63">
        <v>5.1503362681320003E-3</v>
      </c>
    </row>
    <row r="129" spans="2:5" ht="15" customHeight="1">
      <c r="B129" s="97"/>
      <c r="C129" s="61" t="s">
        <v>314</v>
      </c>
      <c r="D129" s="62">
        <v>23</v>
      </c>
      <c r="E129" s="63">
        <v>3.6225606778899998E-4</v>
      </c>
    </row>
    <row r="130" spans="2:5" ht="15" customHeight="1">
      <c r="B130" s="97"/>
      <c r="C130" s="61" t="s">
        <v>315</v>
      </c>
      <c r="D130" s="62">
        <v>2</v>
      </c>
      <c r="E130" s="63">
        <v>3.1500527634000002E-5</v>
      </c>
    </row>
    <row r="131" spans="2:5" ht="15" customHeight="1">
      <c r="B131" s="97"/>
      <c r="C131" s="61" t="s">
        <v>316</v>
      </c>
      <c r="D131" s="62">
        <v>2</v>
      </c>
      <c r="E131" s="63">
        <v>3.1500527634000002E-5</v>
      </c>
    </row>
    <row r="132" spans="2:5" ht="15" customHeight="1">
      <c r="B132" s="97"/>
      <c r="C132" s="61" t="s">
        <v>317</v>
      </c>
      <c r="D132" s="62">
        <v>33</v>
      </c>
      <c r="E132" s="63">
        <v>5.19758705958E-4</v>
      </c>
    </row>
    <row r="133" spans="2:5" ht="15" customHeight="1">
      <c r="B133" s="97"/>
      <c r="C133" s="61" t="s">
        <v>318</v>
      </c>
      <c r="D133" s="62">
        <v>39</v>
      </c>
      <c r="E133" s="63">
        <v>6.1426028885999998E-4</v>
      </c>
    </row>
    <row r="134" spans="2:5" ht="15" customHeight="1">
      <c r="B134" s="97"/>
      <c r="C134" s="61" t="s">
        <v>319</v>
      </c>
      <c r="D134" s="62">
        <v>12</v>
      </c>
      <c r="E134" s="63">
        <v>1.89003165803E-4</v>
      </c>
    </row>
    <row r="135" spans="2:5" ht="15" customHeight="1">
      <c r="B135" s="97"/>
      <c r="C135" s="61" t="s">
        <v>320</v>
      </c>
      <c r="D135" s="62">
        <v>82</v>
      </c>
      <c r="E135" s="63">
        <v>1.291521632987E-3</v>
      </c>
    </row>
    <row r="136" spans="2:5" ht="15" customHeight="1">
      <c r="B136" s="97"/>
      <c r="C136" s="61" t="s">
        <v>321</v>
      </c>
      <c r="D136" s="62">
        <v>17</v>
      </c>
      <c r="E136" s="63">
        <v>2.6775448488800002E-4</v>
      </c>
    </row>
    <row r="137" spans="2:5" ht="15" customHeight="1">
      <c r="B137" s="97"/>
      <c r="C137" s="61" t="s">
        <v>322</v>
      </c>
      <c r="D137" s="62">
        <v>13</v>
      </c>
      <c r="E137" s="63">
        <v>2.0475342962000001E-4</v>
      </c>
    </row>
    <row r="138" spans="2:5" ht="15" customHeight="1">
      <c r="B138" s="97"/>
      <c r="C138" s="61" t="s">
        <v>323</v>
      </c>
      <c r="D138" s="62">
        <v>7</v>
      </c>
      <c r="E138" s="63">
        <v>1.1025184671800001E-4</v>
      </c>
    </row>
    <row r="139" spans="2:5" ht="15" customHeight="1">
      <c r="B139" s="97"/>
      <c r="C139" s="61" t="s">
        <v>324</v>
      </c>
      <c r="D139" s="62">
        <v>1</v>
      </c>
      <c r="E139" s="63">
        <v>1.5750263817000001E-5</v>
      </c>
    </row>
    <row r="140" spans="2:5" ht="15" customHeight="1">
      <c r="B140" s="97"/>
      <c r="C140" s="61" t="s">
        <v>325</v>
      </c>
      <c r="D140" s="62">
        <v>12</v>
      </c>
      <c r="E140" s="63">
        <v>1.89003165803E-4</v>
      </c>
    </row>
    <row r="141" spans="2:5" ht="15" customHeight="1">
      <c r="B141" s="97"/>
      <c r="C141" s="61" t="s">
        <v>327</v>
      </c>
      <c r="D141" s="62">
        <v>23</v>
      </c>
      <c r="E141" s="63">
        <v>3.6225606778899998E-4</v>
      </c>
    </row>
    <row r="142" spans="2:5" ht="15" customHeight="1">
      <c r="B142" s="97"/>
      <c r="C142" s="61" t="s">
        <v>328</v>
      </c>
      <c r="D142" s="62">
        <v>10</v>
      </c>
      <c r="E142" s="63">
        <v>1.57502638169E-4</v>
      </c>
    </row>
    <row r="143" spans="2:5" ht="15" customHeight="1">
      <c r="B143" s="97"/>
      <c r="C143" s="61" t="s">
        <v>329</v>
      </c>
      <c r="D143" s="62">
        <v>6</v>
      </c>
      <c r="E143" s="63">
        <v>9.4501582902000006E-5</v>
      </c>
    </row>
    <row r="144" spans="2:5" ht="15" customHeight="1">
      <c r="B144" s="97"/>
      <c r="C144" s="61" t="s">
        <v>330</v>
      </c>
      <c r="D144" s="62">
        <v>11</v>
      </c>
      <c r="E144" s="63">
        <v>1.7325290198600001E-4</v>
      </c>
    </row>
    <row r="145" spans="2:5" ht="15" customHeight="1">
      <c r="B145" s="97"/>
      <c r="C145" s="61" t="s">
        <v>332</v>
      </c>
      <c r="D145" s="62">
        <v>8</v>
      </c>
      <c r="E145" s="63">
        <v>1.2600211053499999E-4</v>
      </c>
    </row>
    <row r="146" spans="2:5" ht="15" customHeight="1">
      <c r="B146" s="97"/>
      <c r="C146" s="61" t="s">
        <v>333</v>
      </c>
      <c r="D146" s="62">
        <v>18</v>
      </c>
      <c r="E146" s="63">
        <v>2.8350474870499998E-4</v>
      </c>
    </row>
    <row r="147" spans="2:5" ht="15" customHeight="1">
      <c r="B147" s="97"/>
      <c r="C147" s="61" t="s">
        <v>334</v>
      </c>
      <c r="D147" s="62">
        <v>2</v>
      </c>
      <c r="E147" s="63">
        <v>3.1500527634000002E-5</v>
      </c>
    </row>
    <row r="148" spans="2:5" ht="15" customHeight="1">
      <c r="B148" s="97"/>
      <c r="C148" s="61" t="s">
        <v>335</v>
      </c>
      <c r="D148" s="62">
        <v>2</v>
      </c>
      <c r="E148" s="63">
        <v>3.1500527634000002E-5</v>
      </c>
    </row>
    <row r="149" spans="2:5" ht="15" customHeight="1">
      <c r="B149" s="97"/>
      <c r="C149" s="61" t="s">
        <v>336</v>
      </c>
      <c r="D149" s="62">
        <v>3</v>
      </c>
      <c r="E149" s="63">
        <v>4.7250791451000003E-5</v>
      </c>
    </row>
    <row r="150" spans="2:5" ht="15" customHeight="1">
      <c r="B150" s="97"/>
      <c r="C150" s="61" t="s">
        <v>337</v>
      </c>
      <c r="D150" s="62">
        <v>25</v>
      </c>
      <c r="E150" s="63">
        <v>3.9375659542300001E-4</v>
      </c>
    </row>
    <row r="151" spans="2:5" ht="15" customHeight="1">
      <c r="B151" s="97"/>
      <c r="C151" s="61" t="s">
        <v>351</v>
      </c>
      <c r="D151" s="62">
        <v>1</v>
      </c>
      <c r="E151" s="63">
        <v>1.5750263817000001E-5</v>
      </c>
    </row>
    <row r="152" spans="2:5" ht="15" customHeight="1">
      <c r="B152" s="97"/>
      <c r="C152" s="61" t="s">
        <v>338</v>
      </c>
      <c r="D152" s="62">
        <v>11</v>
      </c>
      <c r="E152" s="63">
        <v>1.7325290198600001E-4</v>
      </c>
    </row>
    <row r="153" spans="2:5" ht="15" customHeight="1">
      <c r="B153" s="97"/>
      <c r="C153" s="61" t="s">
        <v>339</v>
      </c>
      <c r="D153" s="62">
        <v>58</v>
      </c>
      <c r="E153" s="63">
        <v>9.1351530138099996E-4</v>
      </c>
    </row>
    <row r="154" spans="2:5" ht="15" customHeight="1">
      <c r="B154" s="97"/>
      <c r="C154" s="61" t="s">
        <v>340</v>
      </c>
      <c r="D154" s="62">
        <v>9</v>
      </c>
      <c r="E154" s="63">
        <v>1.4175237435200001E-4</v>
      </c>
    </row>
    <row r="155" spans="2:5" ht="15" customHeight="1">
      <c r="B155" s="97"/>
      <c r="C155" s="61" t="s">
        <v>341</v>
      </c>
      <c r="D155" s="62">
        <v>9</v>
      </c>
      <c r="E155" s="63">
        <v>1.4175237435200001E-4</v>
      </c>
    </row>
    <row r="156" spans="2:5" ht="15" customHeight="1">
      <c r="B156" s="97"/>
      <c r="C156" s="61" t="s">
        <v>342</v>
      </c>
      <c r="D156" s="62">
        <v>4</v>
      </c>
      <c r="E156" s="63">
        <v>6.3001055268000004E-5</v>
      </c>
    </row>
    <row r="157" spans="2:5" ht="15" customHeight="1">
      <c r="B157" s="97"/>
      <c r="C157" s="61" t="s">
        <v>352</v>
      </c>
      <c r="D157" s="62">
        <v>1</v>
      </c>
      <c r="E157" s="63">
        <v>1.5750263817000001E-5</v>
      </c>
    </row>
    <row r="158" spans="2:5" ht="15" customHeight="1">
      <c r="B158" s="97"/>
      <c r="C158" s="61" t="s">
        <v>343</v>
      </c>
      <c r="D158" s="62">
        <v>19</v>
      </c>
      <c r="E158" s="63">
        <v>2.9925501252099998E-4</v>
      </c>
    </row>
    <row r="159" spans="2:5" ht="15" customHeight="1">
      <c r="B159" s="97"/>
      <c r="C159" s="61" t="s">
        <v>344</v>
      </c>
      <c r="D159" s="62">
        <v>471</v>
      </c>
      <c r="E159" s="63">
        <v>7.4183742577689999E-3</v>
      </c>
    </row>
    <row r="160" spans="2:5" ht="15" customHeight="1">
      <c r="B160" s="97"/>
      <c r="C160" s="61" t="s">
        <v>345</v>
      </c>
      <c r="D160" s="62">
        <v>8</v>
      </c>
      <c r="E160" s="63">
        <v>1.2600211053499999E-4</v>
      </c>
    </row>
    <row r="161" spans="2:5" ht="15" customHeight="1">
      <c r="B161" s="97"/>
      <c r="C161" s="61" t="s">
        <v>346</v>
      </c>
      <c r="D161" s="62">
        <v>6</v>
      </c>
      <c r="E161" s="63">
        <v>9.4501582902000006E-5</v>
      </c>
    </row>
    <row r="162" spans="2:5" ht="15" customHeight="1">
      <c r="B162" s="97"/>
      <c r="C162" s="61" t="s">
        <v>347</v>
      </c>
      <c r="D162" s="62">
        <v>1</v>
      </c>
      <c r="E162" s="63">
        <v>1.5750263817000001E-5</v>
      </c>
    </row>
    <row r="163" spans="2:5" ht="15" customHeight="1">
      <c r="B163" s="97"/>
      <c r="C163" s="61" t="s">
        <v>348</v>
      </c>
      <c r="D163" s="62">
        <v>9</v>
      </c>
      <c r="E163" s="63">
        <v>1.4175237435200001E-4</v>
      </c>
    </row>
    <row r="164" spans="2:5" ht="15" customHeight="1">
      <c r="B164" s="97"/>
      <c r="C164" s="61" t="s">
        <v>349</v>
      </c>
      <c r="D164" s="62">
        <v>1</v>
      </c>
      <c r="E164" s="63">
        <v>1.5750263817000001E-5</v>
      </c>
    </row>
    <row r="165" spans="2:5" ht="15" customHeight="1">
      <c r="B165" s="98"/>
      <c r="C165" s="75" t="s">
        <v>304</v>
      </c>
      <c r="D165" s="74">
        <v>1350</v>
      </c>
      <c r="E165" s="76">
        <v>2.1262856152841E-2</v>
      </c>
    </row>
    <row r="166" spans="2:5" ht="15" customHeight="1">
      <c r="B166" s="96" t="s">
        <v>197</v>
      </c>
      <c r="C166" s="61" t="s">
        <v>310</v>
      </c>
      <c r="D166" s="62">
        <v>5</v>
      </c>
      <c r="E166" s="63">
        <v>7.8751319085000005E-5</v>
      </c>
    </row>
    <row r="167" spans="2:5" ht="15" customHeight="1">
      <c r="B167" s="97"/>
      <c r="C167" s="61" t="s">
        <v>311</v>
      </c>
      <c r="D167" s="62">
        <v>25</v>
      </c>
      <c r="E167" s="63">
        <v>3.9375659542300001E-4</v>
      </c>
    </row>
    <row r="168" spans="2:5" ht="15" customHeight="1">
      <c r="B168" s="97"/>
      <c r="C168" s="61" t="s">
        <v>312</v>
      </c>
      <c r="D168" s="62">
        <v>36</v>
      </c>
      <c r="E168" s="63">
        <v>5.6700949740899999E-4</v>
      </c>
    </row>
    <row r="169" spans="2:5" ht="15" customHeight="1">
      <c r="B169" s="97"/>
      <c r="C169" s="61" t="s">
        <v>313</v>
      </c>
      <c r="D169" s="62">
        <v>232</v>
      </c>
      <c r="E169" s="63">
        <v>3.6540612055249999E-3</v>
      </c>
    </row>
    <row r="170" spans="2:5" ht="15" customHeight="1">
      <c r="B170" s="97"/>
      <c r="C170" s="61" t="s">
        <v>314</v>
      </c>
      <c r="D170" s="62">
        <v>17</v>
      </c>
      <c r="E170" s="63">
        <v>2.6775448488800002E-4</v>
      </c>
    </row>
    <row r="171" spans="2:5" ht="15" customHeight="1">
      <c r="B171" s="97"/>
      <c r="C171" s="61" t="s">
        <v>315</v>
      </c>
      <c r="D171" s="62">
        <v>1</v>
      </c>
      <c r="E171" s="63">
        <v>1.5750263817000001E-5</v>
      </c>
    </row>
    <row r="172" spans="2:5" ht="15" customHeight="1">
      <c r="B172" s="97"/>
      <c r="C172" s="61" t="s">
        <v>316</v>
      </c>
      <c r="D172" s="62">
        <v>1</v>
      </c>
      <c r="E172" s="63">
        <v>1.5750263817000001E-5</v>
      </c>
    </row>
    <row r="173" spans="2:5" ht="15" customHeight="1">
      <c r="B173" s="97"/>
      <c r="C173" s="61" t="s">
        <v>317</v>
      </c>
      <c r="D173" s="62">
        <v>30</v>
      </c>
      <c r="E173" s="63">
        <v>4.7250791450799997E-4</v>
      </c>
    </row>
    <row r="174" spans="2:5" ht="15" customHeight="1">
      <c r="B174" s="97"/>
      <c r="C174" s="61" t="s">
        <v>318</v>
      </c>
      <c r="D174" s="62">
        <v>33</v>
      </c>
      <c r="E174" s="63">
        <v>5.19758705958E-4</v>
      </c>
    </row>
    <row r="175" spans="2:5" ht="15" customHeight="1">
      <c r="B175" s="97"/>
      <c r="C175" s="61" t="s">
        <v>319</v>
      </c>
      <c r="D175" s="62">
        <v>10</v>
      </c>
      <c r="E175" s="63">
        <v>1.57502638169E-4</v>
      </c>
    </row>
    <row r="176" spans="2:5" ht="15" customHeight="1">
      <c r="B176" s="97"/>
      <c r="C176" s="61" t="s">
        <v>320</v>
      </c>
      <c r="D176" s="62">
        <v>60</v>
      </c>
      <c r="E176" s="63">
        <v>9.4501582901499999E-4</v>
      </c>
    </row>
    <row r="177" spans="2:5" ht="15" customHeight="1">
      <c r="B177" s="97"/>
      <c r="C177" s="61" t="s">
        <v>321</v>
      </c>
      <c r="D177" s="62">
        <v>12</v>
      </c>
      <c r="E177" s="63">
        <v>1.89003165803E-4</v>
      </c>
    </row>
    <row r="178" spans="2:5" ht="15" customHeight="1">
      <c r="B178" s="97"/>
      <c r="C178" s="61" t="s">
        <v>322</v>
      </c>
      <c r="D178" s="62">
        <v>4</v>
      </c>
      <c r="E178" s="63">
        <v>6.3001055268000004E-5</v>
      </c>
    </row>
    <row r="179" spans="2:5" ht="15" customHeight="1">
      <c r="B179" s="97"/>
      <c r="C179" s="61" t="s">
        <v>323</v>
      </c>
      <c r="D179" s="62">
        <v>3</v>
      </c>
      <c r="E179" s="63">
        <v>4.7250791451000003E-5</v>
      </c>
    </row>
    <row r="180" spans="2:5" ht="15" customHeight="1">
      <c r="B180" s="97"/>
      <c r="C180" s="61" t="s">
        <v>325</v>
      </c>
      <c r="D180" s="62">
        <v>7</v>
      </c>
      <c r="E180" s="63">
        <v>1.1025184671800001E-4</v>
      </c>
    </row>
    <row r="181" spans="2:5" ht="15" customHeight="1">
      <c r="B181" s="97"/>
      <c r="C181" s="61" t="s">
        <v>327</v>
      </c>
      <c r="D181" s="62">
        <v>15</v>
      </c>
      <c r="E181" s="63">
        <v>2.3625395725399999E-4</v>
      </c>
    </row>
    <row r="182" spans="2:5" ht="15" customHeight="1">
      <c r="B182" s="97"/>
      <c r="C182" s="61" t="s">
        <v>328</v>
      </c>
      <c r="D182" s="62">
        <v>4</v>
      </c>
      <c r="E182" s="63">
        <v>6.3001055268000004E-5</v>
      </c>
    </row>
    <row r="183" spans="2:5" ht="15" customHeight="1">
      <c r="B183" s="97"/>
      <c r="C183" s="61" t="s">
        <v>329</v>
      </c>
      <c r="D183" s="62">
        <v>4</v>
      </c>
      <c r="E183" s="63">
        <v>6.3001055268000004E-5</v>
      </c>
    </row>
    <row r="184" spans="2:5" ht="15" customHeight="1">
      <c r="B184" s="97"/>
      <c r="C184" s="61" t="s">
        <v>330</v>
      </c>
      <c r="D184" s="62">
        <v>11</v>
      </c>
      <c r="E184" s="63">
        <v>1.7325290198600001E-4</v>
      </c>
    </row>
    <row r="185" spans="2:5" ht="15" customHeight="1">
      <c r="B185" s="97"/>
      <c r="C185" s="61" t="s">
        <v>331</v>
      </c>
      <c r="D185" s="62">
        <v>2</v>
      </c>
      <c r="E185" s="63">
        <v>3.1500527634000002E-5</v>
      </c>
    </row>
    <row r="186" spans="2:5" ht="15" customHeight="1">
      <c r="B186" s="97"/>
      <c r="C186" s="61" t="s">
        <v>332</v>
      </c>
      <c r="D186" s="62">
        <v>7</v>
      </c>
      <c r="E186" s="63">
        <v>1.1025184671800001E-4</v>
      </c>
    </row>
    <row r="187" spans="2:5" ht="15" customHeight="1">
      <c r="B187" s="97"/>
      <c r="C187" s="61" t="s">
        <v>333</v>
      </c>
      <c r="D187" s="62">
        <v>11</v>
      </c>
      <c r="E187" s="63">
        <v>1.7325290198600001E-4</v>
      </c>
    </row>
    <row r="188" spans="2:5" ht="15" customHeight="1">
      <c r="B188" s="97"/>
      <c r="C188" s="61" t="s">
        <v>334</v>
      </c>
      <c r="D188" s="62">
        <v>2</v>
      </c>
      <c r="E188" s="63">
        <v>3.1500527634000002E-5</v>
      </c>
    </row>
    <row r="189" spans="2:5" ht="15" customHeight="1">
      <c r="B189" s="97"/>
      <c r="C189" s="61" t="s">
        <v>335</v>
      </c>
      <c r="D189" s="62">
        <v>2</v>
      </c>
      <c r="E189" s="63">
        <v>3.1500527634000002E-5</v>
      </c>
    </row>
    <row r="190" spans="2:5" ht="15" customHeight="1">
      <c r="B190" s="97"/>
      <c r="C190" s="61" t="s">
        <v>336</v>
      </c>
      <c r="D190" s="62">
        <v>3</v>
      </c>
      <c r="E190" s="63">
        <v>4.7250791451000003E-5</v>
      </c>
    </row>
    <row r="191" spans="2:5" ht="15" customHeight="1">
      <c r="B191" s="97"/>
      <c r="C191" s="61" t="s">
        <v>337</v>
      </c>
      <c r="D191" s="62">
        <v>26</v>
      </c>
      <c r="E191" s="63">
        <v>4.0950685924000003E-4</v>
      </c>
    </row>
    <row r="192" spans="2:5" ht="15" customHeight="1">
      <c r="B192" s="97"/>
      <c r="C192" s="61" t="s">
        <v>338</v>
      </c>
      <c r="D192" s="62">
        <v>13</v>
      </c>
      <c r="E192" s="63">
        <v>2.0475342962000001E-4</v>
      </c>
    </row>
    <row r="193" spans="2:5" ht="15" customHeight="1">
      <c r="B193" s="97"/>
      <c r="C193" s="61" t="s">
        <v>339</v>
      </c>
      <c r="D193" s="62">
        <v>33</v>
      </c>
      <c r="E193" s="63">
        <v>5.19758705958E-4</v>
      </c>
    </row>
    <row r="194" spans="2:5" ht="15" customHeight="1">
      <c r="B194" s="97"/>
      <c r="C194" s="61" t="s">
        <v>340</v>
      </c>
      <c r="D194" s="62">
        <v>2</v>
      </c>
      <c r="E194" s="63">
        <v>3.1500527634000002E-5</v>
      </c>
    </row>
    <row r="195" spans="2:5" ht="15" customHeight="1">
      <c r="B195" s="97"/>
      <c r="C195" s="61" t="s">
        <v>341</v>
      </c>
      <c r="D195" s="62">
        <v>7</v>
      </c>
      <c r="E195" s="63">
        <v>1.1025184671800001E-4</v>
      </c>
    </row>
    <row r="196" spans="2:5" ht="15" customHeight="1">
      <c r="B196" s="97"/>
      <c r="C196" s="61" t="s">
        <v>342</v>
      </c>
      <c r="D196" s="62">
        <v>5</v>
      </c>
      <c r="E196" s="63">
        <v>7.8751319085000005E-5</v>
      </c>
    </row>
    <row r="197" spans="2:5" ht="15" customHeight="1">
      <c r="B197" s="97"/>
      <c r="C197" s="61" t="s">
        <v>343</v>
      </c>
      <c r="D197" s="62">
        <v>13</v>
      </c>
      <c r="E197" s="63">
        <v>2.0475342962000001E-4</v>
      </c>
    </row>
    <row r="198" spans="2:5" ht="15" customHeight="1">
      <c r="B198" s="97"/>
      <c r="C198" s="61" t="s">
        <v>344</v>
      </c>
      <c r="D198" s="62">
        <v>310</v>
      </c>
      <c r="E198" s="63">
        <v>4.8825817832449997E-3</v>
      </c>
    </row>
    <row r="199" spans="2:5" ht="15" customHeight="1">
      <c r="B199" s="97"/>
      <c r="C199" s="61" t="s">
        <v>345</v>
      </c>
      <c r="D199" s="62">
        <v>6</v>
      </c>
      <c r="E199" s="63">
        <v>9.4501582902000006E-5</v>
      </c>
    </row>
    <row r="200" spans="2:5" ht="15" customHeight="1">
      <c r="B200" s="97"/>
      <c r="C200" s="61" t="s">
        <v>346</v>
      </c>
      <c r="D200" s="62">
        <v>4</v>
      </c>
      <c r="E200" s="63">
        <v>6.3001055268000004E-5</v>
      </c>
    </row>
    <row r="201" spans="2:5" ht="15" customHeight="1">
      <c r="B201" s="97"/>
      <c r="C201" s="61" t="s">
        <v>347</v>
      </c>
      <c r="D201" s="62">
        <v>1</v>
      </c>
      <c r="E201" s="63">
        <v>1.5750263817000001E-5</v>
      </c>
    </row>
    <row r="202" spans="2:5" ht="15" customHeight="1">
      <c r="B202" s="97"/>
      <c r="C202" s="61" t="s">
        <v>348</v>
      </c>
      <c r="D202" s="62">
        <v>13</v>
      </c>
      <c r="E202" s="63">
        <v>2.0475342962000001E-4</v>
      </c>
    </row>
    <row r="203" spans="2:5" ht="15" customHeight="1">
      <c r="B203" s="98"/>
      <c r="C203" s="75" t="s">
        <v>304</v>
      </c>
      <c r="D203" s="74">
        <v>970</v>
      </c>
      <c r="E203" s="76">
        <v>1.5277755902411001E-2</v>
      </c>
    </row>
    <row r="204" spans="2:5" ht="15" customHeight="1">
      <c r="B204" s="96" t="s">
        <v>198</v>
      </c>
      <c r="C204" s="61" t="s">
        <v>310</v>
      </c>
      <c r="D204" s="62">
        <v>7</v>
      </c>
      <c r="E204" s="63">
        <v>1.1025184671800001E-4</v>
      </c>
    </row>
    <row r="205" spans="2:5" ht="15" customHeight="1">
      <c r="B205" s="97"/>
      <c r="C205" s="61" t="s">
        <v>311</v>
      </c>
      <c r="D205" s="62">
        <v>13</v>
      </c>
      <c r="E205" s="63">
        <v>2.0475342962000001E-4</v>
      </c>
    </row>
    <row r="206" spans="2:5" ht="15" customHeight="1">
      <c r="B206" s="97"/>
      <c r="C206" s="61" t="s">
        <v>312</v>
      </c>
      <c r="D206" s="62">
        <v>35</v>
      </c>
      <c r="E206" s="63">
        <v>5.5125923359200003E-4</v>
      </c>
    </row>
    <row r="207" spans="2:5" ht="15" customHeight="1">
      <c r="B207" s="97"/>
      <c r="C207" s="61" t="s">
        <v>313</v>
      </c>
      <c r="D207" s="62">
        <v>273</v>
      </c>
      <c r="E207" s="63">
        <v>4.2998220220190004E-3</v>
      </c>
    </row>
    <row r="208" spans="2:5" ht="15" customHeight="1">
      <c r="B208" s="97"/>
      <c r="C208" s="61" t="s">
        <v>314</v>
      </c>
      <c r="D208" s="62">
        <v>18</v>
      </c>
      <c r="E208" s="63">
        <v>2.8350474870499998E-4</v>
      </c>
    </row>
    <row r="209" spans="2:5" ht="15" customHeight="1">
      <c r="B209" s="97"/>
      <c r="C209" s="61" t="s">
        <v>316</v>
      </c>
      <c r="D209" s="62">
        <v>2</v>
      </c>
      <c r="E209" s="63">
        <v>3.1500527634000002E-5</v>
      </c>
    </row>
    <row r="210" spans="2:5" ht="15" customHeight="1">
      <c r="B210" s="97"/>
      <c r="C210" s="61" t="s">
        <v>317</v>
      </c>
      <c r="D210" s="62">
        <v>34</v>
      </c>
      <c r="E210" s="63">
        <v>5.3550896977499996E-4</v>
      </c>
    </row>
    <row r="211" spans="2:5" ht="15" customHeight="1">
      <c r="B211" s="97"/>
      <c r="C211" s="61" t="s">
        <v>318</v>
      </c>
      <c r="D211" s="62">
        <v>35</v>
      </c>
      <c r="E211" s="63">
        <v>5.5125923359200003E-4</v>
      </c>
    </row>
    <row r="212" spans="2:5" ht="15" customHeight="1">
      <c r="B212" s="97"/>
      <c r="C212" s="61" t="s">
        <v>319</v>
      </c>
      <c r="D212" s="62">
        <v>7</v>
      </c>
      <c r="E212" s="63">
        <v>1.1025184671800001E-4</v>
      </c>
    </row>
    <row r="213" spans="2:5" ht="15" customHeight="1">
      <c r="B213" s="97"/>
      <c r="C213" s="61" t="s">
        <v>320</v>
      </c>
      <c r="D213" s="62">
        <v>62</v>
      </c>
      <c r="E213" s="63">
        <v>9.7651635664900002E-4</v>
      </c>
    </row>
    <row r="214" spans="2:5" ht="15" customHeight="1">
      <c r="B214" s="97"/>
      <c r="C214" s="61" t="s">
        <v>321</v>
      </c>
      <c r="D214" s="62">
        <v>12</v>
      </c>
      <c r="E214" s="63">
        <v>1.89003165803E-4</v>
      </c>
    </row>
    <row r="215" spans="2:5" ht="15" customHeight="1">
      <c r="B215" s="97"/>
      <c r="C215" s="61" t="s">
        <v>322</v>
      </c>
      <c r="D215" s="62">
        <v>3</v>
      </c>
      <c r="E215" s="63">
        <v>4.7250791451000003E-5</v>
      </c>
    </row>
    <row r="216" spans="2:5" ht="15" customHeight="1">
      <c r="B216" s="97"/>
      <c r="C216" s="61" t="s">
        <v>323</v>
      </c>
      <c r="D216" s="62">
        <v>10</v>
      </c>
      <c r="E216" s="63">
        <v>1.57502638169E-4</v>
      </c>
    </row>
    <row r="217" spans="2:5" ht="15" customHeight="1">
      <c r="B217" s="97"/>
      <c r="C217" s="61" t="s">
        <v>324</v>
      </c>
      <c r="D217" s="62">
        <v>3</v>
      </c>
      <c r="E217" s="63">
        <v>4.7250791451000003E-5</v>
      </c>
    </row>
    <row r="218" spans="2:5" ht="15" customHeight="1">
      <c r="B218" s="97"/>
      <c r="C218" s="61" t="s">
        <v>325</v>
      </c>
      <c r="D218" s="62">
        <v>7</v>
      </c>
      <c r="E218" s="63">
        <v>1.1025184671800001E-4</v>
      </c>
    </row>
    <row r="219" spans="2:5" ht="15" customHeight="1">
      <c r="B219" s="97"/>
      <c r="C219" s="61" t="s">
        <v>326</v>
      </c>
      <c r="D219" s="62">
        <v>1</v>
      </c>
      <c r="E219" s="63">
        <v>1.5750263817000001E-5</v>
      </c>
    </row>
    <row r="220" spans="2:5" ht="15" customHeight="1">
      <c r="B220" s="97"/>
      <c r="C220" s="61" t="s">
        <v>327</v>
      </c>
      <c r="D220" s="62">
        <v>17</v>
      </c>
      <c r="E220" s="63">
        <v>2.6775448488800002E-4</v>
      </c>
    </row>
    <row r="221" spans="2:5" ht="15" customHeight="1">
      <c r="B221" s="97"/>
      <c r="C221" s="61" t="s">
        <v>328</v>
      </c>
      <c r="D221" s="62">
        <v>4</v>
      </c>
      <c r="E221" s="63">
        <v>6.3001055268000004E-5</v>
      </c>
    </row>
    <row r="222" spans="2:5" ht="15" customHeight="1">
      <c r="B222" s="97"/>
      <c r="C222" s="61" t="s">
        <v>329</v>
      </c>
      <c r="D222" s="62">
        <v>3</v>
      </c>
      <c r="E222" s="63">
        <v>4.7250791451000003E-5</v>
      </c>
    </row>
    <row r="223" spans="2:5" ht="15" customHeight="1">
      <c r="B223" s="97"/>
      <c r="C223" s="61" t="s">
        <v>330</v>
      </c>
      <c r="D223" s="62">
        <v>6</v>
      </c>
      <c r="E223" s="63">
        <v>9.4501582902000006E-5</v>
      </c>
    </row>
    <row r="224" spans="2:5" ht="15" customHeight="1">
      <c r="B224" s="97"/>
      <c r="C224" s="61" t="s">
        <v>331</v>
      </c>
      <c r="D224" s="62">
        <v>1</v>
      </c>
      <c r="E224" s="63">
        <v>1.5750263817000001E-5</v>
      </c>
    </row>
    <row r="225" spans="2:5" ht="15" customHeight="1">
      <c r="B225" s="97"/>
      <c r="C225" s="61" t="s">
        <v>332</v>
      </c>
      <c r="D225" s="62">
        <v>9</v>
      </c>
      <c r="E225" s="63">
        <v>1.4175237435200001E-4</v>
      </c>
    </row>
    <row r="226" spans="2:5" ht="15" customHeight="1">
      <c r="B226" s="97"/>
      <c r="C226" s="61" t="s">
        <v>333</v>
      </c>
      <c r="D226" s="62">
        <v>14</v>
      </c>
      <c r="E226" s="63">
        <v>2.20503693437E-4</v>
      </c>
    </row>
    <row r="227" spans="2:5" ht="15" customHeight="1">
      <c r="B227" s="97"/>
      <c r="C227" s="61" t="s">
        <v>353</v>
      </c>
      <c r="D227" s="62">
        <v>1</v>
      </c>
      <c r="E227" s="63">
        <v>1.5750263817000001E-5</v>
      </c>
    </row>
    <row r="228" spans="2:5" ht="15" customHeight="1">
      <c r="B228" s="97"/>
      <c r="C228" s="61" t="s">
        <v>334</v>
      </c>
      <c r="D228" s="62">
        <v>1</v>
      </c>
      <c r="E228" s="63">
        <v>1.5750263817000001E-5</v>
      </c>
    </row>
    <row r="229" spans="2:5" ht="15" customHeight="1">
      <c r="B229" s="97"/>
      <c r="C229" s="61" t="s">
        <v>335</v>
      </c>
      <c r="D229" s="62">
        <v>3</v>
      </c>
      <c r="E229" s="63">
        <v>4.7250791451000003E-5</v>
      </c>
    </row>
    <row r="230" spans="2:5" ht="15" customHeight="1">
      <c r="B230" s="97"/>
      <c r="C230" s="61" t="s">
        <v>336</v>
      </c>
      <c r="D230" s="62">
        <v>4</v>
      </c>
      <c r="E230" s="63">
        <v>6.3001055268000004E-5</v>
      </c>
    </row>
    <row r="231" spans="2:5" ht="15" customHeight="1">
      <c r="B231" s="97"/>
      <c r="C231" s="61" t="s">
        <v>337</v>
      </c>
      <c r="D231" s="62">
        <v>27</v>
      </c>
      <c r="E231" s="63">
        <v>4.2525712305699999E-4</v>
      </c>
    </row>
    <row r="232" spans="2:5" ht="15" customHeight="1">
      <c r="B232" s="97"/>
      <c r="C232" s="61" t="s">
        <v>338</v>
      </c>
      <c r="D232" s="62">
        <v>10</v>
      </c>
      <c r="E232" s="63">
        <v>1.57502638169E-4</v>
      </c>
    </row>
    <row r="233" spans="2:5" ht="15" customHeight="1">
      <c r="B233" s="97"/>
      <c r="C233" s="61" t="s">
        <v>339</v>
      </c>
      <c r="D233" s="62">
        <v>36</v>
      </c>
      <c r="E233" s="63">
        <v>5.6700949740899999E-4</v>
      </c>
    </row>
    <row r="234" spans="2:5" ht="15" customHeight="1">
      <c r="B234" s="97"/>
      <c r="C234" s="61" t="s">
        <v>340</v>
      </c>
      <c r="D234" s="62">
        <v>1</v>
      </c>
      <c r="E234" s="63">
        <v>1.5750263817000001E-5</v>
      </c>
    </row>
    <row r="235" spans="2:5" ht="15" customHeight="1">
      <c r="B235" s="97"/>
      <c r="C235" s="61" t="s">
        <v>341</v>
      </c>
      <c r="D235" s="62">
        <v>14</v>
      </c>
      <c r="E235" s="63">
        <v>2.20503693437E-4</v>
      </c>
    </row>
    <row r="236" spans="2:5" ht="15" customHeight="1">
      <c r="B236" s="97"/>
      <c r="C236" s="61" t="s">
        <v>342</v>
      </c>
      <c r="D236" s="62">
        <v>4</v>
      </c>
      <c r="E236" s="63">
        <v>6.3001055268000004E-5</v>
      </c>
    </row>
    <row r="237" spans="2:5" ht="15" customHeight="1">
      <c r="B237" s="97"/>
      <c r="C237" s="61" t="s">
        <v>343</v>
      </c>
      <c r="D237" s="62">
        <v>24</v>
      </c>
      <c r="E237" s="63">
        <v>3.78006331606E-4</v>
      </c>
    </row>
    <row r="238" spans="2:5" ht="15" customHeight="1">
      <c r="B238" s="97"/>
      <c r="C238" s="61" t="s">
        <v>344</v>
      </c>
      <c r="D238" s="62">
        <v>375</v>
      </c>
      <c r="E238" s="63">
        <v>5.9063489313449999E-3</v>
      </c>
    </row>
    <row r="239" spans="2:5" ht="15" customHeight="1">
      <c r="B239" s="97"/>
      <c r="C239" s="61" t="s">
        <v>345</v>
      </c>
      <c r="D239" s="62">
        <v>6</v>
      </c>
      <c r="E239" s="63">
        <v>9.4501582902000006E-5</v>
      </c>
    </row>
    <row r="240" spans="2:5" ht="15" customHeight="1">
      <c r="B240" s="97"/>
      <c r="C240" s="61" t="s">
        <v>346</v>
      </c>
      <c r="D240" s="62">
        <v>7</v>
      </c>
      <c r="E240" s="63">
        <v>1.1025184671800001E-4</v>
      </c>
    </row>
    <row r="241" spans="2:5" ht="15" customHeight="1">
      <c r="B241" s="97"/>
      <c r="C241" s="61" t="s">
        <v>347</v>
      </c>
      <c r="D241" s="62">
        <v>6</v>
      </c>
      <c r="E241" s="63">
        <v>9.4501582902000006E-5</v>
      </c>
    </row>
    <row r="242" spans="2:5" ht="15" customHeight="1">
      <c r="B242" s="97"/>
      <c r="C242" s="61" t="s">
        <v>348</v>
      </c>
      <c r="D242" s="62">
        <v>17</v>
      </c>
      <c r="E242" s="63">
        <v>2.6775448488800002E-4</v>
      </c>
    </row>
    <row r="243" spans="2:5" ht="15" customHeight="1">
      <c r="B243" s="98"/>
      <c r="C243" s="75" t="s">
        <v>304</v>
      </c>
      <c r="D243" s="74">
        <v>1112</v>
      </c>
      <c r="E243" s="76">
        <v>1.7514293364413999E-2</v>
      </c>
    </row>
    <row r="244" spans="2:5" ht="15" customHeight="1">
      <c r="B244" s="96" t="s">
        <v>199</v>
      </c>
      <c r="C244" s="61" t="s">
        <v>310</v>
      </c>
      <c r="D244" s="62">
        <v>18</v>
      </c>
      <c r="E244" s="63">
        <v>2.8350474870499998E-4</v>
      </c>
    </row>
    <row r="245" spans="2:5" ht="15" customHeight="1">
      <c r="B245" s="97"/>
      <c r="C245" s="61" t="s">
        <v>311</v>
      </c>
      <c r="D245" s="62">
        <v>93</v>
      </c>
      <c r="E245" s="63">
        <v>1.464774534973E-3</v>
      </c>
    </row>
    <row r="246" spans="2:5" ht="15" customHeight="1">
      <c r="B246" s="97"/>
      <c r="C246" s="61" t="s">
        <v>312</v>
      </c>
      <c r="D246" s="62">
        <v>118</v>
      </c>
      <c r="E246" s="63">
        <v>1.8585311303960001E-3</v>
      </c>
    </row>
    <row r="247" spans="2:5" ht="15" customHeight="1">
      <c r="B247" s="97"/>
      <c r="C247" s="61" t="s">
        <v>313</v>
      </c>
      <c r="D247" s="62">
        <v>1385</v>
      </c>
      <c r="E247" s="63">
        <v>2.1814115386432999E-2</v>
      </c>
    </row>
    <row r="248" spans="2:5" ht="15" customHeight="1">
      <c r="B248" s="97"/>
      <c r="C248" s="61" t="s">
        <v>314</v>
      </c>
      <c r="D248" s="62">
        <v>80</v>
      </c>
      <c r="E248" s="63">
        <v>1.2600211053540001E-3</v>
      </c>
    </row>
    <row r="249" spans="2:5" ht="15" customHeight="1">
      <c r="B249" s="97"/>
      <c r="C249" s="61" t="s">
        <v>315</v>
      </c>
      <c r="D249" s="62">
        <v>1</v>
      </c>
      <c r="E249" s="63">
        <v>1.5750263817000001E-5</v>
      </c>
    </row>
    <row r="250" spans="2:5" ht="15" customHeight="1">
      <c r="B250" s="97"/>
      <c r="C250" s="61" t="s">
        <v>316</v>
      </c>
      <c r="D250" s="62">
        <v>10</v>
      </c>
      <c r="E250" s="63">
        <v>1.57502638169E-4</v>
      </c>
    </row>
    <row r="251" spans="2:5" ht="15" customHeight="1">
      <c r="B251" s="97"/>
      <c r="C251" s="61" t="s">
        <v>317</v>
      </c>
      <c r="D251" s="62">
        <v>131</v>
      </c>
      <c r="E251" s="63">
        <v>2.063284560016E-3</v>
      </c>
    </row>
    <row r="252" spans="2:5" ht="15" customHeight="1">
      <c r="B252" s="97"/>
      <c r="C252" s="61" t="s">
        <v>318</v>
      </c>
      <c r="D252" s="62">
        <v>103</v>
      </c>
      <c r="E252" s="63">
        <v>1.622277173143E-3</v>
      </c>
    </row>
    <row r="253" spans="2:5" ht="15" customHeight="1">
      <c r="B253" s="97"/>
      <c r="C253" s="61" t="s">
        <v>319</v>
      </c>
      <c r="D253" s="62">
        <v>40</v>
      </c>
      <c r="E253" s="63">
        <v>6.3001055267700005E-4</v>
      </c>
    </row>
    <row r="254" spans="2:5" ht="15" customHeight="1">
      <c r="B254" s="97"/>
      <c r="C254" s="61" t="s">
        <v>320</v>
      </c>
      <c r="D254" s="62">
        <v>362</v>
      </c>
      <c r="E254" s="63">
        <v>5.7015955017250004E-3</v>
      </c>
    </row>
    <row r="255" spans="2:5" ht="15" customHeight="1">
      <c r="B255" s="97"/>
      <c r="C255" s="61" t="s">
        <v>321</v>
      </c>
      <c r="D255" s="62">
        <v>68</v>
      </c>
      <c r="E255" s="63">
        <v>1.0710179395499999E-3</v>
      </c>
    </row>
    <row r="256" spans="2:5" ht="15" customHeight="1">
      <c r="B256" s="97"/>
      <c r="C256" s="61" t="s">
        <v>322</v>
      </c>
      <c r="D256" s="62">
        <v>10</v>
      </c>
      <c r="E256" s="63">
        <v>1.57502638169E-4</v>
      </c>
    </row>
    <row r="257" spans="2:5" ht="15" customHeight="1">
      <c r="B257" s="97"/>
      <c r="C257" s="61" t="s">
        <v>323</v>
      </c>
      <c r="D257" s="62">
        <v>30</v>
      </c>
      <c r="E257" s="63">
        <v>4.7250791450799997E-4</v>
      </c>
    </row>
    <row r="258" spans="2:5" ht="15" customHeight="1">
      <c r="B258" s="97"/>
      <c r="C258" s="61" t="s">
        <v>324</v>
      </c>
      <c r="D258" s="62">
        <v>22</v>
      </c>
      <c r="E258" s="63">
        <v>3.4650580397200002E-4</v>
      </c>
    </row>
    <row r="259" spans="2:5" ht="15" customHeight="1">
      <c r="B259" s="97"/>
      <c r="C259" s="61" t="s">
        <v>325</v>
      </c>
      <c r="D259" s="62">
        <v>25</v>
      </c>
      <c r="E259" s="63">
        <v>3.9375659542300001E-4</v>
      </c>
    </row>
    <row r="260" spans="2:5" ht="15" customHeight="1">
      <c r="B260" s="97"/>
      <c r="C260" s="61" t="s">
        <v>326</v>
      </c>
      <c r="D260" s="62">
        <v>6</v>
      </c>
      <c r="E260" s="63">
        <v>9.4501582902000006E-5</v>
      </c>
    </row>
    <row r="261" spans="2:5" ht="15" customHeight="1">
      <c r="B261" s="97"/>
      <c r="C261" s="61" t="s">
        <v>327</v>
      </c>
      <c r="D261" s="62">
        <v>110</v>
      </c>
      <c r="E261" s="63">
        <v>1.732529019861E-3</v>
      </c>
    </row>
    <row r="262" spans="2:5" ht="15" customHeight="1">
      <c r="B262" s="97"/>
      <c r="C262" s="61" t="s">
        <v>328</v>
      </c>
      <c r="D262" s="62">
        <v>15</v>
      </c>
      <c r="E262" s="63">
        <v>2.3625395725399999E-4</v>
      </c>
    </row>
    <row r="263" spans="2:5" ht="15" customHeight="1">
      <c r="B263" s="97"/>
      <c r="C263" s="61" t="s">
        <v>329</v>
      </c>
      <c r="D263" s="62">
        <v>29</v>
      </c>
      <c r="E263" s="63">
        <v>4.5675765069100001E-4</v>
      </c>
    </row>
    <row r="264" spans="2:5" ht="15" customHeight="1">
      <c r="B264" s="97"/>
      <c r="C264" s="61" t="s">
        <v>330</v>
      </c>
      <c r="D264" s="62">
        <v>43</v>
      </c>
      <c r="E264" s="63">
        <v>6.7726134412800004E-4</v>
      </c>
    </row>
    <row r="265" spans="2:5" ht="15" customHeight="1">
      <c r="B265" s="97"/>
      <c r="C265" s="61" t="s">
        <v>331</v>
      </c>
      <c r="D265" s="62">
        <v>6</v>
      </c>
      <c r="E265" s="63">
        <v>9.4501582902000006E-5</v>
      </c>
    </row>
    <row r="266" spans="2:5" ht="15" customHeight="1">
      <c r="B266" s="97"/>
      <c r="C266" s="61" t="s">
        <v>332</v>
      </c>
      <c r="D266" s="62">
        <v>30</v>
      </c>
      <c r="E266" s="63">
        <v>4.7250791450799997E-4</v>
      </c>
    </row>
    <row r="267" spans="2:5" ht="15" customHeight="1">
      <c r="B267" s="97"/>
      <c r="C267" s="61" t="s">
        <v>333</v>
      </c>
      <c r="D267" s="62">
        <v>88</v>
      </c>
      <c r="E267" s="63">
        <v>1.3860232158889999E-3</v>
      </c>
    </row>
    <row r="268" spans="2:5" ht="15" customHeight="1">
      <c r="B268" s="97"/>
      <c r="C268" s="61" t="s">
        <v>334</v>
      </c>
      <c r="D268" s="62">
        <v>13</v>
      </c>
      <c r="E268" s="63">
        <v>2.0475342962000001E-4</v>
      </c>
    </row>
    <row r="269" spans="2:5" ht="15" customHeight="1">
      <c r="B269" s="97"/>
      <c r="C269" s="61" t="s">
        <v>335</v>
      </c>
      <c r="D269" s="62">
        <v>7</v>
      </c>
      <c r="E269" s="63">
        <v>1.1025184671800001E-4</v>
      </c>
    </row>
    <row r="270" spans="2:5" ht="15" customHeight="1">
      <c r="B270" s="97"/>
      <c r="C270" s="61" t="s">
        <v>336</v>
      </c>
      <c r="D270" s="62">
        <v>5</v>
      </c>
      <c r="E270" s="63">
        <v>7.8751319085000005E-5</v>
      </c>
    </row>
    <row r="271" spans="2:5" ht="15" customHeight="1">
      <c r="B271" s="97"/>
      <c r="C271" s="61" t="s">
        <v>337</v>
      </c>
      <c r="D271" s="62">
        <v>120</v>
      </c>
      <c r="E271" s="63">
        <v>1.89003165803E-3</v>
      </c>
    </row>
    <row r="272" spans="2:5" ht="15" customHeight="1">
      <c r="B272" s="97"/>
      <c r="C272" s="61" t="s">
        <v>338</v>
      </c>
      <c r="D272" s="62">
        <v>81</v>
      </c>
      <c r="E272" s="63">
        <v>1.2757713691700001E-3</v>
      </c>
    </row>
    <row r="273" spans="2:5" ht="15" customHeight="1">
      <c r="B273" s="97"/>
      <c r="C273" s="61" t="s">
        <v>339</v>
      </c>
      <c r="D273" s="62">
        <v>105</v>
      </c>
      <c r="E273" s="63">
        <v>1.6537777007760001E-3</v>
      </c>
    </row>
    <row r="274" spans="2:5" ht="15" customHeight="1">
      <c r="B274" s="97"/>
      <c r="C274" s="61" t="s">
        <v>340</v>
      </c>
      <c r="D274" s="62">
        <v>16</v>
      </c>
      <c r="E274" s="63">
        <v>2.52004221071E-4</v>
      </c>
    </row>
    <row r="275" spans="2:5" ht="15" customHeight="1">
      <c r="B275" s="97"/>
      <c r="C275" s="61" t="s">
        <v>341</v>
      </c>
      <c r="D275" s="62">
        <v>43</v>
      </c>
      <c r="E275" s="63">
        <v>6.7726134412800004E-4</v>
      </c>
    </row>
    <row r="276" spans="2:5" ht="15" customHeight="1">
      <c r="B276" s="97"/>
      <c r="C276" s="61" t="s">
        <v>342</v>
      </c>
      <c r="D276" s="62">
        <v>34</v>
      </c>
      <c r="E276" s="63">
        <v>5.3550896977499996E-4</v>
      </c>
    </row>
    <row r="277" spans="2:5" ht="15" customHeight="1">
      <c r="B277" s="97"/>
      <c r="C277" s="61" t="s">
        <v>352</v>
      </c>
      <c r="D277" s="62">
        <v>1</v>
      </c>
      <c r="E277" s="63">
        <v>1.5750263817000001E-5</v>
      </c>
    </row>
    <row r="278" spans="2:5" ht="15" customHeight="1">
      <c r="B278" s="97"/>
      <c r="C278" s="61" t="s">
        <v>343</v>
      </c>
      <c r="D278" s="62">
        <v>105</v>
      </c>
      <c r="E278" s="63">
        <v>1.6537777007760001E-3</v>
      </c>
    </row>
    <row r="279" spans="2:5" ht="15" customHeight="1">
      <c r="B279" s="97"/>
      <c r="C279" s="61" t="s">
        <v>344</v>
      </c>
      <c r="D279" s="62">
        <v>2202</v>
      </c>
      <c r="E279" s="63">
        <v>3.4682080924855002E-2</v>
      </c>
    </row>
    <row r="280" spans="2:5" ht="15" customHeight="1">
      <c r="B280" s="97"/>
      <c r="C280" s="61" t="s">
        <v>345</v>
      </c>
      <c r="D280" s="62">
        <v>45</v>
      </c>
      <c r="E280" s="63">
        <v>7.08761871761E-4</v>
      </c>
    </row>
    <row r="281" spans="2:5" ht="15" customHeight="1">
      <c r="B281" s="97"/>
      <c r="C281" s="61" t="s">
        <v>346</v>
      </c>
      <c r="D281" s="62">
        <v>19</v>
      </c>
      <c r="E281" s="63">
        <v>2.9925501252099998E-4</v>
      </c>
    </row>
    <row r="282" spans="2:5" ht="15" customHeight="1">
      <c r="B282" s="97"/>
      <c r="C282" s="61" t="s">
        <v>347</v>
      </c>
      <c r="D282" s="62">
        <v>8</v>
      </c>
      <c r="E282" s="63">
        <v>1.2600211053499999E-4</v>
      </c>
    </row>
    <row r="283" spans="2:5" ht="15" customHeight="1">
      <c r="B283" s="97"/>
      <c r="C283" s="61" t="s">
        <v>348</v>
      </c>
      <c r="D283" s="62">
        <v>35</v>
      </c>
      <c r="E283" s="63">
        <v>5.5125923359200003E-4</v>
      </c>
    </row>
    <row r="284" spans="2:5" ht="15" customHeight="1">
      <c r="B284" s="97"/>
      <c r="C284" s="61" t="s">
        <v>349</v>
      </c>
      <c r="D284" s="62">
        <v>3</v>
      </c>
      <c r="E284" s="63">
        <v>4.7250791451000003E-5</v>
      </c>
    </row>
    <row r="285" spans="2:5" ht="15" customHeight="1">
      <c r="B285" s="98"/>
      <c r="C285" s="75" t="s">
        <v>304</v>
      </c>
      <c r="D285" s="74">
        <v>5665</v>
      </c>
      <c r="E285" s="76">
        <v>8.9225244522845998E-2</v>
      </c>
    </row>
    <row r="286" spans="2:5" ht="15" customHeight="1">
      <c r="B286" s="96" t="s">
        <v>200</v>
      </c>
      <c r="C286" s="61" t="s">
        <v>310</v>
      </c>
      <c r="D286" s="62">
        <v>45</v>
      </c>
      <c r="E286" s="63">
        <v>7.08761871761E-4</v>
      </c>
    </row>
    <row r="287" spans="2:5" ht="15" customHeight="1">
      <c r="B287" s="97"/>
      <c r="C287" s="61" t="s">
        <v>311</v>
      </c>
      <c r="D287" s="62">
        <v>138</v>
      </c>
      <c r="E287" s="63">
        <v>2.1735364067350001E-3</v>
      </c>
    </row>
    <row r="288" spans="2:5" ht="15" customHeight="1">
      <c r="B288" s="97"/>
      <c r="C288" s="61" t="s">
        <v>312</v>
      </c>
      <c r="D288" s="62">
        <v>274</v>
      </c>
      <c r="E288" s="63">
        <v>4.315572285836E-3</v>
      </c>
    </row>
    <row r="289" spans="2:5" ht="15" customHeight="1">
      <c r="B289" s="97"/>
      <c r="C289" s="61" t="s">
        <v>313</v>
      </c>
      <c r="D289" s="62">
        <v>2246</v>
      </c>
      <c r="E289" s="63">
        <v>3.5375092532800002E-2</v>
      </c>
    </row>
    <row r="290" spans="2:5" ht="15" customHeight="1">
      <c r="B290" s="97"/>
      <c r="C290" s="61" t="s">
        <v>314</v>
      </c>
      <c r="D290" s="62">
        <v>181</v>
      </c>
      <c r="E290" s="63">
        <v>2.8507977508620001E-3</v>
      </c>
    </row>
    <row r="291" spans="2:5" ht="15" customHeight="1">
      <c r="B291" s="97"/>
      <c r="C291" s="61" t="s">
        <v>315</v>
      </c>
      <c r="D291" s="62">
        <v>9</v>
      </c>
      <c r="E291" s="63">
        <v>1.4175237435200001E-4</v>
      </c>
    </row>
    <row r="292" spans="2:5" ht="15" customHeight="1">
      <c r="B292" s="97"/>
      <c r="C292" s="61" t="s">
        <v>316</v>
      </c>
      <c r="D292" s="62">
        <v>17</v>
      </c>
      <c r="E292" s="63">
        <v>2.6775448488800002E-4</v>
      </c>
    </row>
    <row r="293" spans="2:5" ht="15" customHeight="1">
      <c r="B293" s="97"/>
      <c r="C293" s="61" t="s">
        <v>317</v>
      </c>
      <c r="D293" s="62">
        <v>309</v>
      </c>
      <c r="E293" s="63">
        <v>4.866831519428E-3</v>
      </c>
    </row>
    <row r="294" spans="2:5" ht="15" customHeight="1">
      <c r="B294" s="97"/>
      <c r="C294" s="61" t="s">
        <v>318</v>
      </c>
      <c r="D294" s="62">
        <v>387</v>
      </c>
      <c r="E294" s="63">
        <v>6.0953520971479998E-3</v>
      </c>
    </row>
    <row r="295" spans="2:5" ht="15" customHeight="1">
      <c r="B295" s="97"/>
      <c r="C295" s="61" t="s">
        <v>319</v>
      </c>
      <c r="D295" s="62">
        <v>113</v>
      </c>
      <c r="E295" s="63">
        <v>1.779779811312E-3</v>
      </c>
    </row>
    <row r="296" spans="2:5" ht="15" customHeight="1">
      <c r="B296" s="97"/>
      <c r="C296" s="61" t="s">
        <v>320</v>
      </c>
      <c r="D296" s="62">
        <v>1462</v>
      </c>
      <c r="E296" s="63">
        <v>2.3026885700334999E-2</v>
      </c>
    </row>
    <row r="297" spans="2:5" ht="15" customHeight="1">
      <c r="B297" s="97"/>
      <c r="C297" s="61" t="s">
        <v>321</v>
      </c>
      <c r="D297" s="62">
        <v>171</v>
      </c>
      <c r="E297" s="63">
        <v>2.693295112693E-3</v>
      </c>
    </row>
    <row r="298" spans="2:5" ht="15" customHeight="1">
      <c r="B298" s="97"/>
      <c r="C298" s="61" t="s">
        <v>322</v>
      </c>
      <c r="D298" s="62">
        <v>32</v>
      </c>
      <c r="E298" s="63">
        <v>5.0400844214100004E-4</v>
      </c>
    </row>
    <row r="299" spans="2:5" ht="15" customHeight="1">
      <c r="B299" s="97"/>
      <c r="C299" s="61" t="s">
        <v>323</v>
      </c>
      <c r="D299" s="62">
        <v>54</v>
      </c>
      <c r="E299" s="63">
        <v>8.5051424611399997E-4</v>
      </c>
    </row>
    <row r="300" spans="2:5" ht="15" customHeight="1">
      <c r="B300" s="97"/>
      <c r="C300" s="61" t="s">
        <v>324</v>
      </c>
      <c r="D300" s="62">
        <v>44</v>
      </c>
      <c r="E300" s="63">
        <v>6.9301160794400004E-4</v>
      </c>
    </row>
    <row r="301" spans="2:5" ht="15" customHeight="1">
      <c r="B301" s="97"/>
      <c r="C301" s="61" t="s">
        <v>325</v>
      </c>
      <c r="D301" s="62">
        <v>60</v>
      </c>
      <c r="E301" s="63">
        <v>9.4501582901499999E-4</v>
      </c>
    </row>
    <row r="302" spans="2:5" ht="15" customHeight="1">
      <c r="B302" s="97"/>
      <c r="C302" s="61" t="s">
        <v>326</v>
      </c>
      <c r="D302" s="62">
        <v>12</v>
      </c>
      <c r="E302" s="63">
        <v>1.89003165803E-4</v>
      </c>
    </row>
    <row r="303" spans="2:5" ht="15" customHeight="1">
      <c r="B303" s="97"/>
      <c r="C303" s="61" t="s">
        <v>354</v>
      </c>
      <c r="D303" s="62">
        <v>2</v>
      </c>
      <c r="E303" s="63">
        <v>3.1500527634000002E-5</v>
      </c>
    </row>
    <row r="304" spans="2:5" ht="15" customHeight="1">
      <c r="B304" s="97"/>
      <c r="C304" s="61" t="s">
        <v>327</v>
      </c>
      <c r="D304" s="62">
        <v>107</v>
      </c>
      <c r="E304" s="63">
        <v>1.68527822841E-3</v>
      </c>
    </row>
    <row r="305" spans="2:5" ht="15" customHeight="1">
      <c r="B305" s="97"/>
      <c r="C305" s="61" t="s">
        <v>328</v>
      </c>
      <c r="D305" s="62">
        <v>84</v>
      </c>
      <c r="E305" s="63">
        <v>1.3230221606210001E-3</v>
      </c>
    </row>
    <row r="306" spans="2:5" ht="15" customHeight="1">
      <c r="B306" s="97"/>
      <c r="C306" s="61" t="s">
        <v>329</v>
      </c>
      <c r="D306" s="62">
        <v>55</v>
      </c>
      <c r="E306" s="63">
        <v>8.6626450993100004E-4</v>
      </c>
    </row>
    <row r="307" spans="2:5" ht="15" customHeight="1">
      <c r="B307" s="97"/>
      <c r="C307" s="61" t="s">
        <v>330</v>
      </c>
      <c r="D307" s="62">
        <v>67</v>
      </c>
      <c r="E307" s="63">
        <v>1.0552676757339999E-3</v>
      </c>
    </row>
    <row r="308" spans="2:5" ht="15" customHeight="1">
      <c r="B308" s="97"/>
      <c r="C308" s="61" t="s">
        <v>331</v>
      </c>
      <c r="D308" s="62">
        <v>5</v>
      </c>
      <c r="E308" s="63">
        <v>7.8751319085000005E-5</v>
      </c>
    </row>
    <row r="309" spans="2:5" ht="15" customHeight="1">
      <c r="B309" s="97"/>
      <c r="C309" s="61" t="s">
        <v>332</v>
      </c>
      <c r="D309" s="62">
        <v>62</v>
      </c>
      <c r="E309" s="63">
        <v>9.7651635664900002E-4</v>
      </c>
    </row>
    <row r="310" spans="2:5" ht="15" customHeight="1">
      <c r="B310" s="97"/>
      <c r="C310" s="61" t="s">
        <v>333</v>
      </c>
      <c r="D310" s="62">
        <v>95</v>
      </c>
      <c r="E310" s="63">
        <v>1.4962750626069999E-3</v>
      </c>
    </row>
    <row r="311" spans="2:5" ht="15" customHeight="1">
      <c r="B311" s="97"/>
      <c r="C311" s="61" t="s">
        <v>334</v>
      </c>
      <c r="D311" s="62">
        <v>18</v>
      </c>
      <c r="E311" s="63">
        <v>2.8350474870499998E-4</v>
      </c>
    </row>
    <row r="312" spans="2:5" ht="15" customHeight="1">
      <c r="B312" s="97"/>
      <c r="C312" s="61" t="s">
        <v>335</v>
      </c>
      <c r="D312" s="62">
        <v>15</v>
      </c>
      <c r="E312" s="63">
        <v>2.3625395725399999E-4</v>
      </c>
    </row>
    <row r="313" spans="2:5" ht="15" customHeight="1">
      <c r="B313" s="97"/>
      <c r="C313" s="61" t="s">
        <v>336</v>
      </c>
      <c r="D313" s="62">
        <v>15</v>
      </c>
      <c r="E313" s="63">
        <v>2.3625395725399999E-4</v>
      </c>
    </row>
    <row r="314" spans="2:5" ht="15" customHeight="1">
      <c r="B314" s="97"/>
      <c r="C314" s="61" t="s">
        <v>337</v>
      </c>
      <c r="D314" s="62">
        <v>346</v>
      </c>
      <c r="E314" s="63">
        <v>5.4495912806540002E-3</v>
      </c>
    </row>
    <row r="315" spans="2:5" ht="15" customHeight="1">
      <c r="B315" s="97"/>
      <c r="C315" s="61" t="s">
        <v>351</v>
      </c>
      <c r="D315" s="62">
        <v>3</v>
      </c>
      <c r="E315" s="63">
        <v>4.7250791451000003E-5</v>
      </c>
    </row>
    <row r="316" spans="2:5" ht="15" customHeight="1">
      <c r="B316" s="97"/>
      <c r="C316" s="61" t="s">
        <v>338</v>
      </c>
      <c r="D316" s="62">
        <v>130</v>
      </c>
      <c r="E316" s="63">
        <v>2.0475342961989999E-3</v>
      </c>
    </row>
    <row r="317" spans="2:5" ht="15" customHeight="1">
      <c r="B317" s="97"/>
      <c r="C317" s="61" t="s">
        <v>339</v>
      </c>
      <c r="D317" s="62">
        <v>327</v>
      </c>
      <c r="E317" s="63">
        <v>5.1503362681320003E-3</v>
      </c>
    </row>
    <row r="318" spans="2:5" ht="15" customHeight="1">
      <c r="B318" s="97"/>
      <c r="C318" s="61" t="s">
        <v>340</v>
      </c>
      <c r="D318" s="62">
        <v>28</v>
      </c>
      <c r="E318" s="63">
        <v>4.41007386874E-4</v>
      </c>
    </row>
    <row r="319" spans="2:5" ht="15" customHeight="1">
      <c r="B319" s="97"/>
      <c r="C319" s="61" t="s">
        <v>341</v>
      </c>
      <c r="D319" s="62">
        <v>62</v>
      </c>
      <c r="E319" s="63">
        <v>9.7651635664900002E-4</v>
      </c>
    </row>
    <row r="320" spans="2:5" ht="15" customHeight="1">
      <c r="B320" s="97"/>
      <c r="C320" s="61" t="s">
        <v>355</v>
      </c>
      <c r="D320" s="62">
        <v>1</v>
      </c>
      <c r="E320" s="63">
        <v>1.5750263817000001E-5</v>
      </c>
    </row>
    <row r="321" spans="2:5" ht="15" customHeight="1">
      <c r="B321" s="97"/>
      <c r="C321" s="61" t="s">
        <v>342</v>
      </c>
      <c r="D321" s="62">
        <v>106</v>
      </c>
      <c r="E321" s="63">
        <v>1.669527964593E-3</v>
      </c>
    </row>
    <row r="322" spans="2:5" ht="15" customHeight="1">
      <c r="B322" s="97"/>
      <c r="C322" s="61" t="s">
        <v>352</v>
      </c>
      <c r="D322" s="62">
        <v>4</v>
      </c>
      <c r="E322" s="63">
        <v>6.3001055268000004E-5</v>
      </c>
    </row>
    <row r="323" spans="2:5" ht="15" customHeight="1">
      <c r="B323" s="97"/>
      <c r="C323" s="61" t="s">
        <v>343</v>
      </c>
      <c r="D323" s="62">
        <v>189</v>
      </c>
      <c r="E323" s="63">
        <v>2.9767998613979998E-3</v>
      </c>
    </row>
    <row r="324" spans="2:5" ht="15" customHeight="1">
      <c r="B324" s="97"/>
      <c r="C324" s="61" t="s">
        <v>344</v>
      </c>
      <c r="D324" s="62">
        <v>3646</v>
      </c>
      <c r="E324" s="63">
        <v>5.7425461876485999E-2</v>
      </c>
    </row>
    <row r="325" spans="2:5" ht="15" customHeight="1">
      <c r="B325" s="97"/>
      <c r="C325" s="61" t="s">
        <v>345</v>
      </c>
      <c r="D325" s="62">
        <v>61</v>
      </c>
      <c r="E325" s="63">
        <v>9.6076609283199995E-4</v>
      </c>
    </row>
    <row r="326" spans="2:5" ht="15" customHeight="1">
      <c r="B326" s="97"/>
      <c r="C326" s="61" t="s">
        <v>346</v>
      </c>
      <c r="D326" s="62">
        <v>54</v>
      </c>
      <c r="E326" s="63">
        <v>8.5051424611399997E-4</v>
      </c>
    </row>
    <row r="327" spans="2:5" ht="15" customHeight="1">
      <c r="B327" s="97"/>
      <c r="C327" s="61" t="s">
        <v>347</v>
      </c>
      <c r="D327" s="62">
        <v>23</v>
      </c>
      <c r="E327" s="63">
        <v>3.6225606778899998E-4</v>
      </c>
    </row>
    <row r="328" spans="2:5" ht="15" customHeight="1">
      <c r="B328" s="97"/>
      <c r="C328" s="61" t="s">
        <v>356</v>
      </c>
      <c r="D328" s="62">
        <v>6</v>
      </c>
      <c r="E328" s="63">
        <v>9.4501582902000006E-5</v>
      </c>
    </row>
    <row r="329" spans="2:5" ht="15" customHeight="1">
      <c r="B329" s="97"/>
      <c r="C329" s="61" t="s">
        <v>348</v>
      </c>
      <c r="D329" s="62">
        <v>178</v>
      </c>
      <c r="E329" s="63">
        <v>2.803546959412E-3</v>
      </c>
    </row>
    <row r="330" spans="2:5" ht="15" customHeight="1">
      <c r="B330" s="97"/>
      <c r="C330" s="61" t="s">
        <v>349</v>
      </c>
      <c r="D330" s="62">
        <v>2</v>
      </c>
      <c r="E330" s="63">
        <v>3.1500527634000002E-5</v>
      </c>
    </row>
    <row r="331" spans="2:5" ht="15" customHeight="1">
      <c r="B331" s="98"/>
      <c r="C331" s="75" t="s">
        <v>304</v>
      </c>
      <c r="D331" s="74">
        <v>11245</v>
      </c>
      <c r="E331" s="76">
        <v>0.177111716621253</v>
      </c>
    </row>
    <row r="332" spans="2:5" ht="15" customHeight="1">
      <c r="B332" s="96" t="s">
        <v>201</v>
      </c>
      <c r="C332" s="61" t="s">
        <v>310</v>
      </c>
      <c r="D332" s="62">
        <v>7</v>
      </c>
      <c r="E332" s="63">
        <v>1.1025184671800001E-4</v>
      </c>
    </row>
    <row r="333" spans="2:5" ht="15" customHeight="1">
      <c r="B333" s="97"/>
      <c r="C333" s="61" t="s">
        <v>311</v>
      </c>
      <c r="D333" s="62">
        <v>9</v>
      </c>
      <c r="E333" s="63">
        <v>1.4175237435200001E-4</v>
      </c>
    </row>
    <row r="334" spans="2:5" ht="15" customHeight="1">
      <c r="B334" s="97"/>
      <c r="C334" s="61" t="s">
        <v>312</v>
      </c>
      <c r="D334" s="62">
        <v>14</v>
      </c>
      <c r="E334" s="63">
        <v>2.20503693437E-4</v>
      </c>
    </row>
    <row r="335" spans="2:5" ht="15" customHeight="1">
      <c r="B335" s="97"/>
      <c r="C335" s="61" t="s">
        <v>313</v>
      </c>
      <c r="D335" s="62">
        <v>160</v>
      </c>
      <c r="E335" s="63">
        <v>2.5200422107070001E-3</v>
      </c>
    </row>
    <row r="336" spans="2:5" ht="15" customHeight="1">
      <c r="B336" s="97"/>
      <c r="C336" s="61" t="s">
        <v>314</v>
      </c>
      <c r="D336" s="62">
        <v>9</v>
      </c>
      <c r="E336" s="63">
        <v>1.4175237435200001E-4</v>
      </c>
    </row>
    <row r="337" spans="2:5" ht="15" customHeight="1">
      <c r="B337" s="97"/>
      <c r="C337" s="61" t="s">
        <v>317</v>
      </c>
      <c r="D337" s="62">
        <v>30</v>
      </c>
      <c r="E337" s="63">
        <v>4.7250791450799997E-4</v>
      </c>
    </row>
    <row r="338" spans="2:5" ht="15" customHeight="1">
      <c r="B338" s="97"/>
      <c r="C338" s="61" t="s">
        <v>318</v>
      </c>
      <c r="D338" s="62">
        <v>30</v>
      </c>
      <c r="E338" s="63">
        <v>4.7250791450799997E-4</v>
      </c>
    </row>
    <row r="339" spans="2:5" ht="15" customHeight="1">
      <c r="B339" s="97"/>
      <c r="C339" s="61" t="s">
        <v>319</v>
      </c>
      <c r="D339" s="62">
        <v>8</v>
      </c>
      <c r="E339" s="63">
        <v>1.2600211053499999E-4</v>
      </c>
    </row>
    <row r="340" spans="2:5" ht="15" customHeight="1">
      <c r="B340" s="97"/>
      <c r="C340" s="61" t="s">
        <v>320</v>
      </c>
      <c r="D340" s="62">
        <v>50</v>
      </c>
      <c r="E340" s="63">
        <v>7.8751319084600002E-4</v>
      </c>
    </row>
    <row r="341" spans="2:5" ht="15" customHeight="1">
      <c r="B341" s="97"/>
      <c r="C341" s="61" t="s">
        <v>321</v>
      </c>
      <c r="D341" s="62">
        <v>9</v>
      </c>
      <c r="E341" s="63">
        <v>1.4175237435200001E-4</v>
      </c>
    </row>
    <row r="342" spans="2:5" ht="15" customHeight="1">
      <c r="B342" s="97"/>
      <c r="C342" s="61" t="s">
        <v>322</v>
      </c>
      <c r="D342" s="62">
        <v>4</v>
      </c>
      <c r="E342" s="63">
        <v>6.3001055268000004E-5</v>
      </c>
    </row>
    <row r="343" spans="2:5" ht="15" customHeight="1">
      <c r="B343" s="97"/>
      <c r="C343" s="61" t="s">
        <v>323</v>
      </c>
      <c r="D343" s="62">
        <v>5</v>
      </c>
      <c r="E343" s="63">
        <v>7.8751319085000005E-5</v>
      </c>
    </row>
    <row r="344" spans="2:5" ht="15" customHeight="1">
      <c r="B344" s="97"/>
      <c r="C344" s="61" t="s">
        <v>324</v>
      </c>
      <c r="D344" s="62">
        <v>2</v>
      </c>
      <c r="E344" s="63">
        <v>3.1500527634000002E-5</v>
      </c>
    </row>
    <row r="345" spans="2:5" ht="15" customHeight="1">
      <c r="B345" s="97"/>
      <c r="C345" s="61" t="s">
        <v>325</v>
      </c>
      <c r="D345" s="62">
        <v>10</v>
      </c>
      <c r="E345" s="63">
        <v>1.57502638169E-4</v>
      </c>
    </row>
    <row r="346" spans="2:5" ht="15" customHeight="1">
      <c r="B346" s="97"/>
      <c r="C346" s="61" t="s">
        <v>326</v>
      </c>
      <c r="D346" s="62">
        <v>1</v>
      </c>
      <c r="E346" s="63">
        <v>1.5750263817000001E-5</v>
      </c>
    </row>
    <row r="347" spans="2:5" ht="15" customHeight="1">
      <c r="B347" s="97"/>
      <c r="C347" s="61" t="s">
        <v>327</v>
      </c>
      <c r="D347" s="62">
        <v>6</v>
      </c>
      <c r="E347" s="63">
        <v>9.4501582902000006E-5</v>
      </c>
    </row>
    <row r="348" spans="2:5" ht="15" customHeight="1">
      <c r="B348" s="97"/>
      <c r="C348" s="61" t="s">
        <v>328</v>
      </c>
      <c r="D348" s="62">
        <v>6</v>
      </c>
      <c r="E348" s="63">
        <v>9.4501582902000006E-5</v>
      </c>
    </row>
    <row r="349" spans="2:5" ht="15" customHeight="1">
      <c r="B349" s="97"/>
      <c r="C349" s="61" t="s">
        <v>329</v>
      </c>
      <c r="D349" s="62">
        <v>7</v>
      </c>
      <c r="E349" s="63">
        <v>1.1025184671800001E-4</v>
      </c>
    </row>
    <row r="350" spans="2:5" ht="15" customHeight="1">
      <c r="B350" s="97"/>
      <c r="C350" s="61" t="s">
        <v>330</v>
      </c>
      <c r="D350" s="62">
        <v>2</v>
      </c>
      <c r="E350" s="63">
        <v>3.1500527634000002E-5</v>
      </c>
    </row>
    <row r="351" spans="2:5" ht="15" customHeight="1">
      <c r="B351" s="97"/>
      <c r="C351" s="61" t="s">
        <v>332</v>
      </c>
      <c r="D351" s="62">
        <v>8</v>
      </c>
      <c r="E351" s="63">
        <v>1.2600211053499999E-4</v>
      </c>
    </row>
    <row r="352" spans="2:5" ht="15" customHeight="1">
      <c r="B352" s="97"/>
      <c r="C352" s="61" t="s">
        <v>333</v>
      </c>
      <c r="D352" s="62">
        <v>10</v>
      </c>
      <c r="E352" s="63">
        <v>1.57502638169E-4</v>
      </c>
    </row>
    <row r="353" spans="2:5" ht="15" customHeight="1">
      <c r="B353" s="97"/>
      <c r="C353" s="61" t="s">
        <v>335</v>
      </c>
      <c r="D353" s="62">
        <v>1</v>
      </c>
      <c r="E353" s="63">
        <v>1.5750263817000001E-5</v>
      </c>
    </row>
    <row r="354" spans="2:5" ht="15" customHeight="1">
      <c r="B354" s="97"/>
      <c r="C354" s="61" t="s">
        <v>337</v>
      </c>
      <c r="D354" s="62">
        <v>24</v>
      </c>
      <c r="E354" s="63">
        <v>3.78006331606E-4</v>
      </c>
    </row>
    <row r="355" spans="2:5" ht="15" customHeight="1">
      <c r="B355" s="97"/>
      <c r="C355" s="61" t="s">
        <v>351</v>
      </c>
      <c r="D355" s="62">
        <v>1</v>
      </c>
      <c r="E355" s="63">
        <v>1.5750263817000001E-5</v>
      </c>
    </row>
    <row r="356" spans="2:5" ht="15" customHeight="1">
      <c r="B356" s="97"/>
      <c r="C356" s="61" t="s">
        <v>338</v>
      </c>
      <c r="D356" s="62">
        <v>16</v>
      </c>
      <c r="E356" s="63">
        <v>2.52004221071E-4</v>
      </c>
    </row>
    <row r="357" spans="2:5" ht="15" customHeight="1">
      <c r="B357" s="97"/>
      <c r="C357" s="61" t="s">
        <v>339</v>
      </c>
      <c r="D357" s="62">
        <v>30</v>
      </c>
      <c r="E357" s="63">
        <v>4.7250791450799997E-4</v>
      </c>
    </row>
    <row r="358" spans="2:5" ht="15" customHeight="1">
      <c r="B358" s="97"/>
      <c r="C358" s="61" t="s">
        <v>340</v>
      </c>
      <c r="D358" s="62">
        <v>4</v>
      </c>
      <c r="E358" s="63">
        <v>6.3001055268000004E-5</v>
      </c>
    </row>
    <row r="359" spans="2:5" ht="15" customHeight="1">
      <c r="B359" s="97"/>
      <c r="C359" s="61" t="s">
        <v>341</v>
      </c>
      <c r="D359" s="62">
        <v>9</v>
      </c>
      <c r="E359" s="63">
        <v>1.4175237435200001E-4</v>
      </c>
    </row>
    <row r="360" spans="2:5" ht="15" customHeight="1">
      <c r="B360" s="97"/>
      <c r="C360" s="61" t="s">
        <v>342</v>
      </c>
      <c r="D360" s="62">
        <v>8</v>
      </c>
      <c r="E360" s="63">
        <v>1.2600211053499999E-4</v>
      </c>
    </row>
    <row r="361" spans="2:5" ht="15" customHeight="1">
      <c r="B361" s="97"/>
      <c r="C361" s="61" t="s">
        <v>343</v>
      </c>
      <c r="D361" s="62">
        <v>18</v>
      </c>
      <c r="E361" s="63">
        <v>2.8350474870499998E-4</v>
      </c>
    </row>
    <row r="362" spans="2:5" ht="15" customHeight="1">
      <c r="B362" s="97"/>
      <c r="C362" s="61" t="s">
        <v>344</v>
      </c>
      <c r="D362" s="62">
        <v>206</v>
      </c>
      <c r="E362" s="63">
        <v>3.244554346285E-3</v>
      </c>
    </row>
    <row r="363" spans="2:5" ht="15" customHeight="1">
      <c r="B363" s="97"/>
      <c r="C363" s="61" t="s">
        <v>345</v>
      </c>
      <c r="D363" s="62">
        <v>7</v>
      </c>
      <c r="E363" s="63">
        <v>1.1025184671800001E-4</v>
      </c>
    </row>
    <row r="364" spans="2:5" ht="15" customHeight="1">
      <c r="B364" s="97"/>
      <c r="C364" s="61" t="s">
        <v>346</v>
      </c>
      <c r="D364" s="62">
        <v>2</v>
      </c>
      <c r="E364" s="63">
        <v>3.1500527634000002E-5</v>
      </c>
    </row>
    <row r="365" spans="2:5" ht="15" customHeight="1">
      <c r="B365" s="97"/>
      <c r="C365" s="61" t="s">
        <v>348</v>
      </c>
      <c r="D365" s="62">
        <v>7</v>
      </c>
      <c r="E365" s="63">
        <v>1.1025184671800001E-4</v>
      </c>
    </row>
    <row r="366" spans="2:5" ht="15" customHeight="1">
      <c r="B366" s="97"/>
      <c r="C366" s="61" t="s">
        <v>349</v>
      </c>
      <c r="D366" s="62">
        <v>1</v>
      </c>
      <c r="E366" s="63">
        <v>1.5750263817000001E-5</v>
      </c>
    </row>
    <row r="367" spans="2:5" ht="15" customHeight="1">
      <c r="B367" s="98"/>
      <c r="C367" s="75" t="s">
        <v>304</v>
      </c>
      <c r="D367" s="74">
        <v>721</v>
      </c>
      <c r="E367" s="76">
        <v>1.1355940211999E-2</v>
      </c>
    </row>
    <row r="368" spans="2:5" ht="15" customHeight="1">
      <c r="B368" s="96" t="s">
        <v>202</v>
      </c>
      <c r="C368" s="61" t="s">
        <v>310</v>
      </c>
      <c r="D368" s="62">
        <v>12</v>
      </c>
      <c r="E368" s="63">
        <v>1.89003165803E-4</v>
      </c>
    </row>
    <row r="369" spans="2:5" ht="15" customHeight="1">
      <c r="B369" s="97"/>
      <c r="C369" s="61" t="s">
        <v>311</v>
      </c>
      <c r="D369" s="62">
        <v>12</v>
      </c>
      <c r="E369" s="63">
        <v>1.89003165803E-4</v>
      </c>
    </row>
    <row r="370" spans="2:5" ht="15" customHeight="1">
      <c r="B370" s="97"/>
      <c r="C370" s="61" t="s">
        <v>312</v>
      </c>
      <c r="D370" s="62">
        <v>42</v>
      </c>
      <c r="E370" s="63">
        <v>6.6151108031099997E-4</v>
      </c>
    </row>
    <row r="371" spans="2:5" ht="15" customHeight="1">
      <c r="B371" s="97"/>
      <c r="C371" s="61" t="s">
        <v>313</v>
      </c>
      <c r="D371" s="62">
        <v>275</v>
      </c>
      <c r="E371" s="63">
        <v>4.3313225496529996E-3</v>
      </c>
    </row>
    <row r="372" spans="2:5" ht="15" customHeight="1">
      <c r="B372" s="97"/>
      <c r="C372" s="61" t="s">
        <v>314</v>
      </c>
      <c r="D372" s="62">
        <v>25</v>
      </c>
      <c r="E372" s="63">
        <v>3.9375659542300001E-4</v>
      </c>
    </row>
    <row r="373" spans="2:5" ht="15" customHeight="1">
      <c r="B373" s="97"/>
      <c r="C373" s="61" t="s">
        <v>316</v>
      </c>
      <c r="D373" s="62">
        <v>2</v>
      </c>
      <c r="E373" s="63">
        <v>3.1500527634000002E-5</v>
      </c>
    </row>
    <row r="374" spans="2:5" ht="15" customHeight="1">
      <c r="B374" s="97"/>
      <c r="C374" s="61" t="s">
        <v>317</v>
      </c>
      <c r="D374" s="62">
        <v>61</v>
      </c>
      <c r="E374" s="63">
        <v>9.6076609283199995E-4</v>
      </c>
    </row>
    <row r="375" spans="2:5" ht="15" customHeight="1">
      <c r="B375" s="97"/>
      <c r="C375" s="61" t="s">
        <v>318</v>
      </c>
      <c r="D375" s="62">
        <v>45</v>
      </c>
      <c r="E375" s="63">
        <v>7.08761871761E-4</v>
      </c>
    </row>
    <row r="376" spans="2:5" ht="15" customHeight="1">
      <c r="B376" s="97"/>
      <c r="C376" s="61" t="s">
        <v>319</v>
      </c>
      <c r="D376" s="62">
        <v>12</v>
      </c>
      <c r="E376" s="63">
        <v>1.89003165803E-4</v>
      </c>
    </row>
    <row r="377" spans="2:5" ht="15" customHeight="1">
      <c r="B377" s="97"/>
      <c r="C377" s="61" t="s">
        <v>320</v>
      </c>
      <c r="D377" s="62">
        <v>70</v>
      </c>
      <c r="E377" s="63">
        <v>1.1025184671840001E-3</v>
      </c>
    </row>
    <row r="378" spans="2:5" ht="15" customHeight="1">
      <c r="B378" s="97"/>
      <c r="C378" s="61" t="s">
        <v>321</v>
      </c>
      <c r="D378" s="62">
        <v>22</v>
      </c>
      <c r="E378" s="63">
        <v>3.4650580397200002E-4</v>
      </c>
    </row>
    <row r="379" spans="2:5" ht="15" customHeight="1">
      <c r="B379" s="97"/>
      <c r="C379" s="61" t="s">
        <v>322</v>
      </c>
      <c r="D379" s="62">
        <v>7</v>
      </c>
      <c r="E379" s="63">
        <v>1.1025184671800001E-4</v>
      </c>
    </row>
    <row r="380" spans="2:5" ht="15" customHeight="1">
      <c r="B380" s="97"/>
      <c r="C380" s="61" t="s">
        <v>323</v>
      </c>
      <c r="D380" s="62">
        <v>6</v>
      </c>
      <c r="E380" s="63">
        <v>9.4501582902000006E-5</v>
      </c>
    </row>
    <row r="381" spans="2:5" ht="15" customHeight="1">
      <c r="B381" s="97"/>
      <c r="C381" s="61" t="s">
        <v>324</v>
      </c>
      <c r="D381" s="62">
        <v>9</v>
      </c>
      <c r="E381" s="63">
        <v>1.4175237435200001E-4</v>
      </c>
    </row>
    <row r="382" spans="2:5" ht="15" customHeight="1">
      <c r="B382" s="97"/>
      <c r="C382" s="61" t="s">
        <v>325</v>
      </c>
      <c r="D382" s="62">
        <v>12</v>
      </c>
      <c r="E382" s="63">
        <v>1.89003165803E-4</v>
      </c>
    </row>
    <row r="383" spans="2:5" ht="15" customHeight="1">
      <c r="B383" s="97"/>
      <c r="C383" s="61" t="s">
        <v>326</v>
      </c>
      <c r="D383" s="62">
        <v>2</v>
      </c>
      <c r="E383" s="63">
        <v>3.1500527634000002E-5</v>
      </c>
    </row>
    <row r="384" spans="2:5" ht="15" customHeight="1">
      <c r="B384" s="97"/>
      <c r="C384" s="61" t="s">
        <v>327</v>
      </c>
      <c r="D384" s="62">
        <v>22</v>
      </c>
      <c r="E384" s="63">
        <v>3.4650580397200002E-4</v>
      </c>
    </row>
    <row r="385" spans="2:5" ht="15" customHeight="1">
      <c r="B385" s="97"/>
      <c r="C385" s="61" t="s">
        <v>328</v>
      </c>
      <c r="D385" s="62">
        <v>17</v>
      </c>
      <c r="E385" s="63">
        <v>2.6775448488800002E-4</v>
      </c>
    </row>
    <row r="386" spans="2:5" ht="15" customHeight="1">
      <c r="B386" s="97"/>
      <c r="C386" s="61" t="s">
        <v>329</v>
      </c>
      <c r="D386" s="62">
        <v>4</v>
      </c>
      <c r="E386" s="63">
        <v>6.3001055268000004E-5</v>
      </c>
    </row>
    <row r="387" spans="2:5" ht="15" customHeight="1">
      <c r="B387" s="97"/>
      <c r="C387" s="61" t="s">
        <v>330</v>
      </c>
      <c r="D387" s="62">
        <v>16</v>
      </c>
      <c r="E387" s="63">
        <v>2.52004221071E-4</v>
      </c>
    </row>
    <row r="388" spans="2:5" ht="15" customHeight="1">
      <c r="B388" s="97"/>
      <c r="C388" s="61" t="s">
        <v>332</v>
      </c>
      <c r="D388" s="62">
        <v>14</v>
      </c>
      <c r="E388" s="63">
        <v>2.20503693437E-4</v>
      </c>
    </row>
    <row r="389" spans="2:5" ht="15" customHeight="1">
      <c r="B389" s="97"/>
      <c r="C389" s="61" t="s">
        <v>333</v>
      </c>
      <c r="D389" s="62">
        <v>20</v>
      </c>
      <c r="E389" s="63">
        <v>3.1500527633799999E-4</v>
      </c>
    </row>
    <row r="390" spans="2:5" ht="15" customHeight="1">
      <c r="B390" s="97"/>
      <c r="C390" s="61" t="s">
        <v>334</v>
      </c>
      <c r="D390" s="62">
        <v>7</v>
      </c>
      <c r="E390" s="63">
        <v>1.1025184671800001E-4</v>
      </c>
    </row>
    <row r="391" spans="2:5" ht="15" customHeight="1">
      <c r="B391" s="97"/>
      <c r="C391" s="61" t="s">
        <v>335</v>
      </c>
      <c r="D391" s="62">
        <v>6</v>
      </c>
      <c r="E391" s="63">
        <v>9.4501582902000006E-5</v>
      </c>
    </row>
    <row r="392" spans="2:5" ht="15" customHeight="1">
      <c r="B392" s="97"/>
      <c r="C392" s="61" t="s">
        <v>336</v>
      </c>
      <c r="D392" s="62">
        <v>4</v>
      </c>
      <c r="E392" s="63">
        <v>6.3001055268000004E-5</v>
      </c>
    </row>
    <row r="393" spans="2:5" ht="15" customHeight="1">
      <c r="B393" s="97"/>
      <c r="C393" s="61" t="s">
        <v>337</v>
      </c>
      <c r="D393" s="62">
        <v>44</v>
      </c>
      <c r="E393" s="63">
        <v>6.9301160794400004E-4</v>
      </c>
    </row>
    <row r="394" spans="2:5" ht="15" customHeight="1">
      <c r="B394" s="97"/>
      <c r="C394" s="61" t="s">
        <v>338</v>
      </c>
      <c r="D394" s="62">
        <v>30</v>
      </c>
      <c r="E394" s="63">
        <v>4.7250791450799997E-4</v>
      </c>
    </row>
    <row r="395" spans="2:5" ht="15" customHeight="1">
      <c r="B395" s="97"/>
      <c r="C395" s="61" t="s">
        <v>339</v>
      </c>
      <c r="D395" s="62">
        <v>48</v>
      </c>
      <c r="E395" s="63">
        <v>7.5601266321199999E-4</v>
      </c>
    </row>
    <row r="396" spans="2:5" ht="15" customHeight="1">
      <c r="B396" s="97"/>
      <c r="C396" s="61" t="s">
        <v>340</v>
      </c>
      <c r="D396" s="62">
        <v>11</v>
      </c>
      <c r="E396" s="63">
        <v>1.7325290198600001E-4</v>
      </c>
    </row>
    <row r="397" spans="2:5" ht="15" customHeight="1">
      <c r="B397" s="97"/>
      <c r="C397" s="61" t="s">
        <v>341</v>
      </c>
      <c r="D397" s="62">
        <v>10</v>
      </c>
      <c r="E397" s="63">
        <v>1.57502638169E-4</v>
      </c>
    </row>
    <row r="398" spans="2:5" ht="15" customHeight="1">
      <c r="B398" s="97"/>
      <c r="C398" s="61" t="s">
        <v>355</v>
      </c>
      <c r="D398" s="62">
        <v>1</v>
      </c>
      <c r="E398" s="63">
        <v>1.5750263817000001E-5</v>
      </c>
    </row>
    <row r="399" spans="2:5" ht="15" customHeight="1">
      <c r="B399" s="97"/>
      <c r="C399" s="61" t="s">
        <v>342</v>
      </c>
      <c r="D399" s="62">
        <v>10</v>
      </c>
      <c r="E399" s="63">
        <v>1.57502638169E-4</v>
      </c>
    </row>
    <row r="400" spans="2:5" ht="15" customHeight="1">
      <c r="B400" s="97"/>
      <c r="C400" s="61" t="s">
        <v>352</v>
      </c>
      <c r="D400" s="62">
        <v>1</v>
      </c>
      <c r="E400" s="63">
        <v>1.5750263817000001E-5</v>
      </c>
    </row>
    <row r="401" spans="2:5" ht="15" customHeight="1">
      <c r="B401" s="97"/>
      <c r="C401" s="61" t="s">
        <v>343</v>
      </c>
      <c r="D401" s="62">
        <v>30</v>
      </c>
      <c r="E401" s="63">
        <v>4.7250791450799997E-4</v>
      </c>
    </row>
    <row r="402" spans="2:5" ht="15" customHeight="1">
      <c r="B402" s="97"/>
      <c r="C402" s="61" t="s">
        <v>344</v>
      </c>
      <c r="D402" s="62">
        <v>459</v>
      </c>
      <c r="E402" s="63">
        <v>7.229371091966E-3</v>
      </c>
    </row>
    <row r="403" spans="2:5" ht="15" customHeight="1">
      <c r="B403" s="97"/>
      <c r="C403" s="61" t="s">
        <v>345</v>
      </c>
      <c r="D403" s="62">
        <v>16</v>
      </c>
      <c r="E403" s="63">
        <v>2.52004221071E-4</v>
      </c>
    </row>
    <row r="404" spans="2:5" ht="15" customHeight="1">
      <c r="B404" s="97"/>
      <c r="C404" s="61" t="s">
        <v>346</v>
      </c>
      <c r="D404" s="62">
        <v>7</v>
      </c>
      <c r="E404" s="63">
        <v>1.1025184671800001E-4</v>
      </c>
    </row>
    <row r="405" spans="2:5" ht="15" customHeight="1">
      <c r="B405" s="97"/>
      <c r="C405" s="61" t="s">
        <v>347</v>
      </c>
      <c r="D405" s="62">
        <v>2</v>
      </c>
      <c r="E405" s="63">
        <v>3.1500527634000002E-5</v>
      </c>
    </row>
    <row r="406" spans="2:5" ht="15" customHeight="1">
      <c r="B406" s="97"/>
      <c r="C406" s="61" t="s">
        <v>348</v>
      </c>
      <c r="D406" s="62">
        <v>13</v>
      </c>
      <c r="E406" s="63">
        <v>2.0475342962000001E-4</v>
      </c>
    </row>
    <row r="407" spans="2:5" ht="15" customHeight="1">
      <c r="B407" s="98"/>
      <c r="C407" s="75" t="s">
        <v>304</v>
      </c>
      <c r="D407" s="74">
        <v>1406</v>
      </c>
      <c r="E407" s="76">
        <v>2.2144870926588001E-2</v>
      </c>
    </row>
    <row r="408" spans="2:5" ht="15" customHeight="1">
      <c r="B408" s="96" t="s">
        <v>203</v>
      </c>
      <c r="C408" s="61" t="s">
        <v>310</v>
      </c>
      <c r="D408" s="62">
        <v>10</v>
      </c>
      <c r="E408" s="63">
        <v>1.57502638169E-4</v>
      </c>
    </row>
    <row r="409" spans="2:5" ht="15" customHeight="1">
      <c r="B409" s="97"/>
      <c r="C409" s="61" t="s">
        <v>311</v>
      </c>
      <c r="D409" s="62">
        <v>27</v>
      </c>
      <c r="E409" s="63">
        <v>4.2525712305699999E-4</v>
      </c>
    </row>
    <row r="410" spans="2:5" ht="15" customHeight="1">
      <c r="B410" s="97"/>
      <c r="C410" s="61" t="s">
        <v>312</v>
      </c>
      <c r="D410" s="62">
        <v>61</v>
      </c>
      <c r="E410" s="63">
        <v>9.6076609283199995E-4</v>
      </c>
    </row>
    <row r="411" spans="2:5" ht="15" customHeight="1">
      <c r="B411" s="97"/>
      <c r="C411" s="61" t="s">
        <v>313</v>
      </c>
      <c r="D411" s="62">
        <v>556</v>
      </c>
      <c r="E411" s="63">
        <v>8.7571466822069996E-3</v>
      </c>
    </row>
    <row r="412" spans="2:5" ht="15" customHeight="1">
      <c r="B412" s="97"/>
      <c r="C412" s="61" t="s">
        <v>314</v>
      </c>
      <c r="D412" s="62">
        <v>40</v>
      </c>
      <c r="E412" s="63">
        <v>6.3001055267700005E-4</v>
      </c>
    </row>
    <row r="413" spans="2:5" ht="15" customHeight="1">
      <c r="B413" s="97"/>
      <c r="C413" s="61" t="s">
        <v>315</v>
      </c>
      <c r="D413" s="62">
        <v>2</v>
      </c>
      <c r="E413" s="63">
        <v>3.1500527634000002E-5</v>
      </c>
    </row>
    <row r="414" spans="2:5" ht="15" customHeight="1">
      <c r="B414" s="97"/>
      <c r="C414" s="61" t="s">
        <v>316</v>
      </c>
      <c r="D414" s="62">
        <v>3</v>
      </c>
      <c r="E414" s="63">
        <v>4.7250791451000003E-5</v>
      </c>
    </row>
    <row r="415" spans="2:5" ht="15" customHeight="1">
      <c r="B415" s="97"/>
      <c r="C415" s="61" t="s">
        <v>317</v>
      </c>
      <c r="D415" s="62">
        <v>74</v>
      </c>
      <c r="E415" s="63">
        <v>1.1655195224519999E-3</v>
      </c>
    </row>
    <row r="416" spans="2:5" ht="15" customHeight="1">
      <c r="B416" s="97"/>
      <c r="C416" s="61" t="s">
        <v>318</v>
      </c>
      <c r="D416" s="62">
        <v>69</v>
      </c>
      <c r="E416" s="63">
        <v>1.086768203367E-3</v>
      </c>
    </row>
    <row r="417" spans="2:5" ht="15" customHeight="1">
      <c r="B417" s="97"/>
      <c r="C417" s="61" t="s">
        <v>319</v>
      </c>
      <c r="D417" s="62">
        <v>20</v>
      </c>
      <c r="E417" s="63">
        <v>3.1500527633799999E-4</v>
      </c>
    </row>
    <row r="418" spans="2:5" ht="15" customHeight="1">
      <c r="B418" s="97"/>
      <c r="C418" s="61" t="s">
        <v>320</v>
      </c>
      <c r="D418" s="62">
        <v>199</v>
      </c>
      <c r="E418" s="63">
        <v>3.134302499567E-3</v>
      </c>
    </row>
    <row r="419" spans="2:5" ht="15" customHeight="1">
      <c r="B419" s="97"/>
      <c r="C419" s="61" t="s">
        <v>321</v>
      </c>
      <c r="D419" s="62">
        <v>45</v>
      </c>
      <c r="E419" s="63">
        <v>7.08761871761E-4</v>
      </c>
    </row>
    <row r="420" spans="2:5" ht="15" customHeight="1">
      <c r="B420" s="97"/>
      <c r="C420" s="61" t="s">
        <v>322</v>
      </c>
      <c r="D420" s="62">
        <v>7</v>
      </c>
      <c r="E420" s="63">
        <v>1.1025184671800001E-4</v>
      </c>
    </row>
    <row r="421" spans="2:5" ht="15" customHeight="1">
      <c r="B421" s="97"/>
      <c r="C421" s="61" t="s">
        <v>323</v>
      </c>
      <c r="D421" s="62">
        <v>20</v>
      </c>
      <c r="E421" s="63">
        <v>3.1500527633799999E-4</v>
      </c>
    </row>
    <row r="422" spans="2:5" ht="15" customHeight="1">
      <c r="B422" s="97"/>
      <c r="C422" s="61" t="s">
        <v>324</v>
      </c>
      <c r="D422" s="62">
        <v>10</v>
      </c>
      <c r="E422" s="63">
        <v>1.57502638169E-4</v>
      </c>
    </row>
    <row r="423" spans="2:5" ht="15" customHeight="1">
      <c r="B423" s="97"/>
      <c r="C423" s="61" t="s">
        <v>325</v>
      </c>
      <c r="D423" s="62">
        <v>10</v>
      </c>
      <c r="E423" s="63">
        <v>1.57502638169E-4</v>
      </c>
    </row>
    <row r="424" spans="2:5" ht="15" customHeight="1">
      <c r="B424" s="97"/>
      <c r="C424" s="61" t="s">
        <v>326</v>
      </c>
      <c r="D424" s="62">
        <v>3</v>
      </c>
      <c r="E424" s="63">
        <v>4.7250791451000003E-5</v>
      </c>
    </row>
    <row r="425" spans="2:5" ht="15" customHeight="1">
      <c r="B425" s="97"/>
      <c r="C425" s="61" t="s">
        <v>327</v>
      </c>
      <c r="D425" s="62">
        <v>54</v>
      </c>
      <c r="E425" s="63">
        <v>8.5051424611399997E-4</v>
      </c>
    </row>
    <row r="426" spans="2:5" ht="15" customHeight="1">
      <c r="B426" s="97"/>
      <c r="C426" s="61" t="s">
        <v>328</v>
      </c>
      <c r="D426" s="62">
        <v>21</v>
      </c>
      <c r="E426" s="63">
        <v>3.3075554015500001E-4</v>
      </c>
    </row>
    <row r="427" spans="2:5" ht="15" customHeight="1">
      <c r="B427" s="97"/>
      <c r="C427" s="61" t="s">
        <v>329</v>
      </c>
      <c r="D427" s="62">
        <v>10</v>
      </c>
      <c r="E427" s="63">
        <v>1.57502638169E-4</v>
      </c>
    </row>
    <row r="428" spans="2:5" ht="15" customHeight="1">
      <c r="B428" s="97"/>
      <c r="C428" s="61" t="s">
        <v>330</v>
      </c>
      <c r="D428" s="62">
        <v>21</v>
      </c>
      <c r="E428" s="63">
        <v>3.3075554015500001E-4</v>
      </c>
    </row>
    <row r="429" spans="2:5" ht="15" customHeight="1">
      <c r="B429" s="97"/>
      <c r="C429" s="61" t="s">
        <v>331</v>
      </c>
      <c r="D429" s="62">
        <v>1</v>
      </c>
      <c r="E429" s="63">
        <v>1.5750263817000001E-5</v>
      </c>
    </row>
    <row r="430" spans="2:5" ht="15" customHeight="1">
      <c r="B430" s="97"/>
      <c r="C430" s="61" t="s">
        <v>332</v>
      </c>
      <c r="D430" s="62">
        <v>15</v>
      </c>
      <c r="E430" s="63">
        <v>2.3625395725399999E-4</v>
      </c>
    </row>
    <row r="431" spans="2:5" ht="15" customHeight="1">
      <c r="B431" s="97"/>
      <c r="C431" s="61" t="s">
        <v>333</v>
      </c>
      <c r="D431" s="62">
        <v>50</v>
      </c>
      <c r="E431" s="63">
        <v>7.8751319084600002E-4</v>
      </c>
    </row>
    <row r="432" spans="2:5" ht="15" customHeight="1">
      <c r="B432" s="97"/>
      <c r="C432" s="61" t="s">
        <v>334</v>
      </c>
      <c r="D432" s="62">
        <v>10</v>
      </c>
      <c r="E432" s="63">
        <v>1.57502638169E-4</v>
      </c>
    </row>
    <row r="433" spans="2:5" ht="15" customHeight="1">
      <c r="B433" s="97"/>
      <c r="C433" s="61" t="s">
        <v>335</v>
      </c>
      <c r="D433" s="62">
        <v>1</v>
      </c>
      <c r="E433" s="63">
        <v>1.5750263817000001E-5</v>
      </c>
    </row>
    <row r="434" spans="2:5" ht="15" customHeight="1">
      <c r="B434" s="97"/>
      <c r="C434" s="61" t="s">
        <v>336</v>
      </c>
      <c r="D434" s="62">
        <v>2</v>
      </c>
      <c r="E434" s="63">
        <v>3.1500527634000002E-5</v>
      </c>
    </row>
    <row r="435" spans="2:5" ht="15" customHeight="1">
      <c r="B435" s="97"/>
      <c r="C435" s="61" t="s">
        <v>337</v>
      </c>
      <c r="D435" s="62">
        <v>84</v>
      </c>
      <c r="E435" s="63">
        <v>1.3230221606210001E-3</v>
      </c>
    </row>
    <row r="436" spans="2:5" ht="15" customHeight="1">
      <c r="B436" s="97"/>
      <c r="C436" s="61" t="s">
        <v>338</v>
      </c>
      <c r="D436" s="62">
        <v>37</v>
      </c>
      <c r="E436" s="63">
        <v>5.8275976122599995E-4</v>
      </c>
    </row>
    <row r="437" spans="2:5" ht="15" customHeight="1">
      <c r="B437" s="97"/>
      <c r="C437" s="61" t="s">
        <v>339</v>
      </c>
      <c r="D437" s="62">
        <v>47</v>
      </c>
      <c r="E437" s="63">
        <v>7.4026239939500003E-4</v>
      </c>
    </row>
    <row r="438" spans="2:5" ht="15" customHeight="1">
      <c r="B438" s="97"/>
      <c r="C438" s="61" t="s">
        <v>340</v>
      </c>
      <c r="D438" s="62">
        <v>7</v>
      </c>
      <c r="E438" s="63">
        <v>1.1025184671800001E-4</v>
      </c>
    </row>
    <row r="439" spans="2:5" ht="15" customHeight="1">
      <c r="B439" s="97"/>
      <c r="C439" s="61" t="s">
        <v>341</v>
      </c>
      <c r="D439" s="62">
        <v>9</v>
      </c>
      <c r="E439" s="63">
        <v>1.4175237435200001E-4</v>
      </c>
    </row>
    <row r="440" spans="2:5" ht="15" customHeight="1">
      <c r="B440" s="97"/>
      <c r="C440" s="61" t="s">
        <v>342</v>
      </c>
      <c r="D440" s="62">
        <v>33</v>
      </c>
      <c r="E440" s="63">
        <v>5.19758705958E-4</v>
      </c>
    </row>
    <row r="441" spans="2:5" ht="15" customHeight="1">
      <c r="B441" s="97"/>
      <c r="C441" s="61" t="s">
        <v>343</v>
      </c>
      <c r="D441" s="62">
        <v>49</v>
      </c>
      <c r="E441" s="63">
        <v>7.7176292702899995E-4</v>
      </c>
    </row>
    <row r="442" spans="2:5" ht="15" customHeight="1">
      <c r="B442" s="97"/>
      <c r="C442" s="61" t="s">
        <v>344</v>
      </c>
      <c r="D442" s="62">
        <v>1087</v>
      </c>
      <c r="E442" s="63">
        <v>1.7120536768991002E-2</v>
      </c>
    </row>
    <row r="443" spans="2:5" ht="15" customHeight="1">
      <c r="B443" s="97"/>
      <c r="C443" s="61" t="s">
        <v>345</v>
      </c>
      <c r="D443" s="62">
        <v>19</v>
      </c>
      <c r="E443" s="63">
        <v>2.9925501252099998E-4</v>
      </c>
    </row>
    <row r="444" spans="2:5" ht="15" customHeight="1">
      <c r="B444" s="97"/>
      <c r="C444" s="61" t="s">
        <v>357</v>
      </c>
      <c r="D444" s="62">
        <v>1</v>
      </c>
      <c r="E444" s="63">
        <v>1.5750263817000001E-5</v>
      </c>
    </row>
    <row r="445" spans="2:5" ht="15" customHeight="1">
      <c r="B445" s="97"/>
      <c r="C445" s="61" t="s">
        <v>346</v>
      </c>
      <c r="D445" s="62">
        <v>5</v>
      </c>
      <c r="E445" s="63">
        <v>7.8751319085000005E-5</v>
      </c>
    </row>
    <row r="446" spans="2:5" ht="15" customHeight="1">
      <c r="B446" s="97"/>
      <c r="C446" s="61" t="s">
        <v>347</v>
      </c>
      <c r="D446" s="62">
        <v>3</v>
      </c>
      <c r="E446" s="63">
        <v>4.7250791451000003E-5</v>
      </c>
    </row>
    <row r="447" spans="2:5" ht="15" customHeight="1">
      <c r="B447" s="97"/>
      <c r="C447" s="61" t="s">
        <v>348</v>
      </c>
      <c r="D447" s="62">
        <v>44</v>
      </c>
      <c r="E447" s="63">
        <v>6.9301160794400004E-4</v>
      </c>
    </row>
    <row r="448" spans="2:5" ht="15" customHeight="1">
      <c r="B448" s="97"/>
      <c r="C448" s="61" t="s">
        <v>349</v>
      </c>
      <c r="D448" s="62">
        <v>1</v>
      </c>
      <c r="E448" s="63">
        <v>1.5750263817000001E-5</v>
      </c>
    </row>
    <row r="449" spans="2:5" ht="15" customHeight="1">
      <c r="B449" s="98"/>
      <c r="C449" s="75" t="s">
        <v>304</v>
      </c>
      <c r="D449" s="74">
        <v>2767</v>
      </c>
      <c r="E449" s="76">
        <v>4.3580979981414997E-2</v>
      </c>
    </row>
    <row r="450" spans="2:5" ht="15" customHeight="1">
      <c r="B450" s="96" t="s">
        <v>204</v>
      </c>
      <c r="C450" s="61" t="s">
        <v>310</v>
      </c>
      <c r="D450" s="62">
        <v>136</v>
      </c>
      <c r="E450" s="63">
        <v>2.1420358791009999E-3</v>
      </c>
    </row>
    <row r="451" spans="2:5" ht="15" customHeight="1">
      <c r="B451" s="97"/>
      <c r="C451" s="61" t="s">
        <v>311</v>
      </c>
      <c r="D451" s="62">
        <v>211</v>
      </c>
      <c r="E451" s="63">
        <v>3.3233056653699999E-3</v>
      </c>
    </row>
    <row r="452" spans="2:5" ht="15" customHeight="1">
      <c r="B452" s="97"/>
      <c r="C452" s="61" t="s">
        <v>312</v>
      </c>
      <c r="D452" s="62">
        <v>484</v>
      </c>
      <c r="E452" s="63">
        <v>7.6231276873890003E-3</v>
      </c>
    </row>
    <row r="453" spans="2:5" ht="15" customHeight="1">
      <c r="B453" s="97"/>
      <c r="C453" s="61" t="s">
        <v>313</v>
      </c>
      <c r="D453" s="62">
        <v>3212</v>
      </c>
      <c r="E453" s="63">
        <v>5.0589847379944E-2</v>
      </c>
    </row>
    <row r="454" spans="2:5" ht="15" customHeight="1">
      <c r="B454" s="97"/>
      <c r="C454" s="61" t="s">
        <v>314</v>
      </c>
      <c r="D454" s="62">
        <v>284</v>
      </c>
      <c r="E454" s="63">
        <v>4.4730749240049997E-3</v>
      </c>
    </row>
    <row r="455" spans="2:5" ht="15" customHeight="1">
      <c r="B455" s="97"/>
      <c r="C455" s="61" t="s">
        <v>315</v>
      </c>
      <c r="D455" s="62">
        <v>9</v>
      </c>
      <c r="E455" s="63">
        <v>1.4175237435200001E-4</v>
      </c>
    </row>
    <row r="456" spans="2:5" ht="15" customHeight="1">
      <c r="B456" s="97"/>
      <c r="C456" s="61" t="s">
        <v>316</v>
      </c>
      <c r="D456" s="62">
        <v>17</v>
      </c>
      <c r="E456" s="63">
        <v>2.6775448488800002E-4</v>
      </c>
    </row>
    <row r="457" spans="2:5" ht="15" customHeight="1">
      <c r="B457" s="97"/>
      <c r="C457" s="61" t="s">
        <v>317</v>
      </c>
      <c r="D457" s="62">
        <v>564</v>
      </c>
      <c r="E457" s="63">
        <v>8.8831487927419992E-3</v>
      </c>
    </row>
    <row r="458" spans="2:5" ht="15" customHeight="1">
      <c r="B458" s="97"/>
      <c r="C458" s="61" t="s">
        <v>318</v>
      </c>
      <c r="D458" s="62">
        <v>763</v>
      </c>
      <c r="E458" s="63">
        <v>1.2017451292309E-2</v>
      </c>
    </row>
    <row r="459" spans="2:5" ht="15" customHeight="1">
      <c r="B459" s="97"/>
      <c r="C459" s="61" t="s">
        <v>358</v>
      </c>
      <c r="D459" s="62">
        <v>2</v>
      </c>
      <c r="E459" s="63">
        <v>3.1500527634000002E-5</v>
      </c>
    </row>
    <row r="460" spans="2:5" ht="15" customHeight="1">
      <c r="B460" s="97"/>
      <c r="C460" s="61" t="s">
        <v>319</v>
      </c>
      <c r="D460" s="62">
        <v>123</v>
      </c>
      <c r="E460" s="63">
        <v>1.937282449481E-3</v>
      </c>
    </row>
    <row r="461" spans="2:5" ht="15" customHeight="1">
      <c r="B461" s="97"/>
      <c r="C461" s="61" t="s">
        <v>320</v>
      </c>
      <c r="D461" s="62">
        <v>2292</v>
      </c>
      <c r="E461" s="63">
        <v>3.6099604668377999E-2</v>
      </c>
    </row>
    <row r="462" spans="2:5" ht="15" customHeight="1">
      <c r="B462" s="97"/>
      <c r="C462" s="61" t="s">
        <v>321</v>
      </c>
      <c r="D462" s="62">
        <v>299</v>
      </c>
      <c r="E462" s="63">
        <v>4.7093288812590003E-3</v>
      </c>
    </row>
    <row r="463" spans="2:5" ht="15" customHeight="1">
      <c r="B463" s="97"/>
      <c r="C463" s="61" t="s">
        <v>322</v>
      </c>
      <c r="D463" s="62">
        <v>84</v>
      </c>
      <c r="E463" s="63">
        <v>1.3230221606210001E-3</v>
      </c>
    </row>
    <row r="464" spans="2:5" ht="15" customHeight="1">
      <c r="B464" s="97"/>
      <c r="C464" s="61" t="s">
        <v>323</v>
      </c>
      <c r="D464" s="62">
        <v>120</v>
      </c>
      <c r="E464" s="63">
        <v>1.89003165803E-3</v>
      </c>
    </row>
    <row r="465" spans="2:5" ht="15" customHeight="1">
      <c r="B465" s="97"/>
      <c r="C465" s="61" t="s">
        <v>324</v>
      </c>
      <c r="D465" s="62">
        <v>75</v>
      </c>
      <c r="E465" s="63">
        <v>1.181269786269E-3</v>
      </c>
    </row>
    <row r="466" spans="2:5" ht="15" customHeight="1">
      <c r="B466" s="97"/>
      <c r="C466" s="61" t="s">
        <v>325</v>
      </c>
      <c r="D466" s="62">
        <v>126</v>
      </c>
      <c r="E466" s="63">
        <v>1.9845332409320002E-3</v>
      </c>
    </row>
    <row r="467" spans="2:5" ht="15" customHeight="1">
      <c r="B467" s="97"/>
      <c r="C467" s="61" t="s">
        <v>326</v>
      </c>
      <c r="D467" s="62">
        <v>18</v>
      </c>
      <c r="E467" s="63">
        <v>2.8350474870499998E-4</v>
      </c>
    </row>
    <row r="468" spans="2:5" ht="15" customHeight="1">
      <c r="B468" s="97"/>
      <c r="C468" s="61" t="s">
        <v>354</v>
      </c>
      <c r="D468" s="62">
        <v>4</v>
      </c>
      <c r="E468" s="63">
        <v>6.3001055268000004E-5</v>
      </c>
    </row>
    <row r="469" spans="2:5" ht="15" customHeight="1">
      <c r="B469" s="97"/>
      <c r="C469" s="61" t="s">
        <v>327</v>
      </c>
      <c r="D469" s="62">
        <v>260</v>
      </c>
      <c r="E469" s="63">
        <v>4.095068592399E-3</v>
      </c>
    </row>
    <row r="470" spans="2:5" ht="15" customHeight="1">
      <c r="B470" s="97"/>
      <c r="C470" s="61" t="s">
        <v>328</v>
      </c>
      <c r="D470" s="62">
        <v>200</v>
      </c>
      <c r="E470" s="63">
        <v>3.1500527633840001E-3</v>
      </c>
    </row>
    <row r="471" spans="2:5" ht="15" customHeight="1">
      <c r="B471" s="97"/>
      <c r="C471" s="61" t="s">
        <v>329</v>
      </c>
      <c r="D471" s="62">
        <v>82</v>
      </c>
      <c r="E471" s="63">
        <v>1.291521632987E-3</v>
      </c>
    </row>
    <row r="472" spans="2:5" ht="15" customHeight="1">
      <c r="B472" s="97"/>
      <c r="C472" s="61" t="s">
        <v>330</v>
      </c>
      <c r="D472" s="62">
        <v>114</v>
      </c>
      <c r="E472" s="63">
        <v>1.7955300751290001E-3</v>
      </c>
    </row>
    <row r="473" spans="2:5" ht="15" customHeight="1">
      <c r="B473" s="97"/>
      <c r="C473" s="61" t="s">
        <v>331</v>
      </c>
      <c r="D473" s="62">
        <v>7</v>
      </c>
      <c r="E473" s="63">
        <v>1.1025184671800001E-4</v>
      </c>
    </row>
    <row r="474" spans="2:5" ht="15" customHeight="1">
      <c r="B474" s="97"/>
      <c r="C474" s="61" t="s">
        <v>332</v>
      </c>
      <c r="D474" s="62">
        <v>121</v>
      </c>
      <c r="E474" s="63">
        <v>1.905781921847E-3</v>
      </c>
    </row>
    <row r="475" spans="2:5" ht="15" customHeight="1">
      <c r="B475" s="97"/>
      <c r="C475" s="61" t="s">
        <v>333</v>
      </c>
      <c r="D475" s="62">
        <v>163</v>
      </c>
      <c r="E475" s="63">
        <v>2.5672930021579999E-3</v>
      </c>
    </row>
    <row r="476" spans="2:5" ht="15" customHeight="1">
      <c r="B476" s="97"/>
      <c r="C476" s="61" t="s">
        <v>334</v>
      </c>
      <c r="D476" s="62">
        <v>45</v>
      </c>
      <c r="E476" s="63">
        <v>7.08761871761E-4</v>
      </c>
    </row>
    <row r="477" spans="2:5" ht="15" customHeight="1">
      <c r="B477" s="97"/>
      <c r="C477" s="61" t="s">
        <v>335</v>
      </c>
      <c r="D477" s="62">
        <v>31</v>
      </c>
      <c r="E477" s="63">
        <v>4.8825817832399998E-4</v>
      </c>
    </row>
    <row r="478" spans="2:5" ht="15" customHeight="1">
      <c r="B478" s="97"/>
      <c r="C478" s="61" t="s">
        <v>336</v>
      </c>
      <c r="D478" s="62">
        <v>41</v>
      </c>
      <c r="E478" s="63">
        <v>6.4576081649400001E-4</v>
      </c>
    </row>
    <row r="479" spans="2:5" ht="15" customHeight="1">
      <c r="B479" s="97"/>
      <c r="C479" s="61" t="s">
        <v>337</v>
      </c>
      <c r="D479" s="62">
        <v>615</v>
      </c>
      <c r="E479" s="63">
        <v>9.6864122474049994E-3</v>
      </c>
    </row>
    <row r="480" spans="2:5" ht="15" customHeight="1">
      <c r="B480" s="97"/>
      <c r="C480" s="61" t="s">
        <v>351</v>
      </c>
      <c r="D480" s="62">
        <v>12</v>
      </c>
      <c r="E480" s="63">
        <v>1.89003165803E-4</v>
      </c>
    </row>
    <row r="481" spans="2:5" ht="15" customHeight="1">
      <c r="B481" s="97"/>
      <c r="C481" s="61" t="s">
        <v>338</v>
      </c>
      <c r="D481" s="62">
        <v>298</v>
      </c>
      <c r="E481" s="63">
        <v>4.6935786174419998E-3</v>
      </c>
    </row>
    <row r="482" spans="2:5" ht="15" customHeight="1">
      <c r="B482" s="97"/>
      <c r="C482" s="61" t="s">
        <v>339</v>
      </c>
      <c r="D482" s="62">
        <v>669</v>
      </c>
      <c r="E482" s="63">
        <v>1.0536926493519E-2</v>
      </c>
    </row>
    <row r="483" spans="2:5" ht="15" customHeight="1">
      <c r="B483" s="97"/>
      <c r="C483" s="61" t="s">
        <v>340</v>
      </c>
      <c r="D483" s="62">
        <v>50</v>
      </c>
      <c r="E483" s="63">
        <v>7.8751319084600002E-4</v>
      </c>
    </row>
    <row r="484" spans="2:5" ht="15" customHeight="1">
      <c r="B484" s="97"/>
      <c r="C484" s="61" t="s">
        <v>341</v>
      </c>
      <c r="D484" s="62">
        <v>118</v>
      </c>
      <c r="E484" s="63">
        <v>1.8585311303960001E-3</v>
      </c>
    </row>
    <row r="485" spans="2:5" ht="15" customHeight="1">
      <c r="B485" s="97"/>
      <c r="C485" s="61" t="s">
        <v>355</v>
      </c>
      <c r="D485" s="62">
        <v>2</v>
      </c>
      <c r="E485" s="63">
        <v>3.1500527634000002E-5</v>
      </c>
    </row>
    <row r="486" spans="2:5" ht="15" customHeight="1">
      <c r="B486" s="97"/>
      <c r="C486" s="61" t="s">
        <v>342</v>
      </c>
      <c r="D486" s="62">
        <v>171</v>
      </c>
      <c r="E486" s="63">
        <v>2.693295112693E-3</v>
      </c>
    </row>
    <row r="487" spans="2:5" ht="15" customHeight="1">
      <c r="B487" s="97"/>
      <c r="C487" s="61" t="s">
        <v>352</v>
      </c>
      <c r="D487" s="62">
        <v>14</v>
      </c>
      <c r="E487" s="63">
        <v>2.20503693437E-4</v>
      </c>
    </row>
    <row r="488" spans="2:5" ht="15" customHeight="1">
      <c r="B488" s="97"/>
      <c r="C488" s="61" t="s">
        <v>343</v>
      </c>
      <c r="D488" s="62">
        <v>484</v>
      </c>
      <c r="E488" s="63">
        <v>7.6231276873890003E-3</v>
      </c>
    </row>
    <row r="489" spans="2:5" ht="15" customHeight="1">
      <c r="B489" s="97"/>
      <c r="C489" s="61" t="s">
        <v>344</v>
      </c>
      <c r="D489" s="62">
        <v>7804</v>
      </c>
      <c r="E489" s="63">
        <v>0.122915058827235</v>
      </c>
    </row>
    <row r="490" spans="2:5" ht="15" customHeight="1">
      <c r="B490" s="97"/>
      <c r="C490" s="61" t="s">
        <v>345</v>
      </c>
      <c r="D490" s="62">
        <v>138</v>
      </c>
      <c r="E490" s="63">
        <v>2.1735364067350001E-3</v>
      </c>
    </row>
    <row r="491" spans="2:5" ht="15" customHeight="1">
      <c r="B491" s="97"/>
      <c r="C491" s="61" t="s">
        <v>357</v>
      </c>
      <c r="D491" s="62">
        <v>2</v>
      </c>
      <c r="E491" s="63">
        <v>3.1500527634000002E-5</v>
      </c>
    </row>
    <row r="492" spans="2:5" ht="15" customHeight="1">
      <c r="B492" s="97"/>
      <c r="C492" s="61" t="s">
        <v>346</v>
      </c>
      <c r="D492" s="62">
        <v>88</v>
      </c>
      <c r="E492" s="63">
        <v>1.3860232158889999E-3</v>
      </c>
    </row>
    <row r="493" spans="2:5" ht="15" customHeight="1">
      <c r="B493" s="97"/>
      <c r="C493" s="61" t="s">
        <v>347</v>
      </c>
      <c r="D493" s="62">
        <v>36</v>
      </c>
      <c r="E493" s="63">
        <v>5.6700949740899999E-4</v>
      </c>
    </row>
    <row r="494" spans="2:5" ht="15" customHeight="1">
      <c r="B494" s="97"/>
      <c r="C494" s="61" t="s">
        <v>356</v>
      </c>
      <c r="D494" s="62">
        <v>1</v>
      </c>
      <c r="E494" s="63">
        <v>1.5750263817000001E-5</v>
      </c>
    </row>
    <row r="495" spans="2:5" ht="15" customHeight="1">
      <c r="B495" s="97"/>
      <c r="C495" s="61" t="s">
        <v>348</v>
      </c>
      <c r="D495" s="62">
        <v>320</v>
      </c>
      <c r="E495" s="63">
        <v>5.0400844214140003E-3</v>
      </c>
    </row>
    <row r="496" spans="2:5" ht="15" customHeight="1">
      <c r="B496" s="97"/>
      <c r="C496" s="61" t="s">
        <v>349</v>
      </c>
      <c r="D496" s="62">
        <v>14</v>
      </c>
      <c r="E496" s="63">
        <v>2.20503693437E-4</v>
      </c>
    </row>
    <row r="497" spans="2:5" ht="15" customHeight="1">
      <c r="B497" s="98"/>
      <c r="C497" s="75" t="s">
        <v>304</v>
      </c>
      <c r="D497" s="74">
        <v>20723</v>
      </c>
      <c r="E497" s="76">
        <v>0.32639271707801099</v>
      </c>
    </row>
    <row r="498" spans="2:5" ht="15" customHeight="1">
      <c r="B498" s="96" t="s">
        <v>205</v>
      </c>
      <c r="C498" s="61" t="s">
        <v>311</v>
      </c>
      <c r="D498" s="62">
        <v>6</v>
      </c>
      <c r="E498" s="63">
        <v>9.4501582902000006E-5</v>
      </c>
    </row>
    <row r="499" spans="2:5" ht="15" customHeight="1">
      <c r="B499" s="97"/>
      <c r="C499" s="61" t="s">
        <v>312</v>
      </c>
      <c r="D499" s="62">
        <v>6</v>
      </c>
      <c r="E499" s="63">
        <v>9.4501582902000006E-5</v>
      </c>
    </row>
    <row r="500" spans="2:5" ht="15" customHeight="1">
      <c r="B500" s="97"/>
      <c r="C500" s="61" t="s">
        <v>313</v>
      </c>
      <c r="D500" s="62">
        <v>142</v>
      </c>
      <c r="E500" s="63">
        <v>2.2365374620019998E-3</v>
      </c>
    </row>
    <row r="501" spans="2:5" ht="15" customHeight="1">
      <c r="B501" s="97"/>
      <c r="C501" s="61" t="s">
        <v>314</v>
      </c>
      <c r="D501" s="62">
        <v>3</v>
      </c>
      <c r="E501" s="63">
        <v>4.7250791451000003E-5</v>
      </c>
    </row>
    <row r="502" spans="2:5" ht="15" customHeight="1">
      <c r="B502" s="97"/>
      <c r="C502" s="61" t="s">
        <v>316</v>
      </c>
      <c r="D502" s="62">
        <v>1</v>
      </c>
      <c r="E502" s="63">
        <v>1.5750263817000001E-5</v>
      </c>
    </row>
    <row r="503" spans="2:5" ht="15" customHeight="1">
      <c r="B503" s="97"/>
      <c r="C503" s="61" t="s">
        <v>317</v>
      </c>
      <c r="D503" s="62">
        <v>16</v>
      </c>
      <c r="E503" s="63">
        <v>2.52004221071E-4</v>
      </c>
    </row>
    <row r="504" spans="2:5" ht="15" customHeight="1">
      <c r="B504" s="97"/>
      <c r="C504" s="61" t="s">
        <v>318</v>
      </c>
      <c r="D504" s="62">
        <v>18</v>
      </c>
      <c r="E504" s="63">
        <v>2.8350474870499998E-4</v>
      </c>
    </row>
    <row r="505" spans="2:5" ht="15" customHeight="1">
      <c r="B505" s="97"/>
      <c r="C505" s="61" t="s">
        <v>319</v>
      </c>
      <c r="D505" s="62">
        <v>2</v>
      </c>
      <c r="E505" s="63">
        <v>3.1500527634000002E-5</v>
      </c>
    </row>
    <row r="506" spans="2:5" ht="15" customHeight="1">
      <c r="B506" s="97"/>
      <c r="C506" s="61" t="s">
        <v>320</v>
      </c>
      <c r="D506" s="62">
        <v>60</v>
      </c>
      <c r="E506" s="63">
        <v>9.4501582901499999E-4</v>
      </c>
    </row>
    <row r="507" spans="2:5" ht="15" customHeight="1">
      <c r="B507" s="97"/>
      <c r="C507" s="61" t="s">
        <v>321</v>
      </c>
      <c r="D507" s="62">
        <v>7</v>
      </c>
      <c r="E507" s="63">
        <v>1.1025184671800001E-4</v>
      </c>
    </row>
    <row r="508" spans="2:5" ht="15" customHeight="1">
      <c r="B508" s="97"/>
      <c r="C508" s="61" t="s">
        <v>322</v>
      </c>
      <c r="D508" s="62">
        <v>2</v>
      </c>
      <c r="E508" s="63">
        <v>3.1500527634000002E-5</v>
      </c>
    </row>
    <row r="509" spans="2:5" ht="15" customHeight="1">
      <c r="B509" s="97"/>
      <c r="C509" s="61" t="s">
        <v>323</v>
      </c>
      <c r="D509" s="62">
        <v>4</v>
      </c>
      <c r="E509" s="63">
        <v>6.3001055268000004E-5</v>
      </c>
    </row>
    <row r="510" spans="2:5" ht="15" customHeight="1">
      <c r="B510" s="97"/>
      <c r="C510" s="61" t="s">
        <v>324</v>
      </c>
      <c r="D510" s="62">
        <v>2</v>
      </c>
      <c r="E510" s="63">
        <v>3.1500527634000002E-5</v>
      </c>
    </row>
    <row r="511" spans="2:5" ht="15" customHeight="1">
      <c r="B511" s="97"/>
      <c r="C511" s="61" t="s">
        <v>326</v>
      </c>
      <c r="D511" s="62">
        <v>1</v>
      </c>
      <c r="E511" s="63">
        <v>1.5750263817000001E-5</v>
      </c>
    </row>
    <row r="512" spans="2:5" ht="15" customHeight="1">
      <c r="B512" s="97"/>
      <c r="C512" s="61" t="s">
        <v>327</v>
      </c>
      <c r="D512" s="62">
        <v>2</v>
      </c>
      <c r="E512" s="63">
        <v>3.1500527634000002E-5</v>
      </c>
    </row>
    <row r="513" spans="2:5" ht="15" customHeight="1">
      <c r="B513" s="97"/>
      <c r="C513" s="61" t="s">
        <v>328</v>
      </c>
      <c r="D513" s="62">
        <v>4</v>
      </c>
      <c r="E513" s="63">
        <v>6.3001055268000004E-5</v>
      </c>
    </row>
    <row r="514" spans="2:5" ht="15" customHeight="1">
      <c r="B514" s="97"/>
      <c r="C514" s="61" t="s">
        <v>330</v>
      </c>
      <c r="D514" s="62">
        <v>2</v>
      </c>
      <c r="E514" s="63">
        <v>3.1500527634000002E-5</v>
      </c>
    </row>
    <row r="515" spans="2:5" ht="15" customHeight="1">
      <c r="B515" s="97"/>
      <c r="C515" s="61" t="s">
        <v>332</v>
      </c>
      <c r="D515" s="62">
        <v>6</v>
      </c>
      <c r="E515" s="63">
        <v>9.4501582902000006E-5</v>
      </c>
    </row>
    <row r="516" spans="2:5" ht="15" customHeight="1">
      <c r="B516" s="97"/>
      <c r="C516" s="61" t="s">
        <v>333</v>
      </c>
      <c r="D516" s="62">
        <v>7</v>
      </c>
      <c r="E516" s="63">
        <v>1.1025184671800001E-4</v>
      </c>
    </row>
    <row r="517" spans="2:5" ht="15" customHeight="1">
      <c r="B517" s="97"/>
      <c r="C517" s="61" t="s">
        <v>334</v>
      </c>
      <c r="D517" s="62">
        <v>2</v>
      </c>
      <c r="E517" s="63">
        <v>3.1500527634000002E-5</v>
      </c>
    </row>
    <row r="518" spans="2:5" ht="15" customHeight="1">
      <c r="B518" s="97"/>
      <c r="C518" s="61" t="s">
        <v>337</v>
      </c>
      <c r="D518" s="62">
        <v>8</v>
      </c>
      <c r="E518" s="63">
        <v>1.2600211053499999E-4</v>
      </c>
    </row>
    <row r="519" spans="2:5" ht="15" customHeight="1">
      <c r="B519" s="97"/>
      <c r="C519" s="61" t="s">
        <v>338</v>
      </c>
      <c r="D519" s="62">
        <v>6</v>
      </c>
      <c r="E519" s="63">
        <v>9.4501582902000006E-5</v>
      </c>
    </row>
    <row r="520" spans="2:5" ht="15" customHeight="1">
      <c r="B520" s="97"/>
      <c r="C520" s="61" t="s">
        <v>339</v>
      </c>
      <c r="D520" s="62">
        <v>10</v>
      </c>
      <c r="E520" s="63">
        <v>1.57502638169E-4</v>
      </c>
    </row>
    <row r="521" spans="2:5" ht="15" customHeight="1">
      <c r="B521" s="97"/>
      <c r="C521" s="61" t="s">
        <v>341</v>
      </c>
      <c r="D521" s="62">
        <v>1</v>
      </c>
      <c r="E521" s="63">
        <v>1.5750263817000001E-5</v>
      </c>
    </row>
    <row r="522" spans="2:5" ht="15" customHeight="1">
      <c r="B522" s="97"/>
      <c r="C522" s="61" t="s">
        <v>343</v>
      </c>
      <c r="D522" s="62">
        <v>3</v>
      </c>
      <c r="E522" s="63">
        <v>4.7250791451000003E-5</v>
      </c>
    </row>
    <row r="523" spans="2:5" ht="15" customHeight="1">
      <c r="B523" s="97"/>
      <c r="C523" s="61" t="s">
        <v>344</v>
      </c>
      <c r="D523" s="62">
        <v>203</v>
      </c>
      <c r="E523" s="63">
        <v>3.1973035548349999E-3</v>
      </c>
    </row>
    <row r="524" spans="2:5" ht="15" customHeight="1">
      <c r="B524" s="97"/>
      <c r="C524" s="61" t="s">
        <v>345</v>
      </c>
      <c r="D524" s="62">
        <v>2</v>
      </c>
      <c r="E524" s="63">
        <v>3.1500527634000002E-5</v>
      </c>
    </row>
    <row r="525" spans="2:5" ht="15" customHeight="1">
      <c r="B525" s="97"/>
      <c r="C525" s="61" t="s">
        <v>348</v>
      </c>
      <c r="D525" s="62">
        <v>10</v>
      </c>
      <c r="E525" s="63">
        <v>1.57502638169E-4</v>
      </c>
    </row>
    <row r="526" spans="2:5" ht="15" customHeight="1">
      <c r="B526" s="98"/>
      <c r="C526" s="75" t="s">
        <v>304</v>
      </c>
      <c r="D526" s="74">
        <v>536</v>
      </c>
      <c r="E526" s="76">
        <v>8.4421414058690001E-3</v>
      </c>
    </row>
    <row r="527" spans="2:5" ht="15" customHeight="1">
      <c r="B527" s="96" t="s">
        <v>206</v>
      </c>
      <c r="C527" s="61" t="s">
        <v>310</v>
      </c>
      <c r="D527" s="62">
        <v>15</v>
      </c>
      <c r="E527" s="63">
        <v>2.3625395725399999E-4</v>
      </c>
    </row>
    <row r="528" spans="2:5" ht="15" customHeight="1">
      <c r="B528" s="97"/>
      <c r="C528" s="61" t="s">
        <v>311</v>
      </c>
      <c r="D528" s="62">
        <v>28</v>
      </c>
      <c r="E528" s="63">
        <v>4.41007386874E-4</v>
      </c>
    </row>
    <row r="529" spans="2:5" ht="15" customHeight="1">
      <c r="B529" s="97"/>
      <c r="C529" s="61" t="s">
        <v>312</v>
      </c>
      <c r="D529" s="62">
        <v>63</v>
      </c>
      <c r="E529" s="63">
        <v>9.9226662046600009E-4</v>
      </c>
    </row>
    <row r="530" spans="2:5" ht="15" customHeight="1">
      <c r="B530" s="97"/>
      <c r="C530" s="61" t="s">
        <v>313</v>
      </c>
      <c r="D530" s="62">
        <v>498</v>
      </c>
      <c r="E530" s="63">
        <v>7.8436313808259994E-3</v>
      </c>
    </row>
    <row r="531" spans="2:5" ht="15" customHeight="1">
      <c r="B531" s="97"/>
      <c r="C531" s="61" t="s">
        <v>314</v>
      </c>
      <c r="D531" s="62">
        <v>55</v>
      </c>
      <c r="E531" s="63">
        <v>8.6626450993100004E-4</v>
      </c>
    </row>
    <row r="532" spans="2:5" ht="15" customHeight="1">
      <c r="B532" s="97"/>
      <c r="C532" s="61" t="s">
        <v>315</v>
      </c>
      <c r="D532" s="62">
        <v>1</v>
      </c>
      <c r="E532" s="63">
        <v>1.5750263817000001E-5</v>
      </c>
    </row>
    <row r="533" spans="2:5" ht="15" customHeight="1">
      <c r="B533" s="97"/>
      <c r="C533" s="61" t="s">
        <v>316</v>
      </c>
      <c r="D533" s="62">
        <v>6</v>
      </c>
      <c r="E533" s="63">
        <v>9.4501582902000006E-5</v>
      </c>
    </row>
    <row r="534" spans="2:5" ht="15" customHeight="1">
      <c r="B534" s="97"/>
      <c r="C534" s="61" t="s">
        <v>317</v>
      </c>
      <c r="D534" s="62">
        <v>80</v>
      </c>
      <c r="E534" s="63">
        <v>1.2600211053540001E-3</v>
      </c>
    </row>
    <row r="535" spans="2:5" ht="15" customHeight="1">
      <c r="B535" s="97"/>
      <c r="C535" s="61" t="s">
        <v>318</v>
      </c>
      <c r="D535" s="62">
        <v>71</v>
      </c>
      <c r="E535" s="63">
        <v>1.1182687310009999E-3</v>
      </c>
    </row>
    <row r="536" spans="2:5" ht="15" customHeight="1">
      <c r="B536" s="97"/>
      <c r="C536" s="61" t="s">
        <v>319</v>
      </c>
      <c r="D536" s="62">
        <v>21</v>
      </c>
      <c r="E536" s="63">
        <v>3.3075554015500001E-4</v>
      </c>
    </row>
    <row r="537" spans="2:5" ht="15" customHeight="1">
      <c r="B537" s="97"/>
      <c r="C537" s="61" t="s">
        <v>320</v>
      </c>
      <c r="D537" s="62">
        <v>202</v>
      </c>
      <c r="E537" s="63">
        <v>3.1815532910179998E-3</v>
      </c>
    </row>
    <row r="538" spans="2:5" ht="15" customHeight="1">
      <c r="B538" s="97"/>
      <c r="C538" s="61" t="s">
        <v>321</v>
      </c>
      <c r="D538" s="62">
        <v>51</v>
      </c>
      <c r="E538" s="63">
        <v>8.0326345466299998E-4</v>
      </c>
    </row>
    <row r="539" spans="2:5" ht="15" customHeight="1">
      <c r="B539" s="97"/>
      <c r="C539" s="61" t="s">
        <v>322</v>
      </c>
      <c r="D539" s="62">
        <v>14</v>
      </c>
      <c r="E539" s="63">
        <v>2.20503693437E-4</v>
      </c>
    </row>
    <row r="540" spans="2:5" ht="15" customHeight="1">
      <c r="B540" s="97"/>
      <c r="C540" s="61" t="s">
        <v>323</v>
      </c>
      <c r="D540" s="62">
        <v>27</v>
      </c>
      <c r="E540" s="63">
        <v>4.2525712305699999E-4</v>
      </c>
    </row>
    <row r="541" spans="2:5" ht="15" customHeight="1">
      <c r="B541" s="97"/>
      <c r="C541" s="61" t="s">
        <v>324</v>
      </c>
      <c r="D541" s="62">
        <v>8</v>
      </c>
      <c r="E541" s="63">
        <v>1.2600211053499999E-4</v>
      </c>
    </row>
    <row r="542" spans="2:5" ht="15" customHeight="1">
      <c r="B542" s="97"/>
      <c r="C542" s="61" t="s">
        <v>325</v>
      </c>
      <c r="D542" s="62">
        <v>13</v>
      </c>
      <c r="E542" s="63">
        <v>2.0475342962000001E-4</v>
      </c>
    </row>
    <row r="543" spans="2:5" ht="15" customHeight="1">
      <c r="B543" s="97"/>
      <c r="C543" s="61" t="s">
        <v>326</v>
      </c>
      <c r="D543" s="62">
        <v>3</v>
      </c>
      <c r="E543" s="63">
        <v>4.7250791451000003E-5</v>
      </c>
    </row>
    <row r="544" spans="2:5" ht="15" customHeight="1">
      <c r="B544" s="97"/>
      <c r="C544" s="61" t="s">
        <v>327</v>
      </c>
      <c r="D544" s="62">
        <v>37</v>
      </c>
      <c r="E544" s="63">
        <v>5.8275976122599995E-4</v>
      </c>
    </row>
    <row r="545" spans="2:5" ht="15" customHeight="1">
      <c r="B545" s="97"/>
      <c r="C545" s="61" t="s">
        <v>328</v>
      </c>
      <c r="D545" s="62">
        <v>15</v>
      </c>
      <c r="E545" s="63">
        <v>2.3625395725399999E-4</v>
      </c>
    </row>
    <row r="546" spans="2:5" ht="15" customHeight="1">
      <c r="B546" s="97"/>
      <c r="C546" s="61" t="s">
        <v>329</v>
      </c>
      <c r="D546" s="62">
        <v>8</v>
      </c>
      <c r="E546" s="63">
        <v>1.2600211053499999E-4</v>
      </c>
    </row>
    <row r="547" spans="2:5" ht="15" customHeight="1">
      <c r="B547" s="97"/>
      <c r="C547" s="61" t="s">
        <v>330</v>
      </c>
      <c r="D547" s="62">
        <v>28</v>
      </c>
      <c r="E547" s="63">
        <v>4.41007386874E-4</v>
      </c>
    </row>
    <row r="548" spans="2:5" ht="15" customHeight="1">
      <c r="B548" s="97"/>
      <c r="C548" s="61" t="s">
        <v>331</v>
      </c>
      <c r="D548" s="62">
        <v>2</v>
      </c>
      <c r="E548" s="63">
        <v>3.1500527634000002E-5</v>
      </c>
    </row>
    <row r="549" spans="2:5" ht="15" customHeight="1">
      <c r="B549" s="97"/>
      <c r="C549" s="61" t="s">
        <v>332</v>
      </c>
      <c r="D549" s="62">
        <v>27</v>
      </c>
      <c r="E549" s="63">
        <v>4.2525712305699999E-4</v>
      </c>
    </row>
    <row r="550" spans="2:5" ht="15" customHeight="1">
      <c r="B550" s="97"/>
      <c r="C550" s="61" t="s">
        <v>333</v>
      </c>
      <c r="D550" s="62">
        <v>31</v>
      </c>
      <c r="E550" s="63">
        <v>4.8825817832399998E-4</v>
      </c>
    </row>
    <row r="551" spans="2:5" ht="15" customHeight="1">
      <c r="B551" s="97"/>
      <c r="C551" s="61" t="s">
        <v>353</v>
      </c>
      <c r="D551" s="62">
        <v>1</v>
      </c>
      <c r="E551" s="63">
        <v>1.5750263817000001E-5</v>
      </c>
    </row>
    <row r="552" spans="2:5" ht="15" customHeight="1">
      <c r="B552" s="97"/>
      <c r="C552" s="61" t="s">
        <v>334</v>
      </c>
      <c r="D552" s="62">
        <v>3</v>
      </c>
      <c r="E552" s="63">
        <v>4.7250791451000003E-5</v>
      </c>
    </row>
    <row r="553" spans="2:5" ht="15" customHeight="1">
      <c r="B553" s="97"/>
      <c r="C553" s="61" t="s">
        <v>335</v>
      </c>
      <c r="D553" s="62">
        <v>7</v>
      </c>
      <c r="E553" s="63">
        <v>1.1025184671800001E-4</v>
      </c>
    </row>
    <row r="554" spans="2:5" ht="15" customHeight="1">
      <c r="B554" s="97"/>
      <c r="C554" s="61" t="s">
        <v>336</v>
      </c>
      <c r="D554" s="62">
        <v>10</v>
      </c>
      <c r="E554" s="63">
        <v>1.57502638169E-4</v>
      </c>
    </row>
    <row r="555" spans="2:5" ht="15" customHeight="1">
      <c r="B555" s="97"/>
      <c r="C555" s="61" t="s">
        <v>337</v>
      </c>
      <c r="D555" s="62">
        <v>64</v>
      </c>
      <c r="E555" s="63">
        <v>1.0080168842829999E-3</v>
      </c>
    </row>
    <row r="556" spans="2:5" ht="15" customHeight="1">
      <c r="B556" s="97"/>
      <c r="C556" s="61" t="s">
        <v>351</v>
      </c>
      <c r="D556" s="62">
        <v>1</v>
      </c>
      <c r="E556" s="63">
        <v>1.5750263817000001E-5</v>
      </c>
    </row>
    <row r="557" spans="2:5" ht="15" customHeight="1">
      <c r="B557" s="97"/>
      <c r="C557" s="61" t="s">
        <v>338</v>
      </c>
      <c r="D557" s="62">
        <v>40</v>
      </c>
      <c r="E557" s="63">
        <v>6.3001055267700005E-4</v>
      </c>
    </row>
    <row r="558" spans="2:5" ht="15" customHeight="1">
      <c r="B558" s="97"/>
      <c r="C558" s="61" t="s">
        <v>339</v>
      </c>
      <c r="D558" s="62">
        <v>90</v>
      </c>
      <c r="E558" s="63">
        <v>1.4175237435230001E-3</v>
      </c>
    </row>
    <row r="559" spans="2:5" ht="15" customHeight="1">
      <c r="B559" s="97"/>
      <c r="C559" s="61" t="s">
        <v>340</v>
      </c>
      <c r="D559" s="62">
        <v>7</v>
      </c>
      <c r="E559" s="63">
        <v>1.1025184671800001E-4</v>
      </c>
    </row>
    <row r="560" spans="2:5" ht="15" customHeight="1">
      <c r="B560" s="97"/>
      <c r="C560" s="61" t="s">
        <v>341</v>
      </c>
      <c r="D560" s="62">
        <v>15</v>
      </c>
      <c r="E560" s="63">
        <v>2.3625395725399999E-4</v>
      </c>
    </row>
    <row r="561" spans="2:5" ht="15" customHeight="1">
      <c r="B561" s="97"/>
      <c r="C561" s="61" t="s">
        <v>342</v>
      </c>
      <c r="D561" s="62">
        <v>19</v>
      </c>
      <c r="E561" s="63">
        <v>2.9925501252099998E-4</v>
      </c>
    </row>
    <row r="562" spans="2:5" ht="15" customHeight="1">
      <c r="B562" s="97"/>
      <c r="C562" s="61" t="s">
        <v>352</v>
      </c>
      <c r="D562" s="62">
        <v>1</v>
      </c>
      <c r="E562" s="63">
        <v>1.5750263817000001E-5</v>
      </c>
    </row>
    <row r="563" spans="2:5" ht="15" customHeight="1">
      <c r="B563" s="97"/>
      <c r="C563" s="61" t="s">
        <v>343</v>
      </c>
      <c r="D563" s="62">
        <v>61</v>
      </c>
      <c r="E563" s="63">
        <v>9.6076609283199995E-4</v>
      </c>
    </row>
    <row r="564" spans="2:5" ht="15" customHeight="1">
      <c r="B564" s="97"/>
      <c r="C564" s="61" t="s">
        <v>344</v>
      </c>
      <c r="D564" s="62">
        <v>987</v>
      </c>
      <c r="E564" s="63">
        <v>1.5545510387299E-2</v>
      </c>
    </row>
    <row r="565" spans="2:5" ht="15" customHeight="1">
      <c r="B565" s="97"/>
      <c r="C565" s="61" t="s">
        <v>345</v>
      </c>
      <c r="D565" s="62">
        <v>24</v>
      </c>
      <c r="E565" s="63">
        <v>3.78006331606E-4</v>
      </c>
    </row>
    <row r="566" spans="2:5" ht="15" customHeight="1">
      <c r="B566" s="97"/>
      <c r="C566" s="61" t="s">
        <v>346</v>
      </c>
      <c r="D566" s="62">
        <v>8</v>
      </c>
      <c r="E566" s="63">
        <v>1.2600211053499999E-4</v>
      </c>
    </row>
    <row r="567" spans="2:5" ht="15" customHeight="1">
      <c r="B567" s="97"/>
      <c r="C567" s="61" t="s">
        <v>347</v>
      </c>
      <c r="D567" s="62">
        <v>6</v>
      </c>
      <c r="E567" s="63">
        <v>9.4501582902000006E-5</v>
      </c>
    </row>
    <row r="568" spans="2:5" ht="15" customHeight="1">
      <c r="B568" s="97"/>
      <c r="C568" s="61" t="s">
        <v>348</v>
      </c>
      <c r="D568" s="62">
        <v>32</v>
      </c>
      <c r="E568" s="63">
        <v>5.0400844214100004E-4</v>
      </c>
    </row>
    <row r="569" spans="2:5" ht="15" customHeight="1">
      <c r="B569" s="97"/>
      <c r="C569" s="61" t="s">
        <v>349</v>
      </c>
      <c r="D569" s="62">
        <v>1</v>
      </c>
      <c r="E569" s="63">
        <v>1.5750263817000001E-5</v>
      </c>
    </row>
    <row r="570" spans="2:5" ht="15" customHeight="1">
      <c r="B570" s="98"/>
      <c r="C570" s="75" t="s">
        <v>304</v>
      </c>
      <c r="D570" s="74">
        <v>2681</v>
      </c>
      <c r="E570" s="76">
        <v>4.2226457293159998E-2</v>
      </c>
    </row>
    <row r="571" spans="2:5" ht="15" customHeight="1">
      <c r="B571" s="96" t="s">
        <v>207</v>
      </c>
      <c r="C571" s="61" t="s">
        <v>310</v>
      </c>
      <c r="D571" s="62">
        <v>53</v>
      </c>
      <c r="E571" s="63">
        <v>8.3476398229700001E-4</v>
      </c>
    </row>
    <row r="572" spans="2:5" ht="15" customHeight="1">
      <c r="B572" s="97"/>
      <c r="C572" s="61" t="s">
        <v>359</v>
      </c>
      <c r="D572" s="62">
        <v>1</v>
      </c>
      <c r="E572" s="63">
        <v>1.5750263817000001E-5</v>
      </c>
    </row>
    <row r="573" spans="2:5" ht="15" customHeight="1">
      <c r="B573" s="97"/>
      <c r="C573" s="61" t="s">
        <v>311</v>
      </c>
      <c r="D573" s="62">
        <v>115</v>
      </c>
      <c r="E573" s="63">
        <v>1.8112803389459999E-3</v>
      </c>
    </row>
    <row r="574" spans="2:5" ht="15" customHeight="1">
      <c r="B574" s="97"/>
      <c r="C574" s="61" t="s">
        <v>312</v>
      </c>
      <c r="D574" s="62">
        <v>286</v>
      </c>
      <c r="E574" s="63">
        <v>4.5045754516389999E-3</v>
      </c>
    </row>
    <row r="575" spans="2:5" ht="15" customHeight="1">
      <c r="B575" s="97"/>
      <c r="C575" s="61" t="s">
        <v>313</v>
      </c>
      <c r="D575" s="62">
        <v>1814</v>
      </c>
      <c r="E575" s="63">
        <v>2.8570978563891E-2</v>
      </c>
    </row>
    <row r="576" spans="2:5" ht="15" customHeight="1">
      <c r="B576" s="97"/>
      <c r="C576" s="61" t="s">
        <v>314</v>
      </c>
      <c r="D576" s="62">
        <v>151</v>
      </c>
      <c r="E576" s="63">
        <v>2.378289836355E-3</v>
      </c>
    </row>
    <row r="577" spans="2:5" ht="15" customHeight="1">
      <c r="B577" s="97"/>
      <c r="C577" s="61" t="s">
        <v>315</v>
      </c>
      <c r="D577" s="62">
        <v>8</v>
      </c>
      <c r="E577" s="63">
        <v>1.2600211053499999E-4</v>
      </c>
    </row>
    <row r="578" spans="2:5" ht="15" customHeight="1">
      <c r="B578" s="97"/>
      <c r="C578" s="61" t="s">
        <v>316</v>
      </c>
      <c r="D578" s="62">
        <v>13</v>
      </c>
      <c r="E578" s="63">
        <v>2.0475342962000001E-4</v>
      </c>
    </row>
    <row r="579" spans="2:5" ht="15" customHeight="1">
      <c r="B579" s="97"/>
      <c r="C579" s="61" t="s">
        <v>317</v>
      </c>
      <c r="D579" s="62">
        <v>216</v>
      </c>
      <c r="E579" s="63">
        <v>3.4020569844540002E-3</v>
      </c>
    </row>
    <row r="580" spans="2:5" ht="15" customHeight="1">
      <c r="B580" s="97"/>
      <c r="C580" s="61" t="s">
        <v>318</v>
      </c>
      <c r="D580" s="62">
        <v>235</v>
      </c>
      <c r="E580" s="63">
        <v>3.7013119969760001E-3</v>
      </c>
    </row>
    <row r="581" spans="2:5" ht="15" customHeight="1">
      <c r="B581" s="97"/>
      <c r="C581" s="61" t="s">
        <v>319</v>
      </c>
      <c r="D581" s="62">
        <v>82</v>
      </c>
      <c r="E581" s="63">
        <v>1.291521632987E-3</v>
      </c>
    </row>
    <row r="582" spans="2:5" ht="15" customHeight="1">
      <c r="B582" s="97"/>
      <c r="C582" s="61" t="s">
        <v>320</v>
      </c>
      <c r="D582" s="62">
        <v>916</v>
      </c>
      <c r="E582" s="63">
        <v>1.4427241656298001E-2</v>
      </c>
    </row>
    <row r="583" spans="2:5" ht="15" customHeight="1">
      <c r="B583" s="97"/>
      <c r="C583" s="61" t="s">
        <v>321</v>
      </c>
      <c r="D583" s="62">
        <v>111</v>
      </c>
      <c r="E583" s="63">
        <v>1.7482792836780001E-3</v>
      </c>
    </row>
    <row r="584" spans="2:5" ht="15" customHeight="1">
      <c r="B584" s="97"/>
      <c r="C584" s="61" t="s">
        <v>322</v>
      </c>
      <c r="D584" s="62">
        <v>24</v>
      </c>
      <c r="E584" s="63">
        <v>3.78006331606E-4</v>
      </c>
    </row>
    <row r="585" spans="2:5" ht="15" customHeight="1">
      <c r="B585" s="97"/>
      <c r="C585" s="61" t="s">
        <v>323</v>
      </c>
      <c r="D585" s="62">
        <v>50</v>
      </c>
      <c r="E585" s="63">
        <v>7.8751319084600002E-4</v>
      </c>
    </row>
    <row r="586" spans="2:5" ht="15" customHeight="1">
      <c r="B586" s="97"/>
      <c r="C586" s="61" t="s">
        <v>324</v>
      </c>
      <c r="D586" s="62">
        <v>25</v>
      </c>
      <c r="E586" s="63">
        <v>3.9375659542300001E-4</v>
      </c>
    </row>
    <row r="587" spans="2:5" ht="15" customHeight="1">
      <c r="B587" s="97"/>
      <c r="C587" s="61" t="s">
        <v>325</v>
      </c>
      <c r="D587" s="62">
        <v>47</v>
      </c>
      <c r="E587" s="63">
        <v>7.4026239939500003E-4</v>
      </c>
    </row>
    <row r="588" spans="2:5" ht="15" customHeight="1">
      <c r="B588" s="97"/>
      <c r="C588" s="61" t="s">
        <v>326</v>
      </c>
      <c r="D588" s="62">
        <v>9</v>
      </c>
      <c r="E588" s="63">
        <v>1.4175237435200001E-4</v>
      </c>
    </row>
    <row r="589" spans="2:5" ht="15" customHeight="1">
      <c r="B589" s="97"/>
      <c r="C589" s="61" t="s">
        <v>354</v>
      </c>
      <c r="D589" s="62">
        <v>3</v>
      </c>
      <c r="E589" s="63">
        <v>4.7250791451000003E-5</v>
      </c>
    </row>
    <row r="590" spans="2:5" ht="15" customHeight="1">
      <c r="B590" s="97"/>
      <c r="C590" s="61" t="s">
        <v>327</v>
      </c>
      <c r="D590" s="62">
        <v>108</v>
      </c>
      <c r="E590" s="63">
        <v>1.7010284922270001E-3</v>
      </c>
    </row>
    <row r="591" spans="2:5" ht="15" customHeight="1">
      <c r="B591" s="97"/>
      <c r="C591" s="61" t="s">
        <v>328</v>
      </c>
      <c r="D591" s="62">
        <v>70</v>
      </c>
      <c r="E591" s="63">
        <v>1.1025184671840001E-3</v>
      </c>
    </row>
    <row r="592" spans="2:5" ht="15" customHeight="1">
      <c r="B592" s="97"/>
      <c r="C592" s="61" t="s">
        <v>329</v>
      </c>
      <c r="D592" s="62">
        <v>44</v>
      </c>
      <c r="E592" s="63">
        <v>6.9301160794400004E-4</v>
      </c>
    </row>
    <row r="593" spans="2:5" ht="15" customHeight="1">
      <c r="B593" s="97"/>
      <c r="C593" s="61" t="s">
        <v>330</v>
      </c>
      <c r="D593" s="62">
        <v>49</v>
      </c>
      <c r="E593" s="63">
        <v>7.7176292702899995E-4</v>
      </c>
    </row>
    <row r="594" spans="2:5" ht="15" customHeight="1">
      <c r="B594" s="97"/>
      <c r="C594" s="61" t="s">
        <v>331</v>
      </c>
      <c r="D594" s="62">
        <v>6</v>
      </c>
      <c r="E594" s="63">
        <v>9.4501582902000006E-5</v>
      </c>
    </row>
    <row r="595" spans="2:5" ht="15" customHeight="1">
      <c r="B595" s="97"/>
      <c r="C595" s="61" t="s">
        <v>332</v>
      </c>
      <c r="D595" s="62">
        <v>54</v>
      </c>
      <c r="E595" s="63">
        <v>8.5051424611399997E-4</v>
      </c>
    </row>
    <row r="596" spans="2:5" ht="15" customHeight="1">
      <c r="B596" s="97"/>
      <c r="C596" s="61" t="s">
        <v>333</v>
      </c>
      <c r="D596" s="62">
        <v>117</v>
      </c>
      <c r="E596" s="63">
        <v>1.8427808665800001E-3</v>
      </c>
    </row>
    <row r="597" spans="2:5" ht="15" customHeight="1">
      <c r="B597" s="97"/>
      <c r="C597" s="61" t="s">
        <v>353</v>
      </c>
      <c r="D597" s="62">
        <v>1</v>
      </c>
      <c r="E597" s="63">
        <v>1.5750263817000001E-5</v>
      </c>
    </row>
    <row r="598" spans="2:5" ht="15" customHeight="1">
      <c r="B598" s="97"/>
      <c r="C598" s="61" t="s">
        <v>334</v>
      </c>
      <c r="D598" s="62">
        <v>25</v>
      </c>
      <c r="E598" s="63">
        <v>3.9375659542300001E-4</v>
      </c>
    </row>
    <row r="599" spans="2:5" ht="15" customHeight="1">
      <c r="B599" s="97"/>
      <c r="C599" s="61" t="s">
        <v>335</v>
      </c>
      <c r="D599" s="62">
        <v>19</v>
      </c>
      <c r="E599" s="63">
        <v>2.9925501252099998E-4</v>
      </c>
    </row>
    <row r="600" spans="2:5" ht="15" customHeight="1">
      <c r="B600" s="97"/>
      <c r="C600" s="61" t="s">
        <v>336</v>
      </c>
      <c r="D600" s="62">
        <v>18</v>
      </c>
      <c r="E600" s="63">
        <v>2.8350474870499998E-4</v>
      </c>
    </row>
    <row r="601" spans="2:5" ht="15" customHeight="1">
      <c r="B601" s="97"/>
      <c r="C601" s="61" t="s">
        <v>337</v>
      </c>
      <c r="D601" s="62">
        <v>238</v>
      </c>
      <c r="E601" s="63">
        <v>3.7485627884269999E-3</v>
      </c>
    </row>
    <row r="602" spans="2:5" ht="15" customHeight="1">
      <c r="B602" s="97"/>
      <c r="C602" s="61" t="s">
        <v>351</v>
      </c>
      <c r="D602" s="62">
        <v>8</v>
      </c>
      <c r="E602" s="63">
        <v>1.2600211053499999E-4</v>
      </c>
    </row>
    <row r="603" spans="2:5" ht="15" customHeight="1">
      <c r="B603" s="97"/>
      <c r="C603" s="61" t="s">
        <v>338</v>
      </c>
      <c r="D603" s="62">
        <v>141</v>
      </c>
      <c r="E603" s="63">
        <v>2.2207871981859998E-3</v>
      </c>
    </row>
    <row r="604" spans="2:5" ht="15" customHeight="1">
      <c r="B604" s="97"/>
      <c r="C604" s="61" t="s">
        <v>339</v>
      </c>
      <c r="D604" s="62">
        <v>274</v>
      </c>
      <c r="E604" s="63">
        <v>4.315572285836E-3</v>
      </c>
    </row>
    <row r="605" spans="2:5" ht="15" customHeight="1">
      <c r="B605" s="97"/>
      <c r="C605" s="61" t="s">
        <v>340</v>
      </c>
      <c r="D605" s="62">
        <v>35</v>
      </c>
      <c r="E605" s="63">
        <v>5.5125923359200003E-4</v>
      </c>
    </row>
    <row r="606" spans="2:5" ht="15" customHeight="1">
      <c r="B606" s="97"/>
      <c r="C606" s="61" t="s">
        <v>341</v>
      </c>
      <c r="D606" s="62">
        <v>61</v>
      </c>
      <c r="E606" s="63">
        <v>9.6076609283199995E-4</v>
      </c>
    </row>
    <row r="607" spans="2:5" ht="15" customHeight="1">
      <c r="B607" s="97"/>
      <c r="C607" s="61" t="s">
        <v>342</v>
      </c>
      <c r="D607" s="62">
        <v>64</v>
      </c>
      <c r="E607" s="63">
        <v>1.0080168842829999E-3</v>
      </c>
    </row>
    <row r="608" spans="2:5" ht="15" customHeight="1">
      <c r="B608" s="97"/>
      <c r="C608" s="61" t="s">
        <v>352</v>
      </c>
      <c r="D608" s="62">
        <v>3</v>
      </c>
      <c r="E608" s="63">
        <v>4.7250791451000003E-5</v>
      </c>
    </row>
    <row r="609" spans="2:5" ht="15" customHeight="1">
      <c r="B609" s="97"/>
      <c r="C609" s="61" t="s">
        <v>343</v>
      </c>
      <c r="D609" s="62">
        <v>200</v>
      </c>
      <c r="E609" s="63">
        <v>3.1500527633840001E-3</v>
      </c>
    </row>
    <row r="610" spans="2:5" ht="15" customHeight="1">
      <c r="B610" s="97"/>
      <c r="C610" s="61" t="s">
        <v>344</v>
      </c>
      <c r="D610" s="62">
        <v>3967</v>
      </c>
      <c r="E610" s="63">
        <v>6.2481296561716998E-2</v>
      </c>
    </row>
    <row r="611" spans="2:5" ht="15" customHeight="1">
      <c r="B611" s="97"/>
      <c r="C611" s="61" t="s">
        <v>345</v>
      </c>
      <c r="D611" s="62">
        <v>77</v>
      </c>
      <c r="E611" s="63">
        <v>1.2127703139029999E-3</v>
      </c>
    </row>
    <row r="612" spans="2:5" ht="15" customHeight="1">
      <c r="B612" s="97"/>
      <c r="C612" s="61" t="s">
        <v>346</v>
      </c>
      <c r="D612" s="62">
        <v>26</v>
      </c>
      <c r="E612" s="63">
        <v>4.0950685924000003E-4</v>
      </c>
    </row>
    <row r="613" spans="2:5" ht="15" customHeight="1">
      <c r="B613" s="97"/>
      <c r="C613" s="61" t="s">
        <v>347</v>
      </c>
      <c r="D613" s="62">
        <v>20</v>
      </c>
      <c r="E613" s="63">
        <v>3.1500527633799999E-4</v>
      </c>
    </row>
    <row r="614" spans="2:5" ht="15" customHeight="1">
      <c r="B614" s="97"/>
      <c r="C614" s="61" t="s">
        <v>356</v>
      </c>
      <c r="D614" s="62">
        <v>4</v>
      </c>
      <c r="E614" s="63">
        <v>6.3001055268000004E-5</v>
      </c>
    </row>
    <row r="615" spans="2:5" ht="15" customHeight="1">
      <c r="B615" s="97"/>
      <c r="C615" s="61" t="s">
        <v>348</v>
      </c>
      <c r="D615" s="62">
        <v>138</v>
      </c>
      <c r="E615" s="63">
        <v>2.1735364067350001E-3</v>
      </c>
    </row>
    <row r="616" spans="2:5" ht="15" customHeight="1">
      <c r="B616" s="97"/>
      <c r="C616" s="61" t="s">
        <v>349</v>
      </c>
      <c r="D616" s="62">
        <v>8</v>
      </c>
      <c r="E616" s="63">
        <v>1.2600211053499999E-4</v>
      </c>
    </row>
    <row r="617" spans="2:5" ht="15" customHeight="1">
      <c r="B617" s="98"/>
      <c r="C617" s="75" t="s">
        <v>304</v>
      </c>
      <c r="D617" s="74">
        <v>9934</v>
      </c>
      <c r="E617" s="76">
        <v>0.15646312075727301</v>
      </c>
    </row>
    <row r="618" spans="2:5" ht="15" customHeight="1">
      <c r="B618" s="96" t="s">
        <v>208</v>
      </c>
      <c r="C618" s="61" t="s">
        <v>311</v>
      </c>
      <c r="D618" s="62">
        <v>2</v>
      </c>
      <c r="E618" s="63">
        <v>3.1500527634000002E-5</v>
      </c>
    </row>
    <row r="619" spans="2:5" ht="15" customHeight="1">
      <c r="B619" s="97"/>
      <c r="C619" s="61" t="s">
        <v>312</v>
      </c>
      <c r="D619" s="62">
        <v>2</v>
      </c>
      <c r="E619" s="63">
        <v>3.1500527634000002E-5</v>
      </c>
    </row>
    <row r="620" spans="2:5" ht="15" customHeight="1">
      <c r="B620" s="97"/>
      <c r="C620" s="61" t="s">
        <v>313</v>
      </c>
      <c r="D620" s="62">
        <v>45</v>
      </c>
      <c r="E620" s="63">
        <v>7.08761871761E-4</v>
      </c>
    </row>
    <row r="621" spans="2:5" ht="15" customHeight="1">
      <c r="B621" s="97"/>
      <c r="C621" s="61" t="s">
        <v>314</v>
      </c>
      <c r="D621" s="62">
        <v>3</v>
      </c>
      <c r="E621" s="63">
        <v>4.7250791451000003E-5</v>
      </c>
    </row>
    <row r="622" spans="2:5" ht="15" customHeight="1">
      <c r="B622" s="97"/>
      <c r="C622" s="61" t="s">
        <v>317</v>
      </c>
      <c r="D622" s="62">
        <v>1</v>
      </c>
      <c r="E622" s="63">
        <v>1.5750263817000001E-5</v>
      </c>
    </row>
    <row r="623" spans="2:5" ht="15" customHeight="1">
      <c r="B623" s="97"/>
      <c r="C623" s="61" t="s">
        <v>318</v>
      </c>
      <c r="D623" s="62">
        <v>2</v>
      </c>
      <c r="E623" s="63">
        <v>3.1500527634000002E-5</v>
      </c>
    </row>
    <row r="624" spans="2:5" ht="15" customHeight="1">
      <c r="B624" s="97"/>
      <c r="C624" s="61" t="s">
        <v>319</v>
      </c>
      <c r="D624" s="62">
        <v>1</v>
      </c>
      <c r="E624" s="63">
        <v>1.5750263817000001E-5</v>
      </c>
    </row>
    <row r="625" spans="2:5" ht="15" customHeight="1">
      <c r="B625" s="97"/>
      <c r="C625" s="61" t="s">
        <v>320</v>
      </c>
      <c r="D625" s="62">
        <v>15</v>
      </c>
      <c r="E625" s="63">
        <v>2.3625395725399999E-4</v>
      </c>
    </row>
    <row r="626" spans="2:5" ht="15" customHeight="1">
      <c r="B626" s="97"/>
      <c r="C626" s="61" t="s">
        <v>321</v>
      </c>
      <c r="D626" s="62">
        <v>3</v>
      </c>
      <c r="E626" s="63">
        <v>4.7250791451000003E-5</v>
      </c>
    </row>
    <row r="627" spans="2:5" ht="15" customHeight="1">
      <c r="B627" s="97"/>
      <c r="C627" s="61" t="s">
        <v>323</v>
      </c>
      <c r="D627" s="62">
        <v>2</v>
      </c>
      <c r="E627" s="63">
        <v>3.1500527634000002E-5</v>
      </c>
    </row>
    <row r="628" spans="2:5" ht="15" customHeight="1">
      <c r="B628" s="97"/>
      <c r="C628" s="61" t="s">
        <v>324</v>
      </c>
      <c r="D628" s="62">
        <v>1</v>
      </c>
      <c r="E628" s="63">
        <v>1.5750263817000001E-5</v>
      </c>
    </row>
    <row r="629" spans="2:5" ht="15" customHeight="1">
      <c r="B629" s="97"/>
      <c r="C629" s="61" t="s">
        <v>325</v>
      </c>
      <c r="D629" s="62">
        <v>2</v>
      </c>
      <c r="E629" s="63">
        <v>3.1500527634000002E-5</v>
      </c>
    </row>
    <row r="630" spans="2:5" ht="15" customHeight="1">
      <c r="B630" s="97"/>
      <c r="C630" s="61" t="s">
        <v>327</v>
      </c>
      <c r="D630" s="62">
        <v>1</v>
      </c>
      <c r="E630" s="63">
        <v>1.5750263817000001E-5</v>
      </c>
    </row>
    <row r="631" spans="2:5" ht="15" customHeight="1">
      <c r="B631" s="97"/>
      <c r="C631" s="61" t="s">
        <v>328</v>
      </c>
      <c r="D631" s="62">
        <v>2</v>
      </c>
      <c r="E631" s="63">
        <v>3.1500527634000002E-5</v>
      </c>
    </row>
    <row r="632" spans="2:5" ht="15" customHeight="1">
      <c r="B632" s="97"/>
      <c r="C632" s="61" t="s">
        <v>330</v>
      </c>
      <c r="D632" s="62">
        <v>4</v>
      </c>
      <c r="E632" s="63">
        <v>6.3001055268000004E-5</v>
      </c>
    </row>
    <row r="633" spans="2:5" ht="15" customHeight="1">
      <c r="B633" s="97"/>
      <c r="C633" s="61" t="s">
        <v>332</v>
      </c>
      <c r="D633" s="62">
        <v>1</v>
      </c>
      <c r="E633" s="63">
        <v>1.5750263817000001E-5</v>
      </c>
    </row>
    <row r="634" spans="2:5" ht="15" customHeight="1">
      <c r="B634" s="97"/>
      <c r="C634" s="61" t="s">
        <v>333</v>
      </c>
      <c r="D634" s="62">
        <v>1</v>
      </c>
      <c r="E634" s="63">
        <v>1.5750263817000001E-5</v>
      </c>
    </row>
    <row r="635" spans="2:5" ht="15" customHeight="1">
      <c r="B635" s="97"/>
      <c r="C635" s="61" t="s">
        <v>334</v>
      </c>
      <c r="D635" s="62">
        <v>1</v>
      </c>
      <c r="E635" s="63">
        <v>1.5750263817000001E-5</v>
      </c>
    </row>
    <row r="636" spans="2:5" ht="15" customHeight="1">
      <c r="B636" s="97"/>
      <c r="C636" s="61" t="s">
        <v>339</v>
      </c>
      <c r="D636" s="62">
        <v>4</v>
      </c>
      <c r="E636" s="63">
        <v>6.3001055268000004E-5</v>
      </c>
    </row>
    <row r="637" spans="2:5" ht="15" customHeight="1">
      <c r="B637" s="97"/>
      <c r="C637" s="61" t="s">
        <v>340</v>
      </c>
      <c r="D637" s="62">
        <v>1</v>
      </c>
      <c r="E637" s="63">
        <v>1.5750263817000001E-5</v>
      </c>
    </row>
    <row r="638" spans="2:5" ht="15" customHeight="1">
      <c r="B638" s="97"/>
      <c r="C638" s="61" t="s">
        <v>352</v>
      </c>
      <c r="D638" s="62">
        <v>1</v>
      </c>
      <c r="E638" s="63">
        <v>1.5750263817000001E-5</v>
      </c>
    </row>
    <row r="639" spans="2:5" ht="15" customHeight="1">
      <c r="B639" s="97"/>
      <c r="C639" s="61" t="s">
        <v>343</v>
      </c>
      <c r="D639" s="62">
        <v>1</v>
      </c>
      <c r="E639" s="63">
        <v>1.5750263817000001E-5</v>
      </c>
    </row>
    <row r="640" spans="2:5" ht="15" customHeight="1">
      <c r="B640" s="97"/>
      <c r="C640" s="61" t="s">
        <v>344</v>
      </c>
      <c r="D640" s="62">
        <v>55</v>
      </c>
      <c r="E640" s="63">
        <v>8.6626450993100004E-4</v>
      </c>
    </row>
    <row r="641" spans="2:5" ht="15" customHeight="1">
      <c r="B641" s="97"/>
      <c r="C641" s="61" t="s">
        <v>348</v>
      </c>
      <c r="D641" s="62">
        <v>1</v>
      </c>
      <c r="E641" s="63">
        <v>1.5750263817000001E-5</v>
      </c>
    </row>
    <row r="642" spans="2:5" ht="15" customHeight="1">
      <c r="B642" s="98"/>
      <c r="C642" s="75" t="s">
        <v>304</v>
      </c>
      <c r="D642" s="74">
        <v>152</v>
      </c>
      <c r="E642" s="76">
        <v>2.3940401001720001E-3</v>
      </c>
    </row>
    <row r="643" spans="2:5" ht="15" customHeight="1">
      <c r="B643" s="96" t="s">
        <v>209</v>
      </c>
      <c r="C643" s="61" t="s">
        <v>311</v>
      </c>
      <c r="D643" s="62">
        <v>2</v>
      </c>
      <c r="E643" s="63">
        <v>3.1500527634000002E-5</v>
      </c>
    </row>
    <row r="644" spans="2:5" ht="15" customHeight="1">
      <c r="B644" s="97"/>
      <c r="C644" s="61" t="s">
        <v>312</v>
      </c>
      <c r="D644" s="62">
        <v>1</v>
      </c>
      <c r="E644" s="63">
        <v>1.5750263817000001E-5</v>
      </c>
    </row>
    <row r="645" spans="2:5" ht="15" customHeight="1">
      <c r="B645" s="97"/>
      <c r="C645" s="61" t="s">
        <v>313</v>
      </c>
      <c r="D645" s="62">
        <v>49</v>
      </c>
      <c r="E645" s="63">
        <v>7.7176292702899995E-4</v>
      </c>
    </row>
    <row r="646" spans="2:5" ht="15" customHeight="1">
      <c r="B646" s="97"/>
      <c r="C646" s="61" t="s">
        <v>314</v>
      </c>
      <c r="D646" s="62">
        <v>2</v>
      </c>
      <c r="E646" s="63">
        <v>3.1500527634000002E-5</v>
      </c>
    </row>
    <row r="647" spans="2:5" ht="15" customHeight="1">
      <c r="B647" s="97"/>
      <c r="C647" s="61" t="s">
        <v>316</v>
      </c>
      <c r="D647" s="62">
        <v>2</v>
      </c>
      <c r="E647" s="63">
        <v>3.1500527634000002E-5</v>
      </c>
    </row>
    <row r="648" spans="2:5" ht="15" customHeight="1">
      <c r="B648" s="97"/>
      <c r="C648" s="61" t="s">
        <v>317</v>
      </c>
      <c r="D648" s="62">
        <v>2</v>
      </c>
      <c r="E648" s="63">
        <v>3.1500527634000002E-5</v>
      </c>
    </row>
    <row r="649" spans="2:5" ht="15" customHeight="1">
      <c r="B649" s="97"/>
      <c r="C649" s="61" t="s">
        <v>318</v>
      </c>
      <c r="D649" s="62">
        <v>4</v>
      </c>
      <c r="E649" s="63">
        <v>6.3001055268000004E-5</v>
      </c>
    </row>
    <row r="650" spans="2:5" ht="15" customHeight="1">
      <c r="B650" s="97"/>
      <c r="C650" s="61" t="s">
        <v>319</v>
      </c>
      <c r="D650" s="62">
        <v>3</v>
      </c>
      <c r="E650" s="63">
        <v>4.7250791451000003E-5</v>
      </c>
    </row>
    <row r="651" spans="2:5" ht="15" customHeight="1">
      <c r="B651" s="97"/>
      <c r="C651" s="61" t="s">
        <v>320</v>
      </c>
      <c r="D651" s="62">
        <v>10</v>
      </c>
      <c r="E651" s="63">
        <v>1.57502638169E-4</v>
      </c>
    </row>
    <row r="652" spans="2:5" ht="15" customHeight="1">
      <c r="B652" s="97"/>
      <c r="C652" s="61" t="s">
        <v>321</v>
      </c>
      <c r="D652" s="62">
        <v>5</v>
      </c>
      <c r="E652" s="63">
        <v>7.8751319085000005E-5</v>
      </c>
    </row>
    <row r="653" spans="2:5" ht="15" customHeight="1">
      <c r="B653" s="97"/>
      <c r="C653" s="61" t="s">
        <v>322</v>
      </c>
      <c r="D653" s="62">
        <v>1</v>
      </c>
      <c r="E653" s="63">
        <v>1.5750263817000001E-5</v>
      </c>
    </row>
    <row r="654" spans="2:5" ht="15" customHeight="1">
      <c r="B654" s="97"/>
      <c r="C654" s="61" t="s">
        <v>325</v>
      </c>
      <c r="D654" s="62">
        <v>1</v>
      </c>
      <c r="E654" s="63">
        <v>1.5750263817000001E-5</v>
      </c>
    </row>
    <row r="655" spans="2:5" ht="15" customHeight="1">
      <c r="B655" s="97"/>
      <c r="C655" s="61" t="s">
        <v>327</v>
      </c>
      <c r="D655" s="62">
        <v>4</v>
      </c>
      <c r="E655" s="63">
        <v>6.3001055268000004E-5</v>
      </c>
    </row>
    <row r="656" spans="2:5" ht="15" customHeight="1">
      <c r="B656" s="97"/>
      <c r="C656" s="61" t="s">
        <v>328</v>
      </c>
      <c r="D656" s="62">
        <v>3</v>
      </c>
      <c r="E656" s="63">
        <v>4.7250791451000003E-5</v>
      </c>
    </row>
    <row r="657" spans="2:5" ht="15" customHeight="1">
      <c r="B657" s="97"/>
      <c r="C657" s="61" t="s">
        <v>330</v>
      </c>
      <c r="D657" s="62">
        <v>2</v>
      </c>
      <c r="E657" s="63">
        <v>3.1500527634000002E-5</v>
      </c>
    </row>
    <row r="658" spans="2:5" ht="15" customHeight="1">
      <c r="B658" s="97"/>
      <c r="C658" s="61" t="s">
        <v>333</v>
      </c>
      <c r="D658" s="62">
        <v>3</v>
      </c>
      <c r="E658" s="63">
        <v>4.7250791451000003E-5</v>
      </c>
    </row>
    <row r="659" spans="2:5" ht="15" customHeight="1">
      <c r="B659" s="97"/>
      <c r="C659" s="61" t="s">
        <v>337</v>
      </c>
      <c r="D659" s="62">
        <v>1</v>
      </c>
      <c r="E659" s="63">
        <v>1.5750263817000001E-5</v>
      </c>
    </row>
    <row r="660" spans="2:5" ht="15" customHeight="1">
      <c r="B660" s="97"/>
      <c r="C660" s="61" t="s">
        <v>338</v>
      </c>
      <c r="D660" s="62">
        <v>2</v>
      </c>
      <c r="E660" s="63">
        <v>3.1500527634000002E-5</v>
      </c>
    </row>
    <row r="661" spans="2:5" ht="15" customHeight="1">
      <c r="B661" s="97"/>
      <c r="C661" s="61" t="s">
        <v>339</v>
      </c>
      <c r="D661" s="62">
        <v>4</v>
      </c>
      <c r="E661" s="63">
        <v>6.3001055268000004E-5</v>
      </c>
    </row>
    <row r="662" spans="2:5" ht="15" customHeight="1">
      <c r="B662" s="97"/>
      <c r="C662" s="61" t="s">
        <v>343</v>
      </c>
      <c r="D662" s="62">
        <v>1</v>
      </c>
      <c r="E662" s="63">
        <v>1.5750263817000001E-5</v>
      </c>
    </row>
    <row r="663" spans="2:5" ht="15" customHeight="1">
      <c r="B663" s="97"/>
      <c r="C663" s="61" t="s">
        <v>344</v>
      </c>
      <c r="D663" s="62">
        <v>55</v>
      </c>
      <c r="E663" s="63">
        <v>8.6626450993100004E-4</v>
      </c>
    </row>
    <row r="664" spans="2:5" ht="15" customHeight="1">
      <c r="B664" s="97"/>
      <c r="C664" s="61" t="s">
        <v>345</v>
      </c>
      <c r="D664" s="62">
        <v>1</v>
      </c>
      <c r="E664" s="63">
        <v>1.5750263817000001E-5</v>
      </c>
    </row>
    <row r="665" spans="2:5" ht="15" customHeight="1">
      <c r="B665" s="97"/>
      <c r="C665" s="61" t="s">
        <v>347</v>
      </c>
      <c r="D665" s="62">
        <v>2</v>
      </c>
      <c r="E665" s="63">
        <v>3.1500527634000002E-5</v>
      </c>
    </row>
    <row r="666" spans="2:5" ht="15" customHeight="1">
      <c r="B666" s="97"/>
      <c r="C666" s="61" t="s">
        <v>348</v>
      </c>
      <c r="D666" s="62">
        <v>4</v>
      </c>
      <c r="E666" s="63">
        <v>6.3001055268000004E-5</v>
      </c>
    </row>
    <row r="667" spans="2:5" ht="15" customHeight="1">
      <c r="B667" s="97"/>
      <c r="C667" s="61" t="s">
        <v>349</v>
      </c>
      <c r="D667" s="62">
        <v>1</v>
      </c>
      <c r="E667" s="63">
        <v>1.5750263817000001E-5</v>
      </c>
    </row>
    <row r="668" spans="2:5" ht="15" customHeight="1">
      <c r="B668" s="98"/>
      <c r="C668" s="75" t="s">
        <v>304</v>
      </c>
      <c r="D668" s="74">
        <v>165</v>
      </c>
      <c r="E668" s="76">
        <v>2.5987935297920001E-3</v>
      </c>
    </row>
    <row r="669" spans="2:5" ht="15" customHeight="1">
      <c r="B669" s="96" t="s">
        <v>210</v>
      </c>
      <c r="C669" s="61" t="s">
        <v>311</v>
      </c>
      <c r="D669" s="62">
        <v>2</v>
      </c>
      <c r="E669" s="63">
        <v>3.1500527634000002E-5</v>
      </c>
    </row>
    <row r="670" spans="2:5" ht="15" customHeight="1">
      <c r="B670" s="97"/>
      <c r="C670" s="61" t="s">
        <v>312</v>
      </c>
      <c r="D670" s="62">
        <v>2</v>
      </c>
      <c r="E670" s="63">
        <v>3.1500527634000002E-5</v>
      </c>
    </row>
    <row r="671" spans="2:5" ht="15" customHeight="1">
      <c r="B671" s="97"/>
      <c r="C671" s="61" t="s">
        <v>313</v>
      </c>
      <c r="D671" s="62">
        <v>19</v>
      </c>
      <c r="E671" s="63">
        <v>2.9925501252099998E-4</v>
      </c>
    </row>
    <row r="672" spans="2:5" ht="15" customHeight="1">
      <c r="B672" s="97"/>
      <c r="C672" s="61" t="s">
        <v>314</v>
      </c>
      <c r="D672" s="62">
        <v>2</v>
      </c>
      <c r="E672" s="63">
        <v>3.1500527634000002E-5</v>
      </c>
    </row>
    <row r="673" spans="2:5" ht="15" customHeight="1">
      <c r="B673" s="97"/>
      <c r="C673" s="61" t="s">
        <v>317</v>
      </c>
      <c r="D673" s="62">
        <v>1</v>
      </c>
      <c r="E673" s="63">
        <v>1.5750263817000001E-5</v>
      </c>
    </row>
    <row r="674" spans="2:5" ht="15" customHeight="1">
      <c r="B674" s="97"/>
      <c r="C674" s="61" t="s">
        <v>318</v>
      </c>
      <c r="D674" s="62">
        <v>1</v>
      </c>
      <c r="E674" s="63">
        <v>1.5750263817000001E-5</v>
      </c>
    </row>
    <row r="675" spans="2:5" ht="15" customHeight="1">
      <c r="B675" s="97"/>
      <c r="C675" s="61" t="s">
        <v>320</v>
      </c>
      <c r="D675" s="62">
        <v>5</v>
      </c>
      <c r="E675" s="63">
        <v>7.8751319085000005E-5</v>
      </c>
    </row>
    <row r="676" spans="2:5" ht="15" customHeight="1">
      <c r="B676" s="97"/>
      <c r="C676" s="61" t="s">
        <v>321</v>
      </c>
      <c r="D676" s="62">
        <v>1</v>
      </c>
      <c r="E676" s="63">
        <v>1.5750263817000001E-5</v>
      </c>
    </row>
    <row r="677" spans="2:5" ht="15" customHeight="1">
      <c r="B677" s="97"/>
      <c r="C677" s="61" t="s">
        <v>323</v>
      </c>
      <c r="D677" s="62">
        <v>1</v>
      </c>
      <c r="E677" s="63">
        <v>1.5750263817000001E-5</v>
      </c>
    </row>
    <row r="678" spans="2:5" ht="15" customHeight="1">
      <c r="B678" s="97"/>
      <c r="C678" s="61" t="s">
        <v>325</v>
      </c>
      <c r="D678" s="62">
        <v>1</v>
      </c>
      <c r="E678" s="63">
        <v>1.5750263817000001E-5</v>
      </c>
    </row>
    <row r="679" spans="2:5" ht="15" customHeight="1">
      <c r="B679" s="97"/>
      <c r="C679" s="61" t="s">
        <v>333</v>
      </c>
      <c r="D679" s="62">
        <v>2</v>
      </c>
      <c r="E679" s="63">
        <v>3.1500527634000002E-5</v>
      </c>
    </row>
    <row r="680" spans="2:5" ht="15" customHeight="1">
      <c r="B680" s="97"/>
      <c r="C680" s="61" t="s">
        <v>335</v>
      </c>
      <c r="D680" s="62">
        <v>1</v>
      </c>
      <c r="E680" s="63">
        <v>1.5750263817000001E-5</v>
      </c>
    </row>
    <row r="681" spans="2:5" ht="15" customHeight="1">
      <c r="B681" s="97"/>
      <c r="C681" s="61" t="s">
        <v>337</v>
      </c>
      <c r="D681" s="62">
        <v>1</v>
      </c>
      <c r="E681" s="63">
        <v>1.5750263817000001E-5</v>
      </c>
    </row>
    <row r="682" spans="2:5" ht="15" customHeight="1">
      <c r="B682" s="97"/>
      <c r="C682" s="61" t="s">
        <v>351</v>
      </c>
      <c r="D682" s="62">
        <v>1</v>
      </c>
      <c r="E682" s="63">
        <v>1.5750263817000001E-5</v>
      </c>
    </row>
    <row r="683" spans="2:5" ht="15" customHeight="1">
      <c r="B683" s="97"/>
      <c r="C683" s="61" t="s">
        <v>338</v>
      </c>
      <c r="D683" s="62">
        <v>1</v>
      </c>
      <c r="E683" s="63">
        <v>1.5750263817000001E-5</v>
      </c>
    </row>
    <row r="684" spans="2:5" ht="15" customHeight="1">
      <c r="B684" s="97"/>
      <c r="C684" s="61" t="s">
        <v>339</v>
      </c>
      <c r="D684" s="62">
        <v>2</v>
      </c>
      <c r="E684" s="63">
        <v>3.1500527634000002E-5</v>
      </c>
    </row>
    <row r="685" spans="2:5" ht="15" customHeight="1">
      <c r="B685" s="97"/>
      <c r="C685" s="61" t="s">
        <v>343</v>
      </c>
      <c r="D685" s="62">
        <v>3</v>
      </c>
      <c r="E685" s="63">
        <v>4.7250791451000003E-5</v>
      </c>
    </row>
    <row r="686" spans="2:5" ht="15" customHeight="1">
      <c r="B686" s="97"/>
      <c r="C686" s="61" t="s">
        <v>344</v>
      </c>
      <c r="D686" s="62">
        <v>34</v>
      </c>
      <c r="E686" s="63">
        <v>5.3550896977499996E-4</v>
      </c>
    </row>
    <row r="687" spans="2:5" ht="15" customHeight="1">
      <c r="B687" s="97"/>
      <c r="C687" s="61" t="s">
        <v>346</v>
      </c>
      <c r="D687" s="62">
        <v>1</v>
      </c>
      <c r="E687" s="63">
        <v>1.5750263817000001E-5</v>
      </c>
    </row>
    <row r="688" spans="2:5" ht="15" customHeight="1">
      <c r="B688" s="97"/>
      <c r="C688" s="61" t="s">
        <v>348</v>
      </c>
      <c r="D688" s="62">
        <v>1</v>
      </c>
      <c r="E688" s="63">
        <v>1.5750263817000001E-5</v>
      </c>
    </row>
    <row r="689" spans="2:5" ht="15" customHeight="1">
      <c r="B689" s="98"/>
      <c r="C689" s="75" t="s">
        <v>304</v>
      </c>
      <c r="D689" s="74">
        <v>82</v>
      </c>
      <c r="E689" s="76">
        <v>1.291521632987E-3</v>
      </c>
    </row>
    <row r="690" spans="2:5" ht="15" customHeight="1">
      <c r="B690" s="96" t="s">
        <v>211</v>
      </c>
      <c r="C690" s="61" t="s">
        <v>310</v>
      </c>
      <c r="D690" s="62">
        <v>2</v>
      </c>
      <c r="E690" s="63">
        <v>3.1500527634000002E-5</v>
      </c>
    </row>
    <row r="691" spans="2:5" ht="15" customHeight="1">
      <c r="B691" s="97"/>
      <c r="C691" s="61" t="s">
        <v>311</v>
      </c>
      <c r="D691" s="62">
        <v>1</v>
      </c>
      <c r="E691" s="63">
        <v>1.5750263817000001E-5</v>
      </c>
    </row>
    <row r="692" spans="2:5" ht="15" customHeight="1">
      <c r="B692" s="97"/>
      <c r="C692" s="61" t="s">
        <v>312</v>
      </c>
      <c r="D692" s="62">
        <v>1</v>
      </c>
      <c r="E692" s="63">
        <v>1.5750263817000001E-5</v>
      </c>
    </row>
    <row r="693" spans="2:5" ht="15" customHeight="1">
      <c r="B693" s="97"/>
      <c r="C693" s="61" t="s">
        <v>313</v>
      </c>
      <c r="D693" s="62">
        <v>13</v>
      </c>
      <c r="E693" s="63">
        <v>2.0475342962000001E-4</v>
      </c>
    </row>
    <row r="694" spans="2:5" ht="15" customHeight="1">
      <c r="B694" s="97"/>
      <c r="C694" s="61" t="s">
        <v>317</v>
      </c>
      <c r="D694" s="62">
        <v>1</v>
      </c>
      <c r="E694" s="63">
        <v>1.5750263817000001E-5</v>
      </c>
    </row>
    <row r="695" spans="2:5" ht="15" customHeight="1">
      <c r="B695" s="97"/>
      <c r="C695" s="61" t="s">
        <v>318</v>
      </c>
      <c r="D695" s="62">
        <v>2</v>
      </c>
      <c r="E695" s="63">
        <v>3.1500527634000002E-5</v>
      </c>
    </row>
    <row r="696" spans="2:5" ht="15" customHeight="1">
      <c r="B696" s="97"/>
      <c r="C696" s="61" t="s">
        <v>321</v>
      </c>
      <c r="D696" s="62">
        <v>1</v>
      </c>
      <c r="E696" s="63">
        <v>1.5750263817000001E-5</v>
      </c>
    </row>
    <row r="697" spans="2:5" ht="15" customHeight="1">
      <c r="B697" s="97"/>
      <c r="C697" s="61" t="s">
        <v>325</v>
      </c>
      <c r="D697" s="62">
        <v>1</v>
      </c>
      <c r="E697" s="63">
        <v>1.5750263817000001E-5</v>
      </c>
    </row>
    <row r="698" spans="2:5" ht="15" customHeight="1">
      <c r="B698" s="97"/>
      <c r="C698" s="61" t="s">
        <v>360</v>
      </c>
      <c r="D698" s="62">
        <v>1</v>
      </c>
      <c r="E698" s="63">
        <v>1.5750263817000001E-5</v>
      </c>
    </row>
    <row r="699" spans="2:5" ht="15" customHeight="1">
      <c r="B699" s="97"/>
      <c r="C699" s="61" t="s">
        <v>327</v>
      </c>
      <c r="D699" s="62">
        <v>1</v>
      </c>
      <c r="E699" s="63">
        <v>1.5750263817000001E-5</v>
      </c>
    </row>
    <row r="700" spans="2:5" ht="15" customHeight="1">
      <c r="B700" s="97"/>
      <c r="C700" s="61" t="s">
        <v>328</v>
      </c>
      <c r="D700" s="62">
        <v>1</v>
      </c>
      <c r="E700" s="63">
        <v>1.5750263817000001E-5</v>
      </c>
    </row>
    <row r="701" spans="2:5" ht="15" customHeight="1">
      <c r="B701" s="97"/>
      <c r="C701" s="61" t="s">
        <v>336</v>
      </c>
      <c r="D701" s="62">
        <v>1</v>
      </c>
      <c r="E701" s="63">
        <v>1.5750263817000001E-5</v>
      </c>
    </row>
    <row r="702" spans="2:5" ht="15" customHeight="1">
      <c r="B702" s="97"/>
      <c r="C702" s="61" t="s">
        <v>337</v>
      </c>
      <c r="D702" s="62">
        <v>2</v>
      </c>
      <c r="E702" s="63">
        <v>3.1500527634000002E-5</v>
      </c>
    </row>
    <row r="703" spans="2:5" ht="15" customHeight="1">
      <c r="B703" s="97"/>
      <c r="C703" s="61" t="s">
        <v>338</v>
      </c>
      <c r="D703" s="62">
        <v>2</v>
      </c>
      <c r="E703" s="63">
        <v>3.1500527634000002E-5</v>
      </c>
    </row>
    <row r="704" spans="2:5" ht="15" customHeight="1">
      <c r="B704" s="97"/>
      <c r="C704" s="61" t="s">
        <v>339</v>
      </c>
      <c r="D704" s="62">
        <v>1</v>
      </c>
      <c r="E704" s="63">
        <v>1.5750263817000001E-5</v>
      </c>
    </row>
    <row r="705" spans="2:5" ht="15" customHeight="1">
      <c r="B705" s="97"/>
      <c r="C705" s="61" t="s">
        <v>340</v>
      </c>
      <c r="D705" s="62">
        <v>1</v>
      </c>
      <c r="E705" s="63">
        <v>1.5750263817000001E-5</v>
      </c>
    </row>
    <row r="706" spans="2:5" ht="15" customHeight="1">
      <c r="B706" s="97"/>
      <c r="C706" s="61" t="s">
        <v>341</v>
      </c>
      <c r="D706" s="62">
        <v>1</v>
      </c>
      <c r="E706" s="63">
        <v>1.5750263817000001E-5</v>
      </c>
    </row>
    <row r="707" spans="2:5" ht="15" customHeight="1">
      <c r="B707" s="97"/>
      <c r="C707" s="61" t="s">
        <v>343</v>
      </c>
      <c r="D707" s="62">
        <v>1</v>
      </c>
      <c r="E707" s="63">
        <v>1.5750263817000001E-5</v>
      </c>
    </row>
    <row r="708" spans="2:5" ht="15" customHeight="1">
      <c r="B708" s="97"/>
      <c r="C708" s="61" t="s">
        <v>344</v>
      </c>
      <c r="D708" s="62">
        <v>19</v>
      </c>
      <c r="E708" s="63">
        <v>2.9925501252099998E-4</v>
      </c>
    </row>
    <row r="709" spans="2:5" ht="15" customHeight="1">
      <c r="B709" s="97"/>
      <c r="C709" s="61" t="s">
        <v>346</v>
      </c>
      <c r="D709" s="62">
        <v>1</v>
      </c>
      <c r="E709" s="63">
        <v>1.5750263817000001E-5</v>
      </c>
    </row>
    <row r="710" spans="2:5" ht="15" customHeight="1">
      <c r="B710" s="97"/>
      <c r="C710" s="61" t="s">
        <v>348</v>
      </c>
      <c r="D710" s="62">
        <v>2</v>
      </c>
      <c r="E710" s="63">
        <v>3.1500527634000002E-5</v>
      </c>
    </row>
    <row r="711" spans="2:5" ht="15" customHeight="1">
      <c r="B711" s="98"/>
      <c r="C711" s="75" t="s">
        <v>304</v>
      </c>
      <c r="D711" s="74">
        <v>56</v>
      </c>
      <c r="E711" s="76">
        <v>8.8201477374700004E-4</v>
      </c>
    </row>
    <row r="712" spans="2:5" ht="15" customHeight="1">
      <c r="B712" s="96" t="s">
        <v>212</v>
      </c>
      <c r="C712" s="61" t="s">
        <v>310</v>
      </c>
      <c r="D712" s="62">
        <v>2</v>
      </c>
      <c r="E712" s="63">
        <v>3.1500527634000002E-5</v>
      </c>
    </row>
    <row r="713" spans="2:5" ht="15" customHeight="1">
      <c r="B713" s="97"/>
      <c r="C713" s="61" t="s">
        <v>311</v>
      </c>
      <c r="D713" s="62">
        <v>3</v>
      </c>
      <c r="E713" s="63">
        <v>4.7250791451000003E-5</v>
      </c>
    </row>
    <row r="714" spans="2:5" ht="15" customHeight="1">
      <c r="B714" s="97"/>
      <c r="C714" s="61" t="s">
        <v>312</v>
      </c>
      <c r="D714" s="62">
        <v>2</v>
      </c>
      <c r="E714" s="63">
        <v>3.1500527634000002E-5</v>
      </c>
    </row>
    <row r="715" spans="2:5" ht="15" customHeight="1">
      <c r="B715" s="97"/>
      <c r="C715" s="61" t="s">
        <v>313</v>
      </c>
      <c r="D715" s="62">
        <v>94</v>
      </c>
      <c r="E715" s="63">
        <v>1.4805247987900001E-3</v>
      </c>
    </row>
    <row r="716" spans="2:5" ht="15" customHeight="1">
      <c r="B716" s="97"/>
      <c r="C716" s="61" t="s">
        <v>314</v>
      </c>
      <c r="D716" s="62">
        <v>4</v>
      </c>
      <c r="E716" s="63">
        <v>6.3001055268000004E-5</v>
      </c>
    </row>
    <row r="717" spans="2:5" ht="15" customHeight="1">
      <c r="B717" s="97"/>
      <c r="C717" s="61" t="s">
        <v>315</v>
      </c>
      <c r="D717" s="62">
        <v>1</v>
      </c>
      <c r="E717" s="63">
        <v>1.5750263817000001E-5</v>
      </c>
    </row>
    <row r="718" spans="2:5" ht="15" customHeight="1">
      <c r="B718" s="97"/>
      <c r="C718" s="61" t="s">
        <v>317</v>
      </c>
      <c r="D718" s="62">
        <v>11</v>
      </c>
      <c r="E718" s="63">
        <v>1.7325290198600001E-4</v>
      </c>
    </row>
    <row r="719" spans="2:5" ht="15" customHeight="1">
      <c r="B719" s="97"/>
      <c r="C719" s="61" t="s">
        <v>318</v>
      </c>
      <c r="D719" s="62">
        <v>7</v>
      </c>
      <c r="E719" s="63">
        <v>1.1025184671800001E-4</v>
      </c>
    </row>
    <row r="720" spans="2:5" ht="15" customHeight="1">
      <c r="B720" s="97"/>
      <c r="C720" s="61" t="s">
        <v>358</v>
      </c>
      <c r="D720" s="62">
        <v>1</v>
      </c>
      <c r="E720" s="63">
        <v>1.5750263817000001E-5</v>
      </c>
    </row>
    <row r="721" spans="2:5" ht="15" customHeight="1">
      <c r="B721" s="97"/>
      <c r="C721" s="61" t="s">
        <v>319</v>
      </c>
      <c r="D721" s="62">
        <v>4</v>
      </c>
      <c r="E721" s="63">
        <v>6.3001055268000004E-5</v>
      </c>
    </row>
    <row r="722" spans="2:5" ht="15" customHeight="1">
      <c r="B722" s="97"/>
      <c r="C722" s="61" t="s">
        <v>320</v>
      </c>
      <c r="D722" s="62">
        <v>44</v>
      </c>
      <c r="E722" s="63">
        <v>6.9301160794400004E-4</v>
      </c>
    </row>
    <row r="723" spans="2:5" ht="15" customHeight="1">
      <c r="B723" s="97"/>
      <c r="C723" s="61" t="s">
        <v>321</v>
      </c>
      <c r="D723" s="62">
        <v>2</v>
      </c>
      <c r="E723" s="63">
        <v>3.1500527634000002E-5</v>
      </c>
    </row>
    <row r="724" spans="2:5" ht="15" customHeight="1">
      <c r="B724" s="97"/>
      <c r="C724" s="61" t="s">
        <v>322</v>
      </c>
      <c r="D724" s="62">
        <v>1</v>
      </c>
      <c r="E724" s="63">
        <v>1.5750263817000001E-5</v>
      </c>
    </row>
    <row r="725" spans="2:5" ht="15" customHeight="1">
      <c r="B725" s="97"/>
      <c r="C725" s="61" t="s">
        <v>323</v>
      </c>
      <c r="D725" s="62">
        <v>3</v>
      </c>
      <c r="E725" s="63">
        <v>4.7250791451000003E-5</v>
      </c>
    </row>
    <row r="726" spans="2:5" ht="15" customHeight="1">
      <c r="B726" s="97"/>
      <c r="C726" s="61" t="s">
        <v>324</v>
      </c>
      <c r="D726" s="62">
        <v>1</v>
      </c>
      <c r="E726" s="63">
        <v>1.5750263817000001E-5</v>
      </c>
    </row>
    <row r="727" spans="2:5" ht="15" customHeight="1">
      <c r="B727" s="97"/>
      <c r="C727" s="61" t="s">
        <v>326</v>
      </c>
      <c r="D727" s="62">
        <v>1</v>
      </c>
      <c r="E727" s="63">
        <v>1.5750263817000001E-5</v>
      </c>
    </row>
    <row r="728" spans="2:5" ht="15" customHeight="1">
      <c r="B728" s="97"/>
      <c r="C728" s="61" t="s">
        <v>327</v>
      </c>
      <c r="D728" s="62">
        <v>5</v>
      </c>
      <c r="E728" s="63">
        <v>7.8751319085000005E-5</v>
      </c>
    </row>
    <row r="729" spans="2:5" ht="15" customHeight="1">
      <c r="B729" s="97"/>
      <c r="C729" s="61" t="s">
        <v>328</v>
      </c>
      <c r="D729" s="62">
        <v>6</v>
      </c>
      <c r="E729" s="63">
        <v>9.4501582902000006E-5</v>
      </c>
    </row>
    <row r="730" spans="2:5" ht="15" customHeight="1">
      <c r="B730" s="97"/>
      <c r="C730" s="61" t="s">
        <v>329</v>
      </c>
      <c r="D730" s="62">
        <v>5</v>
      </c>
      <c r="E730" s="63">
        <v>7.8751319085000005E-5</v>
      </c>
    </row>
    <row r="731" spans="2:5" ht="15" customHeight="1">
      <c r="B731" s="97"/>
      <c r="C731" s="61" t="s">
        <v>330</v>
      </c>
      <c r="D731" s="62">
        <v>3</v>
      </c>
      <c r="E731" s="63">
        <v>4.7250791451000003E-5</v>
      </c>
    </row>
    <row r="732" spans="2:5" ht="15" customHeight="1">
      <c r="B732" s="97"/>
      <c r="C732" s="61" t="s">
        <v>332</v>
      </c>
      <c r="D732" s="62">
        <v>1</v>
      </c>
      <c r="E732" s="63">
        <v>1.5750263817000001E-5</v>
      </c>
    </row>
    <row r="733" spans="2:5" ht="15" customHeight="1">
      <c r="B733" s="97"/>
      <c r="C733" s="61" t="s">
        <v>333</v>
      </c>
      <c r="D733" s="62">
        <v>1</v>
      </c>
      <c r="E733" s="63">
        <v>1.5750263817000001E-5</v>
      </c>
    </row>
    <row r="734" spans="2:5" ht="15" customHeight="1">
      <c r="B734" s="97"/>
      <c r="C734" s="61" t="s">
        <v>334</v>
      </c>
      <c r="D734" s="62">
        <v>2</v>
      </c>
      <c r="E734" s="63">
        <v>3.1500527634000002E-5</v>
      </c>
    </row>
    <row r="735" spans="2:5" ht="15" customHeight="1">
      <c r="B735" s="97"/>
      <c r="C735" s="61" t="s">
        <v>335</v>
      </c>
      <c r="D735" s="62">
        <v>1</v>
      </c>
      <c r="E735" s="63">
        <v>1.5750263817000001E-5</v>
      </c>
    </row>
    <row r="736" spans="2:5" ht="15" customHeight="1">
      <c r="B736" s="97"/>
      <c r="C736" s="61" t="s">
        <v>337</v>
      </c>
      <c r="D736" s="62">
        <v>10</v>
      </c>
      <c r="E736" s="63">
        <v>1.57502638169E-4</v>
      </c>
    </row>
    <row r="737" spans="2:5" ht="15" customHeight="1">
      <c r="B737" s="97"/>
      <c r="C737" s="61" t="s">
        <v>338</v>
      </c>
      <c r="D737" s="62">
        <v>5</v>
      </c>
      <c r="E737" s="63">
        <v>7.8751319085000005E-5</v>
      </c>
    </row>
    <row r="738" spans="2:5" ht="15" customHeight="1">
      <c r="B738" s="97"/>
      <c r="C738" s="61" t="s">
        <v>339</v>
      </c>
      <c r="D738" s="62">
        <v>3</v>
      </c>
      <c r="E738" s="63">
        <v>4.7250791451000003E-5</v>
      </c>
    </row>
    <row r="739" spans="2:5" ht="15" customHeight="1">
      <c r="B739" s="97"/>
      <c r="C739" s="61" t="s">
        <v>340</v>
      </c>
      <c r="D739" s="62">
        <v>2</v>
      </c>
      <c r="E739" s="63">
        <v>3.1500527634000002E-5</v>
      </c>
    </row>
    <row r="740" spans="2:5" ht="15" customHeight="1">
      <c r="B740" s="97"/>
      <c r="C740" s="61" t="s">
        <v>341</v>
      </c>
      <c r="D740" s="62">
        <v>4</v>
      </c>
      <c r="E740" s="63">
        <v>6.3001055268000004E-5</v>
      </c>
    </row>
    <row r="741" spans="2:5" ht="15" customHeight="1">
      <c r="B741" s="97"/>
      <c r="C741" s="61" t="s">
        <v>342</v>
      </c>
      <c r="D741" s="62">
        <v>7</v>
      </c>
      <c r="E741" s="63">
        <v>1.1025184671800001E-4</v>
      </c>
    </row>
    <row r="742" spans="2:5" ht="15" customHeight="1">
      <c r="B742" s="97"/>
      <c r="C742" s="61" t="s">
        <v>343</v>
      </c>
      <c r="D742" s="62">
        <v>4</v>
      </c>
      <c r="E742" s="63">
        <v>6.3001055268000004E-5</v>
      </c>
    </row>
    <row r="743" spans="2:5" ht="15" customHeight="1">
      <c r="B743" s="97"/>
      <c r="C743" s="61" t="s">
        <v>344</v>
      </c>
      <c r="D743" s="62">
        <v>132</v>
      </c>
      <c r="E743" s="63">
        <v>2.0790348238330001E-3</v>
      </c>
    </row>
    <row r="744" spans="2:5" ht="15" customHeight="1">
      <c r="B744" s="97"/>
      <c r="C744" s="61" t="s">
        <v>345</v>
      </c>
      <c r="D744" s="62">
        <v>5</v>
      </c>
      <c r="E744" s="63">
        <v>7.8751319085000005E-5</v>
      </c>
    </row>
    <row r="745" spans="2:5" ht="15" customHeight="1">
      <c r="B745" s="97"/>
      <c r="C745" s="61" t="s">
        <v>346</v>
      </c>
      <c r="D745" s="62">
        <v>2</v>
      </c>
      <c r="E745" s="63">
        <v>3.1500527634000002E-5</v>
      </c>
    </row>
    <row r="746" spans="2:5" ht="15" customHeight="1">
      <c r="B746" s="97"/>
      <c r="C746" s="61" t="s">
        <v>348</v>
      </c>
      <c r="D746" s="62">
        <v>14</v>
      </c>
      <c r="E746" s="63">
        <v>2.20503693437E-4</v>
      </c>
    </row>
    <row r="747" spans="2:5" ht="15" customHeight="1">
      <c r="B747" s="98"/>
      <c r="C747" s="75" t="s">
        <v>304</v>
      </c>
      <c r="D747" s="74">
        <v>393</v>
      </c>
      <c r="E747" s="76">
        <v>6.1898536800490001E-3</v>
      </c>
    </row>
    <row r="748" spans="2:5" ht="15" customHeight="1">
      <c r="B748" s="96" t="s">
        <v>213</v>
      </c>
      <c r="C748" s="61" t="s">
        <v>310</v>
      </c>
      <c r="D748" s="62">
        <v>8</v>
      </c>
      <c r="E748" s="63">
        <v>1.2600211053499999E-4</v>
      </c>
    </row>
    <row r="749" spans="2:5" ht="15" customHeight="1">
      <c r="B749" s="97"/>
      <c r="C749" s="61" t="s">
        <v>311</v>
      </c>
      <c r="D749" s="62">
        <v>10</v>
      </c>
      <c r="E749" s="63">
        <v>1.57502638169E-4</v>
      </c>
    </row>
    <row r="750" spans="2:5" ht="15" customHeight="1">
      <c r="B750" s="97"/>
      <c r="C750" s="61" t="s">
        <v>312</v>
      </c>
      <c r="D750" s="62">
        <v>27</v>
      </c>
      <c r="E750" s="63">
        <v>4.2525712305699999E-4</v>
      </c>
    </row>
    <row r="751" spans="2:5" ht="15" customHeight="1">
      <c r="B751" s="97"/>
      <c r="C751" s="61" t="s">
        <v>313</v>
      </c>
      <c r="D751" s="62">
        <v>219</v>
      </c>
      <c r="E751" s="63">
        <v>3.449307775905E-3</v>
      </c>
    </row>
    <row r="752" spans="2:5" ht="15" customHeight="1">
      <c r="B752" s="97"/>
      <c r="C752" s="61" t="s">
        <v>314</v>
      </c>
      <c r="D752" s="62">
        <v>11</v>
      </c>
      <c r="E752" s="63">
        <v>1.7325290198600001E-4</v>
      </c>
    </row>
    <row r="753" spans="2:5" ht="15" customHeight="1">
      <c r="B753" s="97"/>
      <c r="C753" s="61" t="s">
        <v>315</v>
      </c>
      <c r="D753" s="62">
        <v>2</v>
      </c>
      <c r="E753" s="63">
        <v>3.1500527634000002E-5</v>
      </c>
    </row>
    <row r="754" spans="2:5" ht="15" customHeight="1">
      <c r="B754" s="97"/>
      <c r="C754" s="61" t="s">
        <v>350</v>
      </c>
      <c r="D754" s="62">
        <v>1</v>
      </c>
      <c r="E754" s="63">
        <v>1.5750263817000001E-5</v>
      </c>
    </row>
    <row r="755" spans="2:5" ht="15" customHeight="1">
      <c r="B755" s="97"/>
      <c r="C755" s="61" t="s">
        <v>317</v>
      </c>
      <c r="D755" s="62">
        <v>16</v>
      </c>
      <c r="E755" s="63">
        <v>2.52004221071E-4</v>
      </c>
    </row>
    <row r="756" spans="2:5" ht="15" customHeight="1">
      <c r="B756" s="97"/>
      <c r="C756" s="61" t="s">
        <v>318</v>
      </c>
      <c r="D756" s="62">
        <v>18</v>
      </c>
      <c r="E756" s="63">
        <v>2.8350474870499998E-4</v>
      </c>
    </row>
    <row r="757" spans="2:5" ht="15" customHeight="1">
      <c r="B757" s="97"/>
      <c r="C757" s="61" t="s">
        <v>319</v>
      </c>
      <c r="D757" s="62">
        <v>6</v>
      </c>
      <c r="E757" s="63">
        <v>9.4501582902000006E-5</v>
      </c>
    </row>
    <row r="758" spans="2:5" ht="15" customHeight="1">
      <c r="B758" s="97"/>
      <c r="C758" s="61" t="s">
        <v>320</v>
      </c>
      <c r="D758" s="62">
        <v>169</v>
      </c>
      <c r="E758" s="63">
        <v>2.6617945850589998E-3</v>
      </c>
    </row>
    <row r="759" spans="2:5" ht="15" customHeight="1">
      <c r="B759" s="97"/>
      <c r="C759" s="61" t="s">
        <v>321</v>
      </c>
      <c r="D759" s="62">
        <v>12</v>
      </c>
      <c r="E759" s="63">
        <v>1.89003165803E-4</v>
      </c>
    </row>
    <row r="760" spans="2:5" ht="15" customHeight="1">
      <c r="B760" s="97"/>
      <c r="C760" s="61" t="s">
        <v>322</v>
      </c>
      <c r="D760" s="62">
        <v>1</v>
      </c>
      <c r="E760" s="63">
        <v>1.5750263817000001E-5</v>
      </c>
    </row>
    <row r="761" spans="2:5" ht="15" customHeight="1">
      <c r="B761" s="97"/>
      <c r="C761" s="61" t="s">
        <v>323</v>
      </c>
      <c r="D761" s="62">
        <v>12</v>
      </c>
      <c r="E761" s="63">
        <v>1.89003165803E-4</v>
      </c>
    </row>
    <row r="762" spans="2:5" ht="15" customHeight="1">
      <c r="B762" s="97"/>
      <c r="C762" s="61" t="s">
        <v>324</v>
      </c>
      <c r="D762" s="62">
        <v>4</v>
      </c>
      <c r="E762" s="63">
        <v>6.3001055268000004E-5</v>
      </c>
    </row>
    <row r="763" spans="2:5" ht="15" customHeight="1">
      <c r="B763" s="97"/>
      <c r="C763" s="61" t="s">
        <v>325</v>
      </c>
      <c r="D763" s="62">
        <v>9</v>
      </c>
      <c r="E763" s="63">
        <v>1.4175237435200001E-4</v>
      </c>
    </row>
    <row r="764" spans="2:5" ht="15" customHeight="1">
      <c r="B764" s="97"/>
      <c r="C764" s="61" t="s">
        <v>354</v>
      </c>
      <c r="D764" s="62">
        <v>1</v>
      </c>
      <c r="E764" s="63">
        <v>1.5750263817000001E-5</v>
      </c>
    </row>
    <row r="765" spans="2:5" ht="15" customHeight="1">
      <c r="B765" s="97"/>
      <c r="C765" s="61" t="s">
        <v>327</v>
      </c>
      <c r="D765" s="62">
        <v>17</v>
      </c>
      <c r="E765" s="63">
        <v>2.6775448488800002E-4</v>
      </c>
    </row>
    <row r="766" spans="2:5" ht="15" customHeight="1">
      <c r="B766" s="97"/>
      <c r="C766" s="61" t="s">
        <v>328</v>
      </c>
      <c r="D766" s="62">
        <v>17</v>
      </c>
      <c r="E766" s="63">
        <v>2.6775448488800002E-4</v>
      </c>
    </row>
    <row r="767" spans="2:5" ht="15" customHeight="1">
      <c r="B767" s="97"/>
      <c r="C767" s="61" t="s">
        <v>329</v>
      </c>
      <c r="D767" s="62">
        <v>5</v>
      </c>
      <c r="E767" s="63">
        <v>7.8751319085000005E-5</v>
      </c>
    </row>
    <row r="768" spans="2:5" ht="15" customHeight="1">
      <c r="B768" s="97"/>
      <c r="C768" s="61" t="s">
        <v>330</v>
      </c>
      <c r="D768" s="62">
        <v>9</v>
      </c>
      <c r="E768" s="63">
        <v>1.4175237435200001E-4</v>
      </c>
    </row>
    <row r="769" spans="2:5" ht="15" customHeight="1">
      <c r="B769" s="97"/>
      <c r="C769" s="61" t="s">
        <v>331</v>
      </c>
      <c r="D769" s="62">
        <v>1</v>
      </c>
      <c r="E769" s="63">
        <v>1.5750263817000001E-5</v>
      </c>
    </row>
    <row r="770" spans="2:5" ht="15" customHeight="1">
      <c r="B770" s="97"/>
      <c r="C770" s="61" t="s">
        <v>332</v>
      </c>
      <c r="D770" s="62">
        <v>6</v>
      </c>
      <c r="E770" s="63">
        <v>9.4501582902000006E-5</v>
      </c>
    </row>
    <row r="771" spans="2:5" ht="15" customHeight="1">
      <c r="B771" s="97"/>
      <c r="C771" s="61" t="s">
        <v>333</v>
      </c>
      <c r="D771" s="62">
        <v>15</v>
      </c>
      <c r="E771" s="63">
        <v>2.3625395725399999E-4</v>
      </c>
    </row>
    <row r="772" spans="2:5" ht="15" customHeight="1">
      <c r="B772" s="97"/>
      <c r="C772" s="61" t="s">
        <v>334</v>
      </c>
      <c r="D772" s="62">
        <v>5</v>
      </c>
      <c r="E772" s="63">
        <v>7.8751319085000005E-5</v>
      </c>
    </row>
    <row r="773" spans="2:5" ht="15" customHeight="1">
      <c r="B773" s="97"/>
      <c r="C773" s="61" t="s">
        <v>335</v>
      </c>
      <c r="D773" s="62">
        <v>3</v>
      </c>
      <c r="E773" s="63">
        <v>4.7250791451000003E-5</v>
      </c>
    </row>
    <row r="774" spans="2:5" ht="15" customHeight="1">
      <c r="B774" s="97"/>
      <c r="C774" s="61" t="s">
        <v>336</v>
      </c>
      <c r="D774" s="62">
        <v>7</v>
      </c>
      <c r="E774" s="63">
        <v>1.1025184671800001E-4</v>
      </c>
    </row>
    <row r="775" spans="2:5" ht="15" customHeight="1">
      <c r="B775" s="97"/>
      <c r="C775" s="61" t="s">
        <v>337</v>
      </c>
      <c r="D775" s="62">
        <v>16</v>
      </c>
      <c r="E775" s="63">
        <v>2.52004221071E-4</v>
      </c>
    </row>
    <row r="776" spans="2:5" ht="15" customHeight="1">
      <c r="B776" s="97"/>
      <c r="C776" s="61" t="s">
        <v>338</v>
      </c>
      <c r="D776" s="62">
        <v>16</v>
      </c>
      <c r="E776" s="63">
        <v>2.52004221071E-4</v>
      </c>
    </row>
    <row r="777" spans="2:5" ht="15" customHeight="1">
      <c r="B777" s="97"/>
      <c r="C777" s="61" t="s">
        <v>339</v>
      </c>
      <c r="D777" s="62">
        <v>20</v>
      </c>
      <c r="E777" s="63">
        <v>3.1500527633799999E-4</v>
      </c>
    </row>
    <row r="778" spans="2:5" ht="15" customHeight="1">
      <c r="B778" s="97"/>
      <c r="C778" s="61" t="s">
        <v>340</v>
      </c>
      <c r="D778" s="62">
        <v>4</v>
      </c>
      <c r="E778" s="63">
        <v>6.3001055268000004E-5</v>
      </c>
    </row>
    <row r="779" spans="2:5" ht="15" customHeight="1">
      <c r="B779" s="97"/>
      <c r="C779" s="61" t="s">
        <v>341</v>
      </c>
      <c r="D779" s="62">
        <v>9</v>
      </c>
      <c r="E779" s="63">
        <v>1.4175237435200001E-4</v>
      </c>
    </row>
    <row r="780" spans="2:5" ht="15" customHeight="1">
      <c r="B780" s="97"/>
      <c r="C780" s="61" t="s">
        <v>355</v>
      </c>
      <c r="D780" s="62">
        <v>1</v>
      </c>
      <c r="E780" s="63">
        <v>1.5750263817000001E-5</v>
      </c>
    </row>
    <row r="781" spans="2:5" ht="15" customHeight="1">
      <c r="B781" s="97"/>
      <c r="C781" s="61" t="s">
        <v>342</v>
      </c>
      <c r="D781" s="62">
        <v>8</v>
      </c>
      <c r="E781" s="63">
        <v>1.2600211053499999E-4</v>
      </c>
    </row>
    <row r="782" spans="2:5" ht="15" customHeight="1">
      <c r="B782" s="97"/>
      <c r="C782" s="61" t="s">
        <v>352</v>
      </c>
      <c r="D782" s="62">
        <v>1</v>
      </c>
      <c r="E782" s="63">
        <v>1.5750263817000001E-5</v>
      </c>
    </row>
    <row r="783" spans="2:5" ht="15" customHeight="1">
      <c r="B783" s="97"/>
      <c r="C783" s="61" t="s">
        <v>343</v>
      </c>
      <c r="D783" s="62">
        <v>10</v>
      </c>
      <c r="E783" s="63">
        <v>1.57502638169E-4</v>
      </c>
    </row>
    <row r="784" spans="2:5" ht="15" customHeight="1">
      <c r="B784" s="97"/>
      <c r="C784" s="61" t="s">
        <v>344</v>
      </c>
      <c r="D784" s="62">
        <v>379</v>
      </c>
      <c r="E784" s="63">
        <v>5.9693499866120001E-3</v>
      </c>
    </row>
    <row r="785" spans="2:5" ht="15" customHeight="1">
      <c r="B785" s="97"/>
      <c r="C785" s="61" t="s">
        <v>345</v>
      </c>
      <c r="D785" s="62">
        <v>14</v>
      </c>
      <c r="E785" s="63">
        <v>2.20503693437E-4</v>
      </c>
    </row>
    <row r="786" spans="2:5" ht="15" customHeight="1">
      <c r="B786" s="97"/>
      <c r="C786" s="61" t="s">
        <v>346</v>
      </c>
      <c r="D786" s="62">
        <v>4</v>
      </c>
      <c r="E786" s="63">
        <v>6.3001055268000004E-5</v>
      </c>
    </row>
    <row r="787" spans="2:5" ht="15" customHeight="1">
      <c r="B787" s="97"/>
      <c r="C787" s="61" t="s">
        <v>347</v>
      </c>
      <c r="D787" s="62">
        <v>7</v>
      </c>
      <c r="E787" s="63">
        <v>1.1025184671800001E-4</v>
      </c>
    </row>
    <row r="788" spans="2:5" ht="15" customHeight="1">
      <c r="B788" s="97"/>
      <c r="C788" s="61" t="s">
        <v>348</v>
      </c>
      <c r="D788" s="62">
        <v>21</v>
      </c>
      <c r="E788" s="63">
        <v>3.3075554015500001E-4</v>
      </c>
    </row>
    <row r="789" spans="2:5" ht="15" customHeight="1">
      <c r="B789" s="98"/>
      <c r="C789" s="75" t="s">
        <v>304</v>
      </c>
      <c r="D789" s="74">
        <v>1121</v>
      </c>
      <c r="E789" s="76">
        <v>1.7656045738765998E-2</v>
      </c>
    </row>
    <row r="790" spans="2:5" ht="15" customHeight="1">
      <c r="B790" s="96" t="s">
        <v>214</v>
      </c>
      <c r="C790" s="61" t="s">
        <v>311</v>
      </c>
      <c r="D790" s="62">
        <v>3</v>
      </c>
      <c r="E790" s="63">
        <v>4.7250791451000003E-5</v>
      </c>
    </row>
    <row r="791" spans="2:5" ht="15" customHeight="1">
      <c r="B791" s="97"/>
      <c r="C791" s="61" t="s">
        <v>312</v>
      </c>
      <c r="D791" s="62">
        <v>8</v>
      </c>
      <c r="E791" s="63">
        <v>1.2600211053499999E-4</v>
      </c>
    </row>
    <row r="792" spans="2:5" ht="15" customHeight="1">
      <c r="B792" s="97"/>
      <c r="C792" s="61" t="s">
        <v>313</v>
      </c>
      <c r="D792" s="62">
        <v>8</v>
      </c>
      <c r="E792" s="63">
        <v>1.2600211053499999E-4</v>
      </c>
    </row>
    <row r="793" spans="2:5" ht="15" customHeight="1">
      <c r="B793" s="97"/>
      <c r="C793" s="61" t="s">
        <v>318</v>
      </c>
      <c r="D793" s="62">
        <v>3</v>
      </c>
      <c r="E793" s="63">
        <v>4.7250791451000003E-5</v>
      </c>
    </row>
    <row r="794" spans="2:5" ht="15" customHeight="1">
      <c r="B794" s="97"/>
      <c r="C794" s="61" t="s">
        <v>319</v>
      </c>
      <c r="D794" s="62">
        <v>1</v>
      </c>
      <c r="E794" s="63">
        <v>1.5750263817000001E-5</v>
      </c>
    </row>
    <row r="795" spans="2:5" ht="15" customHeight="1">
      <c r="B795" s="97"/>
      <c r="C795" s="61" t="s">
        <v>320</v>
      </c>
      <c r="D795" s="62">
        <v>11</v>
      </c>
      <c r="E795" s="63">
        <v>1.7325290198600001E-4</v>
      </c>
    </row>
    <row r="796" spans="2:5" ht="15" customHeight="1">
      <c r="B796" s="97"/>
      <c r="C796" s="61" t="s">
        <v>321</v>
      </c>
      <c r="D796" s="62">
        <v>1</v>
      </c>
      <c r="E796" s="63">
        <v>1.5750263817000001E-5</v>
      </c>
    </row>
    <row r="797" spans="2:5" ht="15" customHeight="1">
      <c r="B797" s="97"/>
      <c r="C797" s="61" t="s">
        <v>330</v>
      </c>
      <c r="D797" s="62">
        <v>2</v>
      </c>
      <c r="E797" s="63">
        <v>3.1500527634000002E-5</v>
      </c>
    </row>
    <row r="798" spans="2:5" ht="15" customHeight="1">
      <c r="B798" s="97"/>
      <c r="C798" s="61" t="s">
        <v>332</v>
      </c>
      <c r="D798" s="62">
        <v>1</v>
      </c>
      <c r="E798" s="63">
        <v>1.5750263817000001E-5</v>
      </c>
    </row>
    <row r="799" spans="2:5" ht="15" customHeight="1">
      <c r="B799" s="97"/>
      <c r="C799" s="61" t="s">
        <v>338</v>
      </c>
      <c r="D799" s="62">
        <v>2</v>
      </c>
      <c r="E799" s="63">
        <v>3.1500527634000002E-5</v>
      </c>
    </row>
    <row r="800" spans="2:5" ht="15" customHeight="1">
      <c r="B800" s="97"/>
      <c r="C800" s="61" t="s">
        <v>339</v>
      </c>
      <c r="D800" s="62">
        <v>3</v>
      </c>
      <c r="E800" s="63">
        <v>4.7250791451000003E-5</v>
      </c>
    </row>
    <row r="801" spans="2:5" ht="15" customHeight="1">
      <c r="B801" s="97"/>
      <c r="C801" s="61" t="s">
        <v>343</v>
      </c>
      <c r="D801" s="62">
        <v>5</v>
      </c>
      <c r="E801" s="63">
        <v>7.8751319085000005E-5</v>
      </c>
    </row>
    <row r="802" spans="2:5" ht="15" customHeight="1">
      <c r="B802" s="97"/>
      <c r="C802" s="61" t="s">
        <v>344</v>
      </c>
      <c r="D802" s="62">
        <v>29</v>
      </c>
      <c r="E802" s="63">
        <v>4.5675765069100001E-4</v>
      </c>
    </row>
    <row r="803" spans="2:5" ht="15" customHeight="1">
      <c r="B803" s="97"/>
      <c r="C803" s="61" t="s">
        <v>346</v>
      </c>
      <c r="D803" s="62">
        <v>2</v>
      </c>
      <c r="E803" s="63">
        <v>3.1500527634000002E-5</v>
      </c>
    </row>
    <row r="804" spans="2:5" ht="15" customHeight="1">
      <c r="B804" s="98"/>
      <c r="C804" s="75" t="s">
        <v>304</v>
      </c>
      <c r="D804" s="74">
        <v>79</v>
      </c>
      <c r="E804" s="76">
        <v>1.244270841537E-3</v>
      </c>
    </row>
    <row r="805" spans="2:5" ht="15" customHeight="1">
      <c r="B805" s="96" t="s">
        <v>215</v>
      </c>
      <c r="C805" s="61" t="s">
        <v>311</v>
      </c>
      <c r="D805" s="62">
        <v>3</v>
      </c>
      <c r="E805" s="63">
        <v>4.7250791451000003E-5</v>
      </c>
    </row>
    <row r="806" spans="2:5" ht="15" customHeight="1">
      <c r="B806" s="97"/>
      <c r="C806" s="61" t="s">
        <v>313</v>
      </c>
      <c r="D806" s="62">
        <v>8</v>
      </c>
      <c r="E806" s="63">
        <v>1.2600211053499999E-4</v>
      </c>
    </row>
    <row r="807" spans="2:5" ht="15" customHeight="1">
      <c r="B807" s="97"/>
      <c r="C807" s="61" t="s">
        <v>318</v>
      </c>
      <c r="D807" s="62">
        <v>1</v>
      </c>
      <c r="E807" s="63">
        <v>1.5750263817000001E-5</v>
      </c>
    </row>
    <row r="808" spans="2:5" ht="15" customHeight="1">
      <c r="B808" s="97"/>
      <c r="C808" s="61" t="s">
        <v>320</v>
      </c>
      <c r="D808" s="62">
        <v>4</v>
      </c>
      <c r="E808" s="63">
        <v>6.3001055268000004E-5</v>
      </c>
    </row>
    <row r="809" spans="2:5" ht="15" customHeight="1">
      <c r="B809" s="97"/>
      <c r="C809" s="61" t="s">
        <v>321</v>
      </c>
      <c r="D809" s="62">
        <v>1</v>
      </c>
      <c r="E809" s="63">
        <v>1.5750263817000001E-5</v>
      </c>
    </row>
    <row r="810" spans="2:5" ht="15" customHeight="1">
      <c r="B810" s="97"/>
      <c r="C810" s="61" t="s">
        <v>323</v>
      </c>
      <c r="D810" s="62">
        <v>1</v>
      </c>
      <c r="E810" s="63">
        <v>1.5750263817000001E-5</v>
      </c>
    </row>
    <row r="811" spans="2:5" ht="15" customHeight="1">
      <c r="B811" s="97"/>
      <c r="C811" s="61" t="s">
        <v>333</v>
      </c>
      <c r="D811" s="62">
        <v>2</v>
      </c>
      <c r="E811" s="63">
        <v>3.1500527634000002E-5</v>
      </c>
    </row>
    <row r="812" spans="2:5" ht="15" customHeight="1">
      <c r="B812" s="97"/>
      <c r="C812" s="61" t="s">
        <v>336</v>
      </c>
      <c r="D812" s="62">
        <v>1</v>
      </c>
      <c r="E812" s="63">
        <v>1.5750263817000001E-5</v>
      </c>
    </row>
    <row r="813" spans="2:5" ht="15" customHeight="1">
      <c r="B813" s="97"/>
      <c r="C813" s="61" t="s">
        <v>340</v>
      </c>
      <c r="D813" s="62">
        <v>1</v>
      </c>
      <c r="E813" s="63">
        <v>1.5750263817000001E-5</v>
      </c>
    </row>
    <row r="814" spans="2:5" ht="15" customHeight="1">
      <c r="B814" s="97"/>
      <c r="C814" s="61" t="s">
        <v>343</v>
      </c>
      <c r="D814" s="62">
        <v>2</v>
      </c>
      <c r="E814" s="63">
        <v>3.1500527634000002E-5</v>
      </c>
    </row>
    <row r="815" spans="2:5" ht="15" customHeight="1">
      <c r="B815" s="97"/>
      <c r="C815" s="61" t="s">
        <v>344</v>
      </c>
      <c r="D815" s="62">
        <v>12</v>
      </c>
      <c r="E815" s="63">
        <v>1.89003165803E-4</v>
      </c>
    </row>
    <row r="816" spans="2:5" ht="15" customHeight="1">
      <c r="B816" s="97"/>
      <c r="C816" s="61" t="s">
        <v>346</v>
      </c>
      <c r="D816" s="62">
        <v>1</v>
      </c>
      <c r="E816" s="63">
        <v>1.5750263817000001E-5</v>
      </c>
    </row>
    <row r="817" spans="2:5" ht="15" customHeight="1">
      <c r="B817" s="97"/>
      <c r="C817" s="61" t="s">
        <v>348</v>
      </c>
      <c r="D817" s="62">
        <v>1</v>
      </c>
      <c r="E817" s="63">
        <v>1.5750263817000001E-5</v>
      </c>
    </row>
    <row r="818" spans="2:5" ht="15" customHeight="1">
      <c r="B818" s="98"/>
      <c r="C818" s="75" t="s">
        <v>304</v>
      </c>
      <c r="D818" s="74">
        <v>38</v>
      </c>
      <c r="E818" s="76">
        <v>5.9851002504300002E-4</v>
      </c>
    </row>
    <row r="819" spans="2:5" ht="15" customHeight="1">
      <c r="B819" s="96" t="s">
        <v>216</v>
      </c>
      <c r="C819" s="61" t="s">
        <v>311</v>
      </c>
      <c r="D819" s="62">
        <v>1</v>
      </c>
      <c r="E819" s="63">
        <v>1.5750263817000001E-5</v>
      </c>
    </row>
    <row r="820" spans="2:5" ht="15" customHeight="1">
      <c r="B820" s="97"/>
      <c r="C820" s="61" t="s">
        <v>312</v>
      </c>
      <c r="D820" s="62">
        <v>1</v>
      </c>
      <c r="E820" s="63">
        <v>1.5750263817000001E-5</v>
      </c>
    </row>
    <row r="821" spans="2:5" ht="15" customHeight="1">
      <c r="B821" s="97"/>
      <c r="C821" s="61" t="s">
        <v>313</v>
      </c>
      <c r="D821" s="62">
        <v>1</v>
      </c>
      <c r="E821" s="63">
        <v>1.5750263817000001E-5</v>
      </c>
    </row>
    <row r="822" spans="2:5" ht="15" customHeight="1">
      <c r="B822" s="97"/>
      <c r="C822" s="61" t="s">
        <v>336</v>
      </c>
      <c r="D822" s="62">
        <v>1</v>
      </c>
      <c r="E822" s="63">
        <v>1.5750263817000001E-5</v>
      </c>
    </row>
    <row r="823" spans="2:5" ht="15" customHeight="1">
      <c r="B823" s="97"/>
      <c r="C823" s="61" t="s">
        <v>344</v>
      </c>
      <c r="D823" s="62">
        <v>7</v>
      </c>
      <c r="E823" s="63">
        <v>1.1025184671800001E-4</v>
      </c>
    </row>
    <row r="824" spans="2:5" ht="15" customHeight="1">
      <c r="B824" s="97"/>
      <c r="C824" s="61" t="s">
        <v>347</v>
      </c>
      <c r="D824" s="62">
        <v>1</v>
      </c>
      <c r="E824" s="63">
        <v>1.5750263817000001E-5</v>
      </c>
    </row>
    <row r="825" spans="2:5" ht="15" customHeight="1">
      <c r="B825" s="97"/>
      <c r="C825" s="61" t="s">
        <v>348</v>
      </c>
      <c r="D825" s="62">
        <v>1</v>
      </c>
      <c r="E825" s="63">
        <v>1.5750263817000001E-5</v>
      </c>
    </row>
    <row r="826" spans="2:5" ht="15" customHeight="1">
      <c r="B826" s="98"/>
      <c r="C826" s="75" t="s">
        <v>304</v>
      </c>
      <c r="D826" s="74">
        <v>13</v>
      </c>
      <c r="E826" s="76">
        <v>2.0475342962000001E-4</v>
      </c>
    </row>
    <row r="827" spans="2:5" ht="15" customHeight="1">
      <c r="B827" s="94" t="s">
        <v>304</v>
      </c>
      <c r="C827" s="95"/>
      <c r="D827" s="65">
        <v>63491</v>
      </c>
      <c r="E827" s="66">
        <v>1</v>
      </c>
    </row>
    <row r="829" spans="2:5" ht="15" customHeight="1">
      <c r="B829" s="35" t="s">
        <v>284</v>
      </c>
    </row>
    <row r="830" spans="2:5" ht="15" customHeight="1">
      <c r="B830" s="36" t="s">
        <v>17</v>
      </c>
    </row>
    <row r="831" spans="2:5" ht="15" customHeight="1">
      <c r="B831" s="37" t="s">
        <v>96</v>
      </c>
    </row>
    <row r="832" spans="2:5" ht="15" customHeight="1">
      <c r="B832" s="35" t="s">
        <v>16</v>
      </c>
    </row>
    <row r="833" spans="2:2" ht="15" customHeight="1">
      <c r="B833" s="35" t="s">
        <v>303</v>
      </c>
    </row>
  </sheetData>
  <mergeCells count="27">
    <mergeCell ref="B790:B804"/>
    <mergeCell ref="B805:B818"/>
    <mergeCell ref="B819:B826"/>
    <mergeCell ref="B827:C827"/>
    <mergeCell ref="B166:B203"/>
    <mergeCell ref="B204:B243"/>
    <mergeCell ref="B244:B285"/>
    <mergeCell ref="B286:B331"/>
    <mergeCell ref="B332:B367"/>
    <mergeCell ref="B10:B50"/>
    <mergeCell ref="B51:B55"/>
    <mergeCell ref="B56:B89"/>
    <mergeCell ref="B90:B124"/>
    <mergeCell ref="B125:B165"/>
    <mergeCell ref="B368:B407"/>
    <mergeCell ref="B408:B449"/>
    <mergeCell ref="B450:B497"/>
    <mergeCell ref="B669:B689"/>
    <mergeCell ref="B690:B711"/>
    <mergeCell ref="B712:B747"/>
    <mergeCell ref="B748:B789"/>
    <mergeCell ref="B498:B526"/>
    <mergeCell ref="B527:B570"/>
    <mergeCell ref="B571:B617"/>
    <mergeCell ref="B618:B642"/>
    <mergeCell ref="B643:B668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1031"/>
  <sheetViews>
    <sheetView showGridLines="0" view="pageBreakPreview" topLeftCell="A1003" zoomScaleNormal="100" zoomScaleSheetLayoutView="100" workbookViewId="0">
      <selection activeCell="E1024" sqref="E1024"/>
    </sheetView>
  </sheetViews>
  <sheetFormatPr baseColWidth="10" defaultColWidth="35" defaultRowHeight="15" customHeight="1"/>
  <cols>
    <col min="1" max="1" width="1" style="19" customWidth="1"/>
    <col min="2" max="2" width="22.85546875" style="20" customWidth="1"/>
    <col min="3" max="3" width="41.5703125" style="20" customWidth="1"/>
    <col min="4" max="4" width="14.28515625" style="20" customWidth="1"/>
    <col min="5" max="5" width="16.85546875" style="20" customWidth="1"/>
    <col min="6" max="16384" width="35" style="19"/>
  </cols>
  <sheetData>
    <row r="1" spans="1:5" s="22" customFormat="1" ht="12" customHeight="1">
      <c r="B1" s="24"/>
      <c r="C1" s="21"/>
      <c r="D1" s="21"/>
      <c r="E1" s="21"/>
    </row>
    <row r="2" spans="1:5" s="22" customFormat="1" ht="15" customHeight="1">
      <c r="C2" s="26"/>
    </row>
    <row r="3" spans="1:5" s="22" customFormat="1" ht="15" customHeight="1">
      <c r="C3" s="26"/>
    </row>
    <row r="4" spans="1:5" s="22" customFormat="1" ht="30" customHeight="1">
      <c r="C4" s="26"/>
      <c r="D4" s="25"/>
    </row>
    <row r="5" spans="1:5" s="22" customFormat="1" ht="15" customHeight="1">
      <c r="C5" s="26"/>
      <c r="D5" s="25"/>
    </row>
    <row r="6" spans="1:5" s="22" customFormat="1" ht="24" customHeight="1">
      <c r="B6" s="47"/>
      <c r="C6" s="38"/>
      <c r="D6" s="38"/>
      <c r="E6" s="38"/>
    </row>
    <row r="7" spans="1:5" s="22" customFormat="1" ht="26.25" customHeight="1">
      <c r="A7" s="23"/>
      <c r="B7" s="93"/>
      <c r="C7" s="93"/>
      <c r="D7" s="93"/>
      <c r="E7" s="93"/>
    </row>
    <row r="8" spans="1:5" s="22" customFormat="1" ht="33" customHeight="1">
      <c r="A8" s="23"/>
      <c r="B8" s="93"/>
      <c r="C8" s="93"/>
      <c r="D8" s="93"/>
      <c r="E8" s="93"/>
    </row>
    <row r="9" spans="1:5" s="16" customFormat="1" ht="40.5" customHeight="1">
      <c r="B9" s="48" t="s">
        <v>21</v>
      </c>
      <c r="C9" s="49" t="s">
        <v>26</v>
      </c>
      <c r="D9" s="50" t="s">
        <v>19</v>
      </c>
      <c r="E9" s="48" t="s">
        <v>18</v>
      </c>
    </row>
    <row r="10" spans="1:5" ht="15" customHeight="1">
      <c r="B10" s="96" t="s">
        <v>82</v>
      </c>
      <c r="C10" s="61" t="s">
        <v>193</v>
      </c>
      <c r="D10" s="62">
        <v>4</v>
      </c>
      <c r="E10" s="63">
        <v>6.3001055268000004E-5</v>
      </c>
    </row>
    <row r="11" spans="1:5" ht="15" customHeight="1">
      <c r="B11" s="97"/>
      <c r="C11" s="61" t="s">
        <v>292</v>
      </c>
      <c r="D11" s="62">
        <v>1</v>
      </c>
      <c r="E11" s="63">
        <v>1.5750263817000001E-5</v>
      </c>
    </row>
    <row r="12" spans="1:5" ht="15" customHeight="1">
      <c r="B12" s="97"/>
      <c r="C12" s="61" t="s">
        <v>194</v>
      </c>
      <c r="D12" s="62">
        <v>6</v>
      </c>
      <c r="E12" s="63">
        <v>9.4501582902000006E-5</v>
      </c>
    </row>
    <row r="13" spans="1:5" ht="15" customHeight="1">
      <c r="B13" s="97"/>
      <c r="C13" s="61" t="s">
        <v>195</v>
      </c>
      <c r="D13" s="62">
        <v>2</v>
      </c>
      <c r="E13" s="63">
        <v>3.1500527634000002E-5</v>
      </c>
    </row>
    <row r="14" spans="1:5" ht="15" customHeight="1">
      <c r="B14" s="97"/>
      <c r="C14" s="61" t="s">
        <v>196</v>
      </c>
      <c r="D14" s="62">
        <v>5</v>
      </c>
      <c r="E14" s="63">
        <v>7.8751319085000005E-5</v>
      </c>
    </row>
    <row r="15" spans="1:5" ht="15" customHeight="1">
      <c r="B15" s="97"/>
      <c r="C15" s="61" t="s">
        <v>197</v>
      </c>
      <c r="D15" s="62">
        <v>4</v>
      </c>
      <c r="E15" s="63">
        <v>6.3001055268000004E-5</v>
      </c>
    </row>
    <row r="16" spans="1:5" ht="15" customHeight="1">
      <c r="B16" s="97"/>
      <c r="C16" s="61" t="s">
        <v>198</v>
      </c>
      <c r="D16" s="62">
        <v>5</v>
      </c>
      <c r="E16" s="63">
        <v>7.8751319085000005E-5</v>
      </c>
    </row>
    <row r="17" spans="2:5" ht="15" customHeight="1">
      <c r="B17" s="97"/>
      <c r="C17" s="61" t="s">
        <v>199</v>
      </c>
      <c r="D17" s="62">
        <v>12</v>
      </c>
      <c r="E17" s="63">
        <v>1.89003165803E-4</v>
      </c>
    </row>
    <row r="18" spans="2:5" ht="15" customHeight="1">
      <c r="B18" s="97"/>
      <c r="C18" s="61" t="s">
        <v>200</v>
      </c>
      <c r="D18" s="62">
        <v>32</v>
      </c>
      <c r="E18" s="63">
        <v>5.0400844214100004E-4</v>
      </c>
    </row>
    <row r="19" spans="2:5" ht="15" customHeight="1">
      <c r="B19" s="97"/>
      <c r="C19" s="61" t="s">
        <v>201</v>
      </c>
      <c r="D19" s="62">
        <v>5</v>
      </c>
      <c r="E19" s="63">
        <v>7.8751319085000005E-5</v>
      </c>
    </row>
    <row r="20" spans="2:5" ht="15" customHeight="1">
      <c r="B20" s="97"/>
      <c r="C20" s="61" t="s">
        <v>202</v>
      </c>
      <c r="D20" s="62">
        <v>6</v>
      </c>
      <c r="E20" s="63">
        <v>9.4501582902000006E-5</v>
      </c>
    </row>
    <row r="21" spans="2:5" ht="15" customHeight="1">
      <c r="B21" s="97"/>
      <c r="C21" s="61" t="s">
        <v>203</v>
      </c>
      <c r="D21" s="62">
        <v>1</v>
      </c>
      <c r="E21" s="63">
        <v>1.5750263817000001E-5</v>
      </c>
    </row>
    <row r="22" spans="2:5" ht="15" customHeight="1">
      <c r="B22" s="97"/>
      <c r="C22" s="61" t="s">
        <v>204</v>
      </c>
      <c r="D22" s="62">
        <v>60</v>
      </c>
      <c r="E22" s="63">
        <v>9.4501582901499999E-4</v>
      </c>
    </row>
    <row r="23" spans="2:5" ht="15" customHeight="1">
      <c r="B23" s="97"/>
      <c r="C23" s="61" t="s">
        <v>206</v>
      </c>
      <c r="D23" s="62">
        <v>15</v>
      </c>
      <c r="E23" s="63">
        <v>2.3625395725399999E-4</v>
      </c>
    </row>
    <row r="24" spans="2:5" ht="15" customHeight="1">
      <c r="B24" s="97"/>
      <c r="C24" s="61" t="s">
        <v>207</v>
      </c>
      <c r="D24" s="62">
        <v>36</v>
      </c>
      <c r="E24" s="63">
        <v>5.6700949740899999E-4</v>
      </c>
    </row>
    <row r="25" spans="2:5" ht="15" customHeight="1">
      <c r="B25" s="97"/>
      <c r="C25" s="61" t="s">
        <v>209</v>
      </c>
      <c r="D25" s="62">
        <v>1</v>
      </c>
      <c r="E25" s="63">
        <v>1.5750263817000001E-5</v>
      </c>
    </row>
    <row r="26" spans="2:5" ht="15" customHeight="1">
      <c r="B26" s="97"/>
      <c r="C26" s="61" t="s">
        <v>212</v>
      </c>
      <c r="D26" s="62">
        <v>3</v>
      </c>
      <c r="E26" s="63">
        <v>4.7250791451000003E-5</v>
      </c>
    </row>
    <row r="27" spans="2:5" ht="15" customHeight="1">
      <c r="B27" s="97"/>
      <c r="C27" s="61" t="s">
        <v>213</v>
      </c>
      <c r="D27" s="62">
        <v>5</v>
      </c>
      <c r="E27" s="63">
        <v>7.8751319085000005E-5</v>
      </c>
    </row>
    <row r="28" spans="2:5" ht="15" customHeight="1">
      <c r="B28" s="98"/>
      <c r="C28" s="75" t="s">
        <v>302</v>
      </c>
      <c r="D28" s="74">
        <v>203</v>
      </c>
      <c r="E28" s="76">
        <v>3.1973035548349999E-3</v>
      </c>
    </row>
    <row r="29" spans="2:5" ht="15" customHeight="1">
      <c r="B29" s="96" t="s">
        <v>53</v>
      </c>
      <c r="C29" s="61" t="s">
        <v>193</v>
      </c>
      <c r="D29" s="62">
        <v>47</v>
      </c>
      <c r="E29" s="63">
        <v>7.4026239939500003E-4</v>
      </c>
    </row>
    <row r="30" spans="2:5" ht="15" customHeight="1">
      <c r="B30" s="97"/>
      <c r="C30" s="61" t="s">
        <v>194</v>
      </c>
      <c r="D30" s="62">
        <v>9</v>
      </c>
      <c r="E30" s="63">
        <v>1.4175237435200001E-4</v>
      </c>
    </row>
    <row r="31" spans="2:5" ht="15" customHeight="1">
      <c r="B31" s="97"/>
      <c r="C31" s="61" t="s">
        <v>195</v>
      </c>
      <c r="D31" s="62">
        <v>28</v>
      </c>
      <c r="E31" s="63">
        <v>4.41007386874E-4</v>
      </c>
    </row>
    <row r="32" spans="2:5" ht="15" customHeight="1">
      <c r="B32" s="97"/>
      <c r="C32" s="61" t="s">
        <v>196</v>
      </c>
      <c r="D32" s="62">
        <v>53</v>
      </c>
      <c r="E32" s="63">
        <v>8.3476398229700001E-4</v>
      </c>
    </row>
    <row r="33" spans="2:5" ht="15" customHeight="1">
      <c r="B33" s="97"/>
      <c r="C33" s="61" t="s">
        <v>197</v>
      </c>
      <c r="D33" s="62">
        <v>39</v>
      </c>
      <c r="E33" s="63">
        <v>6.1426028885999998E-4</v>
      </c>
    </row>
    <row r="34" spans="2:5" ht="15" customHeight="1">
      <c r="B34" s="97"/>
      <c r="C34" s="61" t="s">
        <v>198</v>
      </c>
      <c r="D34" s="62">
        <v>47</v>
      </c>
      <c r="E34" s="63">
        <v>7.4026239939500003E-4</v>
      </c>
    </row>
    <row r="35" spans="2:5" ht="15" customHeight="1">
      <c r="B35" s="97"/>
      <c r="C35" s="61" t="s">
        <v>199</v>
      </c>
      <c r="D35" s="62">
        <v>141</v>
      </c>
      <c r="E35" s="63">
        <v>2.2207871981859998E-3</v>
      </c>
    </row>
    <row r="36" spans="2:5" ht="15" customHeight="1">
      <c r="B36" s="97"/>
      <c r="C36" s="61" t="s">
        <v>200</v>
      </c>
      <c r="D36" s="62">
        <v>452</v>
      </c>
      <c r="E36" s="63">
        <v>7.1191192452469999E-3</v>
      </c>
    </row>
    <row r="37" spans="2:5" ht="15" customHeight="1">
      <c r="B37" s="97"/>
      <c r="C37" s="61" t="s">
        <v>201</v>
      </c>
      <c r="D37" s="62">
        <v>44</v>
      </c>
      <c r="E37" s="63">
        <v>6.9301160794400004E-4</v>
      </c>
    </row>
    <row r="38" spans="2:5" ht="15" customHeight="1">
      <c r="B38" s="97"/>
      <c r="C38" s="61" t="s">
        <v>202</v>
      </c>
      <c r="D38" s="62">
        <v>66</v>
      </c>
      <c r="E38" s="63">
        <v>1.0395174119170001E-3</v>
      </c>
    </row>
    <row r="39" spans="2:5" ht="15" customHeight="1">
      <c r="B39" s="97"/>
      <c r="C39" s="61" t="s">
        <v>203</v>
      </c>
      <c r="D39" s="62">
        <v>83</v>
      </c>
      <c r="E39" s="63">
        <v>1.307271896804E-3</v>
      </c>
    </row>
    <row r="40" spans="2:5" ht="15" customHeight="1">
      <c r="B40" s="97"/>
      <c r="C40" s="61" t="s">
        <v>204</v>
      </c>
      <c r="D40" s="62">
        <v>1009</v>
      </c>
      <c r="E40" s="63">
        <v>1.5892016191271001E-2</v>
      </c>
    </row>
    <row r="41" spans="2:5" ht="15" customHeight="1">
      <c r="B41" s="97"/>
      <c r="C41" s="61" t="s">
        <v>205</v>
      </c>
      <c r="D41" s="62">
        <v>16</v>
      </c>
      <c r="E41" s="63">
        <v>2.52004221071E-4</v>
      </c>
    </row>
    <row r="42" spans="2:5" ht="15" customHeight="1">
      <c r="B42" s="97"/>
      <c r="C42" s="61" t="s">
        <v>206</v>
      </c>
      <c r="D42" s="62">
        <v>93</v>
      </c>
      <c r="E42" s="63">
        <v>1.464774534973E-3</v>
      </c>
    </row>
    <row r="43" spans="2:5" ht="15" customHeight="1">
      <c r="B43" s="97"/>
      <c r="C43" s="61" t="s">
        <v>207</v>
      </c>
      <c r="D43" s="62">
        <v>320</v>
      </c>
      <c r="E43" s="63">
        <v>5.0400844214140003E-3</v>
      </c>
    </row>
    <row r="44" spans="2:5" ht="15" customHeight="1">
      <c r="B44" s="97"/>
      <c r="C44" s="61" t="s">
        <v>208</v>
      </c>
      <c r="D44" s="62">
        <v>2</v>
      </c>
      <c r="E44" s="63">
        <v>3.1500527634000002E-5</v>
      </c>
    </row>
    <row r="45" spans="2:5" ht="15" customHeight="1">
      <c r="B45" s="97"/>
      <c r="C45" s="61" t="s">
        <v>209</v>
      </c>
      <c r="D45" s="62">
        <v>3</v>
      </c>
      <c r="E45" s="63">
        <v>4.7250791451000003E-5</v>
      </c>
    </row>
    <row r="46" spans="2:5" ht="15" customHeight="1">
      <c r="B46" s="97"/>
      <c r="C46" s="61" t="s">
        <v>210</v>
      </c>
      <c r="D46" s="62">
        <v>2</v>
      </c>
      <c r="E46" s="63">
        <v>3.1500527634000002E-5</v>
      </c>
    </row>
    <row r="47" spans="2:5" ht="15" customHeight="1">
      <c r="B47" s="97"/>
      <c r="C47" s="61" t="s">
        <v>211</v>
      </c>
      <c r="D47" s="62">
        <v>3</v>
      </c>
      <c r="E47" s="63">
        <v>4.7250791451000003E-5</v>
      </c>
    </row>
    <row r="48" spans="2:5" ht="15" customHeight="1">
      <c r="B48" s="97"/>
      <c r="C48" s="61" t="s">
        <v>212</v>
      </c>
      <c r="D48" s="62">
        <v>8</v>
      </c>
      <c r="E48" s="63">
        <v>1.2600211053499999E-4</v>
      </c>
    </row>
    <row r="49" spans="2:5" ht="15" customHeight="1">
      <c r="B49" s="97"/>
      <c r="C49" s="61" t="s">
        <v>213</v>
      </c>
      <c r="D49" s="62">
        <v>26</v>
      </c>
      <c r="E49" s="63">
        <v>4.0950685924000003E-4</v>
      </c>
    </row>
    <row r="50" spans="2:5" ht="15" customHeight="1">
      <c r="B50" s="97"/>
      <c r="C50" s="61" t="s">
        <v>214</v>
      </c>
      <c r="D50" s="62">
        <v>2</v>
      </c>
      <c r="E50" s="63">
        <v>3.1500527634000002E-5</v>
      </c>
    </row>
    <row r="51" spans="2:5" ht="15" customHeight="1">
      <c r="B51" s="98"/>
      <c r="C51" s="75" t="s">
        <v>302</v>
      </c>
      <c r="D51" s="74">
        <v>2493</v>
      </c>
      <c r="E51" s="76">
        <v>3.9265407695578999E-2</v>
      </c>
    </row>
    <row r="52" spans="2:5" ht="15" customHeight="1">
      <c r="B52" s="96" t="s">
        <v>50</v>
      </c>
      <c r="C52" s="61" t="s">
        <v>193</v>
      </c>
      <c r="D52" s="62">
        <v>71</v>
      </c>
      <c r="E52" s="63">
        <v>1.1182687310009999E-3</v>
      </c>
    </row>
    <row r="53" spans="2:5" ht="15" customHeight="1">
      <c r="B53" s="97"/>
      <c r="C53" s="61" t="s">
        <v>292</v>
      </c>
      <c r="D53" s="62">
        <v>1</v>
      </c>
      <c r="E53" s="63">
        <v>1.5750263817000001E-5</v>
      </c>
    </row>
    <row r="54" spans="2:5" ht="15" customHeight="1">
      <c r="B54" s="97"/>
      <c r="C54" s="61" t="s">
        <v>194</v>
      </c>
      <c r="D54" s="62">
        <v>17</v>
      </c>
      <c r="E54" s="63">
        <v>2.6775448488800002E-4</v>
      </c>
    </row>
    <row r="55" spans="2:5" ht="15" customHeight="1">
      <c r="B55" s="97"/>
      <c r="C55" s="61" t="s">
        <v>195</v>
      </c>
      <c r="D55" s="62">
        <v>21</v>
      </c>
      <c r="E55" s="63">
        <v>3.3075554015500001E-4</v>
      </c>
    </row>
    <row r="56" spans="2:5" ht="15" customHeight="1">
      <c r="B56" s="97"/>
      <c r="C56" s="61" t="s">
        <v>196</v>
      </c>
      <c r="D56" s="62">
        <v>69</v>
      </c>
      <c r="E56" s="63">
        <v>1.086768203367E-3</v>
      </c>
    </row>
    <row r="57" spans="2:5" ht="15" customHeight="1">
      <c r="B57" s="97"/>
      <c r="C57" s="61" t="s">
        <v>197</v>
      </c>
      <c r="D57" s="62">
        <v>51</v>
      </c>
      <c r="E57" s="63">
        <v>8.0326345466299998E-4</v>
      </c>
    </row>
    <row r="58" spans="2:5" ht="15" customHeight="1">
      <c r="B58" s="97"/>
      <c r="C58" s="61" t="s">
        <v>198</v>
      </c>
      <c r="D58" s="62">
        <v>66</v>
      </c>
      <c r="E58" s="63">
        <v>1.0395174119170001E-3</v>
      </c>
    </row>
    <row r="59" spans="2:5" ht="15" customHeight="1">
      <c r="B59" s="97"/>
      <c r="C59" s="61" t="s">
        <v>199</v>
      </c>
      <c r="D59" s="62">
        <v>236</v>
      </c>
      <c r="E59" s="63">
        <v>3.7170622607930002E-3</v>
      </c>
    </row>
    <row r="60" spans="2:5" ht="15" customHeight="1">
      <c r="B60" s="97"/>
      <c r="C60" s="61" t="s">
        <v>200</v>
      </c>
      <c r="D60" s="62">
        <v>570</v>
      </c>
      <c r="E60" s="63">
        <v>8.9776503756440005E-3</v>
      </c>
    </row>
    <row r="61" spans="2:5" ht="15" customHeight="1">
      <c r="B61" s="97"/>
      <c r="C61" s="61" t="s">
        <v>201</v>
      </c>
      <c r="D61" s="62">
        <v>31</v>
      </c>
      <c r="E61" s="63">
        <v>4.8825817832399998E-4</v>
      </c>
    </row>
    <row r="62" spans="2:5" ht="15" customHeight="1">
      <c r="B62" s="97"/>
      <c r="C62" s="61" t="s">
        <v>202</v>
      </c>
      <c r="D62" s="62">
        <v>84</v>
      </c>
      <c r="E62" s="63">
        <v>1.3230221606210001E-3</v>
      </c>
    </row>
    <row r="63" spans="2:5" ht="15" customHeight="1">
      <c r="B63" s="97"/>
      <c r="C63" s="61" t="s">
        <v>203</v>
      </c>
      <c r="D63" s="62">
        <v>140</v>
      </c>
      <c r="E63" s="63">
        <v>2.2050369343690002E-3</v>
      </c>
    </row>
    <row r="64" spans="2:5" ht="15" customHeight="1">
      <c r="B64" s="97"/>
      <c r="C64" s="61" t="s">
        <v>204</v>
      </c>
      <c r="D64" s="62">
        <v>899</v>
      </c>
      <c r="E64" s="63">
        <v>1.4159487171409999E-2</v>
      </c>
    </row>
    <row r="65" spans="2:5" ht="15" customHeight="1">
      <c r="B65" s="97"/>
      <c r="C65" s="61" t="s">
        <v>205</v>
      </c>
      <c r="D65" s="62">
        <v>19</v>
      </c>
      <c r="E65" s="63">
        <v>2.9925501252099998E-4</v>
      </c>
    </row>
    <row r="66" spans="2:5" ht="15" customHeight="1">
      <c r="B66" s="97"/>
      <c r="C66" s="61" t="s">
        <v>206</v>
      </c>
      <c r="D66" s="62">
        <v>113</v>
      </c>
      <c r="E66" s="63">
        <v>1.779779811312E-3</v>
      </c>
    </row>
    <row r="67" spans="2:5" ht="15" customHeight="1">
      <c r="B67" s="97"/>
      <c r="C67" s="61" t="s">
        <v>207</v>
      </c>
      <c r="D67" s="62">
        <v>417</v>
      </c>
      <c r="E67" s="63">
        <v>6.5678600116549999E-3</v>
      </c>
    </row>
    <row r="68" spans="2:5" ht="15" customHeight="1">
      <c r="B68" s="97"/>
      <c r="C68" s="61" t="s">
        <v>208</v>
      </c>
      <c r="D68" s="62">
        <v>6</v>
      </c>
      <c r="E68" s="63">
        <v>9.4501582902000006E-5</v>
      </c>
    </row>
    <row r="69" spans="2:5" ht="15" customHeight="1">
      <c r="B69" s="97"/>
      <c r="C69" s="61" t="s">
        <v>209</v>
      </c>
      <c r="D69" s="62">
        <v>9</v>
      </c>
      <c r="E69" s="63">
        <v>1.4175237435200001E-4</v>
      </c>
    </row>
    <row r="70" spans="2:5" ht="15" customHeight="1">
      <c r="B70" s="97"/>
      <c r="C70" s="61" t="s">
        <v>212</v>
      </c>
      <c r="D70" s="62">
        <v>21</v>
      </c>
      <c r="E70" s="63">
        <v>3.3075554015500001E-4</v>
      </c>
    </row>
    <row r="71" spans="2:5" ht="15" customHeight="1">
      <c r="B71" s="97"/>
      <c r="C71" s="61" t="s">
        <v>213</v>
      </c>
      <c r="D71" s="62">
        <v>35</v>
      </c>
      <c r="E71" s="63">
        <v>5.5125923359200003E-4</v>
      </c>
    </row>
    <row r="72" spans="2:5" ht="15" customHeight="1">
      <c r="B72" s="97"/>
      <c r="C72" s="61" t="s">
        <v>214</v>
      </c>
      <c r="D72" s="62">
        <v>7</v>
      </c>
      <c r="E72" s="63">
        <v>1.1025184671800001E-4</v>
      </c>
    </row>
    <row r="73" spans="2:5" ht="15" customHeight="1">
      <c r="B73" s="97"/>
      <c r="C73" s="61" t="s">
        <v>215</v>
      </c>
      <c r="D73" s="62">
        <v>1</v>
      </c>
      <c r="E73" s="63">
        <v>1.5750263817000001E-5</v>
      </c>
    </row>
    <row r="74" spans="2:5" ht="15" customHeight="1">
      <c r="B74" s="98"/>
      <c r="C74" s="75" t="s">
        <v>302</v>
      </c>
      <c r="D74" s="74">
        <v>2884</v>
      </c>
      <c r="E74" s="76">
        <v>4.5423760847994002E-2</v>
      </c>
    </row>
    <row r="75" spans="2:5" ht="15" customHeight="1">
      <c r="B75" s="96" t="s">
        <v>73</v>
      </c>
      <c r="C75" s="61" t="s">
        <v>193</v>
      </c>
      <c r="D75" s="62">
        <v>10</v>
      </c>
      <c r="E75" s="63">
        <v>1.57502638169E-4</v>
      </c>
    </row>
    <row r="76" spans="2:5" ht="15" customHeight="1">
      <c r="B76" s="97"/>
      <c r="C76" s="61" t="s">
        <v>194</v>
      </c>
      <c r="D76" s="62">
        <v>7</v>
      </c>
      <c r="E76" s="63">
        <v>1.1025184671800001E-4</v>
      </c>
    </row>
    <row r="77" spans="2:5" ht="15" customHeight="1">
      <c r="B77" s="97"/>
      <c r="C77" s="61" t="s">
        <v>195</v>
      </c>
      <c r="D77" s="62">
        <v>8</v>
      </c>
      <c r="E77" s="63">
        <v>1.2600211053499999E-4</v>
      </c>
    </row>
    <row r="78" spans="2:5" ht="15" customHeight="1">
      <c r="B78" s="97"/>
      <c r="C78" s="61" t="s">
        <v>196</v>
      </c>
      <c r="D78" s="62">
        <v>13</v>
      </c>
      <c r="E78" s="63">
        <v>2.0475342962000001E-4</v>
      </c>
    </row>
    <row r="79" spans="2:5" ht="15" customHeight="1">
      <c r="B79" s="97"/>
      <c r="C79" s="61" t="s">
        <v>197</v>
      </c>
      <c r="D79" s="62">
        <v>12</v>
      </c>
      <c r="E79" s="63">
        <v>1.89003165803E-4</v>
      </c>
    </row>
    <row r="80" spans="2:5" ht="15" customHeight="1">
      <c r="B80" s="97"/>
      <c r="C80" s="61" t="s">
        <v>198</v>
      </c>
      <c r="D80" s="62">
        <v>8</v>
      </c>
      <c r="E80" s="63">
        <v>1.2600211053499999E-4</v>
      </c>
    </row>
    <row r="81" spans="2:5" ht="15" customHeight="1">
      <c r="B81" s="97"/>
      <c r="C81" s="61" t="s">
        <v>199</v>
      </c>
      <c r="D81" s="62">
        <v>52</v>
      </c>
      <c r="E81" s="63">
        <v>8.1901371848000005E-4</v>
      </c>
    </row>
    <row r="82" spans="2:5" ht="15" customHeight="1">
      <c r="B82" s="97"/>
      <c r="C82" s="61" t="s">
        <v>200</v>
      </c>
      <c r="D82" s="62">
        <v>123</v>
      </c>
      <c r="E82" s="63">
        <v>1.937282449481E-3</v>
      </c>
    </row>
    <row r="83" spans="2:5" ht="15" customHeight="1">
      <c r="B83" s="97"/>
      <c r="C83" s="61" t="s">
        <v>201</v>
      </c>
      <c r="D83" s="62">
        <v>9</v>
      </c>
      <c r="E83" s="63">
        <v>1.4175237435200001E-4</v>
      </c>
    </row>
    <row r="84" spans="2:5" ht="15" customHeight="1">
      <c r="B84" s="97"/>
      <c r="C84" s="61" t="s">
        <v>202</v>
      </c>
      <c r="D84" s="62">
        <v>17</v>
      </c>
      <c r="E84" s="63">
        <v>2.6775448488800002E-4</v>
      </c>
    </row>
    <row r="85" spans="2:5" ht="15" customHeight="1">
      <c r="B85" s="97"/>
      <c r="C85" s="61" t="s">
        <v>203</v>
      </c>
      <c r="D85" s="62">
        <v>25</v>
      </c>
      <c r="E85" s="63">
        <v>3.9375659542300001E-4</v>
      </c>
    </row>
    <row r="86" spans="2:5" ht="15" customHeight="1">
      <c r="B86" s="97"/>
      <c r="C86" s="61" t="s">
        <v>204</v>
      </c>
      <c r="D86" s="62">
        <v>147</v>
      </c>
      <c r="E86" s="63">
        <v>2.3152887810870002E-3</v>
      </c>
    </row>
    <row r="87" spans="2:5" ht="15" customHeight="1">
      <c r="B87" s="97"/>
      <c r="C87" s="61" t="s">
        <v>205</v>
      </c>
      <c r="D87" s="62">
        <v>2</v>
      </c>
      <c r="E87" s="63">
        <v>3.1500527634000002E-5</v>
      </c>
    </row>
    <row r="88" spans="2:5" ht="15" customHeight="1">
      <c r="B88" s="97"/>
      <c r="C88" s="61" t="s">
        <v>206</v>
      </c>
      <c r="D88" s="62">
        <v>26</v>
      </c>
      <c r="E88" s="63">
        <v>4.0950685924000003E-4</v>
      </c>
    </row>
    <row r="89" spans="2:5" ht="15" customHeight="1">
      <c r="B89" s="97"/>
      <c r="C89" s="61" t="s">
        <v>207</v>
      </c>
      <c r="D89" s="62">
        <v>98</v>
      </c>
      <c r="E89" s="63">
        <v>1.5435258540579999E-3</v>
      </c>
    </row>
    <row r="90" spans="2:5" ht="15" customHeight="1">
      <c r="B90" s="97"/>
      <c r="C90" s="61" t="s">
        <v>208</v>
      </c>
      <c r="D90" s="62">
        <v>1</v>
      </c>
      <c r="E90" s="63">
        <v>1.5750263817000001E-5</v>
      </c>
    </row>
    <row r="91" spans="2:5" ht="15" customHeight="1">
      <c r="B91" s="97"/>
      <c r="C91" s="61" t="s">
        <v>209</v>
      </c>
      <c r="D91" s="62">
        <v>4</v>
      </c>
      <c r="E91" s="63">
        <v>6.3001055268000004E-5</v>
      </c>
    </row>
    <row r="92" spans="2:5" ht="15" customHeight="1">
      <c r="B92" s="97"/>
      <c r="C92" s="61" t="s">
        <v>212</v>
      </c>
      <c r="D92" s="62">
        <v>5</v>
      </c>
      <c r="E92" s="63">
        <v>7.8751319085000005E-5</v>
      </c>
    </row>
    <row r="93" spans="2:5" ht="15" customHeight="1">
      <c r="B93" s="97"/>
      <c r="C93" s="61" t="s">
        <v>213</v>
      </c>
      <c r="D93" s="62">
        <v>9</v>
      </c>
      <c r="E93" s="63">
        <v>1.4175237435200001E-4</v>
      </c>
    </row>
    <row r="94" spans="2:5" ht="15" customHeight="1">
      <c r="B94" s="97"/>
      <c r="C94" s="61" t="s">
        <v>214</v>
      </c>
      <c r="D94" s="62">
        <v>1</v>
      </c>
      <c r="E94" s="63">
        <v>1.5750263817000001E-5</v>
      </c>
    </row>
    <row r="95" spans="2:5" ht="15" customHeight="1">
      <c r="B95" s="98"/>
      <c r="C95" s="75" t="s">
        <v>302</v>
      </c>
      <c r="D95" s="74">
        <v>577</v>
      </c>
      <c r="E95" s="76">
        <v>9.0879022223620005E-3</v>
      </c>
    </row>
    <row r="96" spans="2:5" ht="15" customHeight="1">
      <c r="B96" s="96" t="s">
        <v>88</v>
      </c>
      <c r="C96" s="61" t="s">
        <v>193</v>
      </c>
      <c r="D96" s="62">
        <v>2</v>
      </c>
      <c r="E96" s="63">
        <v>3.1500527634000002E-5</v>
      </c>
    </row>
    <row r="97" spans="2:5" ht="15" customHeight="1">
      <c r="B97" s="97"/>
      <c r="C97" s="61" t="s">
        <v>196</v>
      </c>
      <c r="D97" s="62">
        <v>2</v>
      </c>
      <c r="E97" s="63">
        <v>3.1500527634000002E-5</v>
      </c>
    </row>
    <row r="98" spans="2:5" ht="15" customHeight="1">
      <c r="B98" s="97"/>
      <c r="C98" s="61" t="s">
        <v>198</v>
      </c>
      <c r="D98" s="62">
        <v>2</v>
      </c>
      <c r="E98" s="63">
        <v>3.1500527634000002E-5</v>
      </c>
    </row>
    <row r="99" spans="2:5" ht="15" customHeight="1">
      <c r="B99" s="97"/>
      <c r="C99" s="61" t="s">
        <v>199</v>
      </c>
      <c r="D99" s="62">
        <v>1</v>
      </c>
      <c r="E99" s="63">
        <v>1.5750263817000001E-5</v>
      </c>
    </row>
    <row r="100" spans="2:5" ht="15" customHeight="1">
      <c r="B100" s="97"/>
      <c r="C100" s="61" t="s">
        <v>200</v>
      </c>
      <c r="D100" s="62">
        <v>7</v>
      </c>
      <c r="E100" s="63">
        <v>1.1025184671800001E-4</v>
      </c>
    </row>
    <row r="101" spans="2:5" ht="15" customHeight="1">
      <c r="B101" s="97"/>
      <c r="C101" s="61" t="s">
        <v>202</v>
      </c>
      <c r="D101" s="62">
        <v>1</v>
      </c>
      <c r="E101" s="63">
        <v>1.5750263817000001E-5</v>
      </c>
    </row>
    <row r="102" spans="2:5" ht="15" customHeight="1">
      <c r="B102" s="97"/>
      <c r="C102" s="61" t="s">
        <v>203</v>
      </c>
      <c r="D102" s="62">
        <v>2</v>
      </c>
      <c r="E102" s="63">
        <v>3.1500527634000002E-5</v>
      </c>
    </row>
    <row r="103" spans="2:5" ht="15" customHeight="1">
      <c r="B103" s="97"/>
      <c r="C103" s="61" t="s">
        <v>204</v>
      </c>
      <c r="D103" s="62">
        <v>14</v>
      </c>
      <c r="E103" s="63">
        <v>2.20503693437E-4</v>
      </c>
    </row>
    <row r="104" spans="2:5" ht="15" customHeight="1">
      <c r="B104" s="97"/>
      <c r="C104" s="61" t="s">
        <v>206</v>
      </c>
      <c r="D104" s="62">
        <v>2</v>
      </c>
      <c r="E104" s="63">
        <v>3.1500527634000002E-5</v>
      </c>
    </row>
    <row r="105" spans="2:5" ht="15" customHeight="1">
      <c r="B105" s="97"/>
      <c r="C105" s="61" t="s">
        <v>207</v>
      </c>
      <c r="D105" s="62">
        <v>10</v>
      </c>
      <c r="E105" s="63">
        <v>1.57502638169E-4</v>
      </c>
    </row>
    <row r="106" spans="2:5" ht="15" customHeight="1">
      <c r="B106" s="97"/>
      <c r="C106" s="61" t="s">
        <v>211</v>
      </c>
      <c r="D106" s="62">
        <v>1</v>
      </c>
      <c r="E106" s="63">
        <v>1.5750263817000001E-5</v>
      </c>
    </row>
    <row r="107" spans="2:5" ht="15" customHeight="1">
      <c r="B107" s="97"/>
      <c r="C107" s="61" t="s">
        <v>212</v>
      </c>
      <c r="D107" s="62">
        <v>1</v>
      </c>
      <c r="E107" s="63">
        <v>1.5750263817000001E-5</v>
      </c>
    </row>
    <row r="108" spans="2:5" ht="15" customHeight="1">
      <c r="B108" s="97"/>
      <c r="C108" s="61" t="s">
        <v>213</v>
      </c>
      <c r="D108" s="62">
        <v>3</v>
      </c>
      <c r="E108" s="63">
        <v>4.7250791451000003E-5</v>
      </c>
    </row>
    <row r="109" spans="2:5" ht="15" customHeight="1">
      <c r="B109" s="98"/>
      <c r="C109" s="75" t="s">
        <v>302</v>
      </c>
      <c r="D109" s="74">
        <v>48</v>
      </c>
      <c r="E109" s="76">
        <v>7.5601266321199999E-4</v>
      </c>
    </row>
    <row r="110" spans="2:5" ht="15" customHeight="1">
      <c r="B110" s="96" t="s">
        <v>87</v>
      </c>
      <c r="C110" s="61" t="s">
        <v>193</v>
      </c>
      <c r="D110" s="62">
        <v>2</v>
      </c>
      <c r="E110" s="63">
        <v>3.1500527634000002E-5</v>
      </c>
    </row>
    <row r="111" spans="2:5" ht="15" customHeight="1">
      <c r="B111" s="97"/>
      <c r="C111" s="61" t="s">
        <v>194</v>
      </c>
      <c r="D111" s="62">
        <v>2</v>
      </c>
      <c r="E111" s="63">
        <v>3.1500527634000002E-5</v>
      </c>
    </row>
    <row r="112" spans="2:5" ht="15" customHeight="1">
      <c r="B112" s="97"/>
      <c r="C112" s="61" t="s">
        <v>195</v>
      </c>
      <c r="D112" s="62">
        <v>3</v>
      </c>
      <c r="E112" s="63">
        <v>4.7250791451000003E-5</v>
      </c>
    </row>
    <row r="113" spans="2:5" ht="15" customHeight="1">
      <c r="B113" s="97"/>
      <c r="C113" s="61" t="s">
        <v>197</v>
      </c>
      <c r="D113" s="62">
        <v>1</v>
      </c>
      <c r="E113" s="63">
        <v>1.5750263817000001E-5</v>
      </c>
    </row>
    <row r="114" spans="2:5" ht="15" customHeight="1">
      <c r="B114" s="97"/>
      <c r="C114" s="61" t="s">
        <v>198</v>
      </c>
      <c r="D114" s="62">
        <v>2</v>
      </c>
      <c r="E114" s="63">
        <v>3.1500527634000002E-5</v>
      </c>
    </row>
    <row r="115" spans="2:5" ht="15" customHeight="1">
      <c r="B115" s="97"/>
      <c r="C115" s="61" t="s">
        <v>199</v>
      </c>
      <c r="D115" s="62">
        <v>9</v>
      </c>
      <c r="E115" s="63">
        <v>1.4175237435200001E-4</v>
      </c>
    </row>
    <row r="116" spans="2:5" ht="15" customHeight="1">
      <c r="B116" s="97"/>
      <c r="C116" s="61" t="s">
        <v>200</v>
      </c>
      <c r="D116" s="62">
        <v>9</v>
      </c>
      <c r="E116" s="63">
        <v>1.4175237435200001E-4</v>
      </c>
    </row>
    <row r="117" spans="2:5" ht="15" customHeight="1">
      <c r="B117" s="97"/>
      <c r="C117" s="61" t="s">
        <v>202</v>
      </c>
      <c r="D117" s="62">
        <v>1</v>
      </c>
      <c r="E117" s="63">
        <v>1.5750263817000001E-5</v>
      </c>
    </row>
    <row r="118" spans="2:5" ht="15" customHeight="1">
      <c r="B118" s="97"/>
      <c r="C118" s="61" t="s">
        <v>203</v>
      </c>
      <c r="D118" s="62">
        <v>3</v>
      </c>
      <c r="E118" s="63">
        <v>4.7250791451000003E-5</v>
      </c>
    </row>
    <row r="119" spans="2:5" ht="15" customHeight="1">
      <c r="B119" s="97"/>
      <c r="C119" s="61" t="s">
        <v>204</v>
      </c>
      <c r="D119" s="62">
        <v>6</v>
      </c>
      <c r="E119" s="63">
        <v>9.4501582902000006E-5</v>
      </c>
    </row>
    <row r="120" spans="2:5" ht="15" customHeight="1">
      <c r="B120" s="97"/>
      <c r="C120" s="61" t="s">
        <v>205</v>
      </c>
      <c r="D120" s="62">
        <v>1</v>
      </c>
      <c r="E120" s="63">
        <v>1.5750263817000001E-5</v>
      </c>
    </row>
    <row r="121" spans="2:5" ht="15" customHeight="1">
      <c r="B121" s="97"/>
      <c r="C121" s="61" t="s">
        <v>206</v>
      </c>
      <c r="D121" s="62">
        <v>3</v>
      </c>
      <c r="E121" s="63">
        <v>4.7250791451000003E-5</v>
      </c>
    </row>
    <row r="122" spans="2:5" ht="15" customHeight="1">
      <c r="B122" s="97"/>
      <c r="C122" s="61" t="s">
        <v>207</v>
      </c>
      <c r="D122" s="62">
        <v>17</v>
      </c>
      <c r="E122" s="63">
        <v>2.6775448488800002E-4</v>
      </c>
    </row>
    <row r="123" spans="2:5" ht="15" customHeight="1">
      <c r="B123" s="97"/>
      <c r="C123" s="61" t="s">
        <v>210</v>
      </c>
      <c r="D123" s="62">
        <v>1</v>
      </c>
      <c r="E123" s="63">
        <v>1.5750263817000001E-5</v>
      </c>
    </row>
    <row r="124" spans="2:5" ht="15" customHeight="1">
      <c r="B124" s="97"/>
      <c r="C124" s="61" t="s">
        <v>213</v>
      </c>
      <c r="D124" s="62">
        <v>3</v>
      </c>
      <c r="E124" s="63">
        <v>4.7250791451000003E-5</v>
      </c>
    </row>
    <row r="125" spans="2:5" ht="15" customHeight="1">
      <c r="B125" s="97"/>
      <c r="C125" s="61" t="s">
        <v>215</v>
      </c>
      <c r="D125" s="62">
        <v>1</v>
      </c>
      <c r="E125" s="63">
        <v>1.5750263817000001E-5</v>
      </c>
    </row>
    <row r="126" spans="2:5" ht="15" customHeight="1">
      <c r="B126" s="98"/>
      <c r="C126" s="75" t="s">
        <v>302</v>
      </c>
      <c r="D126" s="74">
        <v>64</v>
      </c>
      <c r="E126" s="76">
        <v>1.0080168842829999E-3</v>
      </c>
    </row>
    <row r="127" spans="2:5" ht="15" customHeight="1">
      <c r="B127" s="96" t="s">
        <v>94</v>
      </c>
      <c r="C127" s="61" t="s">
        <v>193</v>
      </c>
      <c r="D127" s="62">
        <v>2</v>
      </c>
      <c r="E127" s="63">
        <v>3.1500527634000002E-5</v>
      </c>
    </row>
    <row r="128" spans="2:5" ht="15" customHeight="1">
      <c r="B128" s="97"/>
      <c r="C128" s="61" t="s">
        <v>195</v>
      </c>
      <c r="D128" s="62">
        <v>1</v>
      </c>
      <c r="E128" s="63">
        <v>1.5750263817000001E-5</v>
      </c>
    </row>
    <row r="129" spans="2:5" ht="15" customHeight="1">
      <c r="B129" s="97"/>
      <c r="C129" s="61" t="s">
        <v>197</v>
      </c>
      <c r="D129" s="62">
        <v>1</v>
      </c>
      <c r="E129" s="63">
        <v>1.5750263817000001E-5</v>
      </c>
    </row>
    <row r="130" spans="2:5" ht="15" customHeight="1">
      <c r="B130" s="97"/>
      <c r="C130" s="61" t="s">
        <v>199</v>
      </c>
      <c r="D130" s="62">
        <v>5</v>
      </c>
      <c r="E130" s="63">
        <v>7.8751319085000005E-5</v>
      </c>
    </row>
    <row r="131" spans="2:5" ht="15" customHeight="1">
      <c r="B131" s="97"/>
      <c r="C131" s="61" t="s">
        <v>200</v>
      </c>
      <c r="D131" s="62">
        <v>5</v>
      </c>
      <c r="E131" s="63">
        <v>7.8751319085000005E-5</v>
      </c>
    </row>
    <row r="132" spans="2:5" ht="15" customHeight="1">
      <c r="B132" s="97"/>
      <c r="C132" s="61" t="s">
        <v>204</v>
      </c>
      <c r="D132" s="62">
        <v>5</v>
      </c>
      <c r="E132" s="63">
        <v>7.8751319085000005E-5</v>
      </c>
    </row>
    <row r="133" spans="2:5" ht="15" customHeight="1">
      <c r="B133" s="97"/>
      <c r="C133" s="61" t="s">
        <v>205</v>
      </c>
      <c r="D133" s="62">
        <v>1</v>
      </c>
      <c r="E133" s="63">
        <v>1.5750263817000001E-5</v>
      </c>
    </row>
    <row r="134" spans="2:5" ht="15" customHeight="1">
      <c r="B134" s="97"/>
      <c r="C134" s="61" t="s">
        <v>206</v>
      </c>
      <c r="D134" s="62">
        <v>3</v>
      </c>
      <c r="E134" s="63">
        <v>4.7250791451000003E-5</v>
      </c>
    </row>
    <row r="135" spans="2:5" ht="15" customHeight="1">
      <c r="B135" s="97"/>
      <c r="C135" s="61" t="s">
        <v>207</v>
      </c>
      <c r="D135" s="62">
        <v>1</v>
      </c>
      <c r="E135" s="63">
        <v>1.5750263817000001E-5</v>
      </c>
    </row>
    <row r="136" spans="2:5" ht="15" customHeight="1">
      <c r="B136" s="97"/>
      <c r="C136" s="61" t="s">
        <v>209</v>
      </c>
      <c r="D136" s="62">
        <v>1</v>
      </c>
      <c r="E136" s="63">
        <v>1.5750263817000001E-5</v>
      </c>
    </row>
    <row r="137" spans="2:5" ht="15" customHeight="1">
      <c r="B137" s="97"/>
      <c r="C137" s="61" t="s">
        <v>213</v>
      </c>
      <c r="D137" s="62">
        <v>1</v>
      </c>
      <c r="E137" s="63">
        <v>1.5750263817000001E-5</v>
      </c>
    </row>
    <row r="138" spans="2:5" ht="15" customHeight="1">
      <c r="B138" s="98"/>
      <c r="C138" s="75" t="s">
        <v>302</v>
      </c>
      <c r="D138" s="74">
        <v>26</v>
      </c>
      <c r="E138" s="76">
        <v>4.0950685924000003E-4</v>
      </c>
    </row>
    <row r="139" spans="2:5" ht="15" customHeight="1">
      <c r="B139" s="96" t="s">
        <v>47</v>
      </c>
      <c r="C139" s="61" t="s">
        <v>193</v>
      </c>
      <c r="D139" s="62">
        <v>101</v>
      </c>
      <c r="E139" s="63">
        <v>1.5907766455089999E-3</v>
      </c>
    </row>
    <row r="140" spans="2:5" ht="15" customHeight="1">
      <c r="B140" s="97"/>
      <c r="C140" s="61" t="s">
        <v>292</v>
      </c>
      <c r="D140" s="62">
        <v>1</v>
      </c>
      <c r="E140" s="63">
        <v>1.5750263817000001E-5</v>
      </c>
    </row>
    <row r="141" spans="2:5" ht="15" customHeight="1">
      <c r="B141" s="97"/>
      <c r="C141" s="61" t="s">
        <v>194</v>
      </c>
      <c r="D141" s="62">
        <v>27</v>
      </c>
      <c r="E141" s="63">
        <v>4.2525712305699999E-4</v>
      </c>
    </row>
    <row r="142" spans="2:5" ht="15" customHeight="1">
      <c r="B142" s="97"/>
      <c r="C142" s="61" t="s">
        <v>195</v>
      </c>
      <c r="D142" s="62">
        <v>42</v>
      </c>
      <c r="E142" s="63">
        <v>6.6151108031099997E-4</v>
      </c>
    </row>
    <row r="143" spans="2:5" ht="15" customHeight="1">
      <c r="B143" s="97"/>
      <c r="C143" s="61" t="s">
        <v>196</v>
      </c>
      <c r="D143" s="62">
        <v>100</v>
      </c>
      <c r="E143" s="63">
        <v>1.575026381692E-3</v>
      </c>
    </row>
    <row r="144" spans="2:5" ht="15" customHeight="1">
      <c r="B144" s="97"/>
      <c r="C144" s="61" t="s">
        <v>197</v>
      </c>
      <c r="D144" s="62">
        <v>69</v>
      </c>
      <c r="E144" s="63">
        <v>1.086768203367E-3</v>
      </c>
    </row>
    <row r="145" spans="2:5" ht="15" customHeight="1">
      <c r="B145" s="97"/>
      <c r="C145" s="61" t="s">
        <v>198</v>
      </c>
      <c r="D145" s="62">
        <v>72</v>
      </c>
      <c r="E145" s="63">
        <v>1.134018994818E-3</v>
      </c>
    </row>
    <row r="146" spans="2:5" ht="15" customHeight="1">
      <c r="B146" s="97"/>
      <c r="C146" s="61" t="s">
        <v>199</v>
      </c>
      <c r="D146" s="62">
        <v>425</v>
      </c>
      <c r="E146" s="63">
        <v>6.6938621221909996E-3</v>
      </c>
    </row>
    <row r="147" spans="2:5" ht="15" customHeight="1">
      <c r="B147" s="97"/>
      <c r="C147" s="61" t="s">
        <v>200</v>
      </c>
      <c r="D147" s="62">
        <v>1653</v>
      </c>
      <c r="E147" s="63">
        <v>2.6035186089366998E-2</v>
      </c>
    </row>
    <row r="148" spans="2:5" ht="15" customHeight="1">
      <c r="B148" s="97"/>
      <c r="C148" s="61" t="s">
        <v>201</v>
      </c>
      <c r="D148" s="62">
        <v>59</v>
      </c>
      <c r="E148" s="63">
        <v>9.2926556519800003E-4</v>
      </c>
    </row>
    <row r="149" spans="2:5" ht="15" customHeight="1">
      <c r="B149" s="97"/>
      <c r="C149" s="61" t="s">
        <v>202</v>
      </c>
      <c r="D149" s="62">
        <v>84</v>
      </c>
      <c r="E149" s="63">
        <v>1.3230221606210001E-3</v>
      </c>
    </row>
    <row r="150" spans="2:5" ht="15" customHeight="1">
      <c r="B150" s="97"/>
      <c r="C150" s="61" t="s">
        <v>203</v>
      </c>
      <c r="D150" s="62">
        <v>242</v>
      </c>
      <c r="E150" s="63">
        <v>3.8115638436940001E-3</v>
      </c>
    </row>
    <row r="151" spans="2:5" ht="15" customHeight="1">
      <c r="B151" s="97"/>
      <c r="C151" s="61" t="s">
        <v>204</v>
      </c>
      <c r="D151" s="62">
        <v>2619</v>
      </c>
      <c r="E151" s="63">
        <v>4.1249940936511E-2</v>
      </c>
    </row>
    <row r="152" spans="2:5" ht="15" customHeight="1">
      <c r="B152" s="97"/>
      <c r="C152" s="61" t="s">
        <v>205</v>
      </c>
      <c r="D152" s="62">
        <v>65</v>
      </c>
      <c r="E152" s="63">
        <v>1.0237671481E-3</v>
      </c>
    </row>
    <row r="153" spans="2:5" ht="15" customHeight="1">
      <c r="B153" s="97"/>
      <c r="C153" s="61" t="s">
        <v>206</v>
      </c>
      <c r="D153" s="62">
        <v>243</v>
      </c>
      <c r="E153" s="63">
        <v>3.8273141075110002E-3</v>
      </c>
    </row>
    <row r="154" spans="2:5" ht="15" customHeight="1">
      <c r="B154" s="97"/>
      <c r="C154" s="61" t="s">
        <v>207</v>
      </c>
      <c r="D154" s="62">
        <v>1049</v>
      </c>
      <c r="E154" s="63">
        <v>1.6522026743947999E-2</v>
      </c>
    </row>
    <row r="155" spans="2:5" ht="15" customHeight="1">
      <c r="B155" s="97"/>
      <c r="C155" s="61" t="s">
        <v>208</v>
      </c>
      <c r="D155" s="62">
        <v>17</v>
      </c>
      <c r="E155" s="63">
        <v>2.6775448488800002E-4</v>
      </c>
    </row>
    <row r="156" spans="2:5" ht="15" customHeight="1">
      <c r="B156" s="97"/>
      <c r="C156" s="61" t="s">
        <v>209</v>
      </c>
      <c r="D156" s="62">
        <v>12</v>
      </c>
      <c r="E156" s="63">
        <v>1.89003165803E-4</v>
      </c>
    </row>
    <row r="157" spans="2:5" ht="15" customHeight="1">
      <c r="B157" s="97"/>
      <c r="C157" s="61" t="s">
        <v>210</v>
      </c>
      <c r="D157" s="62">
        <v>5</v>
      </c>
      <c r="E157" s="63">
        <v>7.8751319085000005E-5</v>
      </c>
    </row>
    <row r="158" spans="2:5" ht="15" customHeight="1">
      <c r="B158" s="97"/>
      <c r="C158" s="61" t="s">
        <v>211</v>
      </c>
      <c r="D158" s="62">
        <v>2</v>
      </c>
      <c r="E158" s="63">
        <v>3.1500527634000002E-5</v>
      </c>
    </row>
    <row r="159" spans="2:5" ht="15" customHeight="1">
      <c r="B159" s="97"/>
      <c r="C159" s="61" t="s">
        <v>212</v>
      </c>
      <c r="D159" s="62">
        <v>51</v>
      </c>
      <c r="E159" s="63">
        <v>8.0326345466299998E-4</v>
      </c>
    </row>
    <row r="160" spans="2:5" ht="15" customHeight="1">
      <c r="B160" s="97"/>
      <c r="C160" s="61" t="s">
        <v>213</v>
      </c>
      <c r="D160" s="62">
        <v>187</v>
      </c>
      <c r="E160" s="63">
        <v>2.9452993337640001E-3</v>
      </c>
    </row>
    <row r="161" spans="2:5" ht="15" customHeight="1">
      <c r="B161" s="97"/>
      <c r="C161" s="61" t="s">
        <v>214</v>
      </c>
      <c r="D161" s="62">
        <v>13</v>
      </c>
      <c r="E161" s="63">
        <v>2.0475342962000001E-4</v>
      </c>
    </row>
    <row r="162" spans="2:5" ht="15" customHeight="1">
      <c r="B162" s="97"/>
      <c r="C162" s="61" t="s">
        <v>215</v>
      </c>
      <c r="D162" s="62">
        <v>4</v>
      </c>
      <c r="E162" s="63">
        <v>6.3001055268000004E-5</v>
      </c>
    </row>
    <row r="163" spans="2:5" ht="15" customHeight="1">
      <c r="B163" s="98"/>
      <c r="C163" s="75" t="s">
        <v>302</v>
      </c>
      <c r="D163" s="74">
        <v>7142</v>
      </c>
      <c r="E163" s="76">
        <v>0.112488384180435</v>
      </c>
    </row>
    <row r="164" spans="2:5" ht="15" customHeight="1">
      <c r="B164" s="96" t="s">
        <v>46</v>
      </c>
      <c r="C164" s="61" t="s">
        <v>193</v>
      </c>
      <c r="D164" s="62">
        <v>150</v>
      </c>
      <c r="E164" s="63">
        <v>2.362539572538E-3</v>
      </c>
    </row>
    <row r="165" spans="2:5" ht="15" customHeight="1">
      <c r="B165" s="97"/>
      <c r="C165" s="61" t="s">
        <v>292</v>
      </c>
      <c r="D165" s="62">
        <v>2</v>
      </c>
      <c r="E165" s="63">
        <v>3.1500527634000002E-5</v>
      </c>
    </row>
    <row r="166" spans="2:5" ht="15" customHeight="1">
      <c r="B166" s="97"/>
      <c r="C166" s="61" t="s">
        <v>194</v>
      </c>
      <c r="D166" s="62">
        <v>45</v>
      </c>
      <c r="E166" s="63">
        <v>7.08761871761E-4</v>
      </c>
    </row>
    <row r="167" spans="2:5" ht="15" customHeight="1">
      <c r="B167" s="97"/>
      <c r="C167" s="61" t="s">
        <v>195</v>
      </c>
      <c r="D167" s="62">
        <v>108</v>
      </c>
      <c r="E167" s="63">
        <v>1.7010284922270001E-3</v>
      </c>
    </row>
    <row r="168" spans="2:5" ht="15" customHeight="1">
      <c r="B168" s="97"/>
      <c r="C168" s="61" t="s">
        <v>196</v>
      </c>
      <c r="D168" s="62">
        <v>204</v>
      </c>
      <c r="E168" s="63">
        <v>3.2130538186509999E-3</v>
      </c>
    </row>
    <row r="169" spans="2:5" ht="15" customHeight="1">
      <c r="B169" s="97"/>
      <c r="C169" s="61" t="s">
        <v>197</v>
      </c>
      <c r="D169" s="62">
        <v>140</v>
      </c>
      <c r="E169" s="63">
        <v>2.2050369343690002E-3</v>
      </c>
    </row>
    <row r="170" spans="2:5" ht="15" customHeight="1">
      <c r="B170" s="97"/>
      <c r="C170" s="61" t="s">
        <v>198</v>
      </c>
      <c r="D170" s="62">
        <v>163</v>
      </c>
      <c r="E170" s="63">
        <v>2.5672930021579999E-3</v>
      </c>
    </row>
    <row r="171" spans="2:5" ht="15" customHeight="1">
      <c r="B171" s="97"/>
      <c r="C171" s="61" t="s">
        <v>199</v>
      </c>
      <c r="D171" s="62">
        <v>1026</v>
      </c>
      <c r="E171" s="63">
        <v>1.6159770676159001E-2</v>
      </c>
    </row>
    <row r="172" spans="2:5" ht="15" customHeight="1">
      <c r="B172" s="97"/>
      <c r="C172" s="61" t="s">
        <v>200</v>
      </c>
      <c r="D172" s="62">
        <v>1648</v>
      </c>
      <c r="E172" s="63">
        <v>2.5956434770281998E-2</v>
      </c>
    </row>
    <row r="173" spans="2:5" ht="15" customHeight="1">
      <c r="B173" s="97"/>
      <c r="C173" s="61" t="s">
        <v>201</v>
      </c>
      <c r="D173" s="62">
        <v>92</v>
      </c>
      <c r="E173" s="63">
        <v>1.449024271157E-3</v>
      </c>
    </row>
    <row r="174" spans="2:5" ht="15" customHeight="1">
      <c r="B174" s="97"/>
      <c r="C174" s="61" t="s">
        <v>202</v>
      </c>
      <c r="D174" s="62">
        <v>183</v>
      </c>
      <c r="E174" s="63">
        <v>2.8822982784959999E-3</v>
      </c>
    </row>
    <row r="175" spans="2:5" ht="15" customHeight="1">
      <c r="B175" s="97"/>
      <c r="C175" s="61" t="s">
        <v>203</v>
      </c>
      <c r="D175" s="62">
        <v>504</v>
      </c>
      <c r="E175" s="63">
        <v>7.9381329637269998E-3</v>
      </c>
    </row>
    <row r="176" spans="2:5" ht="15" customHeight="1">
      <c r="B176" s="97"/>
      <c r="C176" s="61" t="s">
        <v>204</v>
      </c>
      <c r="D176" s="62">
        <v>4127</v>
      </c>
      <c r="E176" s="63">
        <v>6.5001338772424005E-2</v>
      </c>
    </row>
    <row r="177" spans="2:5" ht="15" customHeight="1">
      <c r="B177" s="97"/>
      <c r="C177" s="61" t="s">
        <v>205</v>
      </c>
      <c r="D177" s="62">
        <v>124</v>
      </c>
      <c r="E177" s="63">
        <v>1.953032713298E-3</v>
      </c>
    </row>
    <row r="178" spans="2:5" ht="15" customHeight="1">
      <c r="B178" s="97"/>
      <c r="C178" s="61" t="s">
        <v>206</v>
      </c>
      <c r="D178" s="62">
        <v>509</v>
      </c>
      <c r="E178" s="63">
        <v>8.0168842828119997E-3</v>
      </c>
    </row>
    <row r="179" spans="2:5" ht="15" customHeight="1">
      <c r="B179" s="97"/>
      <c r="C179" s="61" t="s">
        <v>207</v>
      </c>
      <c r="D179" s="62">
        <v>2087</v>
      </c>
      <c r="E179" s="63">
        <v>3.287080058591E-2</v>
      </c>
    </row>
    <row r="180" spans="2:5" ht="15" customHeight="1">
      <c r="B180" s="97"/>
      <c r="C180" s="61" t="s">
        <v>208</v>
      </c>
      <c r="D180" s="62">
        <v>30</v>
      </c>
      <c r="E180" s="63">
        <v>4.7250791450799997E-4</v>
      </c>
    </row>
    <row r="181" spans="2:5" ht="15" customHeight="1">
      <c r="B181" s="97"/>
      <c r="C181" s="61" t="s">
        <v>209</v>
      </c>
      <c r="D181" s="62">
        <v>26</v>
      </c>
      <c r="E181" s="63">
        <v>4.0950685924000003E-4</v>
      </c>
    </row>
    <row r="182" spans="2:5" ht="15" customHeight="1">
      <c r="B182" s="97"/>
      <c r="C182" s="61" t="s">
        <v>210</v>
      </c>
      <c r="D182" s="62">
        <v>23</v>
      </c>
      <c r="E182" s="63">
        <v>3.6225606778899998E-4</v>
      </c>
    </row>
    <row r="183" spans="2:5" ht="15" customHeight="1">
      <c r="B183" s="97"/>
      <c r="C183" s="61" t="s">
        <v>211</v>
      </c>
      <c r="D183" s="62">
        <v>17</v>
      </c>
      <c r="E183" s="63">
        <v>2.6775448488800002E-4</v>
      </c>
    </row>
    <row r="184" spans="2:5" ht="15" customHeight="1">
      <c r="B184" s="97"/>
      <c r="C184" s="61" t="s">
        <v>212</v>
      </c>
      <c r="D184" s="62">
        <v>69</v>
      </c>
      <c r="E184" s="63">
        <v>1.086768203367E-3</v>
      </c>
    </row>
    <row r="185" spans="2:5" ht="15" customHeight="1">
      <c r="B185" s="97"/>
      <c r="C185" s="61" t="s">
        <v>213</v>
      </c>
      <c r="D185" s="62">
        <v>186</v>
      </c>
      <c r="E185" s="63">
        <v>2.9295490699470001E-3</v>
      </c>
    </row>
    <row r="186" spans="2:5" ht="15" customHeight="1">
      <c r="B186" s="97"/>
      <c r="C186" s="61" t="s">
        <v>214</v>
      </c>
      <c r="D186" s="62">
        <v>10</v>
      </c>
      <c r="E186" s="63">
        <v>1.57502638169E-4</v>
      </c>
    </row>
    <row r="187" spans="2:5" ht="15" customHeight="1">
      <c r="B187" s="97"/>
      <c r="C187" s="61" t="s">
        <v>215</v>
      </c>
      <c r="D187" s="62">
        <v>7</v>
      </c>
      <c r="E187" s="63">
        <v>1.1025184671800001E-4</v>
      </c>
    </row>
    <row r="188" spans="2:5" ht="15" customHeight="1">
      <c r="B188" s="97"/>
      <c r="C188" s="61" t="s">
        <v>216</v>
      </c>
      <c r="D188" s="62">
        <v>4</v>
      </c>
      <c r="E188" s="63">
        <v>6.3001055268000004E-5</v>
      </c>
    </row>
    <row r="189" spans="2:5" ht="15" customHeight="1">
      <c r="B189" s="98"/>
      <c r="C189" s="75" t="s">
        <v>302</v>
      </c>
      <c r="D189" s="74">
        <v>11484</v>
      </c>
      <c r="E189" s="76">
        <v>0.180876029673497</v>
      </c>
    </row>
    <row r="190" spans="2:5" ht="15" customHeight="1">
      <c r="B190" s="96" t="s">
        <v>91</v>
      </c>
      <c r="C190" s="61" t="s">
        <v>195</v>
      </c>
      <c r="D190" s="62">
        <v>1</v>
      </c>
      <c r="E190" s="63">
        <v>1.5750263817000001E-5</v>
      </c>
    </row>
    <row r="191" spans="2:5" ht="15" customHeight="1">
      <c r="B191" s="97"/>
      <c r="C191" s="61" t="s">
        <v>198</v>
      </c>
      <c r="D191" s="62">
        <v>1</v>
      </c>
      <c r="E191" s="63">
        <v>1.5750263817000001E-5</v>
      </c>
    </row>
    <row r="192" spans="2:5" ht="15" customHeight="1">
      <c r="B192" s="97"/>
      <c r="C192" s="61" t="s">
        <v>199</v>
      </c>
      <c r="D192" s="62">
        <v>1</v>
      </c>
      <c r="E192" s="63">
        <v>1.5750263817000001E-5</v>
      </c>
    </row>
    <row r="193" spans="2:5" ht="15" customHeight="1">
      <c r="B193" s="97"/>
      <c r="C193" s="61" t="s">
        <v>200</v>
      </c>
      <c r="D193" s="62">
        <v>12</v>
      </c>
      <c r="E193" s="63">
        <v>1.89003165803E-4</v>
      </c>
    </row>
    <row r="194" spans="2:5" ht="15" customHeight="1">
      <c r="B194" s="97"/>
      <c r="C194" s="61" t="s">
        <v>201</v>
      </c>
      <c r="D194" s="62">
        <v>1</v>
      </c>
      <c r="E194" s="63">
        <v>1.5750263817000001E-5</v>
      </c>
    </row>
    <row r="195" spans="2:5" ht="15" customHeight="1">
      <c r="B195" s="97"/>
      <c r="C195" s="61" t="s">
        <v>202</v>
      </c>
      <c r="D195" s="62">
        <v>1</v>
      </c>
      <c r="E195" s="63">
        <v>1.5750263817000001E-5</v>
      </c>
    </row>
    <row r="196" spans="2:5" ht="15" customHeight="1">
      <c r="B196" s="97"/>
      <c r="C196" s="61" t="s">
        <v>203</v>
      </c>
      <c r="D196" s="62">
        <v>2</v>
      </c>
      <c r="E196" s="63">
        <v>3.1500527634000002E-5</v>
      </c>
    </row>
    <row r="197" spans="2:5" ht="15" customHeight="1">
      <c r="B197" s="97"/>
      <c r="C197" s="61" t="s">
        <v>204</v>
      </c>
      <c r="D197" s="62">
        <v>14</v>
      </c>
      <c r="E197" s="63">
        <v>2.20503693437E-4</v>
      </c>
    </row>
    <row r="198" spans="2:5" ht="15" customHeight="1">
      <c r="B198" s="97"/>
      <c r="C198" s="61" t="s">
        <v>207</v>
      </c>
      <c r="D198" s="62">
        <v>8</v>
      </c>
      <c r="E198" s="63">
        <v>1.2600211053499999E-4</v>
      </c>
    </row>
    <row r="199" spans="2:5" ht="15" customHeight="1">
      <c r="B199" s="97"/>
      <c r="C199" s="61" t="s">
        <v>209</v>
      </c>
      <c r="D199" s="62">
        <v>1</v>
      </c>
      <c r="E199" s="63">
        <v>1.5750263817000001E-5</v>
      </c>
    </row>
    <row r="200" spans="2:5" ht="15" customHeight="1">
      <c r="B200" s="97"/>
      <c r="C200" s="61" t="s">
        <v>213</v>
      </c>
      <c r="D200" s="62">
        <v>1</v>
      </c>
      <c r="E200" s="63">
        <v>1.5750263817000001E-5</v>
      </c>
    </row>
    <row r="201" spans="2:5" ht="15" customHeight="1">
      <c r="B201" s="97"/>
      <c r="C201" s="61" t="s">
        <v>214</v>
      </c>
      <c r="D201" s="62">
        <v>1</v>
      </c>
      <c r="E201" s="63">
        <v>1.5750263817000001E-5</v>
      </c>
    </row>
    <row r="202" spans="2:5" ht="15" customHeight="1">
      <c r="B202" s="98"/>
      <c r="C202" s="75" t="s">
        <v>302</v>
      </c>
      <c r="D202" s="74">
        <v>44</v>
      </c>
      <c r="E202" s="76">
        <v>6.9301160794400004E-4</v>
      </c>
    </row>
    <row r="203" spans="2:5" ht="15" customHeight="1">
      <c r="B203" s="96" t="s">
        <v>65</v>
      </c>
      <c r="C203" s="61" t="s">
        <v>193</v>
      </c>
      <c r="D203" s="62">
        <v>17</v>
      </c>
      <c r="E203" s="63">
        <v>2.6775448488800002E-4</v>
      </c>
    </row>
    <row r="204" spans="2:5" ht="15" customHeight="1">
      <c r="B204" s="97"/>
      <c r="C204" s="61" t="s">
        <v>194</v>
      </c>
      <c r="D204" s="62">
        <v>3</v>
      </c>
      <c r="E204" s="63">
        <v>4.7250791451000003E-5</v>
      </c>
    </row>
    <row r="205" spans="2:5" ht="15" customHeight="1">
      <c r="B205" s="97"/>
      <c r="C205" s="61" t="s">
        <v>195</v>
      </c>
      <c r="D205" s="62">
        <v>12</v>
      </c>
      <c r="E205" s="63">
        <v>1.89003165803E-4</v>
      </c>
    </row>
    <row r="206" spans="2:5" ht="15" customHeight="1">
      <c r="B206" s="97"/>
      <c r="C206" s="61" t="s">
        <v>196</v>
      </c>
      <c r="D206" s="62">
        <v>24</v>
      </c>
      <c r="E206" s="63">
        <v>3.78006331606E-4</v>
      </c>
    </row>
    <row r="207" spans="2:5" ht="15" customHeight="1">
      <c r="B207" s="97"/>
      <c r="C207" s="61" t="s">
        <v>197</v>
      </c>
      <c r="D207" s="62">
        <v>18</v>
      </c>
      <c r="E207" s="63">
        <v>2.8350474870499998E-4</v>
      </c>
    </row>
    <row r="208" spans="2:5" ht="15" customHeight="1">
      <c r="B208" s="97"/>
      <c r="C208" s="61" t="s">
        <v>198</v>
      </c>
      <c r="D208" s="62">
        <v>19</v>
      </c>
      <c r="E208" s="63">
        <v>2.9925501252099998E-4</v>
      </c>
    </row>
    <row r="209" spans="2:5" ht="15" customHeight="1">
      <c r="B209" s="97"/>
      <c r="C209" s="61" t="s">
        <v>199</v>
      </c>
      <c r="D209" s="62">
        <v>82</v>
      </c>
      <c r="E209" s="63">
        <v>1.291521632987E-3</v>
      </c>
    </row>
    <row r="210" spans="2:5" ht="15" customHeight="1">
      <c r="B210" s="97"/>
      <c r="C210" s="61" t="s">
        <v>200</v>
      </c>
      <c r="D210" s="62">
        <v>178</v>
      </c>
      <c r="E210" s="63">
        <v>2.803546959412E-3</v>
      </c>
    </row>
    <row r="211" spans="2:5" ht="15" customHeight="1">
      <c r="B211" s="97"/>
      <c r="C211" s="61" t="s">
        <v>201</v>
      </c>
      <c r="D211" s="62">
        <v>10</v>
      </c>
      <c r="E211" s="63">
        <v>1.57502638169E-4</v>
      </c>
    </row>
    <row r="212" spans="2:5" ht="15" customHeight="1">
      <c r="B212" s="97"/>
      <c r="C212" s="61" t="s">
        <v>202</v>
      </c>
      <c r="D212" s="62">
        <v>24</v>
      </c>
      <c r="E212" s="63">
        <v>3.78006331606E-4</v>
      </c>
    </row>
    <row r="213" spans="2:5" ht="15" customHeight="1">
      <c r="B213" s="97"/>
      <c r="C213" s="61" t="s">
        <v>203</v>
      </c>
      <c r="D213" s="62">
        <v>43</v>
      </c>
      <c r="E213" s="63">
        <v>6.7726134412800004E-4</v>
      </c>
    </row>
    <row r="214" spans="2:5" ht="15" customHeight="1">
      <c r="B214" s="97"/>
      <c r="C214" s="61" t="s">
        <v>204</v>
      </c>
      <c r="D214" s="62">
        <v>284</v>
      </c>
      <c r="E214" s="63">
        <v>4.4730749240049997E-3</v>
      </c>
    </row>
    <row r="215" spans="2:5" ht="15" customHeight="1">
      <c r="B215" s="97"/>
      <c r="C215" s="61" t="s">
        <v>205</v>
      </c>
      <c r="D215" s="62">
        <v>3</v>
      </c>
      <c r="E215" s="63">
        <v>4.7250791451000003E-5</v>
      </c>
    </row>
    <row r="216" spans="2:5" ht="15" customHeight="1">
      <c r="B216" s="97"/>
      <c r="C216" s="61" t="s">
        <v>206</v>
      </c>
      <c r="D216" s="62">
        <v>50</v>
      </c>
      <c r="E216" s="63">
        <v>7.8751319084600002E-4</v>
      </c>
    </row>
    <row r="217" spans="2:5" ht="15" customHeight="1">
      <c r="B217" s="97"/>
      <c r="C217" s="61" t="s">
        <v>207</v>
      </c>
      <c r="D217" s="62">
        <v>149</v>
      </c>
      <c r="E217" s="63">
        <v>2.3467893087209999E-3</v>
      </c>
    </row>
    <row r="218" spans="2:5" ht="15" customHeight="1">
      <c r="B218" s="97"/>
      <c r="C218" s="61" t="s">
        <v>208</v>
      </c>
      <c r="D218" s="62">
        <v>3</v>
      </c>
      <c r="E218" s="63">
        <v>4.7250791451000003E-5</v>
      </c>
    </row>
    <row r="219" spans="2:5" ht="15" customHeight="1">
      <c r="B219" s="97"/>
      <c r="C219" s="61" t="s">
        <v>209</v>
      </c>
      <c r="D219" s="62">
        <v>2</v>
      </c>
      <c r="E219" s="63">
        <v>3.1500527634000002E-5</v>
      </c>
    </row>
    <row r="220" spans="2:5" ht="15" customHeight="1">
      <c r="B220" s="97"/>
      <c r="C220" s="61" t="s">
        <v>210</v>
      </c>
      <c r="D220" s="62">
        <v>2</v>
      </c>
      <c r="E220" s="63">
        <v>3.1500527634000002E-5</v>
      </c>
    </row>
    <row r="221" spans="2:5" ht="15" customHeight="1">
      <c r="B221" s="97"/>
      <c r="C221" s="61" t="s">
        <v>212</v>
      </c>
      <c r="D221" s="62">
        <v>4</v>
      </c>
      <c r="E221" s="63">
        <v>6.3001055268000004E-5</v>
      </c>
    </row>
    <row r="222" spans="2:5" ht="15" customHeight="1">
      <c r="B222" s="97"/>
      <c r="C222" s="61" t="s">
        <v>213</v>
      </c>
      <c r="D222" s="62">
        <v>12</v>
      </c>
      <c r="E222" s="63">
        <v>1.89003165803E-4</v>
      </c>
    </row>
    <row r="223" spans="2:5" ht="15" customHeight="1">
      <c r="B223" s="98"/>
      <c r="C223" s="75" t="s">
        <v>302</v>
      </c>
      <c r="D223" s="74">
        <v>939</v>
      </c>
      <c r="E223" s="76">
        <v>1.4789497724087001E-2</v>
      </c>
    </row>
    <row r="224" spans="2:5" ht="15" customHeight="1">
      <c r="B224" s="96" t="s">
        <v>61</v>
      </c>
      <c r="C224" s="61" t="s">
        <v>193</v>
      </c>
      <c r="D224" s="62">
        <v>25</v>
      </c>
      <c r="E224" s="63">
        <v>3.9375659542300001E-4</v>
      </c>
    </row>
    <row r="225" spans="2:5" ht="15" customHeight="1">
      <c r="B225" s="97"/>
      <c r="C225" s="61" t="s">
        <v>194</v>
      </c>
      <c r="D225" s="62">
        <v>7</v>
      </c>
      <c r="E225" s="63">
        <v>1.1025184671800001E-4</v>
      </c>
    </row>
    <row r="226" spans="2:5" ht="15" customHeight="1">
      <c r="B226" s="97"/>
      <c r="C226" s="61" t="s">
        <v>195</v>
      </c>
      <c r="D226" s="62">
        <v>15</v>
      </c>
      <c r="E226" s="63">
        <v>2.3625395725399999E-4</v>
      </c>
    </row>
    <row r="227" spans="2:5" ht="15" customHeight="1">
      <c r="B227" s="97"/>
      <c r="C227" s="61" t="s">
        <v>196</v>
      </c>
      <c r="D227" s="62">
        <v>33</v>
      </c>
      <c r="E227" s="63">
        <v>5.19758705958E-4</v>
      </c>
    </row>
    <row r="228" spans="2:5" ht="15" customHeight="1">
      <c r="B228" s="97"/>
      <c r="C228" s="61" t="s">
        <v>197</v>
      </c>
      <c r="D228" s="62">
        <v>31</v>
      </c>
      <c r="E228" s="63">
        <v>4.8825817832399998E-4</v>
      </c>
    </row>
    <row r="229" spans="2:5" ht="15" customHeight="1">
      <c r="B229" s="97"/>
      <c r="C229" s="61" t="s">
        <v>198</v>
      </c>
      <c r="D229" s="62">
        <v>26</v>
      </c>
      <c r="E229" s="63">
        <v>4.0950685924000003E-4</v>
      </c>
    </row>
    <row r="230" spans="2:5" ht="15" customHeight="1">
      <c r="B230" s="97"/>
      <c r="C230" s="61" t="s">
        <v>199</v>
      </c>
      <c r="D230" s="62">
        <v>172</v>
      </c>
      <c r="E230" s="63">
        <v>2.70904537651E-3</v>
      </c>
    </row>
    <row r="231" spans="2:5" ht="15" customHeight="1">
      <c r="B231" s="97"/>
      <c r="C231" s="61" t="s">
        <v>200</v>
      </c>
      <c r="D231" s="62">
        <v>233</v>
      </c>
      <c r="E231" s="63">
        <v>3.669811469342E-3</v>
      </c>
    </row>
    <row r="232" spans="2:5" ht="15" customHeight="1">
      <c r="B232" s="97"/>
      <c r="C232" s="61" t="s">
        <v>201</v>
      </c>
      <c r="D232" s="62">
        <v>20</v>
      </c>
      <c r="E232" s="63">
        <v>3.1500527633799999E-4</v>
      </c>
    </row>
    <row r="233" spans="2:5" ht="15" customHeight="1">
      <c r="B233" s="97"/>
      <c r="C233" s="61" t="s">
        <v>202</v>
      </c>
      <c r="D233" s="62">
        <v>46</v>
      </c>
      <c r="E233" s="63">
        <v>7.2451213557799996E-4</v>
      </c>
    </row>
    <row r="234" spans="2:5" ht="15" customHeight="1">
      <c r="B234" s="97"/>
      <c r="C234" s="61" t="s">
        <v>203</v>
      </c>
      <c r="D234" s="62">
        <v>82</v>
      </c>
      <c r="E234" s="63">
        <v>1.291521632987E-3</v>
      </c>
    </row>
    <row r="235" spans="2:5" ht="15" customHeight="1">
      <c r="B235" s="97"/>
      <c r="C235" s="61" t="s">
        <v>204</v>
      </c>
      <c r="D235" s="62">
        <v>498</v>
      </c>
      <c r="E235" s="63">
        <v>7.8436313808259994E-3</v>
      </c>
    </row>
    <row r="236" spans="2:5" ht="15" customHeight="1">
      <c r="B236" s="97"/>
      <c r="C236" s="61" t="s">
        <v>205</v>
      </c>
      <c r="D236" s="62">
        <v>6</v>
      </c>
      <c r="E236" s="63">
        <v>9.4501582902000006E-5</v>
      </c>
    </row>
    <row r="237" spans="2:5" ht="15" customHeight="1">
      <c r="B237" s="97"/>
      <c r="C237" s="61" t="s">
        <v>206</v>
      </c>
      <c r="D237" s="62">
        <v>71</v>
      </c>
      <c r="E237" s="63">
        <v>1.1182687310009999E-3</v>
      </c>
    </row>
    <row r="238" spans="2:5" ht="15" customHeight="1">
      <c r="B238" s="97"/>
      <c r="C238" s="61" t="s">
        <v>207</v>
      </c>
      <c r="D238" s="62">
        <v>227</v>
      </c>
      <c r="E238" s="63">
        <v>3.5753098864410001E-3</v>
      </c>
    </row>
    <row r="239" spans="2:5" ht="15" customHeight="1">
      <c r="B239" s="97"/>
      <c r="C239" s="61" t="s">
        <v>208</v>
      </c>
      <c r="D239" s="62">
        <v>1</v>
      </c>
      <c r="E239" s="63">
        <v>1.5750263817000001E-5</v>
      </c>
    </row>
    <row r="240" spans="2:5" ht="15" customHeight="1">
      <c r="B240" s="97"/>
      <c r="C240" s="61" t="s">
        <v>209</v>
      </c>
      <c r="D240" s="62">
        <v>6</v>
      </c>
      <c r="E240" s="63">
        <v>9.4501582902000006E-5</v>
      </c>
    </row>
    <row r="241" spans="2:5" ht="15" customHeight="1">
      <c r="B241" s="97"/>
      <c r="C241" s="61" t="s">
        <v>211</v>
      </c>
      <c r="D241" s="62">
        <v>2</v>
      </c>
      <c r="E241" s="63">
        <v>3.1500527634000002E-5</v>
      </c>
    </row>
    <row r="242" spans="2:5" ht="15" customHeight="1">
      <c r="B242" s="97"/>
      <c r="C242" s="61" t="s">
        <v>212</v>
      </c>
      <c r="D242" s="62">
        <v>9</v>
      </c>
      <c r="E242" s="63">
        <v>1.4175237435200001E-4</v>
      </c>
    </row>
    <row r="243" spans="2:5" ht="15" customHeight="1">
      <c r="B243" s="97"/>
      <c r="C243" s="61" t="s">
        <v>213</v>
      </c>
      <c r="D243" s="62">
        <v>29</v>
      </c>
      <c r="E243" s="63">
        <v>4.5675765069100001E-4</v>
      </c>
    </row>
    <row r="244" spans="2:5" ht="15" customHeight="1">
      <c r="B244" s="98"/>
      <c r="C244" s="75" t="s">
        <v>302</v>
      </c>
      <c r="D244" s="74">
        <v>1539</v>
      </c>
      <c r="E244" s="76">
        <v>2.4239656014238001E-2</v>
      </c>
    </row>
    <row r="245" spans="2:5" ht="15" customHeight="1">
      <c r="B245" s="96" t="s">
        <v>283</v>
      </c>
      <c r="C245" s="61" t="s">
        <v>204</v>
      </c>
      <c r="D245" s="62">
        <v>1</v>
      </c>
      <c r="E245" s="63">
        <v>1.5750263817000001E-5</v>
      </c>
    </row>
    <row r="246" spans="2:5" ht="15" customHeight="1">
      <c r="B246" s="98"/>
      <c r="C246" s="75" t="s">
        <v>302</v>
      </c>
      <c r="D246" s="74">
        <v>1</v>
      </c>
      <c r="E246" s="76">
        <v>1.5750263817000001E-5</v>
      </c>
    </row>
    <row r="247" spans="2:5" ht="15" customHeight="1">
      <c r="B247" s="96" t="s">
        <v>95</v>
      </c>
      <c r="C247" s="61" t="s">
        <v>193</v>
      </c>
      <c r="D247" s="62">
        <v>2</v>
      </c>
      <c r="E247" s="63">
        <v>3.1500527634000002E-5</v>
      </c>
    </row>
    <row r="248" spans="2:5" ht="15" customHeight="1">
      <c r="B248" s="97"/>
      <c r="C248" s="61" t="s">
        <v>197</v>
      </c>
      <c r="D248" s="62">
        <v>1</v>
      </c>
      <c r="E248" s="63">
        <v>1.5750263817000001E-5</v>
      </c>
    </row>
    <row r="249" spans="2:5" ht="15" customHeight="1">
      <c r="B249" s="97"/>
      <c r="C249" s="61" t="s">
        <v>198</v>
      </c>
      <c r="D249" s="62">
        <v>1</v>
      </c>
      <c r="E249" s="63">
        <v>1.5750263817000001E-5</v>
      </c>
    </row>
    <row r="250" spans="2:5" ht="15" customHeight="1">
      <c r="B250" s="97"/>
      <c r="C250" s="61" t="s">
        <v>199</v>
      </c>
      <c r="D250" s="62">
        <v>3</v>
      </c>
      <c r="E250" s="63">
        <v>4.7250791451000003E-5</v>
      </c>
    </row>
    <row r="251" spans="2:5" ht="15" customHeight="1">
      <c r="B251" s="97"/>
      <c r="C251" s="61" t="s">
        <v>203</v>
      </c>
      <c r="D251" s="62">
        <v>3</v>
      </c>
      <c r="E251" s="63">
        <v>4.7250791451000003E-5</v>
      </c>
    </row>
    <row r="252" spans="2:5" ht="15" customHeight="1">
      <c r="B252" s="97"/>
      <c r="C252" s="61" t="s">
        <v>204</v>
      </c>
      <c r="D252" s="62">
        <v>1</v>
      </c>
      <c r="E252" s="63">
        <v>1.5750263817000001E-5</v>
      </c>
    </row>
    <row r="253" spans="2:5" ht="15" customHeight="1">
      <c r="B253" s="97"/>
      <c r="C253" s="61" t="s">
        <v>206</v>
      </c>
      <c r="D253" s="62">
        <v>1</v>
      </c>
      <c r="E253" s="63">
        <v>1.5750263817000001E-5</v>
      </c>
    </row>
    <row r="254" spans="2:5" ht="15" customHeight="1">
      <c r="B254" s="97"/>
      <c r="C254" s="61" t="s">
        <v>207</v>
      </c>
      <c r="D254" s="62">
        <v>3</v>
      </c>
      <c r="E254" s="63">
        <v>4.7250791451000003E-5</v>
      </c>
    </row>
    <row r="255" spans="2:5" ht="15" customHeight="1">
      <c r="B255" s="97"/>
      <c r="C255" s="61" t="s">
        <v>208</v>
      </c>
      <c r="D255" s="62">
        <v>1</v>
      </c>
      <c r="E255" s="63">
        <v>1.5750263817000001E-5</v>
      </c>
    </row>
    <row r="256" spans="2:5" ht="15" customHeight="1">
      <c r="B256" s="98"/>
      <c r="C256" s="75" t="s">
        <v>302</v>
      </c>
      <c r="D256" s="74">
        <v>16</v>
      </c>
      <c r="E256" s="76">
        <v>2.52004221071E-4</v>
      </c>
    </row>
    <row r="257" spans="2:5" ht="15" customHeight="1">
      <c r="B257" s="96" t="s">
        <v>89</v>
      </c>
      <c r="C257" s="61" t="s">
        <v>195</v>
      </c>
      <c r="D257" s="62">
        <v>2</v>
      </c>
      <c r="E257" s="63">
        <v>3.1500527634000002E-5</v>
      </c>
    </row>
    <row r="258" spans="2:5" ht="15" customHeight="1">
      <c r="B258" s="97"/>
      <c r="C258" s="61" t="s">
        <v>196</v>
      </c>
      <c r="D258" s="62">
        <v>1</v>
      </c>
      <c r="E258" s="63">
        <v>1.5750263817000001E-5</v>
      </c>
    </row>
    <row r="259" spans="2:5" ht="15" customHeight="1">
      <c r="B259" s="97"/>
      <c r="C259" s="61" t="s">
        <v>198</v>
      </c>
      <c r="D259" s="62">
        <v>3</v>
      </c>
      <c r="E259" s="63">
        <v>4.7250791451000003E-5</v>
      </c>
    </row>
    <row r="260" spans="2:5" ht="15" customHeight="1">
      <c r="B260" s="97"/>
      <c r="C260" s="61" t="s">
        <v>199</v>
      </c>
      <c r="D260" s="62">
        <v>4</v>
      </c>
      <c r="E260" s="63">
        <v>6.3001055268000004E-5</v>
      </c>
    </row>
    <row r="261" spans="2:5" ht="15" customHeight="1">
      <c r="B261" s="97"/>
      <c r="C261" s="61" t="s">
        <v>200</v>
      </c>
      <c r="D261" s="62">
        <v>10</v>
      </c>
      <c r="E261" s="63">
        <v>1.57502638169E-4</v>
      </c>
    </row>
    <row r="262" spans="2:5" ht="15" customHeight="1">
      <c r="B262" s="97"/>
      <c r="C262" s="61" t="s">
        <v>201</v>
      </c>
      <c r="D262" s="62">
        <v>1</v>
      </c>
      <c r="E262" s="63">
        <v>1.5750263817000001E-5</v>
      </c>
    </row>
    <row r="263" spans="2:5" ht="15" customHeight="1">
      <c r="B263" s="97"/>
      <c r="C263" s="61" t="s">
        <v>202</v>
      </c>
      <c r="D263" s="62">
        <v>5</v>
      </c>
      <c r="E263" s="63">
        <v>7.8751319085000005E-5</v>
      </c>
    </row>
    <row r="264" spans="2:5" ht="15" customHeight="1">
      <c r="B264" s="97"/>
      <c r="C264" s="61" t="s">
        <v>203</v>
      </c>
      <c r="D264" s="62">
        <v>4</v>
      </c>
      <c r="E264" s="63">
        <v>6.3001055268000004E-5</v>
      </c>
    </row>
    <row r="265" spans="2:5" ht="15" customHeight="1">
      <c r="B265" s="97"/>
      <c r="C265" s="61" t="s">
        <v>204</v>
      </c>
      <c r="D265" s="62">
        <v>22</v>
      </c>
      <c r="E265" s="63">
        <v>3.4650580397200002E-4</v>
      </c>
    </row>
    <row r="266" spans="2:5" ht="15" customHeight="1">
      <c r="B266" s="97"/>
      <c r="C266" s="61" t="s">
        <v>205</v>
      </c>
      <c r="D266" s="62">
        <v>1</v>
      </c>
      <c r="E266" s="63">
        <v>1.5750263817000001E-5</v>
      </c>
    </row>
    <row r="267" spans="2:5" ht="15" customHeight="1">
      <c r="B267" s="97"/>
      <c r="C267" s="61" t="s">
        <v>206</v>
      </c>
      <c r="D267" s="62">
        <v>1</v>
      </c>
      <c r="E267" s="63">
        <v>1.5750263817000001E-5</v>
      </c>
    </row>
    <row r="268" spans="2:5" ht="15" customHeight="1">
      <c r="B268" s="97"/>
      <c r="C268" s="61" t="s">
        <v>207</v>
      </c>
      <c r="D268" s="62">
        <v>16</v>
      </c>
      <c r="E268" s="63">
        <v>2.52004221071E-4</v>
      </c>
    </row>
    <row r="269" spans="2:5" ht="15" customHeight="1">
      <c r="B269" s="97"/>
      <c r="C269" s="61" t="s">
        <v>210</v>
      </c>
      <c r="D269" s="62">
        <v>1</v>
      </c>
      <c r="E269" s="63">
        <v>1.5750263817000001E-5</v>
      </c>
    </row>
    <row r="270" spans="2:5" ht="15" customHeight="1">
      <c r="B270" s="97"/>
      <c r="C270" s="61" t="s">
        <v>213</v>
      </c>
      <c r="D270" s="62">
        <v>1</v>
      </c>
      <c r="E270" s="63">
        <v>1.5750263817000001E-5</v>
      </c>
    </row>
    <row r="271" spans="2:5" ht="15" customHeight="1">
      <c r="B271" s="97"/>
      <c r="C271" s="61" t="s">
        <v>215</v>
      </c>
      <c r="D271" s="62">
        <v>1</v>
      </c>
      <c r="E271" s="63">
        <v>1.5750263817000001E-5</v>
      </c>
    </row>
    <row r="272" spans="2:5" ht="15" customHeight="1">
      <c r="B272" s="98"/>
      <c r="C272" s="75" t="s">
        <v>302</v>
      </c>
      <c r="D272" s="74">
        <v>73</v>
      </c>
      <c r="E272" s="76">
        <v>1.1497692586350001E-3</v>
      </c>
    </row>
    <row r="273" spans="2:5" ht="15" customHeight="1">
      <c r="B273" s="96" t="s">
        <v>68</v>
      </c>
      <c r="C273" s="61" t="s">
        <v>193</v>
      </c>
      <c r="D273" s="62">
        <v>9</v>
      </c>
      <c r="E273" s="63">
        <v>1.4175237435200001E-4</v>
      </c>
    </row>
    <row r="274" spans="2:5" ht="15" customHeight="1">
      <c r="B274" s="97"/>
      <c r="C274" s="61" t="s">
        <v>194</v>
      </c>
      <c r="D274" s="62">
        <v>3</v>
      </c>
      <c r="E274" s="63">
        <v>4.7250791451000003E-5</v>
      </c>
    </row>
    <row r="275" spans="2:5" ht="15" customHeight="1">
      <c r="B275" s="97"/>
      <c r="C275" s="61" t="s">
        <v>195</v>
      </c>
      <c r="D275" s="62">
        <v>5</v>
      </c>
      <c r="E275" s="63">
        <v>7.8751319085000005E-5</v>
      </c>
    </row>
    <row r="276" spans="2:5" ht="15" customHeight="1">
      <c r="B276" s="97"/>
      <c r="C276" s="61" t="s">
        <v>196</v>
      </c>
      <c r="D276" s="62">
        <v>12</v>
      </c>
      <c r="E276" s="63">
        <v>1.89003165803E-4</v>
      </c>
    </row>
    <row r="277" spans="2:5" ht="15" customHeight="1">
      <c r="B277" s="97"/>
      <c r="C277" s="61" t="s">
        <v>197</v>
      </c>
      <c r="D277" s="62">
        <v>9</v>
      </c>
      <c r="E277" s="63">
        <v>1.4175237435200001E-4</v>
      </c>
    </row>
    <row r="278" spans="2:5" ht="15" customHeight="1">
      <c r="B278" s="97"/>
      <c r="C278" s="61" t="s">
        <v>198</v>
      </c>
      <c r="D278" s="62">
        <v>16</v>
      </c>
      <c r="E278" s="63">
        <v>2.52004221071E-4</v>
      </c>
    </row>
    <row r="279" spans="2:5" ht="15" customHeight="1">
      <c r="B279" s="97"/>
      <c r="C279" s="61" t="s">
        <v>199</v>
      </c>
      <c r="D279" s="62">
        <v>62</v>
      </c>
      <c r="E279" s="63">
        <v>9.7651635664900002E-4</v>
      </c>
    </row>
    <row r="280" spans="2:5" ht="15" customHeight="1">
      <c r="B280" s="97"/>
      <c r="C280" s="61" t="s">
        <v>200</v>
      </c>
      <c r="D280" s="62">
        <v>91</v>
      </c>
      <c r="E280" s="63">
        <v>1.4332740073399999E-3</v>
      </c>
    </row>
    <row r="281" spans="2:5" ht="15" customHeight="1">
      <c r="B281" s="97"/>
      <c r="C281" s="61" t="s">
        <v>201</v>
      </c>
      <c r="D281" s="62">
        <v>9</v>
      </c>
      <c r="E281" s="63">
        <v>1.4175237435200001E-4</v>
      </c>
    </row>
    <row r="282" spans="2:5" ht="15" customHeight="1">
      <c r="B282" s="97"/>
      <c r="C282" s="61" t="s">
        <v>202</v>
      </c>
      <c r="D282" s="62">
        <v>16</v>
      </c>
      <c r="E282" s="63">
        <v>2.52004221071E-4</v>
      </c>
    </row>
    <row r="283" spans="2:5" ht="15" customHeight="1">
      <c r="B283" s="97"/>
      <c r="C283" s="61" t="s">
        <v>203</v>
      </c>
      <c r="D283" s="62">
        <v>18</v>
      </c>
      <c r="E283" s="63">
        <v>2.8350474870499998E-4</v>
      </c>
    </row>
    <row r="284" spans="2:5" ht="15" customHeight="1">
      <c r="B284" s="97"/>
      <c r="C284" s="61" t="s">
        <v>204</v>
      </c>
      <c r="D284" s="62">
        <v>160</v>
      </c>
      <c r="E284" s="63">
        <v>2.5200422107070001E-3</v>
      </c>
    </row>
    <row r="285" spans="2:5" ht="15" customHeight="1">
      <c r="B285" s="97"/>
      <c r="C285" s="61" t="s">
        <v>205</v>
      </c>
      <c r="D285" s="62">
        <v>3</v>
      </c>
      <c r="E285" s="63">
        <v>4.7250791451000003E-5</v>
      </c>
    </row>
    <row r="286" spans="2:5" ht="15" customHeight="1">
      <c r="B286" s="97"/>
      <c r="C286" s="61" t="s">
        <v>206</v>
      </c>
      <c r="D286" s="62">
        <v>22</v>
      </c>
      <c r="E286" s="63">
        <v>3.4650580397200002E-4</v>
      </c>
    </row>
    <row r="287" spans="2:5" ht="15" customHeight="1">
      <c r="B287" s="97"/>
      <c r="C287" s="61" t="s">
        <v>207</v>
      </c>
      <c r="D287" s="62">
        <v>90</v>
      </c>
      <c r="E287" s="63">
        <v>1.4175237435230001E-3</v>
      </c>
    </row>
    <row r="288" spans="2:5" ht="15" customHeight="1">
      <c r="B288" s="97"/>
      <c r="C288" s="61" t="s">
        <v>208</v>
      </c>
      <c r="D288" s="62">
        <v>1</v>
      </c>
      <c r="E288" s="63">
        <v>1.5750263817000001E-5</v>
      </c>
    </row>
    <row r="289" spans="2:5" ht="15" customHeight="1">
      <c r="B289" s="97"/>
      <c r="C289" s="61" t="s">
        <v>209</v>
      </c>
      <c r="D289" s="62">
        <v>2</v>
      </c>
      <c r="E289" s="63">
        <v>3.1500527634000002E-5</v>
      </c>
    </row>
    <row r="290" spans="2:5" ht="15" customHeight="1">
      <c r="B290" s="97"/>
      <c r="C290" s="61" t="s">
        <v>211</v>
      </c>
      <c r="D290" s="62">
        <v>1</v>
      </c>
      <c r="E290" s="63">
        <v>1.5750263817000001E-5</v>
      </c>
    </row>
    <row r="291" spans="2:5" ht="15" customHeight="1">
      <c r="B291" s="97"/>
      <c r="C291" s="61" t="s">
        <v>212</v>
      </c>
      <c r="D291" s="62">
        <v>6</v>
      </c>
      <c r="E291" s="63">
        <v>9.4501582902000006E-5</v>
      </c>
    </row>
    <row r="292" spans="2:5" ht="15" customHeight="1">
      <c r="B292" s="97"/>
      <c r="C292" s="61" t="s">
        <v>213</v>
      </c>
      <c r="D292" s="62">
        <v>11</v>
      </c>
      <c r="E292" s="63">
        <v>1.7325290198600001E-4</v>
      </c>
    </row>
    <row r="293" spans="2:5" ht="15" customHeight="1">
      <c r="B293" s="98"/>
      <c r="C293" s="75" t="s">
        <v>302</v>
      </c>
      <c r="D293" s="74">
        <v>546</v>
      </c>
      <c r="E293" s="76">
        <v>8.5996440440380007E-3</v>
      </c>
    </row>
    <row r="294" spans="2:5" ht="15" customHeight="1">
      <c r="B294" s="96" t="s">
        <v>54</v>
      </c>
      <c r="C294" s="61" t="s">
        <v>193</v>
      </c>
      <c r="D294" s="62">
        <v>74</v>
      </c>
      <c r="E294" s="63">
        <v>1.1655195224519999E-3</v>
      </c>
    </row>
    <row r="295" spans="2:5" ht="15" customHeight="1">
      <c r="B295" s="97"/>
      <c r="C295" s="61" t="s">
        <v>292</v>
      </c>
      <c r="D295" s="62">
        <v>1</v>
      </c>
      <c r="E295" s="63">
        <v>1.5750263817000001E-5</v>
      </c>
    </row>
    <row r="296" spans="2:5" ht="15" customHeight="1">
      <c r="B296" s="97"/>
      <c r="C296" s="61" t="s">
        <v>194</v>
      </c>
      <c r="D296" s="62">
        <v>13</v>
      </c>
      <c r="E296" s="63">
        <v>2.0475342962000001E-4</v>
      </c>
    </row>
    <row r="297" spans="2:5" ht="15" customHeight="1">
      <c r="B297" s="97"/>
      <c r="C297" s="61" t="s">
        <v>195</v>
      </c>
      <c r="D297" s="62">
        <v>34</v>
      </c>
      <c r="E297" s="63">
        <v>5.3550896977499996E-4</v>
      </c>
    </row>
    <row r="298" spans="2:5" ht="15" customHeight="1">
      <c r="B298" s="97"/>
      <c r="C298" s="61" t="s">
        <v>196</v>
      </c>
      <c r="D298" s="62">
        <v>62</v>
      </c>
      <c r="E298" s="63">
        <v>9.7651635664900002E-4</v>
      </c>
    </row>
    <row r="299" spans="2:5" ht="15" customHeight="1">
      <c r="B299" s="97"/>
      <c r="C299" s="61" t="s">
        <v>197</v>
      </c>
      <c r="D299" s="62">
        <v>53</v>
      </c>
      <c r="E299" s="63">
        <v>8.3476398229700001E-4</v>
      </c>
    </row>
    <row r="300" spans="2:5" ht="15" customHeight="1">
      <c r="B300" s="97"/>
      <c r="C300" s="61" t="s">
        <v>198</v>
      </c>
      <c r="D300" s="62">
        <v>56</v>
      </c>
      <c r="E300" s="63">
        <v>8.8201477374700004E-4</v>
      </c>
    </row>
    <row r="301" spans="2:5" ht="15" customHeight="1">
      <c r="B301" s="97"/>
      <c r="C301" s="61" t="s">
        <v>199</v>
      </c>
      <c r="D301" s="62">
        <v>256</v>
      </c>
      <c r="E301" s="63">
        <v>4.0320675371309997E-3</v>
      </c>
    </row>
    <row r="302" spans="2:5" ht="15" customHeight="1">
      <c r="B302" s="97"/>
      <c r="C302" s="61" t="s">
        <v>200</v>
      </c>
      <c r="D302" s="62">
        <v>307</v>
      </c>
      <c r="E302" s="63">
        <v>4.8353309917939999E-3</v>
      </c>
    </row>
    <row r="303" spans="2:5" ht="15" customHeight="1">
      <c r="B303" s="97"/>
      <c r="C303" s="61" t="s">
        <v>201</v>
      </c>
      <c r="D303" s="62">
        <v>21</v>
      </c>
      <c r="E303" s="63">
        <v>3.3075554015500001E-4</v>
      </c>
    </row>
    <row r="304" spans="2:5" ht="15" customHeight="1">
      <c r="B304" s="97"/>
      <c r="C304" s="61" t="s">
        <v>202</v>
      </c>
      <c r="D304" s="62">
        <v>49</v>
      </c>
      <c r="E304" s="63">
        <v>7.7176292702899995E-4</v>
      </c>
    </row>
    <row r="305" spans="2:5" ht="15" customHeight="1">
      <c r="B305" s="97"/>
      <c r="C305" s="61" t="s">
        <v>203</v>
      </c>
      <c r="D305" s="62">
        <v>88</v>
      </c>
      <c r="E305" s="63">
        <v>1.3860232158889999E-3</v>
      </c>
    </row>
    <row r="306" spans="2:5" ht="15" customHeight="1">
      <c r="B306" s="97"/>
      <c r="C306" s="61" t="s">
        <v>204</v>
      </c>
      <c r="D306" s="62">
        <v>369</v>
      </c>
      <c r="E306" s="63">
        <v>5.8118473484430003E-3</v>
      </c>
    </row>
    <row r="307" spans="2:5" ht="15" customHeight="1">
      <c r="B307" s="97"/>
      <c r="C307" s="61" t="s">
        <v>205</v>
      </c>
      <c r="D307" s="62">
        <v>17</v>
      </c>
      <c r="E307" s="63">
        <v>2.6775448488800002E-4</v>
      </c>
    </row>
    <row r="308" spans="2:5" ht="15" customHeight="1">
      <c r="B308" s="97"/>
      <c r="C308" s="61" t="s">
        <v>206</v>
      </c>
      <c r="D308" s="62">
        <v>78</v>
      </c>
      <c r="E308" s="63">
        <v>1.22852057772E-3</v>
      </c>
    </row>
    <row r="309" spans="2:5" ht="15" customHeight="1">
      <c r="B309" s="97"/>
      <c r="C309" s="61" t="s">
        <v>207</v>
      </c>
      <c r="D309" s="62">
        <v>219</v>
      </c>
      <c r="E309" s="63">
        <v>3.449307775905E-3</v>
      </c>
    </row>
    <row r="310" spans="2:5" ht="15" customHeight="1">
      <c r="B310" s="97"/>
      <c r="C310" s="61" t="s">
        <v>208</v>
      </c>
      <c r="D310" s="62">
        <v>5</v>
      </c>
      <c r="E310" s="63">
        <v>7.8751319085000005E-5</v>
      </c>
    </row>
    <row r="311" spans="2:5" ht="15" customHeight="1">
      <c r="B311" s="97"/>
      <c r="C311" s="61" t="s">
        <v>209</v>
      </c>
      <c r="D311" s="62">
        <v>4</v>
      </c>
      <c r="E311" s="63">
        <v>6.3001055268000004E-5</v>
      </c>
    </row>
    <row r="312" spans="2:5" ht="15" customHeight="1">
      <c r="B312" s="97"/>
      <c r="C312" s="61" t="s">
        <v>210</v>
      </c>
      <c r="D312" s="62">
        <v>4</v>
      </c>
      <c r="E312" s="63">
        <v>6.3001055268000004E-5</v>
      </c>
    </row>
    <row r="313" spans="2:5" ht="15" customHeight="1">
      <c r="B313" s="97"/>
      <c r="C313" s="61" t="s">
        <v>211</v>
      </c>
      <c r="D313" s="62">
        <v>2</v>
      </c>
      <c r="E313" s="63">
        <v>3.1500527634000002E-5</v>
      </c>
    </row>
    <row r="314" spans="2:5" ht="15" customHeight="1">
      <c r="B314" s="97"/>
      <c r="C314" s="61" t="s">
        <v>212</v>
      </c>
      <c r="D314" s="62">
        <v>17</v>
      </c>
      <c r="E314" s="63">
        <v>2.6775448488800002E-4</v>
      </c>
    </row>
    <row r="315" spans="2:5" ht="15" customHeight="1">
      <c r="B315" s="97"/>
      <c r="C315" s="61" t="s">
        <v>213</v>
      </c>
      <c r="D315" s="62">
        <v>31</v>
      </c>
      <c r="E315" s="63">
        <v>4.8825817832399998E-4</v>
      </c>
    </row>
    <row r="316" spans="2:5" ht="15" customHeight="1">
      <c r="B316" s="98"/>
      <c r="C316" s="75" t="s">
        <v>302</v>
      </c>
      <c r="D316" s="74">
        <v>1760</v>
      </c>
      <c r="E316" s="76">
        <v>2.7720464317776999E-2</v>
      </c>
    </row>
    <row r="317" spans="2:5" ht="15" customHeight="1">
      <c r="B317" s="96" t="s">
        <v>48</v>
      </c>
      <c r="C317" s="61" t="s">
        <v>193</v>
      </c>
      <c r="D317" s="62">
        <v>111</v>
      </c>
      <c r="E317" s="63">
        <v>1.7482792836780001E-3</v>
      </c>
    </row>
    <row r="318" spans="2:5" ht="15" customHeight="1">
      <c r="B318" s="97"/>
      <c r="C318" s="61" t="s">
        <v>292</v>
      </c>
      <c r="D318" s="62">
        <v>3</v>
      </c>
      <c r="E318" s="63">
        <v>4.7250791451000003E-5</v>
      </c>
    </row>
    <row r="319" spans="2:5" ht="15" customHeight="1">
      <c r="B319" s="97"/>
      <c r="C319" s="61" t="s">
        <v>194</v>
      </c>
      <c r="D319" s="62">
        <v>44</v>
      </c>
      <c r="E319" s="63">
        <v>6.9301160794400004E-4</v>
      </c>
    </row>
    <row r="320" spans="2:5" ht="15" customHeight="1">
      <c r="B320" s="97"/>
      <c r="C320" s="61" t="s">
        <v>195</v>
      </c>
      <c r="D320" s="62">
        <v>74</v>
      </c>
      <c r="E320" s="63">
        <v>1.1655195224519999E-3</v>
      </c>
    </row>
    <row r="321" spans="2:5" ht="15" customHeight="1">
      <c r="B321" s="97"/>
      <c r="C321" s="61" t="s">
        <v>196</v>
      </c>
      <c r="D321" s="62">
        <v>144</v>
      </c>
      <c r="E321" s="63">
        <v>2.268037989636E-3</v>
      </c>
    </row>
    <row r="322" spans="2:5" ht="15" customHeight="1">
      <c r="B322" s="97"/>
      <c r="C322" s="61" t="s">
        <v>197</v>
      </c>
      <c r="D322" s="62">
        <v>88</v>
      </c>
      <c r="E322" s="63">
        <v>1.3860232158889999E-3</v>
      </c>
    </row>
    <row r="323" spans="2:5" ht="15" customHeight="1">
      <c r="B323" s="97"/>
      <c r="C323" s="61" t="s">
        <v>198</v>
      </c>
      <c r="D323" s="62">
        <v>102</v>
      </c>
      <c r="E323" s="63">
        <v>1.606526909326E-3</v>
      </c>
    </row>
    <row r="324" spans="2:5" ht="15" customHeight="1">
      <c r="B324" s="97"/>
      <c r="C324" s="61" t="s">
        <v>199</v>
      </c>
      <c r="D324" s="62">
        <v>589</v>
      </c>
      <c r="E324" s="63">
        <v>9.2769053881650004E-3</v>
      </c>
    </row>
    <row r="325" spans="2:5" ht="15" customHeight="1">
      <c r="B325" s="97"/>
      <c r="C325" s="61" t="s">
        <v>200</v>
      </c>
      <c r="D325" s="62">
        <v>1072</v>
      </c>
      <c r="E325" s="63">
        <v>1.6884282811737001E-2</v>
      </c>
    </row>
    <row r="326" spans="2:5" ht="15" customHeight="1">
      <c r="B326" s="97"/>
      <c r="C326" s="61" t="s">
        <v>201</v>
      </c>
      <c r="D326" s="62">
        <v>57</v>
      </c>
      <c r="E326" s="63">
        <v>8.97765037564E-4</v>
      </c>
    </row>
    <row r="327" spans="2:5" ht="15" customHeight="1">
      <c r="B327" s="97"/>
      <c r="C327" s="61" t="s">
        <v>202</v>
      </c>
      <c r="D327" s="62">
        <v>123</v>
      </c>
      <c r="E327" s="63">
        <v>1.937282449481E-3</v>
      </c>
    </row>
    <row r="328" spans="2:5" ht="15" customHeight="1">
      <c r="B328" s="97"/>
      <c r="C328" s="61" t="s">
        <v>203</v>
      </c>
      <c r="D328" s="62">
        <v>289</v>
      </c>
      <c r="E328" s="63">
        <v>4.5518262430899997E-3</v>
      </c>
    </row>
    <row r="329" spans="2:5" ht="15" customHeight="1">
      <c r="B329" s="97"/>
      <c r="C329" s="61" t="s">
        <v>204</v>
      </c>
      <c r="D329" s="62">
        <v>1942</v>
      </c>
      <c r="E329" s="63">
        <v>3.0587012332457E-2</v>
      </c>
    </row>
    <row r="330" spans="2:5" ht="15" customHeight="1">
      <c r="B330" s="97"/>
      <c r="C330" s="61" t="s">
        <v>205</v>
      </c>
      <c r="D330" s="62">
        <v>37</v>
      </c>
      <c r="E330" s="63">
        <v>5.8275976122599995E-4</v>
      </c>
    </row>
    <row r="331" spans="2:5" ht="15" customHeight="1">
      <c r="B331" s="97"/>
      <c r="C331" s="61" t="s">
        <v>206</v>
      </c>
      <c r="D331" s="62">
        <v>274</v>
      </c>
      <c r="E331" s="63">
        <v>4.315572285836E-3</v>
      </c>
    </row>
    <row r="332" spans="2:5" ht="15" customHeight="1">
      <c r="B332" s="97"/>
      <c r="C332" s="61" t="s">
        <v>207</v>
      </c>
      <c r="D332" s="62">
        <v>1014</v>
      </c>
      <c r="E332" s="63">
        <v>1.5970767510356001E-2</v>
      </c>
    </row>
    <row r="333" spans="2:5" ht="15" customHeight="1">
      <c r="B333" s="97"/>
      <c r="C333" s="61" t="s">
        <v>208</v>
      </c>
      <c r="D333" s="62">
        <v>13</v>
      </c>
      <c r="E333" s="63">
        <v>2.0475342962000001E-4</v>
      </c>
    </row>
    <row r="334" spans="2:5" ht="15" customHeight="1">
      <c r="B334" s="97"/>
      <c r="C334" s="61" t="s">
        <v>209</v>
      </c>
      <c r="D334" s="62">
        <v>15</v>
      </c>
      <c r="E334" s="63">
        <v>2.3625395725399999E-4</v>
      </c>
    </row>
    <row r="335" spans="2:5" ht="15" customHeight="1">
      <c r="B335" s="97"/>
      <c r="C335" s="61" t="s">
        <v>210</v>
      </c>
      <c r="D335" s="62">
        <v>8</v>
      </c>
      <c r="E335" s="63">
        <v>1.2600211053499999E-4</v>
      </c>
    </row>
    <row r="336" spans="2:5" ht="15" customHeight="1">
      <c r="B336" s="97"/>
      <c r="C336" s="61" t="s">
        <v>211</v>
      </c>
      <c r="D336" s="62">
        <v>1</v>
      </c>
      <c r="E336" s="63">
        <v>1.5750263817000001E-5</v>
      </c>
    </row>
    <row r="337" spans="2:5" ht="15" customHeight="1">
      <c r="B337" s="97"/>
      <c r="C337" s="61" t="s">
        <v>212</v>
      </c>
      <c r="D337" s="62">
        <v>29</v>
      </c>
      <c r="E337" s="63">
        <v>4.5675765069100001E-4</v>
      </c>
    </row>
    <row r="338" spans="2:5" ht="15" customHeight="1">
      <c r="B338" s="97"/>
      <c r="C338" s="61" t="s">
        <v>213</v>
      </c>
      <c r="D338" s="62">
        <v>98</v>
      </c>
      <c r="E338" s="63">
        <v>1.5435258540579999E-3</v>
      </c>
    </row>
    <row r="339" spans="2:5" ht="15" customHeight="1">
      <c r="B339" s="97"/>
      <c r="C339" s="61" t="s">
        <v>214</v>
      </c>
      <c r="D339" s="62">
        <v>11</v>
      </c>
      <c r="E339" s="63">
        <v>1.7325290198600001E-4</v>
      </c>
    </row>
    <row r="340" spans="2:5" ht="15" customHeight="1">
      <c r="B340" s="97"/>
      <c r="C340" s="61" t="s">
        <v>215</v>
      </c>
      <c r="D340" s="62">
        <v>1</v>
      </c>
      <c r="E340" s="63">
        <v>1.5750263817000001E-5</v>
      </c>
    </row>
    <row r="341" spans="2:5" ht="15" customHeight="1">
      <c r="B341" s="97"/>
      <c r="C341" s="61" t="s">
        <v>216</v>
      </c>
      <c r="D341" s="62">
        <v>3</v>
      </c>
      <c r="E341" s="63">
        <v>4.7250791451000003E-5</v>
      </c>
    </row>
    <row r="342" spans="2:5" ht="15" customHeight="1">
      <c r="B342" s="98"/>
      <c r="C342" s="75" t="s">
        <v>302</v>
      </c>
      <c r="D342" s="74">
        <v>6142</v>
      </c>
      <c r="E342" s="76">
        <v>9.6738120363516006E-2</v>
      </c>
    </row>
    <row r="343" spans="2:5" ht="15" customHeight="1">
      <c r="B343" s="96" t="s">
        <v>69</v>
      </c>
      <c r="C343" s="61" t="s">
        <v>193</v>
      </c>
      <c r="D343" s="62">
        <v>6</v>
      </c>
      <c r="E343" s="63">
        <v>9.4501582902000006E-5</v>
      </c>
    </row>
    <row r="344" spans="2:5" ht="15" customHeight="1">
      <c r="B344" s="97"/>
      <c r="C344" s="61" t="s">
        <v>194</v>
      </c>
      <c r="D344" s="62">
        <v>2</v>
      </c>
      <c r="E344" s="63">
        <v>3.1500527634000002E-5</v>
      </c>
    </row>
    <row r="345" spans="2:5" ht="15" customHeight="1">
      <c r="B345" s="97"/>
      <c r="C345" s="61" t="s">
        <v>195</v>
      </c>
      <c r="D345" s="62">
        <v>4</v>
      </c>
      <c r="E345" s="63">
        <v>6.3001055268000004E-5</v>
      </c>
    </row>
    <row r="346" spans="2:5" ht="15" customHeight="1">
      <c r="B346" s="97"/>
      <c r="C346" s="61" t="s">
        <v>196</v>
      </c>
      <c r="D346" s="62">
        <v>8</v>
      </c>
      <c r="E346" s="63">
        <v>1.2600211053499999E-4</v>
      </c>
    </row>
    <row r="347" spans="2:5" ht="15" customHeight="1">
      <c r="B347" s="97"/>
      <c r="C347" s="61" t="s">
        <v>197</v>
      </c>
      <c r="D347" s="62">
        <v>4</v>
      </c>
      <c r="E347" s="63">
        <v>6.3001055268000004E-5</v>
      </c>
    </row>
    <row r="348" spans="2:5" ht="15" customHeight="1">
      <c r="B348" s="97"/>
      <c r="C348" s="61" t="s">
        <v>198</v>
      </c>
      <c r="D348" s="62">
        <v>7</v>
      </c>
      <c r="E348" s="63">
        <v>1.1025184671800001E-4</v>
      </c>
    </row>
    <row r="349" spans="2:5" ht="15" customHeight="1">
      <c r="B349" s="97"/>
      <c r="C349" s="61" t="s">
        <v>199</v>
      </c>
      <c r="D349" s="62">
        <v>49</v>
      </c>
      <c r="E349" s="63">
        <v>7.7176292702899995E-4</v>
      </c>
    </row>
    <row r="350" spans="2:5" ht="15" customHeight="1">
      <c r="B350" s="97"/>
      <c r="C350" s="61" t="s">
        <v>200</v>
      </c>
      <c r="D350" s="62">
        <v>70</v>
      </c>
      <c r="E350" s="63">
        <v>1.1025184671840001E-3</v>
      </c>
    </row>
    <row r="351" spans="2:5" ht="15" customHeight="1">
      <c r="B351" s="97"/>
      <c r="C351" s="61" t="s">
        <v>201</v>
      </c>
      <c r="D351" s="62">
        <v>5</v>
      </c>
      <c r="E351" s="63">
        <v>7.8751319085000005E-5</v>
      </c>
    </row>
    <row r="352" spans="2:5" ht="15" customHeight="1">
      <c r="B352" s="97"/>
      <c r="C352" s="61" t="s">
        <v>202</v>
      </c>
      <c r="D352" s="62">
        <v>23</v>
      </c>
      <c r="E352" s="63">
        <v>3.6225606778899998E-4</v>
      </c>
    </row>
    <row r="353" spans="2:5" ht="15" customHeight="1">
      <c r="B353" s="97"/>
      <c r="C353" s="61" t="s">
        <v>203</v>
      </c>
      <c r="D353" s="62">
        <v>25</v>
      </c>
      <c r="E353" s="63">
        <v>3.9375659542300001E-4</v>
      </c>
    </row>
    <row r="354" spans="2:5" ht="15" customHeight="1">
      <c r="B354" s="97"/>
      <c r="C354" s="61" t="s">
        <v>204</v>
      </c>
      <c r="D354" s="62">
        <v>169</v>
      </c>
      <c r="E354" s="63">
        <v>2.6617945850589998E-3</v>
      </c>
    </row>
    <row r="355" spans="2:5" ht="15" customHeight="1">
      <c r="B355" s="97"/>
      <c r="C355" s="61" t="s">
        <v>205</v>
      </c>
      <c r="D355" s="62">
        <v>7</v>
      </c>
      <c r="E355" s="63">
        <v>1.1025184671800001E-4</v>
      </c>
    </row>
    <row r="356" spans="2:5" ht="15" customHeight="1">
      <c r="B356" s="97"/>
      <c r="C356" s="61" t="s">
        <v>206</v>
      </c>
      <c r="D356" s="62">
        <v>34</v>
      </c>
      <c r="E356" s="63">
        <v>5.3550896977499996E-4</v>
      </c>
    </row>
    <row r="357" spans="2:5" ht="15" customHeight="1">
      <c r="B357" s="97"/>
      <c r="C357" s="61" t="s">
        <v>207</v>
      </c>
      <c r="D357" s="62">
        <v>68</v>
      </c>
      <c r="E357" s="63">
        <v>1.0710179395499999E-3</v>
      </c>
    </row>
    <row r="358" spans="2:5" ht="15" customHeight="1">
      <c r="B358" s="97"/>
      <c r="C358" s="61" t="s">
        <v>208</v>
      </c>
      <c r="D358" s="62">
        <v>2</v>
      </c>
      <c r="E358" s="63">
        <v>3.1500527634000002E-5</v>
      </c>
    </row>
    <row r="359" spans="2:5" ht="15" customHeight="1">
      <c r="B359" s="97"/>
      <c r="C359" s="61" t="s">
        <v>209</v>
      </c>
      <c r="D359" s="62">
        <v>3</v>
      </c>
      <c r="E359" s="63">
        <v>4.7250791451000003E-5</v>
      </c>
    </row>
    <row r="360" spans="2:5" ht="15" customHeight="1">
      <c r="B360" s="97"/>
      <c r="C360" s="61" t="s">
        <v>210</v>
      </c>
      <c r="D360" s="62">
        <v>2</v>
      </c>
      <c r="E360" s="63">
        <v>3.1500527634000002E-5</v>
      </c>
    </row>
    <row r="361" spans="2:5" ht="15" customHeight="1">
      <c r="B361" s="97"/>
      <c r="C361" s="61" t="s">
        <v>212</v>
      </c>
      <c r="D361" s="62">
        <v>1</v>
      </c>
      <c r="E361" s="63">
        <v>1.5750263817000001E-5</v>
      </c>
    </row>
    <row r="362" spans="2:5" ht="15" customHeight="1">
      <c r="B362" s="97"/>
      <c r="C362" s="61" t="s">
        <v>213</v>
      </c>
      <c r="D362" s="62">
        <v>6</v>
      </c>
      <c r="E362" s="63">
        <v>9.4501582902000006E-5</v>
      </c>
    </row>
    <row r="363" spans="2:5" ht="15" customHeight="1">
      <c r="B363" s="97"/>
      <c r="C363" s="61" t="s">
        <v>214</v>
      </c>
      <c r="D363" s="62">
        <v>1</v>
      </c>
      <c r="E363" s="63">
        <v>1.5750263817000001E-5</v>
      </c>
    </row>
    <row r="364" spans="2:5" ht="15" customHeight="1">
      <c r="B364" s="97"/>
      <c r="C364" s="61" t="s">
        <v>215</v>
      </c>
      <c r="D364" s="62">
        <v>1</v>
      </c>
      <c r="E364" s="63">
        <v>1.5750263817000001E-5</v>
      </c>
    </row>
    <row r="365" spans="2:5" ht="15" customHeight="1">
      <c r="B365" s="98"/>
      <c r="C365" s="75" t="s">
        <v>302</v>
      </c>
      <c r="D365" s="74">
        <v>497</v>
      </c>
      <c r="E365" s="76">
        <v>7.8278811170089998E-3</v>
      </c>
    </row>
    <row r="366" spans="2:5" ht="15" customHeight="1">
      <c r="B366" s="96" t="s">
        <v>64</v>
      </c>
      <c r="C366" s="61" t="s">
        <v>193</v>
      </c>
      <c r="D366" s="62">
        <v>12</v>
      </c>
      <c r="E366" s="63">
        <v>1.89003165803E-4</v>
      </c>
    </row>
    <row r="367" spans="2:5" ht="15" customHeight="1">
      <c r="B367" s="97"/>
      <c r="C367" s="61" t="s">
        <v>292</v>
      </c>
      <c r="D367" s="62">
        <v>1</v>
      </c>
      <c r="E367" s="63">
        <v>1.5750263817000001E-5</v>
      </c>
    </row>
    <row r="368" spans="2:5" ht="15" customHeight="1">
      <c r="B368" s="97"/>
      <c r="C368" s="61" t="s">
        <v>194</v>
      </c>
      <c r="D368" s="62">
        <v>1</v>
      </c>
      <c r="E368" s="63">
        <v>1.5750263817000001E-5</v>
      </c>
    </row>
    <row r="369" spans="2:5" ht="15" customHeight="1">
      <c r="B369" s="97"/>
      <c r="C369" s="61" t="s">
        <v>195</v>
      </c>
      <c r="D369" s="62">
        <v>7</v>
      </c>
      <c r="E369" s="63">
        <v>1.1025184671800001E-4</v>
      </c>
    </row>
    <row r="370" spans="2:5" ht="15" customHeight="1">
      <c r="B370" s="97"/>
      <c r="C370" s="61" t="s">
        <v>196</v>
      </c>
      <c r="D370" s="62">
        <v>17</v>
      </c>
      <c r="E370" s="63">
        <v>2.6775448488800002E-4</v>
      </c>
    </row>
    <row r="371" spans="2:5" ht="15" customHeight="1">
      <c r="B371" s="97"/>
      <c r="C371" s="61" t="s">
        <v>197</v>
      </c>
      <c r="D371" s="62">
        <v>13</v>
      </c>
      <c r="E371" s="63">
        <v>2.0475342962000001E-4</v>
      </c>
    </row>
    <row r="372" spans="2:5" ht="15" customHeight="1">
      <c r="B372" s="97"/>
      <c r="C372" s="61" t="s">
        <v>198</v>
      </c>
      <c r="D372" s="62">
        <v>15</v>
      </c>
      <c r="E372" s="63">
        <v>2.3625395725399999E-4</v>
      </c>
    </row>
    <row r="373" spans="2:5" ht="15" customHeight="1">
      <c r="B373" s="97"/>
      <c r="C373" s="61" t="s">
        <v>199</v>
      </c>
      <c r="D373" s="62">
        <v>66</v>
      </c>
      <c r="E373" s="63">
        <v>1.0395174119170001E-3</v>
      </c>
    </row>
    <row r="374" spans="2:5" ht="15" customHeight="1">
      <c r="B374" s="97"/>
      <c r="C374" s="61" t="s">
        <v>200</v>
      </c>
      <c r="D374" s="62">
        <v>115</v>
      </c>
      <c r="E374" s="63">
        <v>1.8112803389459999E-3</v>
      </c>
    </row>
    <row r="375" spans="2:5" ht="15" customHeight="1">
      <c r="B375" s="97"/>
      <c r="C375" s="61" t="s">
        <v>201</v>
      </c>
      <c r="D375" s="62">
        <v>8</v>
      </c>
      <c r="E375" s="63">
        <v>1.2600211053499999E-4</v>
      </c>
    </row>
    <row r="376" spans="2:5" ht="15" customHeight="1">
      <c r="B376" s="97"/>
      <c r="C376" s="61" t="s">
        <v>202</v>
      </c>
      <c r="D376" s="62">
        <v>19</v>
      </c>
      <c r="E376" s="63">
        <v>2.9925501252099998E-4</v>
      </c>
    </row>
    <row r="377" spans="2:5" ht="15" customHeight="1">
      <c r="B377" s="97"/>
      <c r="C377" s="61" t="s">
        <v>203</v>
      </c>
      <c r="D377" s="62">
        <v>38</v>
      </c>
      <c r="E377" s="63">
        <v>5.9851002504300002E-4</v>
      </c>
    </row>
    <row r="378" spans="2:5" ht="15" customHeight="1">
      <c r="B378" s="97"/>
      <c r="C378" s="61" t="s">
        <v>204</v>
      </c>
      <c r="D378" s="62">
        <v>217</v>
      </c>
      <c r="E378" s="63">
        <v>3.4178072482709998E-3</v>
      </c>
    </row>
    <row r="379" spans="2:5" ht="15" customHeight="1">
      <c r="B379" s="97"/>
      <c r="C379" s="61" t="s">
        <v>205</v>
      </c>
      <c r="D379" s="62">
        <v>5</v>
      </c>
      <c r="E379" s="63">
        <v>7.8751319085000005E-5</v>
      </c>
    </row>
    <row r="380" spans="2:5" ht="15" customHeight="1">
      <c r="B380" s="97"/>
      <c r="C380" s="61" t="s">
        <v>206</v>
      </c>
      <c r="D380" s="62">
        <v>60</v>
      </c>
      <c r="E380" s="63">
        <v>9.4501582901499999E-4</v>
      </c>
    </row>
    <row r="381" spans="2:5" ht="15" customHeight="1">
      <c r="B381" s="97"/>
      <c r="C381" s="61" t="s">
        <v>207</v>
      </c>
      <c r="D381" s="62">
        <v>83</v>
      </c>
      <c r="E381" s="63">
        <v>1.307271896804E-3</v>
      </c>
    </row>
    <row r="382" spans="2:5" ht="15" customHeight="1">
      <c r="B382" s="97"/>
      <c r="C382" s="61" t="s">
        <v>208</v>
      </c>
      <c r="D382" s="62">
        <v>6</v>
      </c>
      <c r="E382" s="63">
        <v>9.4501582902000006E-5</v>
      </c>
    </row>
    <row r="383" spans="2:5" ht="15" customHeight="1">
      <c r="B383" s="97"/>
      <c r="C383" s="61" t="s">
        <v>209</v>
      </c>
      <c r="D383" s="62">
        <v>2</v>
      </c>
      <c r="E383" s="63">
        <v>3.1500527634000002E-5</v>
      </c>
    </row>
    <row r="384" spans="2:5" ht="15" customHeight="1">
      <c r="B384" s="97"/>
      <c r="C384" s="61" t="s">
        <v>210</v>
      </c>
      <c r="D384" s="62">
        <v>1</v>
      </c>
      <c r="E384" s="63">
        <v>1.5750263817000001E-5</v>
      </c>
    </row>
    <row r="385" spans="2:5" ht="15" customHeight="1">
      <c r="B385" s="97"/>
      <c r="C385" s="61" t="s">
        <v>212</v>
      </c>
      <c r="D385" s="62">
        <v>6</v>
      </c>
      <c r="E385" s="63">
        <v>9.4501582902000006E-5</v>
      </c>
    </row>
    <row r="386" spans="2:5" ht="15" customHeight="1">
      <c r="B386" s="97"/>
      <c r="C386" s="61" t="s">
        <v>213</v>
      </c>
      <c r="D386" s="62">
        <v>20</v>
      </c>
      <c r="E386" s="63">
        <v>3.1500527633799999E-4</v>
      </c>
    </row>
    <row r="387" spans="2:5" ht="15" customHeight="1">
      <c r="B387" s="97"/>
      <c r="C387" s="61" t="s">
        <v>214</v>
      </c>
      <c r="D387" s="62">
        <v>2</v>
      </c>
      <c r="E387" s="63">
        <v>3.1500527634000002E-5</v>
      </c>
    </row>
    <row r="388" spans="2:5" ht="15" customHeight="1">
      <c r="B388" s="97"/>
      <c r="C388" s="61" t="s">
        <v>215</v>
      </c>
      <c r="D388" s="62">
        <v>1</v>
      </c>
      <c r="E388" s="63">
        <v>1.5750263817000001E-5</v>
      </c>
    </row>
    <row r="389" spans="2:5" ht="15" customHeight="1">
      <c r="B389" s="98"/>
      <c r="C389" s="75" t="s">
        <v>302</v>
      </c>
      <c r="D389" s="74">
        <v>715</v>
      </c>
      <c r="E389" s="76">
        <v>1.1261438629097001E-2</v>
      </c>
    </row>
    <row r="390" spans="2:5" ht="15" customHeight="1">
      <c r="B390" s="96" t="s">
        <v>86</v>
      </c>
      <c r="C390" s="61" t="s">
        <v>195</v>
      </c>
      <c r="D390" s="62">
        <v>2</v>
      </c>
      <c r="E390" s="63">
        <v>3.1500527634000002E-5</v>
      </c>
    </row>
    <row r="391" spans="2:5" ht="15" customHeight="1">
      <c r="B391" s="97"/>
      <c r="C391" s="61" t="s">
        <v>196</v>
      </c>
      <c r="D391" s="62">
        <v>3</v>
      </c>
      <c r="E391" s="63">
        <v>4.7250791451000003E-5</v>
      </c>
    </row>
    <row r="392" spans="2:5" ht="15" customHeight="1">
      <c r="B392" s="97"/>
      <c r="C392" s="61" t="s">
        <v>197</v>
      </c>
      <c r="D392" s="62">
        <v>3</v>
      </c>
      <c r="E392" s="63">
        <v>4.7250791451000003E-5</v>
      </c>
    </row>
    <row r="393" spans="2:5" ht="15" customHeight="1">
      <c r="B393" s="97"/>
      <c r="C393" s="61" t="s">
        <v>199</v>
      </c>
      <c r="D393" s="62">
        <v>9</v>
      </c>
      <c r="E393" s="63">
        <v>1.4175237435200001E-4</v>
      </c>
    </row>
    <row r="394" spans="2:5" ht="15" customHeight="1">
      <c r="B394" s="97"/>
      <c r="C394" s="61" t="s">
        <v>200</v>
      </c>
      <c r="D394" s="62">
        <v>10</v>
      </c>
      <c r="E394" s="63">
        <v>1.57502638169E-4</v>
      </c>
    </row>
    <row r="395" spans="2:5" ht="15" customHeight="1">
      <c r="B395" s="97"/>
      <c r="C395" s="61" t="s">
        <v>201</v>
      </c>
      <c r="D395" s="62">
        <v>2</v>
      </c>
      <c r="E395" s="63">
        <v>3.1500527634000002E-5</v>
      </c>
    </row>
    <row r="396" spans="2:5" ht="15" customHeight="1">
      <c r="B396" s="97"/>
      <c r="C396" s="61" t="s">
        <v>202</v>
      </c>
      <c r="D396" s="62">
        <v>3</v>
      </c>
      <c r="E396" s="63">
        <v>4.7250791451000003E-5</v>
      </c>
    </row>
    <row r="397" spans="2:5" ht="15" customHeight="1">
      <c r="B397" s="97"/>
      <c r="C397" s="61" t="s">
        <v>203</v>
      </c>
      <c r="D397" s="62">
        <v>6</v>
      </c>
      <c r="E397" s="63">
        <v>9.4501582902000006E-5</v>
      </c>
    </row>
    <row r="398" spans="2:5" ht="15" customHeight="1">
      <c r="B398" s="97"/>
      <c r="C398" s="61" t="s">
        <v>204</v>
      </c>
      <c r="D398" s="62">
        <v>19</v>
      </c>
      <c r="E398" s="63">
        <v>2.9925501252099998E-4</v>
      </c>
    </row>
    <row r="399" spans="2:5" ht="15" customHeight="1">
      <c r="B399" s="97"/>
      <c r="C399" s="61" t="s">
        <v>205</v>
      </c>
      <c r="D399" s="62">
        <v>2</v>
      </c>
      <c r="E399" s="63">
        <v>3.1500527634000002E-5</v>
      </c>
    </row>
    <row r="400" spans="2:5" ht="15" customHeight="1">
      <c r="B400" s="97"/>
      <c r="C400" s="61" t="s">
        <v>206</v>
      </c>
      <c r="D400" s="62">
        <v>11</v>
      </c>
      <c r="E400" s="63">
        <v>1.7325290198600001E-4</v>
      </c>
    </row>
    <row r="401" spans="2:5" ht="15" customHeight="1">
      <c r="B401" s="97"/>
      <c r="C401" s="61" t="s">
        <v>207</v>
      </c>
      <c r="D401" s="62">
        <v>20</v>
      </c>
      <c r="E401" s="63">
        <v>3.1500527633799999E-4</v>
      </c>
    </row>
    <row r="402" spans="2:5" ht="15" customHeight="1">
      <c r="B402" s="97"/>
      <c r="C402" s="61" t="s">
        <v>210</v>
      </c>
      <c r="D402" s="62">
        <v>1</v>
      </c>
      <c r="E402" s="63">
        <v>1.5750263817000001E-5</v>
      </c>
    </row>
    <row r="403" spans="2:5" ht="15" customHeight="1">
      <c r="B403" s="97"/>
      <c r="C403" s="61" t="s">
        <v>212</v>
      </c>
      <c r="D403" s="62">
        <v>2</v>
      </c>
      <c r="E403" s="63">
        <v>3.1500527634000002E-5</v>
      </c>
    </row>
    <row r="404" spans="2:5" ht="15" customHeight="1">
      <c r="B404" s="97"/>
      <c r="C404" s="61" t="s">
        <v>213</v>
      </c>
      <c r="D404" s="62">
        <v>2</v>
      </c>
      <c r="E404" s="63">
        <v>3.1500527634000002E-5</v>
      </c>
    </row>
    <row r="405" spans="2:5" ht="15" customHeight="1">
      <c r="B405" s="98"/>
      <c r="C405" s="75" t="s">
        <v>302</v>
      </c>
      <c r="D405" s="74">
        <v>95</v>
      </c>
      <c r="E405" s="76">
        <v>1.4962750626069999E-3</v>
      </c>
    </row>
    <row r="406" spans="2:5" ht="15" customHeight="1">
      <c r="B406" s="96" t="s">
        <v>75</v>
      </c>
      <c r="C406" s="61" t="s">
        <v>193</v>
      </c>
      <c r="D406" s="62">
        <v>7</v>
      </c>
      <c r="E406" s="63">
        <v>1.1025184671800001E-4</v>
      </c>
    </row>
    <row r="407" spans="2:5" ht="15" customHeight="1">
      <c r="B407" s="97"/>
      <c r="C407" s="61" t="s">
        <v>194</v>
      </c>
      <c r="D407" s="62">
        <v>4</v>
      </c>
      <c r="E407" s="63">
        <v>6.3001055268000004E-5</v>
      </c>
    </row>
    <row r="408" spans="2:5" ht="15" customHeight="1">
      <c r="B408" s="97"/>
      <c r="C408" s="61" t="s">
        <v>195</v>
      </c>
      <c r="D408" s="62">
        <v>3</v>
      </c>
      <c r="E408" s="63">
        <v>4.7250791451000003E-5</v>
      </c>
    </row>
    <row r="409" spans="2:5" ht="15" customHeight="1">
      <c r="B409" s="97"/>
      <c r="C409" s="61" t="s">
        <v>196</v>
      </c>
      <c r="D409" s="62">
        <v>16</v>
      </c>
      <c r="E409" s="63">
        <v>2.52004221071E-4</v>
      </c>
    </row>
    <row r="410" spans="2:5" ht="15" customHeight="1">
      <c r="B410" s="97"/>
      <c r="C410" s="61" t="s">
        <v>197</v>
      </c>
      <c r="D410" s="62">
        <v>10</v>
      </c>
      <c r="E410" s="63">
        <v>1.57502638169E-4</v>
      </c>
    </row>
    <row r="411" spans="2:5" ht="15" customHeight="1">
      <c r="B411" s="97"/>
      <c r="C411" s="61" t="s">
        <v>198</v>
      </c>
      <c r="D411" s="62">
        <v>13</v>
      </c>
      <c r="E411" s="63">
        <v>2.0475342962000001E-4</v>
      </c>
    </row>
    <row r="412" spans="2:5" ht="15" customHeight="1">
      <c r="B412" s="97"/>
      <c r="C412" s="61" t="s">
        <v>199</v>
      </c>
      <c r="D412" s="62">
        <v>65</v>
      </c>
      <c r="E412" s="63">
        <v>1.0237671481E-3</v>
      </c>
    </row>
    <row r="413" spans="2:5" ht="15" customHeight="1">
      <c r="B413" s="97"/>
      <c r="C413" s="61" t="s">
        <v>200</v>
      </c>
      <c r="D413" s="62">
        <v>74</v>
      </c>
      <c r="E413" s="63">
        <v>1.1655195224519999E-3</v>
      </c>
    </row>
    <row r="414" spans="2:5" ht="15" customHeight="1">
      <c r="B414" s="97"/>
      <c r="C414" s="61" t="s">
        <v>201</v>
      </c>
      <c r="D414" s="62">
        <v>9</v>
      </c>
      <c r="E414" s="63">
        <v>1.4175237435200001E-4</v>
      </c>
    </row>
    <row r="415" spans="2:5" ht="15" customHeight="1">
      <c r="B415" s="97"/>
      <c r="C415" s="61" t="s">
        <v>202</v>
      </c>
      <c r="D415" s="62">
        <v>18</v>
      </c>
      <c r="E415" s="63">
        <v>2.8350474870499998E-4</v>
      </c>
    </row>
    <row r="416" spans="2:5" ht="15" customHeight="1">
      <c r="B416" s="97"/>
      <c r="C416" s="61" t="s">
        <v>203</v>
      </c>
      <c r="D416" s="62">
        <v>40</v>
      </c>
      <c r="E416" s="63">
        <v>6.3001055267700005E-4</v>
      </c>
    </row>
    <row r="417" spans="2:5" ht="15" customHeight="1">
      <c r="B417" s="97"/>
      <c r="C417" s="61" t="s">
        <v>204</v>
      </c>
      <c r="D417" s="62">
        <v>134</v>
      </c>
      <c r="E417" s="63">
        <v>2.1105353514669998E-3</v>
      </c>
    </row>
    <row r="418" spans="2:5" ht="15" customHeight="1">
      <c r="B418" s="97"/>
      <c r="C418" s="61" t="s">
        <v>205</v>
      </c>
      <c r="D418" s="62">
        <v>6</v>
      </c>
      <c r="E418" s="63">
        <v>9.4501582902000006E-5</v>
      </c>
    </row>
    <row r="419" spans="2:5" ht="15" customHeight="1">
      <c r="B419" s="97"/>
      <c r="C419" s="61" t="s">
        <v>206</v>
      </c>
      <c r="D419" s="62">
        <v>28</v>
      </c>
      <c r="E419" s="63">
        <v>4.41007386874E-4</v>
      </c>
    </row>
    <row r="420" spans="2:5" ht="15" customHeight="1">
      <c r="B420" s="97"/>
      <c r="C420" s="61" t="s">
        <v>207</v>
      </c>
      <c r="D420" s="62">
        <v>93</v>
      </c>
      <c r="E420" s="63">
        <v>1.464774534973E-3</v>
      </c>
    </row>
    <row r="421" spans="2:5" ht="15" customHeight="1">
      <c r="B421" s="97"/>
      <c r="C421" s="61" t="s">
        <v>208</v>
      </c>
      <c r="D421" s="62">
        <v>1</v>
      </c>
      <c r="E421" s="63">
        <v>1.5750263817000001E-5</v>
      </c>
    </row>
    <row r="422" spans="2:5" ht="15" customHeight="1">
      <c r="B422" s="97"/>
      <c r="C422" s="61" t="s">
        <v>209</v>
      </c>
      <c r="D422" s="62">
        <v>3</v>
      </c>
      <c r="E422" s="63">
        <v>4.7250791451000003E-5</v>
      </c>
    </row>
    <row r="423" spans="2:5" ht="15" customHeight="1">
      <c r="B423" s="97"/>
      <c r="C423" s="61" t="s">
        <v>210</v>
      </c>
      <c r="D423" s="62">
        <v>2</v>
      </c>
      <c r="E423" s="63">
        <v>3.1500527634000002E-5</v>
      </c>
    </row>
    <row r="424" spans="2:5" ht="15" customHeight="1">
      <c r="B424" s="97"/>
      <c r="C424" s="61" t="s">
        <v>213</v>
      </c>
      <c r="D424" s="62">
        <v>12</v>
      </c>
      <c r="E424" s="63">
        <v>1.89003165803E-4</v>
      </c>
    </row>
    <row r="425" spans="2:5" ht="15" customHeight="1">
      <c r="B425" s="97"/>
      <c r="C425" s="61" t="s">
        <v>215</v>
      </c>
      <c r="D425" s="62">
        <v>2</v>
      </c>
      <c r="E425" s="63">
        <v>3.1500527634000002E-5</v>
      </c>
    </row>
    <row r="426" spans="2:5" ht="15" customHeight="1">
      <c r="B426" s="97"/>
      <c r="C426" s="61" t="s">
        <v>216</v>
      </c>
      <c r="D426" s="62">
        <v>1</v>
      </c>
      <c r="E426" s="63">
        <v>1.5750263817000001E-5</v>
      </c>
    </row>
    <row r="427" spans="2:5" ht="15" customHeight="1">
      <c r="B427" s="98"/>
      <c r="C427" s="75" t="s">
        <v>302</v>
      </c>
      <c r="D427" s="74">
        <v>541</v>
      </c>
      <c r="E427" s="76">
        <v>8.5208927249530008E-3</v>
      </c>
    </row>
    <row r="428" spans="2:5" ht="15" customHeight="1">
      <c r="B428" s="96" t="s">
        <v>52</v>
      </c>
      <c r="C428" s="61" t="s">
        <v>193</v>
      </c>
      <c r="D428" s="62">
        <v>39</v>
      </c>
      <c r="E428" s="63">
        <v>6.1426028885999998E-4</v>
      </c>
    </row>
    <row r="429" spans="2:5" ht="15" customHeight="1">
      <c r="B429" s="97"/>
      <c r="C429" s="61" t="s">
        <v>194</v>
      </c>
      <c r="D429" s="62">
        <v>8</v>
      </c>
      <c r="E429" s="63">
        <v>1.2600211053499999E-4</v>
      </c>
    </row>
    <row r="430" spans="2:5" ht="15" customHeight="1">
      <c r="B430" s="97"/>
      <c r="C430" s="61" t="s">
        <v>195</v>
      </c>
      <c r="D430" s="62">
        <v>23</v>
      </c>
      <c r="E430" s="63">
        <v>3.6225606778899998E-4</v>
      </c>
    </row>
    <row r="431" spans="2:5" ht="15" customHeight="1">
      <c r="B431" s="97"/>
      <c r="C431" s="61" t="s">
        <v>196</v>
      </c>
      <c r="D431" s="62">
        <v>39</v>
      </c>
      <c r="E431" s="63">
        <v>6.1426028885999998E-4</v>
      </c>
    </row>
    <row r="432" spans="2:5" ht="15" customHeight="1">
      <c r="B432" s="97"/>
      <c r="C432" s="61" t="s">
        <v>197</v>
      </c>
      <c r="D432" s="62">
        <v>38</v>
      </c>
      <c r="E432" s="63">
        <v>5.9851002504300002E-4</v>
      </c>
    </row>
    <row r="433" spans="2:5" ht="15" customHeight="1">
      <c r="B433" s="97"/>
      <c r="C433" s="61" t="s">
        <v>198</v>
      </c>
      <c r="D433" s="62">
        <v>48</v>
      </c>
      <c r="E433" s="63">
        <v>7.5601266321199999E-4</v>
      </c>
    </row>
    <row r="434" spans="2:5" ht="15" customHeight="1">
      <c r="B434" s="97"/>
      <c r="C434" s="61" t="s">
        <v>199</v>
      </c>
      <c r="D434" s="62">
        <v>186</v>
      </c>
      <c r="E434" s="63">
        <v>2.9295490699470001E-3</v>
      </c>
    </row>
    <row r="435" spans="2:5" ht="15" customHeight="1">
      <c r="B435" s="97"/>
      <c r="C435" s="61" t="s">
        <v>200</v>
      </c>
      <c r="D435" s="62">
        <v>398</v>
      </c>
      <c r="E435" s="63">
        <v>6.268604999134E-3</v>
      </c>
    </row>
    <row r="436" spans="2:5" ht="15" customHeight="1">
      <c r="B436" s="97"/>
      <c r="C436" s="61" t="s">
        <v>201</v>
      </c>
      <c r="D436" s="62">
        <v>22</v>
      </c>
      <c r="E436" s="63">
        <v>3.4650580397200002E-4</v>
      </c>
    </row>
    <row r="437" spans="2:5" ht="15" customHeight="1">
      <c r="B437" s="97"/>
      <c r="C437" s="61" t="s">
        <v>202</v>
      </c>
      <c r="D437" s="62">
        <v>61</v>
      </c>
      <c r="E437" s="63">
        <v>9.6076609283199995E-4</v>
      </c>
    </row>
    <row r="438" spans="2:5" ht="15" customHeight="1">
      <c r="B438" s="97"/>
      <c r="C438" s="61" t="s">
        <v>203</v>
      </c>
      <c r="D438" s="62">
        <v>102</v>
      </c>
      <c r="E438" s="63">
        <v>1.606526909326E-3</v>
      </c>
    </row>
    <row r="439" spans="2:5" ht="15" customHeight="1">
      <c r="B439" s="97"/>
      <c r="C439" s="61" t="s">
        <v>204</v>
      </c>
      <c r="D439" s="62">
        <v>758</v>
      </c>
      <c r="E439" s="63">
        <v>1.1938699973224999E-2</v>
      </c>
    </row>
    <row r="440" spans="2:5" ht="15" customHeight="1">
      <c r="B440" s="97"/>
      <c r="C440" s="61" t="s">
        <v>205</v>
      </c>
      <c r="D440" s="62">
        <v>7</v>
      </c>
      <c r="E440" s="63">
        <v>1.1025184671800001E-4</v>
      </c>
    </row>
    <row r="441" spans="2:5" ht="15" customHeight="1">
      <c r="B441" s="97"/>
      <c r="C441" s="61" t="s">
        <v>206</v>
      </c>
      <c r="D441" s="62">
        <v>91</v>
      </c>
      <c r="E441" s="63">
        <v>1.4332740073399999E-3</v>
      </c>
    </row>
    <row r="442" spans="2:5" ht="15" customHeight="1">
      <c r="B442" s="97"/>
      <c r="C442" s="61" t="s">
        <v>207</v>
      </c>
      <c r="D442" s="62">
        <v>424</v>
      </c>
      <c r="E442" s="63">
        <v>6.6781118583739999E-3</v>
      </c>
    </row>
    <row r="443" spans="2:5" ht="15" customHeight="1">
      <c r="B443" s="97"/>
      <c r="C443" s="61" t="s">
        <v>208</v>
      </c>
      <c r="D443" s="62">
        <v>2</v>
      </c>
      <c r="E443" s="63">
        <v>3.1500527634000002E-5</v>
      </c>
    </row>
    <row r="444" spans="2:5" ht="15" customHeight="1">
      <c r="B444" s="97"/>
      <c r="C444" s="61" t="s">
        <v>209</v>
      </c>
      <c r="D444" s="62">
        <v>2</v>
      </c>
      <c r="E444" s="63">
        <v>3.1500527634000002E-5</v>
      </c>
    </row>
    <row r="445" spans="2:5" ht="15" customHeight="1">
      <c r="B445" s="97"/>
      <c r="C445" s="61" t="s">
        <v>210</v>
      </c>
      <c r="D445" s="62">
        <v>3</v>
      </c>
      <c r="E445" s="63">
        <v>4.7250791451000003E-5</v>
      </c>
    </row>
    <row r="446" spans="2:5" ht="15" customHeight="1">
      <c r="B446" s="97"/>
      <c r="C446" s="61" t="s">
        <v>211</v>
      </c>
      <c r="D446" s="62">
        <v>1</v>
      </c>
      <c r="E446" s="63">
        <v>1.5750263817000001E-5</v>
      </c>
    </row>
    <row r="447" spans="2:5" ht="15" customHeight="1">
      <c r="B447" s="97"/>
      <c r="C447" s="61" t="s">
        <v>212</v>
      </c>
      <c r="D447" s="62">
        <v>6</v>
      </c>
      <c r="E447" s="63">
        <v>9.4501582902000006E-5</v>
      </c>
    </row>
    <row r="448" spans="2:5" ht="15" customHeight="1">
      <c r="B448" s="97"/>
      <c r="C448" s="61" t="s">
        <v>213</v>
      </c>
      <c r="D448" s="62">
        <v>33</v>
      </c>
      <c r="E448" s="63">
        <v>5.19758705958E-4</v>
      </c>
    </row>
    <row r="449" spans="2:5" ht="15" customHeight="1">
      <c r="B449" s="97"/>
      <c r="C449" s="61" t="s">
        <v>214</v>
      </c>
      <c r="D449" s="62">
        <v>13</v>
      </c>
      <c r="E449" s="63">
        <v>2.0475342962000001E-4</v>
      </c>
    </row>
    <row r="450" spans="2:5" ht="15" customHeight="1">
      <c r="B450" s="97"/>
      <c r="C450" s="61" t="s">
        <v>215</v>
      </c>
      <c r="D450" s="62">
        <v>2</v>
      </c>
      <c r="E450" s="63">
        <v>3.1500527634000002E-5</v>
      </c>
    </row>
    <row r="451" spans="2:5" ht="15" customHeight="1">
      <c r="B451" s="97"/>
      <c r="C451" s="61" t="s">
        <v>216</v>
      </c>
      <c r="D451" s="62">
        <v>1</v>
      </c>
      <c r="E451" s="63">
        <v>1.5750263817000001E-5</v>
      </c>
    </row>
    <row r="452" spans="2:5" ht="15" customHeight="1">
      <c r="B452" s="98"/>
      <c r="C452" s="75" t="s">
        <v>302</v>
      </c>
      <c r="D452" s="74">
        <v>2307</v>
      </c>
      <c r="E452" s="76">
        <v>3.6335858625632003E-2</v>
      </c>
    </row>
    <row r="453" spans="2:5" ht="15" customHeight="1">
      <c r="B453" s="96" t="s">
        <v>49</v>
      </c>
      <c r="C453" s="61" t="s">
        <v>193</v>
      </c>
      <c r="D453" s="62">
        <v>83</v>
      </c>
      <c r="E453" s="63">
        <v>1.307271896804E-3</v>
      </c>
    </row>
    <row r="454" spans="2:5" ht="15" customHeight="1">
      <c r="B454" s="97"/>
      <c r="C454" s="61" t="s">
        <v>194</v>
      </c>
      <c r="D454" s="62">
        <v>22</v>
      </c>
      <c r="E454" s="63">
        <v>3.4650580397200002E-4</v>
      </c>
    </row>
    <row r="455" spans="2:5" ht="15" customHeight="1">
      <c r="B455" s="97"/>
      <c r="C455" s="61" t="s">
        <v>195</v>
      </c>
      <c r="D455" s="62">
        <v>49</v>
      </c>
      <c r="E455" s="63">
        <v>7.7176292702899995E-4</v>
      </c>
    </row>
    <row r="456" spans="2:5" ht="15" customHeight="1">
      <c r="B456" s="97"/>
      <c r="C456" s="61" t="s">
        <v>196</v>
      </c>
      <c r="D456" s="62">
        <v>70</v>
      </c>
      <c r="E456" s="63">
        <v>1.1025184671840001E-3</v>
      </c>
    </row>
    <row r="457" spans="2:5" ht="15" customHeight="1">
      <c r="B457" s="97"/>
      <c r="C457" s="61" t="s">
        <v>197</v>
      </c>
      <c r="D457" s="62">
        <v>42</v>
      </c>
      <c r="E457" s="63">
        <v>6.6151108031099997E-4</v>
      </c>
    </row>
    <row r="458" spans="2:5" ht="15" customHeight="1">
      <c r="B458" s="97"/>
      <c r="C458" s="61" t="s">
        <v>198</v>
      </c>
      <c r="D458" s="62">
        <v>65</v>
      </c>
      <c r="E458" s="63">
        <v>1.0237671481E-3</v>
      </c>
    </row>
    <row r="459" spans="2:5" ht="15" customHeight="1">
      <c r="B459" s="97"/>
      <c r="C459" s="61" t="s">
        <v>199</v>
      </c>
      <c r="D459" s="62">
        <v>351</v>
      </c>
      <c r="E459" s="63">
        <v>5.5283425997390001E-3</v>
      </c>
    </row>
    <row r="460" spans="2:5" ht="15" customHeight="1">
      <c r="B460" s="97"/>
      <c r="C460" s="61" t="s">
        <v>200</v>
      </c>
      <c r="D460" s="62">
        <v>665</v>
      </c>
      <c r="E460" s="63">
        <v>1.0473925438251E-2</v>
      </c>
    </row>
    <row r="461" spans="2:5" ht="15" customHeight="1">
      <c r="B461" s="97"/>
      <c r="C461" s="61" t="s">
        <v>201</v>
      </c>
      <c r="D461" s="62">
        <v>51</v>
      </c>
      <c r="E461" s="63">
        <v>8.0326345466299998E-4</v>
      </c>
    </row>
    <row r="462" spans="2:5" ht="15" customHeight="1">
      <c r="B462" s="97"/>
      <c r="C462" s="61" t="s">
        <v>202</v>
      </c>
      <c r="D462" s="62">
        <v>63</v>
      </c>
      <c r="E462" s="63">
        <v>9.9226662046600009E-4</v>
      </c>
    </row>
    <row r="463" spans="2:5" ht="15" customHeight="1">
      <c r="B463" s="97"/>
      <c r="C463" s="61" t="s">
        <v>203</v>
      </c>
      <c r="D463" s="62">
        <v>175</v>
      </c>
      <c r="E463" s="63">
        <v>2.7562961679609998E-3</v>
      </c>
    </row>
    <row r="464" spans="2:5" ht="15" customHeight="1">
      <c r="B464" s="97"/>
      <c r="C464" s="61" t="s">
        <v>204</v>
      </c>
      <c r="D464" s="62">
        <v>903</v>
      </c>
      <c r="E464" s="63">
        <v>1.4222488226677999E-2</v>
      </c>
    </row>
    <row r="465" spans="2:5" ht="15" customHeight="1">
      <c r="B465" s="97"/>
      <c r="C465" s="61" t="s">
        <v>205</v>
      </c>
      <c r="D465" s="62">
        <v>31</v>
      </c>
      <c r="E465" s="63">
        <v>4.8825817832399998E-4</v>
      </c>
    </row>
    <row r="466" spans="2:5" ht="15" customHeight="1">
      <c r="B466" s="97"/>
      <c r="C466" s="61" t="s">
        <v>206</v>
      </c>
      <c r="D466" s="62">
        <v>138</v>
      </c>
      <c r="E466" s="63">
        <v>2.1735364067350001E-3</v>
      </c>
    </row>
    <row r="467" spans="2:5" ht="15" customHeight="1">
      <c r="B467" s="97"/>
      <c r="C467" s="61" t="s">
        <v>207</v>
      </c>
      <c r="D467" s="62">
        <v>569</v>
      </c>
      <c r="E467" s="63">
        <v>8.9619001118270009E-3</v>
      </c>
    </row>
    <row r="468" spans="2:5" ht="15" customHeight="1">
      <c r="B468" s="97"/>
      <c r="C468" s="61" t="s">
        <v>208</v>
      </c>
      <c r="D468" s="62">
        <v>9</v>
      </c>
      <c r="E468" s="63">
        <v>1.4175237435200001E-4</v>
      </c>
    </row>
    <row r="469" spans="2:5" ht="15" customHeight="1">
      <c r="B469" s="97"/>
      <c r="C469" s="61" t="s">
        <v>209</v>
      </c>
      <c r="D469" s="62">
        <v>15</v>
      </c>
      <c r="E469" s="63">
        <v>2.3625395725399999E-4</v>
      </c>
    </row>
    <row r="470" spans="2:5" ht="15" customHeight="1">
      <c r="B470" s="97"/>
      <c r="C470" s="61" t="s">
        <v>210</v>
      </c>
      <c r="D470" s="62">
        <v>2</v>
      </c>
      <c r="E470" s="63">
        <v>3.1500527634000002E-5</v>
      </c>
    </row>
    <row r="471" spans="2:5" ht="15" customHeight="1">
      <c r="B471" s="97"/>
      <c r="C471" s="61" t="s">
        <v>211</v>
      </c>
      <c r="D471" s="62">
        <v>3</v>
      </c>
      <c r="E471" s="63">
        <v>4.7250791451000003E-5</v>
      </c>
    </row>
    <row r="472" spans="2:5" ht="15" customHeight="1">
      <c r="B472" s="97"/>
      <c r="C472" s="61" t="s">
        <v>212</v>
      </c>
      <c r="D472" s="62">
        <v>36</v>
      </c>
      <c r="E472" s="63">
        <v>5.6700949740899999E-4</v>
      </c>
    </row>
    <row r="473" spans="2:5" ht="15" customHeight="1">
      <c r="B473" s="97"/>
      <c r="C473" s="61" t="s">
        <v>213</v>
      </c>
      <c r="D473" s="62">
        <v>74</v>
      </c>
      <c r="E473" s="63">
        <v>1.1655195224519999E-3</v>
      </c>
    </row>
    <row r="474" spans="2:5" ht="15" customHeight="1">
      <c r="B474" s="97"/>
      <c r="C474" s="61" t="s">
        <v>214</v>
      </c>
      <c r="D474" s="62">
        <v>1</v>
      </c>
      <c r="E474" s="63">
        <v>1.5750263817000001E-5</v>
      </c>
    </row>
    <row r="475" spans="2:5" ht="15" customHeight="1">
      <c r="B475" s="97"/>
      <c r="C475" s="61" t="s">
        <v>215</v>
      </c>
      <c r="D475" s="62">
        <v>3</v>
      </c>
      <c r="E475" s="63">
        <v>4.7250791451000003E-5</v>
      </c>
    </row>
    <row r="476" spans="2:5" ht="15" customHeight="1">
      <c r="B476" s="97"/>
      <c r="C476" s="61" t="s">
        <v>216</v>
      </c>
      <c r="D476" s="62">
        <v>1</v>
      </c>
      <c r="E476" s="63">
        <v>1.5750263817000001E-5</v>
      </c>
    </row>
    <row r="477" spans="2:5" ht="15" customHeight="1">
      <c r="B477" s="98"/>
      <c r="C477" s="75" t="s">
        <v>302</v>
      </c>
      <c r="D477" s="74">
        <v>3421</v>
      </c>
      <c r="E477" s="76">
        <v>5.3881652517679998E-2</v>
      </c>
    </row>
    <row r="478" spans="2:5" ht="15" customHeight="1">
      <c r="B478" s="96" t="s">
        <v>77</v>
      </c>
      <c r="C478" s="61" t="s">
        <v>193</v>
      </c>
      <c r="D478" s="62">
        <v>6</v>
      </c>
      <c r="E478" s="63">
        <v>9.4501582902000006E-5</v>
      </c>
    </row>
    <row r="479" spans="2:5" ht="15" customHeight="1">
      <c r="B479" s="97"/>
      <c r="C479" s="61" t="s">
        <v>194</v>
      </c>
      <c r="D479" s="62">
        <v>2</v>
      </c>
      <c r="E479" s="63">
        <v>3.1500527634000002E-5</v>
      </c>
    </row>
    <row r="480" spans="2:5" ht="15" customHeight="1">
      <c r="B480" s="97"/>
      <c r="C480" s="61" t="s">
        <v>195</v>
      </c>
      <c r="D480" s="62">
        <v>5</v>
      </c>
      <c r="E480" s="63">
        <v>7.8751319085000005E-5</v>
      </c>
    </row>
    <row r="481" spans="2:5" ht="15" customHeight="1">
      <c r="B481" s="97"/>
      <c r="C481" s="61" t="s">
        <v>196</v>
      </c>
      <c r="D481" s="62">
        <v>13</v>
      </c>
      <c r="E481" s="63">
        <v>2.0475342962000001E-4</v>
      </c>
    </row>
    <row r="482" spans="2:5" ht="15" customHeight="1">
      <c r="B482" s="97"/>
      <c r="C482" s="61" t="s">
        <v>197</v>
      </c>
      <c r="D482" s="62">
        <v>3</v>
      </c>
      <c r="E482" s="63">
        <v>4.7250791451000003E-5</v>
      </c>
    </row>
    <row r="483" spans="2:5" ht="15" customHeight="1">
      <c r="B483" s="97"/>
      <c r="C483" s="61" t="s">
        <v>198</v>
      </c>
      <c r="D483" s="62">
        <v>9</v>
      </c>
      <c r="E483" s="63">
        <v>1.4175237435200001E-4</v>
      </c>
    </row>
    <row r="484" spans="2:5" ht="15" customHeight="1">
      <c r="B484" s="97"/>
      <c r="C484" s="61" t="s">
        <v>199</v>
      </c>
      <c r="D484" s="62">
        <v>51</v>
      </c>
      <c r="E484" s="63">
        <v>8.0326345466299998E-4</v>
      </c>
    </row>
    <row r="485" spans="2:5" ht="15" customHeight="1">
      <c r="B485" s="97"/>
      <c r="C485" s="61" t="s">
        <v>200</v>
      </c>
      <c r="D485" s="62">
        <v>34</v>
      </c>
      <c r="E485" s="63">
        <v>5.3550896977499996E-4</v>
      </c>
    </row>
    <row r="486" spans="2:5" ht="15" customHeight="1">
      <c r="B486" s="97"/>
      <c r="C486" s="61" t="s">
        <v>201</v>
      </c>
      <c r="D486" s="62">
        <v>4</v>
      </c>
      <c r="E486" s="63">
        <v>6.3001055268000004E-5</v>
      </c>
    </row>
    <row r="487" spans="2:5" ht="15" customHeight="1">
      <c r="B487" s="97"/>
      <c r="C487" s="61" t="s">
        <v>202</v>
      </c>
      <c r="D487" s="62">
        <v>17</v>
      </c>
      <c r="E487" s="63">
        <v>2.6775448488800002E-4</v>
      </c>
    </row>
    <row r="488" spans="2:5" ht="15" customHeight="1">
      <c r="B488" s="97"/>
      <c r="C488" s="61" t="s">
        <v>203</v>
      </c>
      <c r="D488" s="62">
        <v>24</v>
      </c>
      <c r="E488" s="63">
        <v>3.78006331606E-4</v>
      </c>
    </row>
    <row r="489" spans="2:5" ht="15" customHeight="1">
      <c r="B489" s="97"/>
      <c r="C489" s="61" t="s">
        <v>204</v>
      </c>
      <c r="D489" s="62">
        <v>68</v>
      </c>
      <c r="E489" s="63">
        <v>1.0710179395499999E-3</v>
      </c>
    </row>
    <row r="490" spans="2:5" ht="15" customHeight="1">
      <c r="B490" s="97"/>
      <c r="C490" s="61" t="s">
        <v>205</v>
      </c>
      <c r="D490" s="62">
        <v>4</v>
      </c>
      <c r="E490" s="63">
        <v>6.3001055268000004E-5</v>
      </c>
    </row>
    <row r="491" spans="2:5" ht="15" customHeight="1">
      <c r="B491" s="97"/>
      <c r="C491" s="61" t="s">
        <v>206</v>
      </c>
      <c r="D491" s="62">
        <v>20</v>
      </c>
      <c r="E491" s="63">
        <v>3.1500527633799999E-4</v>
      </c>
    </row>
    <row r="492" spans="2:5" ht="15" customHeight="1">
      <c r="B492" s="97"/>
      <c r="C492" s="61" t="s">
        <v>207</v>
      </c>
      <c r="D492" s="62">
        <v>54</v>
      </c>
      <c r="E492" s="63">
        <v>8.5051424611399997E-4</v>
      </c>
    </row>
    <row r="493" spans="2:5" ht="15" customHeight="1">
      <c r="B493" s="97"/>
      <c r="C493" s="61" t="s">
        <v>208</v>
      </c>
      <c r="D493" s="62">
        <v>2</v>
      </c>
      <c r="E493" s="63">
        <v>3.1500527634000002E-5</v>
      </c>
    </row>
    <row r="494" spans="2:5" ht="15" customHeight="1">
      <c r="B494" s="97"/>
      <c r="C494" s="61" t="s">
        <v>209</v>
      </c>
      <c r="D494" s="62">
        <v>2</v>
      </c>
      <c r="E494" s="63">
        <v>3.1500527634000002E-5</v>
      </c>
    </row>
    <row r="495" spans="2:5" ht="15" customHeight="1">
      <c r="B495" s="97"/>
      <c r="C495" s="61" t="s">
        <v>210</v>
      </c>
      <c r="D495" s="62">
        <v>1</v>
      </c>
      <c r="E495" s="63">
        <v>1.5750263817000001E-5</v>
      </c>
    </row>
    <row r="496" spans="2:5" ht="15" customHeight="1">
      <c r="B496" s="97"/>
      <c r="C496" s="61" t="s">
        <v>212</v>
      </c>
      <c r="D496" s="62">
        <v>2</v>
      </c>
      <c r="E496" s="63">
        <v>3.1500527634000002E-5</v>
      </c>
    </row>
    <row r="497" spans="2:5" ht="15" customHeight="1">
      <c r="B497" s="97"/>
      <c r="C497" s="61" t="s">
        <v>213</v>
      </c>
      <c r="D497" s="62">
        <v>14</v>
      </c>
      <c r="E497" s="63">
        <v>2.20503693437E-4</v>
      </c>
    </row>
    <row r="498" spans="2:5" ht="15" customHeight="1">
      <c r="B498" s="98"/>
      <c r="C498" s="75" t="s">
        <v>302</v>
      </c>
      <c r="D498" s="74">
        <v>335</v>
      </c>
      <c r="E498" s="76">
        <v>5.2763383786679999E-3</v>
      </c>
    </row>
    <row r="499" spans="2:5" ht="15" customHeight="1">
      <c r="B499" s="96" t="s">
        <v>63</v>
      </c>
      <c r="C499" s="61" t="s">
        <v>193</v>
      </c>
      <c r="D499" s="62">
        <v>14</v>
      </c>
      <c r="E499" s="63">
        <v>2.20503693437E-4</v>
      </c>
    </row>
    <row r="500" spans="2:5" ht="15" customHeight="1">
      <c r="B500" s="97"/>
      <c r="C500" s="61" t="s">
        <v>194</v>
      </c>
      <c r="D500" s="62">
        <v>2</v>
      </c>
      <c r="E500" s="63">
        <v>3.1500527634000002E-5</v>
      </c>
    </row>
    <row r="501" spans="2:5" ht="15" customHeight="1">
      <c r="B501" s="97"/>
      <c r="C501" s="61" t="s">
        <v>195</v>
      </c>
      <c r="D501" s="62">
        <v>13</v>
      </c>
      <c r="E501" s="63">
        <v>2.0475342962000001E-4</v>
      </c>
    </row>
    <row r="502" spans="2:5" ht="15" customHeight="1">
      <c r="B502" s="97"/>
      <c r="C502" s="61" t="s">
        <v>196</v>
      </c>
      <c r="D502" s="62">
        <v>17</v>
      </c>
      <c r="E502" s="63">
        <v>2.6775448488800002E-4</v>
      </c>
    </row>
    <row r="503" spans="2:5" ht="15" customHeight="1">
      <c r="B503" s="97"/>
      <c r="C503" s="61" t="s">
        <v>197</v>
      </c>
      <c r="D503" s="62">
        <v>11</v>
      </c>
      <c r="E503" s="63">
        <v>1.7325290198600001E-4</v>
      </c>
    </row>
    <row r="504" spans="2:5" ht="15" customHeight="1">
      <c r="B504" s="97"/>
      <c r="C504" s="61" t="s">
        <v>198</v>
      </c>
      <c r="D504" s="62">
        <v>15</v>
      </c>
      <c r="E504" s="63">
        <v>2.3625395725399999E-4</v>
      </c>
    </row>
    <row r="505" spans="2:5" ht="15" customHeight="1">
      <c r="B505" s="97"/>
      <c r="C505" s="61" t="s">
        <v>199</v>
      </c>
      <c r="D505" s="62">
        <v>72</v>
      </c>
      <c r="E505" s="63">
        <v>1.134018994818E-3</v>
      </c>
    </row>
    <row r="506" spans="2:5" ht="15" customHeight="1">
      <c r="B506" s="97"/>
      <c r="C506" s="61" t="s">
        <v>200</v>
      </c>
      <c r="D506" s="62">
        <v>156</v>
      </c>
      <c r="E506" s="63">
        <v>2.4570411554389999E-3</v>
      </c>
    </row>
    <row r="507" spans="2:5" ht="15" customHeight="1">
      <c r="B507" s="97"/>
      <c r="C507" s="61" t="s">
        <v>201</v>
      </c>
      <c r="D507" s="62">
        <v>10</v>
      </c>
      <c r="E507" s="63">
        <v>1.57502638169E-4</v>
      </c>
    </row>
    <row r="508" spans="2:5" ht="15" customHeight="1">
      <c r="B508" s="97"/>
      <c r="C508" s="61" t="s">
        <v>202</v>
      </c>
      <c r="D508" s="62">
        <v>25</v>
      </c>
      <c r="E508" s="63">
        <v>3.9375659542300001E-4</v>
      </c>
    </row>
    <row r="509" spans="2:5" ht="15" customHeight="1">
      <c r="B509" s="97"/>
      <c r="C509" s="61" t="s">
        <v>203</v>
      </c>
      <c r="D509" s="62">
        <v>49</v>
      </c>
      <c r="E509" s="63">
        <v>7.7176292702899995E-4</v>
      </c>
    </row>
    <row r="510" spans="2:5" ht="15" customHeight="1">
      <c r="B510" s="97"/>
      <c r="C510" s="61" t="s">
        <v>204</v>
      </c>
      <c r="D510" s="62">
        <v>261</v>
      </c>
      <c r="E510" s="63">
        <v>4.1108188562159996E-3</v>
      </c>
    </row>
    <row r="511" spans="2:5" ht="15" customHeight="1">
      <c r="B511" s="97"/>
      <c r="C511" s="61" t="s">
        <v>205</v>
      </c>
      <c r="D511" s="62">
        <v>10</v>
      </c>
      <c r="E511" s="63">
        <v>1.57502638169E-4</v>
      </c>
    </row>
    <row r="512" spans="2:5" ht="15" customHeight="1">
      <c r="B512" s="97"/>
      <c r="C512" s="61" t="s">
        <v>206</v>
      </c>
      <c r="D512" s="62">
        <v>35</v>
      </c>
      <c r="E512" s="63">
        <v>5.5125923359200003E-4</v>
      </c>
    </row>
    <row r="513" spans="2:5" ht="15" customHeight="1">
      <c r="B513" s="97"/>
      <c r="C513" s="61" t="s">
        <v>207</v>
      </c>
      <c r="D513" s="62">
        <v>117</v>
      </c>
      <c r="E513" s="63">
        <v>1.8427808665800001E-3</v>
      </c>
    </row>
    <row r="514" spans="2:5" ht="15" customHeight="1">
      <c r="B514" s="97"/>
      <c r="C514" s="61" t="s">
        <v>209</v>
      </c>
      <c r="D514" s="62">
        <v>2</v>
      </c>
      <c r="E514" s="63">
        <v>3.1500527634000002E-5</v>
      </c>
    </row>
    <row r="515" spans="2:5" ht="15" customHeight="1">
      <c r="B515" s="97"/>
      <c r="C515" s="61" t="s">
        <v>210</v>
      </c>
      <c r="D515" s="62">
        <v>1</v>
      </c>
      <c r="E515" s="63">
        <v>1.5750263817000001E-5</v>
      </c>
    </row>
    <row r="516" spans="2:5" ht="15" customHeight="1">
      <c r="B516" s="97"/>
      <c r="C516" s="61" t="s">
        <v>212</v>
      </c>
      <c r="D516" s="62">
        <v>4</v>
      </c>
      <c r="E516" s="63">
        <v>6.3001055268000004E-5</v>
      </c>
    </row>
    <row r="517" spans="2:5" ht="15" customHeight="1">
      <c r="B517" s="97"/>
      <c r="C517" s="61" t="s">
        <v>213</v>
      </c>
      <c r="D517" s="62">
        <v>10</v>
      </c>
      <c r="E517" s="63">
        <v>1.57502638169E-4</v>
      </c>
    </row>
    <row r="518" spans="2:5" ht="15" customHeight="1">
      <c r="B518" s="98"/>
      <c r="C518" s="75" t="s">
        <v>302</v>
      </c>
      <c r="D518" s="74">
        <v>824</v>
      </c>
      <c r="E518" s="76">
        <v>1.2978217385140999E-2</v>
      </c>
    </row>
    <row r="519" spans="2:5" ht="15" customHeight="1">
      <c r="B519" s="96" t="s">
        <v>66</v>
      </c>
      <c r="C519" s="61" t="s">
        <v>193</v>
      </c>
      <c r="D519" s="62">
        <v>8</v>
      </c>
      <c r="E519" s="63">
        <v>1.2600211053499999E-4</v>
      </c>
    </row>
    <row r="520" spans="2:5" ht="15" customHeight="1">
      <c r="B520" s="97"/>
      <c r="C520" s="61" t="s">
        <v>194</v>
      </c>
      <c r="D520" s="62">
        <v>2</v>
      </c>
      <c r="E520" s="63">
        <v>3.1500527634000002E-5</v>
      </c>
    </row>
    <row r="521" spans="2:5" ht="15" customHeight="1">
      <c r="B521" s="97"/>
      <c r="C521" s="61" t="s">
        <v>195</v>
      </c>
      <c r="D521" s="62">
        <v>4</v>
      </c>
      <c r="E521" s="63">
        <v>6.3001055268000004E-5</v>
      </c>
    </row>
    <row r="522" spans="2:5" ht="15" customHeight="1">
      <c r="B522" s="97"/>
      <c r="C522" s="61" t="s">
        <v>196</v>
      </c>
      <c r="D522" s="62">
        <v>5</v>
      </c>
      <c r="E522" s="63">
        <v>7.8751319085000005E-5</v>
      </c>
    </row>
    <row r="523" spans="2:5" ht="15" customHeight="1">
      <c r="B523" s="97"/>
      <c r="C523" s="61" t="s">
        <v>197</v>
      </c>
      <c r="D523" s="62">
        <v>10</v>
      </c>
      <c r="E523" s="63">
        <v>1.57502638169E-4</v>
      </c>
    </row>
    <row r="524" spans="2:5" ht="15" customHeight="1">
      <c r="B524" s="97"/>
      <c r="C524" s="61" t="s">
        <v>198</v>
      </c>
      <c r="D524" s="62">
        <v>15</v>
      </c>
      <c r="E524" s="63">
        <v>2.3625395725399999E-4</v>
      </c>
    </row>
    <row r="525" spans="2:5" ht="15" customHeight="1">
      <c r="B525" s="97"/>
      <c r="C525" s="61" t="s">
        <v>199</v>
      </c>
      <c r="D525" s="62">
        <v>34</v>
      </c>
      <c r="E525" s="63">
        <v>5.3550896977499996E-4</v>
      </c>
    </row>
    <row r="526" spans="2:5" ht="15" customHeight="1">
      <c r="B526" s="97"/>
      <c r="C526" s="61" t="s">
        <v>200</v>
      </c>
      <c r="D526" s="62">
        <v>140</v>
      </c>
      <c r="E526" s="63">
        <v>2.2050369343690002E-3</v>
      </c>
    </row>
    <row r="527" spans="2:5" ht="15" customHeight="1">
      <c r="B527" s="97"/>
      <c r="C527" s="61" t="s">
        <v>201</v>
      </c>
      <c r="D527" s="62">
        <v>6</v>
      </c>
      <c r="E527" s="63">
        <v>9.4501582902000006E-5</v>
      </c>
    </row>
    <row r="528" spans="2:5" ht="15" customHeight="1">
      <c r="B528" s="97"/>
      <c r="C528" s="61" t="s">
        <v>202</v>
      </c>
      <c r="D528" s="62">
        <v>12</v>
      </c>
      <c r="E528" s="63">
        <v>1.89003165803E-4</v>
      </c>
    </row>
    <row r="529" spans="2:5" ht="15" customHeight="1">
      <c r="B529" s="97"/>
      <c r="C529" s="61" t="s">
        <v>203</v>
      </c>
      <c r="D529" s="62">
        <v>36</v>
      </c>
      <c r="E529" s="63">
        <v>5.6700949740899999E-4</v>
      </c>
    </row>
    <row r="530" spans="2:5" ht="15" customHeight="1">
      <c r="B530" s="97"/>
      <c r="C530" s="61" t="s">
        <v>204</v>
      </c>
      <c r="D530" s="62">
        <v>256</v>
      </c>
      <c r="E530" s="63">
        <v>4.0320675371309997E-3</v>
      </c>
    </row>
    <row r="531" spans="2:5" ht="15" customHeight="1">
      <c r="B531" s="97"/>
      <c r="C531" s="61" t="s">
        <v>205</v>
      </c>
      <c r="D531" s="62">
        <v>9</v>
      </c>
      <c r="E531" s="63">
        <v>1.4175237435200001E-4</v>
      </c>
    </row>
    <row r="532" spans="2:5" ht="15" customHeight="1">
      <c r="B532" s="97"/>
      <c r="C532" s="61" t="s">
        <v>206</v>
      </c>
      <c r="D532" s="62">
        <v>31</v>
      </c>
      <c r="E532" s="63">
        <v>4.8825817832399998E-4</v>
      </c>
    </row>
    <row r="533" spans="2:5" ht="15" customHeight="1">
      <c r="B533" s="97"/>
      <c r="C533" s="61" t="s">
        <v>207</v>
      </c>
      <c r="D533" s="62">
        <v>102</v>
      </c>
      <c r="E533" s="63">
        <v>1.606526909326E-3</v>
      </c>
    </row>
    <row r="534" spans="2:5" ht="15" customHeight="1">
      <c r="B534" s="97"/>
      <c r="C534" s="61" t="s">
        <v>208</v>
      </c>
      <c r="D534" s="62">
        <v>1</v>
      </c>
      <c r="E534" s="63">
        <v>1.5750263817000001E-5</v>
      </c>
    </row>
    <row r="535" spans="2:5" ht="15" customHeight="1">
      <c r="B535" s="97"/>
      <c r="C535" s="61" t="s">
        <v>209</v>
      </c>
      <c r="D535" s="62">
        <v>3</v>
      </c>
      <c r="E535" s="63">
        <v>4.7250791451000003E-5</v>
      </c>
    </row>
    <row r="536" spans="2:5" ht="15" customHeight="1">
      <c r="B536" s="97"/>
      <c r="C536" s="61" t="s">
        <v>210</v>
      </c>
      <c r="D536" s="62">
        <v>1</v>
      </c>
      <c r="E536" s="63">
        <v>1.5750263817000001E-5</v>
      </c>
    </row>
    <row r="537" spans="2:5" ht="15" customHeight="1">
      <c r="B537" s="97"/>
      <c r="C537" s="61" t="s">
        <v>211</v>
      </c>
      <c r="D537" s="62">
        <v>2</v>
      </c>
      <c r="E537" s="63">
        <v>3.1500527634000002E-5</v>
      </c>
    </row>
    <row r="538" spans="2:5" ht="15" customHeight="1">
      <c r="B538" s="97"/>
      <c r="C538" s="61" t="s">
        <v>212</v>
      </c>
      <c r="D538" s="62">
        <v>9</v>
      </c>
      <c r="E538" s="63">
        <v>1.4175237435200001E-4</v>
      </c>
    </row>
    <row r="539" spans="2:5" ht="15" customHeight="1">
      <c r="B539" s="97"/>
      <c r="C539" s="61" t="s">
        <v>213</v>
      </c>
      <c r="D539" s="62">
        <v>15</v>
      </c>
      <c r="E539" s="63">
        <v>2.3625395725399999E-4</v>
      </c>
    </row>
    <row r="540" spans="2:5" ht="15" customHeight="1">
      <c r="B540" s="97"/>
      <c r="C540" s="61" t="s">
        <v>215</v>
      </c>
      <c r="D540" s="62">
        <v>1</v>
      </c>
      <c r="E540" s="63">
        <v>1.5750263817000001E-5</v>
      </c>
    </row>
    <row r="541" spans="2:5" ht="15" customHeight="1">
      <c r="B541" s="97"/>
      <c r="C541" s="61" t="s">
        <v>216</v>
      </c>
      <c r="D541" s="62">
        <v>1</v>
      </c>
      <c r="E541" s="63">
        <v>1.5750263817000001E-5</v>
      </c>
    </row>
    <row r="542" spans="2:5" ht="15" customHeight="1">
      <c r="B542" s="98"/>
      <c r="C542" s="75" t="s">
        <v>302</v>
      </c>
      <c r="D542" s="74">
        <v>703</v>
      </c>
      <c r="E542" s="76">
        <v>1.1072435463294001E-2</v>
      </c>
    </row>
    <row r="543" spans="2:5" ht="15" customHeight="1">
      <c r="B543" s="96" t="s">
        <v>93</v>
      </c>
      <c r="C543" s="61" t="s">
        <v>193</v>
      </c>
      <c r="D543" s="62">
        <v>1</v>
      </c>
      <c r="E543" s="63">
        <v>1.5750263817000001E-5</v>
      </c>
    </row>
    <row r="544" spans="2:5" ht="15" customHeight="1">
      <c r="B544" s="97"/>
      <c r="C544" s="61" t="s">
        <v>196</v>
      </c>
      <c r="D544" s="62">
        <v>1</v>
      </c>
      <c r="E544" s="63">
        <v>1.5750263817000001E-5</v>
      </c>
    </row>
    <row r="545" spans="2:5" ht="15" customHeight="1">
      <c r="B545" s="97"/>
      <c r="C545" s="61" t="s">
        <v>197</v>
      </c>
      <c r="D545" s="62">
        <v>2</v>
      </c>
      <c r="E545" s="63">
        <v>3.1500527634000002E-5</v>
      </c>
    </row>
    <row r="546" spans="2:5" ht="15" customHeight="1">
      <c r="B546" s="97"/>
      <c r="C546" s="61" t="s">
        <v>199</v>
      </c>
      <c r="D546" s="62">
        <v>4</v>
      </c>
      <c r="E546" s="63">
        <v>6.3001055268000004E-5</v>
      </c>
    </row>
    <row r="547" spans="2:5" ht="15" customHeight="1">
      <c r="B547" s="97"/>
      <c r="C547" s="61" t="s">
        <v>200</v>
      </c>
      <c r="D547" s="62">
        <v>3</v>
      </c>
      <c r="E547" s="63">
        <v>4.7250791451000003E-5</v>
      </c>
    </row>
    <row r="548" spans="2:5" ht="15" customHeight="1">
      <c r="B548" s="97"/>
      <c r="C548" s="61" t="s">
        <v>202</v>
      </c>
      <c r="D548" s="62">
        <v>2</v>
      </c>
      <c r="E548" s="63">
        <v>3.1500527634000002E-5</v>
      </c>
    </row>
    <row r="549" spans="2:5" ht="15" customHeight="1">
      <c r="B549" s="97"/>
      <c r="C549" s="61" t="s">
        <v>203</v>
      </c>
      <c r="D549" s="62">
        <v>5</v>
      </c>
      <c r="E549" s="63">
        <v>7.8751319085000005E-5</v>
      </c>
    </row>
    <row r="550" spans="2:5" ht="15" customHeight="1">
      <c r="B550" s="97"/>
      <c r="C550" s="61" t="s">
        <v>204</v>
      </c>
      <c r="D550" s="62">
        <v>16</v>
      </c>
      <c r="E550" s="63">
        <v>2.52004221071E-4</v>
      </c>
    </row>
    <row r="551" spans="2:5" ht="15" customHeight="1">
      <c r="B551" s="97"/>
      <c r="C551" s="61" t="s">
        <v>206</v>
      </c>
      <c r="D551" s="62">
        <v>3</v>
      </c>
      <c r="E551" s="63">
        <v>4.7250791451000003E-5</v>
      </c>
    </row>
    <row r="552" spans="2:5" ht="15" customHeight="1">
      <c r="B552" s="97"/>
      <c r="C552" s="61" t="s">
        <v>207</v>
      </c>
      <c r="D552" s="62">
        <v>5</v>
      </c>
      <c r="E552" s="63">
        <v>7.8751319085000005E-5</v>
      </c>
    </row>
    <row r="553" spans="2:5" ht="15" customHeight="1">
      <c r="B553" s="97"/>
      <c r="C553" s="61" t="s">
        <v>208</v>
      </c>
      <c r="D553" s="62">
        <v>1</v>
      </c>
      <c r="E553" s="63">
        <v>1.5750263817000001E-5</v>
      </c>
    </row>
    <row r="554" spans="2:5" ht="15" customHeight="1">
      <c r="B554" s="97"/>
      <c r="C554" s="61" t="s">
        <v>212</v>
      </c>
      <c r="D554" s="62">
        <v>1</v>
      </c>
      <c r="E554" s="63">
        <v>1.5750263817000001E-5</v>
      </c>
    </row>
    <row r="555" spans="2:5" ht="15" customHeight="1">
      <c r="B555" s="97"/>
      <c r="C555" s="61" t="s">
        <v>213</v>
      </c>
      <c r="D555" s="62">
        <v>1</v>
      </c>
      <c r="E555" s="63">
        <v>1.5750263817000001E-5</v>
      </c>
    </row>
    <row r="556" spans="2:5" ht="15" customHeight="1">
      <c r="B556" s="98"/>
      <c r="C556" s="75" t="s">
        <v>302</v>
      </c>
      <c r="D556" s="74">
        <v>45</v>
      </c>
      <c r="E556" s="76">
        <v>7.08761871761E-4</v>
      </c>
    </row>
    <row r="557" spans="2:5" ht="15" customHeight="1">
      <c r="B557" s="96" t="s">
        <v>72</v>
      </c>
      <c r="C557" s="61" t="s">
        <v>193</v>
      </c>
      <c r="D557" s="62">
        <v>8</v>
      </c>
      <c r="E557" s="63">
        <v>1.2600211053499999E-4</v>
      </c>
    </row>
    <row r="558" spans="2:5" ht="15" customHeight="1">
      <c r="B558" s="97"/>
      <c r="C558" s="61" t="s">
        <v>194</v>
      </c>
      <c r="D558" s="62">
        <v>2</v>
      </c>
      <c r="E558" s="63">
        <v>3.1500527634000002E-5</v>
      </c>
    </row>
    <row r="559" spans="2:5" ht="15" customHeight="1">
      <c r="B559" s="97"/>
      <c r="C559" s="61" t="s">
        <v>195</v>
      </c>
      <c r="D559" s="62">
        <v>6</v>
      </c>
      <c r="E559" s="63">
        <v>9.4501582902000006E-5</v>
      </c>
    </row>
    <row r="560" spans="2:5" ht="15" customHeight="1">
      <c r="B560" s="97"/>
      <c r="C560" s="61" t="s">
        <v>196</v>
      </c>
      <c r="D560" s="62">
        <v>17</v>
      </c>
      <c r="E560" s="63">
        <v>2.6775448488800002E-4</v>
      </c>
    </row>
    <row r="561" spans="2:5" ht="15" customHeight="1">
      <c r="B561" s="97"/>
      <c r="C561" s="61" t="s">
        <v>197</v>
      </c>
      <c r="D561" s="62">
        <v>13</v>
      </c>
      <c r="E561" s="63">
        <v>2.0475342962000001E-4</v>
      </c>
    </row>
    <row r="562" spans="2:5" ht="15" customHeight="1">
      <c r="B562" s="97"/>
      <c r="C562" s="61" t="s">
        <v>198</v>
      </c>
      <c r="D562" s="62">
        <v>8</v>
      </c>
      <c r="E562" s="63">
        <v>1.2600211053499999E-4</v>
      </c>
    </row>
    <row r="563" spans="2:5" ht="15" customHeight="1">
      <c r="B563" s="97"/>
      <c r="C563" s="61" t="s">
        <v>199</v>
      </c>
      <c r="D563" s="62">
        <v>42</v>
      </c>
      <c r="E563" s="63">
        <v>6.6151108031099997E-4</v>
      </c>
    </row>
    <row r="564" spans="2:5" ht="15" customHeight="1">
      <c r="B564" s="97"/>
      <c r="C564" s="61" t="s">
        <v>200</v>
      </c>
      <c r="D564" s="62">
        <v>103</v>
      </c>
      <c r="E564" s="63">
        <v>1.622277173143E-3</v>
      </c>
    </row>
    <row r="565" spans="2:5" ht="15" customHeight="1">
      <c r="B565" s="97"/>
      <c r="C565" s="61" t="s">
        <v>201</v>
      </c>
      <c r="D565" s="62">
        <v>19</v>
      </c>
      <c r="E565" s="63">
        <v>2.9925501252099998E-4</v>
      </c>
    </row>
    <row r="566" spans="2:5" ht="15" customHeight="1">
      <c r="B566" s="97"/>
      <c r="C566" s="61" t="s">
        <v>202</v>
      </c>
      <c r="D566" s="62">
        <v>16</v>
      </c>
      <c r="E566" s="63">
        <v>2.52004221071E-4</v>
      </c>
    </row>
    <row r="567" spans="2:5" ht="15" customHeight="1">
      <c r="B567" s="97"/>
      <c r="C567" s="61" t="s">
        <v>203</v>
      </c>
      <c r="D567" s="62">
        <v>12</v>
      </c>
      <c r="E567" s="63">
        <v>1.89003165803E-4</v>
      </c>
    </row>
    <row r="568" spans="2:5" ht="15" customHeight="1">
      <c r="B568" s="97"/>
      <c r="C568" s="61" t="s">
        <v>204</v>
      </c>
      <c r="D568" s="62">
        <v>207</v>
      </c>
      <c r="E568" s="63">
        <v>3.2603046101020001E-3</v>
      </c>
    </row>
    <row r="569" spans="2:5" ht="15" customHeight="1">
      <c r="B569" s="97"/>
      <c r="C569" s="61" t="s">
        <v>206</v>
      </c>
      <c r="D569" s="62">
        <v>20</v>
      </c>
      <c r="E569" s="63">
        <v>3.1500527633799999E-4</v>
      </c>
    </row>
    <row r="570" spans="2:5" ht="15" customHeight="1">
      <c r="B570" s="97"/>
      <c r="C570" s="61" t="s">
        <v>207</v>
      </c>
      <c r="D570" s="62">
        <v>91</v>
      </c>
      <c r="E570" s="63">
        <v>1.4332740073399999E-3</v>
      </c>
    </row>
    <row r="571" spans="2:5" ht="15" customHeight="1">
      <c r="B571" s="97"/>
      <c r="C571" s="61" t="s">
        <v>208</v>
      </c>
      <c r="D571" s="62">
        <v>1</v>
      </c>
      <c r="E571" s="63">
        <v>1.5750263817000001E-5</v>
      </c>
    </row>
    <row r="572" spans="2:5" ht="15" customHeight="1">
      <c r="B572" s="97"/>
      <c r="C572" s="61" t="s">
        <v>209</v>
      </c>
      <c r="D572" s="62">
        <v>1</v>
      </c>
      <c r="E572" s="63">
        <v>1.5750263817000001E-5</v>
      </c>
    </row>
    <row r="573" spans="2:5" ht="15" customHeight="1">
      <c r="B573" s="97"/>
      <c r="C573" s="61" t="s">
        <v>211</v>
      </c>
      <c r="D573" s="62">
        <v>3</v>
      </c>
      <c r="E573" s="63">
        <v>4.7250791451000003E-5</v>
      </c>
    </row>
    <row r="574" spans="2:5" ht="15" customHeight="1">
      <c r="B574" s="97"/>
      <c r="C574" s="61" t="s">
        <v>212</v>
      </c>
      <c r="D574" s="62">
        <v>5</v>
      </c>
      <c r="E574" s="63">
        <v>7.8751319085000005E-5</v>
      </c>
    </row>
    <row r="575" spans="2:5" ht="15" customHeight="1">
      <c r="B575" s="97"/>
      <c r="C575" s="61" t="s">
        <v>213</v>
      </c>
      <c r="D575" s="62">
        <v>12</v>
      </c>
      <c r="E575" s="63">
        <v>1.89003165803E-4</v>
      </c>
    </row>
    <row r="576" spans="2:5" ht="15" customHeight="1">
      <c r="B576" s="98"/>
      <c r="C576" s="75" t="s">
        <v>302</v>
      </c>
      <c r="D576" s="74">
        <v>586</v>
      </c>
      <c r="E576" s="76">
        <v>9.2296545967139997E-3</v>
      </c>
    </row>
    <row r="577" spans="2:5" ht="15" customHeight="1">
      <c r="B577" s="96" t="s">
        <v>84</v>
      </c>
      <c r="C577" s="61" t="s">
        <v>193</v>
      </c>
      <c r="D577" s="62">
        <v>2</v>
      </c>
      <c r="E577" s="63">
        <v>3.1500527634000002E-5</v>
      </c>
    </row>
    <row r="578" spans="2:5" ht="15" customHeight="1">
      <c r="B578" s="97"/>
      <c r="C578" s="61" t="s">
        <v>194</v>
      </c>
      <c r="D578" s="62">
        <v>4</v>
      </c>
      <c r="E578" s="63">
        <v>6.3001055268000004E-5</v>
      </c>
    </row>
    <row r="579" spans="2:5" ht="15" customHeight="1">
      <c r="B579" s="97"/>
      <c r="C579" s="61" t="s">
        <v>196</v>
      </c>
      <c r="D579" s="62">
        <v>3</v>
      </c>
      <c r="E579" s="63">
        <v>4.7250791451000003E-5</v>
      </c>
    </row>
    <row r="580" spans="2:5" ht="15" customHeight="1">
      <c r="B580" s="97"/>
      <c r="C580" s="61" t="s">
        <v>197</v>
      </c>
      <c r="D580" s="62">
        <v>4</v>
      </c>
      <c r="E580" s="63">
        <v>6.3001055268000004E-5</v>
      </c>
    </row>
    <row r="581" spans="2:5" ht="15" customHeight="1">
      <c r="B581" s="97"/>
      <c r="C581" s="61" t="s">
        <v>198</v>
      </c>
      <c r="D581" s="62">
        <v>4</v>
      </c>
      <c r="E581" s="63">
        <v>6.3001055268000004E-5</v>
      </c>
    </row>
    <row r="582" spans="2:5" ht="15" customHeight="1">
      <c r="B582" s="97"/>
      <c r="C582" s="61" t="s">
        <v>199</v>
      </c>
      <c r="D582" s="62">
        <v>5</v>
      </c>
      <c r="E582" s="63">
        <v>7.8751319085000005E-5</v>
      </c>
    </row>
    <row r="583" spans="2:5" ht="15" customHeight="1">
      <c r="B583" s="97"/>
      <c r="C583" s="61" t="s">
        <v>200</v>
      </c>
      <c r="D583" s="62">
        <v>27</v>
      </c>
      <c r="E583" s="63">
        <v>4.2525712305699999E-4</v>
      </c>
    </row>
    <row r="584" spans="2:5" ht="15" customHeight="1">
      <c r="B584" s="97"/>
      <c r="C584" s="61" t="s">
        <v>202</v>
      </c>
      <c r="D584" s="62">
        <v>6</v>
      </c>
      <c r="E584" s="63">
        <v>9.4501582902000006E-5</v>
      </c>
    </row>
    <row r="585" spans="2:5" ht="15" customHeight="1">
      <c r="B585" s="97"/>
      <c r="C585" s="61" t="s">
        <v>203</v>
      </c>
      <c r="D585" s="62">
        <v>2</v>
      </c>
      <c r="E585" s="63">
        <v>3.1500527634000002E-5</v>
      </c>
    </row>
    <row r="586" spans="2:5" ht="15" customHeight="1">
      <c r="B586" s="97"/>
      <c r="C586" s="61" t="s">
        <v>204</v>
      </c>
      <c r="D586" s="62">
        <v>49</v>
      </c>
      <c r="E586" s="63">
        <v>7.7176292702899995E-4</v>
      </c>
    </row>
    <row r="587" spans="2:5" ht="15" customHeight="1">
      <c r="B587" s="97"/>
      <c r="C587" s="61" t="s">
        <v>205</v>
      </c>
      <c r="D587" s="62">
        <v>1</v>
      </c>
      <c r="E587" s="63">
        <v>1.5750263817000001E-5</v>
      </c>
    </row>
    <row r="588" spans="2:5" ht="15" customHeight="1">
      <c r="B588" s="97"/>
      <c r="C588" s="61" t="s">
        <v>206</v>
      </c>
      <c r="D588" s="62">
        <v>12</v>
      </c>
      <c r="E588" s="63">
        <v>1.89003165803E-4</v>
      </c>
    </row>
    <row r="589" spans="2:5" ht="15" customHeight="1">
      <c r="B589" s="97"/>
      <c r="C589" s="61" t="s">
        <v>207</v>
      </c>
      <c r="D589" s="62">
        <v>25</v>
      </c>
      <c r="E589" s="63">
        <v>3.9375659542300001E-4</v>
      </c>
    </row>
    <row r="590" spans="2:5" ht="15" customHeight="1">
      <c r="B590" s="97"/>
      <c r="C590" s="61" t="s">
        <v>211</v>
      </c>
      <c r="D590" s="62">
        <v>1</v>
      </c>
      <c r="E590" s="63">
        <v>1.5750263817000001E-5</v>
      </c>
    </row>
    <row r="591" spans="2:5" ht="15" customHeight="1">
      <c r="B591" s="97"/>
      <c r="C591" s="61" t="s">
        <v>213</v>
      </c>
      <c r="D591" s="62">
        <v>10</v>
      </c>
      <c r="E591" s="63">
        <v>1.57502638169E-4</v>
      </c>
    </row>
    <row r="592" spans="2:5" ht="15" customHeight="1">
      <c r="B592" s="97"/>
      <c r="C592" s="61" t="s">
        <v>215</v>
      </c>
      <c r="D592" s="62">
        <v>1</v>
      </c>
      <c r="E592" s="63">
        <v>1.5750263817000001E-5</v>
      </c>
    </row>
    <row r="593" spans="2:5" ht="15" customHeight="1">
      <c r="B593" s="97"/>
      <c r="C593" s="61" t="s">
        <v>216</v>
      </c>
      <c r="D593" s="62">
        <v>1</v>
      </c>
      <c r="E593" s="63">
        <v>1.5750263817000001E-5</v>
      </c>
    </row>
    <row r="594" spans="2:5" ht="15" customHeight="1">
      <c r="B594" s="98"/>
      <c r="C594" s="75" t="s">
        <v>302</v>
      </c>
      <c r="D594" s="74">
        <v>157</v>
      </c>
      <c r="E594" s="76">
        <v>2.4727914192559999E-3</v>
      </c>
    </row>
    <row r="595" spans="2:5" ht="15" customHeight="1">
      <c r="B595" s="96" t="s">
        <v>57</v>
      </c>
      <c r="C595" s="61" t="s">
        <v>193</v>
      </c>
      <c r="D595" s="62">
        <v>34</v>
      </c>
      <c r="E595" s="63">
        <v>5.3550896977499996E-4</v>
      </c>
    </row>
    <row r="596" spans="2:5" ht="15" customHeight="1">
      <c r="B596" s="97"/>
      <c r="C596" s="61" t="s">
        <v>194</v>
      </c>
      <c r="D596" s="62">
        <v>6</v>
      </c>
      <c r="E596" s="63">
        <v>9.4501582902000006E-5</v>
      </c>
    </row>
    <row r="597" spans="2:5" ht="15" customHeight="1">
      <c r="B597" s="97"/>
      <c r="C597" s="61" t="s">
        <v>195</v>
      </c>
      <c r="D597" s="62">
        <v>29</v>
      </c>
      <c r="E597" s="63">
        <v>4.5675765069100001E-4</v>
      </c>
    </row>
    <row r="598" spans="2:5" ht="15" customHeight="1">
      <c r="B598" s="97"/>
      <c r="C598" s="61" t="s">
        <v>196</v>
      </c>
      <c r="D598" s="62">
        <v>63</v>
      </c>
      <c r="E598" s="63">
        <v>9.9226662046600009E-4</v>
      </c>
    </row>
    <row r="599" spans="2:5" ht="15" customHeight="1">
      <c r="B599" s="97"/>
      <c r="C599" s="61" t="s">
        <v>197</v>
      </c>
      <c r="D599" s="62">
        <v>35</v>
      </c>
      <c r="E599" s="63">
        <v>5.5125923359200003E-4</v>
      </c>
    </row>
    <row r="600" spans="2:5" ht="15" customHeight="1">
      <c r="B600" s="97"/>
      <c r="C600" s="61" t="s">
        <v>198</v>
      </c>
      <c r="D600" s="62">
        <v>38</v>
      </c>
      <c r="E600" s="63">
        <v>5.9851002504300002E-4</v>
      </c>
    </row>
    <row r="601" spans="2:5" ht="15" customHeight="1">
      <c r="B601" s="97"/>
      <c r="C601" s="61" t="s">
        <v>199</v>
      </c>
      <c r="D601" s="62">
        <v>113</v>
      </c>
      <c r="E601" s="63">
        <v>1.779779811312E-3</v>
      </c>
    </row>
    <row r="602" spans="2:5" ht="15" customHeight="1">
      <c r="B602" s="97"/>
      <c r="C602" s="61" t="s">
        <v>200</v>
      </c>
      <c r="D602" s="62">
        <v>345</v>
      </c>
      <c r="E602" s="63">
        <v>5.4338410168369997E-3</v>
      </c>
    </row>
    <row r="603" spans="2:5" ht="15" customHeight="1">
      <c r="B603" s="97"/>
      <c r="C603" s="61" t="s">
        <v>201</v>
      </c>
      <c r="D603" s="62">
        <v>30</v>
      </c>
      <c r="E603" s="63">
        <v>4.7250791450799997E-4</v>
      </c>
    </row>
    <row r="604" spans="2:5" ht="15" customHeight="1">
      <c r="B604" s="97"/>
      <c r="C604" s="61" t="s">
        <v>202</v>
      </c>
      <c r="D604" s="62">
        <v>49</v>
      </c>
      <c r="E604" s="63">
        <v>7.7176292702899995E-4</v>
      </c>
    </row>
    <row r="605" spans="2:5" ht="15" customHeight="1">
      <c r="B605" s="97"/>
      <c r="C605" s="61" t="s">
        <v>203</v>
      </c>
      <c r="D605" s="62">
        <v>50</v>
      </c>
      <c r="E605" s="63">
        <v>7.8751319084600002E-4</v>
      </c>
    </row>
    <row r="606" spans="2:5" ht="15" customHeight="1">
      <c r="B606" s="97"/>
      <c r="C606" s="61" t="s">
        <v>204</v>
      </c>
      <c r="D606" s="62">
        <v>714</v>
      </c>
      <c r="E606" s="63">
        <v>1.1245688365279999E-2</v>
      </c>
    </row>
    <row r="607" spans="2:5" ht="15" customHeight="1">
      <c r="B607" s="97"/>
      <c r="C607" s="61" t="s">
        <v>205</v>
      </c>
      <c r="D607" s="62">
        <v>12</v>
      </c>
      <c r="E607" s="63">
        <v>1.89003165803E-4</v>
      </c>
    </row>
    <row r="608" spans="2:5" ht="15" customHeight="1">
      <c r="B608" s="97"/>
      <c r="C608" s="61" t="s">
        <v>206</v>
      </c>
      <c r="D608" s="62">
        <v>93</v>
      </c>
      <c r="E608" s="63">
        <v>1.464774534973E-3</v>
      </c>
    </row>
    <row r="609" spans="2:5" ht="15" customHeight="1">
      <c r="B609" s="97"/>
      <c r="C609" s="61" t="s">
        <v>207</v>
      </c>
      <c r="D609" s="62">
        <v>298</v>
      </c>
      <c r="E609" s="63">
        <v>4.6935786174419998E-3</v>
      </c>
    </row>
    <row r="610" spans="2:5" ht="15" customHeight="1">
      <c r="B610" s="97"/>
      <c r="C610" s="61" t="s">
        <v>208</v>
      </c>
      <c r="D610" s="62">
        <v>4</v>
      </c>
      <c r="E610" s="63">
        <v>6.3001055268000004E-5</v>
      </c>
    </row>
    <row r="611" spans="2:5" ht="15" customHeight="1">
      <c r="B611" s="97"/>
      <c r="C611" s="61" t="s">
        <v>209</v>
      </c>
      <c r="D611" s="62">
        <v>4</v>
      </c>
      <c r="E611" s="63">
        <v>6.3001055268000004E-5</v>
      </c>
    </row>
    <row r="612" spans="2:5" ht="15" customHeight="1">
      <c r="B612" s="97"/>
      <c r="C612" s="61" t="s">
        <v>210</v>
      </c>
      <c r="D612" s="62">
        <v>2</v>
      </c>
      <c r="E612" s="63">
        <v>3.1500527634000002E-5</v>
      </c>
    </row>
    <row r="613" spans="2:5" ht="15" customHeight="1">
      <c r="B613" s="97"/>
      <c r="C613" s="61" t="s">
        <v>211</v>
      </c>
      <c r="D613" s="62">
        <v>1</v>
      </c>
      <c r="E613" s="63">
        <v>1.5750263817000001E-5</v>
      </c>
    </row>
    <row r="614" spans="2:5" ht="15" customHeight="1">
      <c r="B614" s="97"/>
      <c r="C614" s="61" t="s">
        <v>212</v>
      </c>
      <c r="D614" s="62">
        <v>3</v>
      </c>
      <c r="E614" s="63">
        <v>4.7250791451000003E-5</v>
      </c>
    </row>
    <row r="615" spans="2:5" ht="15" customHeight="1">
      <c r="B615" s="97"/>
      <c r="C615" s="61" t="s">
        <v>213</v>
      </c>
      <c r="D615" s="62">
        <v>26</v>
      </c>
      <c r="E615" s="63">
        <v>4.0950685924000003E-4</v>
      </c>
    </row>
    <row r="616" spans="2:5" ht="15" customHeight="1">
      <c r="B616" s="97"/>
      <c r="C616" s="61" t="s">
        <v>214</v>
      </c>
      <c r="D616" s="62">
        <v>3</v>
      </c>
      <c r="E616" s="63">
        <v>4.7250791451000003E-5</v>
      </c>
    </row>
    <row r="617" spans="2:5" ht="15" customHeight="1">
      <c r="B617" s="98"/>
      <c r="C617" s="75" t="s">
        <v>302</v>
      </c>
      <c r="D617" s="74">
        <v>1952</v>
      </c>
      <c r="E617" s="76">
        <v>3.0744514970626E-2</v>
      </c>
    </row>
    <row r="618" spans="2:5" ht="15" customHeight="1">
      <c r="B618" s="96" t="s">
        <v>78</v>
      </c>
      <c r="C618" s="61" t="s">
        <v>193</v>
      </c>
      <c r="D618" s="62">
        <v>7</v>
      </c>
      <c r="E618" s="63">
        <v>1.1025184671800001E-4</v>
      </c>
    </row>
    <row r="619" spans="2:5" ht="15" customHeight="1">
      <c r="B619" s="97"/>
      <c r="C619" s="61" t="s">
        <v>292</v>
      </c>
      <c r="D619" s="62">
        <v>1</v>
      </c>
      <c r="E619" s="63">
        <v>1.5750263817000001E-5</v>
      </c>
    </row>
    <row r="620" spans="2:5" ht="15" customHeight="1">
      <c r="B620" s="97"/>
      <c r="C620" s="61" t="s">
        <v>194</v>
      </c>
      <c r="D620" s="62">
        <v>2</v>
      </c>
      <c r="E620" s="63">
        <v>3.1500527634000002E-5</v>
      </c>
    </row>
    <row r="621" spans="2:5" ht="15" customHeight="1">
      <c r="B621" s="97"/>
      <c r="C621" s="61" t="s">
        <v>195</v>
      </c>
      <c r="D621" s="62">
        <v>4</v>
      </c>
      <c r="E621" s="63">
        <v>6.3001055268000004E-5</v>
      </c>
    </row>
    <row r="622" spans="2:5" ht="15" customHeight="1">
      <c r="B622" s="97"/>
      <c r="C622" s="61" t="s">
        <v>196</v>
      </c>
      <c r="D622" s="62">
        <v>18</v>
      </c>
      <c r="E622" s="63">
        <v>2.8350474870499998E-4</v>
      </c>
    </row>
    <row r="623" spans="2:5" ht="15" customHeight="1">
      <c r="B623" s="97"/>
      <c r="C623" s="61" t="s">
        <v>197</v>
      </c>
      <c r="D623" s="62">
        <v>10</v>
      </c>
      <c r="E623" s="63">
        <v>1.57502638169E-4</v>
      </c>
    </row>
    <row r="624" spans="2:5" ht="15" customHeight="1">
      <c r="B624" s="97"/>
      <c r="C624" s="61" t="s">
        <v>198</v>
      </c>
      <c r="D624" s="62">
        <v>11</v>
      </c>
      <c r="E624" s="63">
        <v>1.7325290198600001E-4</v>
      </c>
    </row>
    <row r="625" spans="2:5" ht="15" customHeight="1">
      <c r="B625" s="97"/>
      <c r="C625" s="61" t="s">
        <v>199</v>
      </c>
      <c r="D625" s="62">
        <v>35</v>
      </c>
      <c r="E625" s="63">
        <v>5.5125923359200003E-4</v>
      </c>
    </row>
    <row r="626" spans="2:5" ht="15" customHeight="1">
      <c r="B626" s="97"/>
      <c r="C626" s="61" t="s">
        <v>200</v>
      </c>
      <c r="D626" s="62">
        <v>80</v>
      </c>
      <c r="E626" s="63">
        <v>1.2600211053540001E-3</v>
      </c>
    </row>
    <row r="627" spans="2:5" ht="15" customHeight="1">
      <c r="B627" s="97"/>
      <c r="C627" s="61" t="s">
        <v>201</v>
      </c>
      <c r="D627" s="62">
        <v>11</v>
      </c>
      <c r="E627" s="63">
        <v>1.7325290198600001E-4</v>
      </c>
    </row>
    <row r="628" spans="2:5" ht="15" customHeight="1">
      <c r="B628" s="97"/>
      <c r="C628" s="61" t="s">
        <v>202</v>
      </c>
      <c r="D628" s="62">
        <v>22</v>
      </c>
      <c r="E628" s="63">
        <v>3.4650580397200002E-4</v>
      </c>
    </row>
    <row r="629" spans="2:5" ht="15" customHeight="1">
      <c r="B629" s="97"/>
      <c r="C629" s="61" t="s">
        <v>203</v>
      </c>
      <c r="D629" s="62">
        <v>19</v>
      </c>
      <c r="E629" s="63">
        <v>2.9925501252099998E-4</v>
      </c>
    </row>
    <row r="630" spans="2:5" ht="15" customHeight="1">
      <c r="B630" s="97"/>
      <c r="C630" s="61" t="s">
        <v>204</v>
      </c>
      <c r="D630" s="62">
        <v>188</v>
      </c>
      <c r="E630" s="63">
        <v>2.9610495975810002E-3</v>
      </c>
    </row>
    <row r="631" spans="2:5" ht="15" customHeight="1">
      <c r="B631" s="97"/>
      <c r="C631" s="61" t="s">
        <v>205</v>
      </c>
      <c r="D631" s="62">
        <v>8</v>
      </c>
      <c r="E631" s="63">
        <v>1.2600211053499999E-4</v>
      </c>
    </row>
    <row r="632" spans="2:5" ht="15" customHeight="1">
      <c r="B632" s="97"/>
      <c r="C632" s="61" t="s">
        <v>206</v>
      </c>
      <c r="D632" s="62">
        <v>36</v>
      </c>
      <c r="E632" s="63">
        <v>5.6700949740899999E-4</v>
      </c>
    </row>
    <row r="633" spans="2:5" ht="15" customHeight="1">
      <c r="B633" s="97"/>
      <c r="C633" s="61" t="s">
        <v>207</v>
      </c>
      <c r="D633" s="62">
        <v>71</v>
      </c>
      <c r="E633" s="63">
        <v>1.1182687310009999E-3</v>
      </c>
    </row>
    <row r="634" spans="2:5" ht="15" customHeight="1">
      <c r="B634" s="97"/>
      <c r="C634" s="61" t="s">
        <v>208</v>
      </c>
      <c r="D634" s="62">
        <v>1</v>
      </c>
      <c r="E634" s="63">
        <v>1.5750263817000001E-5</v>
      </c>
    </row>
    <row r="635" spans="2:5" ht="15" customHeight="1">
      <c r="B635" s="97"/>
      <c r="C635" s="61" t="s">
        <v>209</v>
      </c>
      <c r="D635" s="62">
        <v>1</v>
      </c>
      <c r="E635" s="63">
        <v>1.5750263817000001E-5</v>
      </c>
    </row>
    <row r="636" spans="2:5" ht="15" customHeight="1">
      <c r="B636" s="97"/>
      <c r="C636" s="61" t="s">
        <v>212</v>
      </c>
      <c r="D636" s="62">
        <v>2</v>
      </c>
      <c r="E636" s="63">
        <v>3.1500527634000002E-5</v>
      </c>
    </row>
    <row r="637" spans="2:5" ht="15" customHeight="1">
      <c r="B637" s="97"/>
      <c r="C637" s="61" t="s">
        <v>213</v>
      </c>
      <c r="D637" s="62">
        <v>7</v>
      </c>
      <c r="E637" s="63">
        <v>1.1025184671800001E-4</v>
      </c>
    </row>
    <row r="638" spans="2:5" ht="15" customHeight="1">
      <c r="B638" s="97"/>
      <c r="C638" s="61" t="s">
        <v>214</v>
      </c>
      <c r="D638" s="62">
        <v>1</v>
      </c>
      <c r="E638" s="63">
        <v>1.5750263817000001E-5</v>
      </c>
    </row>
    <row r="639" spans="2:5" ht="15" customHeight="1">
      <c r="B639" s="98"/>
      <c r="C639" s="75" t="s">
        <v>302</v>
      </c>
      <c r="D639" s="74">
        <v>535</v>
      </c>
      <c r="E639" s="76">
        <v>8.4263911420520005E-3</v>
      </c>
    </row>
    <row r="640" spans="2:5" ht="15" customHeight="1">
      <c r="B640" s="96" t="s">
        <v>60</v>
      </c>
      <c r="C640" s="61" t="s">
        <v>193</v>
      </c>
      <c r="D640" s="62">
        <v>24</v>
      </c>
      <c r="E640" s="63">
        <v>3.78006331606E-4</v>
      </c>
    </row>
    <row r="641" spans="2:5" ht="15" customHeight="1">
      <c r="B641" s="97"/>
      <c r="C641" s="61" t="s">
        <v>194</v>
      </c>
      <c r="D641" s="62">
        <v>6</v>
      </c>
      <c r="E641" s="63">
        <v>9.4501582902000006E-5</v>
      </c>
    </row>
    <row r="642" spans="2:5" ht="15" customHeight="1">
      <c r="B642" s="97"/>
      <c r="C642" s="61" t="s">
        <v>195</v>
      </c>
      <c r="D642" s="62">
        <v>15</v>
      </c>
      <c r="E642" s="63">
        <v>2.3625395725399999E-4</v>
      </c>
    </row>
    <row r="643" spans="2:5" ht="15" customHeight="1">
      <c r="B643" s="97"/>
      <c r="C643" s="61" t="s">
        <v>196</v>
      </c>
      <c r="D643" s="62">
        <v>16</v>
      </c>
      <c r="E643" s="63">
        <v>2.52004221071E-4</v>
      </c>
    </row>
    <row r="644" spans="2:5" ht="15" customHeight="1">
      <c r="B644" s="97"/>
      <c r="C644" s="61" t="s">
        <v>197</v>
      </c>
      <c r="D644" s="62">
        <v>20</v>
      </c>
      <c r="E644" s="63">
        <v>3.1500527633799999E-4</v>
      </c>
    </row>
    <row r="645" spans="2:5" ht="15" customHeight="1">
      <c r="B645" s="97"/>
      <c r="C645" s="61" t="s">
        <v>198</v>
      </c>
      <c r="D645" s="62">
        <v>17</v>
      </c>
      <c r="E645" s="63">
        <v>2.6775448488800002E-4</v>
      </c>
    </row>
    <row r="646" spans="2:5" ht="15" customHeight="1">
      <c r="B646" s="97"/>
      <c r="C646" s="61" t="s">
        <v>199</v>
      </c>
      <c r="D646" s="62">
        <v>66</v>
      </c>
      <c r="E646" s="63">
        <v>1.0395174119170001E-3</v>
      </c>
    </row>
    <row r="647" spans="2:5" ht="15" customHeight="1">
      <c r="B647" s="97"/>
      <c r="C647" s="61" t="s">
        <v>200</v>
      </c>
      <c r="D647" s="62">
        <v>161</v>
      </c>
      <c r="E647" s="63">
        <v>2.5357924745240002E-3</v>
      </c>
    </row>
    <row r="648" spans="2:5" ht="15" customHeight="1">
      <c r="B648" s="97"/>
      <c r="C648" s="61" t="s">
        <v>201</v>
      </c>
      <c r="D648" s="62">
        <v>20</v>
      </c>
      <c r="E648" s="63">
        <v>3.1500527633799999E-4</v>
      </c>
    </row>
    <row r="649" spans="2:5" ht="15" customHeight="1">
      <c r="B649" s="97"/>
      <c r="C649" s="61" t="s">
        <v>202</v>
      </c>
      <c r="D649" s="62">
        <v>39</v>
      </c>
      <c r="E649" s="63">
        <v>6.1426028885999998E-4</v>
      </c>
    </row>
    <row r="650" spans="2:5" ht="15" customHeight="1">
      <c r="B650" s="97"/>
      <c r="C650" s="61" t="s">
        <v>203</v>
      </c>
      <c r="D650" s="62">
        <v>30</v>
      </c>
      <c r="E650" s="63">
        <v>4.7250791450799997E-4</v>
      </c>
    </row>
    <row r="651" spans="2:5" ht="15" customHeight="1">
      <c r="B651" s="97"/>
      <c r="C651" s="61" t="s">
        <v>204</v>
      </c>
      <c r="D651" s="62">
        <v>307</v>
      </c>
      <c r="E651" s="63">
        <v>4.8353309917939999E-3</v>
      </c>
    </row>
    <row r="652" spans="2:5" ht="15" customHeight="1">
      <c r="B652" s="97"/>
      <c r="C652" s="61" t="s">
        <v>205</v>
      </c>
      <c r="D652" s="62">
        <v>8</v>
      </c>
      <c r="E652" s="63">
        <v>1.2600211053499999E-4</v>
      </c>
    </row>
    <row r="653" spans="2:5" ht="15" customHeight="1">
      <c r="B653" s="97"/>
      <c r="C653" s="61" t="s">
        <v>206</v>
      </c>
      <c r="D653" s="62">
        <v>46</v>
      </c>
      <c r="E653" s="63">
        <v>7.2451213557799996E-4</v>
      </c>
    </row>
    <row r="654" spans="2:5" ht="15" customHeight="1">
      <c r="B654" s="97"/>
      <c r="C654" s="61" t="s">
        <v>207</v>
      </c>
      <c r="D654" s="62">
        <v>104</v>
      </c>
      <c r="E654" s="63">
        <v>1.6380274369600001E-3</v>
      </c>
    </row>
    <row r="655" spans="2:5" ht="15" customHeight="1">
      <c r="B655" s="97"/>
      <c r="C655" s="61" t="s">
        <v>208</v>
      </c>
      <c r="D655" s="62">
        <v>1</v>
      </c>
      <c r="E655" s="63">
        <v>1.5750263817000001E-5</v>
      </c>
    </row>
    <row r="656" spans="2:5" ht="15" customHeight="1">
      <c r="B656" s="97"/>
      <c r="C656" s="61" t="s">
        <v>209</v>
      </c>
      <c r="D656" s="62">
        <v>1</v>
      </c>
      <c r="E656" s="63">
        <v>1.5750263817000001E-5</v>
      </c>
    </row>
    <row r="657" spans="2:5" ht="15" customHeight="1">
      <c r="B657" s="97"/>
      <c r="C657" s="61" t="s">
        <v>211</v>
      </c>
      <c r="D657" s="62">
        <v>1</v>
      </c>
      <c r="E657" s="63">
        <v>1.5750263817000001E-5</v>
      </c>
    </row>
    <row r="658" spans="2:5" ht="15" customHeight="1">
      <c r="B658" s="97"/>
      <c r="C658" s="61" t="s">
        <v>212</v>
      </c>
      <c r="D658" s="62">
        <v>6</v>
      </c>
      <c r="E658" s="63">
        <v>9.4501582902000006E-5</v>
      </c>
    </row>
    <row r="659" spans="2:5" ht="15" customHeight="1">
      <c r="B659" s="97"/>
      <c r="C659" s="61" t="s">
        <v>213</v>
      </c>
      <c r="D659" s="62">
        <v>6</v>
      </c>
      <c r="E659" s="63">
        <v>9.4501582902000006E-5</v>
      </c>
    </row>
    <row r="660" spans="2:5" ht="15" customHeight="1">
      <c r="B660" s="97"/>
      <c r="C660" s="61" t="s">
        <v>215</v>
      </c>
      <c r="D660" s="62">
        <v>1</v>
      </c>
      <c r="E660" s="63">
        <v>1.5750263817000001E-5</v>
      </c>
    </row>
    <row r="661" spans="2:5" ht="15" customHeight="1">
      <c r="B661" s="98"/>
      <c r="C661" s="75" t="s">
        <v>302</v>
      </c>
      <c r="D661" s="74">
        <v>895</v>
      </c>
      <c r="E661" s="76">
        <v>1.4096486116142001E-2</v>
      </c>
    </row>
    <row r="662" spans="2:5" ht="15" customHeight="1">
      <c r="B662" s="96" t="s">
        <v>74</v>
      </c>
      <c r="C662" s="61" t="s">
        <v>193</v>
      </c>
      <c r="D662" s="62">
        <v>19</v>
      </c>
      <c r="E662" s="63">
        <v>2.9925501252099998E-4</v>
      </c>
    </row>
    <row r="663" spans="2:5" ht="15" customHeight="1">
      <c r="B663" s="97"/>
      <c r="C663" s="61" t="s">
        <v>194</v>
      </c>
      <c r="D663" s="62">
        <v>8</v>
      </c>
      <c r="E663" s="63">
        <v>1.2600211053499999E-4</v>
      </c>
    </row>
    <row r="664" spans="2:5" ht="15" customHeight="1">
      <c r="B664" s="97"/>
      <c r="C664" s="61" t="s">
        <v>195</v>
      </c>
      <c r="D664" s="62">
        <v>9</v>
      </c>
      <c r="E664" s="63">
        <v>1.4175237435200001E-4</v>
      </c>
    </row>
    <row r="665" spans="2:5" ht="15" customHeight="1">
      <c r="B665" s="97"/>
      <c r="C665" s="61" t="s">
        <v>196</v>
      </c>
      <c r="D665" s="62">
        <v>29</v>
      </c>
      <c r="E665" s="63">
        <v>4.5675765069100001E-4</v>
      </c>
    </row>
    <row r="666" spans="2:5" ht="15" customHeight="1">
      <c r="B666" s="97"/>
      <c r="C666" s="61" t="s">
        <v>197</v>
      </c>
      <c r="D666" s="62">
        <v>18</v>
      </c>
      <c r="E666" s="63">
        <v>2.8350474870499998E-4</v>
      </c>
    </row>
    <row r="667" spans="2:5" ht="15" customHeight="1">
      <c r="B667" s="97"/>
      <c r="C667" s="61" t="s">
        <v>198</v>
      </c>
      <c r="D667" s="62">
        <v>17</v>
      </c>
      <c r="E667" s="63">
        <v>2.6775448488800002E-4</v>
      </c>
    </row>
    <row r="668" spans="2:5" ht="15" customHeight="1">
      <c r="B668" s="97"/>
      <c r="C668" s="61" t="s">
        <v>199</v>
      </c>
      <c r="D668" s="62">
        <v>93</v>
      </c>
      <c r="E668" s="63">
        <v>1.464774534973E-3</v>
      </c>
    </row>
    <row r="669" spans="2:5" ht="15" customHeight="1">
      <c r="B669" s="97"/>
      <c r="C669" s="61" t="s">
        <v>200</v>
      </c>
      <c r="D669" s="62">
        <v>134</v>
      </c>
      <c r="E669" s="63">
        <v>2.1105353514669998E-3</v>
      </c>
    </row>
    <row r="670" spans="2:5" ht="15" customHeight="1">
      <c r="B670" s="97"/>
      <c r="C670" s="61" t="s">
        <v>201</v>
      </c>
      <c r="D670" s="62">
        <v>11</v>
      </c>
      <c r="E670" s="63">
        <v>1.7325290198600001E-4</v>
      </c>
    </row>
    <row r="671" spans="2:5" ht="15" customHeight="1">
      <c r="B671" s="97"/>
      <c r="C671" s="61" t="s">
        <v>202</v>
      </c>
      <c r="D671" s="62">
        <v>14</v>
      </c>
      <c r="E671" s="63">
        <v>2.20503693437E-4</v>
      </c>
    </row>
    <row r="672" spans="2:5" ht="15" customHeight="1">
      <c r="B672" s="97"/>
      <c r="C672" s="61" t="s">
        <v>203</v>
      </c>
      <c r="D672" s="62">
        <v>17</v>
      </c>
      <c r="E672" s="63">
        <v>2.6775448488800002E-4</v>
      </c>
    </row>
    <row r="673" spans="2:5" ht="15" customHeight="1">
      <c r="B673" s="97"/>
      <c r="C673" s="61" t="s">
        <v>204</v>
      </c>
      <c r="D673" s="62">
        <v>199</v>
      </c>
      <c r="E673" s="63">
        <v>3.134302499567E-3</v>
      </c>
    </row>
    <row r="674" spans="2:5" ht="15" customHeight="1">
      <c r="B674" s="97"/>
      <c r="C674" s="61" t="s">
        <v>205</v>
      </c>
      <c r="D674" s="62">
        <v>7</v>
      </c>
      <c r="E674" s="63">
        <v>1.1025184671800001E-4</v>
      </c>
    </row>
    <row r="675" spans="2:5" ht="15" customHeight="1">
      <c r="B675" s="97"/>
      <c r="C675" s="61" t="s">
        <v>206</v>
      </c>
      <c r="D675" s="62">
        <v>18</v>
      </c>
      <c r="E675" s="63">
        <v>2.8350474870499998E-4</v>
      </c>
    </row>
    <row r="676" spans="2:5" ht="15" customHeight="1">
      <c r="B676" s="97"/>
      <c r="C676" s="61" t="s">
        <v>207</v>
      </c>
      <c r="D676" s="62">
        <v>89</v>
      </c>
      <c r="E676" s="63">
        <v>1.401773479706E-3</v>
      </c>
    </row>
    <row r="677" spans="2:5" ht="15" customHeight="1">
      <c r="B677" s="97"/>
      <c r="C677" s="61" t="s">
        <v>208</v>
      </c>
      <c r="D677" s="62">
        <v>3</v>
      </c>
      <c r="E677" s="63">
        <v>4.7250791451000003E-5</v>
      </c>
    </row>
    <row r="678" spans="2:5" ht="15" customHeight="1">
      <c r="B678" s="97"/>
      <c r="C678" s="61" t="s">
        <v>209</v>
      </c>
      <c r="D678" s="62">
        <v>2</v>
      </c>
      <c r="E678" s="63">
        <v>3.1500527634000002E-5</v>
      </c>
    </row>
    <row r="679" spans="2:5" ht="15" customHeight="1">
      <c r="B679" s="97"/>
      <c r="C679" s="61" t="s">
        <v>210</v>
      </c>
      <c r="D679" s="62">
        <v>3</v>
      </c>
      <c r="E679" s="63">
        <v>4.7250791451000003E-5</v>
      </c>
    </row>
    <row r="680" spans="2:5" ht="15" customHeight="1">
      <c r="B680" s="97"/>
      <c r="C680" s="61" t="s">
        <v>211</v>
      </c>
      <c r="D680" s="62">
        <v>2</v>
      </c>
      <c r="E680" s="63">
        <v>3.1500527634000002E-5</v>
      </c>
    </row>
    <row r="681" spans="2:5" ht="15" customHeight="1">
      <c r="B681" s="97"/>
      <c r="C681" s="61" t="s">
        <v>212</v>
      </c>
      <c r="D681" s="62">
        <v>3</v>
      </c>
      <c r="E681" s="63">
        <v>4.7250791451000003E-5</v>
      </c>
    </row>
    <row r="682" spans="2:5" ht="15" customHeight="1">
      <c r="B682" s="97"/>
      <c r="C682" s="61" t="s">
        <v>213</v>
      </c>
      <c r="D682" s="62">
        <v>8</v>
      </c>
      <c r="E682" s="63">
        <v>1.2600211053499999E-4</v>
      </c>
    </row>
    <row r="683" spans="2:5" ht="15" customHeight="1">
      <c r="B683" s="97"/>
      <c r="C683" s="61" t="s">
        <v>214</v>
      </c>
      <c r="D683" s="62">
        <v>1</v>
      </c>
      <c r="E683" s="63">
        <v>1.5750263817000001E-5</v>
      </c>
    </row>
    <row r="684" spans="2:5" ht="15" customHeight="1">
      <c r="B684" s="98"/>
      <c r="C684" s="75" t="s">
        <v>302</v>
      </c>
      <c r="D684" s="74">
        <v>704</v>
      </c>
      <c r="E684" s="76">
        <v>1.1088185727111E-2</v>
      </c>
    </row>
    <row r="685" spans="2:5" ht="15" customHeight="1">
      <c r="B685" s="96" t="s">
        <v>67</v>
      </c>
      <c r="C685" s="61" t="s">
        <v>193</v>
      </c>
      <c r="D685" s="62">
        <v>19</v>
      </c>
      <c r="E685" s="63">
        <v>2.9925501252099998E-4</v>
      </c>
    </row>
    <row r="686" spans="2:5" ht="15" customHeight="1">
      <c r="B686" s="97"/>
      <c r="C686" s="61" t="s">
        <v>194</v>
      </c>
      <c r="D686" s="62">
        <v>13</v>
      </c>
      <c r="E686" s="63">
        <v>2.0475342962000001E-4</v>
      </c>
    </row>
    <row r="687" spans="2:5" ht="15" customHeight="1">
      <c r="B687" s="97"/>
      <c r="C687" s="61" t="s">
        <v>195</v>
      </c>
      <c r="D687" s="62">
        <v>13</v>
      </c>
      <c r="E687" s="63">
        <v>2.0475342962000001E-4</v>
      </c>
    </row>
    <row r="688" spans="2:5" ht="15" customHeight="1">
      <c r="B688" s="97"/>
      <c r="C688" s="61" t="s">
        <v>196</v>
      </c>
      <c r="D688" s="62">
        <v>17</v>
      </c>
      <c r="E688" s="63">
        <v>2.6775448488800002E-4</v>
      </c>
    </row>
    <row r="689" spans="2:5" ht="15" customHeight="1">
      <c r="B689" s="97"/>
      <c r="C689" s="61" t="s">
        <v>197</v>
      </c>
      <c r="D689" s="62">
        <v>21</v>
      </c>
      <c r="E689" s="63">
        <v>3.3075554015500001E-4</v>
      </c>
    </row>
    <row r="690" spans="2:5" ht="15" customHeight="1">
      <c r="B690" s="97"/>
      <c r="C690" s="61" t="s">
        <v>198</v>
      </c>
      <c r="D690" s="62">
        <v>11</v>
      </c>
      <c r="E690" s="63">
        <v>1.7325290198600001E-4</v>
      </c>
    </row>
    <row r="691" spans="2:5" ht="15" customHeight="1">
      <c r="B691" s="97"/>
      <c r="C691" s="61" t="s">
        <v>199</v>
      </c>
      <c r="D691" s="62">
        <v>83</v>
      </c>
      <c r="E691" s="63">
        <v>1.307271896804E-3</v>
      </c>
    </row>
    <row r="692" spans="2:5" ht="15" customHeight="1">
      <c r="B692" s="97"/>
      <c r="C692" s="61" t="s">
        <v>200</v>
      </c>
      <c r="D692" s="62">
        <v>119</v>
      </c>
      <c r="E692" s="63">
        <v>1.8742813942129999E-3</v>
      </c>
    </row>
    <row r="693" spans="2:5" ht="15" customHeight="1">
      <c r="B693" s="97"/>
      <c r="C693" s="61" t="s">
        <v>201</v>
      </c>
      <c r="D693" s="62">
        <v>8</v>
      </c>
      <c r="E693" s="63">
        <v>1.2600211053499999E-4</v>
      </c>
    </row>
    <row r="694" spans="2:5" ht="15" customHeight="1">
      <c r="B694" s="97"/>
      <c r="C694" s="61" t="s">
        <v>202</v>
      </c>
      <c r="D694" s="62">
        <v>11</v>
      </c>
      <c r="E694" s="63">
        <v>1.7325290198600001E-4</v>
      </c>
    </row>
    <row r="695" spans="2:5" ht="15" customHeight="1">
      <c r="B695" s="97"/>
      <c r="C695" s="61" t="s">
        <v>203</v>
      </c>
      <c r="D695" s="62">
        <v>20</v>
      </c>
      <c r="E695" s="63">
        <v>3.1500527633799999E-4</v>
      </c>
    </row>
    <row r="696" spans="2:5" ht="15" customHeight="1">
      <c r="B696" s="97"/>
      <c r="C696" s="61" t="s">
        <v>204</v>
      </c>
      <c r="D696" s="62">
        <v>185</v>
      </c>
      <c r="E696" s="63">
        <v>2.91379880613E-3</v>
      </c>
    </row>
    <row r="697" spans="2:5" ht="15" customHeight="1">
      <c r="B697" s="97"/>
      <c r="C697" s="61" t="s">
        <v>205</v>
      </c>
      <c r="D697" s="62">
        <v>5</v>
      </c>
      <c r="E697" s="63">
        <v>7.8751319085000005E-5</v>
      </c>
    </row>
    <row r="698" spans="2:5" ht="15" customHeight="1">
      <c r="B698" s="97"/>
      <c r="C698" s="61" t="s">
        <v>206</v>
      </c>
      <c r="D698" s="62">
        <v>27</v>
      </c>
      <c r="E698" s="63">
        <v>4.2525712305699999E-4</v>
      </c>
    </row>
    <row r="699" spans="2:5" ht="15" customHeight="1">
      <c r="B699" s="97"/>
      <c r="C699" s="61" t="s">
        <v>207</v>
      </c>
      <c r="D699" s="62">
        <v>97</v>
      </c>
      <c r="E699" s="63">
        <v>1.5277755902410001E-3</v>
      </c>
    </row>
    <row r="700" spans="2:5" ht="15" customHeight="1">
      <c r="B700" s="97"/>
      <c r="C700" s="61" t="s">
        <v>208</v>
      </c>
      <c r="D700" s="62">
        <v>2</v>
      </c>
      <c r="E700" s="63">
        <v>3.1500527634000002E-5</v>
      </c>
    </row>
    <row r="701" spans="2:5" ht="15" customHeight="1">
      <c r="B701" s="97"/>
      <c r="C701" s="61" t="s">
        <v>209</v>
      </c>
      <c r="D701" s="62">
        <v>2</v>
      </c>
      <c r="E701" s="63">
        <v>3.1500527634000002E-5</v>
      </c>
    </row>
    <row r="702" spans="2:5" ht="15" customHeight="1">
      <c r="B702" s="97"/>
      <c r="C702" s="61" t="s">
        <v>210</v>
      </c>
      <c r="D702" s="62">
        <v>2</v>
      </c>
      <c r="E702" s="63">
        <v>3.1500527634000002E-5</v>
      </c>
    </row>
    <row r="703" spans="2:5" ht="15" customHeight="1">
      <c r="B703" s="97"/>
      <c r="C703" s="61" t="s">
        <v>211</v>
      </c>
      <c r="D703" s="62">
        <v>2</v>
      </c>
      <c r="E703" s="63">
        <v>3.1500527634000002E-5</v>
      </c>
    </row>
    <row r="704" spans="2:5" ht="15" customHeight="1">
      <c r="B704" s="97"/>
      <c r="C704" s="61" t="s">
        <v>212</v>
      </c>
      <c r="D704" s="62">
        <v>1</v>
      </c>
      <c r="E704" s="63">
        <v>1.5750263817000001E-5</v>
      </c>
    </row>
    <row r="705" spans="2:5" ht="15" customHeight="1">
      <c r="B705" s="97"/>
      <c r="C705" s="61" t="s">
        <v>213</v>
      </c>
      <c r="D705" s="62">
        <v>9</v>
      </c>
      <c r="E705" s="63">
        <v>1.4175237435200001E-4</v>
      </c>
    </row>
    <row r="706" spans="2:5" ht="15" customHeight="1">
      <c r="B706" s="97"/>
      <c r="C706" s="61" t="s">
        <v>214</v>
      </c>
      <c r="D706" s="62">
        <v>3</v>
      </c>
      <c r="E706" s="63">
        <v>4.7250791451000003E-5</v>
      </c>
    </row>
    <row r="707" spans="2:5" ht="15" customHeight="1">
      <c r="B707" s="97"/>
      <c r="C707" s="61" t="s">
        <v>215</v>
      </c>
      <c r="D707" s="62">
        <v>1</v>
      </c>
      <c r="E707" s="63">
        <v>1.5750263817000001E-5</v>
      </c>
    </row>
    <row r="708" spans="2:5" ht="15" customHeight="1">
      <c r="B708" s="98"/>
      <c r="C708" s="75" t="s">
        <v>302</v>
      </c>
      <c r="D708" s="74">
        <v>671</v>
      </c>
      <c r="E708" s="76">
        <v>1.0568427021153E-2</v>
      </c>
    </row>
    <row r="709" spans="2:5" ht="15" customHeight="1">
      <c r="B709" s="96" t="s">
        <v>81</v>
      </c>
      <c r="C709" s="61" t="s">
        <v>193</v>
      </c>
      <c r="D709" s="62">
        <v>2</v>
      </c>
      <c r="E709" s="63">
        <v>3.1500527634000002E-5</v>
      </c>
    </row>
    <row r="710" spans="2:5" ht="15" customHeight="1">
      <c r="B710" s="97"/>
      <c r="C710" s="61" t="s">
        <v>194</v>
      </c>
      <c r="D710" s="62">
        <v>6</v>
      </c>
      <c r="E710" s="63">
        <v>9.4501582902000006E-5</v>
      </c>
    </row>
    <row r="711" spans="2:5" ht="15" customHeight="1">
      <c r="B711" s="97"/>
      <c r="C711" s="61" t="s">
        <v>195</v>
      </c>
      <c r="D711" s="62">
        <v>7</v>
      </c>
      <c r="E711" s="63">
        <v>1.1025184671800001E-4</v>
      </c>
    </row>
    <row r="712" spans="2:5" ht="15" customHeight="1">
      <c r="B712" s="97"/>
      <c r="C712" s="61" t="s">
        <v>196</v>
      </c>
      <c r="D712" s="62">
        <v>8</v>
      </c>
      <c r="E712" s="63">
        <v>1.2600211053499999E-4</v>
      </c>
    </row>
    <row r="713" spans="2:5" ht="15" customHeight="1">
      <c r="B713" s="97"/>
      <c r="C713" s="61" t="s">
        <v>197</v>
      </c>
      <c r="D713" s="62">
        <v>2</v>
      </c>
      <c r="E713" s="63">
        <v>3.1500527634000002E-5</v>
      </c>
    </row>
    <row r="714" spans="2:5" ht="15" customHeight="1">
      <c r="B714" s="97"/>
      <c r="C714" s="61" t="s">
        <v>198</v>
      </c>
      <c r="D714" s="62">
        <v>5</v>
      </c>
      <c r="E714" s="63">
        <v>7.8751319085000005E-5</v>
      </c>
    </row>
    <row r="715" spans="2:5" ht="15" customHeight="1">
      <c r="B715" s="97"/>
      <c r="C715" s="61" t="s">
        <v>199</v>
      </c>
      <c r="D715" s="62">
        <v>15</v>
      </c>
      <c r="E715" s="63">
        <v>2.3625395725399999E-4</v>
      </c>
    </row>
    <row r="716" spans="2:5" ht="15" customHeight="1">
      <c r="B716" s="97"/>
      <c r="C716" s="61" t="s">
        <v>200</v>
      </c>
      <c r="D716" s="62">
        <v>39</v>
      </c>
      <c r="E716" s="63">
        <v>6.1426028885999998E-4</v>
      </c>
    </row>
    <row r="717" spans="2:5" ht="15" customHeight="1">
      <c r="B717" s="97"/>
      <c r="C717" s="61" t="s">
        <v>201</v>
      </c>
      <c r="D717" s="62">
        <v>3</v>
      </c>
      <c r="E717" s="63">
        <v>4.7250791451000003E-5</v>
      </c>
    </row>
    <row r="718" spans="2:5" ht="15" customHeight="1">
      <c r="B718" s="97"/>
      <c r="C718" s="61" t="s">
        <v>202</v>
      </c>
      <c r="D718" s="62">
        <v>10</v>
      </c>
      <c r="E718" s="63">
        <v>1.57502638169E-4</v>
      </c>
    </row>
    <row r="719" spans="2:5" ht="15" customHeight="1">
      <c r="B719" s="97"/>
      <c r="C719" s="61" t="s">
        <v>203</v>
      </c>
      <c r="D719" s="62">
        <v>8</v>
      </c>
      <c r="E719" s="63">
        <v>1.2600211053499999E-4</v>
      </c>
    </row>
    <row r="720" spans="2:5" ht="15" customHeight="1">
      <c r="B720" s="97"/>
      <c r="C720" s="61" t="s">
        <v>204</v>
      </c>
      <c r="D720" s="62">
        <v>54</v>
      </c>
      <c r="E720" s="63">
        <v>8.5051424611399997E-4</v>
      </c>
    </row>
    <row r="721" spans="2:5" ht="15" customHeight="1">
      <c r="B721" s="97"/>
      <c r="C721" s="61" t="s">
        <v>206</v>
      </c>
      <c r="D721" s="62">
        <v>10</v>
      </c>
      <c r="E721" s="63">
        <v>1.57502638169E-4</v>
      </c>
    </row>
    <row r="722" spans="2:5" ht="15" customHeight="1">
      <c r="B722" s="97"/>
      <c r="C722" s="61" t="s">
        <v>207</v>
      </c>
      <c r="D722" s="62">
        <v>39</v>
      </c>
      <c r="E722" s="63">
        <v>6.1426028885999998E-4</v>
      </c>
    </row>
    <row r="723" spans="2:5" ht="15" customHeight="1">
      <c r="B723" s="97"/>
      <c r="C723" s="61" t="s">
        <v>208</v>
      </c>
      <c r="D723" s="62">
        <v>1</v>
      </c>
      <c r="E723" s="63">
        <v>1.5750263817000001E-5</v>
      </c>
    </row>
    <row r="724" spans="2:5" ht="15" customHeight="1">
      <c r="B724" s="97"/>
      <c r="C724" s="61" t="s">
        <v>211</v>
      </c>
      <c r="D724" s="62">
        <v>1</v>
      </c>
      <c r="E724" s="63">
        <v>1.5750263817000001E-5</v>
      </c>
    </row>
    <row r="725" spans="2:5" ht="15" customHeight="1">
      <c r="B725" s="97"/>
      <c r="C725" s="61" t="s">
        <v>212</v>
      </c>
      <c r="D725" s="62">
        <v>2</v>
      </c>
      <c r="E725" s="63">
        <v>3.1500527634000002E-5</v>
      </c>
    </row>
    <row r="726" spans="2:5" ht="15" customHeight="1">
      <c r="B726" s="97"/>
      <c r="C726" s="61" t="s">
        <v>213</v>
      </c>
      <c r="D726" s="62">
        <v>4</v>
      </c>
      <c r="E726" s="63">
        <v>6.3001055268000004E-5</v>
      </c>
    </row>
    <row r="727" spans="2:5" ht="15" customHeight="1">
      <c r="B727" s="97"/>
      <c r="C727" s="61" t="s">
        <v>215</v>
      </c>
      <c r="D727" s="62">
        <v>1</v>
      </c>
      <c r="E727" s="63">
        <v>1.5750263817000001E-5</v>
      </c>
    </row>
    <row r="728" spans="2:5" ht="15" customHeight="1">
      <c r="B728" s="97"/>
      <c r="C728" s="61" t="s">
        <v>216</v>
      </c>
      <c r="D728" s="62">
        <v>1</v>
      </c>
      <c r="E728" s="63">
        <v>1.5750263817000001E-5</v>
      </c>
    </row>
    <row r="729" spans="2:5" ht="15" customHeight="1">
      <c r="B729" s="98"/>
      <c r="C729" s="75" t="s">
        <v>302</v>
      </c>
      <c r="D729" s="74">
        <v>218</v>
      </c>
      <c r="E729" s="76">
        <v>3.4335575120879999E-3</v>
      </c>
    </row>
    <row r="730" spans="2:5" ht="15" customHeight="1">
      <c r="B730" s="96" t="s">
        <v>90</v>
      </c>
      <c r="C730" s="61" t="s">
        <v>193</v>
      </c>
      <c r="D730" s="62">
        <v>2</v>
      </c>
      <c r="E730" s="63">
        <v>3.1500527634000002E-5</v>
      </c>
    </row>
    <row r="731" spans="2:5" ht="15" customHeight="1">
      <c r="B731" s="97"/>
      <c r="C731" s="61" t="s">
        <v>196</v>
      </c>
      <c r="D731" s="62">
        <v>1</v>
      </c>
      <c r="E731" s="63">
        <v>1.5750263817000001E-5</v>
      </c>
    </row>
    <row r="732" spans="2:5" ht="15" customHeight="1">
      <c r="B732" s="97"/>
      <c r="C732" s="61" t="s">
        <v>198</v>
      </c>
      <c r="D732" s="62">
        <v>1</v>
      </c>
      <c r="E732" s="63">
        <v>1.5750263817000001E-5</v>
      </c>
    </row>
    <row r="733" spans="2:5" ht="15" customHeight="1">
      <c r="B733" s="97"/>
      <c r="C733" s="61" t="s">
        <v>199</v>
      </c>
      <c r="D733" s="62">
        <v>6</v>
      </c>
      <c r="E733" s="63">
        <v>9.4501582902000006E-5</v>
      </c>
    </row>
    <row r="734" spans="2:5" ht="15" customHeight="1">
      <c r="B734" s="97"/>
      <c r="C734" s="61" t="s">
        <v>200</v>
      </c>
      <c r="D734" s="62">
        <v>9</v>
      </c>
      <c r="E734" s="63">
        <v>1.4175237435200001E-4</v>
      </c>
    </row>
    <row r="735" spans="2:5" ht="15" customHeight="1">
      <c r="B735" s="97"/>
      <c r="C735" s="61" t="s">
        <v>202</v>
      </c>
      <c r="D735" s="62">
        <v>2</v>
      </c>
      <c r="E735" s="63">
        <v>3.1500527634000002E-5</v>
      </c>
    </row>
    <row r="736" spans="2:5" ht="15" customHeight="1">
      <c r="B736" s="97"/>
      <c r="C736" s="61" t="s">
        <v>203</v>
      </c>
      <c r="D736" s="62">
        <v>4</v>
      </c>
      <c r="E736" s="63">
        <v>6.3001055268000004E-5</v>
      </c>
    </row>
    <row r="737" spans="2:5" ht="15" customHeight="1">
      <c r="B737" s="97"/>
      <c r="C737" s="61" t="s">
        <v>204</v>
      </c>
      <c r="D737" s="62">
        <v>19</v>
      </c>
      <c r="E737" s="63">
        <v>2.9925501252099998E-4</v>
      </c>
    </row>
    <row r="738" spans="2:5" ht="15" customHeight="1">
      <c r="B738" s="97"/>
      <c r="C738" s="61" t="s">
        <v>205</v>
      </c>
      <c r="D738" s="62">
        <v>1</v>
      </c>
      <c r="E738" s="63">
        <v>1.5750263817000001E-5</v>
      </c>
    </row>
    <row r="739" spans="2:5" ht="15" customHeight="1">
      <c r="B739" s="97"/>
      <c r="C739" s="61" t="s">
        <v>206</v>
      </c>
      <c r="D739" s="62">
        <v>2</v>
      </c>
      <c r="E739" s="63">
        <v>3.1500527634000002E-5</v>
      </c>
    </row>
    <row r="740" spans="2:5" ht="15" customHeight="1">
      <c r="B740" s="97"/>
      <c r="C740" s="61" t="s">
        <v>207</v>
      </c>
      <c r="D740" s="62">
        <v>5</v>
      </c>
      <c r="E740" s="63">
        <v>7.8751319085000005E-5</v>
      </c>
    </row>
    <row r="741" spans="2:5" ht="15" customHeight="1">
      <c r="B741" s="98"/>
      <c r="C741" s="75" t="s">
        <v>302</v>
      </c>
      <c r="D741" s="74">
        <v>52</v>
      </c>
      <c r="E741" s="76">
        <v>8.1901371848000005E-4</v>
      </c>
    </row>
    <row r="742" spans="2:5" ht="15" customHeight="1">
      <c r="B742" s="96" t="s">
        <v>51</v>
      </c>
      <c r="C742" s="61" t="s">
        <v>193</v>
      </c>
      <c r="D742" s="62">
        <v>48</v>
      </c>
      <c r="E742" s="63">
        <v>7.5601266321199999E-4</v>
      </c>
    </row>
    <row r="743" spans="2:5" ht="15" customHeight="1">
      <c r="B743" s="97"/>
      <c r="C743" s="61" t="s">
        <v>194</v>
      </c>
      <c r="D743" s="62">
        <v>12</v>
      </c>
      <c r="E743" s="63">
        <v>1.89003165803E-4</v>
      </c>
    </row>
    <row r="744" spans="2:5" ht="15" customHeight="1">
      <c r="B744" s="97"/>
      <c r="C744" s="61" t="s">
        <v>195</v>
      </c>
      <c r="D744" s="62">
        <v>26</v>
      </c>
      <c r="E744" s="63">
        <v>4.0950685924000003E-4</v>
      </c>
    </row>
    <row r="745" spans="2:5" ht="15" customHeight="1">
      <c r="B745" s="97"/>
      <c r="C745" s="61" t="s">
        <v>196</v>
      </c>
      <c r="D745" s="62">
        <v>33</v>
      </c>
      <c r="E745" s="63">
        <v>5.19758705958E-4</v>
      </c>
    </row>
    <row r="746" spans="2:5" ht="15" customHeight="1">
      <c r="B746" s="97"/>
      <c r="C746" s="61" t="s">
        <v>197</v>
      </c>
      <c r="D746" s="62">
        <v>35</v>
      </c>
      <c r="E746" s="63">
        <v>5.5125923359200003E-4</v>
      </c>
    </row>
    <row r="747" spans="2:5" ht="15" customHeight="1">
      <c r="B747" s="97"/>
      <c r="C747" s="61" t="s">
        <v>198</v>
      </c>
      <c r="D747" s="62">
        <v>37</v>
      </c>
      <c r="E747" s="63">
        <v>5.8275976122599995E-4</v>
      </c>
    </row>
    <row r="748" spans="2:5" ht="15" customHeight="1">
      <c r="B748" s="97"/>
      <c r="C748" s="61" t="s">
        <v>199</v>
      </c>
      <c r="D748" s="62">
        <v>181</v>
      </c>
      <c r="E748" s="63">
        <v>2.8507977508620001E-3</v>
      </c>
    </row>
    <row r="749" spans="2:5" ht="15" customHeight="1">
      <c r="B749" s="97"/>
      <c r="C749" s="61" t="s">
        <v>200</v>
      </c>
      <c r="D749" s="62">
        <v>506</v>
      </c>
      <c r="E749" s="63">
        <v>7.9696334913610008E-3</v>
      </c>
    </row>
    <row r="750" spans="2:5" ht="15" customHeight="1">
      <c r="B750" s="97"/>
      <c r="C750" s="61" t="s">
        <v>201</v>
      </c>
      <c r="D750" s="62">
        <v>34</v>
      </c>
      <c r="E750" s="63">
        <v>5.3550896977499996E-4</v>
      </c>
    </row>
    <row r="751" spans="2:5" ht="15" customHeight="1">
      <c r="B751" s="97"/>
      <c r="C751" s="61" t="s">
        <v>202</v>
      </c>
      <c r="D751" s="62">
        <v>57</v>
      </c>
      <c r="E751" s="63">
        <v>8.97765037564E-4</v>
      </c>
    </row>
    <row r="752" spans="2:5" ht="15" customHeight="1">
      <c r="B752" s="97"/>
      <c r="C752" s="61" t="s">
        <v>203</v>
      </c>
      <c r="D752" s="62">
        <v>129</v>
      </c>
      <c r="E752" s="63">
        <v>2.0317840323829999E-3</v>
      </c>
    </row>
    <row r="753" spans="2:5" ht="15" customHeight="1">
      <c r="B753" s="97"/>
      <c r="C753" s="61" t="s">
        <v>204</v>
      </c>
      <c r="D753" s="62">
        <v>887</v>
      </c>
      <c r="E753" s="63">
        <v>1.3970484005606999E-2</v>
      </c>
    </row>
    <row r="754" spans="2:5" ht="15" customHeight="1">
      <c r="B754" s="97"/>
      <c r="C754" s="61" t="s">
        <v>205</v>
      </c>
      <c r="D754" s="62">
        <v>10</v>
      </c>
      <c r="E754" s="63">
        <v>1.57502638169E-4</v>
      </c>
    </row>
    <row r="755" spans="2:5" ht="15" customHeight="1">
      <c r="B755" s="97"/>
      <c r="C755" s="61" t="s">
        <v>206</v>
      </c>
      <c r="D755" s="62">
        <v>100</v>
      </c>
      <c r="E755" s="63">
        <v>1.575026381692E-3</v>
      </c>
    </row>
    <row r="756" spans="2:5" ht="15" customHeight="1">
      <c r="B756" s="97"/>
      <c r="C756" s="61" t="s">
        <v>207</v>
      </c>
      <c r="D756" s="62">
        <v>327</v>
      </c>
      <c r="E756" s="63">
        <v>5.1503362681320003E-3</v>
      </c>
    </row>
    <row r="757" spans="2:5" ht="15" customHeight="1">
      <c r="B757" s="97"/>
      <c r="C757" s="61" t="s">
        <v>209</v>
      </c>
      <c r="D757" s="62">
        <v>1</v>
      </c>
      <c r="E757" s="63">
        <v>1.5750263817000001E-5</v>
      </c>
    </row>
    <row r="758" spans="2:5" ht="15" customHeight="1">
      <c r="B758" s="97"/>
      <c r="C758" s="61" t="s">
        <v>210</v>
      </c>
      <c r="D758" s="62">
        <v>2</v>
      </c>
      <c r="E758" s="63">
        <v>3.1500527634000002E-5</v>
      </c>
    </row>
    <row r="759" spans="2:5" ht="15" customHeight="1">
      <c r="B759" s="97"/>
      <c r="C759" s="61" t="s">
        <v>211</v>
      </c>
      <c r="D759" s="62">
        <v>2</v>
      </c>
      <c r="E759" s="63">
        <v>3.1500527634000002E-5</v>
      </c>
    </row>
    <row r="760" spans="2:5" ht="15" customHeight="1">
      <c r="B760" s="97"/>
      <c r="C760" s="61" t="s">
        <v>212</v>
      </c>
      <c r="D760" s="62">
        <v>17</v>
      </c>
      <c r="E760" s="63">
        <v>2.6775448488800002E-4</v>
      </c>
    </row>
    <row r="761" spans="2:5" ht="15" customHeight="1">
      <c r="B761" s="97"/>
      <c r="C761" s="61" t="s">
        <v>213</v>
      </c>
      <c r="D761" s="62">
        <v>30</v>
      </c>
      <c r="E761" s="63">
        <v>4.7250791450799997E-4</v>
      </c>
    </row>
    <row r="762" spans="2:5" ht="15" customHeight="1">
      <c r="B762" s="98"/>
      <c r="C762" s="75" t="s">
        <v>302</v>
      </c>
      <c r="D762" s="74">
        <v>2474</v>
      </c>
      <c r="E762" s="76">
        <v>3.8966152683056997E-2</v>
      </c>
    </row>
    <row r="763" spans="2:5" ht="15" customHeight="1">
      <c r="B763" s="96" t="s">
        <v>55</v>
      </c>
      <c r="C763" s="61" t="s">
        <v>193</v>
      </c>
      <c r="D763" s="62">
        <v>23</v>
      </c>
      <c r="E763" s="63">
        <v>3.6225606778899998E-4</v>
      </c>
    </row>
    <row r="764" spans="2:5" ht="15" customHeight="1">
      <c r="B764" s="97"/>
      <c r="C764" s="61" t="s">
        <v>194</v>
      </c>
      <c r="D764" s="62">
        <v>6</v>
      </c>
      <c r="E764" s="63">
        <v>9.4501582902000006E-5</v>
      </c>
    </row>
    <row r="765" spans="2:5" ht="15" customHeight="1">
      <c r="B765" s="97"/>
      <c r="C765" s="61" t="s">
        <v>195</v>
      </c>
      <c r="D765" s="62">
        <v>9</v>
      </c>
      <c r="E765" s="63">
        <v>1.4175237435200001E-4</v>
      </c>
    </row>
    <row r="766" spans="2:5" ht="15" customHeight="1">
      <c r="B766" s="97"/>
      <c r="C766" s="61" t="s">
        <v>196</v>
      </c>
      <c r="D766" s="62">
        <v>19</v>
      </c>
      <c r="E766" s="63">
        <v>2.9925501252099998E-4</v>
      </c>
    </row>
    <row r="767" spans="2:5" ht="15" customHeight="1">
      <c r="B767" s="97"/>
      <c r="C767" s="61" t="s">
        <v>197</v>
      </c>
      <c r="D767" s="62">
        <v>20</v>
      </c>
      <c r="E767" s="63">
        <v>3.1500527633799999E-4</v>
      </c>
    </row>
    <row r="768" spans="2:5" ht="15" customHeight="1">
      <c r="B768" s="97"/>
      <c r="C768" s="61" t="s">
        <v>198</v>
      </c>
      <c r="D768" s="62">
        <v>26</v>
      </c>
      <c r="E768" s="63">
        <v>4.0950685924000003E-4</v>
      </c>
    </row>
    <row r="769" spans="2:5" ht="15" customHeight="1">
      <c r="B769" s="97"/>
      <c r="C769" s="61" t="s">
        <v>199</v>
      </c>
      <c r="D769" s="62">
        <v>145</v>
      </c>
      <c r="E769" s="63">
        <v>2.283788253453E-3</v>
      </c>
    </row>
    <row r="770" spans="2:5" ht="15" customHeight="1">
      <c r="B770" s="97"/>
      <c r="C770" s="61" t="s">
        <v>200</v>
      </c>
      <c r="D770" s="62">
        <v>346</v>
      </c>
      <c r="E770" s="63">
        <v>5.4495912806540002E-3</v>
      </c>
    </row>
    <row r="771" spans="2:5" ht="15" customHeight="1">
      <c r="B771" s="97"/>
      <c r="C771" s="61" t="s">
        <v>201</v>
      </c>
      <c r="D771" s="62">
        <v>12</v>
      </c>
      <c r="E771" s="63">
        <v>1.89003165803E-4</v>
      </c>
    </row>
    <row r="772" spans="2:5" ht="15" customHeight="1">
      <c r="B772" s="97"/>
      <c r="C772" s="61" t="s">
        <v>202</v>
      </c>
      <c r="D772" s="62">
        <v>28</v>
      </c>
      <c r="E772" s="63">
        <v>4.41007386874E-4</v>
      </c>
    </row>
    <row r="773" spans="2:5" ht="15" customHeight="1">
      <c r="B773" s="97"/>
      <c r="C773" s="61" t="s">
        <v>203</v>
      </c>
      <c r="D773" s="62">
        <v>102</v>
      </c>
      <c r="E773" s="63">
        <v>1.606526909326E-3</v>
      </c>
    </row>
    <row r="774" spans="2:5" ht="15" customHeight="1">
      <c r="B774" s="97"/>
      <c r="C774" s="61" t="s">
        <v>204</v>
      </c>
      <c r="D774" s="62">
        <v>445</v>
      </c>
      <c r="E774" s="63">
        <v>7.008867398529E-3</v>
      </c>
    </row>
    <row r="775" spans="2:5" ht="15" customHeight="1">
      <c r="B775" s="97"/>
      <c r="C775" s="61" t="s">
        <v>205</v>
      </c>
      <c r="D775" s="62">
        <v>17</v>
      </c>
      <c r="E775" s="63">
        <v>2.6775448488800002E-4</v>
      </c>
    </row>
    <row r="776" spans="2:5" ht="15" customHeight="1">
      <c r="B776" s="97"/>
      <c r="C776" s="61" t="s">
        <v>206</v>
      </c>
      <c r="D776" s="62">
        <v>45</v>
      </c>
      <c r="E776" s="63">
        <v>7.08761871761E-4</v>
      </c>
    </row>
    <row r="777" spans="2:5" ht="15" customHeight="1">
      <c r="B777" s="97"/>
      <c r="C777" s="61" t="s">
        <v>207</v>
      </c>
      <c r="D777" s="62">
        <v>201</v>
      </c>
      <c r="E777" s="63">
        <v>3.1658030272010002E-3</v>
      </c>
    </row>
    <row r="778" spans="2:5" ht="15" customHeight="1">
      <c r="B778" s="97"/>
      <c r="C778" s="61" t="s">
        <v>208</v>
      </c>
      <c r="D778" s="62">
        <v>3</v>
      </c>
      <c r="E778" s="63">
        <v>4.7250791451000003E-5</v>
      </c>
    </row>
    <row r="779" spans="2:5" ht="15" customHeight="1">
      <c r="B779" s="97"/>
      <c r="C779" s="61" t="s">
        <v>209</v>
      </c>
      <c r="D779" s="62">
        <v>3</v>
      </c>
      <c r="E779" s="63">
        <v>4.7250791451000003E-5</v>
      </c>
    </row>
    <row r="780" spans="2:5" ht="15" customHeight="1">
      <c r="B780" s="97"/>
      <c r="C780" s="61" t="s">
        <v>210</v>
      </c>
      <c r="D780" s="62">
        <v>2</v>
      </c>
      <c r="E780" s="63">
        <v>3.1500527634000002E-5</v>
      </c>
    </row>
    <row r="781" spans="2:5" ht="15" customHeight="1">
      <c r="B781" s="97"/>
      <c r="C781" s="61" t="s">
        <v>212</v>
      </c>
      <c r="D781" s="62">
        <v>9</v>
      </c>
      <c r="E781" s="63">
        <v>1.4175237435200001E-4</v>
      </c>
    </row>
    <row r="782" spans="2:5" ht="15" customHeight="1">
      <c r="B782" s="97"/>
      <c r="C782" s="61" t="s">
        <v>213</v>
      </c>
      <c r="D782" s="62">
        <v>26</v>
      </c>
      <c r="E782" s="63">
        <v>4.0950685924000003E-4</v>
      </c>
    </row>
    <row r="783" spans="2:5" ht="15" customHeight="1">
      <c r="B783" s="97"/>
      <c r="C783" s="61" t="s">
        <v>214</v>
      </c>
      <c r="D783" s="62">
        <v>1</v>
      </c>
      <c r="E783" s="63">
        <v>1.5750263817000001E-5</v>
      </c>
    </row>
    <row r="784" spans="2:5" ht="15" customHeight="1">
      <c r="B784" s="97"/>
      <c r="C784" s="61" t="s">
        <v>215</v>
      </c>
      <c r="D784" s="62">
        <v>2</v>
      </c>
      <c r="E784" s="63">
        <v>3.1500527634000002E-5</v>
      </c>
    </row>
    <row r="785" spans="2:5" ht="15" customHeight="1">
      <c r="B785" s="98"/>
      <c r="C785" s="75" t="s">
        <v>302</v>
      </c>
      <c r="D785" s="74">
        <v>1490</v>
      </c>
      <c r="E785" s="76">
        <v>2.3467893087209001E-2</v>
      </c>
    </row>
    <row r="786" spans="2:5" ht="15" customHeight="1">
      <c r="B786" s="96" t="s">
        <v>70</v>
      </c>
      <c r="C786" s="61" t="s">
        <v>193</v>
      </c>
      <c r="D786" s="62">
        <v>14</v>
      </c>
      <c r="E786" s="63">
        <v>2.20503693437E-4</v>
      </c>
    </row>
    <row r="787" spans="2:5" ht="15" customHeight="1">
      <c r="B787" s="97"/>
      <c r="C787" s="61" t="s">
        <v>194</v>
      </c>
      <c r="D787" s="62">
        <v>1</v>
      </c>
      <c r="E787" s="63">
        <v>1.5750263817000001E-5</v>
      </c>
    </row>
    <row r="788" spans="2:5" ht="15" customHeight="1">
      <c r="B788" s="97"/>
      <c r="C788" s="61" t="s">
        <v>195</v>
      </c>
      <c r="D788" s="62">
        <v>1</v>
      </c>
      <c r="E788" s="63">
        <v>1.5750263817000001E-5</v>
      </c>
    </row>
    <row r="789" spans="2:5" ht="15" customHeight="1">
      <c r="B789" s="97"/>
      <c r="C789" s="61" t="s">
        <v>196</v>
      </c>
      <c r="D789" s="62">
        <v>14</v>
      </c>
      <c r="E789" s="63">
        <v>2.20503693437E-4</v>
      </c>
    </row>
    <row r="790" spans="2:5" ht="15" customHeight="1">
      <c r="B790" s="97"/>
      <c r="C790" s="61" t="s">
        <v>197</v>
      </c>
      <c r="D790" s="62">
        <v>4</v>
      </c>
      <c r="E790" s="63">
        <v>6.3001055268000004E-5</v>
      </c>
    </row>
    <row r="791" spans="2:5" ht="15" customHeight="1">
      <c r="B791" s="97"/>
      <c r="C791" s="61" t="s">
        <v>198</v>
      </c>
      <c r="D791" s="62">
        <v>5</v>
      </c>
      <c r="E791" s="63">
        <v>7.8751319085000005E-5</v>
      </c>
    </row>
    <row r="792" spans="2:5" ht="15" customHeight="1">
      <c r="B792" s="97"/>
      <c r="C792" s="61" t="s">
        <v>199</v>
      </c>
      <c r="D792" s="62">
        <v>16</v>
      </c>
      <c r="E792" s="63">
        <v>2.52004221071E-4</v>
      </c>
    </row>
    <row r="793" spans="2:5" ht="15" customHeight="1">
      <c r="B793" s="97"/>
      <c r="C793" s="61" t="s">
        <v>200</v>
      </c>
      <c r="D793" s="62">
        <v>94</v>
      </c>
      <c r="E793" s="63">
        <v>1.4805247987900001E-3</v>
      </c>
    </row>
    <row r="794" spans="2:5" ht="15" customHeight="1">
      <c r="B794" s="97"/>
      <c r="C794" s="61" t="s">
        <v>201</v>
      </c>
      <c r="D794" s="62">
        <v>7</v>
      </c>
      <c r="E794" s="63">
        <v>1.1025184671800001E-4</v>
      </c>
    </row>
    <row r="795" spans="2:5" ht="15" customHeight="1">
      <c r="B795" s="97"/>
      <c r="C795" s="61" t="s">
        <v>202</v>
      </c>
      <c r="D795" s="62">
        <v>17</v>
      </c>
      <c r="E795" s="63">
        <v>2.6775448488800002E-4</v>
      </c>
    </row>
    <row r="796" spans="2:5" ht="15" customHeight="1">
      <c r="B796" s="97"/>
      <c r="C796" s="61" t="s">
        <v>203</v>
      </c>
      <c r="D796" s="62">
        <v>23</v>
      </c>
      <c r="E796" s="63">
        <v>3.6225606778899998E-4</v>
      </c>
    </row>
    <row r="797" spans="2:5" ht="15" customHeight="1">
      <c r="B797" s="97"/>
      <c r="C797" s="61" t="s">
        <v>204</v>
      </c>
      <c r="D797" s="62">
        <v>243</v>
      </c>
      <c r="E797" s="63">
        <v>3.8273141075110002E-3</v>
      </c>
    </row>
    <row r="798" spans="2:5" ht="15" customHeight="1">
      <c r="B798" s="97"/>
      <c r="C798" s="61" t="s">
        <v>205</v>
      </c>
      <c r="D798" s="62">
        <v>4</v>
      </c>
      <c r="E798" s="63">
        <v>6.3001055268000004E-5</v>
      </c>
    </row>
    <row r="799" spans="2:5" ht="15" customHeight="1">
      <c r="B799" s="97"/>
      <c r="C799" s="61" t="s">
        <v>206</v>
      </c>
      <c r="D799" s="62">
        <v>15</v>
      </c>
      <c r="E799" s="63">
        <v>2.3625395725399999E-4</v>
      </c>
    </row>
    <row r="800" spans="2:5" ht="15" customHeight="1">
      <c r="B800" s="97"/>
      <c r="C800" s="61" t="s">
        <v>207</v>
      </c>
      <c r="D800" s="62">
        <v>82</v>
      </c>
      <c r="E800" s="63">
        <v>1.291521632987E-3</v>
      </c>
    </row>
    <row r="801" spans="2:5" ht="15" customHeight="1">
      <c r="B801" s="97"/>
      <c r="C801" s="61" t="s">
        <v>208</v>
      </c>
      <c r="D801" s="62">
        <v>3</v>
      </c>
      <c r="E801" s="63">
        <v>4.7250791451000003E-5</v>
      </c>
    </row>
    <row r="802" spans="2:5" ht="15" customHeight="1">
      <c r="B802" s="97"/>
      <c r="C802" s="61" t="s">
        <v>209</v>
      </c>
      <c r="D802" s="62">
        <v>3</v>
      </c>
      <c r="E802" s="63">
        <v>4.7250791451000003E-5</v>
      </c>
    </row>
    <row r="803" spans="2:5" ht="15" customHeight="1">
      <c r="B803" s="97"/>
      <c r="C803" s="61" t="s">
        <v>210</v>
      </c>
      <c r="D803" s="62">
        <v>1</v>
      </c>
      <c r="E803" s="63">
        <v>1.5750263817000001E-5</v>
      </c>
    </row>
    <row r="804" spans="2:5" ht="15" customHeight="1">
      <c r="B804" s="97"/>
      <c r="C804" s="61" t="s">
        <v>211</v>
      </c>
      <c r="D804" s="62">
        <v>1</v>
      </c>
      <c r="E804" s="63">
        <v>1.5750263817000001E-5</v>
      </c>
    </row>
    <row r="805" spans="2:5" ht="15" customHeight="1">
      <c r="B805" s="97"/>
      <c r="C805" s="61" t="s">
        <v>212</v>
      </c>
      <c r="D805" s="62">
        <v>7</v>
      </c>
      <c r="E805" s="63">
        <v>1.1025184671800001E-4</v>
      </c>
    </row>
    <row r="806" spans="2:5" ht="15" customHeight="1">
      <c r="B806" s="97"/>
      <c r="C806" s="61" t="s">
        <v>213</v>
      </c>
      <c r="D806" s="62">
        <v>19</v>
      </c>
      <c r="E806" s="63">
        <v>2.9925501252099998E-4</v>
      </c>
    </row>
    <row r="807" spans="2:5" ht="15" customHeight="1">
      <c r="B807" s="98"/>
      <c r="C807" s="75" t="s">
        <v>302</v>
      </c>
      <c r="D807" s="74">
        <v>574</v>
      </c>
      <c r="E807" s="76">
        <v>9.0406514309109998E-3</v>
      </c>
    </row>
    <row r="808" spans="2:5" ht="15" customHeight="1">
      <c r="B808" s="96" t="s">
        <v>79</v>
      </c>
      <c r="C808" s="61" t="s">
        <v>193</v>
      </c>
      <c r="D808" s="62">
        <v>8</v>
      </c>
      <c r="E808" s="63">
        <v>1.2600211053499999E-4</v>
      </c>
    </row>
    <row r="809" spans="2:5" ht="15" customHeight="1">
      <c r="B809" s="97"/>
      <c r="C809" s="61" t="s">
        <v>194</v>
      </c>
      <c r="D809" s="62">
        <v>1</v>
      </c>
      <c r="E809" s="63">
        <v>1.5750263817000001E-5</v>
      </c>
    </row>
    <row r="810" spans="2:5" ht="15" customHeight="1">
      <c r="B810" s="97"/>
      <c r="C810" s="61" t="s">
        <v>195</v>
      </c>
      <c r="D810" s="62">
        <v>2</v>
      </c>
      <c r="E810" s="63">
        <v>3.1500527634000002E-5</v>
      </c>
    </row>
    <row r="811" spans="2:5" ht="15" customHeight="1">
      <c r="B811" s="97"/>
      <c r="C811" s="61" t="s">
        <v>196</v>
      </c>
      <c r="D811" s="62">
        <v>9</v>
      </c>
      <c r="E811" s="63">
        <v>1.4175237435200001E-4</v>
      </c>
    </row>
    <row r="812" spans="2:5" ht="15" customHeight="1">
      <c r="B812" s="97"/>
      <c r="C812" s="61" t="s">
        <v>197</v>
      </c>
      <c r="D812" s="62">
        <v>6</v>
      </c>
      <c r="E812" s="63">
        <v>9.4501582902000006E-5</v>
      </c>
    </row>
    <row r="813" spans="2:5" ht="15" customHeight="1">
      <c r="B813" s="97"/>
      <c r="C813" s="61" t="s">
        <v>198</v>
      </c>
      <c r="D813" s="62">
        <v>5</v>
      </c>
      <c r="E813" s="63">
        <v>7.8751319085000005E-5</v>
      </c>
    </row>
    <row r="814" spans="2:5" ht="15" customHeight="1">
      <c r="B814" s="97"/>
      <c r="C814" s="61" t="s">
        <v>199</v>
      </c>
      <c r="D814" s="62">
        <v>44</v>
      </c>
      <c r="E814" s="63">
        <v>6.9301160794400004E-4</v>
      </c>
    </row>
    <row r="815" spans="2:5" ht="15" customHeight="1">
      <c r="B815" s="97"/>
      <c r="C815" s="61" t="s">
        <v>200</v>
      </c>
      <c r="D815" s="62">
        <v>62</v>
      </c>
      <c r="E815" s="63">
        <v>9.7651635664900002E-4</v>
      </c>
    </row>
    <row r="816" spans="2:5" ht="15" customHeight="1">
      <c r="B816" s="97"/>
      <c r="C816" s="61" t="s">
        <v>201</v>
      </c>
      <c r="D816" s="62">
        <v>7</v>
      </c>
      <c r="E816" s="63">
        <v>1.1025184671800001E-4</v>
      </c>
    </row>
    <row r="817" spans="2:5" ht="15" customHeight="1">
      <c r="B817" s="97"/>
      <c r="C817" s="61" t="s">
        <v>202</v>
      </c>
      <c r="D817" s="62">
        <v>13</v>
      </c>
      <c r="E817" s="63">
        <v>2.0475342962000001E-4</v>
      </c>
    </row>
    <row r="818" spans="2:5" ht="15" customHeight="1">
      <c r="B818" s="97"/>
      <c r="C818" s="61" t="s">
        <v>203</v>
      </c>
      <c r="D818" s="62">
        <v>17</v>
      </c>
      <c r="E818" s="63">
        <v>2.6775448488800002E-4</v>
      </c>
    </row>
    <row r="819" spans="2:5" ht="15" customHeight="1">
      <c r="B819" s="97"/>
      <c r="C819" s="61" t="s">
        <v>204</v>
      </c>
      <c r="D819" s="62">
        <v>140</v>
      </c>
      <c r="E819" s="63">
        <v>2.2050369343690002E-3</v>
      </c>
    </row>
    <row r="820" spans="2:5" ht="15" customHeight="1">
      <c r="B820" s="97"/>
      <c r="C820" s="61" t="s">
        <v>205</v>
      </c>
      <c r="D820" s="62">
        <v>2</v>
      </c>
      <c r="E820" s="63">
        <v>3.1500527634000002E-5</v>
      </c>
    </row>
    <row r="821" spans="2:5" ht="15" customHeight="1">
      <c r="B821" s="97"/>
      <c r="C821" s="61" t="s">
        <v>206</v>
      </c>
      <c r="D821" s="62">
        <v>22</v>
      </c>
      <c r="E821" s="63">
        <v>3.4650580397200002E-4</v>
      </c>
    </row>
    <row r="822" spans="2:5" ht="15" customHeight="1">
      <c r="B822" s="97"/>
      <c r="C822" s="61" t="s">
        <v>207</v>
      </c>
      <c r="D822" s="62">
        <v>81</v>
      </c>
      <c r="E822" s="63">
        <v>1.2757713691700001E-3</v>
      </c>
    </row>
    <row r="823" spans="2:5" ht="15" customHeight="1">
      <c r="B823" s="97"/>
      <c r="C823" s="61" t="s">
        <v>209</v>
      </c>
      <c r="D823" s="62">
        <v>2</v>
      </c>
      <c r="E823" s="63">
        <v>3.1500527634000002E-5</v>
      </c>
    </row>
    <row r="824" spans="2:5" ht="15" customHeight="1">
      <c r="B824" s="97"/>
      <c r="C824" s="61" t="s">
        <v>212</v>
      </c>
      <c r="D824" s="62">
        <v>4</v>
      </c>
      <c r="E824" s="63">
        <v>6.3001055268000004E-5</v>
      </c>
    </row>
    <row r="825" spans="2:5" ht="15" customHeight="1">
      <c r="B825" s="97"/>
      <c r="C825" s="61" t="s">
        <v>213</v>
      </c>
      <c r="D825" s="62">
        <v>14</v>
      </c>
      <c r="E825" s="63">
        <v>2.20503693437E-4</v>
      </c>
    </row>
    <row r="826" spans="2:5" ht="15" customHeight="1">
      <c r="B826" s="98"/>
      <c r="C826" s="75" t="s">
        <v>302</v>
      </c>
      <c r="D826" s="74">
        <v>439</v>
      </c>
      <c r="E826" s="76">
        <v>6.9143658156270004E-3</v>
      </c>
    </row>
    <row r="827" spans="2:5" ht="15" customHeight="1">
      <c r="B827" s="96" t="s">
        <v>56</v>
      </c>
      <c r="C827" s="61" t="s">
        <v>193</v>
      </c>
      <c r="D827" s="62">
        <v>41</v>
      </c>
      <c r="E827" s="63">
        <v>6.4576081649400001E-4</v>
      </c>
    </row>
    <row r="828" spans="2:5" ht="15" customHeight="1">
      <c r="B828" s="97"/>
      <c r="C828" s="61" t="s">
        <v>194</v>
      </c>
      <c r="D828" s="62">
        <v>15</v>
      </c>
      <c r="E828" s="63">
        <v>2.3625395725399999E-4</v>
      </c>
    </row>
    <row r="829" spans="2:5" ht="15" customHeight="1">
      <c r="B829" s="97"/>
      <c r="C829" s="61" t="s">
        <v>195</v>
      </c>
      <c r="D829" s="62">
        <v>26</v>
      </c>
      <c r="E829" s="63">
        <v>4.0950685924000003E-4</v>
      </c>
    </row>
    <row r="830" spans="2:5" ht="15" customHeight="1">
      <c r="B830" s="97"/>
      <c r="C830" s="61" t="s">
        <v>196</v>
      </c>
      <c r="D830" s="62">
        <v>34</v>
      </c>
      <c r="E830" s="63">
        <v>5.3550896977499996E-4</v>
      </c>
    </row>
    <row r="831" spans="2:5" ht="15" customHeight="1">
      <c r="B831" s="97"/>
      <c r="C831" s="61" t="s">
        <v>197</v>
      </c>
      <c r="D831" s="62">
        <v>21</v>
      </c>
      <c r="E831" s="63">
        <v>3.3075554015500001E-4</v>
      </c>
    </row>
    <row r="832" spans="2:5" ht="15" customHeight="1">
      <c r="B832" s="97"/>
      <c r="C832" s="61" t="s">
        <v>198</v>
      </c>
      <c r="D832" s="62">
        <v>28</v>
      </c>
      <c r="E832" s="63">
        <v>4.41007386874E-4</v>
      </c>
    </row>
    <row r="833" spans="2:5" ht="15" customHeight="1">
      <c r="B833" s="97"/>
      <c r="C833" s="61" t="s">
        <v>199</v>
      </c>
      <c r="D833" s="62">
        <v>264</v>
      </c>
      <c r="E833" s="63">
        <v>4.1580696476670002E-3</v>
      </c>
    </row>
    <row r="834" spans="2:5" ht="15" customHeight="1">
      <c r="B834" s="97"/>
      <c r="C834" s="61" t="s">
        <v>200</v>
      </c>
      <c r="D834" s="62">
        <v>253</v>
      </c>
      <c r="E834" s="63">
        <v>3.9848167456799999E-3</v>
      </c>
    </row>
    <row r="835" spans="2:5" ht="15" customHeight="1">
      <c r="B835" s="97"/>
      <c r="C835" s="61" t="s">
        <v>201</v>
      </c>
      <c r="D835" s="62">
        <v>13</v>
      </c>
      <c r="E835" s="63">
        <v>2.0475342962000001E-4</v>
      </c>
    </row>
    <row r="836" spans="2:5" ht="15" customHeight="1">
      <c r="B836" s="97"/>
      <c r="C836" s="61" t="s">
        <v>202</v>
      </c>
      <c r="D836" s="62">
        <v>43</v>
      </c>
      <c r="E836" s="63">
        <v>6.7726134412800004E-4</v>
      </c>
    </row>
    <row r="837" spans="2:5" ht="15" customHeight="1">
      <c r="B837" s="97"/>
      <c r="C837" s="61" t="s">
        <v>203</v>
      </c>
      <c r="D837" s="62">
        <v>106</v>
      </c>
      <c r="E837" s="63">
        <v>1.669527964593E-3</v>
      </c>
    </row>
    <row r="838" spans="2:5" ht="15" customHeight="1">
      <c r="B838" s="97"/>
      <c r="C838" s="61" t="s">
        <v>204</v>
      </c>
      <c r="D838" s="62">
        <v>659</v>
      </c>
      <c r="E838" s="63">
        <v>1.037942385535E-2</v>
      </c>
    </row>
    <row r="839" spans="2:5" ht="15" customHeight="1">
      <c r="B839" s="97"/>
      <c r="C839" s="61" t="s">
        <v>205</v>
      </c>
      <c r="D839" s="62">
        <v>14</v>
      </c>
      <c r="E839" s="63">
        <v>2.20503693437E-4</v>
      </c>
    </row>
    <row r="840" spans="2:5" ht="15" customHeight="1">
      <c r="B840" s="97"/>
      <c r="C840" s="61" t="s">
        <v>206</v>
      </c>
      <c r="D840" s="62">
        <v>45</v>
      </c>
      <c r="E840" s="63">
        <v>7.08761871761E-4</v>
      </c>
    </row>
    <row r="841" spans="2:5" ht="15" customHeight="1">
      <c r="B841" s="97"/>
      <c r="C841" s="61" t="s">
        <v>207</v>
      </c>
      <c r="D841" s="62">
        <v>311</v>
      </c>
      <c r="E841" s="63">
        <v>4.8983320470620002E-3</v>
      </c>
    </row>
    <row r="842" spans="2:5" ht="15" customHeight="1">
      <c r="B842" s="97"/>
      <c r="C842" s="61" t="s">
        <v>208</v>
      </c>
      <c r="D842" s="62">
        <v>4</v>
      </c>
      <c r="E842" s="63">
        <v>6.3001055268000004E-5</v>
      </c>
    </row>
    <row r="843" spans="2:5" ht="15" customHeight="1">
      <c r="B843" s="97"/>
      <c r="C843" s="61" t="s">
        <v>209</v>
      </c>
      <c r="D843" s="62">
        <v>2</v>
      </c>
      <c r="E843" s="63">
        <v>3.1500527634000002E-5</v>
      </c>
    </row>
    <row r="844" spans="2:5" ht="15" customHeight="1">
      <c r="B844" s="97"/>
      <c r="C844" s="61" t="s">
        <v>210</v>
      </c>
      <c r="D844" s="62">
        <v>1</v>
      </c>
      <c r="E844" s="63">
        <v>1.5750263817000001E-5</v>
      </c>
    </row>
    <row r="845" spans="2:5" ht="15" customHeight="1">
      <c r="B845" s="97"/>
      <c r="C845" s="61" t="s">
        <v>211</v>
      </c>
      <c r="D845" s="62">
        <v>1</v>
      </c>
      <c r="E845" s="63">
        <v>1.5750263817000001E-5</v>
      </c>
    </row>
    <row r="846" spans="2:5" ht="15" customHeight="1">
      <c r="B846" s="97"/>
      <c r="C846" s="61" t="s">
        <v>212</v>
      </c>
      <c r="D846" s="62">
        <v>7</v>
      </c>
      <c r="E846" s="63">
        <v>1.1025184671800001E-4</v>
      </c>
    </row>
    <row r="847" spans="2:5" ht="15" customHeight="1">
      <c r="B847" s="97"/>
      <c r="C847" s="61" t="s">
        <v>213</v>
      </c>
      <c r="D847" s="62">
        <v>34</v>
      </c>
      <c r="E847" s="63">
        <v>5.3550896977499996E-4</v>
      </c>
    </row>
    <row r="848" spans="2:5" ht="15" customHeight="1">
      <c r="B848" s="97"/>
      <c r="C848" s="61" t="s">
        <v>214</v>
      </c>
      <c r="D848" s="62">
        <v>1</v>
      </c>
      <c r="E848" s="63">
        <v>1.5750263817000001E-5</v>
      </c>
    </row>
    <row r="849" spans="2:5" ht="15" customHeight="1">
      <c r="B849" s="97"/>
      <c r="C849" s="61" t="s">
        <v>215</v>
      </c>
      <c r="D849" s="62">
        <v>1</v>
      </c>
      <c r="E849" s="63">
        <v>1.5750263817000001E-5</v>
      </c>
    </row>
    <row r="850" spans="2:5" ht="15" customHeight="1">
      <c r="B850" s="98"/>
      <c r="C850" s="75" t="s">
        <v>302</v>
      </c>
      <c r="D850" s="74">
        <v>1924</v>
      </c>
      <c r="E850" s="76">
        <v>3.0303507583751998E-2</v>
      </c>
    </row>
    <row r="851" spans="2:5" ht="15" customHeight="1">
      <c r="B851" s="96" t="s">
        <v>62</v>
      </c>
      <c r="C851" s="61" t="s">
        <v>193</v>
      </c>
      <c r="D851" s="62">
        <v>20</v>
      </c>
      <c r="E851" s="63">
        <v>3.1500527633799999E-4</v>
      </c>
    </row>
    <row r="852" spans="2:5" ht="15" customHeight="1">
      <c r="B852" s="97"/>
      <c r="C852" s="61" t="s">
        <v>194</v>
      </c>
      <c r="D852" s="62">
        <v>13</v>
      </c>
      <c r="E852" s="63">
        <v>2.0475342962000001E-4</v>
      </c>
    </row>
    <row r="853" spans="2:5" ht="15" customHeight="1">
      <c r="B853" s="97"/>
      <c r="C853" s="61" t="s">
        <v>195</v>
      </c>
      <c r="D853" s="62">
        <v>19</v>
      </c>
      <c r="E853" s="63">
        <v>2.9925501252099998E-4</v>
      </c>
    </row>
    <row r="854" spans="2:5" ht="15" customHeight="1">
      <c r="B854" s="97"/>
      <c r="C854" s="61" t="s">
        <v>196</v>
      </c>
      <c r="D854" s="62">
        <v>36</v>
      </c>
      <c r="E854" s="63">
        <v>5.6700949740899999E-4</v>
      </c>
    </row>
    <row r="855" spans="2:5" ht="15" customHeight="1">
      <c r="B855" s="97"/>
      <c r="C855" s="61" t="s">
        <v>197</v>
      </c>
      <c r="D855" s="62">
        <v>28</v>
      </c>
      <c r="E855" s="63">
        <v>4.41007386874E-4</v>
      </c>
    </row>
    <row r="856" spans="2:5" ht="15" customHeight="1">
      <c r="B856" s="97"/>
      <c r="C856" s="61" t="s">
        <v>198</v>
      </c>
      <c r="D856" s="62">
        <v>30</v>
      </c>
      <c r="E856" s="63">
        <v>4.7250791450799997E-4</v>
      </c>
    </row>
    <row r="857" spans="2:5" ht="15" customHeight="1">
      <c r="B857" s="97"/>
      <c r="C857" s="61" t="s">
        <v>199</v>
      </c>
      <c r="D857" s="62">
        <v>155</v>
      </c>
      <c r="E857" s="63">
        <v>2.4412908916219998E-3</v>
      </c>
    </row>
    <row r="858" spans="2:5" ht="15" customHeight="1">
      <c r="B858" s="97"/>
      <c r="C858" s="61" t="s">
        <v>200</v>
      </c>
      <c r="D858" s="62">
        <v>181</v>
      </c>
      <c r="E858" s="63">
        <v>2.8507977508620001E-3</v>
      </c>
    </row>
    <row r="859" spans="2:5" ht="15" customHeight="1">
      <c r="B859" s="97"/>
      <c r="C859" s="61" t="s">
        <v>201</v>
      </c>
      <c r="D859" s="62">
        <v>16</v>
      </c>
      <c r="E859" s="63">
        <v>2.52004221071E-4</v>
      </c>
    </row>
    <row r="860" spans="2:5" ht="15" customHeight="1">
      <c r="B860" s="97"/>
      <c r="C860" s="61" t="s">
        <v>202</v>
      </c>
      <c r="D860" s="62">
        <v>30</v>
      </c>
      <c r="E860" s="63">
        <v>4.7250791450799997E-4</v>
      </c>
    </row>
    <row r="861" spans="2:5" ht="15" customHeight="1">
      <c r="B861" s="97"/>
      <c r="C861" s="61" t="s">
        <v>203</v>
      </c>
      <c r="D861" s="62">
        <v>50</v>
      </c>
      <c r="E861" s="63">
        <v>7.8751319084600002E-4</v>
      </c>
    </row>
    <row r="862" spans="2:5" ht="15" customHeight="1">
      <c r="B862" s="97"/>
      <c r="C862" s="61" t="s">
        <v>204</v>
      </c>
      <c r="D862" s="62">
        <v>256</v>
      </c>
      <c r="E862" s="63">
        <v>4.0320675371309997E-3</v>
      </c>
    </row>
    <row r="863" spans="2:5" ht="15" customHeight="1">
      <c r="B863" s="97"/>
      <c r="C863" s="61" t="s">
        <v>205</v>
      </c>
      <c r="D863" s="62">
        <v>33</v>
      </c>
      <c r="E863" s="63">
        <v>5.19758705958E-4</v>
      </c>
    </row>
    <row r="864" spans="2:5" ht="15" customHeight="1">
      <c r="B864" s="97"/>
      <c r="C864" s="61" t="s">
        <v>206</v>
      </c>
      <c r="D864" s="62">
        <v>51</v>
      </c>
      <c r="E864" s="63">
        <v>8.0326345466299998E-4</v>
      </c>
    </row>
    <row r="865" spans="2:5" ht="15" customHeight="1">
      <c r="B865" s="97"/>
      <c r="C865" s="61" t="s">
        <v>207</v>
      </c>
      <c r="D865" s="62">
        <v>227</v>
      </c>
      <c r="E865" s="63">
        <v>3.5753098864410001E-3</v>
      </c>
    </row>
    <row r="866" spans="2:5" ht="15" customHeight="1">
      <c r="B866" s="97"/>
      <c r="C866" s="61" t="s">
        <v>208</v>
      </c>
      <c r="D866" s="62">
        <v>5</v>
      </c>
      <c r="E866" s="63">
        <v>7.8751319085000005E-5</v>
      </c>
    </row>
    <row r="867" spans="2:5" ht="15" customHeight="1">
      <c r="B867" s="97"/>
      <c r="C867" s="61" t="s">
        <v>209</v>
      </c>
      <c r="D867" s="62">
        <v>6</v>
      </c>
      <c r="E867" s="63">
        <v>9.4501582902000006E-5</v>
      </c>
    </row>
    <row r="868" spans="2:5" ht="15" customHeight="1">
      <c r="B868" s="97"/>
      <c r="C868" s="61" t="s">
        <v>210</v>
      </c>
      <c r="D868" s="62">
        <v>1</v>
      </c>
      <c r="E868" s="63">
        <v>1.5750263817000001E-5</v>
      </c>
    </row>
    <row r="869" spans="2:5" ht="15" customHeight="1">
      <c r="B869" s="97"/>
      <c r="C869" s="61" t="s">
        <v>211</v>
      </c>
      <c r="D869" s="62">
        <v>1</v>
      </c>
      <c r="E869" s="63">
        <v>1.5750263817000001E-5</v>
      </c>
    </row>
    <row r="870" spans="2:5" ht="15" customHeight="1">
      <c r="B870" s="97"/>
      <c r="C870" s="61" t="s">
        <v>212</v>
      </c>
      <c r="D870" s="62">
        <v>13</v>
      </c>
      <c r="E870" s="63">
        <v>2.0475342962000001E-4</v>
      </c>
    </row>
    <row r="871" spans="2:5" ht="15" customHeight="1">
      <c r="B871" s="97"/>
      <c r="C871" s="61" t="s">
        <v>213</v>
      </c>
      <c r="D871" s="62">
        <v>16</v>
      </c>
      <c r="E871" s="63">
        <v>2.52004221071E-4</v>
      </c>
    </row>
    <row r="872" spans="2:5" ht="15" customHeight="1">
      <c r="B872" s="97"/>
      <c r="C872" s="61" t="s">
        <v>214</v>
      </c>
      <c r="D872" s="62">
        <v>5</v>
      </c>
      <c r="E872" s="63">
        <v>7.8751319085000005E-5</v>
      </c>
    </row>
    <row r="873" spans="2:5" ht="15" customHeight="1">
      <c r="B873" s="97"/>
      <c r="C873" s="61" t="s">
        <v>215</v>
      </c>
      <c r="D873" s="62">
        <v>1</v>
      </c>
      <c r="E873" s="63">
        <v>1.5750263817000001E-5</v>
      </c>
    </row>
    <row r="874" spans="2:5" ht="15" customHeight="1">
      <c r="B874" s="98"/>
      <c r="C874" s="75" t="s">
        <v>302</v>
      </c>
      <c r="D874" s="74">
        <v>1193</v>
      </c>
      <c r="E874" s="76">
        <v>1.8790064733584001E-2</v>
      </c>
    </row>
    <row r="875" spans="2:5" ht="15" customHeight="1">
      <c r="B875" s="96" t="s">
        <v>76</v>
      </c>
      <c r="C875" s="61" t="s">
        <v>193</v>
      </c>
      <c r="D875" s="62">
        <v>11</v>
      </c>
      <c r="E875" s="63">
        <v>1.7325290198600001E-4</v>
      </c>
    </row>
    <row r="876" spans="2:5" ht="15" customHeight="1">
      <c r="B876" s="97"/>
      <c r="C876" s="61" t="s">
        <v>194</v>
      </c>
      <c r="D876" s="62">
        <v>5</v>
      </c>
      <c r="E876" s="63">
        <v>7.8751319085000005E-5</v>
      </c>
    </row>
    <row r="877" spans="2:5" ht="15" customHeight="1">
      <c r="B877" s="97"/>
      <c r="C877" s="61" t="s">
        <v>195</v>
      </c>
      <c r="D877" s="62">
        <v>10</v>
      </c>
      <c r="E877" s="63">
        <v>1.57502638169E-4</v>
      </c>
    </row>
    <row r="878" spans="2:5" ht="15" customHeight="1">
      <c r="B878" s="97"/>
      <c r="C878" s="61" t="s">
        <v>196</v>
      </c>
      <c r="D878" s="62">
        <v>9</v>
      </c>
      <c r="E878" s="63">
        <v>1.4175237435200001E-4</v>
      </c>
    </row>
    <row r="879" spans="2:5" ht="15" customHeight="1">
      <c r="B879" s="97"/>
      <c r="C879" s="61" t="s">
        <v>197</v>
      </c>
      <c r="D879" s="62">
        <v>8</v>
      </c>
      <c r="E879" s="63">
        <v>1.2600211053499999E-4</v>
      </c>
    </row>
    <row r="880" spans="2:5" ht="15" customHeight="1">
      <c r="B880" s="97"/>
      <c r="C880" s="61" t="s">
        <v>198</v>
      </c>
      <c r="D880" s="62">
        <v>9</v>
      </c>
      <c r="E880" s="63">
        <v>1.4175237435200001E-4</v>
      </c>
    </row>
    <row r="881" spans="2:5" ht="15" customHeight="1">
      <c r="B881" s="97"/>
      <c r="C881" s="61" t="s">
        <v>199</v>
      </c>
      <c r="D881" s="62">
        <v>25</v>
      </c>
      <c r="E881" s="63">
        <v>3.9375659542300001E-4</v>
      </c>
    </row>
    <row r="882" spans="2:5" ht="15" customHeight="1">
      <c r="B882" s="97"/>
      <c r="C882" s="61" t="s">
        <v>200</v>
      </c>
      <c r="D882" s="62">
        <v>79</v>
      </c>
      <c r="E882" s="63">
        <v>1.244270841537E-3</v>
      </c>
    </row>
    <row r="883" spans="2:5" ht="15" customHeight="1">
      <c r="B883" s="97"/>
      <c r="C883" s="61" t="s">
        <v>201</v>
      </c>
      <c r="D883" s="62">
        <v>6</v>
      </c>
      <c r="E883" s="63">
        <v>9.4501582902000006E-5</v>
      </c>
    </row>
    <row r="884" spans="2:5" ht="15" customHeight="1">
      <c r="B884" s="97"/>
      <c r="C884" s="61" t="s">
        <v>202</v>
      </c>
      <c r="D884" s="62">
        <v>14</v>
      </c>
      <c r="E884" s="63">
        <v>2.20503693437E-4</v>
      </c>
    </row>
    <row r="885" spans="2:5" ht="15" customHeight="1">
      <c r="B885" s="97"/>
      <c r="C885" s="61" t="s">
        <v>203</v>
      </c>
      <c r="D885" s="62">
        <v>11</v>
      </c>
      <c r="E885" s="63">
        <v>1.7325290198600001E-4</v>
      </c>
    </row>
    <row r="886" spans="2:5" ht="15" customHeight="1">
      <c r="B886" s="97"/>
      <c r="C886" s="61" t="s">
        <v>204</v>
      </c>
      <c r="D886" s="62">
        <v>142</v>
      </c>
      <c r="E886" s="63">
        <v>2.2365374620019998E-3</v>
      </c>
    </row>
    <row r="887" spans="2:5" ht="15" customHeight="1">
      <c r="B887" s="97"/>
      <c r="C887" s="61" t="s">
        <v>205</v>
      </c>
      <c r="D887" s="62">
        <v>6</v>
      </c>
      <c r="E887" s="63">
        <v>9.4501582902000006E-5</v>
      </c>
    </row>
    <row r="888" spans="2:5" ht="15" customHeight="1">
      <c r="B888" s="97"/>
      <c r="C888" s="61" t="s">
        <v>206</v>
      </c>
      <c r="D888" s="62">
        <v>26</v>
      </c>
      <c r="E888" s="63">
        <v>4.0950685924000003E-4</v>
      </c>
    </row>
    <row r="889" spans="2:5" ht="15" customHeight="1">
      <c r="B889" s="97"/>
      <c r="C889" s="61" t="s">
        <v>207</v>
      </c>
      <c r="D889" s="62">
        <v>68</v>
      </c>
      <c r="E889" s="63">
        <v>1.0710179395499999E-3</v>
      </c>
    </row>
    <row r="890" spans="2:5" ht="15" customHeight="1">
      <c r="B890" s="97"/>
      <c r="C890" s="61" t="s">
        <v>208</v>
      </c>
      <c r="D890" s="62">
        <v>1</v>
      </c>
      <c r="E890" s="63">
        <v>1.5750263817000001E-5</v>
      </c>
    </row>
    <row r="891" spans="2:5" ht="15" customHeight="1">
      <c r="B891" s="97"/>
      <c r="C891" s="61" t="s">
        <v>209</v>
      </c>
      <c r="D891" s="62">
        <v>3</v>
      </c>
      <c r="E891" s="63">
        <v>4.7250791451000003E-5</v>
      </c>
    </row>
    <row r="892" spans="2:5" ht="15" customHeight="1">
      <c r="B892" s="97"/>
      <c r="C892" s="61" t="s">
        <v>212</v>
      </c>
      <c r="D892" s="62">
        <v>2</v>
      </c>
      <c r="E892" s="63">
        <v>3.1500527634000002E-5</v>
      </c>
    </row>
    <row r="893" spans="2:5" ht="15" customHeight="1">
      <c r="B893" s="97"/>
      <c r="C893" s="61" t="s">
        <v>213</v>
      </c>
      <c r="D893" s="62">
        <v>12</v>
      </c>
      <c r="E893" s="63">
        <v>1.89003165803E-4</v>
      </c>
    </row>
    <row r="894" spans="2:5" ht="15" customHeight="1">
      <c r="B894" s="97"/>
      <c r="C894" s="61" t="s">
        <v>215</v>
      </c>
      <c r="D894" s="62">
        <v>1</v>
      </c>
      <c r="E894" s="63">
        <v>1.5750263817000001E-5</v>
      </c>
    </row>
    <row r="895" spans="2:5" ht="15" customHeight="1">
      <c r="B895" s="98"/>
      <c r="C895" s="75" t="s">
        <v>302</v>
      </c>
      <c r="D895" s="74">
        <v>448</v>
      </c>
      <c r="E895" s="76">
        <v>7.0561181899799997E-3</v>
      </c>
    </row>
    <row r="896" spans="2:5" ht="15" customHeight="1">
      <c r="B896" s="96" t="s">
        <v>71</v>
      </c>
      <c r="C896" s="61" t="s">
        <v>193</v>
      </c>
      <c r="D896" s="62">
        <v>20</v>
      </c>
      <c r="E896" s="63">
        <v>3.1500527633799999E-4</v>
      </c>
    </row>
    <row r="897" spans="2:5" ht="15" customHeight="1">
      <c r="B897" s="97"/>
      <c r="C897" s="61" t="s">
        <v>194</v>
      </c>
      <c r="D897" s="62">
        <v>4</v>
      </c>
      <c r="E897" s="63">
        <v>6.3001055268000004E-5</v>
      </c>
    </row>
    <row r="898" spans="2:5" ht="15" customHeight="1">
      <c r="B898" s="97"/>
      <c r="C898" s="61" t="s">
        <v>195</v>
      </c>
      <c r="D898" s="62">
        <v>5</v>
      </c>
      <c r="E898" s="63">
        <v>7.8751319085000005E-5</v>
      </c>
    </row>
    <row r="899" spans="2:5" ht="15" customHeight="1">
      <c r="B899" s="97"/>
      <c r="C899" s="61" t="s">
        <v>196</v>
      </c>
      <c r="D899" s="62">
        <v>18</v>
      </c>
      <c r="E899" s="63">
        <v>2.8350474870499998E-4</v>
      </c>
    </row>
    <row r="900" spans="2:5" ht="15" customHeight="1">
      <c r="B900" s="97"/>
      <c r="C900" s="61" t="s">
        <v>197</v>
      </c>
      <c r="D900" s="62">
        <v>10</v>
      </c>
      <c r="E900" s="63">
        <v>1.57502638169E-4</v>
      </c>
    </row>
    <row r="901" spans="2:5" ht="15" customHeight="1">
      <c r="B901" s="97"/>
      <c r="C901" s="61" t="s">
        <v>198</v>
      </c>
      <c r="D901" s="62">
        <v>11</v>
      </c>
      <c r="E901" s="63">
        <v>1.7325290198600001E-4</v>
      </c>
    </row>
    <row r="902" spans="2:5" ht="15" customHeight="1">
      <c r="B902" s="97"/>
      <c r="C902" s="61" t="s">
        <v>199</v>
      </c>
      <c r="D902" s="62">
        <v>75</v>
      </c>
      <c r="E902" s="63">
        <v>1.181269786269E-3</v>
      </c>
    </row>
    <row r="903" spans="2:5" ht="15" customHeight="1">
      <c r="B903" s="97"/>
      <c r="C903" s="61" t="s">
        <v>200</v>
      </c>
      <c r="D903" s="62">
        <v>115</v>
      </c>
      <c r="E903" s="63">
        <v>1.8112803389459999E-3</v>
      </c>
    </row>
    <row r="904" spans="2:5" ht="15" customHeight="1">
      <c r="B904" s="97"/>
      <c r="C904" s="61" t="s">
        <v>201</v>
      </c>
      <c r="D904" s="62">
        <v>2</v>
      </c>
      <c r="E904" s="63">
        <v>3.1500527634000002E-5</v>
      </c>
    </row>
    <row r="905" spans="2:5" ht="15" customHeight="1">
      <c r="B905" s="97"/>
      <c r="C905" s="61" t="s">
        <v>202</v>
      </c>
      <c r="D905" s="62">
        <v>21</v>
      </c>
      <c r="E905" s="63">
        <v>3.3075554015500001E-4</v>
      </c>
    </row>
    <row r="906" spans="2:5" ht="15" customHeight="1">
      <c r="B906" s="97"/>
      <c r="C906" s="61" t="s">
        <v>203</v>
      </c>
      <c r="D906" s="62">
        <v>39</v>
      </c>
      <c r="E906" s="63">
        <v>6.1426028885999998E-4</v>
      </c>
    </row>
    <row r="907" spans="2:5" ht="15" customHeight="1">
      <c r="B907" s="97"/>
      <c r="C907" s="61" t="s">
        <v>204</v>
      </c>
      <c r="D907" s="62">
        <v>226</v>
      </c>
      <c r="E907" s="63">
        <v>3.559559622624E-3</v>
      </c>
    </row>
    <row r="908" spans="2:5" ht="15" customHeight="1">
      <c r="B908" s="97"/>
      <c r="C908" s="61" t="s">
        <v>205</v>
      </c>
      <c r="D908" s="62">
        <v>2</v>
      </c>
      <c r="E908" s="63">
        <v>3.1500527634000002E-5</v>
      </c>
    </row>
    <row r="909" spans="2:5" ht="15" customHeight="1">
      <c r="B909" s="97"/>
      <c r="C909" s="61" t="s">
        <v>206</v>
      </c>
      <c r="D909" s="62">
        <v>18</v>
      </c>
      <c r="E909" s="63">
        <v>2.8350474870499998E-4</v>
      </c>
    </row>
    <row r="910" spans="2:5" ht="15" customHeight="1">
      <c r="B910" s="97"/>
      <c r="C910" s="61" t="s">
        <v>207</v>
      </c>
      <c r="D910" s="62">
        <v>89</v>
      </c>
      <c r="E910" s="63">
        <v>1.401773479706E-3</v>
      </c>
    </row>
    <row r="911" spans="2:5" ht="15" customHeight="1">
      <c r="B911" s="97"/>
      <c r="C911" s="61" t="s">
        <v>208</v>
      </c>
      <c r="D911" s="62">
        <v>4</v>
      </c>
      <c r="E911" s="63">
        <v>6.3001055268000004E-5</v>
      </c>
    </row>
    <row r="912" spans="2:5" ht="15" customHeight="1">
      <c r="B912" s="97"/>
      <c r="C912" s="61" t="s">
        <v>209</v>
      </c>
      <c r="D912" s="62">
        <v>2</v>
      </c>
      <c r="E912" s="63">
        <v>3.1500527634000002E-5</v>
      </c>
    </row>
    <row r="913" spans="2:5" ht="15" customHeight="1">
      <c r="B913" s="97"/>
      <c r="C913" s="61" t="s">
        <v>210</v>
      </c>
      <c r="D913" s="62">
        <v>2</v>
      </c>
      <c r="E913" s="63">
        <v>3.1500527634000002E-5</v>
      </c>
    </row>
    <row r="914" spans="2:5" ht="15" customHeight="1">
      <c r="B914" s="97"/>
      <c r="C914" s="61" t="s">
        <v>211</v>
      </c>
      <c r="D914" s="62">
        <v>1</v>
      </c>
      <c r="E914" s="63">
        <v>1.5750263817000001E-5</v>
      </c>
    </row>
    <row r="915" spans="2:5" ht="15" customHeight="1">
      <c r="B915" s="97"/>
      <c r="C915" s="61" t="s">
        <v>212</v>
      </c>
      <c r="D915" s="62">
        <v>8</v>
      </c>
      <c r="E915" s="63">
        <v>1.2600211053499999E-4</v>
      </c>
    </row>
    <row r="916" spans="2:5" ht="15" customHeight="1">
      <c r="B916" s="97"/>
      <c r="C916" s="61" t="s">
        <v>213</v>
      </c>
      <c r="D916" s="62">
        <v>9</v>
      </c>
      <c r="E916" s="63">
        <v>1.4175237435200001E-4</v>
      </c>
    </row>
    <row r="917" spans="2:5" ht="15" customHeight="1">
      <c r="B917" s="97"/>
      <c r="C917" s="61" t="s">
        <v>215</v>
      </c>
      <c r="D917" s="62">
        <v>1</v>
      </c>
      <c r="E917" s="63">
        <v>1.5750263817000001E-5</v>
      </c>
    </row>
    <row r="918" spans="2:5" ht="15" customHeight="1">
      <c r="B918" s="98"/>
      <c r="C918" s="75" t="s">
        <v>302</v>
      </c>
      <c r="D918" s="74">
        <v>682</v>
      </c>
      <c r="E918" s="76">
        <v>1.0741679923139E-2</v>
      </c>
    </row>
    <row r="919" spans="2:5" ht="15" customHeight="1">
      <c r="B919" s="96" t="s">
        <v>58</v>
      </c>
      <c r="C919" s="61" t="s">
        <v>193</v>
      </c>
      <c r="D919" s="62">
        <v>38</v>
      </c>
      <c r="E919" s="63">
        <v>5.9851002504300002E-4</v>
      </c>
    </row>
    <row r="920" spans="2:5" ht="15" customHeight="1">
      <c r="B920" s="97"/>
      <c r="C920" s="61" t="s">
        <v>194</v>
      </c>
      <c r="D920" s="62">
        <v>16</v>
      </c>
      <c r="E920" s="63">
        <v>2.52004221071E-4</v>
      </c>
    </row>
    <row r="921" spans="2:5" ht="15" customHeight="1">
      <c r="B921" s="97"/>
      <c r="C921" s="61" t="s">
        <v>195</v>
      </c>
      <c r="D921" s="62">
        <v>38</v>
      </c>
      <c r="E921" s="63">
        <v>5.9851002504300002E-4</v>
      </c>
    </row>
    <row r="922" spans="2:5" ht="15" customHeight="1">
      <c r="B922" s="97"/>
      <c r="C922" s="61" t="s">
        <v>196</v>
      </c>
      <c r="D922" s="62">
        <v>40</v>
      </c>
      <c r="E922" s="63">
        <v>6.3001055267700005E-4</v>
      </c>
    </row>
    <row r="923" spans="2:5" ht="15" customHeight="1">
      <c r="B923" s="97"/>
      <c r="C923" s="61" t="s">
        <v>197</v>
      </c>
      <c r="D923" s="62">
        <v>29</v>
      </c>
      <c r="E923" s="63">
        <v>4.5675765069100001E-4</v>
      </c>
    </row>
    <row r="924" spans="2:5" ht="15" customHeight="1">
      <c r="B924" s="97"/>
      <c r="C924" s="61" t="s">
        <v>198</v>
      </c>
      <c r="D924" s="62">
        <v>36</v>
      </c>
      <c r="E924" s="63">
        <v>5.6700949740899999E-4</v>
      </c>
    </row>
    <row r="925" spans="2:5" ht="15" customHeight="1">
      <c r="B925" s="97"/>
      <c r="C925" s="61" t="s">
        <v>199</v>
      </c>
      <c r="D925" s="62">
        <v>182</v>
      </c>
      <c r="E925" s="63">
        <v>2.8665480146790002E-3</v>
      </c>
    </row>
    <row r="926" spans="2:5" ht="15" customHeight="1">
      <c r="B926" s="97"/>
      <c r="C926" s="61" t="s">
        <v>200</v>
      </c>
      <c r="D926" s="62">
        <v>229</v>
      </c>
      <c r="E926" s="63">
        <v>3.6068104140740001E-3</v>
      </c>
    </row>
    <row r="927" spans="2:5" ht="15" customHeight="1">
      <c r="B927" s="97"/>
      <c r="C927" s="61" t="s">
        <v>201</v>
      </c>
      <c r="D927" s="62">
        <v>23</v>
      </c>
      <c r="E927" s="63">
        <v>3.6225606778899998E-4</v>
      </c>
    </row>
    <row r="928" spans="2:5" ht="15" customHeight="1">
      <c r="B928" s="97"/>
      <c r="C928" s="61" t="s">
        <v>202</v>
      </c>
      <c r="D928" s="62">
        <v>24</v>
      </c>
      <c r="E928" s="63">
        <v>3.78006331606E-4</v>
      </c>
    </row>
    <row r="929" spans="2:5" ht="15" customHeight="1">
      <c r="B929" s="97"/>
      <c r="C929" s="61" t="s">
        <v>203</v>
      </c>
      <c r="D929" s="62">
        <v>45</v>
      </c>
      <c r="E929" s="63">
        <v>7.08761871761E-4</v>
      </c>
    </row>
    <row r="930" spans="2:5" ht="15" customHeight="1">
      <c r="B930" s="97"/>
      <c r="C930" s="61" t="s">
        <v>204</v>
      </c>
      <c r="D930" s="62">
        <v>376</v>
      </c>
      <c r="E930" s="63">
        <v>5.9220991951620004E-3</v>
      </c>
    </row>
    <row r="931" spans="2:5" ht="15" customHeight="1">
      <c r="B931" s="97"/>
      <c r="C931" s="61" t="s">
        <v>205</v>
      </c>
      <c r="D931" s="62">
        <v>15</v>
      </c>
      <c r="E931" s="63">
        <v>2.3625395725399999E-4</v>
      </c>
    </row>
    <row r="932" spans="2:5" ht="15" customHeight="1">
      <c r="B932" s="97"/>
      <c r="C932" s="61" t="s">
        <v>206</v>
      </c>
      <c r="D932" s="62">
        <v>71</v>
      </c>
      <c r="E932" s="63">
        <v>1.1182687310009999E-3</v>
      </c>
    </row>
    <row r="933" spans="2:5" ht="15" customHeight="1">
      <c r="B933" s="97"/>
      <c r="C933" s="61" t="s">
        <v>207</v>
      </c>
      <c r="D933" s="62">
        <v>177</v>
      </c>
      <c r="E933" s="63">
        <v>2.7877966955949999E-3</v>
      </c>
    </row>
    <row r="934" spans="2:5" ht="15" customHeight="1">
      <c r="B934" s="97"/>
      <c r="C934" s="61" t="s">
        <v>208</v>
      </c>
      <c r="D934" s="62">
        <v>5</v>
      </c>
      <c r="E934" s="63">
        <v>7.8751319085000005E-5</v>
      </c>
    </row>
    <row r="935" spans="2:5" ht="15" customHeight="1">
      <c r="B935" s="97"/>
      <c r="C935" s="61" t="s">
        <v>209</v>
      </c>
      <c r="D935" s="62">
        <v>9</v>
      </c>
      <c r="E935" s="63">
        <v>1.4175237435200001E-4</v>
      </c>
    </row>
    <row r="936" spans="2:5" ht="15" customHeight="1">
      <c r="B936" s="97"/>
      <c r="C936" s="61" t="s">
        <v>210</v>
      </c>
      <c r="D936" s="62">
        <v>2</v>
      </c>
      <c r="E936" s="63">
        <v>3.1500527634000002E-5</v>
      </c>
    </row>
    <row r="937" spans="2:5" ht="15" customHeight="1">
      <c r="B937" s="97"/>
      <c r="C937" s="61" t="s">
        <v>211</v>
      </c>
      <c r="D937" s="62">
        <v>1</v>
      </c>
      <c r="E937" s="63">
        <v>1.5750263817000001E-5</v>
      </c>
    </row>
    <row r="938" spans="2:5" ht="15" customHeight="1">
      <c r="B938" s="97"/>
      <c r="C938" s="61" t="s">
        <v>212</v>
      </c>
      <c r="D938" s="62">
        <v>3</v>
      </c>
      <c r="E938" s="63">
        <v>4.7250791451000003E-5</v>
      </c>
    </row>
    <row r="939" spans="2:5" ht="15" customHeight="1">
      <c r="B939" s="97"/>
      <c r="C939" s="61" t="s">
        <v>213</v>
      </c>
      <c r="D939" s="62">
        <v>19</v>
      </c>
      <c r="E939" s="63">
        <v>2.9925501252099998E-4</v>
      </c>
    </row>
    <row r="940" spans="2:5" ht="15" customHeight="1">
      <c r="B940" s="98"/>
      <c r="C940" s="75" t="s">
        <v>302</v>
      </c>
      <c r="D940" s="74">
        <v>1378</v>
      </c>
      <c r="E940" s="76">
        <v>2.1703863539714E-2</v>
      </c>
    </row>
    <row r="941" spans="2:5" ht="15" customHeight="1">
      <c r="B941" s="96" t="s">
        <v>59</v>
      </c>
      <c r="C941" s="61" t="s">
        <v>193</v>
      </c>
      <c r="D941" s="62">
        <v>40</v>
      </c>
      <c r="E941" s="63">
        <v>6.3001055267700005E-4</v>
      </c>
    </row>
    <row r="942" spans="2:5" ht="15" customHeight="1">
      <c r="B942" s="97"/>
      <c r="C942" s="61" t="s">
        <v>194</v>
      </c>
      <c r="D942" s="62">
        <v>10</v>
      </c>
      <c r="E942" s="63">
        <v>1.57502638169E-4</v>
      </c>
    </row>
    <row r="943" spans="2:5" ht="15" customHeight="1">
      <c r="B943" s="97"/>
      <c r="C943" s="61" t="s">
        <v>195</v>
      </c>
      <c r="D943" s="62">
        <v>24</v>
      </c>
      <c r="E943" s="63">
        <v>3.78006331606E-4</v>
      </c>
    </row>
    <row r="944" spans="2:5" ht="15" customHeight="1">
      <c r="B944" s="97"/>
      <c r="C944" s="61" t="s">
        <v>196</v>
      </c>
      <c r="D944" s="62">
        <v>45</v>
      </c>
      <c r="E944" s="63">
        <v>7.08761871761E-4</v>
      </c>
    </row>
    <row r="945" spans="2:5" ht="15" customHeight="1">
      <c r="B945" s="97"/>
      <c r="C945" s="61" t="s">
        <v>197</v>
      </c>
      <c r="D945" s="62">
        <v>25</v>
      </c>
      <c r="E945" s="63">
        <v>3.9375659542300001E-4</v>
      </c>
    </row>
    <row r="946" spans="2:5" ht="15" customHeight="1">
      <c r="B946" s="97"/>
      <c r="C946" s="61" t="s">
        <v>198</v>
      </c>
      <c r="D946" s="62">
        <v>24</v>
      </c>
      <c r="E946" s="63">
        <v>3.78006331606E-4</v>
      </c>
    </row>
    <row r="947" spans="2:5" ht="15" customHeight="1">
      <c r="B947" s="97"/>
      <c r="C947" s="61" t="s">
        <v>199</v>
      </c>
      <c r="D947" s="62">
        <v>121</v>
      </c>
      <c r="E947" s="63">
        <v>1.905781921847E-3</v>
      </c>
    </row>
    <row r="948" spans="2:5" ht="15" customHeight="1">
      <c r="B948" s="97"/>
      <c r="C948" s="61" t="s">
        <v>200</v>
      </c>
      <c r="D948" s="62">
        <v>201</v>
      </c>
      <c r="E948" s="63">
        <v>3.1658030272010002E-3</v>
      </c>
    </row>
    <row r="949" spans="2:5" ht="15" customHeight="1">
      <c r="B949" s="97"/>
      <c r="C949" s="61" t="s">
        <v>201</v>
      </c>
      <c r="D949" s="62">
        <v>19</v>
      </c>
      <c r="E949" s="63">
        <v>2.9925501252099998E-4</v>
      </c>
    </row>
    <row r="950" spans="2:5" ht="15" customHeight="1">
      <c r="B950" s="97"/>
      <c r="C950" s="61" t="s">
        <v>202</v>
      </c>
      <c r="D950" s="62">
        <v>31</v>
      </c>
      <c r="E950" s="63">
        <v>4.8825817832399998E-4</v>
      </c>
    </row>
    <row r="951" spans="2:5" ht="15" customHeight="1">
      <c r="B951" s="97"/>
      <c r="C951" s="61" t="s">
        <v>203</v>
      </c>
      <c r="D951" s="62">
        <v>39</v>
      </c>
      <c r="E951" s="63">
        <v>6.1426028885999998E-4</v>
      </c>
    </row>
    <row r="952" spans="2:5" ht="15" customHeight="1">
      <c r="B952" s="97"/>
      <c r="C952" s="61" t="s">
        <v>204</v>
      </c>
      <c r="D952" s="62">
        <v>313</v>
      </c>
      <c r="E952" s="63">
        <v>4.9298325746960003E-3</v>
      </c>
    </row>
    <row r="953" spans="2:5" ht="15" customHeight="1">
      <c r="B953" s="97"/>
      <c r="C953" s="61" t="s">
        <v>205</v>
      </c>
      <c r="D953" s="62">
        <v>13</v>
      </c>
      <c r="E953" s="63">
        <v>2.0475342962000001E-4</v>
      </c>
    </row>
    <row r="954" spans="2:5" ht="15" customHeight="1">
      <c r="B954" s="97"/>
      <c r="C954" s="61" t="s">
        <v>206</v>
      </c>
      <c r="D954" s="62">
        <v>54</v>
      </c>
      <c r="E954" s="63">
        <v>8.5051424611399997E-4</v>
      </c>
    </row>
    <row r="955" spans="2:5" ht="15" customHeight="1">
      <c r="B955" s="97"/>
      <c r="C955" s="61" t="s">
        <v>207</v>
      </c>
      <c r="D955" s="62">
        <v>191</v>
      </c>
      <c r="E955" s="63">
        <v>3.008300389032E-3</v>
      </c>
    </row>
    <row r="956" spans="2:5" ht="15" customHeight="1">
      <c r="B956" s="97"/>
      <c r="C956" s="61" t="s">
        <v>208</v>
      </c>
      <c r="D956" s="62">
        <v>10</v>
      </c>
      <c r="E956" s="63">
        <v>1.57502638169E-4</v>
      </c>
    </row>
    <row r="957" spans="2:5" ht="15" customHeight="1">
      <c r="B957" s="97"/>
      <c r="C957" s="61" t="s">
        <v>209</v>
      </c>
      <c r="D957" s="62">
        <v>4</v>
      </c>
      <c r="E957" s="63">
        <v>6.3001055268000004E-5</v>
      </c>
    </row>
    <row r="958" spans="2:5" ht="15" customHeight="1">
      <c r="B958" s="97"/>
      <c r="C958" s="61" t="s">
        <v>210</v>
      </c>
      <c r="D958" s="62">
        <v>3</v>
      </c>
      <c r="E958" s="63">
        <v>4.7250791451000003E-5</v>
      </c>
    </row>
    <row r="959" spans="2:5" ht="15" customHeight="1">
      <c r="B959" s="97"/>
      <c r="C959" s="61" t="s">
        <v>211</v>
      </c>
      <c r="D959" s="62">
        <v>2</v>
      </c>
      <c r="E959" s="63">
        <v>3.1500527634000002E-5</v>
      </c>
    </row>
    <row r="960" spans="2:5" ht="15" customHeight="1">
      <c r="B960" s="97"/>
      <c r="C960" s="61" t="s">
        <v>212</v>
      </c>
      <c r="D960" s="62">
        <v>6</v>
      </c>
      <c r="E960" s="63">
        <v>9.4501582902000006E-5</v>
      </c>
    </row>
    <row r="961" spans="2:5" ht="15" customHeight="1">
      <c r="B961" s="97"/>
      <c r="C961" s="61" t="s">
        <v>213</v>
      </c>
      <c r="D961" s="62">
        <v>26</v>
      </c>
      <c r="E961" s="63">
        <v>4.0950685924000003E-4</v>
      </c>
    </row>
    <row r="962" spans="2:5" ht="15" customHeight="1">
      <c r="B962" s="98"/>
      <c r="C962" s="75" t="s">
        <v>302</v>
      </c>
      <c r="D962" s="74">
        <v>1201</v>
      </c>
      <c r="E962" s="76">
        <v>1.8916066844119998E-2</v>
      </c>
    </row>
    <row r="963" spans="2:5" ht="15" customHeight="1">
      <c r="B963" s="96" t="s">
        <v>85</v>
      </c>
      <c r="C963" s="61" t="s">
        <v>193</v>
      </c>
      <c r="D963" s="62">
        <v>2</v>
      </c>
      <c r="E963" s="63">
        <v>3.1500527634000002E-5</v>
      </c>
    </row>
    <row r="964" spans="2:5" ht="15" customHeight="1">
      <c r="B964" s="97"/>
      <c r="C964" s="61" t="s">
        <v>194</v>
      </c>
      <c r="D964" s="62">
        <v>1</v>
      </c>
      <c r="E964" s="63">
        <v>1.5750263817000001E-5</v>
      </c>
    </row>
    <row r="965" spans="2:5" ht="15" customHeight="1">
      <c r="B965" s="97"/>
      <c r="C965" s="61" t="s">
        <v>195</v>
      </c>
      <c r="D965" s="62">
        <v>1</v>
      </c>
      <c r="E965" s="63">
        <v>1.5750263817000001E-5</v>
      </c>
    </row>
    <row r="966" spans="2:5" ht="15" customHeight="1">
      <c r="B966" s="97"/>
      <c r="C966" s="61" t="s">
        <v>196</v>
      </c>
      <c r="D966" s="62">
        <v>1</v>
      </c>
      <c r="E966" s="63">
        <v>1.5750263817000001E-5</v>
      </c>
    </row>
    <row r="967" spans="2:5" ht="15" customHeight="1">
      <c r="B967" s="97"/>
      <c r="C967" s="61" t="s">
        <v>198</v>
      </c>
      <c r="D967" s="62">
        <v>2</v>
      </c>
      <c r="E967" s="63">
        <v>3.1500527634000002E-5</v>
      </c>
    </row>
    <row r="968" spans="2:5" ht="15" customHeight="1">
      <c r="B968" s="97"/>
      <c r="C968" s="61" t="s">
        <v>199</v>
      </c>
      <c r="D968" s="62">
        <v>5</v>
      </c>
      <c r="E968" s="63">
        <v>7.8751319085000005E-5</v>
      </c>
    </row>
    <row r="969" spans="2:5" ht="15" customHeight="1">
      <c r="B969" s="97"/>
      <c r="C969" s="61" t="s">
        <v>200</v>
      </c>
      <c r="D969" s="62">
        <v>9</v>
      </c>
      <c r="E969" s="63">
        <v>1.4175237435200001E-4</v>
      </c>
    </row>
    <row r="970" spans="2:5" ht="15" customHeight="1">
      <c r="B970" s="97"/>
      <c r="C970" s="61" t="s">
        <v>202</v>
      </c>
      <c r="D970" s="62">
        <v>2</v>
      </c>
      <c r="E970" s="63">
        <v>3.1500527634000002E-5</v>
      </c>
    </row>
    <row r="971" spans="2:5" ht="15" customHeight="1">
      <c r="B971" s="97"/>
      <c r="C971" s="61" t="s">
        <v>204</v>
      </c>
      <c r="D971" s="62">
        <v>23</v>
      </c>
      <c r="E971" s="63">
        <v>3.6225606778899998E-4</v>
      </c>
    </row>
    <row r="972" spans="2:5" ht="15" customHeight="1">
      <c r="B972" s="97"/>
      <c r="C972" s="61" t="s">
        <v>206</v>
      </c>
      <c r="D972" s="62">
        <v>1</v>
      </c>
      <c r="E972" s="63">
        <v>1.5750263817000001E-5</v>
      </c>
    </row>
    <row r="973" spans="2:5" ht="15" customHeight="1">
      <c r="B973" s="97"/>
      <c r="C973" s="61" t="s">
        <v>207</v>
      </c>
      <c r="D973" s="62">
        <v>11</v>
      </c>
      <c r="E973" s="63">
        <v>1.7325290198600001E-4</v>
      </c>
    </row>
    <row r="974" spans="2:5" ht="15" customHeight="1">
      <c r="B974" s="97"/>
      <c r="C974" s="61" t="s">
        <v>209</v>
      </c>
      <c r="D974" s="62">
        <v>1</v>
      </c>
      <c r="E974" s="63">
        <v>1.5750263817000001E-5</v>
      </c>
    </row>
    <row r="975" spans="2:5" ht="15" customHeight="1">
      <c r="B975" s="97"/>
      <c r="C975" s="61" t="s">
        <v>213</v>
      </c>
      <c r="D975" s="62">
        <v>5</v>
      </c>
      <c r="E975" s="63">
        <v>7.8751319085000005E-5</v>
      </c>
    </row>
    <row r="976" spans="2:5" ht="15" customHeight="1">
      <c r="B976" s="98"/>
      <c r="C976" s="75" t="s">
        <v>302</v>
      </c>
      <c r="D976" s="74">
        <v>64</v>
      </c>
      <c r="E976" s="76">
        <v>1.0080168842829999E-3</v>
      </c>
    </row>
    <row r="977" spans="2:5" ht="15" customHeight="1">
      <c r="B977" s="96" t="s">
        <v>83</v>
      </c>
      <c r="C977" s="61" t="s">
        <v>196</v>
      </c>
      <c r="D977" s="62">
        <v>3</v>
      </c>
      <c r="E977" s="63">
        <v>4.7250791451000003E-5</v>
      </c>
    </row>
    <row r="978" spans="2:5" ht="15" customHeight="1">
      <c r="B978" s="97"/>
      <c r="C978" s="61" t="s">
        <v>197</v>
      </c>
      <c r="D978" s="62">
        <v>4</v>
      </c>
      <c r="E978" s="63">
        <v>6.3001055268000004E-5</v>
      </c>
    </row>
    <row r="979" spans="2:5" ht="15" customHeight="1">
      <c r="B979" s="97"/>
      <c r="C979" s="61" t="s">
        <v>198</v>
      </c>
      <c r="D979" s="62">
        <v>1</v>
      </c>
      <c r="E979" s="63">
        <v>1.5750263817000001E-5</v>
      </c>
    </row>
    <row r="980" spans="2:5" ht="15" customHeight="1">
      <c r="B980" s="97"/>
      <c r="C980" s="61" t="s">
        <v>199</v>
      </c>
      <c r="D980" s="62">
        <v>7</v>
      </c>
      <c r="E980" s="63">
        <v>1.1025184671800001E-4</v>
      </c>
    </row>
    <row r="981" spans="2:5" ht="15" customHeight="1">
      <c r="B981" s="97"/>
      <c r="C981" s="61" t="s">
        <v>200</v>
      </c>
      <c r="D981" s="62">
        <v>23</v>
      </c>
      <c r="E981" s="63">
        <v>3.6225606778899998E-4</v>
      </c>
    </row>
    <row r="982" spans="2:5" ht="15" customHeight="1">
      <c r="B982" s="97"/>
      <c r="C982" s="61" t="s">
        <v>201</v>
      </c>
      <c r="D982" s="62">
        <v>1</v>
      </c>
      <c r="E982" s="63">
        <v>1.5750263817000001E-5</v>
      </c>
    </row>
    <row r="983" spans="2:5" ht="15" customHeight="1">
      <c r="B983" s="97"/>
      <c r="C983" s="61" t="s">
        <v>202</v>
      </c>
      <c r="D983" s="62">
        <v>1</v>
      </c>
      <c r="E983" s="63">
        <v>1.5750263817000001E-5</v>
      </c>
    </row>
    <row r="984" spans="2:5" ht="15" customHeight="1">
      <c r="B984" s="97"/>
      <c r="C984" s="61" t="s">
        <v>203</v>
      </c>
      <c r="D984" s="62">
        <v>6</v>
      </c>
      <c r="E984" s="63">
        <v>9.4501582902000006E-5</v>
      </c>
    </row>
    <row r="985" spans="2:5" ht="15" customHeight="1">
      <c r="B985" s="97"/>
      <c r="C985" s="61" t="s">
        <v>204</v>
      </c>
      <c r="D985" s="62">
        <v>22</v>
      </c>
      <c r="E985" s="63">
        <v>3.4650580397200002E-4</v>
      </c>
    </row>
    <row r="986" spans="2:5" ht="15" customHeight="1">
      <c r="B986" s="97"/>
      <c r="C986" s="61" t="s">
        <v>205</v>
      </c>
      <c r="D986" s="62">
        <v>1</v>
      </c>
      <c r="E986" s="63">
        <v>1.5750263817000001E-5</v>
      </c>
    </row>
    <row r="987" spans="2:5" ht="15" customHeight="1">
      <c r="B987" s="97"/>
      <c r="C987" s="61" t="s">
        <v>206</v>
      </c>
      <c r="D987" s="62">
        <v>2</v>
      </c>
      <c r="E987" s="63">
        <v>3.1500527634000002E-5</v>
      </c>
    </row>
    <row r="988" spans="2:5" ht="15" customHeight="1">
      <c r="B988" s="97"/>
      <c r="C988" s="61" t="s">
        <v>207</v>
      </c>
      <c r="D988" s="62">
        <v>20</v>
      </c>
      <c r="E988" s="63">
        <v>3.1500527633799999E-4</v>
      </c>
    </row>
    <row r="989" spans="2:5" ht="15" customHeight="1">
      <c r="B989" s="97"/>
      <c r="C989" s="61" t="s">
        <v>212</v>
      </c>
      <c r="D989" s="62">
        <v>2</v>
      </c>
      <c r="E989" s="63">
        <v>3.1500527634000002E-5</v>
      </c>
    </row>
    <row r="990" spans="2:5" ht="15" customHeight="1">
      <c r="B990" s="97"/>
      <c r="C990" s="61" t="s">
        <v>215</v>
      </c>
      <c r="D990" s="62">
        <v>1</v>
      </c>
      <c r="E990" s="63">
        <v>1.5750263817000001E-5</v>
      </c>
    </row>
    <row r="991" spans="2:5" ht="15" customHeight="1">
      <c r="B991" s="98"/>
      <c r="C991" s="75" t="s">
        <v>302</v>
      </c>
      <c r="D991" s="74">
        <v>94</v>
      </c>
      <c r="E991" s="76">
        <v>1.4805247987900001E-3</v>
      </c>
    </row>
    <row r="992" spans="2:5" ht="15" customHeight="1">
      <c r="B992" s="96" t="s">
        <v>80</v>
      </c>
      <c r="C992" s="61" t="s">
        <v>193</v>
      </c>
      <c r="D992" s="62">
        <v>11</v>
      </c>
      <c r="E992" s="63">
        <v>1.7325290198600001E-4</v>
      </c>
    </row>
    <row r="993" spans="2:5" ht="15" customHeight="1">
      <c r="B993" s="97"/>
      <c r="C993" s="61" t="s">
        <v>194</v>
      </c>
      <c r="D993" s="62">
        <v>3</v>
      </c>
      <c r="E993" s="63">
        <v>4.7250791451000003E-5</v>
      </c>
    </row>
    <row r="994" spans="2:5" ht="15" customHeight="1">
      <c r="B994" s="97"/>
      <c r="C994" s="61" t="s">
        <v>195</v>
      </c>
      <c r="D994" s="62">
        <v>4</v>
      </c>
      <c r="E994" s="63">
        <v>6.3001055268000004E-5</v>
      </c>
    </row>
    <row r="995" spans="2:5" ht="15" customHeight="1">
      <c r="B995" s="97"/>
      <c r="C995" s="61" t="s">
        <v>196</v>
      </c>
      <c r="D995" s="62">
        <v>6</v>
      </c>
      <c r="E995" s="63">
        <v>9.4501582902000006E-5</v>
      </c>
    </row>
    <row r="996" spans="2:5" ht="15" customHeight="1">
      <c r="B996" s="97"/>
      <c r="C996" s="61" t="s">
        <v>197</v>
      </c>
      <c r="D996" s="62">
        <v>4</v>
      </c>
      <c r="E996" s="63">
        <v>6.3001055268000004E-5</v>
      </c>
    </row>
    <row r="997" spans="2:5" ht="15" customHeight="1">
      <c r="B997" s="97"/>
      <c r="C997" s="61" t="s">
        <v>198</v>
      </c>
      <c r="D997" s="62">
        <v>9</v>
      </c>
      <c r="E997" s="63">
        <v>1.4175237435200001E-4</v>
      </c>
    </row>
    <row r="998" spans="2:5" ht="15" customHeight="1">
      <c r="B998" s="97"/>
      <c r="C998" s="61" t="s">
        <v>199</v>
      </c>
      <c r="D998" s="62">
        <v>19</v>
      </c>
      <c r="E998" s="63">
        <v>2.9925501252099998E-4</v>
      </c>
    </row>
    <row r="999" spans="2:5" ht="15" customHeight="1">
      <c r="B999" s="97"/>
      <c r="C999" s="61" t="s">
        <v>200</v>
      </c>
      <c r="D999" s="62">
        <v>61</v>
      </c>
      <c r="E999" s="63">
        <v>9.6076609283199995E-4</v>
      </c>
    </row>
    <row r="1000" spans="2:5" ht="15" customHeight="1">
      <c r="B1000" s="97"/>
      <c r="C1000" s="61" t="s">
        <v>201</v>
      </c>
      <c r="D1000" s="62">
        <v>3</v>
      </c>
      <c r="E1000" s="63">
        <v>4.7250791451000003E-5</v>
      </c>
    </row>
    <row r="1001" spans="2:5" ht="15" customHeight="1">
      <c r="B1001" s="97"/>
      <c r="C1001" s="61" t="s">
        <v>202</v>
      </c>
      <c r="D1001" s="62">
        <v>7</v>
      </c>
      <c r="E1001" s="63">
        <v>1.1025184671800001E-4</v>
      </c>
    </row>
    <row r="1002" spans="2:5" ht="15" customHeight="1">
      <c r="B1002" s="97"/>
      <c r="C1002" s="61" t="s">
        <v>203</v>
      </c>
      <c r="D1002" s="62">
        <v>7</v>
      </c>
      <c r="E1002" s="63">
        <v>1.1025184671800001E-4</v>
      </c>
    </row>
    <row r="1003" spans="2:5" ht="15" customHeight="1">
      <c r="B1003" s="97"/>
      <c r="C1003" s="61" t="s">
        <v>204</v>
      </c>
      <c r="D1003" s="62">
        <v>85</v>
      </c>
      <c r="E1003" s="63">
        <v>1.3387724244379999E-3</v>
      </c>
    </row>
    <row r="1004" spans="2:5" ht="15" customHeight="1">
      <c r="B1004" s="97"/>
      <c r="C1004" s="61" t="s">
        <v>205</v>
      </c>
      <c r="D1004" s="62">
        <v>1</v>
      </c>
      <c r="E1004" s="63">
        <v>1.5750263817000001E-5</v>
      </c>
    </row>
    <row r="1005" spans="2:5" ht="15" customHeight="1">
      <c r="B1005" s="97"/>
      <c r="C1005" s="61" t="s">
        <v>206</v>
      </c>
      <c r="D1005" s="62">
        <v>11</v>
      </c>
      <c r="E1005" s="63">
        <v>1.7325290198600001E-4</v>
      </c>
    </row>
    <row r="1006" spans="2:5" ht="15" customHeight="1">
      <c r="B1006" s="97"/>
      <c r="C1006" s="61" t="s">
        <v>207</v>
      </c>
      <c r="D1006" s="62">
        <v>31</v>
      </c>
      <c r="E1006" s="63">
        <v>4.8825817832399998E-4</v>
      </c>
    </row>
    <row r="1007" spans="2:5" ht="15" customHeight="1">
      <c r="B1007" s="97"/>
      <c r="C1007" s="61" t="s">
        <v>210</v>
      </c>
      <c r="D1007" s="62">
        <v>1</v>
      </c>
      <c r="E1007" s="63">
        <v>1.5750263817000001E-5</v>
      </c>
    </row>
    <row r="1008" spans="2:5" ht="15" customHeight="1">
      <c r="B1008" s="97"/>
      <c r="C1008" s="61" t="s">
        <v>211</v>
      </c>
      <c r="D1008" s="62">
        <v>1</v>
      </c>
      <c r="E1008" s="63">
        <v>1.5750263817000001E-5</v>
      </c>
    </row>
    <row r="1009" spans="2:5" ht="15" customHeight="1">
      <c r="B1009" s="97"/>
      <c r="C1009" s="61" t="s">
        <v>212</v>
      </c>
      <c r="D1009" s="62">
        <v>3</v>
      </c>
      <c r="E1009" s="63">
        <v>4.7250791451000003E-5</v>
      </c>
    </row>
    <row r="1010" spans="2:5" ht="15" customHeight="1">
      <c r="B1010" s="97"/>
      <c r="C1010" s="61" t="s">
        <v>213</v>
      </c>
      <c r="D1010" s="62">
        <v>3</v>
      </c>
      <c r="E1010" s="63">
        <v>4.7250791451000003E-5</v>
      </c>
    </row>
    <row r="1011" spans="2:5" ht="15" customHeight="1">
      <c r="B1011" s="97"/>
      <c r="C1011" s="61" t="s">
        <v>214</v>
      </c>
      <c r="D1011" s="62">
        <v>2</v>
      </c>
      <c r="E1011" s="63">
        <v>3.1500527634000002E-5</v>
      </c>
    </row>
    <row r="1012" spans="2:5" ht="15" customHeight="1">
      <c r="B1012" s="97"/>
      <c r="C1012" s="61" t="s">
        <v>215</v>
      </c>
      <c r="D1012" s="62">
        <v>1</v>
      </c>
      <c r="E1012" s="63">
        <v>1.5750263817000001E-5</v>
      </c>
    </row>
    <row r="1013" spans="2:5" ht="15" customHeight="1">
      <c r="B1013" s="98"/>
      <c r="C1013" s="75" t="s">
        <v>302</v>
      </c>
      <c r="D1013" s="74">
        <v>273</v>
      </c>
      <c r="E1013" s="76">
        <v>4.2998220220190004E-3</v>
      </c>
    </row>
    <row r="1014" spans="2:5" ht="15" customHeight="1">
      <c r="B1014" s="96" t="s">
        <v>92</v>
      </c>
      <c r="C1014" s="61" t="s">
        <v>195</v>
      </c>
      <c r="D1014" s="62">
        <v>1</v>
      </c>
      <c r="E1014" s="63">
        <v>1.5750263817000001E-5</v>
      </c>
    </row>
    <row r="1015" spans="2:5" ht="15" customHeight="1">
      <c r="B1015" s="97"/>
      <c r="C1015" s="61" t="s">
        <v>198</v>
      </c>
      <c r="D1015" s="62">
        <v>1</v>
      </c>
      <c r="E1015" s="63">
        <v>1.5750263817000001E-5</v>
      </c>
    </row>
    <row r="1016" spans="2:5" ht="15" customHeight="1">
      <c r="B1016" s="97"/>
      <c r="C1016" s="61" t="s">
        <v>199</v>
      </c>
      <c r="D1016" s="62">
        <v>5</v>
      </c>
      <c r="E1016" s="63">
        <v>7.8751319085000005E-5</v>
      </c>
    </row>
    <row r="1017" spans="2:5" ht="15" customHeight="1">
      <c r="B1017" s="97"/>
      <c r="C1017" s="61" t="s">
        <v>200</v>
      </c>
      <c r="D1017" s="62">
        <v>2</v>
      </c>
      <c r="E1017" s="63">
        <v>3.1500527634000002E-5</v>
      </c>
    </row>
    <row r="1018" spans="2:5" ht="15" customHeight="1">
      <c r="B1018" s="97"/>
      <c r="C1018" s="61" t="s">
        <v>203</v>
      </c>
      <c r="D1018" s="62">
        <v>2</v>
      </c>
      <c r="E1018" s="63">
        <v>3.1500527634000002E-5</v>
      </c>
    </row>
    <row r="1019" spans="2:5" ht="15" customHeight="1">
      <c r="B1019" s="97"/>
      <c r="C1019" s="61" t="s">
        <v>204</v>
      </c>
      <c r="D1019" s="62">
        <v>6</v>
      </c>
      <c r="E1019" s="63">
        <v>9.4501582902000006E-5</v>
      </c>
    </row>
    <row r="1020" spans="2:5" ht="15" customHeight="1">
      <c r="B1020" s="97"/>
      <c r="C1020" s="61" t="s">
        <v>206</v>
      </c>
      <c r="D1020" s="62">
        <v>1</v>
      </c>
      <c r="E1020" s="63">
        <v>1.5750263817000001E-5</v>
      </c>
    </row>
    <row r="1021" spans="2:5" ht="15" customHeight="1">
      <c r="B1021" s="97"/>
      <c r="C1021" s="61" t="s">
        <v>207</v>
      </c>
      <c r="D1021" s="62">
        <v>3</v>
      </c>
      <c r="E1021" s="63">
        <v>4.7250791451000003E-5</v>
      </c>
    </row>
    <row r="1022" spans="2:5" ht="15" customHeight="1">
      <c r="B1022" s="97"/>
      <c r="C1022" s="61" t="s">
        <v>213</v>
      </c>
      <c r="D1022" s="62">
        <v>1</v>
      </c>
      <c r="E1022" s="63">
        <v>1.5750263817000001E-5</v>
      </c>
    </row>
    <row r="1023" spans="2:5" ht="15" customHeight="1">
      <c r="B1023" s="97"/>
      <c r="C1023" s="61" t="s">
        <v>215</v>
      </c>
      <c r="D1023" s="62">
        <v>1</v>
      </c>
      <c r="E1023" s="63">
        <v>1.5750263817000001E-5</v>
      </c>
    </row>
    <row r="1024" spans="2:5" ht="15" customHeight="1">
      <c r="B1024" s="98"/>
      <c r="C1024" s="75" t="s">
        <v>302</v>
      </c>
      <c r="D1024" s="74">
        <v>23</v>
      </c>
      <c r="E1024" s="76">
        <v>3.6225606778899998E-4</v>
      </c>
    </row>
    <row r="1025" spans="2:5" ht="15" customHeight="1">
      <c r="B1025" s="94" t="s">
        <v>305</v>
      </c>
      <c r="C1025" s="95"/>
      <c r="D1025" s="65">
        <v>63491</v>
      </c>
      <c r="E1025" s="66">
        <v>1</v>
      </c>
    </row>
    <row r="1026" spans="2:5" ht="15" customHeight="1">
      <c r="B1026" s="51"/>
      <c r="C1026" s="51"/>
      <c r="D1026" s="51"/>
      <c r="E1026" s="51"/>
    </row>
    <row r="1027" spans="2:5" ht="15" customHeight="1">
      <c r="B1027" s="35" t="s">
        <v>284</v>
      </c>
      <c r="C1027" s="51"/>
      <c r="D1027" s="51"/>
      <c r="E1027" s="51"/>
    </row>
    <row r="1028" spans="2:5" ht="15" customHeight="1">
      <c r="B1028" s="36" t="s">
        <v>17</v>
      </c>
      <c r="C1028" s="51"/>
      <c r="D1028" s="51"/>
      <c r="E1028" s="51"/>
    </row>
    <row r="1029" spans="2:5" ht="15" customHeight="1">
      <c r="B1029" s="37" t="s">
        <v>96</v>
      </c>
      <c r="C1029" s="51"/>
      <c r="D1029" s="51"/>
      <c r="E1029" s="51"/>
    </row>
    <row r="1030" spans="2:5" ht="15" customHeight="1">
      <c r="B1030" s="35" t="s">
        <v>16</v>
      </c>
      <c r="C1030" s="51"/>
      <c r="D1030" s="51"/>
      <c r="E1030" s="51"/>
    </row>
    <row r="1031" spans="2:5" ht="15" customHeight="1">
      <c r="B1031" s="35" t="s">
        <v>303</v>
      </c>
      <c r="C1031" s="51"/>
      <c r="D1031" s="51"/>
      <c r="E1031" s="51"/>
    </row>
  </sheetData>
  <mergeCells count="53">
    <mergeCell ref="B992:B1013"/>
    <mergeCell ref="B1014:B1024"/>
    <mergeCell ref="B896:B918"/>
    <mergeCell ref="B919:B940"/>
    <mergeCell ref="B941:B962"/>
    <mergeCell ref="B963:B976"/>
    <mergeCell ref="B977:B991"/>
    <mergeCell ref="B786:B807"/>
    <mergeCell ref="B808:B826"/>
    <mergeCell ref="B827:B850"/>
    <mergeCell ref="B851:B874"/>
    <mergeCell ref="B875:B895"/>
    <mergeCell ref="B685:B708"/>
    <mergeCell ref="B709:B729"/>
    <mergeCell ref="B730:B741"/>
    <mergeCell ref="B742:B762"/>
    <mergeCell ref="B763:B785"/>
    <mergeCell ref="B577:B594"/>
    <mergeCell ref="B595:B617"/>
    <mergeCell ref="B618:B639"/>
    <mergeCell ref="B640:B661"/>
    <mergeCell ref="B662:B684"/>
    <mergeCell ref="B478:B498"/>
    <mergeCell ref="B499:B518"/>
    <mergeCell ref="B519:B542"/>
    <mergeCell ref="B543:B556"/>
    <mergeCell ref="B557:B576"/>
    <mergeCell ref="B366:B389"/>
    <mergeCell ref="B390:B405"/>
    <mergeCell ref="B406:B427"/>
    <mergeCell ref="B428:B452"/>
    <mergeCell ref="B453:B477"/>
    <mergeCell ref="B257:B272"/>
    <mergeCell ref="B273:B293"/>
    <mergeCell ref="B294:B316"/>
    <mergeCell ref="B317:B342"/>
    <mergeCell ref="B343:B365"/>
    <mergeCell ref="B1025:C1025"/>
    <mergeCell ref="B7:E8"/>
    <mergeCell ref="B10:B28"/>
    <mergeCell ref="B29:B51"/>
    <mergeCell ref="B52:B74"/>
    <mergeCell ref="B75:B95"/>
    <mergeCell ref="B96:B109"/>
    <mergeCell ref="B110:B126"/>
    <mergeCell ref="B127:B138"/>
    <mergeCell ref="B139:B163"/>
    <mergeCell ref="B164:B189"/>
    <mergeCell ref="B190:B202"/>
    <mergeCell ref="B203:B223"/>
    <mergeCell ref="B224:B244"/>
    <mergeCell ref="B245:B246"/>
    <mergeCell ref="B247:B25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1"/>
  <sheetViews>
    <sheetView showGridLines="0" view="pageBreakPreview" zoomScale="115" zoomScaleNormal="100" zoomScaleSheetLayoutView="115" workbookViewId="0">
      <selection activeCell="B21" sqref="B21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8"/>
    </row>
    <row r="2" spans="1:6" s="16" customFormat="1" ht="15" customHeight="1">
      <c r="C2" s="18"/>
    </row>
    <row r="3" spans="1:6" s="16" customFormat="1" ht="15" customHeight="1">
      <c r="C3" s="18"/>
    </row>
    <row r="4" spans="1:6" s="16" customFormat="1" ht="30" customHeight="1">
      <c r="C4" s="18"/>
      <c r="D4" s="17"/>
    </row>
    <row r="5" spans="1:6" s="16" customFormat="1" ht="15" customHeight="1">
      <c r="C5" s="18"/>
      <c r="D5" s="17"/>
    </row>
    <row r="6" spans="1:6" s="16" customFormat="1" ht="15" customHeight="1">
      <c r="C6" s="18"/>
      <c r="D6" s="17"/>
    </row>
    <row r="7" spans="1:6" s="16" customFormat="1" ht="15" customHeight="1">
      <c r="A7" s="34"/>
      <c r="B7" s="87" t="s">
        <v>37</v>
      </c>
      <c r="C7" s="87"/>
      <c r="D7" s="87"/>
      <c r="E7" s="34"/>
      <c r="F7" s="34"/>
    </row>
    <row r="8" spans="1:6" s="16" customFormat="1" ht="15" customHeight="1">
      <c r="A8" s="34"/>
      <c r="B8" s="87"/>
      <c r="C8" s="87"/>
      <c r="D8" s="87"/>
      <c r="E8" s="34"/>
      <c r="F8" s="34"/>
    </row>
    <row r="9" spans="1:6" s="16" customFormat="1" ht="33" customHeight="1">
      <c r="A9" s="34"/>
      <c r="B9" s="87"/>
      <c r="C9" s="87"/>
      <c r="D9" s="87"/>
      <c r="E9" s="34"/>
      <c r="F9" s="34"/>
    </row>
    <row r="10" spans="1:6" s="16" customFormat="1" ht="4.5" customHeight="1">
      <c r="A10" s="34"/>
      <c r="B10" s="40"/>
      <c r="C10" s="40"/>
      <c r="D10" s="40"/>
      <c r="E10" s="34"/>
      <c r="F10" s="34"/>
    </row>
    <row r="11" spans="1:6" s="16" customFormat="1" ht="27" customHeight="1">
      <c r="A11" s="34"/>
      <c r="B11" s="41" t="s">
        <v>28</v>
      </c>
      <c r="C11" s="42" t="s">
        <v>19</v>
      </c>
      <c r="D11" s="43" t="s">
        <v>18</v>
      </c>
      <c r="E11" s="34"/>
      <c r="F11" s="34"/>
    </row>
    <row r="12" spans="1:6" ht="15" customHeight="1">
      <c r="A12" s="31"/>
      <c r="B12" s="61" t="s">
        <v>285</v>
      </c>
      <c r="C12" s="62">
        <v>22426</v>
      </c>
      <c r="D12" s="63">
        <v>0.35321541635822401</v>
      </c>
      <c r="E12" s="31"/>
      <c r="F12" s="31"/>
    </row>
    <row r="13" spans="1:6" ht="15" customHeight="1">
      <c r="A13" s="31"/>
      <c r="B13" s="61" t="s">
        <v>286</v>
      </c>
      <c r="C13" s="62">
        <v>41062</v>
      </c>
      <c r="D13" s="63">
        <v>0.64673733285032498</v>
      </c>
      <c r="E13" s="31"/>
      <c r="F13" s="31"/>
    </row>
    <row r="14" spans="1:6" ht="16.5">
      <c r="A14" s="31"/>
      <c r="B14" s="61" t="s">
        <v>287</v>
      </c>
      <c r="C14" s="62">
        <v>3</v>
      </c>
      <c r="D14" s="63">
        <v>4.7250791451000003E-5</v>
      </c>
      <c r="E14" s="31"/>
      <c r="F14" s="31"/>
    </row>
    <row r="15" spans="1:6" s="15" customFormat="1" ht="15.75" customHeight="1">
      <c r="A15" s="31"/>
      <c r="B15" s="64" t="s">
        <v>307</v>
      </c>
      <c r="C15" s="65">
        <v>63491</v>
      </c>
      <c r="D15" s="66">
        <v>1</v>
      </c>
      <c r="E15" s="31"/>
      <c r="F15" s="31"/>
    </row>
    <row r="16" spans="1:6" s="15" customFormat="1" ht="16.5">
      <c r="A16" s="31"/>
      <c r="B16" s="35"/>
      <c r="C16" s="44"/>
      <c r="D16" s="44"/>
      <c r="E16" s="31"/>
      <c r="F16" s="31"/>
    </row>
    <row r="17" spans="2:6" ht="16.5">
      <c r="B17" s="35" t="s">
        <v>284</v>
      </c>
      <c r="C17" s="53"/>
      <c r="D17" s="53"/>
      <c r="E17" s="31"/>
      <c r="F17" s="31"/>
    </row>
    <row r="18" spans="2:6" ht="16.5">
      <c r="B18" s="36" t="s">
        <v>17</v>
      </c>
      <c r="C18" s="54"/>
      <c r="D18" s="54"/>
      <c r="E18" s="31"/>
      <c r="F18" s="31"/>
    </row>
    <row r="19" spans="2:6" ht="16.5">
      <c r="B19" s="37" t="s">
        <v>96</v>
      </c>
      <c r="C19" s="44"/>
      <c r="D19" s="31"/>
      <c r="E19" s="31"/>
      <c r="F19" s="31"/>
    </row>
    <row r="20" spans="2:6" ht="16.5">
      <c r="B20" s="35" t="s">
        <v>16</v>
      </c>
      <c r="C20" s="44"/>
      <c r="D20" s="31"/>
      <c r="E20" s="31"/>
      <c r="F20" s="31"/>
    </row>
    <row r="21" spans="2:6" ht="16.5">
      <c r="B21" s="35" t="s">
        <v>303</v>
      </c>
      <c r="C21" s="44"/>
      <c r="D21" s="31"/>
      <c r="E21" s="31"/>
      <c r="F21" s="3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F175"/>
  <sheetViews>
    <sheetView showGridLines="0" tabSelected="1" view="pageBreakPreview" zoomScale="130" zoomScaleNormal="100" zoomScaleSheetLayoutView="130" workbookViewId="0">
      <selection activeCell="O3" sqref="O3"/>
    </sheetView>
  </sheetViews>
  <sheetFormatPr baseColWidth="10" defaultColWidth="11.42578125" defaultRowHeight="11.25"/>
  <cols>
    <col min="1" max="1" width="5.7109375" style="16" customWidth="1"/>
    <col min="2" max="2" width="21.28515625" style="22" customWidth="1"/>
    <col min="3" max="3" width="25.5703125" style="22" customWidth="1"/>
    <col min="4" max="4" width="15.7109375" style="25" customWidth="1"/>
    <col min="5" max="5" width="15.7109375" style="22" customWidth="1"/>
    <col min="6" max="6" width="4.7109375" style="16" customWidth="1"/>
    <col min="7" max="16384" width="11.42578125" style="16"/>
  </cols>
  <sheetData>
    <row r="1" spans="1:6" s="13" customFormat="1" ht="15">
      <c r="B1" s="22"/>
      <c r="C1" s="22"/>
    </row>
    <row r="2" spans="1:6" s="22" customFormat="1">
      <c r="B2" s="28"/>
    </row>
    <row r="3" spans="1:6" ht="15" customHeight="1">
      <c r="B3" s="29"/>
      <c r="C3" s="18"/>
      <c r="D3" s="16"/>
      <c r="F3" s="22"/>
    </row>
    <row r="4" spans="1:6" ht="30" customHeight="1">
      <c r="B4" s="29"/>
      <c r="C4" s="18"/>
      <c r="D4" s="16"/>
      <c r="F4" s="22"/>
    </row>
    <row r="5" spans="1:6" ht="15" customHeight="1">
      <c r="B5" s="29"/>
      <c r="C5" s="18"/>
      <c r="D5" s="16"/>
      <c r="F5" s="22"/>
    </row>
    <row r="6" spans="1:6" s="22" customFormat="1">
      <c r="B6" s="24"/>
      <c r="C6" s="21"/>
    </row>
    <row r="7" spans="1:6" s="22" customFormat="1">
      <c r="B7" s="28"/>
    </row>
    <row r="8" spans="1:6" s="13" customFormat="1" ht="15" customHeight="1">
      <c r="A8" s="31"/>
      <c r="B8" s="87" t="s">
        <v>39</v>
      </c>
      <c r="C8" s="87"/>
      <c r="D8" s="87"/>
      <c r="E8" s="87"/>
      <c r="F8" s="31"/>
    </row>
    <row r="9" spans="1:6" s="13" customFormat="1" ht="15" customHeight="1">
      <c r="A9" s="31"/>
      <c r="B9" s="87"/>
      <c r="C9" s="87"/>
      <c r="D9" s="87"/>
      <c r="E9" s="87"/>
      <c r="F9" s="32"/>
    </row>
    <row r="10" spans="1:6" s="13" customFormat="1" ht="15" customHeight="1">
      <c r="A10" s="31"/>
      <c r="B10" s="87"/>
      <c r="C10" s="87"/>
      <c r="D10" s="87"/>
      <c r="E10" s="87"/>
      <c r="F10" s="31"/>
    </row>
    <row r="11" spans="1:6" s="13" customFormat="1" ht="15" customHeight="1">
      <c r="A11" s="31"/>
      <c r="B11" s="33"/>
      <c r="C11" s="33"/>
      <c r="D11" s="33"/>
      <c r="E11" s="33"/>
      <c r="F11" s="31"/>
    </row>
    <row r="12" spans="1:6" s="13" customFormat="1" ht="36.950000000000003" customHeight="1">
      <c r="A12" s="31"/>
      <c r="B12" s="77" t="s">
        <v>21</v>
      </c>
      <c r="C12" s="77" t="s">
        <v>28</v>
      </c>
      <c r="D12" s="77" t="s">
        <v>19</v>
      </c>
      <c r="E12" s="77" t="s">
        <v>18</v>
      </c>
      <c r="F12" s="31"/>
    </row>
    <row r="13" spans="1:6" ht="14.45" customHeight="1">
      <c r="A13" s="34"/>
      <c r="B13" s="90" t="s">
        <v>82</v>
      </c>
      <c r="C13" s="57" t="s">
        <v>145</v>
      </c>
      <c r="D13" s="60">
        <v>62</v>
      </c>
      <c r="E13" s="59">
        <v>1E-3</v>
      </c>
      <c r="F13" s="34"/>
    </row>
    <row r="14" spans="1:6" ht="14.45" customHeight="1">
      <c r="A14" s="34"/>
      <c r="B14" s="91"/>
      <c r="C14" s="57" t="s">
        <v>146</v>
      </c>
      <c r="D14" s="60">
        <v>141</v>
      </c>
      <c r="E14" s="59">
        <v>2E-3</v>
      </c>
      <c r="F14" s="34"/>
    </row>
    <row r="15" spans="1:6" ht="14.45" customHeight="1">
      <c r="A15" s="34"/>
      <c r="B15" s="92"/>
      <c r="C15" s="71" t="s">
        <v>302</v>
      </c>
      <c r="D15" s="73">
        <v>203</v>
      </c>
      <c r="E15" s="72">
        <v>3.0000000000000001E-3</v>
      </c>
      <c r="F15" s="34"/>
    </row>
    <row r="16" spans="1:6" ht="14.45" customHeight="1">
      <c r="A16" s="34"/>
      <c r="B16" s="90" t="s">
        <v>53</v>
      </c>
      <c r="C16" s="57" t="s">
        <v>145</v>
      </c>
      <c r="D16" s="60">
        <v>797</v>
      </c>
      <c r="E16" s="59">
        <v>1.2999999999999999E-2</v>
      </c>
      <c r="F16" s="34"/>
    </row>
    <row r="17" spans="1:6" ht="14.45" customHeight="1">
      <c r="A17" s="34"/>
      <c r="B17" s="91"/>
      <c r="C17" s="57" t="s">
        <v>146</v>
      </c>
      <c r="D17" s="58">
        <v>1696</v>
      </c>
      <c r="E17" s="59">
        <v>2.7E-2</v>
      </c>
      <c r="F17" s="34"/>
    </row>
    <row r="18" spans="1:6" ht="14.45" customHeight="1">
      <c r="A18" s="34"/>
      <c r="B18" s="92"/>
      <c r="C18" s="71" t="s">
        <v>302</v>
      </c>
      <c r="D18" s="73">
        <v>2493</v>
      </c>
      <c r="E18" s="72">
        <v>3.9E-2</v>
      </c>
      <c r="F18" s="34"/>
    </row>
    <row r="19" spans="1:6" ht="14.45" customHeight="1">
      <c r="A19" s="34"/>
      <c r="B19" s="90" t="s">
        <v>50</v>
      </c>
      <c r="C19" s="57" t="s">
        <v>145</v>
      </c>
      <c r="D19" s="60">
        <v>857</v>
      </c>
      <c r="E19" s="59">
        <v>1.2999999999999999E-2</v>
      </c>
      <c r="F19" s="34"/>
    </row>
    <row r="20" spans="1:6" ht="14.45" customHeight="1">
      <c r="A20" s="34"/>
      <c r="B20" s="91"/>
      <c r="C20" s="57" t="s">
        <v>146</v>
      </c>
      <c r="D20" s="58">
        <v>2027</v>
      </c>
      <c r="E20" s="59">
        <v>3.2000000000000001E-2</v>
      </c>
      <c r="F20" s="34"/>
    </row>
    <row r="21" spans="1:6" ht="14.45" customHeight="1">
      <c r="A21" s="34"/>
      <c r="B21" s="92"/>
      <c r="C21" s="71" t="s">
        <v>302</v>
      </c>
      <c r="D21" s="73">
        <v>2884</v>
      </c>
      <c r="E21" s="72">
        <v>4.4999999999999998E-2</v>
      </c>
      <c r="F21" s="34"/>
    </row>
    <row r="22" spans="1:6" ht="14.45" customHeight="1">
      <c r="A22" s="34"/>
      <c r="B22" s="90" t="s">
        <v>73</v>
      </c>
      <c r="C22" s="57" t="s">
        <v>145</v>
      </c>
      <c r="D22" s="60">
        <v>203</v>
      </c>
      <c r="E22" s="59">
        <v>3.0000000000000001E-3</v>
      </c>
      <c r="F22" s="34"/>
    </row>
    <row r="23" spans="1:6" ht="14.45" customHeight="1">
      <c r="A23" s="34"/>
      <c r="B23" s="91"/>
      <c r="C23" s="57" t="s">
        <v>146</v>
      </c>
      <c r="D23" s="60">
        <v>374</v>
      </c>
      <c r="E23" s="59">
        <v>6.0000000000000001E-3</v>
      </c>
      <c r="F23" s="34"/>
    </row>
    <row r="24" spans="1:6" ht="14.45" customHeight="1">
      <c r="A24" s="34"/>
      <c r="B24" s="92"/>
      <c r="C24" s="71" t="s">
        <v>302</v>
      </c>
      <c r="D24" s="73">
        <v>577</v>
      </c>
      <c r="E24" s="72">
        <v>8.9999999999999993E-3</v>
      </c>
      <c r="F24" s="34"/>
    </row>
    <row r="25" spans="1:6" ht="14.45" customHeight="1">
      <c r="A25" s="34"/>
      <c r="B25" s="90" t="s">
        <v>88</v>
      </c>
      <c r="C25" s="57" t="s">
        <v>145</v>
      </c>
      <c r="D25" s="60">
        <v>14</v>
      </c>
      <c r="E25" s="59">
        <v>0</v>
      </c>
      <c r="F25" s="34"/>
    </row>
    <row r="26" spans="1:6" ht="14.45" customHeight="1">
      <c r="A26" s="34"/>
      <c r="B26" s="91"/>
      <c r="C26" s="57" t="s">
        <v>146</v>
      </c>
      <c r="D26" s="60">
        <v>34</v>
      </c>
      <c r="E26" s="59">
        <v>1E-3</v>
      </c>
      <c r="F26" s="34"/>
    </row>
    <row r="27" spans="1:6" ht="14.45" customHeight="1">
      <c r="A27" s="34"/>
      <c r="B27" s="92"/>
      <c r="C27" s="71" t="s">
        <v>302</v>
      </c>
      <c r="D27" s="73">
        <v>48</v>
      </c>
      <c r="E27" s="72">
        <v>1E-3</v>
      </c>
      <c r="F27" s="34"/>
    </row>
    <row r="28" spans="1:6" ht="14.45" customHeight="1">
      <c r="A28" s="34"/>
      <c r="B28" s="90" t="s">
        <v>87</v>
      </c>
      <c r="C28" s="57" t="s">
        <v>145</v>
      </c>
      <c r="D28" s="60">
        <v>31</v>
      </c>
      <c r="E28" s="59">
        <v>0</v>
      </c>
      <c r="F28" s="34"/>
    </row>
    <row r="29" spans="1:6" ht="14.45" customHeight="1">
      <c r="A29" s="34"/>
      <c r="B29" s="91"/>
      <c r="C29" s="57" t="s">
        <v>146</v>
      </c>
      <c r="D29" s="60">
        <v>33</v>
      </c>
      <c r="E29" s="59">
        <v>1E-3</v>
      </c>
      <c r="F29" s="34"/>
    </row>
    <row r="30" spans="1:6" ht="14.45" customHeight="1">
      <c r="A30" s="34"/>
      <c r="B30" s="92"/>
      <c r="C30" s="71" t="s">
        <v>302</v>
      </c>
      <c r="D30" s="73">
        <v>64</v>
      </c>
      <c r="E30" s="72">
        <v>1E-3</v>
      </c>
      <c r="F30" s="34"/>
    </row>
    <row r="31" spans="1:6" ht="14.45" customHeight="1">
      <c r="A31" s="34"/>
      <c r="B31" s="90" t="s">
        <v>94</v>
      </c>
      <c r="C31" s="57" t="s">
        <v>145</v>
      </c>
      <c r="D31" s="60">
        <v>10</v>
      </c>
      <c r="E31" s="59">
        <v>0</v>
      </c>
      <c r="F31" s="34"/>
    </row>
    <row r="32" spans="1:6" ht="14.45" customHeight="1">
      <c r="A32" s="34"/>
      <c r="B32" s="91"/>
      <c r="C32" s="57" t="s">
        <v>146</v>
      </c>
      <c r="D32" s="60">
        <v>16</v>
      </c>
      <c r="E32" s="59">
        <v>0</v>
      </c>
      <c r="F32" s="34"/>
    </row>
    <row r="33" spans="1:6" ht="14.45" customHeight="1">
      <c r="A33" s="34"/>
      <c r="B33" s="92"/>
      <c r="C33" s="71" t="s">
        <v>302</v>
      </c>
      <c r="D33" s="73">
        <v>26</v>
      </c>
      <c r="E33" s="72">
        <v>0</v>
      </c>
      <c r="F33" s="34"/>
    </row>
    <row r="34" spans="1:6" ht="14.45" customHeight="1">
      <c r="A34" s="34"/>
      <c r="B34" s="90" t="s">
        <v>47</v>
      </c>
      <c r="C34" s="57" t="s">
        <v>145</v>
      </c>
      <c r="D34" s="58">
        <v>2906</v>
      </c>
      <c r="E34" s="59">
        <v>4.5999999999999999E-2</v>
      </c>
      <c r="F34" s="34"/>
    </row>
    <row r="35" spans="1:6" ht="14.45" customHeight="1">
      <c r="A35" s="34"/>
      <c r="B35" s="91"/>
      <c r="C35" s="57" t="s">
        <v>146</v>
      </c>
      <c r="D35" s="58">
        <v>4235</v>
      </c>
      <c r="E35" s="59">
        <v>6.7000000000000004E-2</v>
      </c>
      <c r="F35" s="34"/>
    </row>
    <row r="36" spans="1:6" ht="14.45" customHeight="1">
      <c r="A36" s="34"/>
      <c r="B36" s="91"/>
      <c r="C36" s="57" t="s">
        <v>289</v>
      </c>
      <c r="D36" s="60">
        <v>1</v>
      </c>
      <c r="E36" s="59">
        <v>0</v>
      </c>
      <c r="F36" s="34"/>
    </row>
    <row r="37" spans="1:6" ht="14.45" customHeight="1">
      <c r="A37" s="34"/>
      <c r="B37" s="92"/>
      <c r="C37" s="71" t="s">
        <v>302</v>
      </c>
      <c r="D37" s="73">
        <v>7142</v>
      </c>
      <c r="E37" s="72">
        <v>0.112</v>
      </c>
      <c r="F37" s="34"/>
    </row>
    <row r="38" spans="1:6" ht="14.45" customHeight="1">
      <c r="A38" s="34"/>
      <c r="B38" s="90" t="s">
        <v>46</v>
      </c>
      <c r="C38" s="57" t="s">
        <v>145</v>
      </c>
      <c r="D38" s="58">
        <v>3746</v>
      </c>
      <c r="E38" s="59">
        <v>5.8999999999999997E-2</v>
      </c>
      <c r="F38" s="34"/>
    </row>
    <row r="39" spans="1:6" ht="14.45" customHeight="1">
      <c r="A39" s="34"/>
      <c r="B39" s="91"/>
      <c r="C39" s="57" t="s">
        <v>146</v>
      </c>
      <c r="D39" s="58">
        <v>7737</v>
      </c>
      <c r="E39" s="59">
        <v>0.122</v>
      </c>
      <c r="F39" s="34"/>
    </row>
    <row r="40" spans="1:6" ht="14.45" customHeight="1">
      <c r="A40" s="34"/>
      <c r="B40" s="91"/>
      <c r="C40" s="57" t="s">
        <v>289</v>
      </c>
      <c r="D40" s="60">
        <v>1</v>
      </c>
      <c r="E40" s="59">
        <v>0</v>
      </c>
      <c r="F40" s="34"/>
    </row>
    <row r="41" spans="1:6" ht="14.45" customHeight="1">
      <c r="A41" s="34"/>
      <c r="B41" s="92"/>
      <c r="C41" s="71" t="s">
        <v>302</v>
      </c>
      <c r="D41" s="73">
        <v>11484</v>
      </c>
      <c r="E41" s="72">
        <v>0.18099999999999999</v>
      </c>
      <c r="F41" s="34"/>
    </row>
    <row r="42" spans="1:6" ht="14.45" customHeight="1">
      <c r="A42" s="34"/>
      <c r="B42" s="90" t="s">
        <v>91</v>
      </c>
      <c r="C42" s="57" t="s">
        <v>145</v>
      </c>
      <c r="D42" s="60">
        <v>16</v>
      </c>
      <c r="E42" s="59">
        <v>0</v>
      </c>
      <c r="F42" s="34"/>
    </row>
    <row r="43" spans="1:6" ht="14.45" customHeight="1">
      <c r="A43" s="34"/>
      <c r="B43" s="91"/>
      <c r="C43" s="57" t="s">
        <v>146</v>
      </c>
      <c r="D43" s="60">
        <v>28</v>
      </c>
      <c r="E43" s="59">
        <v>0</v>
      </c>
      <c r="F43" s="34"/>
    </row>
    <row r="44" spans="1:6" ht="14.45" customHeight="1">
      <c r="A44" s="34"/>
      <c r="B44" s="92"/>
      <c r="C44" s="71" t="s">
        <v>302</v>
      </c>
      <c r="D44" s="73">
        <v>44</v>
      </c>
      <c r="E44" s="72">
        <v>1E-3</v>
      </c>
      <c r="F44" s="34"/>
    </row>
    <row r="45" spans="1:6" ht="14.45" customHeight="1">
      <c r="A45" s="34"/>
      <c r="B45" s="90" t="s">
        <v>65</v>
      </c>
      <c r="C45" s="57" t="s">
        <v>145</v>
      </c>
      <c r="D45" s="60">
        <v>249</v>
      </c>
      <c r="E45" s="59">
        <v>4.0000000000000001E-3</v>
      </c>
      <c r="F45" s="34"/>
    </row>
    <row r="46" spans="1:6" ht="14.45" customHeight="1">
      <c r="A46" s="34"/>
      <c r="B46" s="91"/>
      <c r="C46" s="57" t="s">
        <v>146</v>
      </c>
      <c r="D46" s="60">
        <v>690</v>
      </c>
      <c r="E46" s="59">
        <v>1.0999999999999999E-2</v>
      </c>
      <c r="F46" s="34"/>
    </row>
    <row r="47" spans="1:6" ht="14.45" customHeight="1">
      <c r="A47" s="34"/>
      <c r="B47" s="92"/>
      <c r="C47" s="71" t="s">
        <v>302</v>
      </c>
      <c r="D47" s="73">
        <v>939</v>
      </c>
      <c r="E47" s="72">
        <v>1.4999999999999999E-2</v>
      </c>
      <c r="F47" s="34"/>
    </row>
    <row r="48" spans="1:6" ht="14.45" customHeight="1">
      <c r="A48" s="34"/>
      <c r="B48" s="90" t="s">
        <v>61</v>
      </c>
      <c r="C48" s="57" t="s">
        <v>145</v>
      </c>
      <c r="D48" s="60">
        <v>571</v>
      </c>
      <c r="E48" s="59">
        <v>8.9999999999999993E-3</v>
      </c>
      <c r="F48" s="34"/>
    </row>
    <row r="49" spans="1:6" ht="14.45" customHeight="1">
      <c r="A49" s="34"/>
      <c r="B49" s="91"/>
      <c r="C49" s="57" t="s">
        <v>146</v>
      </c>
      <c r="D49" s="60">
        <v>968</v>
      </c>
      <c r="E49" s="59">
        <v>1.4999999999999999E-2</v>
      </c>
      <c r="F49" s="34"/>
    </row>
    <row r="50" spans="1:6" ht="14.45" customHeight="1">
      <c r="A50" s="34"/>
      <c r="B50" s="92"/>
      <c r="C50" s="71" t="s">
        <v>302</v>
      </c>
      <c r="D50" s="73">
        <v>1539</v>
      </c>
      <c r="E50" s="72">
        <v>2.4E-2</v>
      </c>
      <c r="F50" s="34"/>
    </row>
    <row r="51" spans="1:6" ht="14.45" customHeight="1">
      <c r="A51" s="34"/>
      <c r="B51" s="90" t="s">
        <v>283</v>
      </c>
      <c r="C51" s="57" t="s">
        <v>145</v>
      </c>
      <c r="D51" s="60">
        <v>1</v>
      </c>
      <c r="E51" s="59">
        <v>0</v>
      </c>
      <c r="F51" s="34"/>
    </row>
    <row r="52" spans="1:6" ht="14.45" customHeight="1">
      <c r="A52" s="34"/>
      <c r="B52" s="92"/>
      <c r="C52" s="71" t="s">
        <v>302</v>
      </c>
      <c r="D52" s="73">
        <v>1</v>
      </c>
      <c r="E52" s="72">
        <v>0</v>
      </c>
      <c r="F52" s="34"/>
    </row>
    <row r="53" spans="1:6" ht="14.45" customHeight="1">
      <c r="A53" s="34"/>
      <c r="B53" s="90" t="s">
        <v>95</v>
      </c>
      <c r="C53" s="57" t="s">
        <v>145</v>
      </c>
      <c r="D53" s="60">
        <v>8</v>
      </c>
      <c r="E53" s="59">
        <v>0</v>
      </c>
      <c r="F53" s="34"/>
    </row>
    <row r="54" spans="1:6" ht="14.45" customHeight="1">
      <c r="A54" s="34"/>
      <c r="B54" s="91"/>
      <c r="C54" s="57" t="s">
        <v>146</v>
      </c>
      <c r="D54" s="60">
        <v>8</v>
      </c>
      <c r="E54" s="59">
        <v>0</v>
      </c>
      <c r="F54" s="34"/>
    </row>
    <row r="55" spans="1:6" ht="14.45" customHeight="1">
      <c r="A55" s="34"/>
      <c r="B55" s="92"/>
      <c r="C55" s="71" t="s">
        <v>302</v>
      </c>
      <c r="D55" s="73">
        <v>16</v>
      </c>
      <c r="E55" s="72">
        <v>0</v>
      </c>
      <c r="F55" s="34"/>
    </row>
    <row r="56" spans="1:6" ht="14.45" customHeight="1">
      <c r="A56" s="34"/>
      <c r="B56" s="90" t="s">
        <v>89</v>
      </c>
      <c r="C56" s="57" t="s">
        <v>145</v>
      </c>
      <c r="D56" s="60">
        <v>29</v>
      </c>
      <c r="E56" s="59">
        <v>0</v>
      </c>
      <c r="F56" s="34"/>
    </row>
    <row r="57" spans="1:6" ht="14.45" customHeight="1">
      <c r="A57" s="34"/>
      <c r="B57" s="91"/>
      <c r="C57" s="57" t="s">
        <v>146</v>
      </c>
      <c r="D57" s="60">
        <v>44</v>
      </c>
      <c r="E57" s="59">
        <v>1E-3</v>
      </c>
      <c r="F57" s="34"/>
    </row>
    <row r="58" spans="1:6" ht="14.45" customHeight="1">
      <c r="A58" s="34"/>
      <c r="B58" s="92"/>
      <c r="C58" s="71" t="s">
        <v>302</v>
      </c>
      <c r="D58" s="73">
        <v>73</v>
      </c>
      <c r="E58" s="72">
        <v>1E-3</v>
      </c>
      <c r="F58" s="34"/>
    </row>
    <row r="59" spans="1:6" ht="14.45" customHeight="1">
      <c r="A59" s="34"/>
      <c r="B59" s="90" t="s">
        <v>68</v>
      </c>
      <c r="C59" s="57" t="s">
        <v>145</v>
      </c>
      <c r="D59" s="60">
        <v>183</v>
      </c>
      <c r="E59" s="59">
        <v>3.0000000000000001E-3</v>
      </c>
      <c r="F59" s="34"/>
    </row>
    <row r="60" spans="1:6" ht="14.45" customHeight="1">
      <c r="A60" s="34"/>
      <c r="B60" s="91"/>
      <c r="C60" s="57" t="s">
        <v>146</v>
      </c>
      <c r="D60" s="60">
        <v>363</v>
      </c>
      <c r="E60" s="59">
        <v>6.0000000000000001E-3</v>
      </c>
      <c r="F60" s="34"/>
    </row>
    <row r="61" spans="1:6" ht="14.45" customHeight="1">
      <c r="A61" s="34"/>
      <c r="B61" s="92"/>
      <c r="C61" s="71" t="s">
        <v>302</v>
      </c>
      <c r="D61" s="73">
        <v>546</v>
      </c>
      <c r="E61" s="72">
        <v>8.9999999999999993E-3</v>
      </c>
      <c r="F61" s="34"/>
    </row>
    <row r="62" spans="1:6" ht="14.45" customHeight="1">
      <c r="A62" s="34"/>
      <c r="B62" s="90" t="s">
        <v>54</v>
      </c>
      <c r="C62" s="57" t="s">
        <v>145</v>
      </c>
      <c r="D62" s="60">
        <v>698</v>
      </c>
      <c r="E62" s="59">
        <v>1.0999999999999999E-2</v>
      </c>
      <c r="F62" s="34"/>
    </row>
    <row r="63" spans="1:6" ht="14.45" customHeight="1">
      <c r="A63" s="34"/>
      <c r="B63" s="91"/>
      <c r="C63" s="57" t="s">
        <v>146</v>
      </c>
      <c r="D63" s="58">
        <v>1062</v>
      </c>
      <c r="E63" s="59">
        <v>1.7000000000000001E-2</v>
      </c>
      <c r="F63" s="34"/>
    </row>
    <row r="64" spans="1:6" ht="14.45" customHeight="1">
      <c r="A64" s="34"/>
      <c r="B64" s="92"/>
      <c r="C64" s="71" t="s">
        <v>302</v>
      </c>
      <c r="D64" s="73">
        <v>1760</v>
      </c>
      <c r="E64" s="72">
        <v>2.8000000000000001E-2</v>
      </c>
      <c r="F64" s="34"/>
    </row>
    <row r="65" spans="1:6" ht="14.45" customHeight="1">
      <c r="A65" s="34"/>
      <c r="B65" s="90" t="s">
        <v>48</v>
      </c>
      <c r="C65" s="57" t="s">
        <v>145</v>
      </c>
      <c r="D65" s="58">
        <v>2068</v>
      </c>
      <c r="E65" s="59">
        <v>3.3000000000000002E-2</v>
      </c>
      <c r="F65" s="34"/>
    </row>
    <row r="66" spans="1:6" ht="14.45" customHeight="1">
      <c r="A66" s="34"/>
      <c r="B66" s="91"/>
      <c r="C66" s="57" t="s">
        <v>146</v>
      </c>
      <c r="D66" s="58">
        <v>4074</v>
      </c>
      <c r="E66" s="59">
        <v>6.4000000000000001E-2</v>
      </c>
      <c r="F66" s="34"/>
    </row>
    <row r="67" spans="1:6" ht="14.45" customHeight="1">
      <c r="A67" s="34"/>
      <c r="B67" s="92"/>
      <c r="C67" s="71" t="s">
        <v>302</v>
      </c>
      <c r="D67" s="73">
        <v>6142</v>
      </c>
      <c r="E67" s="72">
        <v>9.7000000000000003E-2</v>
      </c>
      <c r="F67" s="34"/>
    </row>
    <row r="68" spans="1:6" ht="14.45" customHeight="1">
      <c r="A68" s="34"/>
      <c r="B68" s="90" t="s">
        <v>69</v>
      </c>
      <c r="C68" s="57" t="s">
        <v>145</v>
      </c>
      <c r="D68" s="60">
        <v>166</v>
      </c>
      <c r="E68" s="59">
        <v>3.0000000000000001E-3</v>
      </c>
      <c r="F68" s="34"/>
    </row>
    <row r="69" spans="1:6" ht="14.45" customHeight="1">
      <c r="A69" s="34"/>
      <c r="B69" s="91"/>
      <c r="C69" s="57" t="s">
        <v>146</v>
      </c>
      <c r="D69" s="60">
        <v>331</v>
      </c>
      <c r="E69" s="59">
        <v>5.0000000000000001E-3</v>
      </c>
      <c r="F69" s="34"/>
    </row>
    <row r="70" spans="1:6" ht="14.45" customHeight="1">
      <c r="A70" s="34"/>
      <c r="B70" s="92"/>
      <c r="C70" s="71" t="s">
        <v>302</v>
      </c>
      <c r="D70" s="73">
        <v>497</v>
      </c>
      <c r="E70" s="72">
        <v>8.0000000000000002E-3</v>
      </c>
      <c r="F70" s="34"/>
    </row>
    <row r="71" spans="1:6" ht="14.45" customHeight="1">
      <c r="A71" s="34"/>
      <c r="B71" s="90" t="s">
        <v>64</v>
      </c>
      <c r="C71" s="57" t="s">
        <v>145</v>
      </c>
      <c r="D71" s="60">
        <v>217</v>
      </c>
      <c r="E71" s="59">
        <v>3.0000000000000001E-3</v>
      </c>
      <c r="F71" s="34"/>
    </row>
    <row r="72" spans="1:6" ht="14.45" customHeight="1">
      <c r="A72" s="34"/>
      <c r="B72" s="91"/>
      <c r="C72" s="57" t="s">
        <v>146</v>
      </c>
      <c r="D72" s="60">
        <v>498</v>
      </c>
      <c r="E72" s="59">
        <v>8.0000000000000002E-3</v>
      </c>
      <c r="F72" s="34"/>
    </row>
    <row r="73" spans="1:6" ht="14.45" customHeight="1">
      <c r="A73" s="34"/>
      <c r="B73" s="92"/>
      <c r="C73" s="71" t="s">
        <v>302</v>
      </c>
      <c r="D73" s="73">
        <v>715</v>
      </c>
      <c r="E73" s="72">
        <v>1.0999999999999999E-2</v>
      </c>
      <c r="F73" s="34"/>
    </row>
    <row r="74" spans="1:6" ht="14.45" customHeight="1">
      <c r="A74" s="34"/>
      <c r="B74" s="90" t="s">
        <v>86</v>
      </c>
      <c r="C74" s="57" t="s">
        <v>145</v>
      </c>
      <c r="D74" s="60">
        <v>41</v>
      </c>
      <c r="E74" s="59">
        <v>1E-3</v>
      </c>
      <c r="F74" s="34"/>
    </row>
    <row r="75" spans="1:6" ht="14.45" customHeight="1">
      <c r="A75" s="34"/>
      <c r="B75" s="91"/>
      <c r="C75" s="57" t="s">
        <v>146</v>
      </c>
      <c r="D75" s="60">
        <v>54</v>
      </c>
      <c r="E75" s="59">
        <v>1E-3</v>
      </c>
      <c r="F75" s="34"/>
    </row>
    <row r="76" spans="1:6" ht="14.45" customHeight="1">
      <c r="A76" s="34"/>
      <c r="B76" s="92"/>
      <c r="C76" s="71" t="s">
        <v>302</v>
      </c>
      <c r="D76" s="73">
        <v>95</v>
      </c>
      <c r="E76" s="72">
        <v>1E-3</v>
      </c>
      <c r="F76" s="34"/>
    </row>
    <row r="77" spans="1:6" ht="14.45" customHeight="1">
      <c r="A77" s="34"/>
      <c r="B77" s="90" t="s">
        <v>75</v>
      </c>
      <c r="C77" s="57" t="s">
        <v>145</v>
      </c>
      <c r="D77" s="60">
        <v>211</v>
      </c>
      <c r="E77" s="59">
        <v>3.0000000000000001E-3</v>
      </c>
      <c r="F77" s="34"/>
    </row>
    <row r="78" spans="1:6" ht="14.45" customHeight="1">
      <c r="A78" s="34"/>
      <c r="B78" s="91"/>
      <c r="C78" s="57" t="s">
        <v>146</v>
      </c>
      <c r="D78" s="60">
        <v>330</v>
      </c>
      <c r="E78" s="59">
        <v>5.0000000000000001E-3</v>
      </c>
      <c r="F78" s="34"/>
    </row>
    <row r="79" spans="1:6" ht="14.45" customHeight="1">
      <c r="A79" s="34"/>
      <c r="B79" s="92"/>
      <c r="C79" s="71" t="s">
        <v>302</v>
      </c>
      <c r="D79" s="73">
        <v>541</v>
      </c>
      <c r="E79" s="72">
        <v>8.9999999999999993E-3</v>
      </c>
      <c r="F79" s="34"/>
    </row>
    <row r="80" spans="1:6" ht="14.45" customHeight="1">
      <c r="A80" s="34"/>
      <c r="B80" s="90" t="s">
        <v>52</v>
      </c>
      <c r="C80" s="57" t="s">
        <v>145</v>
      </c>
      <c r="D80" s="60">
        <v>759</v>
      </c>
      <c r="E80" s="59">
        <v>1.2E-2</v>
      </c>
      <c r="F80" s="34"/>
    </row>
    <row r="81" spans="1:6" ht="14.45" customHeight="1">
      <c r="A81" s="34"/>
      <c r="B81" s="91"/>
      <c r="C81" s="57" t="s">
        <v>146</v>
      </c>
      <c r="D81" s="58">
        <v>1548</v>
      </c>
      <c r="E81" s="59">
        <v>2.4E-2</v>
      </c>
      <c r="F81" s="34"/>
    </row>
    <row r="82" spans="1:6" ht="14.45" customHeight="1">
      <c r="A82" s="34"/>
      <c r="B82" s="92"/>
      <c r="C82" s="71" t="s">
        <v>302</v>
      </c>
      <c r="D82" s="73">
        <v>2307</v>
      </c>
      <c r="E82" s="72">
        <v>3.5999999999999997E-2</v>
      </c>
      <c r="F82" s="34"/>
    </row>
    <row r="83" spans="1:6" ht="14.45" customHeight="1">
      <c r="A83" s="34"/>
      <c r="B83" s="90" t="s">
        <v>49</v>
      </c>
      <c r="C83" s="57" t="s">
        <v>145</v>
      </c>
      <c r="D83" s="58">
        <v>1476</v>
      </c>
      <c r="E83" s="59">
        <v>2.3E-2</v>
      </c>
      <c r="F83" s="34"/>
    </row>
    <row r="84" spans="1:6" ht="14.45" customHeight="1">
      <c r="A84" s="34"/>
      <c r="B84" s="91"/>
      <c r="C84" s="57" t="s">
        <v>146</v>
      </c>
      <c r="D84" s="58">
        <v>1945</v>
      </c>
      <c r="E84" s="59">
        <v>3.1E-2</v>
      </c>
      <c r="F84" s="34"/>
    </row>
    <row r="85" spans="1:6" ht="14.45" customHeight="1">
      <c r="A85" s="34"/>
      <c r="B85" s="92"/>
      <c r="C85" s="71" t="s">
        <v>302</v>
      </c>
      <c r="D85" s="73">
        <v>3421</v>
      </c>
      <c r="E85" s="72">
        <v>5.3999999999999999E-2</v>
      </c>
      <c r="F85" s="34"/>
    </row>
    <row r="86" spans="1:6" ht="14.45" customHeight="1">
      <c r="A86" s="34"/>
      <c r="B86" s="90" t="s">
        <v>77</v>
      </c>
      <c r="C86" s="57" t="s">
        <v>145</v>
      </c>
      <c r="D86" s="60">
        <v>171</v>
      </c>
      <c r="E86" s="59">
        <v>3.0000000000000001E-3</v>
      </c>
      <c r="F86" s="34"/>
    </row>
    <row r="87" spans="1:6" ht="14.45" customHeight="1">
      <c r="A87" s="34"/>
      <c r="B87" s="91"/>
      <c r="C87" s="57" t="s">
        <v>146</v>
      </c>
      <c r="D87" s="60">
        <v>164</v>
      </c>
      <c r="E87" s="59">
        <v>3.0000000000000001E-3</v>
      </c>
      <c r="F87" s="34"/>
    </row>
    <row r="88" spans="1:6" ht="14.45" customHeight="1">
      <c r="A88" s="34"/>
      <c r="B88" s="92"/>
      <c r="C88" s="71" t="s">
        <v>302</v>
      </c>
      <c r="D88" s="73">
        <v>335</v>
      </c>
      <c r="E88" s="72">
        <v>5.0000000000000001E-3</v>
      </c>
      <c r="F88" s="34"/>
    </row>
    <row r="89" spans="1:6" ht="14.45" customHeight="1">
      <c r="A89" s="34"/>
      <c r="B89" s="90" t="s">
        <v>63</v>
      </c>
      <c r="C89" s="57" t="s">
        <v>145</v>
      </c>
      <c r="D89" s="60">
        <v>255</v>
      </c>
      <c r="E89" s="59">
        <v>4.0000000000000001E-3</v>
      </c>
      <c r="F89" s="34"/>
    </row>
    <row r="90" spans="1:6" ht="14.45" customHeight="1">
      <c r="A90" s="34"/>
      <c r="B90" s="91"/>
      <c r="C90" s="57" t="s">
        <v>146</v>
      </c>
      <c r="D90" s="60">
        <v>569</v>
      </c>
      <c r="E90" s="59">
        <v>8.9999999999999993E-3</v>
      </c>
      <c r="F90" s="34"/>
    </row>
    <row r="91" spans="1:6" ht="14.45" customHeight="1">
      <c r="A91" s="34"/>
      <c r="B91" s="92"/>
      <c r="C91" s="71" t="s">
        <v>302</v>
      </c>
      <c r="D91" s="73">
        <v>824</v>
      </c>
      <c r="E91" s="72">
        <v>1.2999999999999999E-2</v>
      </c>
      <c r="F91" s="34"/>
    </row>
    <row r="92" spans="1:6" ht="14.45" customHeight="1">
      <c r="A92" s="34"/>
      <c r="B92" s="90" t="s">
        <v>66</v>
      </c>
      <c r="C92" s="57" t="s">
        <v>145</v>
      </c>
      <c r="D92" s="60">
        <v>276</v>
      </c>
      <c r="E92" s="59">
        <v>4.0000000000000001E-3</v>
      </c>
      <c r="F92" s="34"/>
    </row>
    <row r="93" spans="1:6" ht="14.45" customHeight="1">
      <c r="A93" s="34"/>
      <c r="B93" s="91"/>
      <c r="C93" s="57" t="s">
        <v>146</v>
      </c>
      <c r="D93" s="60">
        <v>427</v>
      </c>
      <c r="E93" s="59">
        <v>7.0000000000000001E-3</v>
      </c>
      <c r="F93" s="34"/>
    </row>
    <row r="94" spans="1:6" ht="14.45" customHeight="1">
      <c r="A94" s="34"/>
      <c r="B94" s="92"/>
      <c r="C94" s="71" t="s">
        <v>302</v>
      </c>
      <c r="D94" s="73">
        <v>703</v>
      </c>
      <c r="E94" s="72">
        <v>1.0999999999999999E-2</v>
      </c>
      <c r="F94" s="34"/>
    </row>
    <row r="95" spans="1:6" ht="14.45" customHeight="1">
      <c r="A95" s="34"/>
      <c r="B95" s="90" t="s">
        <v>93</v>
      </c>
      <c r="C95" s="57" t="s">
        <v>145</v>
      </c>
      <c r="D95" s="60">
        <v>16</v>
      </c>
      <c r="E95" s="59">
        <v>0</v>
      </c>
      <c r="F95" s="34"/>
    </row>
    <row r="96" spans="1:6" ht="14.45" customHeight="1">
      <c r="A96" s="34"/>
      <c r="B96" s="91"/>
      <c r="C96" s="57" t="s">
        <v>146</v>
      </c>
      <c r="D96" s="60">
        <v>29</v>
      </c>
      <c r="E96" s="59">
        <v>0</v>
      </c>
      <c r="F96" s="34"/>
    </row>
    <row r="97" spans="1:6" ht="14.45" customHeight="1">
      <c r="A97" s="34"/>
      <c r="B97" s="92"/>
      <c r="C97" s="71" t="s">
        <v>302</v>
      </c>
      <c r="D97" s="73">
        <v>45</v>
      </c>
      <c r="E97" s="72">
        <v>1E-3</v>
      </c>
      <c r="F97" s="34"/>
    </row>
    <row r="98" spans="1:6" ht="14.45" customHeight="1">
      <c r="A98" s="34"/>
      <c r="B98" s="90" t="s">
        <v>72</v>
      </c>
      <c r="C98" s="57" t="s">
        <v>145</v>
      </c>
      <c r="D98" s="60">
        <v>169</v>
      </c>
      <c r="E98" s="59">
        <v>3.0000000000000001E-3</v>
      </c>
      <c r="F98" s="34"/>
    </row>
    <row r="99" spans="1:6" ht="14.45" customHeight="1">
      <c r="A99" s="34"/>
      <c r="B99" s="91"/>
      <c r="C99" s="57" t="s">
        <v>146</v>
      </c>
      <c r="D99" s="60">
        <v>417</v>
      </c>
      <c r="E99" s="59">
        <v>7.0000000000000001E-3</v>
      </c>
      <c r="F99" s="34"/>
    </row>
    <row r="100" spans="1:6" ht="14.45" customHeight="1">
      <c r="A100" s="34"/>
      <c r="B100" s="92"/>
      <c r="C100" s="71" t="s">
        <v>302</v>
      </c>
      <c r="D100" s="73">
        <v>586</v>
      </c>
      <c r="E100" s="72">
        <v>8.9999999999999993E-3</v>
      </c>
      <c r="F100" s="34"/>
    </row>
    <row r="101" spans="1:6" ht="14.45" customHeight="1">
      <c r="A101" s="34"/>
      <c r="B101" s="90" t="s">
        <v>84</v>
      </c>
      <c r="C101" s="57" t="s">
        <v>145</v>
      </c>
      <c r="D101" s="60">
        <v>58</v>
      </c>
      <c r="E101" s="59">
        <v>1E-3</v>
      </c>
      <c r="F101" s="34"/>
    </row>
    <row r="102" spans="1:6" ht="14.45" customHeight="1">
      <c r="A102" s="34"/>
      <c r="B102" s="91"/>
      <c r="C102" s="57" t="s">
        <v>146</v>
      </c>
      <c r="D102" s="60">
        <v>99</v>
      </c>
      <c r="E102" s="59">
        <v>2E-3</v>
      </c>
      <c r="F102" s="34"/>
    </row>
    <row r="103" spans="1:6" ht="14.45" customHeight="1">
      <c r="A103" s="34"/>
      <c r="B103" s="92"/>
      <c r="C103" s="71" t="s">
        <v>302</v>
      </c>
      <c r="D103" s="73">
        <v>157</v>
      </c>
      <c r="E103" s="72">
        <v>2E-3</v>
      </c>
      <c r="F103" s="34"/>
    </row>
    <row r="104" spans="1:6" ht="14.45" customHeight="1">
      <c r="A104" s="34"/>
      <c r="B104" s="90" t="s">
        <v>57</v>
      </c>
      <c r="C104" s="57" t="s">
        <v>145</v>
      </c>
      <c r="D104" s="60">
        <v>618</v>
      </c>
      <c r="E104" s="59">
        <v>0.01</v>
      </c>
      <c r="F104" s="34"/>
    </row>
    <row r="105" spans="1:6" ht="14.45" customHeight="1">
      <c r="A105" s="34"/>
      <c r="B105" s="91"/>
      <c r="C105" s="57" t="s">
        <v>146</v>
      </c>
      <c r="D105" s="58">
        <v>1334</v>
      </c>
      <c r="E105" s="59">
        <v>2.1000000000000001E-2</v>
      </c>
      <c r="F105" s="34"/>
    </row>
    <row r="106" spans="1:6" ht="14.45" customHeight="1">
      <c r="A106" s="34"/>
      <c r="B106" s="92"/>
      <c r="C106" s="71" t="s">
        <v>302</v>
      </c>
      <c r="D106" s="73">
        <v>1952</v>
      </c>
      <c r="E106" s="72">
        <v>3.1E-2</v>
      </c>
      <c r="F106" s="34"/>
    </row>
    <row r="107" spans="1:6" ht="14.45" customHeight="1">
      <c r="A107" s="34"/>
      <c r="B107" s="90" t="s">
        <v>78</v>
      </c>
      <c r="C107" s="57" t="s">
        <v>145</v>
      </c>
      <c r="D107" s="60">
        <v>173</v>
      </c>
      <c r="E107" s="59">
        <v>3.0000000000000001E-3</v>
      </c>
      <c r="F107" s="34"/>
    </row>
    <row r="108" spans="1:6" ht="14.45" customHeight="1">
      <c r="A108" s="34"/>
      <c r="B108" s="91"/>
      <c r="C108" s="57" t="s">
        <v>146</v>
      </c>
      <c r="D108" s="60">
        <v>362</v>
      </c>
      <c r="E108" s="59">
        <v>6.0000000000000001E-3</v>
      </c>
      <c r="F108" s="34"/>
    </row>
    <row r="109" spans="1:6" ht="14.45" customHeight="1">
      <c r="A109" s="34"/>
      <c r="B109" s="92"/>
      <c r="C109" s="71" t="s">
        <v>302</v>
      </c>
      <c r="D109" s="73">
        <v>535</v>
      </c>
      <c r="E109" s="72">
        <v>8.0000000000000002E-3</v>
      </c>
      <c r="F109" s="34"/>
    </row>
    <row r="110" spans="1:6" ht="14.45" customHeight="1">
      <c r="A110" s="34"/>
      <c r="B110" s="90" t="s">
        <v>60</v>
      </c>
      <c r="C110" s="57" t="s">
        <v>145</v>
      </c>
      <c r="D110" s="60">
        <v>274</v>
      </c>
      <c r="E110" s="59">
        <v>4.0000000000000001E-3</v>
      </c>
      <c r="F110" s="34"/>
    </row>
    <row r="111" spans="1:6" ht="14.45" customHeight="1">
      <c r="A111" s="34"/>
      <c r="B111" s="91"/>
      <c r="C111" s="57" t="s">
        <v>146</v>
      </c>
      <c r="D111" s="60">
        <v>621</v>
      </c>
      <c r="E111" s="59">
        <v>0.01</v>
      </c>
      <c r="F111" s="34"/>
    </row>
    <row r="112" spans="1:6" ht="14.45" customHeight="1">
      <c r="A112" s="34"/>
      <c r="B112" s="92"/>
      <c r="C112" s="71" t="s">
        <v>302</v>
      </c>
      <c r="D112" s="73">
        <v>895</v>
      </c>
      <c r="E112" s="72">
        <v>1.4E-2</v>
      </c>
      <c r="F112" s="34"/>
    </row>
    <row r="113" spans="1:6" ht="14.45" customHeight="1">
      <c r="A113" s="34"/>
      <c r="B113" s="90" t="s">
        <v>74</v>
      </c>
      <c r="C113" s="57" t="s">
        <v>145</v>
      </c>
      <c r="D113" s="60">
        <v>282</v>
      </c>
      <c r="E113" s="59">
        <v>4.0000000000000001E-3</v>
      </c>
      <c r="F113" s="34"/>
    </row>
    <row r="114" spans="1:6" ht="14.45" customHeight="1">
      <c r="A114" s="34"/>
      <c r="B114" s="91"/>
      <c r="C114" s="57" t="s">
        <v>146</v>
      </c>
      <c r="D114" s="60">
        <v>422</v>
      </c>
      <c r="E114" s="59">
        <v>7.0000000000000001E-3</v>
      </c>
      <c r="F114" s="34"/>
    </row>
    <row r="115" spans="1:6" ht="14.45" customHeight="1">
      <c r="A115" s="34"/>
      <c r="B115" s="92"/>
      <c r="C115" s="71" t="s">
        <v>302</v>
      </c>
      <c r="D115" s="73">
        <v>704</v>
      </c>
      <c r="E115" s="72">
        <v>1.0999999999999999E-2</v>
      </c>
      <c r="F115" s="34"/>
    </row>
    <row r="116" spans="1:6" ht="14.45" customHeight="1">
      <c r="A116" s="34"/>
      <c r="B116" s="90" t="s">
        <v>67</v>
      </c>
      <c r="C116" s="57" t="s">
        <v>145</v>
      </c>
      <c r="D116" s="60">
        <v>219</v>
      </c>
      <c r="E116" s="59">
        <v>3.0000000000000001E-3</v>
      </c>
      <c r="F116" s="34"/>
    </row>
    <row r="117" spans="1:6" ht="14.45" customHeight="1">
      <c r="A117" s="34"/>
      <c r="B117" s="91"/>
      <c r="C117" s="57" t="s">
        <v>146</v>
      </c>
      <c r="D117" s="60">
        <v>452</v>
      </c>
      <c r="E117" s="59">
        <v>7.0000000000000001E-3</v>
      </c>
      <c r="F117" s="34"/>
    </row>
    <row r="118" spans="1:6" ht="14.45" customHeight="1">
      <c r="A118" s="34"/>
      <c r="B118" s="92"/>
      <c r="C118" s="71" t="s">
        <v>302</v>
      </c>
      <c r="D118" s="73">
        <v>671</v>
      </c>
      <c r="E118" s="72">
        <v>1.0999999999999999E-2</v>
      </c>
      <c r="F118" s="34"/>
    </row>
    <row r="119" spans="1:6" ht="14.45" customHeight="1">
      <c r="A119" s="34"/>
      <c r="B119" s="90" t="s">
        <v>81</v>
      </c>
      <c r="C119" s="57" t="s">
        <v>145</v>
      </c>
      <c r="D119" s="60">
        <v>77</v>
      </c>
      <c r="E119" s="59">
        <v>1E-3</v>
      </c>
      <c r="F119" s="34"/>
    </row>
    <row r="120" spans="1:6" ht="14.45" customHeight="1">
      <c r="A120" s="34"/>
      <c r="B120" s="91"/>
      <c r="C120" s="57" t="s">
        <v>146</v>
      </c>
      <c r="D120" s="60">
        <v>141</v>
      </c>
      <c r="E120" s="59">
        <v>2E-3</v>
      </c>
      <c r="F120" s="34"/>
    </row>
    <row r="121" spans="1:6" ht="14.45" customHeight="1">
      <c r="A121" s="34"/>
      <c r="B121" s="92"/>
      <c r="C121" s="71" t="s">
        <v>302</v>
      </c>
      <c r="D121" s="73">
        <v>218</v>
      </c>
      <c r="E121" s="72">
        <v>3.0000000000000001E-3</v>
      </c>
      <c r="F121" s="34"/>
    </row>
    <row r="122" spans="1:6" ht="14.45" customHeight="1">
      <c r="A122" s="34"/>
      <c r="B122" s="90" t="s">
        <v>90</v>
      </c>
      <c r="C122" s="57" t="s">
        <v>145</v>
      </c>
      <c r="D122" s="60">
        <v>3</v>
      </c>
      <c r="E122" s="59">
        <v>0</v>
      </c>
      <c r="F122" s="34"/>
    </row>
    <row r="123" spans="1:6" ht="14.45" customHeight="1">
      <c r="A123" s="34"/>
      <c r="B123" s="91"/>
      <c r="C123" s="57" t="s">
        <v>146</v>
      </c>
      <c r="D123" s="60">
        <v>49</v>
      </c>
      <c r="E123" s="59">
        <v>1E-3</v>
      </c>
      <c r="F123" s="34"/>
    </row>
    <row r="124" spans="1:6" ht="14.45" customHeight="1">
      <c r="A124" s="34"/>
      <c r="B124" s="92"/>
      <c r="C124" s="71" t="s">
        <v>302</v>
      </c>
      <c r="D124" s="73">
        <v>52</v>
      </c>
      <c r="E124" s="72">
        <v>1E-3</v>
      </c>
      <c r="F124" s="34"/>
    </row>
    <row r="125" spans="1:6" ht="14.45" customHeight="1">
      <c r="A125" s="34"/>
      <c r="B125" s="90" t="s">
        <v>51</v>
      </c>
      <c r="C125" s="57" t="s">
        <v>145</v>
      </c>
      <c r="D125" s="60">
        <v>783</v>
      </c>
      <c r="E125" s="59">
        <v>1.2E-2</v>
      </c>
      <c r="F125" s="34"/>
    </row>
    <row r="126" spans="1:6" ht="14.45" customHeight="1">
      <c r="A126" s="34"/>
      <c r="B126" s="91"/>
      <c r="C126" s="57" t="s">
        <v>146</v>
      </c>
      <c r="D126" s="58">
        <v>1691</v>
      </c>
      <c r="E126" s="59">
        <v>2.7E-2</v>
      </c>
      <c r="F126" s="34"/>
    </row>
    <row r="127" spans="1:6" ht="14.45" customHeight="1">
      <c r="A127" s="34"/>
      <c r="B127" s="92"/>
      <c r="C127" s="71" t="s">
        <v>302</v>
      </c>
      <c r="D127" s="73">
        <v>2474</v>
      </c>
      <c r="E127" s="72">
        <v>3.9E-2</v>
      </c>
      <c r="F127" s="34"/>
    </row>
    <row r="128" spans="1:6" ht="14.45" customHeight="1">
      <c r="A128" s="34"/>
      <c r="B128" s="90" t="s">
        <v>55</v>
      </c>
      <c r="C128" s="57" t="s">
        <v>145</v>
      </c>
      <c r="D128" s="60">
        <v>563</v>
      </c>
      <c r="E128" s="59">
        <v>8.9999999999999993E-3</v>
      </c>
      <c r="F128" s="34"/>
    </row>
    <row r="129" spans="1:6" ht="14.45" customHeight="1">
      <c r="A129" s="34"/>
      <c r="B129" s="91"/>
      <c r="C129" s="57" t="s">
        <v>146</v>
      </c>
      <c r="D129" s="60">
        <v>927</v>
      </c>
      <c r="E129" s="59">
        <v>1.4999999999999999E-2</v>
      </c>
      <c r="F129" s="34"/>
    </row>
    <row r="130" spans="1:6" ht="14.45" customHeight="1">
      <c r="A130" s="34"/>
      <c r="B130" s="92"/>
      <c r="C130" s="71" t="s">
        <v>302</v>
      </c>
      <c r="D130" s="73">
        <v>1490</v>
      </c>
      <c r="E130" s="72">
        <v>2.3E-2</v>
      </c>
      <c r="F130" s="34"/>
    </row>
    <row r="131" spans="1:6" ht="14.45" customHeight="1">
      <c r="A131" s="34"/>
      <c r="B131" s="90" t="s">
        <v>70</v>
      </c>
      <c r="C131" s="57" t="s">
        <v>145</v>
      </c>
      <c r="D131" s="60">
        <v>115</v>
      </c>
      <c r="E131" s="59">
        <v>2E-3</v>
      </c>
      <c r="F131" s="34"/>
    </row>
    <row r="132" spans="1:6" ht="14.45" customHeight="1">
      <c r="A132" s="34"/>
      <c r="B132" s="91"/>
      <c r="C132" s="57" t="s">
        <v>146</v>
      </c>
      <c r="D132" s="60">
        <v>459</v>
      </c>
      <c r="E132" s="59">
        <v>7.0000000000000001E-3</v>
      </c>
      <c r="F132" s="34"/>
    </row>
    <row r="133" spans="1:6" ht="14.45" customHeight="1">
      <c r="A133" s="34"/>
      <c r="B133" s="92"/>
      <c r="C133" s="71" t="s">
        <v>302</v>
      </c>
      <c r="D133" s="73">
        <v>574</v>
      </c>
      <c r="E133" s="72">
        <v>8.9999999999999993E-3</v>
      </c>
      <c r="F133" s="34"/>
    </row>
    <row r="134" spans="1:6" ht="14.45" customHeight="1">
      <c r="A134" s="34"/>
      <c r="B134" s="90" t="s">
        <v>79</v>
      </c>
      <c r="C134" s="57" t="s">
        <v>145</v>
      </c>
      <c r="D134" s="60">
        <v>182</v>
      </c>
      <c r="E134" s="59">
        <v>3.0000000000000001E-3</v>
      </c>
      <c r="F134" s="34"/>
    </row>
    <row r="135" spans="1:6" ht="14.45" customHeight="1">
      <c r="A135" s="34"/>
      <c r="B135" s="91"/>
      <c r="C135" s="57" t="s">
        <v>146</v>
      </c>
      <c r="D135" s="60">
        <v>257</v>
      </c>
      <c r="E135" s="59">
        <v>4.0000000000000001E-3</v>
      </c>
      <c r="F135" s="34"/>
    </row>
    <row r="136" spans="1:6" ht="14.45" customHeight="1">
      <c r="A136" s="34"/>
      <c r="B136" s="92"/>
      <c r="C136" s="71" t="s">
        <v>302</v>
      </c>
      <c r="D136" s="73">
        <v>439</v>
      </c>
      <c r="E136" s="72">
        <v>7.0000000000000001E-3</v>
      </c>
      <c r="F136" s="34"/>
    </row>
    <row r="137" spans="1:6" ht="14.45" customHeight="1">
      <c r="A137" s="34"/>
      <c r="B137" s="90" t="s">
        <v>56</v>
      </c>
      <c r="C137" s="57" t="s">
        <v>145</v>
      </c>
      <c r="D137" s="60">
        <v>605</v>
      </c>
      <c r="E137" s="59">
        <v>0.01</v>
      </c>
      <c r="F137" s="34"/>
    </row>
    <row r="138" spans="1:6" ht="14.45" customHeight="1">
      <c r="A138" s="34"/>
      <c r="B138" s="91"/>
      <c r="C138" s="57" t="s">
        <v>146</v>
      </c>
      <c r="D138" s="58">
        <v>1319</v>
      </c>
      <c r="E138" s="59">
        <v>2.1000000000000001E-2</v>
      </c>
      <c r="F138" s="34"/>
    </row>
    <row r="139" spans="1:6" ht="14.45" customHeight="1">
      <c r="A139" s="34"/>
      <c r="B139" s="92"/>
      <c r="C139" s="71" t="s">
        <v>302</v>
      </c>
      <c r="D139" s="73">
        <v>1924</v>
      </c>
      <c r="E139" s="72">
        <v>0.03</v>
      </c>
      <c r="F139" s="34"/>
    </row>
    <row r="140" spans="1:6" ht="14.45" customHeight="1">
      <c r="A140" s="34"/>
      <c r="B140" s="90" t="s">
        <v>62</v>
      </c>
      <c r="C140" s="57" t="s">
        <v>145</v>
      </c>
      <c r="D140" s="60">
        <v>573</v>
      </c>
      <c r="E140" s="59">
        <v>8.9999999999999993E-3</v>
      </c>
      <c r="F140" s="34"/>
    </row>
    <row r="141" spans="1:6" ht="14.45" customHeight="1">
      <c r="A141" s="34"/>
      <c r="B141" s="91"/>
      <c r="C141" s="57" t="s">
        <v>146</v>
      </c>
      <c r="D141" s="60">
        <v>620</v>
      </c>
      <c r="E141" s="59">
        <v>0.01</v>
      </c>
      <c r="F141" s="34"/>
    </row>
    <row r="142" spans="1:6" ht="14.45" customHeight="1">
      <c r="A142" s="34"/>
      <c r="B142" s="92"/>
      <c r="C142" s="71" t="s">
        <v>302</v>
      </c>
      <c r="D142" s="73">
        <v>1193</v>
      </c>
      <c r="E142" s="72">
        <v>1.9E-2</v>
      </c>
      <c r="F142" s="34"/>
    </row>
    <row r="143" spans="1:6" ht="14.45" customHeight="1">
      <c r="A143" s="34"/>
      <c r="B143" s="90" t="s">
        <v>76</v>
      </c>
      <c r="C143" s="57" t="s">
        <v>145</v>
      </c>
      <c r="D143" s="60">
        <v>193</v>
      </c>
      <c r="E143" s="59">
        <v>3.0000000000000001E-3</v>
      </c>
      <c r="F143" s="34"/>
    </row>
    <row r="144" spans="1:6" ht="14.45" customHeight="1">
      <c r="A144" s="34"/>
      <c r="B144" s="91"/>
      <c r="C144" s="57" t="s">
        <v>146</v>
      </c>
      <c r="D144" s="60">
        <v>255</v>
      </c>
      <c r="E144" s="59">
        <v>4.0000000000000001E-3</v>
      </c>
      <c r="F144" s="34"/>
    </row>
    <row r="145" spans="1:6" ht="14.45" customHeight="1">
      <c r="A145" s="34"/>
      <c r="B145" s="92"/>
      <c r="C145" s="71" t="s">
        <v>302</v>
      </c>
      <c r="D145" s="73">
        <v>448</v>
      </c>
      <c r="E145" s="72">
        <v>7.0000000000000001E-3</v>
      </c>
      <c r="F145" s="34"/>
    </row>
    <row r="146" spans="1:6" ht="14.45" customHeight="1">
      <c r="A146" s="34"/>
      <c r="B146" s="90" t="s">
        <v>71</v>
      </c>
      <c r="C146" s="57" t="s">
        <v>145</v>
      </c>
      <c r="D146" s="60">
        <v>260</v>
      </c>
      <c r="E146" s="59">
        <v>4.0000000000000001E-3</v>
      </c>
      <c r="F146" s="34"/>
    </row>
    <row r="147" spans="1:6" ht="14.45" customHeight="1">
      <c r="A147" s="34"/>
      <c r="B147" s="91"/>
      <c r="C147" s="57" t="s">
        <v>146</v>
      </c>
      <c r="D147" s="60">
        <v>422</v>
      </c>
      <c r="E147" s="59">
        <v>7.0000000000000001E-3</v>
      </c>
      <c r="F147" s="34"/>
    </row>
    <row r="148" spans="1:6" ht="14.45" customHeight="1">
      <c r="A148" s="34"/>
      <c r="B148" s="92"/>
      <c r="C148" s="71" t="s">
        <v>302</v>
      </c>
      <c r="D148" s="73">
        <v>682</v>
      </c>
      <c r="E148" s="72">
        <v>1.0999999999999999E-2</v>
      </c>
      <c r="F148" s="34"/>
    </row>
    <row r="149" spans="1:6" ht="14.45" customHeight="1">
      <c r="A149" s="34"/>
      <c r="B149" s="90" t="s">
        <v>58</v>
      </c>
      <c r="C149" s="57" t="s">
        <v>145</v>
      </c>
      <c r="D149" s="60">
        <v>550</v>
      </c>
      <c r="E149" s="59">
        <v>8.9999999999999993E-3</v>
      </c>
      <c r="F149" s="34"/>
    </row>
    <row r="150" spans="1:6" ht="14.45" customHeight="1">
      <c r="A150" s="34"/>
      <c r="B150" s="91"/>
      <c r="C150" s="57" t="s">
        <v>146</v>
      </c>
      <c r="D150" s="60">
        <v>827</v>
      </c>
      <c r="E150" s="59">
        <v>1.2999999999999999E-2</v>
      </c>
      <c r="F150" s="34"/>
    </row>
    <row r="151" spans="1:6" ht="14.45" customHeight="1">
      <c r="A151" s="34"/>
      <c r="B151" s="91"/>
      <c r="C151" s="57" t="s">
        <v>289</v>
      </c>
      <c r="D151" s="60">
        <v>1</v>
      </c>
      <c r="E151" s="59">
        <v>0</v>
      </c>
      <c r="F151" s="34"/>
    </row>
    <row r="152" spans="1:6" ht="14.45" customHeight="1">
      <c r="A152" s="34"/>
      <c r="B152" s="92"/>
      <c r="C152" s="71" t="s">
        <v>302</v>
      </c>
      <c r="D152" s="73">
        <v>1378</v>
      </c>
      <c r="E152" s="72">
        <v>2.1999999999999999E-2</v>
      </c>
      <c r="F152" s="34"/>
    </row>
    <row r="153" spans="1:6" ht="14.45" customHeight="1">
      <c r="A153" s="34"/>
      <c r="B153" s="90" t="s">
        <v>59</v>
      </c>
      <c r="C153" s="57" t="s">
        <v>145</v>
      </c>
      <c r="D153" s="60">
        <v>546</v>
      </c>
      <c r="E153" s="59">
        <v>8.9999999999999993E-3</v>
      </c>
      <c r="F153" s="34"/>
    </row>
    <row r="154" spans="1:6" ht="14.45" customHeight="1">
      <c r="A154" s="34"/>
      <c r="B154" s="91"/>
      <c r="C154" s="57" t="s">
        <v>146</v>
      </c>
      <c r="D154" s="60">
        <v>655</v>
      </c>
      <c r="E154" s="59">
        <v>0.01</v>
      </c>
      <c r="F154" s="34"/>
    </row>
    <row r="155" spans="1:6" ht="14.45" customHeight="1">
      <c r="A155" s="34"/>
      <c r="B155" s="92"/>
      <c r="C155" s="71" t="s">
        <v>302</v>
      </c>
      <c r="D155" s="73">
        <v>1201</v>
      </c>
      <c r="E155" s="72">
        <v>1.9E-2</v>
      </c>
      <c r="F155" s="34"/>
    </row>
    <row r="156" spans="1:6" ht="14.45" customHeight="1">
      <c r="A156" s="34"/>
      <c r="B156" s="90" t="s">
        <v>85</v>
      </c>
      <c r="C156" s="57" t="s">
        <v>145</v>
      </c>
      <c r="D156" s="60">
        <v>25</v>
      </c>
      <c r="E156" s="59">
        <v>0</v>
      </c>
      <c r="F156" s="34"/>
    </row>
    <row r="157" spans="1:6" ht="14.45" customHeight="1">
      <c r="A157" s="34"/>
      <c r="B157" s="91"/>
      <c r="C157" s="57" t="s">
        <v>146</v>
      </c>
      <c r="D157" s="60">
        <v>39</v>
      </c>
      <c r="E157" s="59">
        <v>1E-3</v>
      </c>
      <c r="F157" s="34"/>
    </row>
    <row r="158" spans="1:6" ht="14.45" customHeight="1">
      <c r="A158" s="34"/>
      <c r="B158" s="92"/>
      <c r="C158" s="71" t="s">
        <v>302</v>
      </c>
      <c r="D158" s="73">
        <v>64</v>
      </c>
      <c r="E158" s="72">
        <v>1E-3</v>
      </c>
      <c r="F158" s="34"/>
    </row>
    <row r="159" spans="1:6" ht="14.45" customHeight="1">
      <c r="A159" s="34"/>
      <c r="B159" s="90" t="s">
        <v>83</v>
      </c>
      <c r="C159" s="57" t="s">
        <v>145</v>
      </c>
      <c r="D159" s="60">
        <v>25</v>
      </c>
      <c r="E159" s="59">
        <v>0</v>
      </c>
      <c r="F159" s="34"/>
    </row>
    <row r="160" spans="1:6" ht="14.45" customHeight="1">
      <c r="A160" s="34"/>
      <c r="B160" s="91"/>
      <c r="C160" s="57" t="s">
        <v>146</v>
      </c>
      <c r="D160" s="60">
        <v>69</v>
      </c>
      <c r="E160" s="59">
        <v>1E-3</v>
      </c>
      <c r="F160" s="34"/>
    </row>
    <row r="161" spans="1:6" ht="14.45" customHeight="1">
      <c r="A161" s="34"/>
      <c r="B161" s="92"/>
      <c r="C161" s="71" t="s">
        <v>302</v>
      </c>
      <c r="D161" s="73">
        <v>94</v>
      </c>
      <c r="E161" s="72">
        <v>1E-3</v>
      </c>
      <c r="F161" s="34"/>
    </row>
    <row r="162" spans="1:6" ht="14.45" customHeight="1">
      <c r="A162" s="34"/>
      <c r="B162" s="90" t="s">
        <v>80</v>
      </c>
      <c r="C162" s="57" t="s">
        <v>145</v>
      </c>
      <c r="D162" s="60">
        <v>86</v>
      </c>
      <c r="E162" s="59">
        <v>1E-3</v>
      </c>
      <c r="F162" s="34"/>
    </row>
    <row r="163" spans="1:6" ht="14.45" customHeight="1">
      <c r="A163" s="34"/>
      <c r="B163" s="91"/>
      <c r="C163" s="57" t="s">
        <v>146</v>
      </c>
      <c r="D163" s="60">
        <v>187</v>
      </c>
      <c r="E163" s="59">
        <v>3.0000000000000001E-3</v>
      </c>
      <c r="F163" s="34"/>
    </row>
    <row r="164" spans="1:6" ht="14.45" customHeight="1">
      <c r="A164" s="35"/>
      <c r="B164" s="92"/>
      <c r="C164" s="71" t="s">
        <v>302</v>
      </c>
      <c r="D164" s="73">
        <v>273</v>
      </c>
      <c r="E164" s="72">
        <v>4.0000000000000001E-3</v>
      </c>
      <c r="F164" s="34"/>
    </row>
    <row r="165" spans="1:6" ht="14.45" customHeight="1">
      <c r="A165" s="36"/>
      <c r="B165" s="90" t="s">
        <v>92</v>
      </c>
      <c r="C165" s="57" t="s">
        <v>145</v>
      </c>
      <c r="D165" s="60">
        <v>10</v>
      </c>
      <c r="E165" s="59">
        <v>0</v>
      </c>
      <c r="F165" s="34"/>
    </row>
    <row r="166" spans="1:6" ht="14.45" customHeight="1">
      <c r="A166" s="37"/>
      <c r="B166" s="91"/>
      <c r="C166" s="57" t="s">
        <v>146</v>
      </c>
      <c r="D166" s="60">
        <v>13</v>
      </c>
      <c r="E166" s="59">
        <v>0</v>
      </c>
      <c r="F166" s="34"/>
    </row>
    <row r="167" spans="1:6" ht="14.45" customHeight="1">
      <c r="A167" s="35"/>
      <c r="B167" s="92"/>
      <c r="C167" s="71" t="s">
        <v>302</v>
      </c>
      <c r="D167" s="73">
        <v>23</v>
      </c>
      <c r="E167" s="72">
        <v>0</v>
      </c>
      <c r="F167" s="34"/>
    </row>
    <row r="168" spans="1:6" ht="14.45" customHeight="1">
      <c r="A168" s="35"/>
      <c r="B168" s="88" t="s">
        <v>308</v>
      </c>
      <c r="C168" s="89"/>
      <c r="D168" s="65">
        <v>63491</v>
      </c>
      <c r="E168" s="56">
        <v>1</v>
      </c>
      <c r="F168" s="34"/>
    </row>
    <row r="169" spans="1:6" ht="12.75">
      <c r="A169" s="34"/>
      <c r="B169" s="38"/>
      <c r="C169" s="38"/>
      <c r="D169" s="39"/>
      <c r="E169" s="38"/>
      <c r="F169" s="34"/>
    </row>
    <row r="170" spans="1:6" ht="12.75">
      <c r="A170" s="34"/>
      <c r="B170" s="35" t="s">
        <v>284</v>
      </c>
      <c r="C170" s="38"/>
      <c r="D170" s="39"/>
      <c r="E170" s="38"/>
      <c r="F170" s="34"/>
    </row>
    <row r="171" spans="1:6" ht="12.75">
      <c r="B171" s="36" t="s">
        <v>17</v>
      </c>
      <c r="C171" s="38"/>
      <c r="D171" s="39"/>
      <c r="E171" s="38"/>
      <c r="F171" s="34"/>
    </row>
    <row r="172" spans="1:6" ht="12.75">
      <c r="B172" s="37" t="s">
        <v>96</v>
      </c>
      <c r="C172" s="38"/>
      <c r="D172" s="39"/>
      <c r="E172" s="38"/>
      <c r="F172" s="34"/>
    </row>
    <row r="173" spans="1:6" ht="12.75">
      <c r="B173" s="35" t="s">
        <v>16</v>
      </c>
      <c r="C173" s="38"/>
      <c r="D173" s="39"/>
      <c r="E173" s="38"/>
      <c r="F173" s="34"/>
    </row>
    <row r="174" spans="1:6" ht="12.75">
      <c r="B174" s="35" t="s">
        <v>303</v>
      </c>
      <c r="C174" s="38"/>
      <c r="D174" s="39"/>
      <c r="E174" s="38"/>
      <c r="F174" s="34"/>
    </row>
    <row r="175" spans="1:6" ht="12.75">
      <c r="B175" s="39"/>
      <c r="C175" s="38"/>
      <c r="D175" s="39"/>
      <c r="E175" s="38"/>
      <c r="F175" s="34"/>
    </row>
  </sheetData>
  <mergeCells count="53">
    <mergeCell ref="B162:B164"/>
    <mergeCell ref="B165:B167"/>
    <mergeCell ref="B122:B124"/>
    <mergeCell ref="B125:B127"/>
    <mergeCell ref="B128:B130"/>
    <mergeCell ref="B131:B133"/>
    <mergeCell ref="B134:B136"/>
    <mergeCell ref="B137:B139"/>
    <mergeCell ref="B140:B142"/>
    <mergeCell ref="B143:B145"/>
    <mergeCell ref="B146:B148"/>
    <mergeCell ref="B149:B152"/>
    <mergeCell ref="B153:B155"/>
    <mergeCell ref="B156:B158"/>
    <mergeCell ref="B159:B161"/>
    <mergeCell ref="B68:B70"/>
    <mergeCell ref="B71:B73"/>
    <mergeCell ref="B95:B97"/>
    <mergeCell ref="B98:B100"/>
    <mergeCell ref="B101:B103"/>
    <mergeCell ref="B53:B55"/>
    <mergeCell ref="B56:B58"/>
    <mergeCell ref="B59:B61"/>
    <mergeCell ref="B62:B64"/>
    <mergeCell ref="B65:B67"/>
    <mergeCell ref="B38:B41"/>
    <mergeCell ref="B42:B44"/>
    <mergeCell ref="B45:B47"/>
    <mergeCell ref="B48:B50"/>
    <mergeCell ref="B51:B52"/>
    <mergeCell ref="B86:B88"/>
    <mergeCell ref="B110:B112"/>
    <mergeCell ref="B113:B115"/>
    <mergeCell ref="B116:B118"/>
    <mergeCell ref="B119:B121"/>
    <mergeCell ref="B104:B106"/>
    <mergeCell ref="B107:B109"/>
    <mergeCell ref="B168:C168"/>
    <mergeCell ref="B89:B91"/>
    <mergeCell ref="B92:B94"/>
    <mergeCell ref="B8:E10"/>
    <mergeCell ref="B13:B15"/>
    <mergeCell ref="B16:B18"/>
    <mergeCell ref="B19:B21"/>
    <mergeCell ref="B22:B24"/>
    <mergeCell ref="B25:B27"/>
    <mergeCell ref="B28:B30"/>
    <mergeCell ref="B31:B33"/>
    <mergeCell ref="B34:B37"/>
    <mergeCell ref="B74:B76"/>
    <mergeCell ref="B77:B79"/>
    <mergeCell ref="B80:B82"/>
    <mergeCell ref="B83:B85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F168"/>
  <sheetViews>
    <sheetView showGridLines="0" view="pageBreakPreview" topLeftCell="A142" zoomScale="130" zoomScaleNormal="100" zoomScaleSheetLayoutView="130" workbookViewId="0">
      <selection activeCell="E162" sqref="E162"/>
    </sheetView>
  </sheetViews>
  <sheetFormatPr baseColWidth="10" defaultColWidth="11.42578125" defaultRowHeight="11.25"/>
  <cols>
    <col min="1" max="1" width="5.7109375" style="16" customWidth="1"/>
    <col min="2" max="2" width="22" style="22" customWidth="1"/>
    <col min="3" max="3" width="22.42578125" style="22" customWidth="1"/>
    <col min="4" max="4" width="15.7109375" style="25" customWidth="1"/>
    <col min="5" max="5" width="15.7109375" style="22" customWidth="1"/>
    <col min="6" max="6" width="5.7109375" style="16" customWidth="1"/>
    <col min="7" max="7" width="11.42578125" style="16" customWidth="1"/>
    <col min="8" max="16384" width="11.42578125" style="16"/>
  </cols>
  <sheetData>
    <row r="1" spans="1:6" s="13" customFormat="1" ht="15">
      <c r="B1" s="22"/>
      <c r="C1" s="22"/>
    </row>
    <row r="2" spans="1:6" s="22" customFormat="1">
      <c r="B2" s="28"/>
    </row>
    <row r="3" spans="1:6" ht="15" customHeight="1">
      <c r="B3" s="29"/>
      <c r="C3" s="18"/>
      <c r="D3" s="16"/>
      <c r="F3" s="22"/>
    </row>
    <row r="4" spans="1:6" ht="30" customHeight="1">
      <c r="B4" s="29"/>
      <c r="C4" s="18"/>
      <c r="D4" s="16"/>
      <c r="F4" s="22"/>
    </row>
    <row r="5" spans="1:6" ht="15" customHeight="1">
      <c r="B5" s="29"/>
      <c r="C5" s="18"/>
      <c r="D5" s="16"/>
      <c r="F5" s="22"/>
    </row>
    <row r="6" spans="1:6" s="22" customFormat="1">
      <c r="B6" s="24"/>
      <c r="C6" s="21"/>
    </row>
    <row r="7" spans="1:6" s="22" customFormat="1" ht="12.75">
      <c r="A7" s="38"/>
      <c r="B7" s="47"/>
      <c r="C7" s="38"/>
      <c r="D7" s="38"/>
      <c r="E7" s="38"/>
      <c r="F7" s="38"/>
    </row>
    <row r="8" spans="1:6" s="13" customFormat="1" ht="15" customHeight="1">
      <c r="A8" s="31"/>
      <c r="B8" s="87" t="s">
        <v>40</v>
      </c>
      <c r="C8" s="87"/>
      <c r="D8" s="87"/>
      <c r="E8" s="87"/>
      <c r="F8" s="31"/>
    </row>
    <row r="9" spans="1:6" s="13" customFormat="1" ht="15" customHeight="1">
      <c r="A9" s="31"/>
      <c r="B9" s="87"/>
      <c r="C9" s="87"/>
      <c r="D9" s="87"/>
      <c r="E9" s="87"/>
      <c r="F9" s="32"/>
    </row>
    <row r="10" spans="1:6" s="13" customFormat="1" ht="15" customHeight="1">
      <c r="A10" s="31"/>
      <c r="B10" s="87"/>
      <c r="C10" s="87"/>
      <c r="D10" s="87"/>
      <c r="E10" s="87"/>
      <c r="F10" s="31"/>
    </row>
    <row r="11" spans="1:6" s="13" customFormat="1" ht="15" customHeight="1">
      <c r="A11" s="31"/>
      <c r="B11" s="33"/>
      <c r="C11" s="33"/>
      <c r="D11" s="33"/>
      <c r="E11" s="33"/>
      <c r="F11" s="31"/>
    </row>
    <row r="12" spans="1:6" s="13" customFormat="1" ht="36.950000000000003" customHeight="1">
      <c r="A12" s="31"/>
      <c r="B12" s="77" t="s">
        <v>24</v>
      </c>
      <c r="C12" s="77" t="s">
        <v>28</v>
      </c>
      <c r="D12" s="77" t="s">
        <v>19</v>
      </c>
      <c r="E12" s="77" t="s">
        <v>18</v>
      </c>
      <c r="F12" s="31"/>
    </row>
    <row r="13" spans="1:6" ht="14.45" customHeight="1">
      <c r="A13" s="34"/>
      <c r="B13" s="90" t="s">
        <v>97</v>
      </c>
      <c r="C13" s="57" t="s">
        <v>145</v>
      </c>
      <c r="D13" s="60">
        <v>98</v>
      </c>
      <c r="E13" s="59">
        <v>2E-3</v>
      </c>
      <c r="F13" s="34"/>
    </row>
    <row r="14" spans="1:6" ht="14.45" customHeight="1">
      <c r="A14" s="34"/>
      <c r="B14" s="91"/>
      <c r="C14" s="57" t="s">
        <v>146</v>
      </c>
      <c r="D14" s="60">
        <v>238</v>
      </c>
      <c r="E14" s="59">
        <v>4.0000000000000001E-3</v>
      </c>
      <c r="F14" s="34"/>
    </row>
    <row r="15" spans="1:6" ht="14.45" customHeight="1">
      <c r="A15" s="34"/>
      <c r="B15" s="92"/>
      <c r="C15" s="71" t="s">
        <v>302</v>
      </c>
      <c r="D15" s="73">
        <v>336</v>
      </c>
      <c r="E15" s="72">
        <v>5.0000000000000001E-3</v>
      </c>
      <c r="F15" s="34"/>
    </row>
    <row r="16" spans="1:6" ht="14.45" customHeight="1">
      <c r="A16" s="34"/>
      <c r="B16" s="90" t="s">
        <v>288</v>
      </c>
      <c r="C16" s="57" t="s">
        <v>146</v>
      </c>
      <c r="D16" s="60">
        <v>1</v>
      </c>
      <c r="E16" s="59">
        <v>0</v>
      </c>
      <c r="F16" s="34"/>
    </row>
    <row r="17" spans="1:6" ht="14.45" customHeight="1">
      <c r="A17" s="34"/>
      <c r="B17" s="92"/>
      <c r="C17" s="71" t="s">
        <v>302</v>
      </c>
      <c r="D17" s="73">
        <v>1</v>
      </c>
      <c r="E17" s="72">
        <v>0</v>
      </c>
      <c r="F17" s="34"/>
    </row>
    <row r="18" spans="1:6" ht="14.45" customHeight="1">
      <c r="A18" s="34"/>
      <c r="B18" s="90" t="s">
        <v>98</v>
      </c>
      <c r="C18" s="57" t="s">
        <v>145</v>
      </c>
      <c r="D18" s="60">
        <v>254</v>
      </c>
      <c r="E18" s="59">
        <v>4.0000000000000001E-3</v>
      </c>
      <c r="F18" s="34"/>
    </row>
    <row r="19" spans="1:6" ht="14.45" customHeight="1">
      <c r="A19" s="34"/>
      <c r="B19" s="91"/>
      <c r="C19" s="57" t="s">
        <v>146</v>
      </c>
      <c r="D19" s="60">
        <v>515</v>
      </c>
      <c r="E19" s="59">
        <v>8.0000000000000002E-3</v>
      </c>
      <c r="F19" s="34"/>
    </row>
    <row r="20" spans="1:6" ht="14.45" customHeight="1">
      <c r="A20" s="34"/>
      <c r="B20" s="92"/>
      <c r="C20" s="71" t="s">
        <v>302</v>
      </c>
      <c r="D20" s="73">
        <v>769</v>
      </c>
      <c r="E20" s="72">
        <v>1.2E-2</v>
      </c>
      <c r="F20" s="34"/>
    </row>
    <row r="21" spans="1:6" ht="14.45" customHeight="1">
      <c r="A21" s="34"/>
      <c r="B21" s="90" t="s">
        <v>99</v>
      </c>
      <c r="C21" s="57" t="s">
        <v>145</v>
      </c>
      <c r="D21" s="60">
        <v>550</v>
      </c>
      <c r="E21" s="59">
        <v>8.9999999999999993E-3</v>
      </c>
      <c r="F21" s="34"/>
    </row>
    <row r="22" spans="1:6" ht="14.45" customHeight="1">
      <c r="A22" s="34"/>
      <c r="B22" s="91"/>
      <c r="C22" s="57" t="s">
        <v>146</v>
      </c>
      <c r="D22" s="58">
        <v>1004</v>
      </c>
      <c r="E22" s="59">
        <v>1.6E-2</v>
      </c>
      <c r="F22" s="34"/>
    </row>
    <row r="23" spans="1:6" ht="14.45" customHeight="1">
      <c r="A23" s="34"/>
      <c r="B23" s="92"/>
      <c r="C23" s="71" t="s">
        <v>302</v>
      </c>
      <c r="D23" s="73">
        <v>1554</v>
      </c>
      <c r="E23" s="72">
        <v>2.4E-2</v>
      </c>
      <c r="F23" s="34"/>
    </row>
    <row r="24" spans="1:6" ht="14.45" customHeight="1">
      <c r="A24" s="34"/>
      <c r="B24" s="90" t="s">
        <v>100</v>
      </c>
      <c r="C24" s="57" t="s">
        <v>145</v>
      </c>
      <c r="D24" s="58">
        <v>5116</v>
      </c>
      <c r="E24" s="59">
        <v>8.1000000000000003E-2</v>
      </c>
      <c r="F24" s="34"/>
    </row>
    <row r="25" spans="1:6" ht="14.45" customHeight="1">
      <c r="A25" s="34"/>
      <c r="B25" s="91"/>
      <c r="C25" s="57" t="s">
        <v>146</v>
      </c>
      <c r="D25" s="58">
        <v>7085</v>
      </c>
      <c r="E25" s="59">
        <v>0.112</v>
      </c>
      <c r="F25" s="34"/>
    </row>
    <row r="26" spans="1:6" ht="14.45" customHeight="1">
      <c r="A26" s="34"/>
      <c r="B26" s="91"/>
      <c r="C26" s="57" t="s">
        <v>289</v>
      </c>
      <c r="D26" s="60">
        <v>1</v>
      </c>
      <c r="E26" s="59">
        <v>0</v>
      </c>
      <c r="F26" s="34"/>
    </row>
    <row r="27" spans="1:6" ht="14.45" customHeight="1">
      <c r="A27" s="34"/>
      <c r="B27" s="92"/>
      <c r="C27" s="71" t="s">
        <v>302</v>
      </c>
      <c r="D27" s="73">
        <v>12202</v>
      </c>
      <c r="E27" s="72">
        <v>0.192</v>
      </c>
      <c r="F27" s="34"/>
    </row>
    <row r="28" spans="1:6" ht="14.45" customHeight="1">
      <c r="A28" s="34"/>
      <c r="B28" s="90" t="s">
        <v>101</v>
      </c>
      <c r="C28" s="57" t="s">
        <v>145</v>
      </c>
      <c r="D28" s="60">
        <v>257</v>
      </c>
      <c r="E28" s="59">
        <v>4.0000000000000001E-3</v>
      </c>
      <c r="F28" s="34"/>
    </row>
    <row r="29" spans="1:6" ht="14.45" customHeight="1">
      <c r="A29" s="34"/>
      <c r="B29" s="91"/>
      <c r="C29" s="57" t="s">
        <v>146</v>
      </c>
      <c r="D29" s="60">
        <v>681</v>
      </c>
      <c r="E29" s="59">
        <v>1.0999999999999999E-2</v>
      </c>
      <c r="F29" s="34"/>
    </row>
    <row r="30" spans="1:6" ht="14.45" customHeight="1">
      <c r="A30" s="34"/>
      <c r="B30" s="92"/>
      <c r="C30" s="71" t="s">
        <v>302</v>
      </c>
      <c r="D30" s="73">
        <v>938</v>
      </c>
      <c r="E30" s="72">
        <v>1.4999999999999999E-2</v>
      </c>
      <c r="F30" s="34"/>
    </row>
    <row r="31" spans="1:6" ht="14.45" customHeight="1">
      <c r="A31" s="34"/>
      <c r="B31" s="90" t="s">
        <v>102</v>
      </c>
      <c r="C31" s="57" t="s">
        <v>145</v>
      </c>
      <c r="D31" s="60">
        <v>14</v>
      </c>
      <c r="E31" s="59">
        <v>0</v>
      </c>
      <c r="F31" s="34"/>
    </row>
    <row r="32" spans="1:6" ht="14.45" customHeight="1">
      <c r="A32" s="34"/>
      <c r="B32" s="91"/>
      <c r="C32" s="57" t="s">
        <v>146</v>
      </c>
      <c r="D32" s="60">
        <v>24</v>
      </c>
      <c r="E32" s="59">
        <v>0</v>
      </c>
      <c r="F32" s="34"/>
    </row>
    <row r="33" spans="1:6" ht="14.45" customHeight="1">
      <c r="A33" s="34"/>
      <c r="B33" s="92"/>
      <c r="C33" s="71" t="s">
        <v>302</v>
      </c>
      <c r="D33" s="73">
        <v>38</v>
      </c>
      <c r="E33" s="72">
        <v>1E-3</v>
      </c>
      <c r="F33" s="34"/>
    </row>
    <row r="34" spans="1:6" ht="14.45" customHeight="1">
      <c r="A34" s="34"/>
      <c r="B34" s="90" t="s">
        <v>103</v>
      </c>
      <c r="C34" s="57" t="s">
        <v>145</v>
      </c>
      <c r="D34" s="60">
        <v>27</v>
      </c>
      <c r="E34" s="59">
        <v>0</v>
      </c>
      <c r="F34" s="34"/>
    </row>
    <row r="35" spans="1:6" ht="14.45" customHeight="1">
      <c r="A35" s="34"/>
      <c r="B35" s="91"/>
      <c r="C35" s="57" t="s">
        <v>146</v>
      </c>
      <c r="D35" s="60">
        <v>53</v>
      </c>
      <c r="E35" s="59">
        <v>1E-3</v>
      </c>
      <c r="F35" s="34"/>
    </row>
    <row r="36" spans="1:6" ht="14.45" customHeight="1">
      <c r="A36" s="34"/>
      <c r="B36" s="92"/>
      <c r="C36" s="71" t="s">
        <v>302</v>
      </c>
      <c r="D36" s="73">
        <v>80</v>
      </c>
      <c r="E36" s="72">
        <v>1E-3</v>
      </c>
      <c r="F36" s="34"/>
    </row>
    <row r="37" spans="1:6" ht="14.45" customHeight="1">
      <c r="A37" s="34"/>
      <c r="B37" s="90" t="s">
        <v>290</v>
      </c>
      <c r="C37" s="57" t="s">
        <v>145</v>
      </c>
      <c r="D37" s="60">
        <v>2</v>
      </c>
      <c r="E37" s="59">
        <v>0</v>
      </c>
      <c r="F37" s="34"/>
    </row>
    <row r="38" spans="1:6" ht="14.45" customHeight="1">
      <c r="A38" s="34"/>
      <c r="B38" s="92"/>
      <c r="C38" s="71" t="s">
        <v>302</v>
      </c>
      <c r="D38" s="73">
        <v>2</v>
      </c>
      <c r="E38" s="72">
        <v>0</v>
      </c>
      <c r="F38" s="34"/>
    </row>
    <row r="39" spans="1:6" ht="14.45" customHeight="1">
      <c r="A39" s="34"/>
      <c r="B39" s="90" t="s">
        <v>104</v>
      </c>
      <c r="C39" s="57" t="s">
        <v>145</v>
      </c>
      <c r="D39" s="60">
        <v>519</v>
      </c>
      <c r="E39" s="59">
        <v>8.0000000000000002E-3</v>
      </c>
      <c r="F39" s="34"/>
    </row>
    <row r="40" spans="1:6" ht="14.45" customHeight="1">
      <c r="A40" s="34"/>
      <c r="B40" s="91"/>
      <c r="C40" s="57" t="s">
        <v>146</v>
      </c>
      <c r="D40" s="58">
        <v>1161</v>
      </c>
      <c r="E40" s="59">
        <v>1.7999999999999999E-2</v>
      </c>
      <c r="F40" s="34"/>
    </row>
    <row r="41" spans="1:6" ht="14.45" customHeight="1">
      <c r="A41" s="34"/>
      <c r="B41" s="92"/>
      <c r="C41" s="71" t="s">
        <v>302</v>
      </c>
      <c r="D41" s="73">
        <v>1680</v>
      </c>
      <c r="E41" s="72">
        <v>2.5999999999999999E-2</v>
      </c>
      <c r="F41" s="34"/>
    </row>
    <row r="42" spans="1:6" ht="14.45" customHeight="1">
      <c r="A42" s="34"/>
      <c r="B42" s="90" t="s">
        <v>105</v>
      </c>
      <c r="C42" s="57" t="s">
        <v>145</v>
      </c>
      <c r="D42" s="60">
        <v>646</v>
      </c>
      <c r="E42" s="59">
        <v>0.01</v>
      </c>
      <c r="F42" s="34"/>
    </row>
    <row r="43" spans="1:6" ht="14.45" customHeight="1">
      <c r="A43" s="34"/>
      <c r="B43" s="91"/>
      <c r="C43" s="57" t="s">
        <v>146</v>
      </c>
      <c r="D43" s="58">
        <v>1285</v>
      </c>
      <c r="E43" s="59">
        <v>0.02</v>
      </c>
      <c r="F43" s="34"/>
    </row>
    <row r="44" spans="1:6" ht="14.45" customHeight="1">
      <c r="A44" s="34"/>
      <c r="B44" s="92"/>
      <c r="C44" s="71" t="s">
        <v>302</v>
      </c>
      <c r="D44" s="73">
        <v>1931</v>
      </c>
      <c r="E44" s="72">
        <v>0.03</v>
      </c>
      <c r="F44" s="34"/>
    </row>
    <row r="45" spans="1:6" ht="14.45" customHeight="1">
      <c r="A45" s="34"/>
      <c r="B45" s="90" t="s">
        <v>106</v>
      </c>
      <c r="C45" s="57" t="s">
        <v>146</v>
      </c>
      <c r="D45" s="60">
        <v>3</v>
      </c>
      <c r="E45" s="59">
        <v>0</v>
      </c>
      <c r="F45" s="34"/>
    </row>
    <row r="46" spans="1:6" ht="14.45" customHeight="1">
      <c r="A46" s="34"/>
      <c r="B46" s="92"/>
      <c r="C46" s="71" t="s">
        <v>302</v>
      </c>
      <c r="D46" s="73">
        <v>3</v>
      </c>
      <c r="E46" s="72">
        <v>0</v>
      </c>
      <c r="F46" s="34"/>
    </row>
    <row r="47" spans="1:6" ht="14.45" customHeight="1">
      <c r="A47" s="34"/>
      <c r="B47" s="90" t="s">
        <v>107</v>
      </c>
      <c r="C47" s="57" t="s">
        <v>145</v>
      </c>
      <c r="D47" s="60">
        <v>179</v>
      </c>
      <c r="E47" s="59">
        <v>3.0000000000000001E-3</v>
      </c>
      <c r="F47" s="34"/>
    </row>
    <row r="48" spans="1:6" ht="14.45" customHeight="1">
      <c r="A48" s="34"/>
      <c r="B48" s="91"/>
      <c r="C48" s="57" t="s">
        <v>146</v>
      </c>
      <c r="D48" s="60">
        <v>306</v>
      </c>
      <c r="E48" s="59">
        <v>5.0000000000000001E-3</v>
      </c>
      <c r="F48" s="34"/>
    </row>
    <row r="49" spans="1:6" ht="14.45" customHeight="1">
      <c r="A49" s="34"/>
      <c r="B49" s="92"/>
      <c r="C49" s="71" t="s">
        <v>302</v>
      </c>
      <c r="D49" s="73">
        <v>485</v>
      </c>
      <c r="E49" s="72">
        <v>8.0000000000000002E-3</v>
      </c>
      <c r="F49" s="34"/>
    </row>
    <row r="50" spans="1:6" ht="14.45" customHeight="1">
      <c r="A50" s="34"/>
      <c r="B50" s="90" t="s">
        <v>108</v>
      </c>
      <c r="C50" s="57" t="s">
        <v>145</v>
      </c>
      <c r="D50" s="58">
        <v>2554</v>
      </c>
      <c r="E50" s="59">
        <v>0.04</v>
      </c>
      <c r="F50" s="34"/>
    </row>
    <row r="51" spans="1:6" ht="14.45" customHeight="1">
      <c r="A51" s="34"/>
      <c r="B51" s="91"/>
      <c r="C51" s="57" t="s">
        <v>146</v>
      </c>
      <c r="D51" s="58">
        <v>3673</v>
      </c>
      <c r="E51" s="59">
        <v>5.8000000000000003E-2</v>
      </c>
      <c r="F51" s="34"/>
    </row>
    <row r="52" spans="1:6" ht="14.45" customHeight="1">
      <c r="A52" s="34"/>
      <c r="B52" s="92"/>
      <c r="C52" s="71" t="s">
        <v>302</v>
      </c>
      <c r="D52" s="73">
        <v>6227</v>
      </c>
      <c r="E52" s="72">
        <v>9.8000000000000004E-2</v>
      </c>
      <c r="F52" s="34"/>
    </row>
    <row r="53" spans="1:6" ht="14.45" customHeight="1">
      <c r="A53" s="34"/>
      <c r="B53" s="90" t="s">
        <v>109</v>
      </c>
      <c r="C53" s="57" t="s">
        <v>145</v>
      </c>
      <c r="D53" s="60">
        <v>347</v>
      </c>
      <c r="E53" s="59">
        <v>5.0000000000000001E-3</v>
      </c>
      <c r="F53" s="34"/>
    </row>
    <row r="54" spans="1:6" ht="14.45" customHeight="1">
      <c r="A54" s="34"/>
      <c r="B54" s="91"/>
      <c r="C54" s="57" t="s">
        <v>146</v>
      </c>
      <c r="D54" s="60">
        <v>522</v>
      </c>
      <c r="E54" s="59">
        <v>8.0000000000000002E-3</v>
      </c>
      <c r="F54" s="34"/>
    </row>
    <row r="55" spans="1:6" ht="14.45" customHeight="1">
      <c r="A55" s="34"/>
      <c r="B55" s="92"/>
      <c r="C55" s="71" t="s">
        <v>302</v>
      </c>
      <c r="D55" s="73">
        <v>869</v>
      </c>
      <c r="E55" s="72">
        <v>1.4E-2</v>
      </c>
      <c r="F55" s="34"/>
    </row>
    <row r="56" spans="1:6" ht="14.45" customHeight="1">
      <c r="A56" s="34"/>
      <c r="B56" s="90" t="s">
        <v>110</v>
      </c>
      <c r="C56" s="57" t="s">
        <v>145</v>
      </c>
      <c r="D56" s="60">
        <v>58</v>
      </c>
      <c r="E56" s="59">
        <v>1E-3</v>
      </c>
      <c r="F56" s="34"/>
    </row>
    <row r="57" spans="1:6" ht="14.45" customHeight="1">
      <c r="A57" s="34"/>
      <c r="B57" s="91"/>
      <c r="C57" s="57" t="s">
        <v>146</v>
      </c>
      <c r="D57" s="60">
        <v>154</v>
      </c>
      <c r="E57" s="59">
        <v>2E-3</v>
      </c>
      <c r="F57" s="34"/>
    </row>
    <row r="58" spans="1:6" ht="14.45" customHeight="1">
      <c r="A58" s="34"/>
      <c r="B58" s="92"/>
      <c r="C58" s="71" t="s">
        <v>302</v>
      </c>
      <c r="D58" s="73">
        <v>212</v>
      </c>
      <c r="E58" s="72">
        <v>3.0000000000000001E-3</v>
      </c>
      <c r="F58" s="34"/>
    </row>
    <row r="59" spans="1:6" ht="14.45" customHeight="1">
      <c r="A59" s="34"/>
      <c r="B59" s="90" t="s">
        <v>111</v>
      </c>
      <c r="C59" s="57" t="s">
        <v>145</v>
      </c>
      <c r="D59" s="60">
        <v>127</v>
      </c>
      <c r="E59" s="59">
        <v>2E-3</v>
      </c>
      <c r="F59" s="34"/>
    </row>
    <row r="60" spans="1:6" ht="14.45" customHeight="1">
      <c r="A60" s="34"/>
      <c r="B60" s="91"/>
      <c r="C60" s="57" t="s">
        <v>146</v>
      </c>
      <c r="D60" s="60">
        <v>243</v>
      </c>
      <c r="E60" s="59">
        <v>4.0000000000000001E-3</v>
      </c>
      <c r="F60" s="34"/>
    </row>
    <row r="61" spans="1:6" ht="14.45" customHeight="1">
      <c r="A61" s="34"/>
      <c r="B61" s="92"/>
      <c r="C61" s="71" t="s">
        <v>302</v>
      </c>
      <c r="D61" s="73">
        <v>370</v>
      </c>
      <c r="E61" s="72">
        <v>6.0000000000000001E-3</v>
      </c>
      <c r="F61" s="34"/>
    </row>
    <row r="62" spans="1:6" ht="14.45" customHeight="1">
      <c r="A62" s="34"/>
      <c r="B62" s="90" t="s">
        <v>112</v>
      </c>
      <c r="C62" s="57" t="s">
        <v>145</v>
      </c>
      <c r="D62" s="60">
        <v>59</v>
      </c>
      <c r="E62" s="59">
        <v>1E-3</v>
      </c>
      <c r="F62" s="34"/>
    </row>
    <row r="63" spans="1:6" ht="14.45" customHeight="1">
      <c r="A63" s="34"/>
      <c r="B63" s="91"/>
      <c r="C63" s="57" t="s">
        <v>146</v>
      </c>
      <c r="D63" s="60">
        <v>155</v>
      </c>
      <c r="E63" s="59">
        <v>2E-3</v>
      </c>
      <c r="F63" s="34"/>
    </row>
    <row r="64" spans="1:6" ht="14.45" customHeight="1">
      <c r="A64" s="34"/>
      <c r="B64" s="92"/>
      <c r="C64" s="71" t="s">
        <v>302</v>
      </c>
      <c r="D64" s="73">
        <v>214</v>
      </c>
      <c r="E64" s="72">
        <v>3.0000000000000001E-3</v>
      </c>
      <c r="F64" s="34"/>
    </row>
    <row r="65" spans="1:6" ht="14.45" customHeight="1">
      <c r="A65" s="34"/>
      <c r="B65" s="90" t="s">
        <v>113</v>
      </c>
      <c r="C65" s="57" t="s">
        <v>145</v>
      </c>
      <c r="D65" s="60">
        <v>88</v>
      </c>
      <c r="E65" s="59">
        <v>1E-3</v>
      </c>
      <c r="F65" s="34"/>
    </row>
    <row r="66" spans="1:6" ht="14.45" customHeight="1">
      <c r="A66" s="34"/>
      <c r="B66" s="91"/>
      <c r="C66" s="57" t="s">
        <v>146</v>
      </c>
      <c r="D66" s="60">
        <v>268</v>
      </c>
      <c r="E66" s="59">
        <v>4.0000000000000001E-3</v>
      </c>
      <c r="F66" s="34"/>
    </row>
    <row r="67" spans="1:6" ht="14.45" customHeight="1">
      <c r="A67" s="34"/>
      <c r="B67" s="92"/>
      <c r="C67" s="71" t="s">
        <v>302</v>
      </c>
      <c r="D67" s="73">
        <v>356</v>
      </c>
      <c r="E67" s="72">
        <v>6.0000000000000001E-3</v>
      </c>
      <c r="F67" s="34"/>
    </row>
    <row r="68" spans="1:6" ht="14.45" customHeight="1">
      <c r="A68" s="34"/>
      <c r="B68" s="90" t="s">
        <v>114</v>
      </c>
      <c r="C68" s="57" t="s">
        <v>146</v>
      </c>
      <c r="D68" s="60">
        <v>1</v>
      </c>
      <c r="E68" s="59">
        <v>0</v>
      </c>
      <c r="F68" s="34"/>
    </row>
    <row r="69" spans="1:6" ht="14.45" customHeight="1">
      <c r="A69" s="34"/>
      <c r="B69" s="92"/>
      <c r="C69" s="71" t="s">
        <v>302</v>
      </c>
      <c r="D69" s="73">
        <v>1</v>
      </c>
      <c r="E69" s="72">
        <v>0</v>
      </c>
      <c r="F69" s="34"/>
    </row>
    <row r="70" spans="1:6" ht="14.45" customHeight="1">
      <c r="A70" s="34"/>
      <c r="B70" s="90" t="s">
        <v>115</v>
      </c>
      <c r="C70" s="57" t="s">
        <v>145</v>
      </c>
      <c r="D70" s="60">
        <v>15</v>
      </c>
      <c r="E70" s="59">
        <v>0</v>
      </c>
      <c r="F70" s="34"/>
    </row>
    <row r="71" spans="1:6" ht="14.45" customHeight="1">
      <c r="A71" s="34"/>
      <c r="B71" s="91"/>
      <c r="C71" s="57" t="s">
        <v>146</v>
      </c>
      <c r="D71" s="60">
        <v>46</v>
      </c>
      <c r="E71" s="59">
        <v>1E-3</v>
      </c>
      <c r="F71" s="34"/>
    </row>
    <row r="72" spans="1:6" ht="14.45" customHeight="1">
      <c r="A72" s="34"/>
      <c r="B72" s="92"/>
      <c r="C72" s="71" t="s">
        <v>302</v>
      </c>
      <c r="D72" s="73">
        <v>61</v>
      </c>
      <c r="E72" s="72">
        <v>1E-3</v>
      </c>
      <c r="F72" s="34"/>
    </row>
    <row r="73" spans="1:6" ht="14.45" customHeight="1">
      <c r="A73" s="34"/>
      <c r="B73" s="90" t="s">
        <v>116</v>
      </c>
      <c r="C73" s="57" t="s">
        <v>145</v>
      </c>
      <c r="D73" s="60">
        <v>1</v>
      </c>
      <c r="E73" s="59">
        <v>0</v>
      </c>
      <c r="F73" s="34"/>
    </row>
    <row r="74" spans="1:6" ht="14.45" customHeight="1">
      <c r="A74" s="34"/>
      <c r="B74" s="91"/>
      <c r="C74" s="57" t="s">
        <v>146</v>
      </c>
      <c r="D74" s="60">
        <v>9</v>
      </c>
      <c r="E74" s="59">
        <v>0</v>
      </c>
      <c r="F74" s="34"/>
    </row>
    <row r="75" spans="1:6" ht="14.45" customHeight="1">
      <c r="A75" s="34"/>
      <c r="B75" s="92"/>
      <c r="C75" s="71" t="s">
        <v>302</v>
      </c>
      <c r="D75" s="73">
        <v>10</v>
      </c>
      <c r="E75" s="72">
        <v>0</v>
      </c>
      <c r="F75" s="34"/>
    </row>
    <row r="76" spans="1:6" ht="14.45" customHeight="1">
      <c r="A76" s="34"/>
      <c r="B76" s="90" t="s">
        <v>117</v>
      </c>
      <c r="C76" s="57" t="s">
        <v>145</v>
      </c>
      <c r="D76" s="60">
        <v>342</v>
      </c>
      <c r="E76" s="59">
        <v>5.0000000000000001E-3</v>
      </c>
      <c r="F76" s="34"/>
    </row>
    <row r="77" spans="1:6" ht="14.45" customHeight="1">
      <c r="A77" s="34"/>
      <c r="B77" s="91"/>
      <c r="C77" s="57" t="s">
        <v>146</v>
      </c>
      <c r="D77" s="60">
        <v>477</v>
      </c>
      <c r="E77" s="59">
        <v>8.0000000000000002E-3</v>
      </c>
      <c r="F77" s="34"/>
    </row>
    <row r="78" spans="1:6" ht="14.45" customHeight="1">
      <c r="A78" s="34"/>
      <c r="B78" s="92"/>
      <c r="C78" s="71" t="s">
        <v>302</v>
      </c>
      <c r="D78" s="73">
        <v>819</v>
      </c>
      <c r="E78" s="72">
        <v>1.2999999999999999E-2</v>
      </c>
      <c r="F78" s="34"/>
    </row>
    <row r="79" spans="1:6" ht="14.45" customHeight="1">
      <c r="A79" s="34"/>
      <c r="B79" s="90" t="s">
        <v>118</v>
      </c>
      <c r="C79" s="57" t="s">
        <v>145</v>
      </c>
      <c r="D79" s="60">
        <v>98</v>
      </c>
      <c r="E79" s="59">
        <v>2E-3</v>
      </c>
      <c r="F79" s="34"/>
    </row>
    <row r="80" spans="1:6" ht="14.45" customHeight="1">
      <c r="A80" s="34"/>
      <c r="B80" s="91"/>
      <c r="C80" s="57" t="s">
        <v>146</v>
      </c>
      <c r="D80" s="60">
        <v>394</v>
      </c>
      <c r="E80" s="59">
        <v>6.0000000000000001E-3</v>
      </c>
      <c r="F80" s="34"/>
    </row>
    <row r="81" spans="1:6" ht="14.45" customHeight="1">
      <c r="A81" s="34"/>
      <c r="B81" s="92"/>
      <c r="C81" s="71" t="s">
        <v>302</v>
      </c>
      <c r="D81" s="73">
        <v>492</v>
      </c>
      <c r="E81" s="72">
        <v>8.0000000000000002E-3</v>
      </c>
      <c r="F81" s="34"/>
    </row>
    <row r="82" spans="1:6" ht="14.45" customHeight="1">
      <c r="A82" s="34"/>
      <c r="B82" s="90" t="s">
        <v>119</v>
      </c>
      <c r="C82" s="57" t="s">
        <v>145</v>
      </c>
      <c r="D82" s="60">
        <v>96</v>
      </c>
      <c r="E82" s="59">
        <v>2E-3</v>
      </c>
      <c r="F82" s="34"/>
    </row>
    <row r="83" spans="1:6" ht="14.45" customHeight="1">
      <c r="A83" s="34"/>
      <c r="B83" s="91"/>
      <c r="C83" s="57" t="s">
        <v>146</v>
      </c>
      <c r="D83" s="60">
        <v>174</v>
      </c>
      <c r="E83" s="59">
        <v>3.0000000000000001E-3</v>
      </c>
      <c r="F83" s="34"/>
    </row>
    <row r="84" spans="1:6" ht="14.45" customHeight="1">
      <c r="A84" s="34"/>
      <c r="B84" s="92"/>
      <c r="C84" s="71" t="s">
        <v>302</v>
      </c>
      <c r="D84" s="73">
        <v>270</v>
      </c>
      <c r="E84" s="72">
        <v>4.0000000000000001E-3</v>
      </c>
      <c r="F84" s="34"/>
    </row>
    <row r="85" spans="1:6" ht="14.45" customHeight="1">
      <c r="A85" s="34"/>
      <c r="B85" s="90" t="s">
        <v>120</v>
      </c>
      <c r="C85" s="57" t="s">
        <v>145</v>
      </c>
      <c r="D85" s="60">
        <v>108</v>
      </c>
      <c r="E85" s="59">
        <v>2E-3</v>
      </c>
      <c r="F85" s="34"/>
    </row>
    <row r="86" spans="1:6" ht="14.45" customHeight="1">
      <c r="A86" s="34"/>
      <c r="B86" s="91"/>
      <c r="C86" s="57" t="s">
        <v>146</v>
      </c>
      <c r="D86" s="60">
        <v>293</v>
      </c>
      <c r="E86" s="59">
        <v>5.0000000000000001E-3</v>
      </c>
      <c r="F86" s="34"/>
    </row>
    <row r="87" spans="1:6" ht="14.45" customHeight="1">
      <c r="A87" s="34"/>
      <c r="B87" s="92"/>
      <c r="C87" s="71" t="s">
        <v>302</v>
      </c>
      <c r="D87" s="73">
        <v>401</v>
      </c>
      <c r="E87" s="72">
        <v>6.0000000000000001E-3</v>
      </c>
      <c r="F87" s="34"/>
    </row>
    <row r="88" spans="1:6" ht="14.45" customHeight="1">
      <c r="A88" s="34"/>
      <c r="B88" s="90" t="s">
        <v>121</v>
      </c>
      <c r="C88" s="57" t="s">
        <v>145</v>
      </c>
      <c r="D88" s="60">
        <v>3</v>
      </c>
      <c r="E88" s="59">
        <v>0</v>
      </c>
      <c r="F88" s="34"/>
    </row>
    <row r="89" spans="1:6" ht="14.45" customHeight="1">
      <c r="A89" s="34"/>
      <c r="B89" s="91"/>
      <c r="C89" s="57" t="s">
        <v>146</v>
      </c>
      <c r="D89" s="60">
        <v>29</v>
      </c>
      <c r="E89" s="59">
        <v>0</v>
      </c>
      <c r="F89" s="34"/>
    </row>
    <row r="90" spans="1:6" ht="14.45" customHeight="1">
      <c r="A90" s="34"/>
      <c r="B90" s="92"/>
      <c r="C90" s="71" t="s">
        <v>302</v>
      </c>
      <c r="D90" s="73">
        <v>32</v>
      </c>
      <c r="E90" s="72">
        <v>1E-3</v>
      </c>
      <c r="F90" s="34"/>
    </row>
    <row r="91" spans="1:6" ht="14.45" customHeight="1">
      <c r="A91" s="34"/>
      <c r="B91" s="90" t="s">
        <v>122</v>
      </c>
      <c r="C91" s="57" t="s">
        <v>145</v>
      </c>
      <c r="D91" s="60">
        <v>126</v>
      </c>
      <c r="E91" s="59">
        <v>2E-3</v>
      </c>
      <c r="F91" s="34"/>
    </row>
    <row r="92" spans="1:6" ht="14.45" customHeight="1">
      <c r="A92" s="34"/>
      <c r="B92" s="91"/>
      <c r="C92" s="57" t="s">
        <v>146</v>
      </c>
      <c r="D92" s="60">
        <v>256</v>
      </c>
      <c r="E92" s="59">
        <v>4.0000000000000001E-3</v>
      </c>
      <c r="F92" s="34"/>
    </row>
    <row r="93" spans="1:6" ht="14.45" customHeight="1">
      <c r="A93" s="34"/>
      <c r="B93" s="92"/>
      <c r="C93" s="71" t="s">
        <v>302</v>
      </c>
      <c r="D93" s="73">
        <v>382</v>
      </c>
      <c r="E93" s="72">
        <v>6.0000000000000001E-3</v>
      </c>
      <c r="F93" s="34"/>
    </row>
    <row r="94" spans="1:6" ht="14.45" customHeight="1">
      <c r="A94" s="34"/>
      <c r="B94" s="90" t="s">
        <v>123</v>
      </c>
      <c r="C94" s="57" t="s">
        <v>145</v>
      </c>
      <c r="D94" s="60">
        <v>251</v>
      </c>
      <c r="E94" s="59">
        <v>4.0000000000000001E-3</v>
      </c>
      <c r="F94" s="34"/>
    </row>
    <row r="95" spans="1:6" ht="14.45" customHeight="1">
      <c r="A95" s="34"/>
      <c r="B95" s="91"/>
      <c r="C95" s="57" t="s">
        <v>146</v>
      </c>
      <c r="D95" s="60">
        <v>412</v>
      </c>
      <c r="E95" s="59">
        <v>6.0000000000000001E-3</v>
      </c>
      <c r="F95" s="34"/>
    </row>
    <row r="96" spans="1:6" ht="14.45" customHeight="1">
      <c r="A96" s="34"/>
      <c r="B96" s="92"/>
      <c r="C96" s="71" t="s">
        <v>302</v>
      </c>
      <c r="D96" s="73">
        <v>663</v>
      </c>
      <c r="E96" s="72">
        <v>0.01</v>
      </c>
      <c r="F96" s="34"/>
    </row>
    <row r="97" spans="1:6" ht="14.45" customHeight="1">
      <c r="A97" s="34"/>
      <c r="B97" s="90" t="s">
        <v>124</v>
      </c>
      <c r="C97" s="57" t="s">
        <v>146</v>
      </c>
      <c r="D97" s="60">
        <v>3</v>
      </c>
      <c r="E97" s="59">
        <v>0</v>
      </c>
      <c r="F97" s="34"/>
    </row>
    <row r="98" spans="1:6" ht="14.45" customHeight="1">
      <c r="A98" s="34"/>
      <c r="B98" s="92"/>
      <c r="C98" s="71" t="s">
        <v>302</v>
      </c>
      <c r="D98" s="73">
        <v>3</v>
      </c>
      <c r="E98" s="72">
        <v>0</v>
      </c>
      <c r="F98" s="34"/>
    </row>
    <row r="99" spans="1:6" ht="14.45" customHeight="1">
      <c r="A99" s="34"/>
      <c r="B99" s="90" t="s">
        <v>125</v>
      </c>
      <c r="C99" s="57" t="s">
        <v>145</v>
      </c>
      <c r="D99" s="60">
        <v>54</v>
      </c>
      <c r="E99" s="59">
        <v>1E-3</v>
      </c>
      <c r="F99" s="34"/>
    </row>
    <row r="100" spans="1:6" ht="14.45" customHeight="1">
      <c r="A100" s="34"/>
      <c r="B100" s="91"/>
      <c r="C100" s="57" t="s">
        <v>146</v>
      </c>
      <c r="D100" s="60">
        <v>83</v>
      </c>
      <c r="E100" s="59">
        <v>1E-3</v>
      </c>
      <c r="F100" s="34"/>
    </row>
    <row r="101" spans="1:6" ht="14.45" customHeight="1">
      <c r="A101" s="34"/>
      <c r="B101" s="92"/>
      <c r="C101" s="71" t="s">
        <v>302</v>
      </c>
      <c r="D101" s="73">
        <v>137</v>
      </c>
      <c r="E101" s="72">
        <v>2E-3</v>
      </c>
      <c r="F101" s="34"/>
    </row>
    <row r="102" spans="1:6" ht="14.45" customHeight="1">
      <c r="A102" s="34"/>
      <c r="B102" s="90" t="s">
        <v>126</v>
      </c>
      <c r="C102" s="57" t="s">
        <v>145</v>
      </c>
      <c r="D102" s="60">
        <v>34</v>
      </c>
      <c r="E102" s="59">
        <v>1E-3</v>
      </c>
      <c r="F102" s="34"/>
    </row>
    <row r="103" spans="1:6" ht="14.45" customHeight="1">
      <c r="A103" s="34"/>
      <c r="B103" s="91"/>
      <c r="C103" s="57" t="s">
        <v>146</v>
      </c>
      <c r="D103" s="60">
        <v>72</v>
      </c>
      <c r="E103" s="59">
        <v>1E-3</v>
      </c>
      <c r="F103" s="34"/>
    </row>
    <row r="104" spans="1:6" ht="14.45" customHeight="1">
      <c r="A104" s="34"/>
      <c r="B104" s="92"/>
      <c r="C104" s="71" t="s">
        <v>302</v>
      </c>
      <c r="D104" s="73">
        <v>106</v>
      </c>
      <c r="E104" s="72">
        <v>2E-3</v>
      </c>
      <c r="F104" s="34"/>
    </row>
    <row r="105" spans="1:6" ht="14.45" customHeight="1">
      <c r="A105" s="34"/>
      <c r="B105" s="90" t="s">
        <v>127</v>
      </c>
      <c r="C105" s="57" t="s">
        <v>145</v>
      </c>
      <c r="D105" s="60">
        <v>43</v>
      </c>
      <c r="E105" s="59">
        <v>1E-3</v>
      </c>
      <c r="F105" s="34"/>
    </row>
    <row r="106" spans="1:6" ht="14.45" customHeight="1">
      <c r="A106" s="34"/>
      <c r="B106" s="91"/>
      <c r="C106" s="57" t="s">
        <v>146</v>
      </c>
      <c r="D106" s="60">
        <v>78</v>
      </c>
      <c r="E106" s="59">
        <v>1E-3</v>
      </c>
      <c r="F106" s="34"/>
    </row>
    <row r="107" spans="1:6" ht="14.45" customHeight="1">
      <c r="A107" s="34"/>
      <c r="B107" s="92"/>
      <c r="C107" s="71" t="s">
        <v>302</v>
      </c>
      <c r="D107" s="73">
        <v>121</v>
      </c>
      <c r="E107" s="72">
        <v>2E-3</v>
      </c>
      <c r="F107" s="34"/>
    </row>
    <row r="108" spans="1:6" ht="14.45" customHeight="1">
      <c r="A108" s="34"/>
      <c r="B108" s="90" t="s">
        <v>128</v>
      </c>
      <c r="C108" s="57" t="s">
        <v>145</v>
      </c>
      <c r="D108" s="60">
        <v>539</v>
      </c>
      <c r="E108" s="59">
        <v>8.0000000000000002E-3</v>
      </c>
      <c r="F108" s="34"/>
    </row>
    <row r="109" spans="1:6" ht="14.45" customHeight="1">
      <c r="A109" s="34"/>
      <c r="B109" s="91"/>
      <c r="C109" s="57" t="s">
        <v>146</v>
      </c>
      <c r="D109" s="58">
        <v>1185</v>
      </c>
      <c r="E109" s="59">
        <v>1.9E-2</v>
      </c>
      <c r="F109" s="34"/>
    </row>
    <row r="110" spans="1:6" ht="14.45" customHeight="1">
      <c r="A110" s="34"/>
      <c r="B110" s="92"/>
      <c r="C110" s="71" t="s">
        <v>302</v>
      </c>
      <c r="D110" s="73">
        <v>1724</v>
      </c>
      <c r="E110" s="72">
        <v>2.7E-2</v>
      </c>
      <c r="F110" s="34"/>
    </row>
    <row r="111" spans="1:6" ht="14.45" customHeight="1">
      <c r="A111" s="34"/>
      <c r="B111" s="90" t="s">
        <v>129</v>
      </c>
      <c r="C111" s="57" t="s">
        <v>145</v>
      </c>
      <c r="D111" s="60">
        <v>8</v>
      </c>
      <c r="E111" s="59">
        <v>0</v>
      </c>
      <c r="F111" s="34"/>
    </row>
    <row r="112" spans="1:6" ht="14.45" customHeight="1">
      <c r="A112" s="34"/>
      <c r="B112" s="91"/>
      <c r="C112" s="57" t="s">
        <v>146</v>
      </c>
      <c r="D112" s="60">
        <v>19</v>
      </c>
      <c r="E112" s="59">
        <v>0</v>
      </c>
      <c r="F112" s="34"/>
    </row>
    <row r="113" spans="1:6" ht="14.45" customHeight="1">
      <c r="A113" s="34"/>
      <c r="B113" s="92"/>
      <c r="C113" s="71" t="s">
        <v>302</v>
      </c>
      <c r="D113" s="73">
        <v>27</v>
      </c>
      <c r="E113" s="72">
        <v>0</v>
      </c>
      <c r="F113" s="34"/>
    </row>
    <row r="114" spans="1:6" ht="14.45" customHeight="1">
      <c r="A114" s="34"/>
      <c r="B114" s="90" t="s">
        <v>130</v>
      </c>
      <c r="C114" s="57" t="s">
        <v>145</v>
      </c>
      <c r="D114" s="60">
        <v>282</v>
      </c>
      <c r="E114" s="59">
        <v>4.0000000000000001E-3</v>
      </c>
      <c r="F114" s="34"/>
    </row>
    <row r="115" spans="1:6" ht="14.45" customHeight="1">
      <c r="A115" s="34"/>
      <c r="B115" s="91"/>
      <c r="C115" s="57" t="s">
        <v>146</v>
      </c>
      <c r="D115" s="60">
        <v>579</v>
      </c>
      <c r="E115" s="59">
        <v>8.9999999999999993E-3</v>
      </c>
      <c r="F115" s="34"/>
    </row>
    <row r="116" spans="1:6" ht="14.45" customHeight="1">
      <c r="A116" s="34"/>
      <c r="B116" s="91"/>
      <c r="C116" s="57" t="s">
        <v>289</v>
      </c>
      <c r="D116" s="60">
        <v>1</v>
      </c>
      <c r="E116" s="59">
        <v>0</v>
      </c>
      <c r="F116" s="34"/>
    </row>
    <row r="117" spans="1:6" ht="14.45" customHeight="1">
      <c r="A117" s="34"/>
      <c r="B117" s="92"/>
      <c r="C117" s="71" t="s">
        <v>302</v>
      </c>
      <c r="D117" s="73">
        <v>862</v>
      </c>
      <c r="E117" s="72">
        <v>1.4E-2</v>
      </c>
      <c r="F117" s="34"/>
    </row>
    <row r="118" spans="1:6" ht="14.45" customHeight="1">
      <c r="A118" s="34"/>
      <c r="B118" s="90" t="s">
        <v>131</v>
      </c>
      <c r="C118" s="57" t="s">
        <v>145</v>
      </c>
      <c r="D118" s="60">
        <v>581</v>
      </c>
      <c r="E118" s="59">
        <v>8.9999999999999993E-3</v>
      </c>
      <c r="F118" s="34"/>
    </row>
    <row r="119" spans="1:6" ht="14.45" customHeight="1">
      <c r="A119" s="34"/>
      <c r="B119" s="91"/>
      <c r="C119" s="57" t="s">
        <v>146</v>
      </c>
      <c r="D119" s="58">
        <v>1246</v>
      </c>
      <c r="E119" s="59">
        <v>0.02</v>
      </c>
      <c r="F119" s="34"/>
    </row>
    <row r="120" spans="1:6" ht="14.45" customHeight="1">
      <c r="A120" s="34"/>
      <c r="B120" s="92"/>
      <c r="C120" s="71" t="s">
        <v>302</v>
      </c>
      <c r="D120" s="73">
        <v>1827</v>
      </c>
      <c r="E120" s="72">
        <v>2.9000000000000001E-2</v>
      </c>
      <c r="F120" s="34"/>
    </row>
    <row r="121" spans="1:6" ht="14.45" customHeight="1">
      <c r="A121" s="34"/>
      <c r="B121" s="90" t="s">
        <v>132</v>
      </c>
      <c r="C121" s="57" t="s">
        <v>145</v>
      </c>
      <c r="D121" s="60">
        <v>72</v>
      </c>
      <c r="E121" s="59">
        <v>1E-3</v>
      </c>
      <c r="F121" s="34"/>
    </row>
    <row r="122" spans="1:6" ht="14.45" customHeight="1">
      <c r="A122" s="34"/>
      <c r="B122" s="91"/>
      <c r="C122" s="57" t="s">
        <v>146</v>
      </c>
      <c r="D122" s="60">
        <v>122</v>
      </c>
      <c r="E122" s="59">
        <v>2E-3</v>
      </c>
      <c r="F122" s="34"/>
    </row>
    <row r="123" spans="1:6" ht="14.45" customHeight="1">
      <c r="A123" s="34"/>
      <c r="B123" s="92"/>
      <c r="C123" s="71" t="s">
        <v>302</v>
      </c>
      <c r="D123" s="73">
        <v>194</v>
      </c>
      <c r="E123" s="72">
        <v>3.0000000000000001E-3</v>
      </c>
      <c r="F123" s="34"/>
    </row>
    <row r="124" spans="1:6" ht="14.45" customHeight="1">
      <c r="A124" s="34"/>
      <c r="B124" s="90" t="s">
        <v>133</v>
      </c>
      <c r="C124" s="57" t="s">
        <v>145</v>
      </c>
      <c r="D124" s="60">
        <v>125</v>
      </c>
      <c r="E124" s="59">
        <v>2E-3</v>
      </c>
      <c r="F124" s="34"/>
    </row>
    <row r="125" spans="1:6" ht="14.45" customHeight="1">
      <c r="A125" s="34"/>
      <c r="B125" s="91"/>
      <c r="C125" s="57" t="s">
        <v>146</v>
      </c>
      <c r="D125" s="60">
        <v>260</v>
      </c>
      <c r="E125" s="59">
        <v>4.0000000000000001E-3</v>
      </c>
      <c r="F125" s="34"/>
    </row>
    <row r="126" spans="1:6" ht="14.45" customHeight="1">
      <c r="A126" s="34"/>
      <c r="B126" s="92"/>
      <c r="C126" s="71" t="s">
        <v>302</v>
      </c>
      <c r="D126" s="73">
        <v>385</v>
      </c>
      <c r="E126" s="72">
        <v>6.0000000000000001E-3</v>
      </c>
      <c r="F126" s="34"/>
    </row>
    <row r="127" spans="1:6" ht="14.45" customHeight="1">
      <c r="A127" s="34"/>
      <c r="B127" s="90" t="s">
        <v>134</v>
      </c>
      <c r="C127" s="57" t="s">
        <v>145</v>
      </c>
      <c r="D127" s="60">
        <v>1</v>
      </c>
      <c r="E127" s="59">
        <v>0</v>
      </c>
      <c r="F127" s="34"/>
    </row>
    <row r="128" spans="1:6" ht="14.45" customHeight="1">
      <c r="A128" s="34"/>
      <c r="B128" s="91"/>
      <c r="C128" s="57" t="s">
        <v>146</v>
      </c>
      <c r="D128" s="60">
        <v>4</v>
      </c>
      <c r="E128" s="59">
        <v>0</v>
      </c>
      <c r="F128" s="34"/>
    </row>
    <row r="129" spans="1:6" ht="14.45" customHeight="1">
      <c r="A129" s="34"/>
      <c r="B129" s="92"/>
      <c r="C129" s="71" t="s">
        <v>302</v>
      </c>
      <c r="D129" s="73">
        <v>5</v>
      </c>
      <c r="E129" s="72">
        <v>0</v>
      </c>
      <c r="F129" s="34"/>
    </row>
    <row r="130" spans="1:6" ht="14.45" customHeight="1">
      <c r="A130" s="34"/>
      <c r="B130" s="90" t="s">
        <v>135</v>
      </c>
      <c r="C130" s="57" t="s">
        <v>145</v>
      </c>
      <c r="D130" s="60">
        <v>163</v>
      </c>
      <c r="E130" s="59">
        <v>3.0000000000000001E-3</v>
      </c>
      <c r="F130" s="34"/>
    </row>
    <row r="131" spans="1:6" ht="14.45" customHeight="1">
      <c r="A131" s="34"/>
      <c r="B131" s="91"/>
      <c r="C131" s="57" t="s">
        <v>146</v>
      </c>
      <c r="D131" s="60">
        <v>317</v>
      </c>
      <c r="E131" s="59">
        <v>5.0000000000000001E-3</v>
      </c>
      <c r="F131" s="34"/>
    </row>
    <row r="132" spans="1:6" ht="14.45" customHeight="1">
      <c r="A132" s="34"/>
      <c r="B132" s="92"/>
      <c r="C132" s="71" t="s">
        <v>302</v>
      </c>
      <c r="D132" s="73">
        <v>480</v>
      </c>
      <c r="E132" s="72">
        <v>8.0000000000000002E-3</v>
      </c>
      <c r="F132" s="34"/>
    </row>
    <row r="133" spans="1:6" ht="14.45" customHeight="1">
      <c r="A133" s="34"/>
      <c r="B133" s="90" t="s">
        <v>136</v>
      </c>
      <c r="C133" s="57" t="s">
        <v>145</v>
      </c>
      <c r="D133" s="60">
        <v>7</v>
      </c>
      <c r="E133" s="59">
        <v>0</v>
      </c>
      <c r="F133" s="34"/>
    </row>
    <row r="134" spans="1:6" ht="14.45" customHeight="1">
      <c r="A134" s="34"/>
      <c r="B134" s="91"/>
      <c r="C134" s="57" t="s">
        <v>146</v>
      </c>
      <c r="D134" s="60">
        <v>20</v>
      </c>
      <c r="E134" s="59">
        <v>0</v>
      </c>
      <c r="F134" s="34"/>
    </row>
    <row r="135" spans="1:6" ht="14.45" customHeight="1">
      <c r="A135" s="34"/>
      <c r="B135" s="92"/>
      <c r="C135" s="71" t="s">
        <v>302</v>
      </c>
      <c r="D135" s="73">
        <v>27</v>
      </c>
      <c r="E135" s="72">
        <v>0</v>
      </c>
      <c r="F135" s="34"/>
    </row>
    <row r="136" spans="1:6" ht="14.45" customHeight="1">
      <c r="A136" s="34"/>
      <c r="B136" s="90" t="s">
        <v>137</v>
      </c>
      <c r="C136" s="57" t="s">
        <v>145</v>
      </c>
      <c r="D136" s="60">
        <v>347</v>
      </c>
      <c r="E136" s="59">
        <v>5.0000000000000001E-3</v>
      </c>
      <c r="F136" s="34"/>
    </row>
    <row r="137" spans="1:6" ht="14.45" customHeight="1">
      <c r="A137" s="34"/>
      <c r="B137" s="91"/>
      <c r="C137" s="57" t="s">
        <v>146</v>
      </c>
      <c r="D137" s="60">
        <v>905</v>
      </c>
      <c r="E137" s="59">
        <v>1.4E-2</v>
      </c>
      <c r="F137" s="34"/>
    </row>
    <row r="138" spans="1:6" ht="14.45" customHeight="1">
      <c r="A138" s="34"/>
      <c r="B138" s="92"/>
      <c r="C138" s="71" t="s">
        <v>302</v>
      </c>
      <c r="D138" s="73">
        <v>1252</v>
      </c>
      <c r="E138" s="72">
        <v>0.02</v>
      </c>
      <c r="F138" s="34"/>
    </row>
    <row r="139" spans="1:6" ht="14.45" customHeight="1">
      <c r="A139" s="34"/>
      <c r="B139" s="90" t="s">
        <v>138</v>
      </c>
      <c r="C139" s="57" t="s">
        <v>145</v>
      </c>
      <c r="D139" s="58">
        <v>7594</v>
      </c>
      <c r="E139" s="59">
        <v>0.12</v>
      </c>
      <c r="F139" s="34"/>
    </row>
    <row r="140" spans="1:6" ht="14.45" customHeight="1">
      <c r="A140" s="34"/>
      <c r="B140" s="91"/>
      <c r="C140" s="57" t="s">
        <v>146</v>
      </c>
      <c r="D140" s="58">
        <v>15608</v>
      </c>
      <c r="E140" s="59">
        <v>0.246</v>
      </c>
      <c r="F140" s="34"/>
    </row>
    <row r="141" spans="1:6" ht="14.45" customHeight="1">
      <c r="A141" s="34"/>
      <c r="B141" s="91"/>
      <c r="C141" s="57" t="s">
        <v>289</v>
      </c>
      <c r="D141" s="60">
        <v>1</v>
      </c>
      <c r="E141" s="59">
        <v>0</v>
      </c>
      <c r="F141" s="34"/>
    </row>
    <row r="142" spans="1:6" ht="14.45" customHeight="1">
      <c r="A142" s="34"/>
      <c r="B142" s="92"/>
      <c r="C142" s="71" t="s">
        <v>302</v>
      </c>
      <c r="D142" s="73">
        <v>23203</v>
      </c>
      <c r="E142" s="72">
        <v>0.36499999999999999</v>
      </c>
      <c r="F142" s="34"/>
    </row>
    <row r="143" spans="1:6" ht="14.45" customHeight="1">
      <c r="A143" s="34"/>
      <c r="B143" s="90" t="s">
        <v>139</v>
      </c>
      <c r="C143" s="57" t="s">
        <v>145</v>
      </c>
      <c r="D143" s="60">
        <v>181</v>
      </c>
      <c r="E143" s="59">
        <v>3.0000000000000001E-3</v>
      </c>
      <c r="F143" s="34"/>
    </row>
    <row r="144" spans="1:6" ht="14.45" customHeight="1">
      <c r="A144" s="34"/>
      <c r="B144" s="91"/>
      <c r="C144" s="57" t="s">
        <v>146</v>
      </c>
      <c r="D144" s="60">
        <v>260</v>
      </c>
      <c r="E144" s="59">
        <v>4.0000000000000001E-3</v>
      </c>
      <c r="F144" s="34"/>
    </row>
    <row r="145" spans="1:6" ht="14.45" customHeight="1">
      <c r="A145" s="34"/>
      <c r="B145" s="92"/>
      <c r="C145" s="71" t="s">
        <v>302</v>
      </c>
      <c r="D145" s="73">
        <v>441</v>
      </c>
      <c r="E145" s="72">
        <v>7.0000000000000001E-3</v>
      </c>
      <c r="F145" s="34"/>
    </row>
    <row r="146" spans="1:6" ht="14.45" customHeight="1">
      <c r="A146" s="34"/>
      <c r="B146" s="90" t="s">
        <v>140</v>
      </c>
      <c r="C146" s="57" t="s">
        <v>146</v>
      </c>
      <c r="D146" s="60">
        <v>3</v>
      </c>
      <c r="E146" s="59">
        <v>0</v>
      </c>
      <c r="F146" s="34"/>
    </row>
    <row r="147" spans="1:6" ht="14.45" customHeight="1">
      <c r="A147" s="34"/>
      <c r="B147" s="92"/>
      <c r="C147" s="71" t="s">
        <v>302</v>
      </c>
      <c r="D147" s="73">
        <v>3</v>
      </c>
      <c r="E147" s="72">
        <v>0</v>
      </c>
      <c r="F147" s="34"/>
    </row>
    <row r="148" spans="1:6" ht="14.45" customHeight="1">
      <c r="A148" s="34"/>
      <c r="B148" s="90" t="s">
        <v>141</v>
      </c>
      <c r="C148" s="57" t="s">
        <v>145</v>
      </c>
      <c r="D148" s="60">
        <v>78</v>
      </c>
      <c r="E148" s="59">
        <v>1E-3</v>
      </c>
      <c r="F148" s="34"/>
    </row>
    <row r="149" spans="1:6" ht="14.45" customHeight="1">
      <c r="A149" s="34"/>
      <c r="B149" s="91"/>
      <c r="C149" s="57" t="s">
        <v>146</v>
      </c>
      <c r="D149" s="60">
        <v>173</v>
      </c>
      <c r="E149" s="59">
        <v>3.0000000000000001E-3</v>
      </c>
      <c r="F149" s="34"/>
    </row>
    <row r="150" spans="1:6" ht="14.45" customHeight="1">
      <c r="A150" s="34"/>
      <c r="B150" s="92"/>
      <c r="C150" s="71" t="s">
        <v>302</v>
      </c>
      <c r="D150" s="73">
        <v>251</v>
      </c>
      <c r="E150" s="72">
        <v>4.0000000000000001E-3</v>
      </c>
      <c r="F150" s="34"/>
    </row>
    <row r="151" spans="1:6" ht="14.45" customHeight="1">
      <c r="A151" s="34"/>
      <c r="B151" s="90" t="s">
        <v>80</v>
      </c>
      <c r="C151" s="57" t="s">
        <v>145</v>
      </c>
      <c r="D151" s="60">
        <v>41</v>
      </c>
      <c r="E151" s="59">
        <v>1E-3</v>
      </c>
      <c r="F151" s="34"/>
    </row>
    <row r="152" spans="1:6" ht="14.45" customHeight="1">
      <c r="A152" s="34"/>
      <c r="B152" s="91"/>
      <c r="C152" s="57" t="s">
        <v>146</v>
      </c>
      <c r="D152" s="60">
        <v>84</v>
      </c>
      <c r="E152" s="59">
        <v>1E-3</v>
      </c>
      <c r="F152" s="34"/>
    </row>
    <row r="153" spans="1:6" ht="14.45" customHeight="1">
      <c r="A153" s="34"/>
      <c r="B153" s="92"/>
      <c r="C153" s="71" t="s">
        <v>302</v>
      </c>
      <c r="D153" s="73">
        <v>125</v>
      </c>
      <c r="E153" s="72">
        <v>2E-3</v>
      </c>
      <c r="F153" s="34"/>
    </row>
    <row r="154" spans="1:6" ht="14.45" customHeight="1">
      <c r="A154" s="34"/>
      <c r="B154" s="90" t="s">
        <v>142</v>
      </c>
      <c r="C154" s="57" t="s">
        <v>146</v>
      </c>
      <c r="D154" s="60">
        <v>11</v>
      </c>
      <c r="E154" s="59">
        <v>0</v>
      </c>
      <c r="F154" s="34"/>
    </row>
    <row r="155" spans="1:6" ht="14.45" customHeight="1">
      <c r="A155" s="34"/>
      <c r="B155" s="92"/>
      <c r="C155" s="71" t="s">
        <v>302</v>
      </c>
      <c r="D155" s="73">
        <v>11</v>
      </c>
      <c r="E155" s="72">
        <v>0</v>
      </c>
      <c r="F155" s="34"/>
    </row>
    <row r="156" spans="1:6" ht="14.45" customHeight="1">
      <c r="A156" s="34"/>
      <c r="B156" s="90" t="s">
        <v>143</v>
      </c>
      <c r="C156" s="57" t="s">
        <v>145</v>
      </c>
      <c r="D156" s="60">
        <v>331</v>
      </c>
      <c r="E156" s="59">
        <v>5.0000000000000001E-3</v>
      </c>
      <c r="F156" s="34"/>
    </row>
    <row r="157" spans="1:6" ht="14.45" customHeight="1">
      <c r="A157" s="34"/>
      <c r="B157" s="91"/>
      <c r="C157" s="57" t="s">
        <v>146</v>
      </c>
      <c r="D157" s="60">
        <v>545</v>
      </c>
      <c r="E157" s="59">
        <v>8.9999999999999993E-3</v>
      </c>
      <c r="F157" s="34"/>
    </row>
    <row r="158" spans="1:6" ht="14.45" customHeight="1">
      <c r="A158" s="34"/>
      <c r="B158" s="92"/>
      <c r="C158" s="71" t="s">
        <v>302</v>
      </c>
      <c r="D158" s="73">
        <v>876</v>
      </c>
      <c r="E158" s="72">
        <v>1.4E-2</v>
      </c>
      <c r="F158" s="34"/>
    </row>
    <row r="159" spans="1:6" ht="14.45" customHeight="1">
      <c r="A159" s="34"/>
      <c r="B159" s="90" t="s">
        <v>144</v>
      </c>
      <c r="C159" s="57" t="s">
        <v>145</v>
      </c>
      <c r="D159" s="60">
        <v>10</v>
      </c>
      <c r="E159" s="59">
        <v>0</v>
      </c>
      <c r="F159" s="34"/>
    </row>
    <row r="160" spans="1:6" ht="14.45" customHeight="1">
      <c r="A160" s="34"/>
      <c r="B160" s="91"/>
      <c r="C160" s="57" t="s">
        <v>146</v>
      </c>
      <c r="D160" s="60">
        <v>23</v>
      </c>
      <c r="E160" s="59">
        <v>0</v>
      </c>
      <c r="F160" s="34"/>
    </row>
    <row r="161" spans="1:6" ht="14.45" customHeight="1">
      <c r="A161" s="34"/>
      <c r="B161" s="92"/>
      <c r="C161" s="71" t="s">
        <v>302</v>
      </c>
      <c r="D161" s="73">
        <v>33</v>
      </c>
      <c r="E161" s="72">
        <v>1E-3</v>
      </c>
      <c r="F161" s="34"/>
    </row>
    <row r="162" spans="1:6" ht="14.45" customHeight="1">
      <c r="A162" s="34"/>
      <c r="B162" s="88" t="s">
        <v>302</v>
      </c>
      <c r="C162" s="89"/>
      <c r="D162" s="65">
        <v>63491</v>
      </c>
      <c r="E162" s="56">
        <v>1</v>
      </c>
      <c r="F162" s="34"/>
    </row>
    <row r="163" spans="1:6" ht="12.75">
      <c r="A163" s="34"/>
      <c r="B163" s="38"/>
      <c r="C163" s="38"/>
      <c r="D163" s="39"/>
      <c r="E163" s="38"/>
      <c r="F163" s="34"/>
    </row>
    <row r="164" spans="1:6" ht="12.75">
      <c r="B164" s="35" t="s">
        <v>284</v>
      </c>
      <c r="C164" s="38"/>
      <c r="D164" s="39"/>
      <c r="E164" s="38"/>
      <c r="F164" s="34"/>
    </row>
    <row r="165" spans="1:6" ht="12.75">
      <c r="B165" s="36" t="s">
        <v>17</v>
      </c>
      <c r="C165" s="38"/>
      <c r="D165" s="39"/>
      <c r="E165" s="38"/>
      <c r="F165" s="34"/>
    </row>
    <row r="166" spans="1:6" ht="12.75">
      <c r="B166" s="37" t="s">
        <v>96</v>
      </c>
      <c r="C166" s="38"/>
      <c r="D166" s="39"/>
      <c r="E166" s="38"/>
      <c r="F166" s="34"/>
    </row>
    <row r="167" spans="1:6" ht="12.75">
      <c r="B167" s="35" t="s">
        <v>16</v>
      </c>
      <c r="C167" s="38"/>
      <c r="D167" s="39"/>
      <c r="E167" s="38"/>
      <c r="F167" s="34"/>
    </row>
    <row r="168" spans="1:6" ht="12.75">
      <c r="B168" s="35" t="s">
        <v>303</v>
      </c>
      <c r="C168" s="38"/>
      <c r="D168" s="39"/>
      <c r="E168" s="38"/>
      <c r="F168" s="34"/>
    </row>
  </sheetData>
  <mergeCells count="53">
    <mergeCell ref="B156:B158"/>
    <mergeCell ref="B159:B161"/>
    <mergeCell ref="B139:B142"/>
    <mergeCell ref="B143:B145"/>
    <mergeCell ref="B146:B147"/>
    <mergeCell ref="B148:B150"/>
    <mergeCell ref="B151:B153"/>
    <mergeCell ref="B127:B129"/>
    <mergeCell ref="B130:B132"/>
    <mergeCell ref="B133:B135"/>
    <mergeCell ref="B136:B138"/>
    <mergeCell ref="B154:B155"/>
    <mergeCell ref="B111:B113"/>
    <mergeCell ref="B114:B117"/>
    <mergeCell ref="B118:B120"/>
    <mergeCell ref="B121:B123"/>
    <mergeCell ref="B124:B126"/>
    <mergeCell ref="B97:B98"/>
    <mergeCell ref="B99:B101"/>
    <mergeCell ref="B102:B104"/>
    <mergeCell ref="B105:B107"/>
    <mergeCell ref="B108:B110"/>
    <mergeCell ref="B82:B84"/>
    <mergeCell ref="B85:B87"/>
    <mergeCell ref="B88:B90"/>
    <mergeCell ref="B91:B93"/>
    <mergeCell ref="B94:B96"/>
    <mergeCell ref="B68:B69"/>
    <mergeCell ref="B70:B72"/>
    <mergeCell ref="B73:B75"/>
    <mergeCell ref="B76:B78"/>
    <mergeCell ref="B79:B81"/>
    <mergeCell ref="B53:B55"/>
    <mergeCell ref="B56:B58"/>
    <mergeCell ref="B59:B61"/>
    <mergeCell ref="B62:B64"/>
    <mergeCell ref="B65:B67"/>
    <mergeCell ref="B8:E10"/>
    <mergeCell ref="B13:B15"/>
    <mergeCell ref="B16:B17"/>
    <mergeCell ref="B18:B20"/>
    <mergeCell ref="B162:C162"/>
    <mergeCell ref="B21:B23"/>
    <mergeCell ref="B24:B27"/>
    <mergeCell ref="B28:B30"/>
    <mergeCell ref="B31:B33"/>
    <mergeCell ref="B34:B36"/>
    <mergeCell ref="B37:B38"/>
    <mergeCell ref="B39:B41"/>
    <mergeCell ref="B42:B44"/>
    <mergeCell ref="B45:B46"/>
    <mergeCell ref="B47:B49"/>
    <mergeCell ref="B50:B52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G41"/>
  <sheetViews>
    <sheetView showGridLines="0" view="pageBreakPreview" zoomScaleNormal="100" zoomScaleSheetLayoutView="100" workbookViewId="0">
      <selection activeCell="C36" sqref="C36"/>
    </sheetView>
  </sheetViews>
  <sheetFormatPr baseColWidth="10" defaultColWidth="11.42578125" defaultRowHeight="11.25"/>
  <cols>
    <col min="1" max="1" width="5.7109375" style="16" customWidth="1"/>
    <col min="2" max="2" width="19" style="22" customWidth="1"/>
    <col min="3" max="3" width="33.140625" style="22" customWidth="1"/>
    <col min="4" max="4" width="17.140625" style="25" customWidth="1"/>
    <col min="5" max="5" width="16.5703125" style="25" customWidth="1"/>
    <col min="6" max="6" width="16.42578125" style="22" customWidth="1"/>
    <col min="7" max="7" width="5.7109375" style="16" hidden="1" customWidth="1"/>
    <col min="8" max="16384" width="11.42578125" style="16"/>
  </cols>
  <sheetData>
    <row r="1" spans="1:7" s="13" customFormat="1" ht="15">
      <c r="B1" s="22"/>
      <c r="C1" s="22"/>
    </row>
    <row r="2" spans="1:7" s="22" customFormat="1">
      <c r="B2" s="28"/>
    </row>
    <row r="3" spans="1:7" ht="15" customHeight="1">
      <c r="B3" s="29"/>
      <c r="C3" s="18"/>
      <c r="D3" s="16"/>
      <c r="E3" s="16"/>
      <c r="G3" s="22"/>
    </row>
    <row r="4" spans="1:7" ht="30" customHeight="1">
      <c r="B4" s="29"/>
      <c r="C4" s="18"/>
      <c r="D4" s="16"/>
      <c r="E4" s="16"/>
      <c r="G4" s="22"/>
    </row>
    <row r="5" spans="1:7" ht="15" customHeight="1">
      <c r="B5" s="29"/>
      <c r="C5" s="18"/>
      <c r="D5" s="16"/>
      <c r="E5" s="16"/>
      <c r="G5" s="22"/>
    </row>
    <row r="6" spans="1:7" s="22" customFormat="1">
      <c r="B6" s="24"/>
      <c r="C6" s="21"/>
    </row>
    <row r="7" spans="1:7" s="22" customFormat="1">
      <c r="B7" s="28"/>
    </row>
    <row r="8" spans="1:7" s="13" customFormat="1" ht="15" customHeight="1">
      <c r="A8" s="31"/>
      <c r="B8" s="87" t="s">
        <v>32</v>
      </c>
      <c r="C8" s="87"/>
      <c r="D8" s="87"/>
      <c r="E8" s="87"/>
      <c r="F8" s="87"/>
    </row>
    <row r="9" spans="1:7" s="13" customFormat="1" ht="15" customHeight="1">
      <c r="A9" s="31"/>
      <c r="B9" s="87"/>
      <c r="C9" s="87"/>
      <c r="D9" s="87"/>
      <c r="E9" s="87"/>
      <c r="F9" s="87"/>
      <c r="G9" s="27"/>
    </row>
    <row r="10" spans="1:7" s="13" customFormat="1" ht="15" customHeight="1">
      <c r="A10" s="31"/>
      <c r="B10" s="87"/>
      <c r="C10" s="87"/>
      <c r="D10" s="87"/>
      <c r="E10" s="87"/>
      <c r="F10" s="87"/>
    </row>
    <row r="11" spans="1:7" s="13" customFormat="1" ht="15" customHeight="1">
      <c r="A11" s="31"/>
      <c r="B11" s="33"/>
      <c r="C11" s="33"/>
      <c r="D11" s="33"/>
      <c r="E11" s="33"/>
      <c r="F11" s="33"/>
    </row>
    <row r="12" spans="1:7" s="13" customFormat="1" ht="36.950000000000003" customHeight="1">
      <c r="A12" s="31"/>
      <c r="B12" s="77" t="s">
        <v>28</v>
      </c>
      <c r="C12" s="77" t="s">
        <v>31</v>
      </c>
      <c r="D12" s="77" t="s">
        <v>19</v>
      </c>
      <c r="E12" s="77" t="s">
        <v>30</v>
      </c>
      <c r="F12" s="77" t="s">
        <v>29</v>
      </c>
    </row>
    <row r="13" spans="1:7" ht="14.45" customHeight="1">
      <c r="A13" s="34"/>
      <c r="B13" s="96" t="s">
        <v>294</v>
      </c>
      <c r="C13" s="61" t="s">
        <v>293</v>
      </c>
      <c r="D13" s="62">
        <v>50</v>
      </c>
      <c r="E13" s="63">
        <f>D13/$D$21</f>
        <v>2.2295549808258272E-3</v>
      </c>
      <c r="F13" s="63">
        <f>D13/$D$34</f>
        <v>7.8751319084594668E-4</v>
      </c>
    </row>
    <row r="14" spans="1:7" ht="14.45" customHeight="1">
      <c r="A14" s="34"/>
      <c r="B14" s="97"/>
      <c r="C14" s="61" t="s">
        <v>217</v>
      </c>
      <c r="D14" s="62">
        <v>130</v>
      </c>
      <c r="E14" s="63">
        <f t="shared" ref="E14:E20" si="0">D14/$D$21</f>
        <v>5.796842950147151E-3</v>
      </c>
      <c r="F14" s="63">
        <f t="shared" ref="F14:F34" si="1">D14/$D$34</f>
        <v>2.0475342961994614E-3</v>
      </c>
    </row>
    <row r="15" spans="1:7" ht="14.45" customHeight="1">
      <c r="A15" s="34"/>
      <c r="B15" s="97"/>
      <c r="C15" s="61" t="s">
        <v>218</v>
      </c>
      <c r="D15" s="62">
        <v>3121</v>
      </c>
      <c r="E15" s="63">
        <f t="shared" si="0"/>
        <v>0.13916882190314814</v>
      </c>
      <c r="F15" s="63">
        <f t="shared" si="1"/>
        <v>4.9156573372603991E-2</v>
      </c>
    </row>
    <row r="16" spans="1:7" ht="14.45" customHeight="1">
      <c r="A16" s="34"/>
      <c r="B16" s="97"/>
      <c r="C16" s="61" t="s">
        <v>219</v>
      </c>
      <c r="D16" s="62">
        <v>5191</v>
      </c>
      <c r="E16" s="63">
        <f t="shared" si="0"/>
        <v>0.23147239810933737</v>
      </c>
      <c r="F16" s="63">
        <f t="shared" si="1"/>
        <v>8.1759619473626186E-2</v>
      </c>
    </row>
    <row r="17" spans="1:6" ht="14.45" customHeight="1">
      <c r="A17" s="34"/>
      <c r="B17" s="97"/>
      <c r="C17" s="61" t="s">
        <v>220</v>
      </c>
      <c r="D17" s="62">
        <v>7568</v>
      </c>
      <c r="E17" s="63">
        <f t="shared" si="0"/>
        <v>0.3374654418977972</v>
      </c>
      <c r="F17" s="63">
        <f t="shared" si="1"/>
        <v>0.11919799656644249</v>
      </c>
    </row>
    <row r="18" spans="1:6" ht="14.45" customHeight="1">
      <c r="A18" s="34"/>
      <c r="B18" s="97"/>
      <c r="C18" s="61" t="s">
        <v>221</v>
      </c>
      <c r="D18" s="62">
        <v>5469</v>
      </c>
      <c r="E18" s="63">
        <f t="shared" si="0"/>
        <v>0.24386872380272898</v>
      </c>
      <c r="F18" s="63">
        <f t="shared" si="1"/>
        <v>8.6138192814729647E-2</v>
      </c>
    </row>
    <row r="19" spans="1:6" ht="14.45" customHeight="1">
      <c r="A19" s="34"/>
      <c r="B19" s="97"/>
      <c r="C19" s="61" t="s">
        <v>222</v>
      </c>
      <c r="D19" s="62">
        <v>736</v>
      </c>
      <c r="E19" s="63">
        <f t="shared" si="0"/>
        <v>3.2819049317756178E-2</v>
      </c>
      <c r="F19" s="63">
        <f t="shared" si="1"/>
        <v>1.1592194169252334E-2</v>
      </c>
    </row>
    <row r="20" spans="1:6" ht="14.45" customHeight="1">
      <c r="A20" s="34"/>
      <c r="B20" s="97"/>
      <c r="C20" s="61" t="s">
        <v>223</v>
      </c>
      <c r="D20" s="62">
        <v>161</v>
      </c>
      <c r="E20" s="63">
        <f t="shared" si="0"/>
        <v>7.1791670382591634E-3</v>
      </c>
      <c r="F20" s="63">
        <f t="shared" si="1"/>
        <v>2.5357924745239482E-3</v>
      </c>
    </row>
    <row r="21" spans="1:6" ht="14.45" customHeight="1">
      <c r="A21" s="34"/>
      <c r="B21" s="98"/>
      <c r="C21" s="75" t="s">
        <v>302</v>
      </c>
      <c r="D21" s="74">
        <v>22426</v>
      </c>
      <c r="E21" s="76"/>
      <c r="F21" s="76">
        <f t="shared" si="1"/>
        <v>0.35321541635822401</v>
      </c>
    </row>
    <row r="22" spans="1:6" ht="14.45" customHeight="1">
      <c r="A22" s="34"/>
      <c r="B22" s="96" t="s">
        <v>295</v>
      </c>
      <c r="C22" s="61" t="s">
        <v>293</v>
      </c>
      <c r="D22" s="62">
        <v>66</v>
      </c>
      <c r="E22" s="63">
        <f>D22/$D$30</f>
        <v>1.60732550776874E-3</v>
      </c>
      <c r="F22" s="63">
        <f t="shared" si="1"/>
        <v>1.0395174119166497E-3</v>
      </c>
    </row>
    <row r="23" spans="1:6" ht="14.45" customHeight="1">
      <c r="A23" s="34"/>
      <c r="B23" s="97"/>
      <c r="C23" s="61" t="s">
        <v>217</v>
      </c>
      <c r="D23" s="62">
        <v>144</v>
      </c>
      <c r="E23" s="63">
        <f t="shared" ref="E23:E29" si="2">D23/$D$30</f>
        <v>3.506892016949978E-3</v>
      </c>
      <c r="F23" s="63">
        <f t="shared" si="1"/>
        <v>2.2680379896363265E-3</v>
      </c>
    </row>
    <row r="24" spans="1:6" ht="14.45" customHeight="1">
      <c r="A24" s="34"/>
      <c r="B24" s="97"/>
      <c r="C24" s="61" t="s">
        <v>218</v>
      </c>
      <c r="D24" s="62">
        <v>8491</v>
      </c>
      <c r="E24" s="63">
        <f t="shared" si="2"/>
        <v>0.20678486191612683</v>
      </c>
      <c r="F24" s="63">
        <f t="shared" si="1"/>
        <v>0.13373549006945867</v>
      </c>
    </row>
    <row r="25" spans="1:6" ht="14.45" customHeight="1">
      <c r="A25" s="34"/>
      <c r="B25" s="97"/>
      <c r="C25" s="61" t="s">
        <v>219</v>
      </c>
      <c r="D25" s="62">
        <v>12084</v>
      </c>
      <c r="E25" s="63">
        <f t="shared" si="2"/>
        <v>0.29428668842238564</v>
      </c>
      <c r="F25" s="63">
        <f t="shared" si="1"/>
        <v>0.19032618796364839</v>
      </c>
    </row>
    <row r="26" spans="1:6" ht="14.45" customHeight="1">
      <c r="A26" s="34"/>
      <c r="B26" s="97"/>
      <c r="C26" s="61" t="s">
        <v>220</v>
      </c>
      <c r="D26" s="62">
        <v>11914</v>
      </c>
      <c r="E26" s="63">
        <f t="shared" si="2"/>
        <v>0.29014660756904193</v>
      </c>
      <c r="F26" s="63">
        <f t="shared" si="1"/>
        <v>0.18764864311477217</v>
      </c>
    </row>
    <row r="27" spans="1:6" ht="14.45" customHeight="1">
      <c r="A27" s="34"/>
      <c r="B27" s="97"/>
      <c r="C27" s="61" t="s">
        <v>221</v>
      </c>
      <c r="D27" s="62">
        <v>7337</v>
      </c>
      <c r="E27" s="63">
        <f t="shared" si="2"/>
        <v>0.17868101894695826</v>
      </c>
      <c r="F27" s="63">
        <f t="shared" si="1"/>
        <v>0.11555968562473422</v>
      </c>
    </row>
    <row r="28" spans="1:6" ht="14.45" customHeight="1">
      <c r="A28" s="34"/>
      <c r="B28" s="97"/>
      <c r="C28" s="61" t="s">
        <v>222</v>
      </c>
      <c r="D28" s="62">
        <v>884</v>
      </c>
      <c r="E28" s="63">
        <f t="shared" si="2"/>
        <v>2.1528420437387365E-2</v>
      </c>
      <c r="F28" s="63">
        <f t="shared" si="1"/>
        <v>1.3923233214156337E-2</v>
      </c>
    </row>
    <row r="29" spans="1:6" ht="14.45" customHeight="1">
      <c r="A29" s="34"/>
      <c r="B29" s="97"/>
      <c r="C29" s="61" t="s">
        <v>223</v>
      </c>
      <c r="D29" s="62">
        <v>142</v>
      </c>
      <c r="E29" s="63">
        <f t="shared" si="2"/>
        <v>3.4581851833812285E-3</v>
      </c>
      <c r="F29" s="63">
        <f t="shared" si="1"/>
        <v>2.2365374620024886E-3</v>
      </c>
    </row>
    <row r="30" spans="1:6" ht="14.45" customHeight="1">
      <c r="A30" s="34"/>
      <c r="B30" s="98"/>
      <c r="C30" s="75" t="s">
        <v>302</v>
      </c>
      <c r="D30" s="74">
        <v>41062</v>
      </c>
      <c r="E30" s="76"/>
      <c r="F30" s="76">
        <f t="shared" si="1"/>
        <v>0.6467373328503252</v>
      </c>
    </row>
    <row r="31" spans="1:6" ht="14.45" customHeight="1">
      <c r="A31" s="34"/>
      <c r="B31" s="96" t="s">
        <v>296</v>
      </c>
      <c r="C31" s="61" t="s">
        <v>218</v>
      </c>
      <c r="D31" s="62">
        <v>2</v>
      </c>
      <c r="E31" s="63">
        <f>D31/$D$33</f>
        <v>0.66666666666666663</v>
      </c>
      <c r="F31" s="63">
        <f t="shared" si="1"/>
        <v>3.1500527633837866E-5</v>
      </c>
    </row>
    <row r="32" spans="1:6" ht="14.45" customHeight="1">
      <c r="A32" s="34"/>
      <c r="B32" s="97"/>
      <c r="C32" s="61" t="s">
        <v>220</v>
      </c>
      <c r="D32" s="62">
        <v>1</v>
      </c>
      <c r="E32" s="63">
        <f>D32/$D$33</f>
        <v>0.33333333333333331</v>
      </c>
      <c r="F32" s="63">
        <f t="shared" si="1"/>
        <v>1.5750263816918933E-5</v>
      </c>
    </row>
    <row r="33" spans="1:6" ht="14.45" customHeight="1">
      <c r="A33" s="34"/>
      <c r="B33" s="98"/>
      <c r="C33" s="75" t="s">
        <v>302</v>
      </c>
      <c r="D33" s="74">
        <v>3</v>
      </c>
      <c r="E33" s="76"/>
      <c r="F33" s="76">
        <f t="shared" si="1"/>
        <v>4.7250791450756803E-5</v>
      </c>
    </row>
    <row r="34" spans="1:6" ht="14.45" customHeight="1">
      <c r="A34" s="34"/>
      <c r="B34" s="64" t="s">
        <v>305</v>
      </c>
      <c r="C34" s="64"/>
      <c r="D34" s="65">
        <v>63491</v>
      </c>
      <c r="E34" s="66">
        <v>1</v>
      </c>
      <c r="F34" s="66">
        <f t="shared" si="1"/>
        <v>1</v>
      </c>
    </row>
    <row r="35" spans="1:6" ht="14.45" customHeight="1">
      <c r="A35" s="34"/>
      <c r="B35" s="35"/>
      <c r="C35" s="38"/>
      <c r="D35" s="39"/>
      <c r="E35" s="39"/>
      <c r="F35" s="38"/>
    </row>
    <row r="36" spans="1:6" ht="12.75">
      <c r="A36" s="34"/>
      <c r="B36" s="38"/>
      <c r="C36" s="38"/>
      <c r="D36" s="39"/>
      <c r="E36" s="39"/>
      <c r="F36" s="38"/>
    </row>
    <row r="37" spans="1:6" ht="12.75">
      <c r="B37" s="35" t="s">
        <v>284</v>
      </c>
      <c r="C37" s="38"/>
      <c r="D37" s="39"/>
      <c r="E37" s="39"/>
      <c r="F37" s="38"/>
    </row>
    <row r="38" spans="1:6" ht="12.75">
      <c r="B38" s="36" t="s">
        <v>17</v>
      </c>
      <c r="C38" s="38"/>
      <c r="D38" s="39"/>
      <c r="E38" s="39"/>
      <c r="F38" s="38"/>
    </row>
    <row r="39" spans="1:6" ht="12.75">
      <c r="B39" s="37" t="s">
        <v>96</v>
      </c>
      <c r="C39" s="38"/>
      <c r="D39" s="39"/>
      <c r="E39" s="39"/>
      <c r="F39" s="38"/>
    </row>
    <row r="40" spans="1:6" ht="12.75">
      <c r="B40" s="35" t="s">
        <v>16</v>
      </c>
      <c r="C40" s="38"/>
      <c r="D40" s="39"/>
      <c r="E40" s="39"/>
      <c r="F40" s="38"/>
    </row>
    <row r="41" spans="1:6" ht="12.75">
      <c r="B41" s="35" t="s">
        <v>303</v>
      </c>
      <c r="C41" s="38"/>
      <c r="D41" s="39"/>
      <c r="E41" s="39"/>
      <c r="F41" s="38"/>
    </row>
  </sheetData>
  <mergeCells count="4">
    <mergeCell ref="B8:F10"/>
    <mergeCell ref="B13:B21"/>
    <mergeCell ref="B22:B30"/>
    <mergeCell ref="B31:B33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E82"/>
  <sheetViews>
    <sheetView showGridLines="0" view="pageBreakPreview" zoomScale="115" zoomScaleNormal="100" zoomScaleSheetLayoutView="115" workbookViewId="0">
      <selection activeCell="I4" sqref="I4"/>
    </sheetView>
  </sheetViews>
  <sheetFormatPr baseColWidth="10" defaultColWidth="11.42578125" defaultRowHeight="15"/>
  <cols>
    <col min="1" max="1" width="9.28515625" style="13" customWidth="1"/>
    <col min="2" max="2" width="47.140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5" s="16" customFormat="1" ht="15" customHeight="1">
      <c r="C1" s="18"/>
    </row>
    <row r="2" spans="1:5" s="16" customFormat="1" ht="15" customHeight="1">
      <c r="C2" s="18"/>
    </row>
    <row r="3" spans="1:5" s="16" customFormat="1" ht="15" customHeight="1">
      <c r="C3" s="18"/>
    </row>
    <row r="4" spans="1:5" s="16" customFormat="1" ht="30" customHeight="1">
      <c r="C4" s="18"/>
      <c r="D4" s="17"/>
    </row>
    <row r="5" spans="1:5" s="16" customFormat="1" ht="15" customHeight="1">
      <c r="C5" s="18"/>
      <c r="D5" s="17"/>
    </row>
    <row r="6" spans="1:5" s="16" customFormat="1" ht="15" customHeight="1">
      <c r="C6" s="18"/>
      <c r="D6" s="17"/>
    </row>
    <row r="7" spans="1:5" s="16" customFormat="1" ht="15" customHeight="1">
      <c r="A7" s="34"/>
      <c r="B7" s="87" t="s">
        <v>282</v>
      </c>
      <c r="C7" s="87"/>
      <c r="D7" s="87"/>
      <c r="E7" s="34"/>
    </row>
    <row r="8" spans="1:5" s="16" customFormat="1" ht="15" customHeight="1">
      <c r="A8" s="34"/>
      <c r="B8" s="87"/>
      <c r="C8" s="87"/>
      <c r="D8" s="87"/>
      <c r="E8" s="34"/>
    </row>
    <row r="9" spans="1:5" s="16" customFormat="1" ht="33" customHeight="1">
      <c r="A9" s="34"/>
      <c r="B9" s="87"/>
      <c r="C9" s="87"/>
      <c r="D9" s="87"/>
      <c r="E9" s="34"/>
    </row>
    <row r="10" spans="1:5" s="16" customFormat="1" ht="12.95" customHeight="1">
      <c r="A10" s="34"/>
      <c r="B10" s="40"/>
      <c r="C10" s="40"/>
      <c r="D10" s="40"/>
      <c r="E10" s="34"/>
    </row>
    <row r="11" spans="1:5" s="16" customFormat="1" ht="33" customHeight="1">
      <c r="A11" s="34"/>
      <c r="B11" s="41" t="s">
        <v>33</v>
      </c>
      <c r="C11" s="42" t="s">
        <v>19</v>
      </c>
      <c r="D11" s="43" t="s">
        <v>18</v>
      </c>
      <c r="E11" s="34"/>
    </row>
    <row r="12" spans="1:5" ht="15" customHeight="1">
      <c r="A12" s="38"/>
      <c r="B12" s="57" t="s">
        <v>224</v>
      </c>
      <c r="C12" s="58">
        <v>37204</v>
      </c>
      <c r="D12" s="59">
        <v>0.58599999999999997</v>
      </c>
      <c r="E12" s="31"/>
    </row>
    <row r="13" spans="1:5" ht="15" customHeight="1">
      <c r="A13" s="38"/>
      <c r="B13" s="57" t="s">
        <v>225</v>
      </c>
      <c r="C13" s="58">
        <v>12427</v>
      </c>
      <c r="D13" s="59">
        <v>0.19600000000000001</v>
      </c>
      <c r="E13" s="31"/>
    </row>
    <row r="14" spans="1:5" s="15" customFormat="1" ht="15" customHeight="1">
      <c r="A14" s="31"/>
      <c r="B14" s="57" t="s">
        <v>226</v>
      </c>
      <c r="C14" s="58">
        <v>3669</v>
      </c>
      <c r="D14" s="59">
        <v>5.8000000000000003E-2</v>
      </c>
      <c r="E14" s="31"/>
    </row>
    <row r="15" spans="1:5" s="15" customFormat="1" ht="15" customHeight="1">
      <c r="A15" s="31"/>
      <c r="B15" s="57" t="s">
        <v>227</v>
      </c>
      <c r="C15" s="58">
        <v>2417</v>
      </c>
      <c r="D15" s="59">
        <v>3.7999999999999999E-2</v>
      </c>
      <c r="E15" s="31"/>
    </row>
    <row r="16" spans="1:5" ht="15" customHeight="1">
      <c r="A16" s="31"/>
      <c r="B16" s="57" t="s">
        <v>228</v>
      </c>
      <c r="C16" s="58">
        <v>1479</v>
      </c>
      <c r="D16" s="59">
        <v>2.3E-2</v>
      </c>
      <c r="E16" s="31"/>
    </row>
    <row r="17" spans="1:5" ht="15" customHeight="1">
      <c r="A17" s="31"/>
      <c r="B17" s="57" t="s">
        <v>229</v>
      </c>
      <c r="C17" s="58">
        <v>1221</v>
      </c>
      <c r="D17" s="59">
        <v>1.9E-2</v>
      </c>
      <c r="E17" s="31"/>
    </row>
    <row r="18" spans="1:5" ht="15" customHeight="1">
      <c r="A18" s="31"/>
      <c r="B18" s="57" t="s">
        <v>230</v>
      </c>
      <c r="C18" s="58">
        <v>1073</v>
      </c>
      <c r="D18" s="59">
        <v>1.7000000000000001E-2</v>
      </c>
      <c r="E18" s="31"/>
    </row>
    <row r="19" spans="1:5" ht="15" customHeight="1">
      <c r="A19" s="31"/>
      <c r="B19" s="57" t="s">
        <v>231</v>
      </c>
      <c r="C19" s="60">
        <v>969</v>
      </c>
      <c r="D19" s="59">
        <v>1.4999999999999999E-2</v>
      </c>
      <c r="E19" s="31"/>
    </row>
    <row r="20" spans="1:5" ht="15" customHeight="1">
      <c r="A20" s="31"/>
      <c r="B20" s="57" t="s">
        <v>232</v>
      </c>
      <c r="C20" s="60">
        <v>482</v>
      </c>
      <c r="D20" s="59">
        <v>8.0000000000000002E-3</v>
      </c>
      <c r="E20" s="31"/>
    </row>
    <row r="21" spans="1:5" ht="15" customHeight="1">
      <c r="A21" s="31"/>
      <c r="B21" s="57" t="s">
        <v>235</v>
      </c>
      <c r="C21" s="60">
        <v>268</v>
      </c>
      <c r="D21" s="59">
        <v>4.0000000000000001E-3</v>
      </c>
      <c r="E21" s="31"/>
    </row>
    <row r="22" spans="1:5" ht="15" customHeight="1">
      <c r="A22" s="31"/>
      <c r="B22" s="57" t="s">
        <v>239</v>
      </c>
      <c r="C22" s="60">
        <v>261</v>
      </c>
      <c r="D22" s="59">
        <v>4.0000000000000001E-3</v>
      </c>
      <c r="E22" s="31"/>
    </row>
    <row r="23" spans="1:5" ht="15" customHeight="1">
      <c r="A23" s="31"/>
      <c r="B23" s="57" t="s">
        <v>237</v>
      </c>
      <c r="C23" s="60">
        <v>243</v>
      </c>
      <c r="D23" s="59">
        <v>4.0000000000000001E-3</v>
      </c>
      <c r="E23" s="31"/>
    </row>
    <row r="24" spans="1:5" ht="15" customHeight="1">
      <c r="A24" s="31"/>
      <c r="B24" s="57" t="s">
        <v>233</v>
      </c>
      <c r="C24" s="60">
        <v>202</v>
      </c>
      <c r="D24" s="59">
        <v>3.0000000000000001E-3</v>
      </c>
      <c r="E24" s="31"/>
    </row>
    <row r="25" spans="1:5" ht="15" customHeight="1">
      <c r="A25" s="31"/>
      <c r="B25" s="57" t="s">
        <v>234</v>
      </c>
      <c r="C25" s="60">
        <v>188</v>
      </c>
      <c r="D25" s="59">
        <v>3.0000000000000001E-3</v>
      </c>
      <c r="E25" s="31"/>
    </row>
    <row r="26" spans="1:5" ht="15" customHeight="1">
      <c r="A26" s="31"/>
      <c r="B26" s="57" t="s">
        <v>236</v>
      </c>
      <c r="C26" s="60">
        <v>150</v>
      </c>
      <c r="D26" s="59">
        <v>2E-3</v>
      </c>
      <c r="E26" s="31"/>
    </row>
    <row r="27" spans="1:5" ht="15" customHeight="1">
      <c r="A27" s="31"/>
      <c r="B27" s="57" t="s">
        <v>238</v>
      </c>
      <c r="C27" s="60">
        <v>149</v>
      </c>
      <c r="D27" s="59">
        <v>2E-3</v>
      </c>
      <c r="E27" s="31"/>
    </row>
    <row r="28" spans="1:5" ht="15" customHeight="1">
      <c r="A28" s="31"/>
      <c r="B28" s="57" t="s">
        <v>240</v>
      </c>
      <c r="C28" s="60">
        <v>141</v>
      </c>
      <c r="D28" s="59">
        <v>2E-3</v>
      </c>
      <c r="E28" s="31"/>
    </row>
    <row r="29" spans="1:5" ht="15" customHeight="1">
      <c r="A29" s="31"/>
      <c r="B29" s="57" t="s">
        <v>241</v>
      </c>
      <c r="C29" s="60">
        <v>111</v>
      </c>
      <c r="D29" s="59">
        <v>2E-3</v>
      </c>
      <c r="E29" s="31"/>
    </row>
    <row r="30" spans="1:5" ht="15" customHeight="1">
      <c r="A30" s="31"/>
      <c r="B30" s="57" t="s">
        <v>242</v>
      </c>
      <c r="C30" s="60">
        <v>90</v>
      </c>
      <c r="D30" s="59">
        <v>1E-3</v>
      </c>
      <c r="E30" s="31"/>
    </row>
    <row r="31" spans="1:5" ht="15" customHeight="1">
      <c r="A31" s="31"/>
      <c r="B31" s="57" t="s">
        <v>243</v>
      </c>
      <c r="C31" s="60">
        <v>81</v>
      </c>
      <c r="D31" s="59">
        <v>1E-3</v>
      </c>
      <c r="E31" s="31"/>
    </row>
    <row r="32" spans="1:5" ht="15" customHeight="1">
      <c r="A32" s="31"/>
      <c r="B32" s="57" t="s">
        <v>245</v>
      </c>
      <c r="C32" s="60">
        <v>76</v>
      </c>
      <c r="D32" s="59">
        <v>1E-3</v>
      </c>
      <c r="E32" s="31"/>
    </row>
    <row r="33" spans="1:5" ht="15" customHeight="1">
      <c r="A33" s="31"/>
      <c r="B33" s="57" t="s">
        <v>247</v>
      </c>
      <c r="C33" s="60">
        <v>70</v>
      </c>
      <c r="D33" s="59">
        <v>1E-3</v>
      </c>
      <c r="E33" s="31"/>
    </row>
    <row r="34" spans="1:5" ht="15" customHeight="1">
      <c r="A34" s="31"/>
      <c r="B34" s="57" t="s">
        <v>244</v>
      </c>
      <c r="C34" s="60">
        <v>66</v>
      </c>
      <c r="D34" s="59">
        <v>1E-3</v>
      </c>
      <c r="E34" s="31"/>
    </row>
    <row r="35" spans="1:5" ht="15" customHeight="1">
      <c r="A35" s="31"/>
      <c r="B35" s="57" t="s">
        <v>261</v>
      </c>
      <c r="C35" s="60">
        <v>56</v>
      </c>
      <c r="D35" s="59">
        <v>1E-3</v>
      </c>
      <c r="E35" s="31"/>
    </row>
    <row r="36" spans="1:5" ht="15" customHeight="1">
      <c r="A36" s="31"/>
      <c r="B36" s="57" t="s">
        <v>246</v>
      </c>
      <c r="C36" s="60">
        <v>55</v>
      </c>
      <c r="D36" s="59">
        <v>1E-3</v>
      </c>
      <c r="E36" s="31"/>
    </row>
    <row r="37" spans="1:5" ht="15" customHeight="1">
      <c r="A37" s="31"/>
      <c r="B37" s="57" t="s">
        <v>214</v>
      </c>
      <c r="C37" s="60">
        <v>42</v>
      </c>
      <c r="D37" s="59">
        <v>1E-3</v>
      </c>
      <c r="E37" s="31"/>
    </row>
    <row r="38" spans="1:5" ht="15" customHeight="1">
      <c r="A38" s="31"/>
      <c r="B38" s="57" t="s">
        <v>275</v>
      </c>
      <c r="C38" s="60">
        <v>40</v>
      </c>
      <c r="D38" s="59">
        <v>1E-3</v>
      </c>
      <c r="E38" s="31"/>
    </row>
    <row r="39" spans="1:5" ht="15" customHeight="1">
      <c r="A39" s="31"/>
      <c r="B39" s="57" t="s">
        <v>248</v>
      </c>
      <c r="C39" s="60">
        <v>30</v>
      </c>
      <c r="D39" s="59">
        <v>0</v>
      </c>
      <c r="E39" s="31"/>
    </row>
    <row r="40" spans="1:5" ht="15" customHeight="1">
      <c r="A40" s="31"/>
      <c r="B40" s="57" t="s">
        <v>250</v>
      </c>
      <c r="C40" s="60">
        <v>25</v>
      </c>
      <c r="D40" s="59">
        <v>0</v>
      </c>
      <c r="E40" s="31"/>
    </row>
    <row r="41" spans="1:5" ht="15" customHeight="1">
      <c r="A41" s="31"/>
      <c r="B41" s="57" t="s">
        <v>254</v>
      </c>
      <c r="C41" s="60">
        <v>24</v>
      </c>
      <c r="D41" s="59">
        <v>0</v>
      </c>
      <c r="E41" s="31"/>
    </row>
    <row r="42" spans="1:5" ht="15" customHeight="1">
      <c r="A42" s="31"/>
      <c r="B42" s="57" t="s">
        <v>249</v>
      </c>
      <c r="C42" s="60">
        <v>23</v>
      </c>
      <c r="D42" s="59">
        <v>0</v>
      </c>
      <c r="E42" s="31"/>
    </row>
    <row r="43" spans="1:5" ht="15" customHeight="1">
      <c r="A43" s="31"/>
      <c r="B43" s="57" t="s">
        <v>251</v>
      </c>
      <c r="C43" s="60">
        <v>15</v>
      </c>
      <c r="D43" s="59">
        <v>0</v>
      </c>
      <c r="E43" s="31"/>
    </row>
    <row r="44" spans="1:5" ht="15" customHeight="1">
      <c r="A44" s="31"/>
      <c r="B44" s="57" t="s">
        <v>257</v>
      </c>
      <c r="C44" s="60">
        <v>14</v>
      </c>
      <c r="D44" s="59">
        <v>0</v>
      </c>
      <c r="E44" s="31"/>
    </row>
    <row r="45" spans="1:5" ht="15" customHeight="1">
      <c r="A45" s="31"/>
      <c r="B45" s="57" t="s">
        <v>253</v>
      </c>
      <c r="C45" s="60">
        <v>14</v>
      </c>
      <c r="D45" s="59">
        <v>0</v>
      </c>
      <c r="E45" s="31"/>
    </row>
    <row r="46" spans="1:5" ht="15" customHeight="1">
      <c r="A46" s="31"/>
      <c r="B46" s="57" t="s">
        <v>262</v>
      </c>
      <c r="C46" s="60">
        <v>13</v>
      </c>
      <c r="D46" s="59">
        <v>0</v>
      </c>
      <c r="E46" s="31"/>
    </row>
    <row r="47" spans="1:5" ht="15" customHeight="1">
      <c r="A47" s="31"/>
      <c r="B47" s="57" t="s">
        <v>255</v>
      </c>
      <c r="C47" s="60">
        <v>11</v>
      </c>
      <c r="D47" s="59">
        <v>0</v>
      </c>
      <c r="E47" s="31"/>
    </row>
    <row r="48" spans="1:5" ht="15" customHeight="1">
      <c r="A48" s="31"/>
      <c r="B48" s="57" t="s">
        <v>276</v>
      </c>
      <c r="C48" s="60">
        <v>7</v>
      </c>
      <c r="D48" s="59">
        <v>0</v>
      </c>
      <c r="E48" s="31"/>
    </row>
    <row r="49" spans="1:5" ht="15" customHeight="1">
      <c r="A49" s="31"/>
      <c r="B49" s="57" t="s">
        <v>272</v>
      </c>
      <c r="C49" s="60">
        <v>7</v>
      </c>
      <c r="D49" s="59">
        <v>0</v>
      </c>
      <c r="E49" s="31"/>
    </row>
    <row r="50" spans="1:5" ht="15" customHeight="1">
      <c r="A50" s="31"/>
      <c r="B50" s="57" t="s">
        <v>252</v>
      </c>
      <c r="C50" s="60">
        <v>6</v>
      </c>
      <c r="D50" s="59">
        <v>0</v>
      </c>
      <c r="E50" s="31"/>
    </row>
    <row r="51" spans="1:5" ht="15" customHeight="1">
      <c r="A51" s="31"/>
      <c r="B51" s="57" t="s">
        <v>297</v>
      </c>
      <c r="C51" s="60">
        <v>5</v>
      </c>
      <c r="D51" s="59">
        <v>0</v>
      </c>
      <c r="E51" s="31"/>
    </row>
    <row r="52" spans="1:5" ht="15" customHeight="1">
      <c r="A52" s="31"/>
      <c r="B52" s="57" t="s">
        <v>267</v>
      </c>
      <c r="C52" s="60">
        <v>5</v>
      </c>
      <c r="D52" s="59">
        <v>0</v>
      </c>
      <c r="E52" s="31"/>
    </row>
    <row r="53" spans="1:5" ht="15" customHeight="1">
      <c r="A53" s="31"/>
      <c r="B53" s="57" t="s">
        <v>256</v>
      </c>
      <c r="C53" s="60">
        <v>5</v>
      </c>
      <c r="D53" s="59">
        <v>0</v>
      </c>
      <c r="E53" s="31"/>
    </row>
    <row r="54" spans="1:5" ht="15" customHeight="1">
      <c r="A54" s="31"/>
      <c r="B54" s="57" t="s">
        <v>264</v>
      </c>
      <c r="C54" s="60">
        <v>5</v>
      </c>
      <c r="D54" s="59">
        <v>0</v>
      </c>
      <c r="E54" s="31"/>
    </row>
    <row r="55" spans="1:5" ht="15" customHeight="1">
      <c r="A55" s="31"/>
      <c r="B55" s="57" t="s">
        <v>260</v>
      </c>
      <c r="C55" s="60">
        <v>5</v>
      </c>
      <c r="D55" s="59">
        <v>0</v>
      </c>
      <c r="E55" s="31"/>
    </row>
    <row r="56" spans="1:5" ht="15" customHeight="1">
      <c r="A56" s="31"/>
      <c r="B56" s="57" t="s">
        <v>259</v>
      </c>
      <c r="C56" s="60">
        <v>5</v>
      </c>
      <c r="D56" s="59">
        <v>0</v>
      </c>
      <c r="E56" s="31"/>
    </row>
    <row r="57" spans="1:5" ht="15" customHeight="1">
      <c r="A57" s="31"/>
      <c r="B57" s="57" t="s">
        <v>258</v>
      </c>
      <c r="C57" s="60">
        <v>4</v>
      </c>
      <c r="D57" s="59">
        <v>0</v>
      </c>
      <c r="E57" s="31"/>
    </row>
    <row r="58" spans="1:5" ht="15" customHeight="1">
      <c r="A58" s="31"/>
      <c r="B58" s="57" t="s">
        <v>265</v>
      </c>
      <c r="C58" s="60">
        <v>4</v>
      </c>
      <c r="D58" s="59">
        <v>0</v>
      </c>
      <c r="E58" s="31"/>
    </row>
    <row r="59" spans="1:5" ht="15" customHeight="1">
      <c r="A59" s="31"/>
      <c r="B59" s="57" t="s">
        <v>280</v>
      </c>
      <c r="C59" s="60">
        <v>4</v>
      </c>
      <c r="D59" s="59">
        <v>0</v>
      </c>
      <c r="E59" s="31"/>
    </row>
    <row r="60" spans="1:5" ht="15" customHeight="1">
      <c r="A60" s="31"/>
      <c r="B60" s="57" t="s">
        <v>298</v>
      </c>
      <c r="C60" s="60">
        <v>3</v>
      </c>
      <c r="D60" s="59">
        <v>0</v>
      </c>
      <c r="E60" s="31"/>
    </row>
    <row r="61" spans="1:5" ht="15" customHeight="1">
      <c r="A61" s="31"/>
      <c r="B61" s="57" t="s">
        <v>278</v>
      </c>
      <c r="C61" s="60">
        <v>3</v>
      </c>
      <c r="D61" s="59">
        <v>0</v>
      </c>
      <c r="E61" s="31"/>
    </row>
    <row r="62" spans="1:5" ht="15" customHeight="1">
      <c r="A62" s="31"/>
      <c r="B62" s="57" t="s">
        <v>263</v>
      </c>
      <c r="C62" s="60">
        <v>3</v>
      </c>
      <c r="D62" s="59">
        <v>0</v>
      </c>
      <c r="E62" s="31"/>
    </row>
    <row r="63" spans="1:5" ht="15" customHeight="1">
      <c r="A63" s="31"/>
      <c r="B63" s="57" t="s">
        <v>271</v>
      </c>
      <c r="C63" s="60">
        <v>3</v>
      </c>
      <c r="D63" s="59">
        <v>0</v>
      </c>
      <c r="E63" s="31"/>
    </row>
    <row r="64" spans="1:5" ht="15" customHeight="1">
      <c r="A64" s="31"/>
      <c r="B64" s="57" t="s">
        <v>266</v>
      </c>
      <c r="C64" s="60">
        <v>3</v>
      </c>
      <c r="D64" s="59">
        <v>0</v>
      </c>
      <c r="E64" s="31"/>
    </row>
    <row r="65" spans="1:5" ht="15" customHeight="1">
      <c r="A65" s="31"/>
      <c r="B65" s="57" t="s">
        <v>274</v>
      </c>
      <c r="C65" s="60">
        <v>3</v>
      </c>
      <c r="D65" s="59">
        <v>0</v>
      </c>
      <c r="E65" s="31"/>
    </row>
    <row r="66" spans="1:5" ht="15" customHeight="1">
      <c r="A66" s="31"/>
      <c r="B66" s="57" t="s">
        <v>269</v>
      </c>
      <c r="C66" s="60">
        <v>2</v>
      </c>
      <c r="D66" s="59">
        <v>0</v>
      </c>
      <c r="E66" s="31"/>
    </row>
    <row r="67" spans="1:5" ht="15" customHeight="1">
      <c r="A67" s="31"/>
      <c r="B67" s="57" t="s">
        <v>281</v>
      </c>
      <c r="C67" s="60">
        <v>2</v>
      </c>
      <c r="D67" s="59">
        <v>0</v>
      </c>
      <c r="E67" s="31"/>
    </row>
    <row r="68" spans="1:5" ht="15" customHeight="1">
      <c r="A68" s="31"/>
      <c r="B68" s="57" t="s">
        <v>299</v>
      </c>
      <c r="C68" s="60">
        <v>1</v>
      </c>
      <c r="D68" s="59">
        <v>0</v>
      </c>
      <c r="E68" s="31"/>
    </row>
    <row r="69" spans="1:5" ht="15" customHeight="1">
      <c r="A69" s="31"/>
      <c r="B69" s="57" t="s">
        <v>268</v>
      </c>
      <c r="C69" s="60">
        <v>1</v>
      </c>
      <c r="D69" s="59">
        <v>0</v>
      </c>
      <c r="E69" s="31"/>
    </row>
    <row r="70" spans="1:5" ht="15" customHeight="1">
      <c r="A70" s="31"/>
      <c r="B70" s="57" t="s">
        <v>300</v>
      </c>
      <c r="C70" s="60">
        <v>1</v>
      </c>
      <c r="D70" s="59">
        <v>0</v>
      </c>
      <c r="E70" s="31"/>
    </row>
    <row r="71" spans="1:5" ht="15" customHeight="1">
      <c r="A71" s="31"/>
      <c r="B71" s="57" t="s">
        <v>270</v>
      </c>
      <c r="C71" s="60">
        <v>1</v>
      </c>
      <c r="D71" s="59">
        <v>0</v>
      </c>
      <c r="E71" s="31"/>
    </row>
    <row r="72" spans="1:5" ht="15" customHeight="1">
      <c r="A72" s="31"/>
      <c r="B72" s="57" t="s">
        <v>279</v>
      </c>
      <c r="C72" s="60">
        <v>1</v>
      </c>
      <c r="D72" s="59">
        <v>0</v>
      </c>
      <c r="E72" s="31"/>
    </row>
    <row r="73" spans="1:5" ht="15" customHeight="1">
      <c r="A73" s="31"/>
      <c r="B73" s="57" t="s">
        <v>301</v>
      </c>
      <c r="C73" s="60">
        <v>1</v>
      </c>
      <c r="D73" s="59">
        <v>0</v>
      </c>
      <c r="E73" s="31"/>
    </row>
    <row r="74" spans="1:5" ht="15" customHeight="1">
      <c r="A74" s="31"/>
      <c r="B74" s="57" t="s">
        <v>273</v>
      </c>
      <c r="C74" s="60">
        <v>1</v>
      </c>
      <c r="D74" s="59">
        <v>0</v>
      </c>
      <c r="E74" s="31"/>
    </row>
    <row r="75" spans="1:5" ht="15" customHeight="1">
      <c r="A75" s="31"/>
      <c r="B75" s="57" t="s">
        <v>277</v>
      </c>
      <c r="C75" s="60">
        <v>1</v>
      </c>
      <c r="D75" s="59">
        <v>0</v>
      </c>
      <c r="E75" s="31"/>
    </row>
    <row r="76" spans="1:5" ht="15" customHeight="1">
      <c r="A76" s="31"/>
      <c r="B76" s="55" t="s">
        <v>302</v>
      </c>
      <c r="C76" s="46">
        <v>63491</v>
      </c>
      <c r="D76" s="56">
        <v>1</v>
      </c>
      <c r="E76" s="31"/>
    </row>
    <row r="77" spans="1:5" ht="16.5">
      <c r="A77" s="31"/>
      <c r="B77" s="31"/>
      <c r="C77" s="44"/>
      <c r="D77" s="31"/>
      <c r="E77" s="31"/>
    </row>
    <row r="78" spans="1:5" ht="16.5">
      <c r="B78" s="35" t="s">
        <v>284</v>
      </c>
      <c r="C78" s="44"/>
      <c r="D78" s="31"/>
      <c r="E78" s="31"/>
    </row>
    <row r="79" spans="1:5" ht="16.5">
      <c r="B79" s="36" t="s">
        <v>17</v>
      </c>
      <c r="C79" s="44"/>
      <c r="D79" s="31"/>
      <c r="E79" s="31"/>
    </row>
    <row r="80" spans="1:5" ht="16.5">
      <c r="B80" s="37" t="s">
        <v>96</v>
      </c>
      <c r="C80" s="44"/>
      <c r="D80" s="31"/>
      <c r="E80" s="31"/>
    </row>
    <row r="81" spans="2:5" ht="16.5">
      <c r="B81" s="35" t="s">
        <v>16</v>
      </c>
      <c r="C81" s="44"/>
      <c r="D81" s="31"/>
      <c r="E81" s="31"/>
    </row>
    <row r="82" spans="2:5" ht="16.5">
      <c r="B82" s="35" t="s">
        <v>303</v>
      </c>
      <c r="C82" s="44"/>
      <c r="D82" s="31"/>
      <c r="E82" s="3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5" fitToWidth="0" fitToHeight="0" orientation="portrait" horizontalDpi="1200" verticalDpi="1200" r:id="rId1"/>
  <headerFooter>
    <oddFooter>&amp;C&amp;P de &amp;N</oddFooter>
  </headerFooter>
  <rowBreaks count="1" manualBreakCount="1">
    <brk id="45" max="4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26</vt:i4>
      </vt:variant>
    </vt:vector>
  </HeadingPairs>
  <TitlesOfParts>
    <vt:vector size="41" baseType="lpstr">
      <vt:lpstr>Índice</vt:lpstr>
      <vt:lpstr>Guanajuato_EdoUsa</vt:lpstr>
      <vt:lpstr>Guanajuato_Cons</vt:lpstr>
      <vt:lpstr>GuanajuatoXCons</vt:lpstr>
      <vt:lpstr>Guanajuato_EdoMun</vt:lpstr>
      <vt:lpstr>Guanajuato_USAMuni</vt:lpstr>
      <vt:lpstr>Guanajuato_MUNICIPIO</vt:lpstr>
      <vt:lpstr>Guanajuato_educ_gral</vt:lpstr>
      <vt:lpstr>Guanajuato_NivelE_Cons</vt:lpstr>
      <vt:lpstr>Guanajuato_EducCons</vt:lpstr>
      <vt:lpstr>Guanajuato_GenGral</vt:lpstr>
      <vt:lpstr>Guanajuato_GENERO</vt:lpstr>
      <vt:lpstr>Guanajuato_GENERO_EUA</vt:lpstr>
      <vt:lpstr>Guanajuato_Gen_Edad</vt:lpstr>
      <vt:lpstr>Guanajuato_ocup_gral</vt:lpstr>
      <vt:lpstr>Guanajuato_EdoMun!Área_de_impresión</vt:lpstr>
      <vt:lpstr>Guanajuato_EdoUsa!Área_de_impresión</vt:lpstr>
      <vt:lpstr>Guanajuato_educ_gral!Área_de_impresión</vt:lpstr>
      <vt:lpstr>Guanajuato_EducCons!Área_de_impresión</vt:lpstr>
      <vt:lpstr>Guanajuato_Gen_Edad!Área_de_impresión</vt:lpstr>
      <vt:lpstr>Guanajuato_GENERO!Área_de_impresión</vt:lpstr>
      <vt:lpstr>Guanajuato_GENERO_EUA!Área_de_impresión</vt:lpstr>
      <vt:lpstr>Guanajuato_GenGral!Área_de_impresión</vt:lpstr>
      <vt:lpstr>Guanajuato_MUNICIPIO!Área_de_impresión</vt:lpstr>
      <vt:lpstr>Guanajuato_NivelE_Cons!Área_de_impresión</vt:lpstr>
      <vt:lpstr>Guanajuato_ocup_gral!Área_de_impresión</vt:lpstr>
      <vt:lpstr>Guanajuato_USAMuni!Área_de_impresión</vt:lpstr>
      <vt:lpstr>Guanajuato_Cons!Títulos_a_imprimir</vt:lpstr>
      <vt:lpstr>Guanajuato_EdoMun!Títulos_a_imprimir</vt:lpstr>
      <vt:lpstr>Guanajuato_EdoUsa!Títulos_a_imprimir</vt:lpstr>
      <vt:lpstr>Guanajuato_educ_gral!Títulos_a_imprimir</vt:lpstr>
      <vt:lpstr>Guanajuato_EducCons!Títulos_a_imprimir</vt:lpstr>
      <vt:lpstr>Guanajuato_Gen_Edad!Títulos_a_imprimir</vt:lpstr>
      <vt:lpstr>Guanajuato_GENERO!Títulos_a_imprimir</vt:lpstr>
      <vt:lpstr>Guanajuato_GENERO_EUA!Títulos_a_imprimir</vt:lpstr>
      <vt:lpstr>Guanajuato_GenGral!Títulos_a_imprimir</vt:lpstr>
      <vt:lpstr>Guanajuato_MUNICIPIO!Títulos_a_imprimir</vt:lpstr>
      <vt:lpstr>Guanajuato_NivelE_Cons!Títulos_a_imprimir</vt:lpstr>
      <vt:lpstr>Guanajuato_ocup_gral!Títulos_a_imprimir</vt:lpstr>
      <vt:lpstr>Guanajuato_USAMuni!Títulos_a_imprimir</vt:lpstr>
      <vt:lpstr>GuanajuatoXCons!Títulos_a_imprimir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cp:lastPrinted>2025-02-18T18:41:47Z</cp:lastPrinted>
  <dcterms:created xsi:type="dcterms:W3CDTF">2020-06-03T20:05:29Z</dcterms:created>
  <dcterms:modified xsi:type="dcterms:W3CDTF">2025-08-22T15:55:11Z</dcterms:modified>
</cp:coreProperties>
</file>