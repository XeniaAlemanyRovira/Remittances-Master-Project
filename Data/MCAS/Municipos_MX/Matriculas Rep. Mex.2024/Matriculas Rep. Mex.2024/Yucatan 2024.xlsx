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8ACC6A03-6AC6-46E6-B4A5-53E6F8D99BC5}" xr6:coauthVersionLast="47" xr6:coauthVersionMax="47" xr10:uidLastSave="{00000000-0000-0000-0000-000000000000}"/>
  <bookViews>
    <workbookView xWindow="-120" yWindow="-120" windowWidth="20730" windowHeight="11160" tabRatio="815" firstSheet="9" activeTab="15" xr2:uid="{00000000-000D-0000-FFFF-FFFF00000000}"/>
  </bookViews>
  <sheets>
    <sheet name="Índice" sheetId="1" r:id="rId1"/>
    <sheet name="Yucatán_EdoUSA" sheetId="2" r:id="rId2"/>
    <sheet name="Yucatán_Cons" sheetId="3" r:id="rId3"/>
    <sheet name="YucatánXCons" sheetId="4" r:id="rId4"/>
    <sheet name="Yucatán_EdoMun" sheetId="5" r:id="rId5"/>
    <sheet name="Yucatán_USAMuni" sheetId="6" r:id="rId6"/>
    <sheet name="Yucatán_MUNICIPIO" sheetId="7" r:id="rId7"/>
    <sheet name="Yucatán_educ_gral" sheetId="8" r:id="rId8"/>
    <sheet name="Yucatán_NivelE_Cons" sheetId="9" r:id="rId9"/>
    <sheet name="Yucatán_EducCons" sheetId="10" r:id="rId10"/>
    <sheet name="Yucatán_GenGral" sheetId="11" r:id="rId11"/>
    <sheet name="Hoja1" sheetId="16" state="hidden" r:id="rId12"/>
    <sheet name="Yucatán_GENERO" sheetId="12" r:id="rId13"/>
    <sheet name="Yucatán_GENERO_EUA" sheetId="15" r:id="rId14"/>
    <sheet name="Yucatán_Gen_Edad" sheetId="13" r:id="rId15"/>
    <sheet name="Yucatán_ocup_gral" sheetId="14" r:id="rId16"/>
  </sheets>
  <definedNames>
    <definedName name="_xlnm._FilterDatabase" localSheetId="6" hidden="1">Yucatán_MUNICIPIO!$B$9:$E$506</definedName>
    <definedName name="_xlnm.Print_Area" localSheetId="2">Yucatán_Cons!$A$1:$E$65</definedName>
    <definedName name="_xlnm.Print_Area" localSheetId="4">Yucatán_EdoMun!$A$1:$E$107</definedName>
    <definedName name="_xlnm.Print_Area" localSheetId="9">Yucatán_EducCons!$A$1:$E$410</definedName>
    <definedName name="_xlnm.Print_Area" localSheetId="14">Yucatán_Gen_Edad!$A$1:$F$36</definedName>
    <definedName name="_xlnm.Print_Area" localSheetId="12">Yucatán_GENERO!$A$1:$F$155</definedName>
    <definedName name="_xlnm.Print_Area" localSheetId="6">Yucatán_MUNICIPIO!$A$1:$G$512</definedName>
    <definedName name="_xlnm.Print_Area" localSheetId="8">Yucatán_NivelE_Cons!$A$1:$F$271</definedName>
    <definedName name="_xlnm.Print_Area" localSheetId="15">Yucatán_ocup_gral!$A$1:$D$54</definedName>
    <definedName name="_xlnm.Print_Area" localSheetId="5">Yucatán_USAMuni!$A$1:$G$377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3" l="1"/>
  <c r="E16" i="13"/>
  <c r="E22" i="13"/>
  <c r="F13" i="13"/>
  <c r="F30" i="13"/>
  <c r="F29" i="13"/>
  <c r="E27" i="13"/>
  <c r="F21" i="13"/>
  <c r="E23" i="13"/>
  <c r="E24" i="13"/>
  <c r="E25" i="13"/>
  <c r="E26" i="13"/>
  <c r="E28" i="13"/>
  <c r="E14" i="13"/>
  <c r="E15" i="13"/>
  <c r="E17" i="13"/>
  <c r="E18" i="13"/>
  <c r="E19" i="13"/>
  <c r="E20" i="13"/>
  <c r="E13" i="13"/>
  <c r="F24" i="13"/>
  <c r="F25" i="13"/>
  <c r="F26" i="13"/>
  <c r="F27" i="13"/>
  <c r="F28" i="13"/>
  <c r="F22" i="13"/>
  <c r="F14" i="13"/>
  <c r="F15" i="13"/>
  <c r="F16" i="13"/>
  <c r="F17" i="13"/>
  <c r="F18" i="13"/>
  <c r="F19" i="13"/>
  <c r="F20" i="13"/>
  <c r="C22" i="4"/>
  <c r="D22" i="4" l="1"/>
</calcChain>
</file>

<file path=xl/sharedStrings.xml><?xml version="1.0" encoding="utf-8"?>
<sst xmlns="http://schemas.openxmlformats.org/spreadsheetml/2006/main" count="2433" uniqueCount="321">
  <si>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</si>
  <si>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</si>
  <si>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</si>
  <si>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</si>
  <si>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</si>
  <si>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</si>
  <si>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</si>
  <si>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</si>
  <si>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</si>
  <si>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</si>
  <si>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</si>
  <si>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</si>
  <si>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</si>
  <si>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</si>
  <si>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</si>
  <si>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</si>
  <si>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Da clic al texto para ir a la información, selecciona                     para regresar. </t>
  </si>
  <si>
    <t>MATRÍCULAS CONSULARES DE ALTA SEGURIDAD EXPEDIDAS A ORIGINARIOS DE YUCATÁN POR ESTADO DE LA UNIÓN AMERICANA</t>
  </si>
  <si>
    <t xml:space="preserve">Estado </t>
  </si>
  <si>
    <t>Número de Matrículas</t>
  </si>
  <si>
    <t>Porcentaje de Matrículas</t>
  </si>
  <si>
    <t>Fuente: Expedición de Matrículas Consulares de Alta Seguridad en los Consulados de México en E.E.U.U.</t>
  </si>
  <si>
    <t xml:space="preserve">Secretaría de Relaciones Exteriores </t>
  </si>
  <si>
    <t>Consulado</t>
  </si>
  <si>
    <t xml:space="preserve">LOS 10 CONSULADOS DE MÉXICO EN EE.UU. CON MAYOR NÚMERO DE EXPEDICIÓN DE MATRÍCULAS CONSULARES </t>
  </si>
  <si>
    <t>Municipio de origen</t>
  </si>
  <si>
    <t>Estado</t>
  </si>
  <si>
    <t>Municipio de Origen</t>
  </si>
  <si>
    <t>MATRÍCULAS CONSULARES EXPEDIDAS EN EE.UU. A ORIGINARIOS DE YUCATÁN POR NIVEL DE EDUCACIÓN.</t>
  </si>
  <si>
    <t>Nivel de Estudios</t>
  </si>
  <si>
    <t>Número de matrículas</t>
  </si>
  <si>
    <t>Nivel</t>
  </si>
  <si>
    <t>MATRÍCULAS CONSULARES EXPEDIDAS A ORIGINARIOS DE YUCATÁN POR GÉNERO EN EE.UU.</t>
  </si>
  <si>
    <t>Género</t>
  </si>
  <si>
    <t>MATRÍCULAS CONSULARES EXPEDIDAS A ORIGINARIOS DE YUCATÁN POR GÉNERO Y CONSULADO DE MÉXICO</t>
  </si>
  <si>
    <t>Edad Cumplida</t>
  </si>
  <si>
    <t>Porcentaje con respecto al Género</t>
  </si>
  <si>
    <t>Porcentaje con respecto al total de Matrículas</t>
  </si>
  <si>
    <t>Ocupación</t>
  </si>
  <si>
    <t>MATRÍCULAS CONSULARES DE ALTA SEGURIDAD EXPEDIDAS A ORIGINARIOS DE YUCATÁN EN LOS CONSULADOS DE MÉXICO EN EE.UU.</t>
  </si>
  <si>
    <t>TOTAL TOP 10</t>
  </si>
  <si>
    <t>SAN FRANCISCO</t>
  </si>
  <si>
    <t>LOS ANGELES</t>
  </si>
  <si>
    <t>DALLAS</t>
  </si>
  <si>
    <t>SAN JOSE</t>
  </si>
  <si>
    <t>PORTLAND</t>
  </si>
  <si>
    <t>DENVER</t>
  </si>
  <si>
    <t>OXNARD</t>
  </si>
  <si>
    <t>SANTA ANA</t>
  </si>
  <si>
    <t>LAS VEGAS</t>
  </si>
  <si>
    <t>SACRAMENTO</t>
  </si>
  <si>
    <t>SAN BERNARDINO</t>
  </si>
  <si>
    <t>HOUSTON</t>
  </si>
  <si>
    <t>LITTLE ROCK</t>
  </si>
  <si>
    <t>CHICAGO</t>
  </si>
  <si>
    <t>KANSAS CITY</t>
  </si>
  <si>
    <t>RALEIGH</t>
  </si>
  <si>
    <t>MIAMI</t>
  </si>
  <si>
    <t>SEATTLE</t>
  </si>
  <si>
    <t>ATLANTA</t>
  </si>
  <si>
    <t>SALT LAKE CITY</t>
  </si>
  <si>
    <t>MCALLEN</t>
  </si>
  <si>
    <t>FRESNO</t>
  </si>
  <si>
    <t>NUEVA ORLEANS</t>
  </si>
  <si>
    <t>ORLANDO</t>
  </si>
  <si>
    <t>AUSTIN</t>
  </si>
  <si>
    <t>OKLAHOMA CITY</t>
  </si>
  <si>
    <t>BOISE</t>
  </si>
  <si>
    <t>NUEVA YORK</t>
  </si>
  <si>
    <t>PHOENIX</t>
  </si>
  <si>
    <t>SAINT PAUL</t>
  </si>
  <si>
    <t>SAN DIEGO</t>
  </si>
  <si>
    <t>DETROIT</t>
  </si>
  <si>
    <t>MILWAUKEE</t>
  </si>
  <si>
    <t>ALBUQUERQUE</t>
  </si>
  <si>
    <t>FILADELFIA</t>
  </si>
  <si>
    <t>SAN ANTONIO</t>
  </si>
  <si>
    <t>INDIANAPOLIS</t>
  </si>
  <si>
    <t>BOSTON</t>
  </si>
  <si>
    <t>OMAHA</t>
  </si>
  <si>
    <t>WASHINGTON</t>
  </si>
  <si>
    <t>BROWNSVILLE</t>
  </si>
  <si>
    <t>LAREDO</t>
  </si>
  <si>
    <t>NEW BRUNSWICK</t>
  </si>
  <si>
    <t>PRESIDIO</t>
  </si>
  <si>
    <t>ALABAMA</t>
  </si>
  <si>
    <t>ARIZONA</t>
  </si>
  <si>
    <t>ARKANSAS</t>
  </si>
  <si>
    <t>CALIFORNIA</t>
  </si>
  <si>
    <t>COLORADO</t>
  </si>
  <si>
    <t>DELAWARE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</si>
  <si>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</si>
  <si>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</si>
  <si>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</si>
  <si>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</si>
  <si>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</si>
  <si>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</si>
  <si>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</si>
  <si>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</si>
  <si>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</si>
  <si>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</si>
  <si>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</si>
  <si>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</si>
  <si>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</si>
  <si>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</si>
  <si>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</si>
  <si>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</si>
  <si>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</si>
  <si>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</si>
  <si>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</si>
  <si>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</si>
  <si>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</si>
  <si>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</si>
  <si>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</si>
  <si>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</si>
  <si>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</si>
  <si>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SOUTH CAROLINA</t>
  </si>
  <si>
    <t>TENNESSEE</t>
  </si>
  <si>
    <t>TEXAS</t>
  </si>
  <si>
    <t>UTAH</t>
  </si>
  <si>
    <t>VIRGINIA</t>
  </si>
  <si>
    <t>WISCONSIN</t>
  </si>
  <si>
    <t>Elaborado por: Análisis de Información, Instituto de Mexicanas y Mexicanos en el Exterior</t>
  </si>
  <si>
    <t>FEMENINO</t>
  </si>
  <si>
    <t>MASCULINO</t>
  </si>
  <si>
    <t>CALOTMUL</t>
  </si>
  <si>
    <t>MOTUL</t>
  </si>
  <si>
    <t>MÉRIDA</t>
  </si>
  <si>
    <t>SINANCHÉ</t>
  </si>
  <si>
    <t>TEKAX</t>
  </si>
  <si>
    <t>TICUL</t>
  </si>
  <si>
    <t>DZIDZANTÚN</t>
  </si>
  <si>
    <t>PETO</t>
  </si>
  <si>
    <t>ACANCEH</t>
  </si>
  <si>
    <t>OXKUTZCAB</t>
  </si>
  <si>
    <t>TZUCACAB</t>
  </si>
  <si>
    <t>UMÁN</t>
  </si>
  <si>
    <t>ABALÁ</t>
  </si>
  <si>
    <t>AKIL</t>
  </si>
  <si>
    <t>BACA</t>
  </si>
  <si>
    <t>BOKOBÁ</t>
  </si>
  <si>
    <t>BUCTZOTZ</t>
  </si>
  <si>
    <t>CACALCHÉN</t>
  </si>
  <si>
    <t>CANSAHCAB</t>
  </si>
  <si>
    <t>CANTAMAYEC</t>
  </si>
  <si>
    <t>CENOTILLO</t>
  </si>
  <si>
    <t>CHACSINKÍN</t>
  </si>
  <si>
    <t>CHAPAB</t>
  </si>
  <si>
    <t>CHEMAX</t>
  </si>
  <si>
    <t>CHICXULUB PUEBLO</t>
  </si>
  <si>
    <t>CHOCHOLÁ</t>
  </si>
  <si>
    <t>CHUMAYEL</t>
  </si>
  <si>
    <t>CONKAL</t>
  </si>
  <si>
    <t>DZEMUL</t>
  </si>
  <si>
    <t>DZILAM DE BRAVO</t>
  </si>
  <si>
    <t>DZITÁS</t>
  </si>
  <si>
    <t>DZONCAUICH</t>
  </si>
  <si>
    <t>DZÁN</t>
  </si>
  <si>
    <t>ESPITA</t>
  </si>
  <si>
    <t>HOCABÁ</t>
  </si>
  <si>
    <t>HOCTÚN</t>
  </si>
  <si>
    <t>HOMÚN</t>
  </si>
  <si>
    <t>HUHÍ</t>
  </si>
  <si>
    <t>HUNUCMÁ</t>
  </si>
  <si>
    <t>IZAMAL</t>
  </si>
  <si>
    <t>KANASÍN</t>
  </si>
  <si>
    <t>KANTUNIL</t>
  </si>
  <si>
    <t>KINCHIL</t>
  </si>
  <si>
    <t>MAMA</t>
  </si>
  <si>
    <t>MANÍ</t>
  </si>
  <si>
    <t>MUNA</t>
  </si>
  <si>
    <t>MUXUPIP</t>
  </si>
  <si>
    <t>PANABÁ</t>
  </si>
  <si>
    <t>PROGRESO</t>
  </si>
  <si>
    <t>SANTA ELENA</t>
  </si>
  <si>
    <t>SEYÉ</t>
  </si>
  <si>
    <t>SOTUTA</t>
  </si>
  <si>
    <t>SUDZAL</t>
  </si>
  <si>
    <t>SUMA</t>
  </si>
  <si>
    <t>TAHDZIÚ</t>
  </si>
  <si>
    <t>TAHMEK</t>
  </si>
  <si>
    <t>TEABO</t>
  </si>
  <si>
    <t>TECOH</t>
  </si>
  <si>
    <t>TEKANTÓ</t>
  </si>
  <si>
    <t>TEKIT</t>
  </si>
  <si>
    <t>TELCHAC PUEBLO</t>
  </si>
  <si>
    <t>TEMAX</t>
  </si>
  <si>
    <t>TETIZ</t>
  </si>
  <si>
    <t>TEYA</t>
  </si>
  <si>
    <t>TIXKOKOB</t>
  </si>
  <si>
    <t>TIXMEHUAC</t>
  </si>
  <si>
    <t>TIZIMÍN</t>
  </si>
  <si>
    <t>TUNKÁS</t>
  </si>
  <si>
    <t>UCÚ</t>
  </si>
  <si>
    <t>VALLADOLID</t>
  </si>
  <si>
    <t>YAXCABÁ</t>
  </si>
  <si>
    <t>HALACHÓ</t>
  </si>
  <si>
    <t>MOCOCHÁ</t>
  </si>
  <si>
    <t>MAXCANÚ</t>
  </si>
  <si>
    <t>XOCCHEL</t>
  </si>
  <si>
    <t>TIXPÉHUAL</t>
  </si>
  <si>
    <t>TINUM</t>
  </si>
  <si>
    <t>YAXKUKUL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</si>
  <si>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</si>
  <si>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</si>
  <si>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</si>
  <si>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</si>
  <si>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</si>
  <si>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</si>
  <si>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</si>
  <si>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</si>
  <si>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</si>
  <si>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</si>
  <si>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</si>
  <si>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</si>
  <si>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</si>
  <si>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</si>
  <si>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</si>
  <si>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</si>
  <si>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</si>
  <si>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</si>
  <si>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</si>
  <si>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</si>
  <si>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</si>
  <si>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</si>
  <si>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</si>
  <si>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</si>
  <si>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</si>
  <si>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</si>
  <si>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</si>
  <si>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</si>
  <si>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</si>
  <si>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</si>
  <si>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ALIMENTOS Y BEBIDAS, ESP. EN PREPARACIÓN DE</t>
  </si>
  <si>
    <t>CONSTRUCCIÓN, TRAB. DE LA IND. DE LA</t>
  </si>
  <si>
    <t>ESTUDIANTE</t>
  </si>
  <si>
    <t>OBRERO(A)</t>
  </si>
  <si>
    <t>MESERO(A)</t>
  </si>
  <si>
    <t>AGROPECUARIA, TRAB. DE LA INDUSTRIA</t>
  </si>
  <si>
    <t>LIMPIEZA, EMPLEADO DE</t>
  </si>
  <si>
    <t>JARDINERO(A)</t>
  </si>
  <si>
    <t>JUBILADO(A)/PENSIONADO(A)</t>
  </si>
  <si>
    <t>PINTOR(A)</t>
  </si>
  <si>
    <t>DESEMPLEADO</t>
  </si>
  <si>
    <t>PROFESIONISTA</t>
  </si>
  <si>
    <t>CAJERO(A)/COBRADOR(A)</t>
  </si>
  <si>
    <t>CARPINTERO/TAPICERO</t>
  </si>
  <si>
    <t>EMPRESARIO(A)</t>
  </si>
  <si>
    <t>SIN ESPECIFICAR</t>
  </si>
  <si>
    <t>MECÁNICO(A)</t>
  </si>
  <si>
    <t>OPERARIO(A)</t>
  </si>
  <si>
    <t>VENDEDOR(A)</t>
  </si>
  <si>
    <t>CHOFER</t>
  </si>
  <si>
    <t>CARNICERO(A)</t>
  </si>
  <si>
    <t>INGENIERO(A)</t>
  </si>
  <si>
    <t>TÉCNICO(A) EN MANTENIMIENTO</t>
  </si>
  <si>
    <t>MATRÍCULAS CONSULARES EXPEDIDAS A ORIGINARIOS DE YUCATÁN POR GÉNERO Y POR ESTADO DE LA UNIÓN AMERICANA</t>
  </si>
  <si>
    <t>MATRÍCULAS CONSULARES DE ALTA SEGURIDAD EXPEDIDAS POR MUNICIPIO  ORIGINARIOS DEL ESTADO DE YUCATÁN EN LOS CONSULADOS DE MÉXICO EN EE.UU.</t>
  </si>
  <si>
    <t>MATRÍCULAS CONSULARES EXPEDIDAS A ORIGINARIOS DE YUCATÁN POR GÉNERO
 Y EDAD EN EE.UU.</t>
  </si>
  <si>
    <t>MATRÍCULAS CONSULARES EXPEDIDAS EN EE.UU. ORIGINARIOS DE YUCATÁN POR PERFIL OCUPACIONAL</t>
  </si>
  <si>
    <t>Tamaño de la muestra: 808,027</t>
  </si>
  <si>
    <t>EL PASO</t>
  </si>
  <si>
    <t>CALEXICO</t>
  </si>
  <si>
    <t>TUCSON</t>
  </si>
  <si>
    <t>HAWAII</t>
  </si>
  <si>
    <t>DESCONOCIDO</t>
  </si>
  <si>
    <t>MAYAPÁN</t>
  </si>
  <si>
    <t>CHANKOM</t>
  </si>
  <si>
    <t>CHICHIMILÁ</t>
  </si>
  <si>
    <t>DZILAM GONZÁLEZ</t>
  </si>
  <si>
    <t>OPICHÉN</t>
  </si>
  <si>
    <t>RÍO LAGARTOS</t>
  </si>
  <si>
    <t>SANAHCAT</t>
  </si>
  <si>
    <t>TELCHAC PUERTO</t>
  </si>
  <si>
    <t>SAMAHIL</t>
  </si>
  <si>
    <t>SUCILÁ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</si>
  <si>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</si>
  <si>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</si>
  <si>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</si>
  <si>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</si>
  <si>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</si>
  <si>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</si>
  <si>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</si>
  <si>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</si>
  <si>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</si>
  <si>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</si>
  <si>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</si>
  <si>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</si>
  <si>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</si>
  <si>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MENORES DE EDAD</t>
  </si>
  <si>
    <t>ENTRE 00 Y 10 AÑOS</t>
  </si>
  <si>
    <t>ENTRE 11 Y 17 AÑOS</t>
  </si>
  <si>
    <t xml:space="preserve">MASCULINO  </t>
  </si>
  <si>
    <t xml:space="preserve">FEMENINO  </t>
  </si>
  <si>
    <t>OTRO</t>
  </si>
  <si>
    <t>COMERCIANTE</t>
  </si>
  <si>
    <t>AEROCOMERCIAL, TRAB. DE LA INDUSTRIA</t>
  </si>
  <si>
    <t>GERENTE/DIRECTOR(A)</t>
  </si>
  <si>
    <t>PROFESOR(A)</t>
  </si>
  <si>
    <t>SOLDADOR</t>
  </si>
  <si>
    <t>BELLEZA, PROFESIONAL DE SERVICIOS DE</t>
  </si>
  <si>
    <t>DISCAPACITADO</t>
  </si>
  <si>
    <t>ENFERMERO(A)/TRAB. DE APOYO EN SALUD</t>
  </si>
  <si>
    <t>TRABAJADOR(A) DOMÉSTICO(A)</t>
  </si>
  <si>
    <t>AUSTIN TOTAL</t>
  </si>
  <si>
    <t>CHICAGO TOTAL</t>
  </si>
  <si>
    <t>DALLAS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</si>
  <si>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</si>
  <si>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</si>
  <si>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</si>
  <si>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</si>
  <si>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</si>
  <si>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</si>
  <si>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</si>
  <si>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</si>
  <si>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 xml:space="preserve"> TOTAL</t>
  </si>
  <si>
    <t xml:space="preserve"> TOTAL </t>
  </si>
  <si>
    <t xml:space="preserve">TOTAL </t>
  </si>
  <si>
    <t>TOTAL</t>
  </si>
  <si>
    <t>Junio de 2025</t>
  </si>
  <si>
    <t xml:space="preserve">  Matrículas consulares expedidas a originarios de Yucatán en el 2024.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</si>
</sst>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9"/>
      <color theme="1"/>
      <name val="Montserrat"/>
    </font>
    <font>
      <sz val="11"/>
      <color indexed="8"/>
      <name val="Calibri"/>
      <family val="2"/>
    </font>
    <font>
      <sz val="10"/>
      <name val="Arial"/>
      <family val="2"/>
    </font>
    <font>
      <u/>
      <sz val="11"/>
      <color theme="0"/>
      <name val="Calibri"/>
      <family val="2"/>
      <scheme val="minor"/>
    </font>
    <font>
      <sz val="11"/>
      <color theme="1"/>
      <name val="Noto Sans"/>
      <family val="2"/>
    </font>
    <font>
      <sz val="10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sz val="8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indexed="9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9"/>
      <color theme="0"/>
      <name val="Noto Sans"/>
      <family val="2"/>
    </font>
    <font>
      <b/>
      <sz val="9"/>
      <color theme="0"/>
      <name val="Noto Sans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4" fillId="0" borderId="0" applyNumberFormat="0" applyFill="0" applyBorder="0" applyAlignment="0" applyProtection="0"/>
    <xf numFmtId="0" fontId="7" fillId="0" borderId="0"/>
    <xf numFmtId="0" fontId="8" fillId="0" borderId="0"/>
    <xf numFmtId="9" fontId="21" fillId="0" borderId="0" applyFont="0" applyFill="0" applyBorder="0" applyAlignment="0" applyProtection="0"/>
  </cellStyleXfs>
  <cellXfs count="106">
    <xf numFmtId="0" fontId="0" fillId="0" borderId="0" xfId="0"/>
    <xf numFmtId="0" fontId="0" fillId="3" borderId="0" xfId="0" applyFill="1"/>
    <xf numFmtId="0" fontId="9" fillId="3" borderId="0" xfId="1" applyFont="1" applyFill="1"/>
    <xf numFmtId="0" fontId="2" fillId="3" borderId="4" xfId="0" applyFont="1" applyFill="1" applyBorder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3" borderId="5" xfId="0" applyFont="1" applyFill="1" applyBorder="1" applyAlignment="1">
      <alignment horizontal="left" wrapText="1"/>
    </xf>
    <xf numFmtId="0" fontId="2" fillId="3" borderId="4" xfId="0" applyFont="1" applyFill="1" applyBorder="1"/>
    <xf numFmtId="0" fontId="2" fillId="3" borderId="0" xfId="0" applyFont="1" applyFill="1"/>
    <xf numFmtId="0" fontId="2" fillId="3" borderId="5" xfId="0" applyFont="1" applyFill="1" applyBorder="1"/>
    <xf numFmtId="0" fontId="3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6" fillId="0" borderId="0" xfId="0" applyFont="1"/>
    <xf numFmtId="0" fontId="10" fillId="0" borderId="0" xfId="0" applyFont="1"/>
    <xf numFmtId="0" fontId="12" fillId="2" borderId="11" xfId="0" applyFont="1" applyFill="1" applyBorder="1" applyAlignment="1">
      <alignment horizontal="center" vertical="center" wrapText="1"/>
    </xf>
    <xf numFmtId="1" fontId="12" fillId="2" borderId="11" xfId="0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vertical="top"/>
    </xf>
    <xf numFmtId="0" fontId="13" fillId="3" borderId="0" xfId="0" applyFont="1" applyFill="1"/>
    <xf numFmtId="0" fontId="13" fillId="3" borderId="0" xfId="0" applyFont="1" applyFill="1" applyAlignment="1">
      <alignment vertical="center"/>
    </xf>
    <xf numFmtId="0" fontId="10" fillId="3" borderId="0" xfId="0" applyFont="1" applyFill="1"/>
    <xf numFmtId="3" fontId="14" fillId="3" borderId="0" xfId="0" applyNumberFormat="1" applyFont="1" applyFill="1"/>
    <xf numFmtId="0" fontId="12" fillId="2" borderId="9" xfId="0" applyFont="1" applyFill="1" applyBorder="1" applyAlignment="1">
      <alignment horizontal="center" vertical="center" wrapText="1"/>
    </xf>
    <xf numFmtId="1" fontId="12" fillId="2" borderId="10" xfId="0" applyNumberFormat="1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49" fontId="12" fillId="4" borderId="11" xfId="0" applyNumberFormat="1" applyFont="1" applyFill="1" applyBorder="1" applyAlignment="1">
      <alignment vertical="center" wrapText="1"/>
    </xf>
    <xf numFmtId="3" fontId="12" fillId="4" borderId="11" xfId="0" applyNumberFormat="1" applyFont="1" applyFill="1" applyBorder="1" applyAlignment="1">
      <alignment horizontal="right" vertical="center" wrapText="1"/>
    </xf>
    <xf numFmtId="0" fontId="16" fillId="2" borderId="10" xfId="2" applyFont="1" applyFill="1" applyBorder="1" applyAlignment="1">
      <alignment horizontal="center" vertical="center" wrapText="1"/>
    </xf>
    <xf numFmtId="0" fontId="12" fillId="2" borderId="10" xfId="2" applyFont="1" applyFill="1" applyBorder="1" applyAlignment="1">
      <alignment horizontal="center" vertical="center" wrapText="1"/>
    </xf>
    <xf numFmtId="1" fontId="16" fillId="2" borderId="10" xfId="2" applyNumberFormat="1" applyFont="1" applyFill="1" applyBorder="1" applyAlignment="1">
      <alignment horizontal="center" vertical="center" wrapText="1"/>
    </xf>
    <xf numFmtId="0" fontId="17" fillId="0" borderId="0" xfId="0" applyFont="1"/>
    <xf numFmtId="49" fontId="12" fillId="7" borderId="11" xfId="0" applyNumberFormat="1" applyFont="1" applyFill="1" applyBorder="1" applyAlignment="1">
      <alignment vertical="center" wrapText="1"/>
    </xf>
    <xf numFmtId="3" fontId="12" fillId="7" borderId="11" xfId="0" applyNumberFormat="1" applyFont="1" applyFill="1" applyBorder="1" applyAlignment="1">
      <alignment horizontal="right" vertical="center" wrapText="1"/>
    </xf>
    <xf numFmtId="164" fontId="12" fillId="7" borderId="11" xfId="0" applyNumberFormat="1" applyFont="1" applyFill="1" applyBorder="1" applyAlignment="1">
      <alignment horizontal="right" vertical="center" wrapText="1"/>
    </xf>
    <xf numFmtId="3" fontId="15" fillId="6" borderId="11" xfId="0" applyNumberFormat="1" applyFont="1" applyFill="1" applyBorder="1" applyAlignment="1">
      <alignment horizontal="right" vertical="center" wrapText="1"/>
    </xf>
    <xf numFmtId="49" fontId="12" fillId="7" borderId="11" xfId="3" applyNumberFormat="1" applyFont="1" applyFill="1" applyBorder="1" applyAlignment="1">
      <alignment vertical="top" wrapText="1"/>
    </xf>
    <xf numFmtId="165" fontId="12" fillId="7" borderId="11" xfId="3" applyNumberFormat="1" applyFont="1" applyFill="1" applyBorder="1" applyAlignment="1">
      <alignment horizontal="right" vertical="top" wrapText="1"/>
    </xf>
    <xf numFmtId="164" fontId="12" fillId="7" borderId="11" xfId="3" applyNumberFormat="1" applyFont="1" applyFill="1" applyBorder="1" applyAlignment="1">
      <alignment horizontal="right" vertical="top" wrapText="1"/>
    </xf>
    <xf numFmtId="3" fontId="12" fillId="8" borderId="11" xfId="0" applyNumberFormat="1" applyFont="1" applyFill="1" applyBorder="1" applyAlignment="1">
      <alignment horizontal="right" wrapText="1"/>
    </xf>
    <xf numFmtId="164" fontId="12" fillId="8" borderId="11" xfId="0" applyNumberFormat="1" applyFont="1" applyFill="1" applyBorder="1" applyAlignment="1">
      <alignment horizontal="right" wrapText="1"/>
    </xf>
    <xf numFmtId="0" fontId="18" fillId="0" borderId="11" xfId="0" applyFont="1" applyBorder="1" applyAlignment="1">
      <alignment vertical="center" wrapText="1"/>
    </xf>
    <xf numFmtId="0" fontId="18" fillId="5" borderId="11" xfId="0" applyFont="1" applyFill="1" applyBorder="1" applyAlignment="1">
      <alignment horizontal="right" vertical="center" wrapText="1"/>
    </xf>
    <xf numFmtId="10" fontId="18" fillId="5" borderId="11" xfId="0" applyNumberFormat="1" applyFont="1" applyFill="1" applyBorder="1" applyAlignment="1">
      <alignment horizontal="right" vertical="center" wrapText="1"/>
    </xf>
    <xf numFmtId="0" fontId="12" fillId="7" borderId="11" xfId="0" applyFont="1" applyFill="1" applyBorder="1" applyAlignment="1">
      <alignment vertical="center" wrapText="1"/>
    </xf>
    <xf numFmtId="0" fontId="12" fillId="7" borderId="11" xfId="0" applyFont="1" applyFill="1" applyBorder="1" applyAlignment="1">
      <alignment horizontal="right" vertical="center" wrapText="1"/>
    </xf>
    <xf numFmtId="10" fontId="12" fillId="7" borderId="11" xfId="0" applyNumberFormat="1" applyFont="1" applyFill="1" applyBorder="1" applyAlignment="1">
      <alignment horizontal="right" vertical="center" wrapText="1"/>
    </xf>
    <xf numFmtId="10" fontId="19" fillId="7" borderId="11" xfId="0" applyNumberFormat="1" applyFont="1" applyFill="1" applyBorder="1" applyAlignment="1">
      <alignment horizontal="right" vertical="center" wrapText="1"/>
    </xf>
    <xf numFmtId="0" fontId="19" fillId="7" borderId="11" xfId="0" applyFont="1" applyFill="1" applyBorder="1" applyAlignment="1">
      <alignment vertical="center" wrapText="1"/>
    </xf>
    <xf numFmtId="0" fontId="12" fillId="7" borderId="17" xfId="0" applyFont="1" applyFill="1" applyBorder="1" applyAlignment="1">
      <alignment vertical="center" wrapText="1"/>
    </xf>
    <xf numFmtId="0" fontId="12" fillId="4" borderId="11" xfId="0" applyFont="1" applyFill="1" applyBorder="1" applyAlignment="1">
      <alignment vertical="center" wrapText="1"/>
    </xf>
    <xf numFmtId="10" fontId="12" fillId="4" borderId="11" xfId="0" applyNumberFormat="1" applyFont="1" applyFill="1" applyBorder="1" applyAlignment="1">
      <alignment horizontal="right" vertical="center" wrapText="1"/>
    </xf>
    <xf numFmtId="49" fontId="17" fillId="0" borderId="11" xfId="0" applyNumberFormat="1" applyFont="1" applyBorder="1" applyAlignment="1">
      <alignment vertical="top" wrapText="1"/>
    </xf>
    <xf numFmtId="165" fontId="18" fillId="5" borderId="11" xfId="0" applyNumberFormat="1" applyFont="1" applyFill="1" applyBorder="1" applyAlignment="1">
      <alignment horizontal="right" vertical="top" wrapText="1"/>
    </xf>
    <xf numFmtId="164" fontId="18" fillId="5" borderId="11" xfId="0" applyNumberFormat="1" applyFont="1" applyFill="1" applyBorder="1" applyAlignment="1">
      <alignment horizontal="right" vertical="top" wrapText="1"/>
    </xf>
    <xf numFmtId="49" fontId="12" fillId="4" borderId="11" xfId="0" applyNumberFormat="1" applyFont="1" applyFill="1" applyBorder="1" applyAlignment="1">
      <alignment vertical="top" wrapText="1"/>
    </xf>
    <xf numFmtId="165" fontId="12" fillId="4" borderId="11" xfId="0" applyNumberFormat="1" applyFont="1" applyFill="1" applyBorder="1" applyAlignment="1">
      <alignment horizontal="right" vertical="top" wrapText="1"/>
    </xf>
    <xf numFmtId="164" fontId="12" fillId="4" borderId="11" xfId="0" applyNumberFormat="1" applyFont="1" applyFill="1" applyBorder="1" applyAlignment="1">
      <alignment horizontal="right" vertical="top" wrapText="1"/>
    </xf>
    <xf numFmtId="0" fontId="18" fillId="0" borderId="10" xfId="0" applyFont="1" applyBorder="1" applyAlignment="1">
      <alignment vertical="center" wrapText="1"/>
    </xf>
    <xf numFmtId="0" fontId="18" fillId="0" borderId="13" xfId="0" applyFont="1" applyBorder="1" applyAlignment="1">
      <alignment vertical="center" wrapText="1"/>
    </xf>
    <xf numFmtId="49" fontId="12" fillId="7" borderId="11" xfId="0" applyNumberFormat="1" applyFont="1" applyFill="1" applyBorder="1" applyAlignment="1">
      <alignment vertical="top" wrapText="1"/>
    </xf>
    <xf numFmtId="165" fontId="12" fillId="7" borderId="11" xfId="0" applyNumberFormat="1" applyFont="1" applyFill="1" applyBorder="1" applyAlignment="1">
      <alignment horizontal="right" vertical="top" wrapText="1"/>
    </xf>
    <xf numFmtId="164" fontId="12" fillId="7" borderId="11" xfId="0" applyNumberFormat="1" applyFont="1" applyFill="1" applyBorder="1" applyAlignment="1">
      <alignment horizontal="right" vertical="top" wrapText="1"/>
    </xf>
    <xf numFmtId="3" fontId="18" fillId="5" borderId="11" xfId="0" applyNumberFormat="1" applyFont="1" applyFill="1" applyBorder="1" applyAlignment="1">
      <alignment horizontal="right" vertical="center" wrapText="1"/>
    </xf>
    <xf numFmtId="165" fontId="12" fillId="4" borderId="11" xfId="0" applyNumberFormat="1" applyFont="1" applyFill="1" applyBorder="1" applyAlignment="1">
      <alignment horizontal="left" vertical="top" wrapText="1"/>
    </xf>
    <xf numFmtId="0" fontId="17" fillId="3" borderId="11" xfId="0" applyFont="1" applyFill="1" applyBorder="1"/>
    <xf numFmtId="0" fontId="18" fillId="0" borderId="14" xfId="0" applyFont="1" applyBorder="1" applyAlignment="1">
      <alignment vertical="center" wrapText="1"/>
    </xf>
    <xf numFmtId="0" fontId="20" fillId="7" borderId="11" xfId="0" applyFont="1" applyFill="1" applyBorder="1" applyAlignment="1">
      <alignment horizontal="right" vertical="center" wrapText="1"/>
    </xf>
    <xf numFmtId="10" fontId="20" fillId="7" borderId="11" xfId="0" applyNumberFormat="1" applyFont="1" applyFill="1" applyBorder="1" applyAlignment="1">
      <alignment horizontal="right" vertical="center" wrapText="1"/>
    </xf>
    <xf numFmtId="10" fontId="20" fillId="4" borderId="11" xfId="0" applyNumberFormat="1" applyFont="1" applyFill="1" applyBorder="1" applyAlignment="1">
      <alignment horizontal="right" vertical="center" wrapText="1"/>
    </xf>
    <xf numFmtId="0" fontId="20" fillId="7" borderId="11" xfId="0" applyFont="1" applyFill="1" applyBorder="1" applyAlignment="1">
      <alignment vertical="center" wrapText="1"/>
    </xf>
    <xf numFmtId="9" fontId="17" fillId="0" borderId="11" xfId="4" applyFont="1" applyBorder="1"/>
    <xf numFmtId="9" fontId="12" fillId="7" borderId="11" xfId="4" applyFont="1" applyFill="1" applyBorder="1" applyAlignment="1">
      <alignment vertical="top" wrapText="1"/>
    </xf>
    <xf numFmtId="9" fontId="12" fillId="7" borderId="11" xfId="4" applyFont="1" applyFill="1" applyBorder="1"/>
    <xf numFmtId="9" fontId="12" fillId="4" borderId="11" xfId="4" applyFont="1" applyFill="1" applyBorder="1"/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left" wrapText="1"/>
    </xf>
    <xf numFmtId="0" fontId="3" fillId="3" borderId="0" xfId="0" applyFont="1" applyFill="1" applyAlignment="1">
      <alignment horizontal="left" wrapText="1"/>
    </xf>
    <xf numFmtId="0" fontId="3" fillId="3" borderId="5" xfId="0" applyFont="1" applyFill="1" applyBorder="1" applyAlignment="1">
      <alignment horizontal="left" wrapText="1"/>
    </xf>
    <xf numFmtId="0" fontId="11" fillId="0" borderId="0" xfId="0" applyFont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0" fontId="12" fillId="4" borderId="11" xfId="0" applyFont="1" applyFill="1" applyBorder="1" applyAlignment="1">
      <alignment vertic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49" fontId="12" fillId="8" borderId="11" xfId="0" applyNumberFormat="1" applyFont="1" applyFill="1" applyBorder="1" applyAlignment="1">
      <alignment horizontal="left" vertical="center" wrapText="1"/>
    </xf>
    <xf numFmtId="0" fontId="18" fillId="0" borderId="10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/>
    </xf>
    <xf numFmtId="0" fontId="20" fillId="4" borderId="11" xfId="0" applyFont="1" applyFill="1" applyBorder="1" applyAlignment="1">
      <alignment vertical="center" wrapText="1"/>
    </xf>
    <xf numFmtId="49" fontId="17" fillId="0" borderId="10" xfId="0" applyNumberFormat="1" applyFont="1" applyBorder="1" applyAlignment="1">
      <alignment horizontal="center" vertical="center" wrapText="1"/>
    </xf>
    <xf numFmtId="49" fontId="17" fillId="0" borderId="13" xfId="0" applyNumberFormat="1" applyFont="1" applyBorder="1" applyAlignment="1">
      <alignment horizontal="center" vertical="center" wrapText="1"/>
    </xf>
    <xf numFmtId="49" fontId="17" fillId="0" borderId="14" xfId="0" applyNumberFormat="1" applyFont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left" vertical="top" wrapText="1"/>
    </xf>
    <xf numFmtId="49" fontId="12" fillId="4" borderId="17" xfId="0" applyNumberFormat="1" applyFont="1" applyFill="1" applyBorder="1" applyAlignment="1">
      <alignment horizontal="left" vertical="top" wrapText="1"/>
    </xf>
    <xf numFmtId="3" fontId="20" fillId="4" borderId="11" xfId="0" applyNumberFormat="1" applyFont="1" applyFill="1" applyBorder="1" applyAlignment="1">
      <alignment horizontal="right" vertical="center" wrapText="1"/>
    </xf>
  </cellXfs>
  <cellStyles count="5">
    <cellStyle name="Hipervínculo" xfId="1" builtinId="8"/>
    <cellStyle name="Normal" xfId="0" builtinId="0"/>
    <cellStyle name="Normal 2" xfId="3" xr:uid="{00000000-0005-0000-0000-000002000000}"/>
    <cellStyle name="Normal_Hoja1" xfId="2" xr:uid="{00000000-0005-0000-0000-000003000000}"/>
    <cellStyle name="Porcentaje" xfId="4" builtinId="5"/>
  </cellStyles>
  <dxfs count="0"/>
  <tableStyles count="1" defaultTableStyle="TableStyleMedium2" defaultPivotStyle="PivotStyleLight16">
    <tableStyle name="Invisible" pivot="0" table="0" count="0" xr9:uid="{EEE53047-CAF6-49A2-AEC4-6DF4DD69584E}"/>
  </tableStyles>
  <colors>
    <mruColors>
      <color rgb="FFFFC0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375366</xdr:colOff>
      <xdr:row>1</xdr:row>
      <xdr:rowOff>69850</xdr:rowOff>
    </xdr:from>
    <xdr:to>
      <xdr:col>3</xdr:col>
      <xdr:colOff>887463</xdr:colOff>
      <xdr:row>2</xdr:row>
      <xdr:rowOff>37792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25016" y="609600"/>
          <a:ext cx="512097" cy="22194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1</xdr:row>
      <xdr:rowOff>12700</xdr:rowOff>
    </xdr:from>
    <xdr:to>
      <xdr:col>4</xdr:col>
      <xdr:colOff>673100</xdr:colOff>
      <xdr:row>5</xdr:row>
      <xdr:rowOff>95250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id="{6BA0A98C-1B7A-4A81-A3A4-399E44983F2E}"/>
            </a:ext>
          </a:extLst>
        </xdr:cNvPr>
        <xdr:cNvSpPr txBox="1"/>
      </xdr:nvSpPr>
      <xdr:spPr>
        <a:xfrm>
          <a:off x="196850" y="196850"/>
          <a:ext cx="5016500" cy="101600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4</xdr:col>
      <xdr:colOff>12700</xdr:colOff>
      <xdr:row>6</xdr:row>
      <xdr:rowOff>158750</xdr:rowOff>
    </xdr:from>
    <xdr:to>
      <xdr:col>4</xdr:col>
      <xdr:colOff>537001</xdr:colOff>
      <xdr:row>7</xdr:row>
      <xdr:rowOff>149118</xdr:rowOff>
    </xdr:to>
    <xdr:pic>
      <xdr:nvPicPr>
        <xdr:cNvPr id="10" name="Imagen 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25950" y="1504950"/>
          <a:ext cx="524301" cy="225318"/>
        </a:xfrm>
        <a:prstGeom prst="rect">
          <a:avLst/>
        </a:prstGeom>
      </xdr:spPr>
    </xdr:pic>
    <xdr:clientData/>
  </xdr:twoCellAnchor>
  <xdr:twoCellAnchor editAs="oneCell">
    <xdr:from>
      <xdr:col>0</xdr:col>
      <xdr:colOff>320675</xdr:colOff>
      <xdr:row>1</xdr:row>
      <xdr:rowOff>139700</xdr:rowOff>
    </xdr:from>
    <xdr:to>
      <xdr:col>2</xdr:col>
      <xdr:colOff>75096</xdr:colOff>
      <xdr:row>2</xdr:row>
      <xdr:rowOff>171077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3E07AB0-1043-410F-8CF0-30DB15C2E3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675" y="33020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120650</xdr:colOff>
      <xdr:row>1</xdr:row>
      <xdr:rowOff>73025</xdr:rowOff>
    </xdr:from>
    <xdr:to>
      <xdr:col>4</xdr:col>
      <xdr:colOff>560870</xdr:colOff>
      <xdr:row>3</xdr:row>
      <xdr:rowOff>160460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D95FD30-4439-49BB-A7B4-542A575A6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0225" y="26352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1</xdr:row>
      <xdr:rowOff>25400</xdr:rowOff>
    </xdr:from>
    <xdr:to>
      <xdr:col>4</xdr:col>
      <xdr:colOff>622300</xdr:colOff>
      <xdr:row>5</xdr:row>
      <xdr:rowOff>107950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id="{9F0DCF9F-0AED-455F-BDE4-7212690538E5}"/>
            </a:ext>
          </a:extLst>
        </xdr:cNvPr>
        <xdr:cNvSpPr txBox="1"/>
      </xdr:nvSpPr>
      <xdr:spPr>
        <a:xfrm>
          <a:off x="190500" y="209550"/>
          <a:ext cx="5016500" cy="81915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524301</xdr:colOff>
      <xdr:row>8</xdr:row>
      <xdr:rowOff>469</xdr:rowOff>
    </xdr:to>
    <xdr:pic>
      <xdr:nvPicPr>
        <xdr:cNvPr id="10" name="Imagen 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10075" y="1333500"/>
          <a:ext cx="524301" cy="231668"/>
        </a:xfrm>
        <a:prstGeom prst="rect">
          <a:avLst/>
        </a:prstGeom>
      </xdr:spPr>
    </xdr:pic>
    <xdr:clientData/>
  </xdr:twoCellAnchor>
  <xdr:twoCellAnchor editAs="oneCell">
    <xdr:from>
      <xdr:col>0</xdr:col>
      <xdr:colOff>271607</xdr:colOff>
      <xdr:row>2</xdr:row>
      <xdr:rowOff>10391</xdr:rowOff>
    </xdr:from>
    <xdr:to>
      <xdr:col>1</xdr:col>
      <xdr:colOff>1128042</xdr:colOff>
      <xdr:row>3</xdr:row>
      <xdr:rowOff>44655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CB176BD-554F-4A25-AA73-866C5E88D5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1607" y="391391"/>
          <a:ext cx="1618435" cy="22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89477</xdr:colOff>
      <xdr:row>1</xdr:row>
      <xdr:rowOff>81395</xdr:rowOff>
    </xdr:from>
    <xdr:to>
      <xdr:col>4</xdr:col>
      <xdr:colOff>529697</xdr:colOff>
      <xdr:row>3</xdr:row>
      <xdr:rowOff>174603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0039E4C-C71D-422C-9BA0-ED4EDB967D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7177" y="271895"/>
          <a:ext cx="440220" cy="4742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302137</xdr:colOff>
      <xdr:row>1</xdr:row>
      <xdr:rowOff>12700</xdr:rowOff>
    </xdr:from>
    <xdr:to>
      <xdr:col>4</xdr:col>
      <xdr:colOff>571500</xdr:colOff>
      <xdr:row>5</xdr:row>
      <xdr:rowOff>88900</xdr:rowOff>
    </xdr:to>
    <xdr:sp macro="" textlink="">
      <xdr:nvSpPr>
        <xdr:cNvPr id="4" name="Encabezado">
          <a:extLst>
            <a:ext uri="{FF2B5EF4-FFF2-40B4-BE49-F238E27FC236}">
              <a16:creationId xmlns:a16="http://schemas.microsoft.com/office/drawing/2014/main" id="{FB399390-F8F0-4305-9A63-AAA2CB40E6E4}"/>
            </a:ext>
          </a:extLst>
        </xdr:cNvPr>
        <xdr:cNvSpPr txBox="1"/>
      </xdr:nvSpPr>
      <xdr:spPr>
        <a:xfrm>
          <a:off x="302137" y="197055"/>
          <a:ext cx="4939686" cy="101845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4</xdr:col>
      <xdr:colOff>82550</xdr:colOff>
      <xdr:row>7</xdr:row>
      <xdr:rowOff>88900</xdr:rowOff>
    </xdr:from>
    <xdr:to>
      <xdr:col>4</xdr:col>
      <xdr:colOff>606851</xdr:colOff>
      <xdr:row>8</xdr:row>
      <xdr:rowOff>76298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56150" y="1581150"/>
          <a:ext cx="524301" cy="225318"/>
        </a:xfrm>
        <a:prstGeom prst="rect">
          <a:avLst/>
        </a:prstGeom>
      </xdr:spPr>
    </xdr:pic>
    <xdr:clientData/>
  </xdr:twoCellAnchor>
  <xdr:twoCellAnchor editAs="oneCell">
    <xdr:from>
      <xdr:col>0</xdr:col>
      <xdr:colOff>386018</xdr:colOff>
      <xdr:row>1</xdr:row>
      <xdr:rowOff>150043</xdr:rowOff>
    </xdr:from>
    <xdr:to>
      <xdr:col>1</xdr:col>
      <xdr:colOff>1246875</xdr:colOff>
      <xdr:row>2</xdr:row>
      <xdr:rowOff>179883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9E9DC28-5036-47CB-9BE5-FF4DFCD7B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6018" y="340543"/>
          <a:ext cx="1622857" cy="220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1106231</xdr:colOff>
      <xdr:row>1</xdr:row>
      <xdr:rowOff>92895</xdr:rowOff>
    </xdr:from>
    <xdr:to>
      <xdr:col>4</xdr:col>
      <xdr:colOff>401915</xdr:colOff>
      <xdr:row>3</xdr:row>
      <xdr:rowOff>177257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7627948-D2D5-4C6A-8973-73884FFBC4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59031" y="283395"/>
          <a:ext cx="438684" cy="4653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8</xdr:row>
      <xdr:rowOff>0</xdr:rowOff>
    </xdr:from>
    <xdr:to>
      <xdr:col>4</xdr:col>
      <xdr:colOff>524301</xdr:colOff>
      <xdr:row>9</xdr:row>
      <xdr:rowOff>1425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95850" y="1628775"/>
          <a:ext cx="524301" cy="231668"/>
        </a:xfrm>
        <a:prstGeom prst="rect">
          <a:avLst/>
        </a:prstGeom>
      </xdr:spPr>
    </xdr:pic>
    <xdr:clientData/>
  </xdr:twoCellAnchor>
  <xdr:twoCellAnchor>
    <xdr:from>
      <xdr:col>0</xdr:col>
      <xdr:colOff>352973</xdr:colOff>
      <xdr:row>1</xdr:row>
      <xdr:rowOff>8101</xdr:rowOff>
    </xdr:from>
    <xdr:to>
      <xdr:col>4</xdr:col>
      <xdr:colOff>479973</xdr:colOff>
      <xdr:row>4</xdr:row>
      <xdr:rowOff>269108</xdr:rowOff>
    </xdr:to>
    <xdr:sp macro="" textlink="">
      <xdr:nvSpPr>
        <xdr:cNvPr id="4" name="Encabezado">
          <a:extLst>
            <a:ext uri="{FF2B5EF4-FFF2-40B4-BE49-F238E27FC236}">
              <a16:creationId xmlns:a16="http://schemas.microsoft.com/office/drawing/2014/main" id="{C11D68CB-867F-4A76-90CE-21C9F4329650}"/>
            </a:ext>
          </a:extLst>
        </xdr:cNvPr>
        <xdr:cNvSpPr txBox="1"/>
      </xdr:nvSpPr>
      <xdr:spPr>
        <a:xfrm>
          <a:off x="352973" y="194222"/>
          <a:ext cx="5223422" cy="1021912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0</xdr:col>
      <xdr:colOff>495848</xdr:colOff>
      <xdr:row>1</xdr:row>
      <xdr:rowOff>138587</xdr:rowOff>
    </xdr:from>
    <xdr:to>
      <xdr:col>1</xdr:col>
      <xdr:colOff>1353527</xdr:colOff>
      <xdr:row>2</xdr:row>
      <xdr:rowOff>171606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824A813-9FB3-4017-B807-6E47EF816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848" y="329087"/>
          <a:ext cx="1619679" cy="2235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1149460</xdr:colOff>
      <xdr:row>1</xdr:row>
      <xdr:rowOff>61074</xdr:rowOff>
    </xdr:from>
    <xdr:to>
      <xdr:col>4</xdr:col>
      <xdr:colOff>234831</xdr:colOff>
      <xdr:row>3</xdr:row>
      <xdr:rowOff>151794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58ECB08-7720-4118-AFEF-BAA8EA4C0E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88364" y="251574"/>
          <a:ext cx="440852" cy="471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381991</xdr:colOff>
      <xdr:row>1</xdr:row>
      <xdr:rowOff>19050</xdr:rowOff>
    </xdr:from>
    <xdr:to>
      <xdr:col>4</xdr:col>
      <xdr:colOff>1106290</xdr:colOff>
      <xdr:row>4</xdr:row>
      <xdr:rowOff>190500</xdr:rowOff>
    </xdr:to>
    <xdr:sp macro="" textlink="">
      <xdr:nvSpPr>
        <xdr:cNvPr id="4" name="Encabezado">
          <a:extLst>
            <a:ext uri="{FF2B5EF4-FFF2-40B4-BE49-F238E27FC236}">
              <a16:creationId xmlns:a16="http://schemas.microsoft.com/office/drawing/2014/main" id="{7B4C8AD9-5512-4510-BD38-CE4C05EE19C6}"/>
            </a:ext>
          </a:extLst>
        </xdr:cNvPr>
        <xdr:cNvSpPr txBox="1"/>
      </xdr:nvSpPr>
      <xdr:spPr>
        <a:xfrm>
          <a:off x="381991" y="202605"/>
          <a:ext cx="5213947" cy="1014809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730250</xdr:colOff>
      <xdr:row>4</xdr:row>
      <xdr:rowOff>311150</xdr:rowOff>
    </xdr:from>
    <xdr:to>
      <xdr:col>5</xdr:col>
      <xdr:colOff>34925</xdr:colOff>
      <xdr:row>8</xdr:row>
      <xdr:rowOff>3175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30250" y="1339850"/>
          <a:ext cx="5622925" cy="6254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YUCATÁN POR ESTADO EN EE.UU.</a:t>
          </a:r>
        </a:p>
        <a:p>
          <a:endParaRPr lang="es-MX" sz="1100"/>
        </a:p>
      </xdr:txBody>
    </xdr:sp>
    <xdr:clientData/>
  </xdr:twoCellAnchor>
  <xdr:twoCellAnchor editAs="oneCell">
    <xdr:from>
      <xdr:col>4</xdr:col>
      <xdr:colOff>474596</xdr:colOff>
      <xdr:row>7</xdr:row>
      <xdr:rowOff>31419</xdr:rowOff>
    </xdr:from>
    <xdr:to>
      <xdr:col>4</xdr:col>
      <xdr:colOff>998897</xdr:colOff>
      <xdr:row>7</xdr:row>
      <xdr:rowOff>256142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64244" y="1807435"/>
          <a:ext cx="524301" cy="224723"/>
        </a:xfrm>
        <a:prstGeom prst="rect">
          <a:avLst/>
        </a:prstGeom>
      </xdr:spPr>
    </xdr:pic>
    <xdr:clientData/>
  </xdr:twoCellAnchor>
  <xdr:twoCellAnchor editAs="oneCell">
    <xdr:from>
      <xdr:col>1</xdr:col>
      <xdr:colOff>37503</xdr:colOff>
      <xdr:row>1</xdr:row>
      <xdr:rowOff>128883</xdr:rowOff>
    </xdr:from>
    <xdr:to>
      <xdr:col>2</xdr:col>
      <xdr:colOff>497964</xdr:colOff>
      <xdr:row>2</xdr:row>
      <xdr:rowOff>157284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511B9D-69EC-48EC-A73C-DF34A49106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53" y="313033"/>
          <a:ext cx="1679661" cy="2125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564752</xdr:colOff>
      <xdr:row>1</xdr:row>
      <xdr:rowOff>106560</xdr:rowOff>
    </xdr:from>
    <xdr:to>
      <xdr:col>4</xdr:col>
      <xdr:colOff>1004972</xdr:colOff>
      <xdr:row>3</xdr:row>
      <xdr:rowOff>188042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6C88CEF-3128-414F-B1D3-D8E7B4FF9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6902" y="290710"/>
          <a:ext cx="440220" cy="4497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349250</xdr:colOff>
      <xdr:row>1</xdr:row>
      <xdr:rowOff>25400</xdr:rowOff>
    </xdr:from>
    <xdr:to>
      <xdr:col>5</xdr:col>
      <xdr:colOff>742950</xdr:colOff>
      <xdr:row>5</xdr:row>
      <xdr:rowOff>107950</xdr:rowOff>
    </xdr:to>
    <xdr:sp macro="" textlink="">
      <xdr:nvSpPr>
        <xdr:cNvPr id="4" name="Encabezado">
          <a:extLst>
            <a:ext uri="{FF2B5EF4-FFF2-40B4-BE49-F238E27FC236}">
              <a16:creationId xmlns:a16="http://schemas.microsoft.com/office/drawing/2014/main" id="{0CCC36DD-D430-494D-A541-4E207533754E}"/>
            </a:ext>
          </a:extLst>
        </xdr:cNvPr>
        <xdr:cNvSpPr txBox="1"/>
      </xdr:nvSpPr>
      <xdr:spPr>
        <a:xfrm>
          <a:off x="349250" y="209550"/>
          <a:ext cx="5962650" cy="101600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1</xdr:col>
      <xdr:colOff>1235</xdr:colOff>
      <xdr:row>6</xdr:row>
      <xdr:rowOff>15875</xdr:rowOff>
    </xdr:from>
    <xdr:to>
      <xdr:col>5</xdr:col>
      <xdr:colOff>44450</xdr:colOff>
      <xdr:row>8</xdr:row>
      <xdr:rowOff>268993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552450" y="1409347"/>
          <a:ext cx="4938007" cy="9366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YUCATÁN EN LOS CONSULADOS DE MÉXICO EN EE.UU. </a:t>
          </a:r>
        </a:p>
      </xdr:txBody>
    </xdr:sp>
    <xdr:clientData/>
  </xdr:twoCellAnchor>
  <xdr:twoCellAnchor editAs="oneCell">
    <xdr:from>
      <xdr:col>5</xdr:col>
      <xdr:colOff>87841</xdr:colOff>
      <xdr:row>6</xdr:row>
      <xdr:rowOff>134232</xdr:rowOff>
    </xdr:from>
    <xdr:to>
      <xdr:col>6</xdr:col>
      <xdr:colOff>47698</xdr:colOff>
      <xdr:row>7</xdr:row>
      <xdr:rowOff>80149</xdr:rowOff>
    </xdr:to>
    <xdr:pic>
      <xdr:nvPicPr>
        <xdr:cNvPr id="8" name="Imagen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1244" y="1474788"/>
          <a:ext cx="524301" cy="223730"/>
        </a:xfrm>
        <a:prstGeom prst="rect">
          <a:avLst/>
        </a:prstGeom>
      </xdr:spPr>
    </xdr:pic>
    <xdr:clientData/>
  </xdr:twoCellAnchor>
  <xdr:twoCellAnchor editAs="oneCell">
    <xdr:from>
      <xdr:col>0</xdr:col>
      <xdr:colOff>508265</xdr:colOff>
      <xdr:row>1</xdr:row>
      <xdr:rowOff>177272</xdr:rowOff>
    </xdr:from>
    <xdr:to>
      <xdr:col>2</xdr:col>
      <xdr:colOff>376721</xdr:colOff>
      <xdr:row>3</xdr:row>
      <xdr:rowOff>23176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46A7F22-2FB9-496C-8EE4-2FC466D2C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265" y="367772"/>
          <a:ext cx="1621056" cy="2269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854075</xdr:colOff>
      <xdr:row>1</xdr:row>
      <xdr:rowOff>100541</xdr:rowOff>
    </xdr:from>
    <xdr:to>
      <xdr:col>5</xdr:col>
      <xdr:colOff>474087</xdr:colOff>
      <xdr:row>3</xdr:row>
      <xdr:rowOff>185330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6412C85-5CD7-4474-80AF-679E444206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5125" y="284691"/>
          <a:ext cx="477262" cy="453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7</xdr:row>
      <xdr:rowOff>0</xdr:rowOff>
    </xdr:from>
    <xdr:to>
      <xdr:col>4</xdr:col>
      <xdr:colOff>524301</xdr:colOff>
      <xdr:row>8</xdr:row>
      <xdr:rowOff>64</xdr:rowOff>
    </xdr:to>
    <xdr:pic>
      <xdr:nvPicPr>
        <xdr:cNvPr id="8" name="Imagen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72025" y="1333500"/>
          <a:ext cx="524301" cy="231668"/>
        </a:xfrm>
        <a:prstGeom prst="rect">
          <a:avLst/>
        </a:prstGeom>
      </xdr:spPr>
    </xdr:pic>
    <xdr:clientData/>
  </xdr:twoCellAnchor>
  <xdr:twoCellAnchor>
    <xdr:from>
      <xdr:col>0</xdr:col>
      <xdr:colOff>398713</xdr:colOff>
      <xdr:row>0</xdr:row>
      <xdr:rowOff>159754</xdr:rowOff>
    </xdr:from>
    <xdr:to>
      <xdr:col>4</xdr:col>
      <xdr:colOff>534737</xdr:colOff>
      <xdr:row>4</xdr:row>
      <xdr:rowOff>185153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id="{E1D41059-726E-4FA1-AF44-9CE3898B4A63}"/>
            </a:ext>
          </a:extLst>
        </xdr:cNvPr>
        <xdr:cNvSpPr txBox="1"/>
      </xdr:nvSpPr>
      <xdr:spPr>
        <a:xfrm>
          <a:off x="398713" y="159754"/>
          <a:ext cx="4988761" cy="102803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0</xdr:col>
      <xdr:colOff>541588</xdr:colOff>
      <xdr:row>1</xdr:row>
      <xdr:rowOff>140265</xdr:rowOff>
    </xdr:from>
    <xdr:to>
      <xdr:col>1</xdr:col>
      <xdr:colOff>1547068</xdr:colOff>
      <xdr:row>2</xdr:row>
      <xdr:rowOff>173284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4E9A30-8E68-4ACC-8531-03B9B0A453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588" y="330765"/>
          <a:ext cx="1624605" cy="2235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1151954</xdr:colOff>
      <xdr:row>1</xdr:row>
      <xdr:rowOff>58154</xdr:rowOff>
    </xdr:from>
    <xdr:to>
      <xdr:col>4</xdr:col>
      <xdr:colOff>401549</xdr:colOff>
      <xdr:row>3</xdr:row>
      <xdr:rowOff>144166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B8A6F55-0B18-481A-A8CE-405AA8E702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31854" y="242304"/>
          <a:ext cx="494195" cy="4543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1</xdr:row>
      <xdr:rowOff>12700</xdr:rowOff>
    </xdr:from>
    <xdr:to>
      <xdr:col>4</xdr:col>
      <xdr:colOff>1017365</xdr:colOff>
      <xdr:row>5</xdr:row>
      <xdr:rowOff>88900</xdr:rowOff>
    </xdr:to>
    <xdr:sp macro="" textlink="">
      <xdr:nvSpPr>
        <xdr:cNvPr id="4" name="Encabezado">
          <a:extLst>
            <a:ext uri="{FF2B5EF4-FFF2-40B4-BE49-F238E27FC236}">
              <a16:creationId xmlns:a16="http://schemas.microsoft.com/office/drawing/2014/main" id="{DE164F22-E6D4-412E-824F-6FCF3CC7487E}"/>
            </a:ext>
          </a:extLst>
        </xdr:cNvPr>
        <xdr:cNvSpPr txBox="1"/>
      </xdr:nvSpPr>
      <xdr:spPr>
        <a:xfrm>
          <a:off x="533400" y="197055"/>
          <a:ext cx="5468374" cy="101845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1</xdr:col>
      <xdr:colOff>47625</xdr:colOff>
      <xdr:row>6</xdr:row>
      <xdr:rowOff>60325</xdr:rowOff>
    </xdr:from>
    <xdr:to>
      <xdr:col>5</xdr:col>
      <xdr:colOff>0</xdr:colOff>
      <xdr:row>7</xdr:row>
      <xdr:rowOff>365125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809625" y="1323975"/>
          <a:ext cx="5959475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YUCATÁN POR NIVEL DE EDUCACIÓN Y ESTADO EN EE.UU</a:t>
          </a:r>
          <a:r>
            <a:rPr lang="es-MX" sz="1100">
              <a:latin typeface="Noto Sans" panose="020B0502040504020204" pitchFamily="34" charset="0"/>
              <a:ea typeface="Noto Sans" panose="020B0502040504020204" pitchFamily="34" charset="0"/>
            </a:rPr>
            <a:t>.</a:t>
          </a:r>
        </a:p>
      </xdr:txBody>
    </xdr:sp>
    <xdr:clientData/>
  </xdr:twoCellAnchor>
  <xdr:twoCellAnchor editAs="oneCell">
    <xdr:from>
      <xdr:col>4</xdr:col>
      <xdr:colOff>491101</xdr:colOff>
      <xdr:row>7</xdr:row>
      <xdr:rowOff>197191</xdr:rowOff>
    </xdr:from>
    <xdr:to>
      <xdr:col>4</xdr:col>
      <xdr:colOff>1013286</xdr:colOff>
      <xdr:row>7</xdr:row>
      <xdr:rowOff>428859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75510" y="1986116"/>
          <a:ext cx="522185" cy="231668"/>
        </a:xfrm>
        <a:prstGeom prst="rect">
          <a:avLst/>
        </a:prstGeom>
      </xdr:spPr>
    </xdr:pic>
    <xdr:clientData/>
  </xdr:twoCellAnchor>
  <xdr:twoCellAnchor editAs="oneCell">
    <xdr:from>
      <xdr:col>1</xdr:col>
      <xdr:colOff>37893</xdr:colOff>
      <xdr:row>1</xdr:row>
      <xdr:rowOff>102010</xdr:rowOff>
    </xdr:from>
    <xdr:to>
      <xdr:col>2</xdr:col>
      <xdr:colOff>307279</xdr:colOff>
      <xdr:row>2</xdr:row>
      <xdr:rowOff>129290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9E82F7-B2D9-4C12-B19B-EBFB08FBA6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443" y="286160"/>
          <a:ext cx="1685436" cy="2114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454537</xdr:colOff>
      <xdr:row>1</xdr:row>
      <xdr:rowOff>119625</xdr:rowOff>
    </xdr:from>
    <xdr:to>
      <xdr:col>4</xdr:col>
      <xdr:colOff>894757</xdr:colOff>
      <xdr:row>3</xdr:row>
      <xdr:rowOff>198867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D31BF3B-3990-4D85-9CBE-17B29BAFF2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3687" y="303775"/>
          <a:ext cx="440220" cy="44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263525</xdr:colOff>
      <xdr:row>5</xdr:row>
      <xdr:rowOff>209550</xdr:rowOff>
    </xdr:from>
    <xdr:to>
      <xdr:col>4</xdr:col>
      <xdr:colOff>806450</xdr:colOff>
      <xdr:row>7</xdr:row>
      <xdr:rowOff>342900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025525" y="1409700"/>
          <a:ext cx="5788025" cy="717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YUCATÁN POR CONSULADO Y NIVEL DE EDUCACIÓN EN EE.UU. </a:t>
          </a:r>
        </a:p>
      </xdr:txBody>
    </xdr:sp>
    <xdr:clientData/>
  </xdr:twoCellAnchor>
  <xdr:twoCellAnchor editAs="oneCell">
    <xdr:from>
      <xdr:col>4</xdr:col>
      <xdr:colOff>458787</xdr:colOff>
      <xdr:row>7</xdr:row>
      <xdr:rowOff>122237</xdr:rowOff>
    </xdr:from>
    <xdr:to>
      <xdr:col>4</xdr:col>
      <xdr:colOff>982558</xdr:colOff>
      <xdr:row>7</xdr:row>
      <xdr:rowOff>350466</xdr:rowOff>
    </xdr:to>
    <xdr:pic>
      <xdr:nvPicPr>
        <xdr:cNvPr id="8" name="Imagen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25558" y="1908175"/>
          <a:ext cx="523771" cy="228229"/>
        </a:xfrm>
        <a:prstGeom prst="rect">
          <a:avLst/>
        </a:prstGeom>
      </xdr:spPr>
    </xdr:pic>
    <xdr:clientData/>
  </xdr:twoCellAnchor>
  <xdr:twoCellAnchor>
    <xdr:from>
      <xdr:col>1</xdr:col>
      <xdr:colOff>1</xdr:colOff>
      <xdr:row>1</xdr:row>
      <xdr:rowOff>5027</xdr:rowOff>
    </xdr:from>
    <xdr:to>
      <xdr:col>4</xdr:col>
      <xdr:colOff>1071562</xdr:colOff>
      <xdr:row>5</xdr:row>
      <xdr:rowOff>5027</xdr:rowOff>
    </xdr:to>
    <xdr:sp macro="" textlink="">
      <xdr:nvSpPr>
        <xdr:cNvPr id="6" name="Encabezado">
          <a:extLst>
            <a:ext uri="{FF2B5EF4-FFF2-40B4-BE49-F238E27FC236}">
              <a16:creationId xmlns:a16="http://schemas.microsoft.com/office/drawing/2014/main" id="{68DE77D2-6810-4E99-A093-33DFCE73E1D3}"/>
            </a:ext>
          </a:extLst>
        </xdr:cNvPr>
        <xdr:cNvSpPr txBox="1"/>
      </xdr:nvSpPr>
      <xdr:spPr>
        <a:xfrm>
          <a:off x="284428" y="190235"/>
          <a:ext cx="5853905" cy="1018646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1</xdr:col>
      <xdr:colOff>172112</xdr:colOff>
      <xdr:row>1</xdr:row>
      <xdr:rowOff>139435</xdr:rowOff>
    </xdr:from>
    <xdr:to>
      <xdr:col>2</xdr:col>
      <xdr:colOff>652418</xdr:colOff>
      <xdr:row>2</xdr:row>
      <xdr:rowOff>172797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7C1B07D-336F-4D52-9BE1-32CE373705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8337" y="329935"/>
          <a:ext cx="1623306" cy="2238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467784</xdr:colOff>
      <xdr:row>1</xdr:row>
      <xdr:rowOff>95778</xdr:rowOff>
    </xdr:from>
    <xdr:to>
      <xdr:col>4</xdr:col>
      <xdr:colOff>908004</xdr:colOff>
      <xdr:row>3</xdr:row>
      <xdr:rowOff>187182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5F62C6-69DF-4F36-9FD4-27EECC3BE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1434" y="279928"/>
          <a:ext cx="440220" cy="4597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444500</xdr:colOff>
      <xdr:row>0</xdr:row>
      <xdr:rowOff>177800</xdr:rowOff>
    </xdr:from>
    <xdr:to>
      <xdr:col>4</xdr:col>
      <xdr:colOff>419100</xdr:colOff>
      <xdr:row>6</xdr:row>
      <xdr:rowOff>88900</xdr:rowOff>
    </xdr:to>
    <xdr:sp macro="" textlink="">
      <xdr:nvSpPr>
        <xdr:cNvPr id="4" name="Encabezado">
          <a:extLst>
            <a:ext uri="{FF2B5EF4-FFF2-40B4-BE49-F238E27FC236}">
              <a16:creationId xmlns:a16="http://schemas.microsoft.com/office/drawing/2014/main" id="{E2C0DF66-2A8D-4E7B-9B81-20B2A00AF94B}"/>
            </a:ext>
          </a:extLst>
        </xdr:cNvPr>
        <xdr:cNvSpPr txBox="1"/>
      </xdr:nvSpPr>
      <xdr:spPr>
        <a:xfrm>
          <a:off x="444500" y="177800"/>
          <a:ext cx="4699000" cy="101600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3</xdr:col>
      <xdr:colOff>874366</xdr:colOff>
      <xdr:row>8</xdr:row>
      <xdr:rowOff>109227</xdr:rowOff>
    </xdr:from>
    <xdr:to>
      <xdr:col>4</xdr:col>
      <xdr:colOff>267345</xdr:colOff>
      <xdr:row>8</xdr:row>
      <xdr:rowOff>340895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19423" y="1634687"/>
          <a:ext cx="524301" cy="231668"/>
        </a:xfrm>
        <a:prstGeom prst="rect">
          <a:avLst/>
        </a:prstGeom>
      </xdr:spPr>
    </xdr:pic>
    <xdr:clientData/>
  </xdr:twoCellAnchor>
  <xdr:twoCellAnchor editAs="oneCell">
    <xdr:from>
      <xdr:col>0</xdr:col>
      <xdr:colOff>444500</xdr:colOff>
      <xdr:row>1</xdr:row>
      <xdr:rowOff>118021</xdr:rowOff>
    </xdr:from>
    <xdr:to>
      <xdr:col>1</xdr:col>
      <xdr:colOff>1474614</xdr:colOff>
      <xdr:row>2</xdr:row>
      <xdr:rowOff>153778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F7C2D4A-2330-4F2C-81F3-21E1034FBA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4500" y="302171"/>
          <a:ext cx="1646064" cy="219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1019066</xdr:colOff>
      <xdr:row>1</xdr:row>
      <xdr:rowOff>109702</xdr:rowOff>
    </xdr:from>
    <xdr:to>
      <xdr:col>4</xdr:col>
      <xdr:colOff>386355</xdr:colOff>
      <xdr:row>4</xdr:row>
      <xdr:rowOff>19775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0DFE951-531C-464B-96A4-18198738FB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67116" y="293852"/>
          <a:ext cx="497589" cy="4625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336550</xdr:colOff>
      <xdr:row>1</xdr:row>
      <xdr:rowOff>38100</xdr:rowOff>
    </xdr:from>
    <xdr:to>
      <xdr:col>5</xdr:col>
      <xdr:colOff>494568</xdr:colOff>
      <xdr:row>5</xdr:row>
      <xdr:rowOff>101600</xdr:rowOff>
    </xdr:to>
    <xdr:sp macro="" textlink="">
      <xdr:nvSpPr>
        <xdr:cNvPr id="4" name="Encabezado">
          <a:extLst>
            <a:ext uri="{FF2B5EF4-FFF2-40B4-BE49-F238E27FC236}">
              <a16:creationId xmlns:a16="http://schemas.microsoft.com/office/drawing/2014/main" id="{C74AA3BA-977E-4E32-BDAB-234DC8E9F6BF}"/>
            </a:ext>
          </a:extLst>
        </xdr:cNvPr>
        <xdr:cNvSpPr txBox="1"/>
      </xdr:nvSpPr>
      <xdr:spPr>
        <a:xfrm>
          <a:off x="336550" y="221273"/>
          <a:ext cx="5122008" cy="101600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4</xdr:col>
      <xdr:colOff>845039</xdr:colOff>
      <xdr:row>8</xdr:row>
      <xdr:rowOff>165833</xdr:rowOff>
    </xdr:from>
    <xdr:to>
      <xdr:col>5</xdr:col>
      <xdr:colOff>459580</xdr:colOff>
      <xdr:row>9</xdr:row>
      <xdr:rowOff>161208</xdr:rowOff>
    </xdr:to>
    <xdr:pic>
      <xdr:nvPicPr>
        <xdr:cNvPr id="6" name="Imagen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5808" y="1692275"/>
          <a:ext cx="524301" cy="224341"/>
        </a:xfrm>
        <a:prstGeom prst="rect">
          <a:avLst/>
        </a:prstGeom>
      </xdr:spPr>
    </xdr:pic>
    <xdr:clientData/>
  </xdr:twoCellAnchor>
  <xdr:twoCellAnchor editAs="oneCell">
    <xdr:from>
      <xdr:col>0</xdr:col>
      <xdr:colOff>437431</xdr:colOff>
      <xdr:row>1</xdr:row>
      <xdr:rowOff>174937</xdr:rowOff>
    </xdr:from>
    <xdr:to>
      <xdr:col>2</xdr:col>
      <xdr:colOff>199545</xdr:colOff>
      <xdr:row>3</xdr:row>
      <xdr:rowOff>21039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ABDAD9F-C02A-464E-ABCB-F1B774710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7431" y="365437"/>
          <a:ext cx="1614197" cy="227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853776</xdr:colOff>
      <xdr:row>1</xdr:row>
      <xdr:rowOff>144678</xdr:rowOff>
    </xdr:from>
    <xdr:to>
      <xdr:col>5</xdr:col>
      <xdr:colOff>423924</xdr:colOff>
      <xdr:row>3</xdr:row>
      <xdr:rowOff>228450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8B5921D-0518-457A-A121-108E28C976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4776" y="328122"/>
          <a:ext cx="480315" cy="4506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406400</xdr:colOff>
      <xdr:row>0</xdr:row>
      <xdr:rowOff>177800</xdr:rowOff>
    </xdr:from>
    <xdr:to>
      <xdr:col>5</xdr:col>
      <xdr:colOff>628316</xdr:colOff>
      <xdr:row>6</xdr:row>
      <xdr:rowOff>88900</xdr:rowOff>
    </xdr:to>
    <xdr:sp macro="" textlink="">
      <xdr:nvSpPr>
        <xdr:cNvPr id="6" name="Encabezado">
          <a:extLst>
            <a:ext uri="{FF2B5EF4-FFF2-40B4-BE49-F238E27FC236}">
              <a16:creationId xmlns:a16="http://schemas.microsoft.com/office/drawing/2014/main" id="{0D63ED5F-7B6D-4F4A-BA77-7B8367985075}"/>
            </a:ext>
          </a:extLst>
        </xdr:cNvPr>
        <xdr:cNvSpPr txBox="1"/>
      </xdr:nvSpPr>
      <xdr:spPr>
        <a:xfrm>
          <a:off x="406400" y="177800"/>
          <a:ext cx="5422232" cy="103404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5</xdr:col>
      <xdr:colOff>102770</xdr:colOff>
      <xdr:row>8</xdr:row>
      <xdr:rowOff>124828</xdr:rowOff>
    </xdr:from>
    <xdr:to>
      <xdr:col>5</xdr:col>
      <xdr:colOff>627071</xdr:colOff>
      <xdr:row>9</xdr:row>
      <xdr:rowOff>104938</xdr:rowOff>
    </xdr:to>
    <xdr:pic>
      <xdr:nvPicPr>
        <xdr:cNvPr id="4" name="Imagen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AED4255-AFCD-4EFD-8AB2-AFDE173B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03086" y="1622091"/>
          <a:ext cx="524301" cy="228326"/>
        </a:xfrm>
        <a:prstGeom prst="rect">
          <a:avLst/>
        </a:prstGeom>
      </xdr:spPr>
    </xdr:pic>
    <xdr:clientData/>
  </xdr:twoCellAnchor>
  <xdr:twoCellAnchor editAs="oneCell">
    <xdr:from>
      <xdr:col>0</xdr:col>
      <xdr:colOff>555246</xdr:colOff>
      <xdr:row>1</xdr:row>
      <xdr:rowOff>130311</xdr:rowOff>
    </xdr:from>
    <xdr:to>
      <xdr:col>1</xdr:col>
      <xdr:colOff>1395029</xdr:colOff>
      <xdr:row>2</xdr:row>
      <xdr:rowOff>162909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8D9ECF2-9018-4125-B841-0F24009D80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5246" y="320811"/>
          <a:ext cx="1622950" cy="2230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110067</xdr:colOff>
      <xdr:row>1</xdr:row>
      <xdr:rowOff>56633</xdr:rowOff>
    </xdr:from>
    <xdr:to>
      <xdr:col>5</xdr:col>
      <xdr:colOff>550287</xdr:colOff>
      <xdr:row>3</xdr:row>
      <xdr:rowOff>146510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4433422-4C47-498C-B5ED-A55CDF889E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4567" y="240077"/>
          <a:ext cx="440220" cy="4567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706</xdr:colOff>
      <xdr:row>1</xdr:row>
      <xdr:rowOff>50800</xdr:rowOff>
    </xdr:from>
    <xdr:to>
      <xdr:col>5</xdr:col>
      <xdr:colOff>1016000</xdr:colOff>
      <xdr:row>5</xdr:row>
      <xdr:rowOff>31750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id="{D96AD782-DCC4-4159-A489-8B86B85AAC04}"/>
            </a:ext>
          </a:extLst>
        </xdr:cNvPr>
        <xdr:cNvSpPr txBox="1"/>
      </xdr:nvSpPr>
      <xdr:spPr>
        <a:xfrm>
          <a:off x="184150" y="234244"/>
          <a:ext cx="5918906" cy="1011062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5</xdr:col>
      <xdr:colOff>407105</xdr:colOff>
      <xdr:row>9</xdr:row>
      <xdr:rowOff>90311</xdr:rowOff>
    </xdr:from>
    <xdr:to>
      <xdr:col>5</xdr:col>
      <xdr:colOff>931406</xdr:colOff>
      <xdr:row>10</xdr:row>
      <xdr:rowOff>78563</xdr:rowOff>
    </xdr:to>
    <xdr:pic>
      <xdr:nvPicPr>
        <xdr:cNvPr id="5" name="Imagen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4161" y="1960033"/>
          <a:ext cx="524301" cy="224613"/>
        </a:xfrm>
        <a:prstGeom prst="rect">
          <a:avLst/>
        </a:prstGeom>
      </xdr:spPr>
    </xdr:pic>
    <xdr:clientData/>
  </xdr:twoCellAnchor>
  <xdr:twoCellAnchor editAs="oneCell">
    <xdr:from>
      <xdr:col>1</xdr:col>
      <xdr:colOff>35984</xdr:colOff>
      <xdr:row>2</xdr:row>
      <xdr:rowOff>1408</xdr:rowOff>
    </xdr:from>
    <xdr:to>
      <xdr:col>2</xdr:col>
      <xdr:colOff>546055</xdr:colOff>
      <xdr:row>3</xdr:row>
      <xdr:rowOff>32786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92C1602-6DCB-4A89-AE8C-5CE3F42D1E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373" y="368297"/>
          <a:ext cx="1681293" cy="2148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455790</xdr:colOff>
      <xdr:row>1</xdr:row>
      <xdr:rowOff>156632</xdr:rowOff>
    </xdr:from>
    <xdr:to>
      <xdr:col>5</xdr:col>
      <xdr:colOff>896010</xdr:colOff>
      <xdr:row>3</xdr:row>
      <xdr:rowOff>244067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CD7624-9F03-406F-B49F-F0C4BA7755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5790" y="340076"/>
          <a:ext cx="440220" cy="4543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406401</xdr:colOff>
      <xdr:row>1</xdr:row>
      <xdr:rowOff>25400</xdr:rowOff>
    </xdr:from>
    <xdr:to>
      <xdr:col>3</xdr:col>
      <xdr:colOff>1127305</xdr:colOff>
      <xdr:row>5</xdr:row>
      <xdr:rowOff>82550</xdr:rowOff>
    </xdr:to>
    <xdr:sp macro="" textlink="">
      <xdr:nvSpPr>
        <xdr:cNvPr id="5" name="Encabezado">
          <a:extLst>
            <a:ext uri="{FF2B5EF4-FFF2-40B4-BE49-F238E27FC236}">
              <a16:creationId xmlns:a16="http://schemas.microsoft.com/office/drawing/2014/main" id="{C15835B1-2FD8-4A18-953F-0E85D4662F72}"/>
            </a:ext>
          </a:extLst>
        </xdr:cNvPr>
        <xdr:cNvSpPr txBox="1"/>
      </xdr:nvSpPr>
      <xdr:spPr>
        <a:xfrm>
          <a:off x="406401" y="210906"/>
          <a:ext cx="5444162" cy="1020352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YUCATÁN</a:t>
          </a:r>
          <a:r>
            <a:rPr lang="es-MX" sz="2000" b="1" cap="none" spc="0">
              <a:ln/>
              <a:solidFill>
                <a:schemeClr val="tx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2024</a:t>
          </a:r>
          <a:endParaRPr lang="es-MX" sz="1100" b="1" cap="none" spc="0">
            <a:ln/>
            <a:solidFill>
              <a:schemeClr val="tx1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3</xdr:col>
      <xdr:colOff>575640</xdr:colOff>
      <xdr:row>8</xdr:row>
      <xdr:rowOff>166777</xdr:rowOff>
    </xdr:from>
    <xdr:to>
      <xdr:col>3</xdr:col>
      <xdr:colOff>1099941</xdr:colOff>
      <xdr:row>9</xdr:row>
      <xdr:rowOff>19764</xdr:rowOff>
    </xdr:to>
    <xdr:pic>
      <xdr:nvPicPr>
        <xdr:cNvPr id="6" name="Imagen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98898" y="1793519"/>
          <a:ext cx="524301" cy="231133"/>
        </a:xfrm>
        <a:prstGeom prst="rect">
          <a:avLst/>
        </a:prstGeom>
      </xdr:spPr>
    </xdr:pic>
    <xdr:clientData/>
  </xdr:twoCellAnchor>
  <xdr:twoCellAnchor editAs="oneCell">
    <xdr:from>
      <xdr:col>0</xdr:col>
      <xdr:colOff>406401</xdr:colOff>
      <xdr:row>1</xdr:row>
      <xdr:rowOff>156324</xdr:rowOff>
    </xdr:from>
    <xdr:to>
      <xdr:col>1</xdr:col>
      <xdr:colOff>1619966</xdr:colOff>
      <xdr:row>3</xdr:row>
      <xdr:rowOff>1410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F0BE82C-501F-4AC1-ABA4-0CE0880A53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6401" y="340474"/>
          <a:ext cx="1645365" cy="2133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538467</xdr:colOff>
      <xdr:row>1</xdr:row>
      <xdr:rowOff>94823</xdr:rowOff>
    </xdr:from>
    <xdr:to>
      <xdr:col>3</xdr:col>
      <xdr:colOff>978687</xdr:colOff>
      <xdr:row>3</xdr:row>
      <xdr:rowOff>177977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3AB59BB-089A-4369-86F4-87AB5437F6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69217" y="278973"/>
          <a:ext cx="440220" cy="4514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showGridLines="0" view="pageBreakPreview" zoomScale="110" zoomScaleNormal="70" zoomScaleSheetLayoutView="110" workbookViewId="0">
      <selection sqref="A1:D1"/>
    </sheetView>
  </sheetViews>
  <sheetFormatPr baseColWidth="10" defaultRowHeight="15" x14ac:dyDescent="0.25"/>
  <cols>
    <col min="2" max="2" width="19.42578125" customWidth="1"/>
    <col min="3" max="3" width="20.42578125" customWidth="1"/>
    <col min="4" max="4" width="21.42578125" customWidth="1"/>
  </cols>
  <sheetData>
    <row r="1" spans="1:4" ht="42.75" customHeight="1" thickBot="1" x14ac:dyDescent="0.4">
      <c r="A1" s="77" t="s">
        <v>320</v>
      </c>
      <c r="B1" s="78"/>
      <c r="C1" s="78"/>
      <c r="D1" s="79"/>
    </row>
    <row r="2" spans="1:4" ht="20.25" customHeight="1" x14ac:dyDescent="0.25">
      <c r="A2" s="80" t="s">
        <v>16</v>
      </c>
      <c r="B2" s="81"/>
      <c r="C2" s="81"/>
      <c r="D2" s="82"/>
    </row>
    <row r="3" spans="1:4" ht="22.5" customHeight="1" x14ac:dyDescent="0.25">
      <c r="A3" s="80"/>
      <c r="B3" s="81"/>
      <c r="C3" s="81"/>
      <c r="D3" s="82"/>
    </row>
    <row r="4" spans="1:4" ht="18" x14ac:dyDescent="0.35">
      <c r="A4" s="3"/>
      <c r="B4" s="4"/>
      <c r="C4" s="4"/>
      <c r="D4" s="5"/>
    </row>
    <row r="5" spans="1:4" ht="18.75" x14ac:dyDescent="0.35">
      <c r="A5" s="74" t="s">
        <v>0</v>
      </c>
      <c r="B5" s="75"/>
      <c r="C5" s="75"/>
      <c r="D5" s="76"/>
    </row>
    <row r="6" spans="1:4" ht="18" x14ac:dyDescent="0.35">
      <c r="A6" s="6"/>
      <c r="B6" s="7"/>
      <c r="C6" s="7"/>
      <c r="D6" s="8"/>
    </row>
    <row r="7" spans="1:4" ht="18.75" x14ac:dyDescent="0.35">
      <c r="A7" s="74" t="s">
        <v>1</v>
      </c>
      <c r="B7" s="75"/>
      <c r="C7" s="75"/>
      <c r="D7" s="76"/>
    </row>
    <row r="8" spans="1:4" ht="18.75" x14ac:dyDescent="0.35">
      <c r="A8" s="6"/>
      <c r="B8" s="74" t="s">
        <v>2</v>
      </c>
      <c r="C8" s="75"/>
      <c r="D8" s="75"/>
    </row>
    <row r="9" spans="1:4" ht="18" x14ac:dyDescent="0.35">
      <c r="A9" s="6"/>
      <c r="B9" s="7"/>
      <c r="C9" s="7"/>
      <c r="D9" s="8"/>
    </row>
    <row r="10" spans="1:4" ht="18.75" x14ac:dyDescent="0.35">
      <c r="A10" s="9" t="s">
        <v>3</v>
      </c>
      <c r="B10" s="7"/>
      <c r="C10" s="7"/>
      <c r="D10" s="8"/>
    </row>
    <row r="11" spans="1:4" ht="18.75" x14ac:dyDescent="0.35">
      <c r="A11" s="6"/>
      <c r="B11" s="74" t="s">
        <v>4</v>
      </c>
      <c r="C11" s="75"/>
      <c r="D11" s="75"/>
    </row>
    <row r="12" spans="1:4" ht="18.75" x14ac:dyDescent="0.35">
      <c r="A12" s="6"/>
      <c r="B12" s="74" t="s">
        <v>5</v>
      </c>
      <c r="C12" s="75"/>
      <c r="D12" s="75"/>
    </row>
    <row r="13" spans="1:4" ht="18.75" x14ac:dyDescent="0.35">
      <c r="A13" s="6"/>
      <c r="B13" s="74" t="s">
        <v>6</v>
      </c>
      <c r="C13" s="75"/>
      <c r="D13" s="75"/>
    </row>
    <row r="14" spans="1:4" ht="18" x14ac:dyDescent="0.35">
      <c r="A14" s="6"/>
      <c r="B14" s="7"/>
      <c r="C14" s="7"/>
      <c r="D14" s="8"/>
    </row>
    <row r="15" spans="1:4" ht="18.75" x14ac:dyDescent="0.35">
      <c r="A15" s="9" t="s">
        <v>7</v>
      </c>
      <c r="B15" s="7"/>
      <c r="C15" s="7"/>
      <c r="D15" s="8"/>
    </row>
    <row r="16" spans="1:4" ht="18.75" x14ac:dyDescent="0.35">
      <c r="A16" s="6"/>
      <c r="B16" s="74" t="s">
        <v>8</v>
      </c>
      <c r="C16" s="75"/>
      <c r="D16" s="75"/>
    </row>
    <row r="17" spans="1:4" ht="18.75" x14ac:dyDescent="0.35">
      <c r="A17" s="6"/>
      <c r="B17" s="74" t="s">
        <v>9</v>
      </c>
      <c r="C17" s="75"/>
      <c r="D17" s="75"/>
    </row>
    <row r="18" spans="1:4" ht="18.75" x14ac:dyDescent="0.35">
      <c r="A18" s="6"/>
      <c r="B18" s="74" t="s">
        <v>10</v>
      </c>
      <c r="C18" s="75"/>
      <c r="D18" s="75"/>
    </row>
    <row r="19" spans="1:4" ht="18" x14ac:dyDescent="0.35">
      <c r="A19" s="6"/>
      <c r="B19" s="7"/>
      <c r="C19" s="7"/>
      <c r="D19" s="8"/>
    </row>
    <row r="20" spans="1:4" ht="18.75" x14ac:dyDescent="0.35">
      <c r="A20" s="9" t="s">
        <v>11</v>
      </c>
      <c r="B20" s="7"/>
      <c r="C20" s="7"/>
      <c r="D20" s="8"/>
    </row>
    <row r="21" spans="1:4" ht="18.75" x14ac:dyDescent="0.35">
      <c r="A21" s="6"/>
      <c r="B21" s="74" t="s">
        <v>12</v>
      </c>
      <c r="C21" s="75"/>
      <c r="D21" s="75"/>
    </row>
    <row r="22" spans="1:4" ht="18.75" x14ac:dyDescent="0.35">
      <c r="A22" s="6"/>
      <c r="B22" s="74" t="s">
        <v>13</v>
      </c>
      <c r="C22" s="75"/>
      <c r="D22" s="75"/>
    </row>
    <row r="23" spans="1:4" ht="18" x14ac:dyDescent="0.35">
      <c r="A23" s="6"/>
      <c r="B23" s="7"/>
      <c r="C23" s="7"/>
      <c r="D23" s="8"/>
    </row>
    <row r="24" spans="1:4" ht="18.75" x14ac:dyDescent="0.35">
      <c r="A24" s="74" t="s">
        <v>14</v>
      </c>
      <c r="B24" s="75"/>
      <c r="C24" s="75"/>
      <c r="D24" s="76"/>
    </row>
    <row r="25" spans="1:4" ht="18" x14ac:dyDescent="0.35">
      <c r="A25" s="6"/>
      <c r="B25" s="7"/>
      <c r="C25" s="7"/>
      <c r="D25" s="8"/>
    </row>
    <row r="26" spans="1:4" ht="18.75" x14ac:dyDescent="0.35">
      <c r="A26" s="74" t="s">
        <v>15</v>
      </c>
      <c r="B26" s="75"/>
      <c r="C26" s="75"/>
      <c r="D26" s="76"/>
    </row>
    <row r="27" spans="1:4" ht="18.75" thickBot="1" x14ac:dyDescent="0.4">
      <c r="A27" s="10"/>
      <c r="B27" s="11"/>
      <c r="C27" s="11"/>
      <c r="D27" s="12"/>
    </row>
  </sheetData>
  <mergeCells count="15">
    <mergeCell ref="B11:D11"/>
    <mergeCell ref="A1:D1"/>
    <mergeCell ref="A2:D3"/>
    <mergeCell ref="A5:D5"/>
    <mergeCell ref="A7:D7"/>
    <mergeCell ref="B8:D8"/>
    <mergeCell ref="B22:D22"/>
    <mergeCell ref="A24:D24"/>
    <mergeCell ref="A26:D26"/>
    <mergeCell ref="B12:D12"/>
    <mergeCell ref="B13:D13"/>
    <mergeCell ref="B16:D16"/>
    <mergeCell ref="B17:D17"/>
    <mergeCell ref="B18:D18"/>
    <mergeCell ref="B21:D21"/>
  </mergeCells>
  <hyperlinks>
    <hyperlink ref="A5" location="Aguascalientes_EdoUsa!A1" display="1. Por Estados de USA" xr:uid="{00000000-0004-0000-0000-000000000000}"/>
    <hyperlink ref="A7" location="Aguascalientes_Cons_2018!A1" display="2. Por Circunscripción Consular" xr:uid="{00000000-0004-0000-0000-000001000000}"/>
    <hyperlink ref="B8" location="AguascalientesXCons2018!A1" display="2.1 Top ten por circunscripción consular" xr:uid="{00000000-0004-0000-0000-000002000000}"/>
    <hyperlink ref="B11" location="Aguascalientes_EdoMun!A1" display="3.1 Municipio general" xr:uid="{00000000-0004-0000-0000-000003000000}"/>
    <hyperlink ref="B12" location="Aguascalientes_USAMuni2016!A1" display="3.2 Por Estado de USA" xr:uid="{00000000-0004-0000-0000-000004000000}"/>
    <hyperlink ref="B13" location="Aguascalientes_MUNICIPIO!A1" display="3.3 Por Circunscripción Consular" xr:uid="{00000000-0004-0000-0000-000005000000}"/>
    <hyperlink ref="B16" location="Aguascalientes_educ_gral!A1" display="4.1 Educación general" xr:uid="{00000000-0004-0000-0000-000006000000}"/>
    <hyperlink ref="B17" location="Aguascalientes_NivelE_Cons!A1" display="4.2 Por Estado de USA" xr:uid="{00000000-0004-0000-0000-000007000000}"/>
    <hyperlink ref="B18" location="Aguascalientes_EducCons!A1" display="4.3 Por Circunscripción Consular" xr:uid="{00000000-0004-0000-0000-000008000000}"/>
    <hyperlink ref="B21" location="Aguascalientes_GenGral!A1" display="5.1 Género General" xr:uid="{00000000-0004-0000-0000-000009000000}"/>
    <hyperlink ref="B22" location="Aguascalientes_GENERO!A1" display="5.3 Por Circunscripción Consular" xr:uid="{00000000-0004-0000-0000-00000A000000}"/>
    <hyperlink ref="A24" location="Aguascalientes_Gen_Edad!A1" display="6. Por estructura de Edad" xr:uid="{00000000-0004-0000-0000-00000B000000}"/>
    <hyperlink ref="A26" location="Aguascalientes_ocup_gral!A1" display="7. Por Ocupación" xr:uid="{00000000-0004-0000-0000-00000C000000}"/>
    <hyperlink ref="B12:D12" location="Yucatán_USAMuni!A1" display="3.2 Por Estado de USA" xr:uid="{00000000-0004-0000-0000-00000D000000}"/>
    <hyperlink ref="A7:D7" location="Yucatán_Cons!A1" display="2. Por Circunscripción Consular" xr:uid="{00000000-0004-0000-0000-00000E000000}"/>
    <hyperlink ref="B8:D8" location="YucatánXCons!A1" display="2.1 Top ten por circunscripción consular" xr:uid="{00000000-0004-0000-0000-00000F000000}"/>
    <hyperlink ref="A5:D5" location="Yucatán_EdoUsa!A1" display="1. Por Estados de USA" xr:uid="{00000000-0004-0000-0000-000010000000}"/>
    <hyperlink ref="B11:D11" location="Yucatán_EdoMun!A1" display="3.1 Municipio general" xr:uid="{00000000-0004-0000-0000-000011000000}"/>
    <hyperlink ref="B13:D13" location="Yucatán_MUNICIPIO!A1" display="3.3 Por Circunscripción Consular" xr:uid="{00000000-0004-0000-0000-000012000000}"/>
    <hyperlink ref="B16:D16" location="Yucatán_educ_gral!A1" display="4.1 Educación general" xr:uid="{00000000-0004-0000-0000-000013000000}"/>
    <hyperlink ref="B17:D17" location="Yucatán_NivelE_Cons!A1" display="4.2 Por Estado de USA" xr:uid="{00000000-0004-0000-0000-000014000000}"/>
    <hyperlink ref="B18:D18" location="Yucatán_EducCons!A1" display="4.3 Por Circunscripción Consular" xr:uid="{00000000-0004-0000-0000-000015000000}"/>
    <hyperlink ref="B21:D21" location="Yucatán_GenGral!A1" display="5.1 Género General" xr:uid="{00000000-0004-0000-0000-000016000000}"/>
    <hyperlink ref="B22:D22" location="Yucatán_GENERO!A1" display="5.2 Por Circunscripción Consular" xr:uid="{00000000-0004-0000-0000-000017000000}"/>
    <hyperlink ref="A24:D24" location="Yucatán_Gen_Edad!A1" display="6. Por estructura de Edad" xr:uid="{00000000-0004-0000-0000-000018000000}"/>
    <hyperlink ref="A26:D26" location="Yucatán_ocup_gral!A1" display="7. Por Ocupación" xr:uid="{00000000-0004-0000-0000-00001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4:F57"/>
  <sheetViews>
    <sheetView showGridLines="0" view="pageBreakPreview" topLeftCell="A43" zoomScaleNormal="100" zoomScaleSheetLayoutView="100" workbookViewId="0">
      <selection activeCell="B40" sqref="B40"/>
    </sheetView>
  </sheetViews>
  <sheetFormatPr baseColWidth="10" defaultRowHeight="15" x14ac:dyDescent="0.25"/>
  <cols>
    <col min="1" max="1" width="9.140625" customWidth="1"/>
    <col min="2" max="2" width="18.85546875" customWidth="1"/>
    <col min="3" max="3" width="17.85546875" customWidth="1"/>
    <col min="4" max="4" width="17.42578125" customWidth="1"/>
    <col min="5" max="5" width="11.5703125" customWidth="1"/>
    <col min="6" max="6" width="1.140625" customWidth="1"/>
  </cols>
  <sheetData>
    <row r="4" spans="1:6" ht="30" customHeight="1" x14ac:dyDescent="0.25"/>
    <row r="6" spans="1:6" ht="18" customHeight="1" x14ac:dyDescent="0.3">
      <c r="A6" s="14"/>
      <c r="B6" s="14"/>
      <c r="C6" s="14"/>
      <c r="D6" s="14"/>
      <c r="E6" s="14"/>
    </row>
    <row r="7" spans="1:6" ht="16.5" x14ac:dyDescent="0.3">
      <c r="A7" s="14"/>
      <c r="B7" s="83" t="s">
        <v>17</v>
      </c>
      <c r="C7" s="83"/>
      <c r="D7" s="83"/>
      <c r="E7" s="14"/>
    </row>
    <row r="8" spans="1:6" ht="16.5" x14ac:dyDescent="0.3">
      <c r="A8" s="14"/>
      <c r="B8" s="83"/>
      <c r="C8" s="83"/>
      <c r="D8" s="83"/>
      <c r="E8" s="14"/>
      <c r="F8" s="2"/>
    </row>
    <row r="9" spans="1:6" ht="16.5" x14ac:dyDescent="0.3">
      <c r="A9" s="14"/>
      <c r="B9" s="83"/>
      <c r="C9" s="83"/>
      <c r="D9" s="83"/>
      <c r="E9" s="14"/>
    </row>
    <row r="10" spans="1:6" ht="16.5" x14ac:dyDescent="0.3">
      <c r="A10" s="14"/>
      <c r="B10" s="14"/>
      <c r="C10" s="14"/>
      <c r="D10" s="14"/>
      <c r="E10" s="14"/>
    </row>
    <row r="11" spans="1:6" ht="28.5" x14ac:dyDescent="0.3">
      <c r="A11" s="14"/>
      <c r="B11" s="24" t="s">
        <v>18</v>
      </c>
      <c r="C11" s="23" t="s">
        <v>19</v>
      </c>
      <c r="D11" s="24" t="s">
        <v>20</v>
      </c>
      <c r="E11" s="14"/>
    </row>
    <row r="12" spans="1:6" ht="14.45" customHeight="1" x14ac:dyDescent="0.3">
      <c r="A12" s="14"/>
      <c r="B12" s="40" t="s">
        <v>88</v>
      </c>
      <c r="C12" s="62">
        <v>1692</v>
      </c>
      <c r="D12" s="42">
        <v>0.70499999999999996</v>
      </c>
      <c r="E12" s="14"/>
    </row>
    <row r="13" spans="1:6" ht="14.45" customHeight="1" x14ac:dyDescent="0.3">
      <c r="A13" s="14"/>
      <c r="B13" s="40" t="s">
        <v>118</v>
      </c>
      <c r="C13" s="41">
        <v>171</v>
      </c>
      <c r="D13" s="42">
        <v>7.0999999999999994E-2</v>
      </c>
      <c r="E13" s="14"/>
    </row>
    <row r="14" spans="1:6" ht="14.45" customHeight="1" x14ac:dyDescent="0.3">
      <c r="A14" s="14"/>
      <c r="B14" s="40" t="s">
        <v>89</v>
      </c>
      <c r="C14" s="41">
        <v>79</v>
      </c>
      <c r="D14" s="42">
        <v>3.3000000000000002E-2</v>
      </c>
      <c r="E14" s="14"/>
    </row>
    <row r="15" spans="1:6" ht="14.45" customHeight="1" x14ac:dyDescent="0.3">
      <c r="A15" s="14"/>
      <c r="B15" s="40" t="s">
        <v>114</v>
      </c>
      <c r="C15" s="41">
        <v>79</v>
      </c>
      <c r="D15" s="42">
        <v>3.3000000000000002E-2</v>
      </c>
      <c r="E15" s="14"/>
    </row>
    <row r="16" spans="1:6" ht="14.45" customHeight="1" x14ac:dyDescent="0.3">
      <c r="A16" s="14"/>
      <c r="B16" s="40" t="s">
        <v>107</v>
      </c>
      <c r="C16" s="41">
        <v>60</v>
      </c>
      <c r="D16" s="42">
        <v>2.5000000000000001E-2</v>
      </c>
      <c r="E16" s="14"/>
    </row>
    <row r="17" spans="1:5" ht="14.45" customHeight="1" x14ac:dyDescent="0.3">
      <c r="A17" s="14"/>
      <c r="B17" s="40" t="s">
        <v>87</v>
      </c>
      <c r="C17" s="41">
        <v>32</v>
      </c>
      <c r="D17" s="42">
        <v>1.2999999999999999E-2</v>
      </c>
      <c r="E17" s="14"/>
    </row>
    <row r="18" spans="1:5" ht="14.45" customHeight="1" x14ac:dyDescent="0.3">
      <c r="A18" s="14"/>
      <c r="B18" s="40" t="s">
        <v>80</v>
      </c>
      <c r="C18" s="41">
        <v>30</v>
      </c>
      <c r="D18" s="42">
        <v>1.2E-2</v>
      </c>
      <c r="E18" s="14"/>
    </row>
    <row r="19" spans="1:5" ht="14.45" customHeight="1" x14ac:dyDescent="0.3">
      <c r="A19" s="14"/>
      <c r="B19" s="40" t="s">
        <v>94</v>
      </c>
      <c r="C19" s="41">
        <v>27</v>
      </c>
      <c r="D19" s="42">
        <v>1.0999999999999999E-2</v>
      </c>
      <c r="E19" s="14"/>
    </row>
    <row r="20" spans="1:5" ht="14.45" customHeight="1" x14ac:dyDescent="0.3">
      <c r="A20" s="14"/>
      <c r="B20" s="40" t="s">
        <v>91</v>
      </c>
      <c r="C20" s="41">
        <v>24</v>
      </c>
      <c r="D20" s="42">
        <v>0.01</v>
      </c>
      <c r="E20" s="14"/>
    </row>
    <row r="21" spans="1:5" ht="14.45" customHeight="1" x14ac:dyDescent="0.3">
      <c r="A21" s="14"/>
      <c r="B21" s="40" t="s">
        <v>119</v>
      </c>
      <c r="C21" s="41">
        <v>24</v>
      </c>
      <c r="D21" s="42">
        <v>0.01</v>
      </c>
      <c r="E21" s="14"/>
    </row>
    <row r="22" spans="1:5" ht="14.45" customHeight="1" x14ac:dyDescent="0.3">
      <c r="A22" s="14"/>
      <c r="B22" s="40" t="s">
        <v>105</v>
      </c>
      <c r="C22" s="41">
        <v>23</v>
      </c>
      <c r="D22" s="42">
        <v>0.01</v>
      </c>
      <c r="E22" s="14"/>
    </row>
    <row r="23" spans="1:5" ht="14.45" customHeight="1" x14ac:dyDescent="0.3">
      <c r="A23" s="14"/>
      <c r="B23" s="40" t="s">
        <v>92</v>
      </c>
      <c r="C23" s="41">
        <v>20</v>
      </c>
      <c r="D23" s="42">
        <v>8.0000000000000002E-3</v>
      </c>
      <c r="E23" s="14"/>
    </row>
    <row r="24" spans="1:5" ht="14.45" customHeight="1" x14ac:dyDescent="0.3">
      <c r="A24" s="14"/>
      <c r="B24" s="40" t="s">
        <v>113</v>
      </c>
      <c r="C24" s="41">
        <v>16</v>
      </c>
      <c r="D24" s="42">
        <v>7.0000000000000001E-3</v>
      </c>
      <c r="E24" s="14"/>
    </row>
    <row r="25" spans="1:5" ht="14.45" customHeight="1" x14ac:dyDescent="0.3">
      <c r="A25" s="14"/>
      <c r="B25" s="40" t="s">
        <v>111</v>
      </c>
      <c r="C25" s="41">
        <v>15</v>
      </c>
      <c r="D25" s="42">
        <v>6.0000000000000001E-3</v>
      </c>
      <c r="E25" s="14"/>
    </row>
    <row r="26" spans="1:5" ht="14.45" customHeight="1" x14ac:dyDescent="0.3">
      <c r="A26" s="14"/>
      <c r="B26" s="40" t="s">
        <v>117</v>
      </c>
      <c r="C26" s="41">
        <v>11</v>
      </c>
      <c r="D26" s="42">
        <v>5.0000000000000001E-3</v>
      </c>
      <c r="E26" s="14"/>
    </row>
    <row r="27" spans="1:5" ht="14.45" customHeight="1" x14ac:dyDescent="0.3">
      <c r="A27" s="14"/>
      <c r="B27" s="40" t="s">
        <v>95</v>
      </c>
      <c r="C27" s="41">
        <v>10</v>
      </c>
      <c r="D27" s="42">
        <v>4.0000000000000001E-3</v>
      </c>
      <c r="E27" s="14"/>
    </row>
    <row r="28" spans="1:5" ht="14.45" customHeight="1" x14ac:dyDescent="0.3">
      <c r="A28" s="14"/>
      <c r="B28" s="40" t="s">
        <v>96</v>
      </c>
      <c r="C28" s="41">
        <v>7</v>
      </c>
      <c r="D28" s="42">
        <v>3.0000000000000001E-3</v>
      </c>
      <c r="E28" s="14"/>
    </row>
    <row r="29" spans="1:5" ht="14.45" customHeight="1" x14ac:dyDescent="0.3">
      <c r="A29" s="14"/>
      <c r="B29" s="40" t="s">
        <v>97</v>
      </c>
      <c r="C29" s="41">
        <v>7</v>
      </c>
      <c r="D29" s="42">
        <v>3.0000000000000001E-3</v>
      </c>
      <c r="E29" s="14"/>
    </row>
    <row r="30" spans="1:5" ht="14.45" customHeight="1" x14ac:dyDescent="0.3">
      <c r="A30" s="14"/>
      <c r="B30" s="40" t="s">
        <v>103</v>
      </c>
      <c r="C30" s="41">
        <v>7</v>
      </c>
      <c r="D30" s="42">
        <v>3.0000000000000001E-3</v>
      </c>
      <c r="E30" s="14"/>
    </row>
    <row r="31" spans="1:5" ht="14.45" customHeight="1" x14ac:dyDescent="0.3">
      <c r="A31" s="14"/>
      <c r="B31" s="40" t="s">
        <v>85</v>
      </c>
      <c r="C31" s="41">
        <v>6</v>
      </c>
      <c r="D31" s="42">
        <v>2E-3</v>
      </c>
      <c r="E31" s="14"/>
    </row>
    <row r="32" spans="1:5" ht="14.45" customHeight="1" x14ac:dyDescent="0.3">
      <c r="A32" s="14"/>
      <c r="B32" s="40" t="s">
        <v>86</v>
      </c>
      <c r="C32" s="41">
        <v>6</v>
      </c>
      <c r="D32" s="42">
        <v>2E-3</v>
      </c>
      <c r="E32" s="14"/>
    </row>
    <row r="33" spans="1:5" ht="14.45" customHeight="1" x14ac:dyDescent="0.3">
      <c r="A33" s="14"/>
      <c r="B33" s="40" t="s">
        <v>116</v>
      </c>
      <c r="C33" s="41">
        <v>6</v>
      </c>
      <c r="D33" s="42">
        <v>2E-3</v>
      </c>
      <c r="E33" s="14"/>
    </row>
    <row r="34" spans="1:5" ht="14.45" customHeight="1" x14ac:dyDescent="0.3">
      <c r="A34" s="14"/>
      <c r="B34" s="40" t="s">
        <v>98</v>
      </c>
      <c r="C34" s="41">
        <v>5</v>
      </c>
      <c r="D34" s="42">
        <v>2E-3</v>
      </c>
      <c r="E34" s="14"/>
    </row>
    <row r="35" spans="1:5" ht="14.45" customHeight="1" x14ac:dyDescent="0.3">
      <c r="A35" s="14"/>
      <c r="B35" s="40" t="s">
        <v>104</v>
      </c>
      <c r="C35" s="41">
        <v>5</v>
      </c>
      <c r="D35" s="42">
        <v>2E-3</v>
      </c>
      <c r="E35" s="14"/>
    </row>
    <row r="36" spans="1:5" ht="14.45" customHeight="1" x14ac:dyDescent="0.3">
      <c r="A36" s="14"/>
      <c r="B36" s="40" t="s">
        <v>108</v>
      </c>
      <c r="C36" s="41">
        <v>5</v>
      </c>
      <c r="D36" s="42">
        <v>2E-3</v>
      </c>
      <c r="E36" s="14"/>
    </row>
    <row r="37" spans="1:5" ht="14.45" customHeight="1" x14ac:dyDescent="0.3">
      <c r="A37" s="14"/>
      <c r="B37" s="40" t="s">
        <v>110</v>
      </c>
      <c r="C37" s="41">
        <v>5</v>
      </c>
      <c r="D37" s="42">
        <v>2E-3</v>
      </c>
      <c r="E37" s="14"/>
    </row>
    <row r="38" spans="1:5" ht="14.45" customHeight="1" x14ac:dyDescent="0.3">
      <c r="A38" s="14"/>
      <c r="B38" s="40" t="s">
        <v>106</v>
      </c>
      <c r="C38" s="41">
        <v>4</v>
      </c>
      <c r="D38" s="42">
        <v>2E-3</v>
      </c>
      <c r="E38" s="14"/>
    </row>
    <row r="39" spans="1:5" ht="14.45" customHeight="1" x14ac:dyDescent="0.3">
      <c r="A39" s="14"/>
      <c r="B39" s="40" t="s">
        <v>115</v>
      </c>
      <c r="C39" s="41">
        <v>4</v>
      </c>
      <c r="D39" s="42">
        <v>2E-3</v>
      </c>
      <c r="E39" s="14"/>
    </row>
    <row r="40" spans="1:5" ht="14.45" customHeight="1" x14ac:dyDescent="0.3">
      <c r="A40" s="14"/>
      <c r="B40" s="40" t="s">
        <v>99</v>
      </c>
      <c r="C40" s="41">
        <v>3</v>
      </c>
      <c r="D40" s="42">
        <v>1E-3</v>
      </c>
      <c r="E40" s="14"/>
    </row>
    <row r="41" spans="1:5" ht="14.45" customHeight="1" x14ac:dyDescent="0.3">
      <c r="A41" s="14"/>
      <c r="B41" s="40" t="s">
        <v>100</v>
      </c>
      <c r="C41" s="41">
        <v>3</v>
      </c>
      <c r="D41" s="42">
        <v>1E-3</v>
      </c>
      <c r="E41" s="14"/>
    </row>
    <row r="42" spans="1:5" ht="14.45" customHeight="1" x14ac:dyDescent="0.3">
      <c r="A42" s="14"/>
      <c r="B42" s="40" t="s">
        <v>120</v>
      </c>
      <c r="C42" s="41">
        <v>3</v>
      </c>
      <c r="D42" s="42">
        <v>1E-3</v>
      </c>
      <c r="E42" s="14"/>
    </row>
    <row r="43" spans="1:5" ht="14.45" customHeight="1" x14ac:dyDescent="0.3">
      <c r="A43" s="14"/>
      <c r="B43" s="40" t="s">
        <v>121</v>
      </c>
      <c r="C43" s="41">
        <v>3</v>
      </c>
      <c r="D43" s="42">
        <v>1E-3</v>
      </c>
      <c r="E43" s="14"/>
    </row>
    <row r="44" spans="1:5" ht="14.45" customHeight="1" x14ac:dyDescent="0.3">
      <c r="A44" s="14"/>
      <c r="B44" s="40" t="s">
        <v>102</v>
      </c>
      <c r="C44" s="41">
        <v>2</v>
      </c>
      <c r="D44" s="42">
        <v>1E-3</v>
      </c>
      <c r="E44" s="14"/>
    </row>
    <row r="45" spans="1:5" ht="14.45" customHeight="1" x14ac:dyDescent="0.3">
      <c r="A45" s="14"/>
      <c r="B45" s="40" t="s">
        <v>112</v>
      </c>
      <c r="C45" s="41">
        <v>2</v>
      </c>
      <c r="D45" s="42">
        <v>1E-3</v>
      </c>
      <c r="E45" s="14"/>
    </row>
    <row r="46" spans="1:5" ht="14.45" customHeight="1" x14ac:dyDescent="0.3">
      <c r="A46" s="14"/>
      <c r="B46" s="40" t="s">
        <v>90</v>
      </c>
      <c r="C46" s="41">
        <v>1</v>
      </c>
      <c r="D46" s="42">
        <v>0</v>
      </c>
      <c r="E46" s="14"/>
    </row>
    <row r="47" spans="1:5" ht="14.45" customHeight="1" x14ac:dyDescent="0.3">
      <c r="A47" s="14"/>
      <c r="B47" s="40" t="s">
        <v>264</v>
      </c>
      <c r="C47" s="41">
        <v>1</v>
      </c>
      <c r="D47" s="42">
        <v>0</v>
      </c>
      <c r="E47" s="14"/>
    </row>
    <row r="48" spans="1:5" ht="14.45" customHeight="1" x14ac:dyDescent="0.3">
      <c r="A48" s="14"/>
      <c r="B48" s="40" t="s">
        <v>93</v>
      </c>
      <c r="C48" s="41">
        <v>1</v>
      </c>
      <c r="D48" s="42">
        <v>0</v>
      </c>
      <c r="E48" s="14"/>
    </row>
    <row r="49" spans="1:5" ht="14.45" customHeight="1" x14ac:dyDescent="0.3">
      <c r="A49" s="14"/>
      <c r="B49" s="40" t="s">
        <v>101</v>
      </c>
      <c r="C49" s="41">
        <v>1</v>
      </c>
      <c r="D49" s="42">
        <v>0</v>
      </c>
      <c r="E49" s="14"/>
    </row>
    <row r="50" spans="1:5" ht="14.45" customHeight="1" x14ac:dyDescent="0.3">
      <c r="A50" s="14"/>
      <c r="B50" s="40" t="s">
        <v>109</v>
      </c>
      <c r="C50" s="41">
        <v>1</v>
      </c>
      <c r="D50" s="42">
        <v>0</v>
      </c>
      <c r="E50" s="14"/>
    </row>
    <row r="51" spans="1:5" ht="14.45" customHeight="1" x14ac:dyDescent="0.3">
      <c r="A51" s="14"/>
      <c r="B51" s="49" t="s">
        <v>315</v>
      </c>
      <c r="C51" s="26">
        <v>2401</v>
      </c>
      <c r="D51" s="50">
        <v>1</v>
      </c>
      <c r="E51" s="14"/>
    </row>
    <row r="52" spans="1:5" ht="14.45" customHeight="1" x14ac:dyDescent="0.3">
      <c r="A52" s="14"/>
      <c r="B52" s="17"/>
      <c r="C52" s="14"/>
      <c r="D52" s="14"/>
      <c r="E52" s="14"/>
    </row>
    <row r="53" spans="1:5" ht="14.45" customHeight="1" x14ac:dyDescent="0.3">
      <c r="A53" s="14"/>
      <c r="B53" s="18" t="s">
        <v>260</v>
      </c>
      <c r="C53" s="14"/>
      <c r="D53" s="14"/>
      <c r="E53" s="14"/>
    </row>
    <row r="54" spans="1:5" ht="14.45" customHeight="1" x14ac:dyDescent="0.3">
      <c r="A54" s="14"/>
      <c r="B54" s="19" t="s">
        <v>21</v>
      </c>
      <c r="C54" s="14"/>
      <c r="D54" s="14"/>
      <c r="E54" s="14"/>
    </row>
    <row r="55" spans="1:5" ht="14.45" customHeight="1" x14ac:dyDescent="0.3">
      <c r="A55" s="14"/>
      <c r="B55" s="17" t="s">
        <v>122</v>
      </c>
      <c r="C55" s="14"/>
      <c r="D55" s="14"/>
      <c r="E55" s="14"/>
    </row>
    <row r="56" spans="1:5" ht="14.45" customHeight="1" x14ac:dyDescent="0.3">
      <c r="A56" s="14"/>
      <c r="B56" s="18" t="s">
        <v>22</v>
      </c>
      <c r="C56" s="14"/>
      <c r="D56" s="14"/>
      <c r="E56" s="14"/>
    </row>
    <row r="57" spans="1:5" ht="14.45" customHeight="1" x14ac:dyDescent="0.3">
      <c r="A57" s="14"/>
      <c r="B57" s="18" t="s">
        <v>319</v>
      </c>
      <c r="C57" s="14"/>
      <c r="D57" s="14"/>
      <c r="E57" s="14"/>
    </row>
  </sheetData>
  <mergeCells count="1">
    <mergeCell ref="B7:D9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X65"/>
  <sheetViews>
    <sheetView showGridLines="0" view="pageBreakPreview" zoomScaleNormal="100" zoomScaleSheetLayoutView="100" workbookViewId="0">
      <selection activeCell="G4" sqref="G4"/>
    </sheetView>
  </sheetViews>
  <sheetFormatPr baseColWidth="10" defaultRowHeight="15" x14ac:dyDescent="0.25"/>
  <cols>
    <col min="2" max="2" width="19.7109375" customWidth="1"/>
    <col min="3" max="3" width="18.85546875" customWidth="1"/>
    <col min="4" max="4" width="16.85546875" customWidth="1"/>
    <col min="5" max="5" width="14.5703125" customWidth="1"/>
  </cols>
  <sheetData>
    <row r="1" spans="1:2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ht="30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ht="22.5" customHeight="1" x14ac:dyDescent="0.3">
      <c r="A6" s="20"/>
      <c r="B6" s="20"/>
      <c r="C6" s="20"/>
      <c r="D6" s="20"/>
      <c r="E6" s="2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ht="16.5" x14ac:dyDescent="0.3">
      <c r="A7" s="20"/>
      <c r="B7" s="84" t="s">
        <v>39</v>
      </c>
      <c r="C7" s="84"/>
      <c r="D7" s="84"/>
      <c r="E7" s="20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ht="16.5" x14ac:dyDescent="0.3">
      <c r="A8" s="20"/>
      <c r="B8" s="84"/>
      <c r="C8" s="84"/>
      <c r="D8" s="84"/>
      <c r="E8" s="20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ht="16.5" x14ac:dyDescent="0.3">
      <c r="A9" s="20"/>
      <c r="B9" s="84"/>
      <c r="C9" s="84"/>
      <c r="D9" s="84"/>
      <c r="E9" s="20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ht="15" customHeight="1" x14ac:dyDescent="0.3">
      <c r="A10" s="20"/>
      <c r="B10" s="20"/>
      <c r="C10" s="20"/>
      <c r="D10" s="20"/>
      <c r="E10" s="2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ht="28.5" x14ac:dyDescent="0.3">
      <c r="A11" s="20"/>
      <c r="B11" s="15" t="s">
        <v>23</v>
      </c>
      <c r="C11" s="16" t="s">
        <v>19</v>
      </c>
      <c r="D11" s="15" t="s">
        <v>20</v>
      </c>
      <c r="E11" s="20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ht="14.45" customHeight="1" x14ac:dyDescent="0.3">
      <c r="A12" s="20"/>
      <c r="B12" s="51" t="s">
        <v>41</v>
      </c>
      <c r="C12" s="52">
        <v>926</v>
      </c>
      <c r="D12" s="53">
        <v>0.38567263640149901</v>
      </c>
      <c r="E12" s="14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ht="14.45" customHeight="1" x14ac:dyDescent="0.3">
      <c r="A13" s="20"/>
      <c r="B13" s="51" t="s">
        <v>42</v>
      </c>
      <c r="C13" s="52">
        <v>350</v>
      </c>
      <c r="D13" s="53">
        <v>0.14577259475218701</v>
      </c>
      <c r="E13" s="14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ht="14.45" customHeight="1" x14ac:dyDescent="0.3">
      <c r="A14" s="20"/>
      <c r="B14" s="51" t="s">
        <v>44</v>
      </c>
      <c r="C14" s="52">
        <v>147</v>
      </c>
      <c r="D14" s="53">
        <v>6.1224489795917998E-2</v>
      </c>
      <c r="E14" s="14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4" ht="14.45" customHeight="1" x14ac:dyDescent="0.3">
      <c r="A15" s="20"/>
      <c r="B15" s="51" t="s">
        <v>47</v>
      </c>
      <c r="C15" s="52">
        <v>107</v>
      </c>
      <c r="D15" s="53">
        <v>4.4564764681382998E-2</v>
      </c>
      <c r="E15" s="14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4" ht="14.45" customHeight="1" x14ac:dyDescent="0.3">
      <c r="A16" s="20"/>
      <c r="B16" s="51" t="s">
        <v>45</v>
      </c>
      <c r="C16" s="52">
        <v>93</v>
      </c>
      <c r="D16" s="53">
        <v>3.8733860891294998E-2</v>
      </c>
      <c r="E16" s="14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4.45" customHeight="1" x14ac:dyDescent="0.3">
      <c r="A17" s="20"/>
      <c r="B17" s="51" t="s">
        <v>43</v>
      </c>
      <c r="C17" s="52">
        <v>90</v>
      </c>
      <c r="D17" s="53">
        <v>3.7484381507705E-2</v>
      </c>
      <c r="E17" s="14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4.45" customHeight="1" x14ac:dyDescent="0.3">
      <c r="A18" s="20"/>
      <c r="B18" s="51" t="s">
        <v>46</v>
      </c>
      <c r="C18" s="52">
        <v>77</v>
      </c>
      <c r="D18" s="53">
        <v>3.2069970845481001E-2</v>
      </c>
      <c r="E18" s="14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4.45" customHeight="1" x14ac:dyDescent="0.3">
      <c r="A19" s="20"/>
      <c r="B19" s="51" t="s">
        <v>49</v>
      </c>
      <c r="C19" s="52">
        <v>56</v>
      </c>
      <c r="D19" s="53">
        <v>2.332361516035E-2</v>
      </c>
      <c r="E19" s="14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4.45" customHeight="1" x14ac:dyDescent="0.3">
      <c r="A20" s="20"/>
      <c r="B20" s="51" t="s">
        <v>51</v>
      </c>
      <c r="C20" s="52">
        <v>50</v>
      </c>
      <c r="D20" s="53">
        <v>2.082465639317E-2</v>
      </c>
      <c r="E20" s="14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4.45" customHeight="1" x14ac:dyDescent="0.3">
      <c r="A21" s="20"/>
      <c r="B21" s="51" t="s">
        <v>48</v>
      </c>
      <c r="C21" s="52">
        <v>46</v>
      </c>
      <c r="D21" s="53">
        <v>1.9158683881716002E-2</v>
      </c>
      <c r="E21" s="14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4.45" customHeight="1" x14ac:dyDescent="0.3">
      <c r="A22" s="20"/>
      <c r="B22" s="51" t="s">
        <v>53</v>
      </c>
      <c r="C22" s="52">
        <v>40</v>
      </c>
      <c r="D22" s="53">
        <v>1.6659725114535999E-2</v>
      </c>
      <c r="E22" s="14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4.45" customHeight="1" x14ac:dyDescent="0.3">
      <c r="A23" s="20"/>
      <c r="B23" s="51" t="s">
        <v>52</v>
      </c>
      <c r="C23" s="52">
        <v>38</v>
      </c>
      <c r="D23" s="53">
        <v>1.5826738858809E-2</v>
      </c>
      <c r="E23" s="14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14.45" customHeight="1" x14ac:dyDescent="0.3">
      <c r="A24" s="20"/>
      <c r="B24" s="51" t="s">
        <v>54</v>
      </c>
      <c r="C24" s="52">
        <v>32</v>
      </c>
      <c r="D24" s="53">
        <v>1.3327780091627999E-2</v>
      </c>
      <c r="E24" s="14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14.45" customHeight="1" x14ac:dyDescent="0.3">
      <c r="A25" s="20"/>
      <c r="B25" s="51" t="s">
        <v>50</v>
      </c>
      <c r="C25" s="52">
        <v>32</v>
      </c>
      <c r="D25" s="53">
        <v>1.3327780091627999E-2</v>
      </c>
      <c r="E25" s="14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ht="14.45" customHeight="1" x14ac:dyDescent="0.3">
      <c r="A26" s="20"/>
      <c r="B26" s="51" t="s">
        <v>55</v>
      </c>
      <c r="C26" s="52">
        <v>29</v>
      </c>
      <c r="D26" s="53">
        <v>1.2078300708038E-2</v>
      </c>
      <c r="E26" s="14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ht="14.45" customHeight="1" x14ac:dyDescent="0.3">
      <c r="A27" s="20"/>
      <c r="B27" s="51" t="s">
        <v>56</v>
      </c>
      <c r="C27" s="52">
        <v>27</v>
      </c>
      <c r="D27" s="53">
        <v>1.1245314452312E-2</v>
      </c>
      <c r="E27" s="14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ht="14.45" customHeight="1" x14ac:dyDescent="0.3">
      <c r="A28" s="20"/>
      <c r="B28" s="51" t="s">
        <v>62</v>
      </c>
      <c r="C28" s="52">
        <v>26</v>
      </c>
      <c r="D28" s="53">
        <v>1.0828821324448E-2</v>
      </c>
      <c r="E28" s="14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ht="14.45" customHeight="1" x14ac:dyDescent="0.3">
      <c r="A29" s="85"/>
      <c r="B29" s="51" t="s">
        <v>60</v>
      </c>
      <c r="C29" s="52">
        <v>21</v>
      </c>
      <c r="D29" s="53">
        <v>8.7463556851309996E-3</v>
      </c>
      <c r="E29" s="14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ht="14.45" customHeight="1" x14ac:dyDescent="0.3">
      <c r="A30" s="85"/>
      <c r="B30" s="51" t="s">
        <v>59</v>
      </c>
      <c r="C30" s="52">
        <v>20</v>
      </c>
      <c r="D30" s="53">
        <v>8.3298625572679995E-3</v>
      </c>
      <c r="E30" s="14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14.45" customHeight="1" x14ac:dyDescent="0.3">
      <c r="A31" s="85"/>
      <c r="B31" s="51" t="s">
        <v>66</v>
      </c>
      <c r="C31" s="52">
        <v>17</v>
      </c>
      <c r="D31" s="53">
        <v>7.0803831736779999E-3</v>
      </c>
      <c r="E31" s="14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14.45" customHeight="1" x14ac:dyDescent="0.3">
      <c r="A32" s="85"/>
      <c r="B32" s="51" t="s">
        <v>57</v>
      </c>
      <c r="C32" s="52">
        <v>15</v>
      </c>
      <c r="D32" s="53">
        <v>6.2473969179509996E-3</v>
      </c>
      <c r="E32" s="14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ht="14.45" customHeight="1" x14ac:dyDescent="0.3">
      <c r="A33" s="85"/>
      <c r="B33" s="51" t="s">
        <v>65</v>
      </c>
      <c r="C33" s="52">
        <v>14</v>
      </c>
      <c r="D33" s="53">
        <v>5.8309037900870003E-3</v>
      </c>
      <c r="E33" s="14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ht="14.45" customHeight="1" x14ac:dyDescent="0.3">
      <c r="A34" s="85"/>
      <c r="B34" s="51" t="s">
        <v>58</v>
      </c>
      <c r="C34" s="52">
        <v>13</v>
      </c>
      <c r="D34" s="53">
        <v>5.4144106622240002E-3</v>
      </c>
      <c r="E34" s="14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ht="14.45" customHeight="1" x14ac:dyDescent="0.3">
      <c r="A35" s="85"/>
      <c r="B35" s="51" t="s">
        <v>79</v>
      </c>
      <c r="C35" s="52">
        <v>11</v>
      </c>
      <c r="D35" s="53">
        <v>4.5814244064969999E-3</v>
      </c>
      <c r="E35" s="14"/>
    </row>
    <row r="36" spans="1:22" ht="14.45" customHeight="1" x14ac:dyDescent="0.3">
      <c r="A36" s="85"/>
      <c r="B36" s="51" t="s">
        <v>77</v>
      </c>
      <c r="C36" s="52">
        <v>10</v>
      </c>
      <c r="D36" s="53">
        <v>4.1649312786339997E-3</v>
      </c>
      <c r="E36" s="14"/>
    </row>
    <row r="37" spans="1:22" ht="14.45" customHeight="1" x14ac:dyDescent="0.3">
      <c r="A37" s="85"/>
      <c r="B37" s="51" t="s">
        <v>64</v>
      </c>
      <c r="C37" s="52">
        <v>10</v>
      </c>
      <c r="D37" s="53">
        <v>4.1649312786339997E-3</v>
      </c>
      <c r="E37" s="14"/>
    </row>
    <row r="38" spans="1:22" ht="14.45" customHeight="1" x14ac:dyDescent="0.3">
      <c r="A38" s="85"/>
      <c r="B38" s="51" t="s">
        <v>63</v>
      </c>
      <c r="C38" s="52">
        <v>9</v>
      </c>
      <c r="D38" s="53">
        <v>3.7484381507710001E-3</v>
      </c>
      <c r="E38" s="14"/>
    </row>
    <row r="39" spans="1:22" ht="14.45" customHeight="1" x14ac:dyDescent="0.3">
      <c r="A39" s="85"/>
      <c r="B39" s="51" t="s">
        <v>76</v>
      </c>
      <c r="C39" s="52">
        <v>9</v>
      </c>
      <c r="D39" s="53">
        <v>3.7484381507710001E-3</v>
      </c>
      <c r="E39" s="14"/>
    </row>
    <row r="40" spans="1:22" ht="14.45" customHeight="1" x14ac:dyDescent="0.3">
      <c r="A40" s="85"/>
      <c r="B40" s="51" t="s">
        <v>67</v>
      </c>
      <c r="C40" s="52">
        <v>8</v>
      </c>
      <c r="D40" s="53">
        <v>3.3319450229069999E-3</v>
      </c>
      <c r="E40" s="14"/>
    </row>
    <row r="41" spans="1:22" ht="14.45" customHeight="1" x14ac:dyDescent="0.3">
      <c r="A41" s="85"/>
      <c r="B41" s="51" t="s">
        <v>61</v>
      </c>
      <c r="C41" s="52">
        <v>8</v>
      </c>
      <c r="D41" s="53">
        <v>3.3319450229069999E-3</v>
      </c>
      <c r="E41" s="14"/>
    </row>
    <row r="42" spans="1:22" ht="14.45" customHeight="1" x14ac:dyDescent="0.3">
      <c r="A42" s="85"/>
      <c r="B42" s="51" t="s">
        <v>68</v>
      </c>
      <c r="C42" s="52">
        <v>8</v>
      </c>
      <c r="D42" s="53">
        <v>3.3319450229069999E-3</v>
      </c>
      <c r="E42" s="14"/>
    </row>
    <row r="43" spans="1:22" ht="14.45" customHeight="1" x14ac:dyDescent="0.3">
      <c r="A43" s="85"/>
      <c r="B43" s="51" t="s">
        <v>70</v>
      </c>
      <c r="C43" s="52">
        <v>8</v>
      </c>
      <c r="D43" s="53">
        <v>3.3319450229069999E-3</v>
      </c>
      <c r="E43" s="14"/>
    </row>
    <row r="44" spans="1:22" ht="14.45" customHeight="1" x14ac:dyDescent="0.3">
      <c r="A44" s="85"/>
      <c r="B44" s="51" t="s">
        <v>71</v>
      </c>
      <c r="C44" s="52">
        <v>8</v>
      </c>
      <c r="D44" s="53">
        <v>3.3319450229069999E-3</v>
      </c>
      <c r="E44" s="14"/>
    </row>
    <row r="45" spans="1:22" ht="14.45" customHeight="1" x14ac:dyDescent="0.3">
      <c r="A45" s="85"/>
      <c r="B45" s="51" t="s">
        <v>69</v>
      </c>
      <c r="C45" s="52">
        <v>6</v>
      </c>
      <c r="D45" s="53">
        <v>2.49895876718E-3</v>
      </c>
      <c r="E45" s="14"/>
    </row>
    <row r="46" spans="1:22" ht="14.45" customHeight="1" x14ac:dyDescent="0.3">
      <c r="A46" s="85"/>
      <c r="B46" s="51" t="s">
        <v>80</v>
      </c>
      <c r="C46" s="52">
        <v>6</v>
      </c>
      <c r="D46" s="53">
        <v>2.49895876718E-3</v>
      </c>
      <c r="E46" s="14"/>
    </row>
    <row r="47" spans="1:22" ht="14.45" customHeight="1" x14ac:dyDescent="0.3">
      <c r="A47" s="85"/>
      <c r="B47" s="51" t="s">
        <v>81</v>
      </c>
      <c r="C47" s="52">
        <v>5</v>
      </c>
      <c r="D47" s="53">
        <v>2.0824656393169999E-3</v>
      </c>
      <c r="E47" s="14"/>
    </row>
    <row r="48" spans="1:22" ht="14.45" customHeight="1" x14ac:dyDescent="0.3">
      <c r="A48" s="85"/>
      <c r="B48" s="51" t="s">
        <v>261</v>
      </c>
      <c r="C48" s="52">
        <v>5</v>
      </c>
      <c r="D48" s="53">
        <v>2.0824656393169999E-3</v>
      </c>
      <c r="E48" s="14"/>
    </row>
    <row r="49" spans="1:5" ht="14.45" customHeight="1" x14ac:dyDescent="0.3">
      <c r="A49" s="85"/>
      <c r="B49" s="51" t="s">
        <v>75</v>
      </c>
      <c r="C49" s="52">
        <v>5</v>
      </c>
      <c r="D49" s="53">
        <v>2.0824656393169999E-3</v>
      </c>
      <c r="E49" s="14"/>
    </row>
    <row r="50" spans="1:5" ht="14.45" customHeight="1" x14ac:dyDescent="0.3">
      <c r="A50" s="85"/>
      <c r="B50" s="51" t="s">
        <v>82</v>
      </c>
      <c r="C50" s="52">
        <v>4</v>
      </c>
      <c r="D50" s="53">
        <v>1.665972511454E-3</v>
      </c>
      <c r="E50" s="14"/>
    </row>
    <row r="51" spans="1:5" ht="14.45" customHeight="1" x14ac:dyDescent="0.3">
      <c r="A51" s="85"/>
      <c r="B51" s="51" t="s">
        <v>72</v>
      </c>
      <c r="C51" s="52">
        <v>3</v>
      </c>
      <c r="D51" s="53">
        <v>1.24947938359E-3</v>
      </c>
      <c r="E51" s="14"/>
    </row>
    <row r="52" spans="1:5" ht="14.45" customHeight="1" x14ac:dyDescent="0.3">
      <c r="A52" s="85"/>
      <c r="B52" s="51" t="s">
        <v>83</v>
      </c>
      <c r="C52" s="52">
        <v>3</v>
      </c>
      <c r="D52" s="53">
        <v>1.24947938359E-3</v>
      </c>
      <c r="E52" s="14"/>
    </row>
    <row r="53" spans="1:5" ht="14.45" customHeight="1" x14ac:dyDescent="0.3">
      <c r="A53" s="85"/>
      <c r="B53" s="51" t="s">
        <v>262</v>
      </c>
      <c r="C53" s="52">
        <v>2</v>
      </c>
      <c r="D53" s="53">
        <v>8.3298625572699998E-4</v>
      </c>
      <c r="E53" s="14"/>
    </row>
    <row r="54" spans="1:5" ht="14.45" customHeight="1" x14ac:dyDescent="0.3">
      <c r="A54" s="85"/>
      <c r="B54" s="51" t="s">
        <v>73</v>
      </c>
      <c r="C54" s="52">
        <v>2</v>
      </c>
      <c r="D54" s="53">
        <v>8.3298625572699998E-4</v>
      </c>
      <c r="E54" s="14"/>
    </row>
    <row r="55" spans="1:5" ht="14.45" customHeight="1" x14ac:dyDescent="0.3">
      <c r="A55" s="85"/>
      <c r="B55" s="51" t="s">
        <v>263</v>
      </c>
      <c r="C55" s="52">
        <v>2</v>
      </c>
      <c r="D55" s="53">
        <v>8.3298625572699998E-4</v>
      </c>
      <c r="E55" s="14"/>
    </row>
    <row r="56" spans="1:5" ht="14.45" customHeight="1" x14ac:dyDescent="0.3">
      <c r="A56" s="85"/>
      <c r="B56" s="51" t="s">
        <v>74</v>
      </c>
      <c r="C56" s="52">
        <v>1</v>
      </c>
      <c r="D56" s="53">
        <v>4.1649312786300001E-4</v>
      </c>
      <c r="E56" s="14"/>
    </row>
    <row r="57" spans="1:5" ht="16.5" x14ac:dyDescent="0.3">
      <c r="A57" s="85"/>
      <c r="B57" s="51" t="s">
        <v>78</v>
      </c>
      <c r="C57" s="52">
        <v>1</v>
      </c>
      <c r="D57" s="53">
        <v>4.1649312786300001E-4</v>
      </c>
      <c r="E57" s="14"/>
    </row>
    <row r="58" spans="1:5" ht="16.5" x14ac:dyDescent="0.3">
      <c r="A58" s="85"/>
      <c r="B58" s="51" t="s">
        <v>84</v>
      </c>
      <c r="C58" s="52">
        <v>1</v>
      </c>
      <c r="D58" s="53">
        <v>4.1649312786300001E-4</v>
      </c>
      <c r="E58" s="14"/>
    </row>
    <row r="59" spans="1:5" ht="16.5" x14ac:dyDescent="0.3">
      <c r="A59" s="85"/>
      <c r="B59" s="63" t="s">
        <v>316</v>
      </c>
      <c r="C59" s="55">
        <v>2401</v>
      </c>
      <c r="D59" s="56">
        <v>1</v>
      </c>
      <c r="E59" s="14"/>
    </row>
    <row r="60" spans="1:5" ht="16.5" x14ac:dyDescent="0.3">
      <c r="A60" s="85"/>
      <c r="B60" s="17"/>
      <c r="C60" s="14"/>
      <c r="D60" s="14"/>
      <c r="E60" s="14"/>
    </row>
    <row r="61" spans="1:5" ht="16.5" x14ac:dyDescent="0.3">
      <c r="A61" s="85"/>
      <c r="B61" s="18" t="s">
        <v>260</v>
      </c>
      <c r="C61" s="21"/>
      <c r="D61" s="14"/>
      <c r="E61" s="14"/>
    </row>
    <row r="62" spans="1:5" ht="16.5" x14ac:dyDescent="0.3">
      <c r="A62" s="85"/>
      <c r="B62" s="19" t="s">
        <v>21</v>
      </c>
      <c r="C62" s="21"/>
      <c r="D62" s="14"/>
      <c r="E62" s="14"/>
    </row>
    <row r="63" spans="1:5" ht="16.5" x14ac:dyDescent="0.3">
      <c r="A63" s="14"/>
      <c r="B63" s="17" t="s">
        <v>122</v>
      </c>
      <c r="C63" s="21"/>
      <c r="D63" s="14"/>
      <c r="E63" s="14"/>
    </row>
    <row r="64" spans="1:5" ht="16.5" x14ac:dyDescent="0.3">
      <c r="A64" s="14"/>
      <c r="B64" s="18" t="s">
        <v>22</v>
      </c>
      <c r="C64" s="21"/>
      <c r="D64" s="14"/>
      <c r="E64" s="14"/>
    </row>
    <row r="65" spans="1:5" ht="16.5" x14ac:dyDescent="0.3">
      <c r="A65" s="14"/>
      <c r="B65" s="18" t="s">
        <v>319</v>
      </c>
      <c r="C65" s="21"/>
      <c r="D65" s="14"/>
      <c r="E65" s="14"/>
    </row>
  </sheetData>
  <mergeCells count="2">
    <mergeCell ref="B7:D9"/>
    <mergeCell ref="A29:A6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4:E29"/>
  <sheetViews>
    <sheetView showGridLines="0" view="pageBreakPreview" topLeftCell="A8" zoomScaleNormal="100" zoomScaleSheetLayoutView="100" workbookViewId="0">
      <selection activeCell="D16" sqref="D16"/>
    </sheetView>
  </sheetViews>
  <sheetFormatPr baseColWidth="10" defaultRowHeight="15" x14ac:dyDescent="0.25"/>
  <cols>
    <col min="2" max="2" width="19.85546875" customWidth="1"/>
    <col min="3" max="3" width="19" customWidth="1"/>
    <col min="4" max="4" width="17.140625" customWidth="1"/>
  </cols>
  <sheetData>
    <row r="4" spans="1:5" ht="30.6" customHeight="1" x14ac:dyDescent="0.25"/>
    <row r="7" spans="1:5" ht="16.5" x14ac:dyDescent="0.3">
      <c r="A7" s="14"/>
      <c r="B7" s="83" t="s">
        <v>24</v>
      </c>
      <c r="C7" s="83"/>
      <c r="D7" s="83"/>
      <c r="E7" s="14"/>
    </row>
    <row r="8" spans="1:5" ht="16.5" x14ac:dyDescent="0.3">
      <c r="A8" s="14"/>
      <c r="B8" s="83"/>
      <c r="C8" s="83"/>
      <c r="D8" s="83"/>
      <c r="E8" s="14"/>
    </row>
    <row r="9" spans="1:5" ht="16.5" x14ac:dyDescent="0.3">
      <c r="A9" s="14"/>
      <c r="B9" s="83"/>
      <c r="C9" s="83"/>
      <c r="D9" s="83"/>
      <c r="E9" s="14"/>
    </row>
    <row r="10" spans="1:5" ht="16.5" x14ac:dyDescent="0.3">
      <c r="A10" s="14"/>
      <c r="B10" s="14"/>
      <c r="C10" s="14"/>
      <c r="D10" s="14"/>
      <c r="E10" s="14"/>
    </row>
    <row r="11" spans="1:5" ht="28.5" x14ac:dyDescent="0.3">
      <c r="A11" s="14"/>
      <c r="B11" s="22" t="s">
        <v>23</v>
      </c>
      <c r="C11" s="23" t="s">
        <v>19</v>
      </c>
      <c r="D11" s="24" t="s">
        <v>20</v>
      </c>
      <c r="E11" s="14"/>
    </row>
    <row r="12" spans="1:5" ht="14.45" customHeight="1" x14ac:dyDescent="0.3">
      <c r="A12" s="14"/>
      <c r="B12" s="51" t="s">
        <v>41</v>
      </c>
      <c r="C12" s="52">
        <v>926</v>
      </c>
      <c r="D12" s="53">
        <v>0.38567263640149901</v>
      </c>
      <c r="E12" s="14"/>
    </row>
    <row r="13" spans="1:5" ht="14.45" customHeight="1" x14ac:dyDescent="0.3">
      <c r="A13" s="14"/>
      <c r="B13" s="51" t="s">
        <v>42</v>
      </c>
      <c r="C13" s="52">
        <v>350</v>
      </c>
      <c r="D13" s="53">
        <v>0.14577259475218701</v>
      </c>
      <c r="E13" s="14"/>
    </row>
    <row r="14" spans="1:5" ht="14.45" customHeight="1" x14ac:dyDescent="0.3">
      <c r="A14" s="14"/>
      <c r="B14" s="51" t="s">
        <v>44</v>
      </c>
      <c r="C14" s="52">
        <v>147</v>
      </c>
      <c r="D14" s="53">
        <v>6.1224489795917998E-2</v>
      </c>
      <c r="E14" s="14"/>
    </row>
    <row r="15" spans="1:5" ht="14.45" customHeight="1" x14ac:dyDescent="0.3">
      <c r="A15" s="14"/>
      <c r="B15" s="51" t="s">
        <v>47</v>
      </c>
      <c r="C15" s="52">
        <v>107</v>
      </c>
      <c r="D15" s="53">
        <v>4.4564764681382998E-2</v>
      </c>
      <c r="E15" s="14"/>
    </row>
    <row r="16" spans="1:5" ht="14.45" customHeight="1" x14ac:dyDescent="0.3">
      <c r="A16" s="14"/>
      <c r="B16" s="51" t="s">
        <v>45</v>
      </c>
      <c r="C16" s="52">
        <v>93</v>
      </c>
      <c r="D16" s="53">
        <v>3.8733860891294998E-2</v>
      </c>
      <c r="E16" s="14"/>
    </row>
    <row r="17" spans="1:5" ht="14.45" customHeight="1" x14ac:dyDescent="0.3">
      <c r="A17" s="14"/>
      <c r="B17" s="51" t="s">
        <v>43</v>
      </c>
      <c r="C17" s="52">
        <v>90</v>
      </c>
      <c r="D17" s="53">
        <v>3.7484381507705E-2</v>
      </c>
      <c r="E17" s="14"/>
    </row>
    <row r="18" spans="1:5" ht="14.45" customHeight="1" x14ac:dyDescent="0.3">
      <c r="A18" s="14"/>
      <c r="B18" s="51" t="s">
        <v>46</v>
      </c>
      <c r="C18" s="52">
        <v>77</v>
      </c>
      <c r="D18" s="53">
        <v>3.2069970845481001E-2</v>
      </c>
      <c r="E18" s="14"/>
    </row>
    <row r="19" spans="1:5" ht="14.45" customHeight="1" x14ac:dyDescent="0.3">
      <c r="A19" s="14"/>
      <c r="B19" s="51" t="s">
        <v>49</v>
      </c>
      <c r="C19" s="52">
        <v>56</v>
      </c>
      <c r="D19" s="53">
        <v>2.332361516035E-2</v>
      </c>
      <c r="E19" s="14"/>
    </row>
    <row r="20" spans="1:5" ht="14.45" customHeight="1" x14ac:dyDescent="0.3">
      <c r="A20" s="14"/>
      <c r="B20" s="51" t="s">
        <v>51</v>
      </c>
      <c r="C20" s="52">
        <v>50</v>
      </c>
      <c r="D20" s="53">
        <v>2.082465639317E-2</v>
      </c>
      <c r="E20" s="14"/>
    </row>
    <row r="21" spans="1:5" ht="14.45" customHeight="1" x14ac:dyDescent="0.3">
      <c r="A21" s="14"/>
      <c r="B21" s="51" t="s">
        <v>48</v>
      </c>
      <c r="C21" s="52">
        <v>46</v>
      </c>
      <c r="D21" s="53">
        <v>1.9158683881716002E-2</v>
      </c>
      <c r="E21" s="14"/>
    </row>
    <row r="22" spans="1:5" ht="14.45" customHeight="1" x14ac:dyDescent="0.3">
      <c r="A22" s="14"/>
      <c r="B22" s="31" t="s">
        <v>40</v>
      </c>
      <c r="C22" s="32">
        <f>SUM(C12:C21)</f>
        <v>1942</v>
      </c>
      <c r="D22" s="33">
        <f t="shared" ref="D22" si="0">C22/$C$22</f>
        <v>1</v>
      </c>
      <c r="E22" s="14"/>
    </row>
    <row r="23" spans="1:5" ht="14.45" customHeight="1" x14ac:dyDescent="0.3">
      <c r="A23" s="14"/>
      <c r="B23" s="25" t="s">
        <v>317</v>
      </c>
      <c r="C23" s="34">
        <v>2401</v>
      </c>
      <c r="D23" s="64"/>
      <c r="E23" s="14"/>
    </row>
    <row r="24" spans="1:5" ht="14.45" customHeight="1" x14ac:dyDescent="0.3">
      <c r="A24" s="14"/>
      <c r="B24" s="17"/>
      <c r="C24" s="14"/>
      <c r="D24" s="14"/>
      <c r="E24" s="14"/>
    </row>
    <row r="25" spans="1:5" ht="14.45" customHeight="1" x14ac:dyDescent="0.3">
      <c r="B25" s="18" t="s">
        <v>260</v>
      </c>
      <c r="C25" s="14"/>
      <c r="D25" s="14"/>
      <c r="E25" s="14"/>
    </row>
    <row r="26" spans="1:5" ht="14.45" customHeight="1" x14ac:dyDescent="0.3">
      <c r="B26" s="19" t="s">
        <v>21</v>
      </c>
      <c r="C26" s="14"/>
      <c r="D26" s="14"/>
      <c r="E26" s="14"/>
    </row>
    <row r="27" spans="1:5" ht="14.45" customHeight="1" x14ac:dyDescent="0.3">
      <c r="B27" s="17" t="s">
        <v>122</v>
      </c>
      <c r="C27" s="14"/>
      <c r="D27" s="14"/>
      <c r="E27" s="14"/>
    </row>
    <row r="28" spans="1:5" ht="14.45" customHeight="1" x14ac:dyDescent="0.3">
      <c r="B28" s="18" t="s">
        <v>22</v>
      </c>
      <c r="C28" s="14"/>
      <c r="D28" s="14"/>
      <c r="E28" s="14"/>
    </row>
    <row r="29" spans="1:5" ht="14.45" customHeight="1" x14ac:dyDescent="0.3">
      <c r="B29" s="18" t="s">
        <v>319</v>
      </c>
      <c r="C29" s="14"/>
      <c r="D29" s="14"/>
      <c r="E29" s="14"/>
    </row>
  </sheetData>
  <mergeCells count="1">
    <mergeCell ref="B7:D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4:E107"/>
  <sheetViews>
    <sheetView showGridLines="0" view="pageBreakPreview" topLeftCell="A99" zoomScaleNormal="100" zoomScaleSheetLayoutView="100" workbookViewId="0">
      <selection activeCell="C11" sqref="C11"/>
    </sheetView>
  </sheetViews>
  <sheetFormatPr baseColWidth="10" defaultRowHeight="15" x14ac:dyDescent="0.25"/>
  <cols>
    <col min="2" max="2" width="22.5703125" customWidth="1"/>
    <col min="3" max="3" width="19.140625" customWidth="1"/>
    <col min="4" max="4" width="20.28515625" customWidth="1"/>
    <col min="5" max="5" width="9.5703125" customWidth="1"/>
  </cols>
  <sheetData>
    <row r="4" spans="1:5" ht="30.6" customHeight="1" x14ac:dyDescent="0.25"/>
    <row r="5" spans="1:5" ht="21.75" customHeight="1" x14ac:dyDescent="0.25"/>
    <row r="6" spans="1:5" ht="16.5" customHeight="1" x14ac:dyDescent="0.3">
      <c r="A6" s="14"/>
      <c r="B6" s="14"/>
      <c r="C6" s="14"/>
      <c r="D6" s="14"/>
      <c r="E6" s="14"/>
    </row>
    <row r="7" spans="1:5" ht="16.5" x14ac:dyDescent="0.3">
      <c r="A7" s="14"/>
      <c r="B7" s="83" t="s">
        <v>257</v>
      </c>
      <c r="C7" s="83"/>
      <c r="D7" s="83"/>
      <c r="E7" s="14"/>
    </row>
    <row r="8" spans="1:5" ht="16.5" x14ac:dyDescent="0.3">
      <c r="A8" s="14"/>
      <c r="B8" s="83"/>
      <c r="C8" s="83"/>
      <c r="D8" s="83"/>
      <c r="E8" s="14"/>
    </row>
    <row r="9" spans="1:5" ht="16.5" x14ac:dyDescent="0.3">
      <c r="A9" s="14"/>
      <c r="B9" s="83"/>
      <c r="C9" s="83"/>
      <c r="D9" s="83"/>
      <c r="E9" s="14"/>
    </row>
    <row r="10" spans="1:5" ht="16.5" x14ac:dyDescent="0.3">
      <c r="A10" s="14"/>
      <c r="B10" s="14"/>
      <c r="C10" s="14"/>
      <c r="D10" s="14"/>
      <c r="E10" s="14"/>
    </row>
    <row r="11" spans="1:5" ht="28.5" x14ac:dyDescent="0.3">
      <c r="A11" s="14"/>
      <c r="B11" s="24" t="s">
        <v>25</v>
      </c>
      <c r="C11" s="23" t="s">
        <v>19</v>
      </c>
      <c r="D11" s="24" t="s">
        <v>20</v>
      </c>
      <c r="E11" s="14"/>
    </row>
    <row r="12" spans="1:5" ht="16.5" x14ac:dyDescent="0.3">
      <c r="A12" s="14"/>
      <c r="B12" s="40" t="s">
        <v>134</v>
      </c>
      <c r="C12" s="41">
        <v>525</v>
      </c>
      <c r="D12" s="42">
        <v>0.219</v>
      </c>
      <c r="E12" s="14"/>
    </row>
    <row r="13" spans="1:5" ht="16.5" x14ac:dyDescent="0.3">
      <c r="A13" s="14"/>
      <c r="B13" s="40" t="s">
        <v>127</v>
      </c>
      <c r="C13" s="41">
        <v>481</v>
      </c>
      <c r="D13" s="42">
        <v>0.2</v>
      </c>
      <c r="E13" s="14"/>
    </row>
    <row r="14" spans="1:5" ht="16.5" x14ac:dyDescent="0.3">
      <c r="A14" s="14"/>
      <c r="B14" s="40" t="s">
        <v>129</v>
      </c>
      <c r="C14" s="41">
        <v>181</v>
      </c>
      <c r="D14" s="42">
        <v>7.4999999999999997E-2</v>
      </c>
      <c r="E14" s="14"/>
    </row>
    <row r="15" spans="1:5" ht="16.5" x14ac:dyDescent="0.3">
      <c r="A15" s="14"/>
      <c r="B15" s="40" t="s">
        <v>132</v>
      </c>
      <c r="C15" s="41">
        <v>116</v>
      </c>
      <c r="D15" s="42">
        <v>4.8000000000000001E-2</v>
      </c>
      <c r="E15" s="14"/>
    </row>
    <row r="16" spans="1:5" ht="16.5" x14ac:dyDescent="0.3">
      <c r="A16" s="14"/>
      <c r="B16" s="40" t="s">
        <v>170</v>
      </c>
      <c r="C16" s="41">
        <v>109</v>
      </c>
      <c r="D16" s="42">
        <v>4.4999999999999998E-2</v>
      </c>
      <c r="E16" s="14"/>
    </row>
    <row r="17" spans="1:5" ht="16.5" x14ac:dyDescent="0.3">
      <c r="A17" s="14"/>
      <c r="B17" s="40" t="s">
        <v>126</v>
      </c>
      <c r="C17" s="41">
        <v>92</v>
      </c>
      <c r="D17" s="42">
        <v>3.7999999999999999E-2</v>
      </c>
      <c r="E17" s="14"/>
    </row>
    <row r="18" spans="1:5" ht="16.5" x14ac:dyDescent="0.3">
      <c r="A18" s="14"/>
      <c r="B18" s="40" t="s">
        <v>130</v>
      </c>
      <c r="C18" s="41">
        <v>70</v>
      </c>
      <c r="D18" s="42">
        <v>2.9000000000000001E-2</v>
      </c>
      <c r="E18" s="14"/>
    </row>
    <row r="19" spans="1:5" ht="16.5" x14ac:dyDescent="0.3">
      <c r="A19" s="14"/>
      <c r="B19" s="40" t="s">
        <v>138</v>
      </c>
      <c r="C19" s="41">
        <v>55</v>
      </c>
      <c r="D19" s="42">
        <v>2.3E-2</v>
      </c>
      <c r="E19" s="14"/>
    </row>
    <row r="20" spans="1:5" ht="16.5" x14ac:dyDescent="0.3">
      <c r="A20" s="14"/>
      <c r="B20" s="40" t="s">
        <v>145</v>
      </c>
      <c r="C20" s="41">
        <v>52</v>
      </c>
      <c r="D20" s="42">
        <v>2.1999999999999999E-2</v>
      </c>
      <c r="E20" s="14"/>
    </row>
    <row r="21" spans="1:5" ht="16.5" x14ac:dyDescent="0.3">
      <c r="A21" s="14"/>
      <c r="B21" s="40" t="s">
        <v>141</v>
      </c>
      <c r="C21" s="41">
        <v>48</v>
      </c>
      <c r="D21" s="42">
        <v>0.02</v>
      </c>
      <c r="E21" s="14"/>
    </row>
    <row r="22" spans="1:5" ht="16.5" x14ac:dyDescent="0.3">
      <c r="A22" s="14"/>
      <c r="B22" s="40" t="s">
        <v>174</v>
      </c>
      <c r="C22" s="41">
        <v>44</v>
      </c>
      <c r="D22" s="42">
        <v>1.7999999999999999E-2</v>
      </c>
      <c r="E22" s="14"/>
    </row>
    <row r="23" spans="1:5" ht="16.5" x14ac:dyDescent="0.3">
      <c r="A23" s="14"/>
      <c r="B23" s="40" t="s">
        <v>191</v>
      </c>
      <c r="C23" s="41">
        <v>42</v>
      </c>
      <c r="D23" s="42">
        <v>1.7000000000000001E-2</v>
      </c>
      <c r="E23" s="14"/>
    </row>
    <row r="24" spans="1:5" ht="16.5" x14ac:dyDescent="0.3">
      <c r="A24" s="14"/>
      <c r="B24" s="40" t="s">
        <v>160</v>
      </c>
      <c r="C24" s="41">
        <v>37</v>
      </c>
      <c r="D24" s="42">
        <v>1.4999999999999999E-2</v>
      </c>
      <c r="E24" s="14"/>
    </row>
    <row r="25" spans="1:5" ht="16.5" x14ac:dyDescent="0.3">
      <c r="A25" s="14"/>
      <c r="B25" s="40" t="s">
        <v>168</v>
      </c>
      <c r="C25" s="41">
        <v>34</v>
      </c>
      <c r="D25" s="42">
        <v>1.4E-2</v>
      </c>
      <c r="E25" s="14"/>
    </row>
    <row r="26" spans="1:5" ht="16.5" x14ac:dyDescent="0.3">
      <c r="A26" s="14"/>
      <c r="B26" s="40" t="s">
        <v>184</v>
      </c>
      <c r="C26" s="41">
        <v>32</v>
      </c>
      <c r="D26" s="42">
        <v>1.2999999999999999E-2</v>
      </c>
      <c r="E26" s="14"/>
    </row>
    <row r="27" spans="1:5" ht="16.5" x14ac:dyDescent="0.3">
      <c r="A27" s="14"/>
      <c r="B27" s="40" t="s">
        <v>164</v>
      </c>
      <c r="C27" s="41">
        <v>31</v>
      </c>
      <c r="D27" s="42">
        <v>1.2999999999999999E-2</v>
      </c>
      <c r="E27" s="14"/>
    </row>
    <row r="28" spans="1:5" ht="16.5" x14ac:dyDescent="0.3">
      <c r="A28" s="14"/>
      <c r="B28" s="40" t="s">
        <v>265</v>
      </c>
      <c r="C28" s="41">
        <v>26</v>
      </c>
      <c r="D28" s="42">
        <v>1.0999999999999999E-2</v>
      </c>
      <c r="E28" s="14"/>
    </row>
    <row r="29" spans="1:5" ht="16.5" x14ac:dyDescent="0.3">
      <c r="A29" s="14"/>
      <c r="B29" s="40" t="s">
        <v>192</v>
      </c>
      <c r="C29" s="41">
        <v>24</v>
      </c>
      <c r="D29" s="42">
        <v>0.01</v>
      </c>
      <c r="E29" s="14"/>
    </row>
    <row r="30" spans="1:5" ht="16.5" x14ac:dyDescent="0.3">
      <c r="A30" s="14"/>
      <c r="B30" s="40" t="s">
        <v>133</v>
      </c>
      <c r="C30" s="41">
        <v>23</v>
      </c>
      <c r="D30" s="42">
        <v>0.01</v>
      </c>
      <c r="E30" s="14"/>
    </row>
    <row r="31" spans="1:5" ht="16.5" x14ac:dyDescent="0.3">
      <c r="A31" s="14"/>
      <c r="B31" s="40" t="s">
        <v>181</v>
      </c>
      <c r="C31" s="41">
        <v>21</v>
      </c>
      <c r="D31" s="42">
        <v>8.9999999999999993E-3</v>
      </c>
      <c r="E31" s="14"/>
    </row>
    <row r="32" spans="1:5" ht="16.5" x14ac:dyDescent="0.3">
      <c r="A32" s="14"/>
      <c r="B32" s="40" t="s">
        <v>169</v>
      </c>
      <c r="C32" s="41">
        <v>19</v>
      </c>
      <c r="D32" s="42">
        <v>8.0000000000000002E-3</v>
      </c>
      <c r="E32" s="14"/>
    </row>
    <row r="33" spans="1:5" ht="16.5" x14ac:dyDescent="0.3">
      <c r="A33" s="14"/>
      <c r="B33" s="40" t="s">
        <v>173</v>
      </c>
      <c r="C33" s="41">
        <v>19</v>
      </c>
      <c r="D33" s="42">
        <v>8.0000000000000002E-3</v>
      </c>
      <c r="E33" s="14"/>
    </row>
    <row r="34" spans="1:5" ht="16.5" x14ac:dyDescent="0.3">
      <c r="A34" s="14"/>
      <c r="B34" s="40" t="s">
        <v>143</v>
      </c>
      <c r="C34" s="41">
        <v>18</v>
      </c>
      <c r="D34" s="42">
        <v>7.0000000000000001E-3</v>
      </c>
      <c r="E34" s="14"/>
    </row>
    <row r="35" spans="1:5" ht="16.5" x14ac:dyDescent="0.3">
      <c r="A35" s="14"/>
      <c r="B35" s="40" t="s">
        <v>194</v>
      </c>
      <c r="C35" s="41">
        <v>18</v>
      </c>
      <c r="D35" s="42">
        <v>7.0000000000000001E-3</v>
      </c>
      <c r="E35" s="14"/>
    </row>
    <row r="36" spans="1:5" ht="16.5" x14ac:dyDescent="0.3">
      <c r="A36" s="14"/>
      <c r="B36" s="40" t="s">
        <v>151</v>
      </c>
      <c r="C36" s="41">
        <v>17</v>
      </c>
      <c r="D36" s="42">
        <v>7.0000000000000001E-3</v>
      </c>
      <c r="E36" s="14"/>
    </row>
    <row r="37" spans="1:5" ht="16.5" x14ac:dyDescent="0.3">
      <c r="A37" s="14"/>
      <c r="B37" s="40" t="s">
        <v>162</v>
      </c>
      <c r="C37" s="41">
        <v>17</v>
      </c>
      <c r="D37" s="42">
        <v>7.0000000000000001E-3</v>
      </c>
      <c r="E37" s="14"/>
    </row>
    <row r="38" spans="1:5" ht="16.5" x14ac:dyDescent="0.3">
      <c r="A38" s="14"/>
      <c r="B38" s="40" t="s">
        <v>157</v>
      </c>
      <c r="C38" s="41">
        <v>16</v>
      </c>
      <c r="D38" s="42">
        <v>7.0000000000000001E-3</v>
      </c>
      <c r="E38" s="14"/>
    </row>
    <row r="39" spans="1:5" ht="16.5" x14ac:dyDescent="0.3">
      <c r="A39" s="14"/>
      <c r="B39" s="40" t="s">
        <v>176</v>
      </c>
      <c r="C39" s="41">
        <v>16</v>
      </c>
      <c r="D39" s="42">
        <v>7.0000000000000001E-3</v>
      </c>
      <c r="E39" s="14"/>
    </row>
    <row r="40" spans="1:5" ht="16.5" x14ac:dyDescent="0.3">
      <c r="A40" s="14"/>
      <c r="B40" s="40" t="s">
        <v>190</v>
      </c>
      <c r="C40" s="41">
        <v>13</v>
      </c>
      <c r="D40" s="42">
        <v>5.0000000000000001E-3</v>
      </c>
      <c r="E40" s="14"/>
    </row>
    <row r="41" spans="1:5" ht="16.5" x14ac:dyDescent="0.3">
      <c r="A41" s="14"/>
      <c r="B41" s="40" t="s">
        <v>136</v>
      </c>
      <c r="C41" s="41">
        <v>13</v>
      </c>
      <c r="D41" s="42">
        <v>5.0000000000000001E-3</v>
      </c>
      <c r="E41" s="14"/>
    </row>
    <row r="42" spans="1:5" ht="16.5" x14ac:dyDescent="0.3">
      <c r="A42" s="14"/>
      <c r="B42" s="40" t="s">
        <v>135</v>
      </c>
      <c r="C42" s="41">
        <v>10</v>
      </c>
      <c r="D42" s="42">
        <v>4.0000000000000001E-3</v>
      </c>
      <c r="E42" s="14"/>
    </row>
    <row r="43" spans="1:5" ht="16.5" x14ac:dyDescent="0.3">
      <c r="A43" s="14"/>
      <c r="B43" s="40" t="s">
        <v>163</v>
      </c>
      <c r="C43" s="41">
        <v>8</v>
      </c>
      <c r="D43" s="42">
        <v>3.0000000000000001E-3</v>
      </c>
      <c r="E43" s="14"/>
    </row>
    <row r="44" spans="1:5" ht="16.5" x14ac:dyDescent="0.3">
      <c r="A44" s="14"/>
      <c r="B44" s="40" t="s">
        <v>198</v>
      </c>
      <c r="C44" s="41">
        <v>8</v>
      </c>
      <c r="D44" s="42">
        <v>3.0000000000000001E-3</v>
      </c>
      <c r="E44" s="14"/>
    </row>
    <row r="45" spans="1:5" ht="16.5" x14ac:dyDescent="0.3">
      <c r="A45" s="14"/>
      <c r="B45" s="40" t="s">
        <v>179</v>
      </c>
      <c r="C45" s="41">
        <v>8</v>
      </c>
      <c r="D45" s="42">
        <v>3.0000000000000001E-3</v>
      </c>
      <c r="E45" s="14"/>
    </row>
    <row r="46" spans="1:5" ht="16.5" x14ac:dyDescent="0.3">
      <c r="A46" s="14"/>
      <c r="B46" s="40" t="s">
        <v>183</v>
      </c>
      <c r="C46" s="41">
        <v>8</v>
      </c>
      <c r="D46" s="42">
        <v>3.0000000000000001E-3</v>
      </c>
      <c r="E46" s="14"/>
    </row>
    <row r="47" spans="1:5" ht="16.5" x14ac:dyDescent="0.3">
      <c r="A47" s="14"/>
      <c r="B47" s="40" t="s">
        <v>158</v>
      </c>
      <c r="C47" s="41">
        <v>7</v>
      </c>
      <c r="D47" s="42">
        <v>3.0000000000000001E-3</v>
      </c>
      <c r="E47" s="14"/>
    </row>
    <row r="48" spans="1:5" ht="16.5" x14ac:dyDescent="0.3">
      <c r="A48" s="14"/>
      <c r="B48" s="40" t="s">
        <v>186</v>
      </c>
      <c r="C48" s="41">
        <v>7</v>
      </c>
      <c r="D48" s="42">
        <v>3.0000000000000001E-3</v>
      </c>
      <c r="E48" s="14"/>
    </row>
    <row r="49" spans="1:5" ht="16.5" x14ac:dyDescent="0.3">
      <c r="A49" s="14"/>
      <c r="B49" s="40" t="s">
        <v>187</v>
      </c>
      <c r="C49" s="41">
        <v>7</v>
      </c>
      <c r="D49" s="42">
        <v>3.0000000000000001E-3</v>
      </c>
      <c r="E49" s="14"/>
    </row>
    <row r="50" spans="1:5" ht="16.5" x14ac:dyDescent="0.3">
      <c r="A50" s="14"/>
      <c r="B50" s="40" t="s">
        <v>137</v>
      </c>
      <c r="C50" s="41">
        <v>6</v>
      </c>
      <c r="D50" s="42">
        <v>2E-3</v>
      </c>
      <c r="E50" s="14"/>
    </row>
    <row r="51" spans="1:5" ht="16.5" x14ac:dyDescent="0.3">
      <c r="A51" s="14"/>
      <c r="B51" s="40" t="s">
        <v>142</v>
      </c>
      <c r="C51" s="41">
        <v>5</v>
      </c>
      <c r="D51" s="42">
        <v>2E-3</v>
      </c>
      <c r="E51" s="14"/>
    </row>
    <row r="52" spans="1:5" ht="16.5" x14ac:dyDescent="0.3">
      <c r="A52" s="14"/>
      <c r="B52" s="40" t="s">
        <v>156</v>
      </c>
      <c r="C52" s="41">
        <v>5</v>
      </c>
      <c r="D52" s="42">
        <v>2E-3</v>
      </c>
      <c r="E52" s="14"/>
    </row>
    <row r="53" spans="1:5" ht="16.5" x14ac:dyDescent="0.3">
      <c r="A53" s="14"/>
      <c r="B53" s="40" t="s">
        <v>165</v>
      </c>
      <c r="C53" s="41">
        <v>5</v>
      </c>
      <c r="D53" s="42">
        <v>2E-3</v>
      </c>
      <c r="E53" s="14"/>
    </row>
    <row r="54" spans="1:5" ht="16.5" x14ac:dyDescent="0.3">
      <c r="A54" s="14"/>
      <c r="B54" s="40" t="s">
        <v>171</v>
      </c>
      <c r="C54" s="41">
        <v>5</v>
      </c>
      <c r="D54" s="42">
        <v>2E-3</v>
      </c>
      <c r="E54" s="14"/>
    </row>
    <row r="55" spans="1:5" ht="16.5" x14ac:dyDescent="0.3">
      <c r="A55" s="14"/>
      <c r="B55" s="40" t="s">
        <v>175</v>
      </c>
      <c r="C55" s="41">
        <v>5</v>
      </c>
      <c r="D55" s="42">
        <v>2E-3</v>
      </c>
      <c r="E55" s="14"/>
    </row>
    <row r="56" spans="1:5" ht="16.5" x14ac:dyDescent="0.3">
      <c r="A56" s="14"/>
      <c r="B56" s="40" t="s">
        <v>199</v>
      </c>
      <c r="C56" s="41">
        <v>5</v>
      </c>
      <c r="D56" s="42">
        <v>2E-3</v>
      </c>
      <c r="E56" s="14"/>
    </row>
    <row r="57" spans="1:5" ht="16.5" x14ac:dyDescent="0.3">
      <c r="A57" s="14"/>
      <c r="B57" s="40" t="s">
        <v>139</v>
      </c>
      <c r="C57" s="41">
        <v>4</v>
      </c>
      <c r="D57" s="42">
        <v>2E-3</v>
      </c>
      <c r="E57" s="14"/>
    </row>
    <row r="58" spans="1:5" ht="16.5" x14ac:dyDescent="0.3">
      <c r="A58" s="14"/>
      <c r="B58" s="40" t="s">
        <v>144</v>
      </c>
      <c r="C58" s="41">
        <v>4</v>
      </c>
      <c r="D58" s="42">
        <v>2E-3</v>
      </c>
      <c r="E58" s="14"/>
    </row>
    <row r="59" spans="1:5" ht="16.5" x14ac:dyDescent="0.3">
      <c r="A59" s="14"/>
      <c r="B59" s="40" t="s">
        <v>147</v>
      </c>
      <c r="C59" s="41">
        <v>4</v>
      </c>
      <c r="D59" s="42">
        <v>2E-3</v>
      </c>
      <c r="E59" s="14"/>
    </row>
    <row r="60" spans="1:5" ht="16.5" x14ac:dyDescent="0.3">
      <c r="A60" s="14"/>
      <c r="B60" s="40" t="s">
        <v>196</v>
      </c>
      <c r="C60" s="41">
        <v>4</v>
      </c>
      <c r="D60" s="42">
        <v>2E-3</v>
      </c>
      <c r="E60" s="14"/>
    </row>
    <row r="61" spans="1:5" ht="16.5" x14ac:dyDescent="0.3">
      <c r="A61" s="14"/>
      <c r="B61" s="40" t="s">
        <v>166</v>
      </c>
      <c r="C61" s="41">
        <v>4</v>
      </c>
      <c r="D61" s="42">
        <v>2E-3</v>
      </c>
      <c r="E61" s="14"/>
    </row>
    <row r="62" spans="1:5" ht="16.5" x14ac:dyDescent="0.3">
      <c r="A62" s="14"/>
      <c r="B62" s="40" t="s">
        <v>266</v>
      </c>
      <c r="C62" s="41">
        <v>4</v>
      </c>
      <c r="D62" s="42">
        <v>2E-3</v>
      </c>
      <c r="E62" s="14"/>
    </row>
    <row r="63" spans="1:5" ht="16.5" x14ac:dyDescent="0.3">
      <c r="A63" s="14"/>
      <c r="B63" s="40" t="s">
        <v>197</v>
      </c>
      <c r="C63" s="41">
        <v>4</v>
      </c>
      <c r="D63" s="42">
        <v>2E-3</v>
      </c>
      <c r="E63" s="14"/>
    </row>
    <row r="64" spans="1:5" ht="16.5" x14ac:dyDescent="0.3">
      <c r="A64" s="14"/>
      <c r="B64" s="40" t="s">
        <v>274</v>
      </c>
      <c r="C64" s="41">
        <v>4</v>
      </c>
      <c r="D64" s="42">
        <v>2E-3</v>
      </c>
      <c r="E64" s="14"/>
    </row>
    <row r="65" spans="1:5" ht="16.5" x14ac:dyDescent="0.3">
      <c r="A65" s="14"/>
      <c r="B65" s="40" t="s">
        <v>180</v>
      </c>
      <c r="C65" s="41">
        <v>4</v>
      </c>
      <c r="D65" s="42">
        <v>2E-3</v>
      </c>
      <c r="E65" s="14"/>
    </row>
    <row r="66" spans="1:5" ht="16.5" x14ac:dyDescent="0.3">
      <c r="A66" s="14"/>
      <c r="B66" s="40" t="s">
        <v>189</v>
      </c>
      <c r="C66" s="41">
        <v>4</v>
      </c>
      <c r="D66" s="42">
        <v>2E-3</v>
      </c>
      <c r="E66" s="14"/>
    </row>
    <row r="67" spans="1:5" ht="16.5" x14ac:dyDescent="0.3">
      <c r="A67" s="14"/>
      <c r="B67" s="40" t="s">
        <v>150</v>
      </c>
      <c r="C67" s="41">
        <v>3</v>
      </c>
      <c r="D67" s="42">
        <v>1E-3</v>
      </c>
      <c r="E67" s="14"/>
    </row>
    <row r="68" spans="1:5" ht="16.5" x14ac:dyDescent="0.3">
      <c r="A68" s="14"/>
      <c r="B68" s="40" t="s">
        <v>152</v>
      </c>
      <c r="C68" s="41">
        <v>3</v>
      </c>
      <c r="D68" s="42">
        <v>1E-3</v>
      </c>
      <c r="E68" s="14"/>
    </row>
    <row r="69" spans="1:5" ht="16.5" x14ac:dyDescent="0.3">
      <c r="A69" s="14"/>
      <c r="B69" s="40" t="s">
        <v>195</v>
      </c>
      <c r="C69" s="41">
        <v>3</v>
      </c>
      <c r="D69" s="42">
        <v>1E-3</v>
      </c>
      <c r="E69" s="14"/>
    </row>
    <row r="70" spans="1:5" ht="16.5" x14ac:dyDescent="0.3">
      <c r="A70" s="14"/>
      <c r="B70" s="40" t="s">
        <v>140</v>
      </c>
      <c r="C70" s="41">
        <v>2</v>
      </c>
      <c r="D70" s="42">
        <v>1E-3</v>
      </c>
      <c r="E70" s="14"/>
    </row>
    <row r="71" spans="1:5" ht="16.5" x14ac:dyDescent="0.3">
      <c r="A71" s="14"/>
      <c r="B71" s="40" t="s">
        <v>148</v>
      </c>
      <c r="C71" s="41">
        <v>2</v>
      </c>
      <c r="D71" s="42">
        <v>1E-3</v>
      </c>
      <c r="E71" s="14"/>
    </row>
    <row r="72" spans="1:5" ht="16.5" x14ac:dyDescent="0.3">
      <c r="A72" s="14"/>
      <c r="B72" s="40" t="s">
        <v>268</v>
      </c>
      <c r="C72" s="41">
        <v>2</v>
      </c>
      <c r="D72" s="42">
        <v>1E-3</v>
      </c>
      <c r="E72" s="14"/>
    </row>
    <row r="73" spans="1:5" ht="16.5" x14ac:dyDescent="0.3">
      <c r="A73" s="14"/>
      <c r="B73" s="40" t="s">
        <v>149</v>
      </c>
      <c r="C73" s="41">
        <v>2</v>
      </c>
      <c r="D73" s="42">
        <v>1E-3</v>
      </c>
      <c r="E73" s="14"/>
    </row>
    <row r="74" spans="1:5" ht="16.5" x14ac:dyDescent="0.3">
      <c r="A74" s="14"/>
      <c r="B74" s="40" t="s">
        <v>131</v>
      </c>
      <c r="C74" s="41">
        <v>2</v>
      </c>
      <c r="D74" s="42">
        <v>1E-3</v>
      </c>
      <c r="E74" s="14"/>
    </row>
    <row r="75" spans="1:5" ht="16.5" x14ac:dyDescent="0.3">
      <c r="A75" s="14"/>
      <c r="B75" s="40" t="s">
        <v>269</v>
      </c>
      <c r="C75" s="41">
        <v>2</v>
      </c>
      <c r="D75" s="42">
        <v>1E-3</v>
      </c>
      <c r="E75" s="14"/>
    </row>
    <row r="76" spans="1:5" ht="16.5" x14ac:dyDescent="0.3">
      <c r="A76" s="14"/>
      <c r="B76" s="40" t="s">
        <v>159</v>
      </c>
      <c r="C76" s="41">
        <v>2</v>
      </c>
      <c r="D76" s="42">
        <v>1E-3</v>
      </c>
      <c r="E76" s="14"/>
    </row>
    <row r="77" spans="1:5" ht="16.5" x14ac:dyDescent="0.3">
      <c r="A77" s="14"/>
      <c r="B77" s="40" t="s">
        <v>167</v>
      </c>
      <c r="C77" s="41">
        <v>2</v>
      </c>
      <c r="D77" s="42">
        <v>1E-3</v>
      </c>
      <c r="E77" s="14"/>
    </row>
    <row r="78" spans="1:5" ht="16.5" x14ac:dyDescent="0.3">
      <c r="A78" s="14"/>
      <c r="B78" s="40" t="s">
        <v>270</v>
      </c>
      <c r="C78" s="41">
        <v>2</v>
      </c>
      <c r="D78" s="42">
        <v>1E-3</v>
      </c>
      <c r="E78" s="14"/>
    </row>
    <row r="79" spans="1:5" ht="16.5" x14ac:dyDescent="0.3">
      <c r="A79" s="14"/>
      <c r="B79" s="40" t="s">
        <v>172</v>
      </c>
      <c r="C79" s="41">
        <v>2</v>
      </c>
      <c r="D79" s="42">
        <v>1E-3</v>
      </c>
      <c r="E79" s="14"/>
    </row>
    <row r="80" spans="1:5" ht="16.5" x14ac:dyDescent="0.3">
      <c r="A80" s="14"/>
      <c r="B80" s="40" t="s">
        <v>275</v>
      </c>
      <c r="C80" s="41">
        <v>2</v>
      </c>
      <c r="D80" s="42">
        <v>1E-3</v>
      </c>
      <c r="E80" s="14"/>
    </row>
    <row r="81" spans="1:5" ht="16.5" x14ac:dyDescent="0.3">
      <c r="A81" s="14"/>
      <c r="B81" s="40" t="s">
        <v>182</v>
      </c>
      <c r="C81" s="41">
        <v>2</v>
      </c>
      <c r="D81" s="42">
        <v>1E-3</v>
      </c>
      <c r="E81" s="14"/>
    </row>
    <row r="82" spans="1:5" ht="16.5" x14ac:dyDescent="0.3">
      <c r="A82" s="14"/>
      <c r="B82" s="40" t="s">
        <v>200</v>
      </c>
      <c r="C82" s="41">
        <v>2</v>
      </c>
      <c r="D82" s="42">
        <v>1E-3</v>
      </c>
      <c r="E82" s="14"/>
    </row>
    <row r="83" spans="1:5" ht="16.5" x14ac:dyDescent="0.3">
      <c r="A83" s="14"/>
      <c r="B83" s="40" t="s">
        <v>125</v>
      </c>
      <c r="C83" s="41">
        <v>1</v>
      </c>
      <c r="D83" s="42">
        <v>0</v>
      </c>
      <c r="E83" s="14"/>
    </row>
    <row r="84" spans="1:5" ht="16.5" x14ac:dyDescent="0.3">
      <c r="A84" s="14"/>
      <c r="B84" s="40" t="s">
        <v>146</v>
      </c>
      <c r="C84" s="41">
        <v>1</v>
      </c>
      <c r="D84" s="42">
        <v>0</v>
      </c>
      <c r="E84" s="14"/>
    </row>
    <row r="85" spans="1:5" ht="16.5" x14ac:dyDescent="0.3">
      <c r="A85" s="14"/>
      <c r="B85" s="40" t="s">
        <v>267</v>
      </c>
      <c r="C85" s="41">
        <v>1</v>
      </c>
      <c r="D85" s="42">
        <v>0</v>
      </c>
      <c r="E85" s="14"/>
    </row>
    <row r="86" spans="1:5" ht="16.5" x14ac:dyDescent="0.3">
      <c r="A86" s="14"/>
      <c r="B86" s="40" t="s">
        <v>153</v>
      </c>
      <c r="C86" s="41">
        <v>1</v>
      </c>
      <c r="D86" s="42">
        <v>0</v>
      </c>
      <c r="E86" s="14"/>
    </row>
    <row r="87" spans="1:5" ht="16.5" x14ac:dyDescent="0.3">
      <c r="A87" s="14"/>
      <c r="B87" s="40" t="s">
        <v>154</v>
      </c>
      <c r="C87" s="41">
        <v>1</v>
      </c>
      <c r="D87" s="42">
        <v>0</v>
      </c>
      <c r="E87" s="14"/>
    </row>
    <row r="88" spans="1:5" ht="16.5" x14ac:dyDescent="0.3">
      <c r="A88" s="14"/>
      <c r="B88" s="40" t="s">
        <v>155</v>
      </c>
      <c r="C88" s="41">
        <v>1</v>
      </c>
      <c r="D88" s="42">
        <v>0</v>
      </c>
      <c r="E88" s="14"/>
    </row>
    <row r="89" spans="1:5" ht="18" customHeight="1" x14ac:dyDescent="0.3">
      <c r="A89" s="14"/>
      <c r="B89" s="40" t="s">
        <v>161</v>
      </c>
      <c r="C89" s="41">
        <v>1</v>
      </c>
      <c r="D89" s="42">
        <v>0</v>
      </c>
      <c r="E89" s="14"/>
    </row>
    <row r="90" spans="1:5" ht="16.5" x14ac:dyDescent="0.3">
      <c r="A90" s="14"/>
      <c r="B90" s="40" t="s">
        <v>271</v>
      </c>
      <c r="C90" s="41">
        <v>1</v>
      </c>
      <c r="D90" s="42">
        <v>0</v>
      </c>
      <c r="E90" s="14"/>
    </row>
    <row r="91" spans="1:5" ht="16.5" x14ac:dyDescent="0.3">
      <c r="A91" s="14"/>
      <c r="B91" s="40" t="s">
        <v>272</v>
      </c>
      <c r="C91" s="41">
        <v>1</v>
      </c>
      <c r="D91" s="42">
        <v>0</v>
      </c>
      <c r="E91" s="14"/>
    </row>
    <row r="92" spans="1:5" ht="16.5" x14ac:dyDescent="0.3">
      <c r="A92" s="14"/>
      <c r="B92" s="40" t="s">
        <v>128</v>
      </c>
      <c r="C92" s="41">
        <v>1</v>
      </c>
      <c r="D92" s="42">
        <v>0</v>
      </c>
      <c r="E92" s="14"/>
    </row>
    <row r="93" spans="1:5" ht="16.5" x14ac:dyDescent="0.3">
      <c r="A93" s="14"/>
      <c r="B93" s="40" t="s">
        <v>177</v>
      </c>
      <c r="C93" s="41">
        <v>1</v>
      </c>
      <c r="D93" s="42">
        <v>0</v>
      </c>
      <c r="E93" s="14"/>
    </row>
    <row r="94" spans="1:5" ht="16.5" x14ac:dyDescent="0.3">
      <c r="A94" s="14"/>
      <c r="B94" s="40" t="s">
        <v>178</v>
      </c>
      <c r="C94" s="41">
        <v>1</v>
      </c>
      <c r="D94" s="42">
        <v>0</v>
      </c>
      <c r="E94" s="14"/>
    </row>
    <row r="95" spans="1:5" ht="16.5" x14ac:dyDescent="0.3">
      <c r="A95" s="14"/>
      <c r="B95" s="40" t="s">
        <v>185</v>
      </c>
      <c r="C95" s="41">
        <v>1</v>
      </c>
      <c r="D95" s="42">
        <v>0</v>
      </c>
      <c r="E95" s="14"/>
    </row>
    <row r="96" spans="1:5" ht="16.5" x14ac:dyDescent="0.3">
      <c r="A96" s="14"/>
      <c r="B96" s="40" t="s">
        <v>273</v>
      </c>
      <c r="C96" s="41">
        <v>1</v>
      </c>
      <c r="D96" s="42">
        <v>0</v>
      </c>
      <c r="E96" s="14"/>
    </row>
    <row r="97" spans="1:5" ht="16.5" x14ac:dyDescent="0.3">
      <c r="A97" s="14"/>
      <c r="B97" s="40" t="s">
        <v>188</v>
      </c>
      <c r="C97" s="41">
        <v>1</v>
      </c>
      <c r="D97" s="42">
        <v>0</v>
      </c>
      <c r="E97" s="14"/>
    </row>
    <row r="98" spans="1:5" ht="16.5" x14ac:dyDescent="0.3">
      <c r="A98" s="14"/>
      <c r="B98" s="40" t="s">
        <v>201</v>
      </c>
      <c r="C98" s="41">
        <v>1</v>
      </c>
      <c r="D98" s="42">
        <v>0</v>
      </c>
      <c r="E98" s="14"/>
    </row>
    <row r="99" spans="1:5" ht="16.5" x14ac:dyDescent="0.3">
      <c r="A99" s="14"/>
      <c r="B99" s="40" t="s">
        <v>193</v>
      </c>
      <c r="C99" s="41">
        <v>1</v>
      </c>
      <c r="D99" s="42">
        <v>0</v>
      </c>
      <c r="E99" s="14"/>
    </row>
    <row r="100" spans="1:5" ht="16.5" x14ac:dyDescent="0.3">
      <c r="A100" s="14"/>
      <c r="B100" s="40" t="s">
        <v>202</v>
      </c>
      <c r="C100" s="41">
        <v>1</v>
      </c>
      <c r="D100" s="42">
        <v>0</v>
      </c>
      <c r="E100" s="14"/>
    </row>
    <row r="101" spans="1:5" ht="16.5" x14ac:dyDescent="0.3">
      <c r="A101" s="14"/>
      <c r="B101" s="49" t="s">
        <v>315</v>
      </c>
      <c r="C101" s="26">
        <v>2401</v>
      </c>
      <c r="D101" s="50">
        <v>1</v>
      </c>
      <c r="E101" s="14"/>
    </row>
    <row r="102" spans="1:5" ht="16.5" x14ac:dyDescent="0.3">
      <c r="A102" s="14"/>
      <c r="B102" s="19"/>
      <c r="C102" s="14"/>
      <c r="D102" s="14"/>
      <c r="E102" s="14"/>
    </row>
    <row r="103" spans="1:5" ht="16.5" x14ac:dyDescent="0.3">
      <c r="A103" s="14"/>
      <c r="B103" s="18" t="s">
        <v>260</v>
      </c>
      <c r="C103" s="14"/>
      <c r="D103" s="14"/>
      <c r="E103" s="14"/>
    </row>
    <row r="104" spans="1:5" ht="16.5" x14ac:dyDescent="0.3">
      <c r="A104" s="14"/>
      <c r="B104" s="19" t="s">
        <v>21</v>
      </c>
      <c r="C104" s="14"/>
      <c r="D104" s="14"/>
      <c r="E104" s="14"/>
    </row>
    <row r="105" spans="1:5" ht="16.5" x14ac:dyDescent="0.3">
      <c r="A105" s="14"/>
      <c r="B105" s="17" t="s">
        <v>122</v>
      </c>
      <c r="C105" s="14"/>
      <c r="D105" s="14"/>
      <c r="E105" s="14"/>
    </row>
    <row r="106" spans="1:5" ht="16.5" x14ac:dyDescent="0.3">
      <c r="A106" s="14"/>
      <c r="B106" s="18" t="s">
        <v>22</v>
      </c>
      <c r="C106" s="14"/>
      <c r="D106" s="14"/>
      <c r="E106" s="14"/>
    </row>
    <row r="107" spans="1:5" ht="16.5" x14ac:dyDescent="0.3">
      <c r="A107" s="14"/>
      <c r="B107" s="18" t="s">
        <v>319</v>
      </c>
      <c r="C107" s="14"/>
      <c r="D107" s="14"/>
      <c r="E107" s="14"/>
    </row>
  </sheetData>
  <mergeCells count="1">
    <mergeCell ref="B7:D9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4:G377"/>
  <sheetViews>
    <sheetView showGridLines="0" view="pageBreakPreview" zoomScaleNormal="100" zoomScaleSheetLayoutView="100" workbookViewId="0">
      <selection activeCell="K5" sqref="K5"/>
    </sheetView>
  </sheetViews>
  <sheetFormatPr baseColWidth="10" defaultRowHeight="15" x14ac:dyDescent="0.25"/>
  <cols>
    <col min="1" max="1" width="5.5703125" customWidth="1"/>
    <col min="2" max="2" width="17.42578125" customWidth="1"/>
    <col min="3" max="3" width="23" customWidth="1"/>
    <col min="4" max="4" width="18.42578125" customWidth="1"/>
    <col min="5" max="5" width="15.85546875" customWidth="1"/>
    <col min="6" max="6" width="10.85546875" hidden="1" customWidth="1"/>
    <col min="7" max="7" width="1.42578125" customWidth="1"/>
    <col min="8" max="8" width="0.28515625" customWidth="1"/>
  </cols>
  <sheetData>
    <row r="4" spans="1:7" ht="37.5" customHeight="1" x14ac:dyDescent="0.25"/>
    <row r="5" spans="1:7" ht="30" customHeight="1" x14ac:dyDescent="0.3">
      <c r="A5" s="14"/>
      <c r="B5" s="14"/>
      <c r="C5" s="14"/>
      <c r="D5" s="14"/>
      <c r="E5" s="14"/>
      <c r="F5" s="14"/>
      <c r="G5" s="14"/>
    </row>
    <row r="6" spans="1:7" ht="16.5" x14ac:dyDescent="0.3">
      <c r="A6" s="14"/>
      <c r="B6" s="14"/>
      <c r="C6" s="14"/>
      <c r="D6" s="14"/>
      <c r="E6" s="14"/>
      <c r="F6" s="14"/>
      <c r="G6" s="14"/>
    </row>
    <row r="7" spans="1:7" ht="16.5" x14ac:dyDescent="0.3">
      <c r="A7" s="14"/>
      <c r="B7" s="14"/>
      <c r="C7" s="14"/>
      <c r="D7" s="14"/>
      <c r="E7" s="14"/>
      <c r="F7" s="14"/>
      <c r="G7" s="14"/>
    </row>
    <row r="8" spans="1:7" ht="27" customHeight="1" x14ac:dyDescent="0.3">
      <c r="A8" s="14"/>
      <c r="B8" s="14"/>
      <c r="C8" s="14"/>
      <c r="D8" s="14"/>
      <c r="E8" s="14"/>
      <c r="F8" s="14"/>
      <c r="G8" s="14"/>
    </row>
    <row r="9" spans="1:7" ht="28.5" x14ac:dyDescent="0.3">
      <c r="A9" s="14"/>
      <c r="B9" s="27" t="s">
        <v>26</v>
      </c>
      <c r="C9" s="28" t="s">
        <v>27</v>
      </c>
      <c r="D9" s="29" t="s">
        <v>19</v>
      </c>
      <c r="E9" s="27" t="s">
        <v>20</v>
      </c>
      <c r="F9" s="14"/>
      <c r="G9" s="14"/>
    </row>
    <row r="10" spans="1:7" ht="16.5" x14ac:dyDescent="0.3">
      <c r="A10" s="14"/>
      <c r="B10" s="86" t="s">
        <v>88</v>
      </c>
      <c r="C10" s="40" t="s">
        <v>134</v>
      </c>
      <c r="D10" s="41">
        <v>467</v>
      </c>
      <c r="E10" s="42">
        <v>0.19500000000000001</v>
      </c>
      <c r="F10" s="14"/>
      <c r="G10" s="14"/>
    </row>
    <row r="11" spans="1:7" ht="16.5" x14ac:dyDescent="0.3">
      <c r="A11" s="14"/>
      <c r="B11" s="86"/>
      <c r="C11" s="40" t="s">
        <v>127</v>
      </c>
      <c r="D11" s="41">
        <v>266</v>
      </c>
      <c r="E11" s="42">
        <v>0.111</v>
      </c>
      <c r="F11" s="14"/>
      <c r="G11" s="14"/>
    </row>
    <row r="12" spans="1:7" ht="16.5" x14ac:dyDescent="0.3">
      <c r="A12" s="14"/>
      <c r="B12" s="86"/>
      <c r="C12" s="40" t="s">
        <v>129</v>
      </c>
      <c r="D12" s="41">
        <v>119</v>
      </c>
      <c r="E12" s="42">
        <v>0.05</v>
      </c>
      <c r="F12" s="14"/>
      <c r="G12" s="14"/>
    </row>
    <row r="13" spans="1:7" ht="16.5" x14ac:dyDescent="0.3">
      <c r="A13" s="14"/>
      <c r="B13" s="86"/>
      <c r="C13" s="40" t="s">
        <v>132</v>
      </c>
      <c r="D13" s="41">
        <v>113</v>
      </c>
      <c r="E13" s="42">
        <v>4.7E-2</v>
      </c>
      <c r="F13" s="14"/>
      <c r="G13" s="14"/>
    </row>
    <row r="14" spans="1:7" ht="16.5" x14ac:dyDescent="0.3">
      <c r="A14" s="14"/>
      <c r="B14" s="86"/>
      <c r="C14" s="40" t="s">
        <v>170</v>
      </c>
      <c r="D14" s="41">
        <v>86</v>
      </c>
      <c r="E14" s="42">
        <v>3.5999999999999997E-2</v>
      </c>
      <c r="F14" s="14"/>
      <c r="G14" s="14"/>
    </row>
    <row r="15" spans="1:7" ht="16.5" x14ac:dyDescent="0.3">
      <c r="A15" s="14"/>
      <c r="B15" s="86"/>
      <c r="C15" s="40" t="s">
        <v>126</v>
      </c>
      <c r="D15" s="41">
        <v>80</v>
      </c>
      <c r="E15" s="42">
        <v>3.3000000000000002E-2</v>
      </c>
      <c r="F15" s="14"/>
      <c r="G15" s="14"/>
    </row>
    <row r="16" spans="1:7" ht="16.5" x14ac:dyDescent="0.3">
      <c r="A16" s="14"/>
      <c r="B16" s="86"/>
      <c r="C16" s="40" t="s">
        <v>130</v>
      </c>
      <c r="D16" s="41">
        <v>63</v>
      </c>
      <c r="E16" s="42">
        <v>2.5999999999999999E-2</v>
      </c>
      <c r="F16" s="14"/>
      <c r="G16" s="14"/>
    </row>
    <row r="17" spans="1:7" ht="16.5" x14ac:dyDescent="0.3">
      <c r="A17" s="14"/>
      <c r="B17" s="86"/>
      <c r="C17" s="40" t="s">
        <v>138</v>
      </c>
      <c r="D17" s="41">
        <v>48</v>
      </c>
      <c r="E17" s="42">
        <v>0.02</v>
      </c>
      <c r="F17" s="14"/>
      <c r="G17" s="14"/>
    </row>
    <row r="18" spans="1:7" ht="16.5" x14ac:dyDescent="0.3">
      <c r="A18" s="14"/>
      <c r="B18" s="86"/>
      <c r="C18" s="40" t="s">
        <v>174</v>
      </c>
      <c r="D18" s="41">
        <v>41</v>
      </c>
      <c r="E18" s="42">
        <v>1.7000000000000001E-2</v>
      </c>
      <c r="F18" s="14"/>
      <c r="G18" s="14"/>
    </row>
    <row r="19" spans="1:7" ht="16.5" x14ac:dyDescent="0.3">
      <c r="A19" s="14"/>
      <c r="B19" s="86"/>
      <c r="C19" s="40" t="s">
        <v>168</v>
      </c>
      <c r="D19" s="41">
        <v>33</v>
      </c>
      <c r="E19" s="42">
        <v>1.4E-2</v>
      </c>
      <c r="F19" s="14"/>
      <c r="G19" s="14"/>
    </row>
    <row r="20" spans="1:7" ht="16.5" x14ac:dyDescent="0.3">
      <c r="A20" s="14"/>
      <c r="B20" s="86"/>
      <c r="C20" s="40" t="s">
        <v>184</v>
      </c>
      <c r="D20" s="41">
        <v>29</v>
      </c>
      <c r="E20" s="42">
        <v>1.2E-2</v>
      </c>
      <c r="F20" s="14"/>
      <c r="G20" s="14"/>
    </row>
    <row r="21" spans="1:7" ht="16.5" x14ac:dyDescent="0.3">
      <c r="A21" s="14"/>
      <c r="B21" s="86"/>
      <c r="C21" s="40" t="s">
        <v>133</v>
      </c>
      <c r="D21" s="41">
        <v>22</v>
      </c>
      <c r="E21" s="42">
        <v>8.9999999999999993E-3</v>
      </c>
      <c r="F21" s="14"/>
      <c r="G21" s="14"/>
    </row>
    <row r="22" spans="1:7" ht="16.5" x14ac:dyDescent="0.3">
      <c r="A22" s="14"/>
      <c r="B22" s="86"/>
      <c r="C22" s="40" t="s">
        <v>192</v>
      </c>
      <c r="D22" s="41">
        <v>21</v>
      </c>
      <c r="E22" s="42">
        <v>8.9999999999999993E-3</v>
      </c>
      <c r="F22" s="14"/>
      <c r="G22" s="14"/>
    </row>
    <row r="23" spans="1:7" ht="16.5" x14ac:dyDescent="0.3">
      <c r="A23" s="14"/>
      <c r="B23" s="86"/>
      <c r="C23" s="40" t="s">
        <v>265</v>
      </c>
      <c r="D23" s="41">
        <v>19</v>
      </c>
      <c r="E23" s="42">
        <v>8.0000000000000002E-3</v>
      </c>
      <c r="F23" s="14"/>
      <c r="G23" s="14"/>
    </row>
    <row r="24" spans="1:7" ht="16.5" x14ac:dyDescent="0.3">
      <c r="A24" s="14"/>
      <c r="B24" s="86"/>
      <c r="C24" s="40" t="s">
        <v>164</v>
      </c>
      <c r="D24" s="41">
        <v>18</v>
      </c>
      <c r="E24" s="42">
        <v>7.0000000000000001E-3</v>
      </c>
      <c r="F24" s="14"/>
      <c r="G24" s="14"/>
    </row>
    <row r="25" spans="1:7" ht="16.5" x14ac:dyDescent="0.3">
      <c r="A25" s="14"/>
      <c r="B25" s="86"/>
      <c r="C25" s="40" t="s">
        <v>145</v>
      </c>
      <c r="D25" s="41">
        <v>17</v>
      </c>
      <c r="E25" s="42">
        <v>7.0000000000000001E-3</v>
      </c>
      <c r="F25" s="14"/>
      <c r="G25" s="14"/>
    </row>
    <row r="26" spans="1:7" ht="16.5" x14ac:dyDescent="0.3">
      <c r="A26" s="14"/>
      <c r="B26" s="86"/>
      <c r="C26" s="40" t="s">
        <v>162</v>
      </c>
      <c r="D26" s="41">
        <v>17</v>
      </c>
      <c r="E26" s="42">
        <v>7.0000000000000001E-3</v>
      </c>
      <c r="F26" s="14"/>
      <c r="G26" s="14"/>
    </row>
    <row r="27" spans="1:7" ht="16.5" x14ac:dyDescent="0.3">
      <c r="A27" s="14"/>
      <c r="B27" s="86"/>
      <c r="C27" s="40" t="s">
        <v>191</v>
      </c>
      <c r="D27" s="41">
        <v>15</v>
      </c>
      <c r="E27" s="42">
        <v>6.0000000000000001E-3</v>
      </c>
      <c r="F27" s="14"/>
      <c r="G27" s="14"/>
    </row>
    <row r="28" spans="1:7" ht="16.5" x14ac:dyDescent="0.3">
      <c r="A28" s="14"/>
      <c r="B28" s="86"/>
      <c r="C28" s="40" t="s">
        <v>151</v>
      </c>
      <c r="D28" s="41">
        <v>14</v>
      </c>
      <c r="E28" s="42">
        <v>6.0000000000000001E-3</v>
      </c>
      <c r="F28" s="14"/>
      <c r="G28" s="14"/>
    </row>
    <row r="29" spans="1:7" ht="16.5" x14ac:dyDescent="0.3">
      <c r="A29" s="14"/>
      <c r="B29" s="86"/>
      <c r="C29" s="40" t="s">
        <v>176</v>
      </c>
      <c r="D29" s="41">
        <v>13</v>
      </c>
      <c r="E29" s="42">
        <v>5.0000000000000001E-3</v>
      </c>
      <c r="F29" s="14"/>
      <c r="G29" s="14"/>
    </row>
    <row r="30" spans="1:7" ht="16.5" x14ac:dyDescent="0.3">
      <c r="A30" s="14"/>
      <c r="B30" s="86"/>
      <c r="C30" s="40" t="s">
        <v>157</v>
      </c>
      <c r="D30" s="41">
        <v>11</v>
      </c>
      <c r="E30" s="42">
        <v>5.0000000000000001E-3</v>
      </c>
      <c r="F30" s="14"/>
      <c r="G30" s="14"/>
    </row>
    <row r="31" spans="1:7" ht="16.5" x14ac:dyDescent="0.3">
      <c r="A31" s="14"/>
      <c r="B31" s="86"/>
      <c r="C31" s="40" t="s">
        <v>181</v>
      </c>
      <c r="D31" s="41">
        <v>11</v>
      </c>
      <c r="E31" s="42">
        <v>5.0000000000000001E-3</v>
      </c>
      <c r="F31" s="14"/>
      <c r="G31" s="14"/>
    </row>
    <row r="32" spans="1:7" ht="16.5" x14ac:dyDescent="0.3">
      <c r="A32" s="14"/>
      <c r="B32" s="86"/>
      <c r="C32" s="40" t="s">
        <v>190</v>
      </c>
      <c r="D32" s="41">
        <v>10</v>
      </c>
      <c r="E32" s="42">
        <v>4.0000000000000001E-3</v>
      </c>
      <c r="F32" s="14"/>
      <c r="G32" s="14"/>
    </row>
    <row r="33" spans="1:7" ht="16.5" x14ac:dyDescent="0.3">
      <c r="A33" s="14"/>
      <c r="B33" s="86"/>
      <c r="C33" s="40" t="s">
        <v>135</v>
      </c>
      <c r="D33" s="41">
        <v>9</v>
      </c>
      <c r="E33" s="42">
        <v>4.0000000000000001E-3</v>
      </c>
      <c r="F33" s="14"/>
      <c r="G33" s="14"/>
    </row>
    <row r="34" spans="1:7" ht="16.5" x14ac:dyDescent="0.3">
      <c r="A34" s="14"/>
      <c r="B34" s="86"/>
      <c r="C34" s="40" t="s">
        <v>160</v>
      </c>
      <c r="D34" s="41">
        <v>8</v>
      </c>
      <c r="E34" s="42">
        <v>3.0000000000000001E-3</v>
      </c>
      <c r="F34" s="14"/>
      <c r="G34" s="14"/>
    </row>
    <row r="35" spans="1:7" ht="16.5" x14ac:dyDescent="0.3">
      <c r="A35" s="14"/>
      <c r="B35" s="86"/>
      <c r="C35" s="40" t="s">
        <v>136</v>
      </c>
      <c r="D35" s="41">
        <v>8</v>
      </c>
      <c r="E35" s="42">
        <v>3.0000000000000001E-3</v>
      </c>
      <c r="F35" s="14"/>
      <c r="G35" s="14"/>
    </row>
    <row r="36" spans="1:7" ht="16.5" x14ac:dyDescent="0.3">
      <c r="A36" s="14"/>
      <c r="B36" s="86"/>
      <c r="C36" s="40" t="s">
        <v>143</v>
      </c>
      <c r="D36" s="41">
        <v>7</v>
      </c>
      <c r="E36" s="42">
        <v>3.0000000000000001E-3</v>
      </c>
      <c r="F36" s="14"/>
      <c r="G36" s="14"/>
    </row>
    <row r="37" spans="1:7" ht="16.5" x14ac:dyDescent="0.3">
      <c r="A37" s="14"/>
      <c r="B37" s="86"/>
      <c r="C37" s="40" t="s">
        <v>169</v>
      </c>
      <c r="D37" s="41">
        <v>7</v>
      </c>
      <c r="E37" s="42">
        <v>3.0000000000000001E-3</v>
      </c>
      <c r="F37" s="14"/>
      <c r="G37" s="14"/>
    </row>
    <row r="38" spans="1:7" ht="16.5" x14ac:dyDescent="0.3">
      <c r="A38" s="14"/>
      <c r="B38" s="86"/>
      <c r="C38" s="40" t="s">
        <v>179</v>
      </c>
      <c r="D38" s="41">
        <v>7</v>
      </c>
      <c r="E38" s="42">
        <v>3.0000000000000001E-3</v>
      </c>
      <c r="F38" s="14"/>
      <c r="G38" s="14"/>
    </row>
    <row r="39" spans="1:7" ht="16.5" x14ac:dyDescent="0.3">
      <c r="A39" s="14"/>
      <c r="B39" s="86"/>
      <c r="C39" s="40" t="s">
        <v>137</v>
      </c>
      <c r="D39" s="41">
        <v>5</v>
      </c>
      <c r="E39" s="42">
        <v>2E-3</v>
      </c>
      <c r="F39" s="14"/>
      <c r="G39" s="14"/>
    </row>
    <row r="40" spans="1:7" ht="16.5" x14ac:dyDescent="0.3">
      <c r="A40" s="14"/>
      <c r="B40" s="86"/>
      <c r="C40" s="40" t="s">
        <v>183</v>
      </c>
      <c r="D40" s="41">
        <v>5</v>
      </c>
      <c r="E40" s="42">
        <v>2E-3</v>
      </c>
      <c r="F40" s="14"/>
      <c r="G40" s="14"/>
    </row>
    <row r="41" spans="1:7" ht="16.5" x14ac:dyDescent="0.3">
      <c r="A41" s="14"/>
      <c r="B41" s="86"/>
      <c r="C41" s="40" t="s">
        <v>186</v>
      </c>
      <c r="D41" s="41">
        <v>5</v>
      </c>
      <c r="E41" s="42">
        <v>2E-3</v>
      </c>
      <c r="F41" s="14"/>
      <c r="G41" s="14"/>
    </row>
    <row r="42" spans="1:7" ht="16.5" x14ac:dyDescent="0.3">
      <c r="A42" s="14"/>
      <c r="B42" s="86"/>
      <c r="C42" s="40" t="s">
        <v>141</v>
      </c>
      <c r="D42" s="41">
        <v>4</v>
      </c>
      <c r="E42" s="42">
        <v>2E-3</v>
      </c>
      <c r="F42" s="14"/>
      <c r="G42" s="14"/>
    </row>
    <row r="43" spans="1:7" ht="16.5" x14ac:dyDescent="0.3">
      <c r="A43" s="14"/>
      <c r="B43" s="86"/>
      <c r="C43" s="40" t="s">
        <v>144</v>
      </c>
      <c r="D43" s="41">
        <v>4</v>
      </c>
      <c r="E43" s="42">
        <v>2E-3</v>
      </c>
      <c r="F43" s="14"/>
      <c r="G43" s="14"/>
    </row>
    <row r="44" spans="1:7" ht="16.5" x14ac:dyDescent="0.3">
      <c r="A44" s="14"/>
      <c r="B44" s="86"/>
      <c r="C44" s="40" t="s">
        <v>156</v>
      </c>
      <c r="D44" s="41">
        <v>4</v>
      </c>
      <c r="E44" s="42">
        <v>2E-3</v>
      </c>
      <c r="F44" s="14"/>
      <c r="G44" s="14"/>
    </row>
    <row r="45" spans="1:7" ht="16.5" x14ac:dyDescent="0.3">
      <c r="A45" s="14"/>
      <c r="B45" s="86"/>
      <c r="C45" s="40" t="s">
        <v>196</v>
      </c>
      <c r="D45" s="41">
        <v>4</v>
      </c>
      <c r="E45" s="42">
        <v>2E-3</v>
      </c>
      <c r="F45" s="14"/>
      <c r="G45" s="14"/>
    </row>
    <row r="46" spans="1:7" ht="16.5" x14ac:dyDescent="0.3">
      <c r="A46" s="14"/>
      <c r="B46" s="86"/>
      <c r="C46" s="40" t="s">
        <v>166</v>
      </c>
      <c r="D46" s="41">
        <v>4</v>
      </c>
      <c r="E46" s="42">
        <v>2E-3</v>
      </c>
      <c r="F46" s="14"/>
      <c r="G46" s="14"/>
    </row>
    <row r="47" spans="1:7" ht="16.5" x14ac:dyDescent="0.3">
      <c r="A47" s="14"/>
      <c r="B47" s="86"/>
      <c r="C47" s="40" t="s">
        <v>266</v>
      </c>
      <c r="D47" s="41">
        <v>4</v>
      </c>
      <c r="E47" s="42">
        <v>2E-3</v>
      </c>
      <c r="F47" s="14"/>
      <c r="G47" s="14"/>
    </row>
    <row r="48" spans="1:7" ht="16.5" x14ac:dyDescent="0.3">
      <c r="A48" s="14"/>
      <c r="B48" s="86"/>
      <c r="C48" s="40" t="s">
        <v>197</v>
      </c>
      <c r="D48" s="41">
        <v>4</v>
      </c>
      <c r="E48" s="42">
        <v>2E-3</v>
      </c>
      <c r="F48" s="14"/>
      <c r="G48" s="14"/>
    </row>
    <row r="49" spans="1:7" ht="16.5" x14ac:dyDescent="0.3">
      <c r="A49" s="14"/>
      <c r="B49" s="86"/>
      <c r="C49" s="40" t="s">
        <v>171</v>
      </c>
      <c r="D49" s="41">
        <v>4</v>
      </c>
      <c r="E49" s="42">
        <v>2E-3</v>
      </c>
      <c r="F49" s="14"/>
      <c r="G49" s="14"/>
    </row>
    <row r="50" spans="1:7" ht="16.5" x14ac:dyDescent="0.3">
      <c r="A50" s="14"/>
      <c r="B50" s="86"/>
      <c r="C50" s="40" t="s">
        <v>187</v>
      </c>
      <c r="D50" s="41">
        <v>4</v>
      </c>
      <c r="E50" s="42">
        <v>2E-3</v>
      </c>
      <c r="F50" s="14"/>
      <c r="G50" s="14"/>
    </row>
    <row r="51" spans="1:7" ht="16.5" x14ac:dyDescent="0.3">
      <c r="A51" s="14"/>
      <c r="B51" s="86"/>
      <c r="C51" s="40" t="s">
        <v>199</v>
      </c>
      <c r="D51" s="41">
        <v>4</v>
      </c>
      <c r="E51" s="42">
        <v>2E-3</v>
      </c>
      <c r="F51" s="14"/>
      <c r="G51" s="14"/>
    </row>
    <row r="52" spans="1:7" ht="16.5" x14ac:dyDescent="0.3">
      <c r="A52" s="14"/>
      <c r="B52" s="86"/>
      <c r="C52" s="40" t="s">
        <v>142</v>
      </c>
      <c r="D52" s="41">
        <v>3</v>
      </c>
      <c r="E52" s="42">
        <v>1E-3</v>
      </c>
      <c r="F52" s="14"/>
      <c r="G52" s="14"/>
    </row>
    <row r="53" spans="1:7" ht="16.5" x14ac:dyDescent="0.3">
      <c r="A53" s="14"/>
      <c r="B53" s="86"/>
      <c r="C53" s="40" t="s">
        <v>158</v>
      </c>
      <c r="D53" s="41">
        <v>3</v>
      </c>
      <c r="E53" s="42">
        <v>1E-3</v>
      </c>
      <c r="F53" s="14"/>
      <c r="G53" s="14"/>
    </row>
    <row r="54" spans="1:7" ht="16.5" x14ac:dyDescent="0.3">
      <c r="A54" s="14"/>
      <c r="B54" s="86"/>
      <c r="C54" s="40" t="s">
        <v>173</v>
      </c>
      <c r="D54" s="41">
        <v>3</v>
      </c>
      <c r="E54" s="42">
        <v>1E-3</v>
      </c>
      <c r="F54" s="14"/>
      <c r="G54" s="14"/>
    </row>
    <row r="55" spans="1:7" ht="16.5" x14ac:dyDescent="0.3">
      <c r="A55" s="14"/>
      <c r="B55" s="86"/>
      <c r="C55" s="40" t="s">
        <v>139</v>
      </c>
      <c r="D55" s="41">
        <v>2</v>
      </c>
      <c r="E55" s="42">
        <v>1E-3</v>
      </c>
      <c r="F55" s="14"/>
      <c r="G55" s="14"/>
    </row>
    <row r="56" spans="1:7" ht="16.5" x14ac:dyDescent="0.3">
      <c r="A56" s="14"/>
      <c r="B56" s="86"/>
      <c r="C56" s="40" t="s">
        <v>140</v>
      </c>
      <c r="D56" s="41">
        <v>2</v>
      </c>
      <c r="E56" s="42">
        <v>1E-3</v>
      </c>
      <c r="F56" s="14"/>
      <c r="G56" s="14"/>
    </row>
    <row r="57" spans="1:7" ht="16.5" x14ac:dyDescent="0.3">
      <c r="A57" s="14"/>
      <c r="B57" s="86"/>
      <c r="C57" s="40" t="s">
        <v>152</v>
      </c>
      <c r="D57" s="41">
        <v>2</v>
      </c>
      <c r="E57" s="42">
        <v>1E-3</v>
      </c>
      <c r="F57" s="14"/>
      <c r="G57" s="14"/>
    </row>
    <row r="58" spans="1:7" ht="16.5" x14ac:dyDescent="0.3">
      <c r="A58" s="14"/>
      <c r="B58" s="86"/>
      <c r="C58" s="40" t="s">
        <v>159</v>
      </c>
      <c r="D58" s="41">
        <v>2</v>
      </c>
      <c r="E58" s="42">
        <v>1E-3</v>
      </c>
      <c r="F58" s="14"/>
      <c r="G58" s="14"/>
    </row>
    <row r="59" spans="1:7" ht="16.5" x14ac:dyDescent="0.3">
      <c r="A59" s="14"/>
      <c r="B59" s="86"/>
      <c r="C59" s="40" t="s">
        <v>163</v>
      </c>
      <c r="D59" s="41">
        <v>2</v>
      </c>
      <c r="E59" s="42">
        <v>1E-3</v>
      </c>
      <c r="F59" s="14"/>
      <c r="G59" s="14"/>
    </row>
    <row r="60" spans="1:7" ht="16.5" x14ac:dyDescent="0.3">
      <c r="A60" s="14"/>
      <c r="B60" s="86"/>
      <c r="C60" s="40" t="s">
        <v>165</v>
      </c>
      <c r="D60" s="41">
        <v>2</v>
      </c>
      <c r="E60" s="42">
        <v>1E-3</v>
      </c>
      <c r="F60" s="14"/>
      <c r="G60" s="14"/>
    </row>
    <row r="61" spans="1:7" ht="16.5" x14ac:dyDescent="0.3">
      <c r="A61" s="14"/>
      <c r="B61" s="86"/>
      <c r="C61" s="40" t="s">
        <v>167</v>
      </c>
      <c r="D61" s="41">
        <v>2</v>
      </c>
      <c r="E61" s="42">
        <v>1E-3</v>
      </c>
      <c r="F61" s="14"/>
      <c r="G61" s="14"/>
    </row>
    <row r="62" spans="1:7" ht="16.5" x14ac:dyDescent="0.3">
      <c r="A62" s="14"/>
      <c r="B62" s="86"/>
      <c r="C62" s="40" t="s">
        <v>198</v>
      </c>
      <c r="D62" s="41">
        <v>2</v>
      </c>
      <c r="E62" s="42">
        <v>1E-3</v>
      </c>
      <c r="F62" s="14"/>
      <c r="G62" s="14"/>
    </row>
    <row r="63" spans="1:7" ht="16.5" x14ac:dyDescent="0.3">
      <c r="A63" s="14"/>
      <c r="B63" s="86"/>
      <c r="C63" s="40" t="s">
        <v>172</v>
      </c>
      <c r="D63" s="41">
        <v>2</v>
      </c>
      <c r="E63" s="42">
        <v>1E-3</v>
      </c>
      <c r="F63" s="14"/>
      <c r="G63" s="14"/>
    </row>
    <row r="64" spans="1:7" ht="16.5" x14ac:dyDescent="0.3">
      <c r="A64" s="14"/>
      <c r="B64" s="86"/>
      <c r="C64" s="40" t="s">
        <v>175</v>
      </c>
      <c r="D64" s="41">
        <v>2</v>
      </c>
      <c r="E64" s="42">
        <v>1E-3</v>
      </c>
      <c r="F64" s="14"/>
      <c r="G64" s="14"/>
    </row>
    <row r="65" spans="1:7" ht="16.5" x14ac:dyDescent="0.3">
      <c r="A65" s="14"/>
      <c r="B65" s="86"/>
      <c r="C65" s="40" t="s">
        <v>189</v>
      </c>
      <c r="D65" s="41">
        <v>2</v>
      </c>
      <c r="E65" s="42">
        <v>1E-3</v>
      </c>
      <c r="F65" s="14"/>
      <c r="G65" s="14"/>
    </row>
    <row r="66" spans="1:7" ht="16.5" x14ac:dyDescent="0.3">
      <c r="A66" s="14"/>
      <c r="B66" s="86"/>
      <c r="C66" s="40" t="s">
        <v>200</v>
      </c>
      <c r="D66" s="41">
        <v>2</v>
      </c>
      <c r="E66" s="42">
        <v>1E-3</v>
      </c>
      <c r="F66" s="14"/>
      <c r="G66" s="14"/>
    </row>
    <row r="67" spans="1:7" ht="16.5" x14ac:dyDescent="0.3">
      <c r="A67" s="14"/>
      <c r="B67" s="86"/>
      <c r="C67" s="40" t="s">
        <v>194</v>
      </c>
      <c r="D67" s="41">
        <v>2</v>
      </c>
      <c r="E67" s="42">
        <v>1E-3</v>
      </c>
      <c r="F67" s="14"/>
      <c r="G67" s="14"/>
    </row>
    <row r="68" spans="1:7" ht="16.5" x14ac:dyDescent="0.3">
      <c r="A68" s="14"/>
      <c r="B68" s="86"/>
      <c r="C68" s="40" t="s">
        <v>146</v>
      </c>
      <c r="D68" s="41">
        <v>1</v>
      </c>
      <c r="E68" s="42">
        <v>0</v>
      </c>
      <c r="F68" s="14"/>
      <c r="G68" s="14"/>
    </row>
    <row r="69" spans="1:7" ht="16.5" x14ac:dyDescent="0.3">
      <c r="A69" s="14"/>
      <c r="B69" s="86"/>
      <c r="C69" s="40" t="s">
        <v>267</v>
      </c>
      <c r="D69" s="41">
        <v>1</v>
      </c>
      <c r="E69" s="42">
        <v>0</v>
      </c>
      <c r="F69" s="14"/>
      <c r="G69" s="14"/>
    </row>
    <row r="70" spans="1:7" ht="16.5" x14ac:dyDescent="0.3">
      <c r="A70" s="14"/>
      <c r="B70" s="86"/>
      <c r="C70" s="40" t="s">
        <v>147</v>
      </c>
      <c r="D70" s="41">
        <v>1</v>
      </c>
      <c r="E70" s="42">
        <v>0</v>
      </c>
      <c r="F70" s="14"/>
      <c r="G70" s="14"/>
    </row>
    <row r="71" spans="1:7" ht="16.5" x14ac:dyDescent="0.3">
      <c r="A71" s="14"/>
      <c r="B71" s="86"/>
      <c r="C71" s="40" t="s">
        <v>148</v>
      </c>
      <c r="D71" s="41">
        <v>1</v>
      </c>
      <c r="E71" s="42">
        <v>0</v>
      </c>
      <c r="F71" s="14"/>
      <c r="G71" s="14"/>
    </row>
    <row r="72" spans="1:7" ht="16.5" x14ac:dyDescent="0.3">
      <c r="A72" s="14"/>
      <c r="B72" s="86"/>
      <c r="C72" s="40" t="s">
        <v>268</v>
      </c>
      <c r="D72" s="41">
        <v>1</v>
      </c>
      <c r="E72" s="42">
        <v>0</v>
      </c>
      <c r="F72" s="14"/>
      <c r="G72" s="14"/>
    </row>
    <row r="73" spans="1:7" ht="16.5" x14ac:dyDescent="0.3">
      <c r="A73" s="14"/>
      <c r="B73" s="86"/>
      <c r="C73" s="40" t="s">
        <v>150</v>
      </c>
      <c r="D73" s="41">
        <v>1</v>
      </c>
      <c r="E73" s="42">
        <v>0</v>
      </c>
      <c r="F73" s="14"/>
      <c r="G73" s="14"/>
    </row>
    <row r="74" spans="1:7" ht="16.5" x14ac:dyDescent="0.3">
      <c r="A74" s="14"/>
      <c r="B74" s="86"/>
      <c r="C74" s="40" t="s">
        <v>153</v>
      </c>
      <c r="D74" s="41">
        <v>1</v>
      </c>
      <c r="E74" s="42">
        <v>0</v>
      </c>
      <c r="F74" s="14"/>
      <c r="G74" s="14"/>
    </row>
    <row r="75" spans="1:7" ht="16.5" x14ac:dyDescent="0.3">
      <c r="A75" s="14"/>
      <c r="B75" s="86"/>
      <c r="C75" s="40" t="s">
        <v>269</v>
      </c>
      <c r="D75" s="41">
        <v>1</v>
      </c>
      <c r="E75" s="42">
        <v>0</v>
      </c>
      <c r="F75" s="14"/>
      <c r="G75" s="14"/>
    </row>
    <row r="76" spans="1:7" ht="16.5" x14ac:dyDescent="0.3">
      <c r="A76" s="14"/>
      <c r="B76" s="86"/>
      <c r="C76" s="40" t="s">
        <v>154</v>
      </c>
      <c r="D76" s="41">
        <v>1</v>
      </c>
      <c r="E76" s="42">
        <v>0</v>
      </c>
      <c r="F76" s="14"/>
      <c r="G76" s="14"/>
    </row>
    <row r="77" spans="1:7" ht="16.5" x14ac:dyDescent="0.3">
      <c r="A77" s="14"/>
      <c r="B77" s="86"/>
      <c r="C77" s="40" t="s">
        <v>155</v>
      </c>
      <c r="D77" s="41">
        <v>1</v>
      </c>
      <c r="E77" s="42">
        <v>0</v>
      </c>
      <c r="F77" s="14"/>
      <c r="G77" s="14"/>
    </row>
    <row r="78" spans="1:7" ht="16.5" x14ac:dyDescent="0.3">
      <c r="A78" s="14"/>
      <c r="B78" s="86"/>
      <c r="C78" s="40" t="s">
        <v>161</v>
      </c>
      <c r="D78" s="41">
        <v>1</v>
      </c>
      <c r="E78" s="42">
        <v>0</v>
      </c>
      <c r="F78" s="14"/>
      <c r="G78" s="14"/>
    </row>
    <row r="79" spans="1:7" ht="16.5" x14ac:dyDescent="0.3">
      <c r="A79" s="14"/>
      <c r="B79" s="86"/>
      <c r="C79" s="40" t="s">
        <v>270</v>
      </c>
      <c r="D79" s="41">
        <v>1</v>
      </c>
      <c r="E79" s="42">
        <v>0</v>
      </c>
      <c r="F79" s="14"/>
      <c r="G79" s="14"/>
    </row>
    <row r="80" spans="1:7" ht="16.5" x14ac:dyDescent="0.3">
      <c r="A80" s="14"/>
      <c r="B80" s="86"/>
      <c r="C80" s="40" t="s">
        <v>271</v>
      </c>
      <c r="D80" s="41">
        <v>1</v>
      </c>
      <c r="E80" s="42">
        <v>0</v>
      </c>
      <c r="F80" s="14"/>
      <c r="G80" s="14"/>
    </row>
    <row r="81" spans="1:7" ht="16.5" x14ac:dyDescent="0.3">
      <c r="A81" s="14"/>
      <c r="B81" s="86"/>
      <c r="C81" s="40" t="s">
        <v>272</v>
      </c>
      <c r="D81" s="41">
        <v>1</v>
      </c>
      <c r="E81" s="42">
        <v>0</v>
      </c>
      <c r="F81" s="14"/>
      <c r="G81" s="14"/>
    </row>
    <row r="82" spans="1:7" ht="16.5" x14ac:dyDescent="0.3">
      <c r="A82" s="14"/>
      <c r="B82" s="86"/>
      <c r="C82" s="40" t="s">
        <v>177</v>
      </c>
      <c r="D82" s="41">
        <v>1</v>
      </c>
      <c r="E82" s="42">
        <v>0</v>
      </c>
      <c r="F82" s="14"/>
      <c r="G82" s="14"/>
    </row>
    <row r="83" spans="1:7" ht="16.5" x14ac:dyDescent="0.3">
      <c r="A83" s="14"/>
      <c r="B83" s="86"/>
      <c r="C83" s="40" t="s">
        <v>178</v>
      </c>
      <c r="D83" s="41">
        <v>1</v>
      </c>
      <c r="E83" s="42">
        <v>0</v>
      </c>
      <c r="F83" s="14"/>
      <c r="G83" s="14"/>
    </row>
    <row r="84" spans="1:7" ht="16.5" x14ac:dyDescent="0.3">
      <c r="A84" s="14"/>
      <c r="B84" s="86"/>
      <c r="C84" s="40" t="s">
        <v>182</v>
      </c>
      <c r="D84" s="41">
        <v>1</v>
      </c>
      <c r="E84" s="42">
        <v>0</v>
      </c>
      <c r="F84" s="14"/>
      <c r="G84" s="14"/>
    </row>
    <row r="85" spans="1:7" ht="16.5" x14ac:dyDescent="0.3">
      <c r="A85" s="14"/>
      <c r="B85" s="86"/>
      <c r="C85" s="40" t="s">
        <v>185</v>
      </c>
      <c r="D85" s="41">
        <v>1</v>
      </c>
      <c r="E85" s="42">
        <v>0</v>
      </c>
      <c r="F85" s="14"/>
      <c r="G85" s="14"/>
    </row>
    <row r="86" spans="1:7" ht="16.5" x14ac:dyDescent="0.3">
      <c r="A86" s="14"/>
      <c r="B86" s="86"/>
      <c r="C86" s="40" t="s">
        <v>273</v>
      </c>
      <c r="D86" s="41">
        <v>1</v>
      </c>
      <c r="E86" s="42">
        <v>0</v>
      </c>
      <c r="F86" s="14"/>
      <c r="G86" s="14"/>
    </row>
    <row r="87" spans="1:7" ht="16.5" x14ac:dyDescent="0.3">
      <c r="A87" s="14"/>
      <c r="B87" s="86"/>
      <c r="C87" s="40" t="s">
        <v>188</v>
      </c>
      <c r="D87" s="41">
        <v>1</v>
      </c>
      <c r="E87" s="42">
        <v>0</v>
      </c>
      <c r="F87" s="14"/>
      <c r="G87" s="14"/>
    </row>
    <row r="88" spans="1:7" ht="16.5" x14ac:dyDescent="0.3">
      <c r="A88" s="14"/>
      <c r="B88" s="86"/>
      <c r="C88" s="40" t="s">
        <v>201</v>
      </c>
      <c r="D88" s="41">
        <v>1</v>
      </c>
      <c r="E88" s="42">
        <v>0</v>
      </c>
      <c r="F88" s="14"/>
      <c r="G88" s="14"/>
    </row>
    <row r="89" spans="1:7" ht="16.5" x14ac:dyDescent="0.3">
      <c r="A89" s="14"/>
      <c r="B89" s="86"/>
      <c r="C89" s="40" t="s">
        <v>193</v>
      </c>
      <c r="D89" s="41">
        <v>1</v>
      </c>
      <c r="E89" s="42">
        <v>0</v>
      </c>
      <c r="F89" s="14"/>
      <c r="G89" s="14"/>
    </row>
    <row r="90" spans="1:7" ht="16.5" x14ac:dyDescent="0.3">
      <c r="A90" s="14"/>
      <c r="B90" s="86"/>
      <c r="C90" s="40" t="s">
        <v>195</v>
      </c>
      <c r="D90" s="41">
        <v>1</v>
      </c>
      <c r="E90" s="42">
        <v>0</v>
      </c>
      <c r="F90" s="14"/>
      <c r="G90" s="14"/>
    </row>
    <row r="91" spans="1:7" ht="16.5" x14ac:dyDescent="0.3">
      <c r="A91" s="14"/>
      <c r="B91" s="86"/>
      <c r="C91" s="43" t="s">
        <v>318</v>
      </c>
      <c r="D91" s="32">
        <v>1692</v>
      </c>
      <c r="E91" s="45">
        <v>0.70499999999999996</v>
      </c>
      <c r="F91" s="14"/>
      <c r="G91" s="14"/>
    </row>
    <row r="92" spans="1:7" ht="16.5" x14ac:dyDescent="0.3">
      <c r="A92" s="14"/>
      <c r="B92" s="86" t="s">
        <v>118</v>
      </c>
      <c r="C92" s="40" t="s">
        <v>127</v>
      </c>
      <c r="D92" s="41">
        <v>72</v>
      </c>
      <c r="E92" s="42">
        <v>0.03</v>
      </c>
      <c r="F92" s="14"/>
      <c r="G92" s="14"/>
    </row>
    <row r="93" spans="1:7" ht="16.5" x14ac:dyDescent="0.3">
      <c r="A93" s="14"/>
      <c r="B93" s="86"/>
      <c r="C93" s="40" t="s">
        <v>160</v>
      </c>
      <c r="D93" s="41">
        <v>27</v>
      </c>
      <c r="E93" s="42">
        <v>1.0999999999999999E-2</v>
      </c>
      <c r="F93" s="14"/>
      <c r="G93" s="14"/>
    </row>
    <row r="94" spans="1:7" ht="16.5" x14ac:dyDescent="0.3">
      <c r="A94" s="14"/>
      <c r="B94" s="86"/>
      <c r="C94" s="40" t="s">
        <v>143</v>
      </c>
      <c r="D94" s="41">
        <v>10</v>
      </c>
      <c r="E94" s="42">
        <v>4.0000000000000001E-3</v>
      </c>
      <c r="F94" s="14"/>
      <c r="G94" s="14"/>
    </row>
    <row r="95" spans="1:7" ht="16.5" x14ac:dyDescent="0.3">
      <c r="A95" s="14"/>
      <c r="B95" s="86"/>
      <c r="C95" s="40" t="s">
        <v>191</v>
      </c>
      <c r="D95" s="41">
        <v>9</v>
      </c>
      <c r="E95" s="42">
        <v>4.0000000000000001E-3</v>
      </c>
      <c r="F95" s="14"/>
      <c r="G95" s="14"/>
    </row>
    <row r="96" spans="1:7" ht="16.5" x14ac:dyDescent="0.3">
      <c r="A96" s="14"/>
      <c r="B96" s="86"/>
      <c r="C96" s="40" t="s">
        <v>173</v>
      </c>
      <c r="D96" s="41">
        <v>5</v>
      </c>
      <c r="E96" s="42">
        <v>2E-3</v>
      </c>
      <c r="F96" s="14"/>
      <c r="G96" s="14"/>
    </row>
    <row r="97" spans="1:7" ht="16.5" x14ac:dyDescent="0.3">
      <c r="A97" s="14"/>
      <c r="B97" s="86"/>
      <c r="C97" s="40" t="s">
        <v>129</v>
      </c>
      <c r="D97" s="41">
        <v>4</v>
      </c>
      <c r="E97" s="42">
        <v>2E-3</v>
      </c>
      <c r="F97" s="14"/>
      <c r="G97" s="14"/>
    </row>
    <row r="98" spans="1:7" ht="16.5" x14ac:dyDescent="0.3">
      <c r="A98" s="14"/>
      <c r="B98" s="86"/>
      <c r="C98" s="40" t="s">
        <v>194</v>
      </c>
      <c r="D98" s="41">
        <v>4</v>
      </c>
      <c r="E98" s="42">
        <v>2E-3</v>
      </c>
      <c r="F98" s="14"/>
      <c r="G98" s="14"/>
    </row>
    <row r="99" spans="1:7" ht="16.5" x14ac:dyDescent="0.3">
      <c r="A99" s="14"/>
      <c r="B99" s="86"/>
      <c r="C99" s="40" t="s">
        <v>126</v>
      </c>
      <c r="D99" s="41">
        <v>3</v>
      </c>
      <c r="E99" s="42">
        <v>1E-3</v>
      </c>
      <c r="F99" s="14"/>
      <c r="G99" s="14"/>
    </row>
    <row r="100" spans="1:7" ht="16.5" x14ac:dyDescent="0.3">
      <c r="A100" s="14"/>
      <c r="B100" s="86"/>
      <c r="C100" s="40" t="s">
        <v>183</v>
      </c>
      <c r="D100" s="41">
        <v>3</v>
      </c>
      <c r="E100" s="42">
        <v>1E-3</v>
      </c>
      <c r="F100" s="14"/>
      <c r="G100" s="14"/>
    </row>
    <row r="101" spans="1:7" ht="16.5" x14ac:dyDescent="0.3">
      <c r="A101" s="14"/>
      <c r="B101" s="86"/>
      <c r="C101" s="40" t="s">
        <v>139</v>
      </c>
      <c r="D101" s="41">
        <v>2</v>
      </c>
      <c r="E101" s="42">
        <v>1E-3</v>
      </c>
      <c r="F101" s="14"/>
      <c r="G101" s="14"/>
    </row>
    <row r="102" spans="1:7" ht="16.5" x14ac:dyDescent="0.3">
      <c r="A102" s="14"/>
      <c r="B102" s="86"/>
      <c r="C102" s="40" t="s">
        <v>149</v>
      </c>
      <c r="D102" s="41">
        <v>2</v>
      </c>
      <c r="E102" s="42">
        <v>1E-3</v>
      </c>
      <c r="F102" s="14"/>
      <c r="G102" s="14"/>
    </row>
    <row r="103" spans="1:7" ht="16.5" x14ac:dyDescent="0.3">
      <c r="A103" s="14"/>
      <c r="B103" s="86"/>
      <c r="C103" s="40" t="s">
        <v>131</v>
      </c>
      <c r="D103" s="41">
        <v>2</v>
      </c>
      <c r="E103" s="42">
        <v>1E-3</v>
      </c>
      <c r="F103" s="14"/>
      <c r="G103" s="14"/>
    </row>
    <row r="104" spans="1:7" ht="16.5" x14ac:dyDescent="0.3">
      <c r="A104" s="14"/>
      <c r="B104" s="86"/>
      <c r="C104" s="40" t="s">
        <v>158</v>
      </c>
      <c r="D104" s="41">
        <v>2</v>
      </c>
      <c r="E104" s="42">
        <v>1E-3</v>
      </c>
      <c r="F104" s="14"/>
      <c r="G104" s="14"/>
    </row>
    <row r="105" spans="1:7" ht="16.5" x14ac:dyDescent="0.3">
      <c r="A105" s="14"/>
      <c r="B105" s="86"/>
      <c r="C105" s="40" t="s">
        <v>164</v>
      </c>
      <c r="D105" s="41">
        <v>2</v>
      </c>
      <c r="E105" s="42">
        <v>1E-3</v>
      </c>
      <c r="F105" s="14"/>
      <c r="G105" s="14"/>
    </row>
    <row r="106" spans="1:7" ht="16.5" x14ac:dyDescent="0.3">
      <c r="A106" s="14"/>
      <c r="B106" s="86"/>
      <c r="C106" s="40" t="s">
        <v>165</v>
      </c>
      <c r="D106" s="41">
        <v>2</v>
      </c>
      <c r="E106" s="42">
        <v>1E-3</v>
      </c>
      <c r="F106" s="14"/>
      <c r="G106" s="14"/>
    </row>
    <row r="107" spans="1:7" ht="16.5" x14ac:dyDescent="0.3">
      <c r="A107" s="14"/>
      <c r="B107" s="86"/>
      <c r="C107" s="40" t="s">
        <v>189</v>
      </c>
      <c r="D107" s="41">
        <v>2</v>
      </c>
      <c r="E107" s="42">
        <v>1E-3</v>
      </c>
      <c r="F107" s="14"/>
      <c r="G107" s="14"/>
    </row>
    <row r="108" spans="1:7" ht="16.5" x14ac:dyDescent="0.3">
      <c r="A108" s="14"/>
      <c r="B108" s="86"/>
      <c r="C108" s="40" t="s">
        <v>133</v>
      </c>
      <c r="D108" s="41">
        <v>1</v>
      </c>
      <c r="E108" s="42">
        <v>0</v>
      </c>
      <c r="F108" s="14"/>
      <c r="G108" s="14"/>
    </row>
    <row r="109" spans="1:7" ht="16.5" x14ac:dyDescent="0.3">
      <c r="A109" s="14"/>
      <c r="B109" s="86"/>
      <c r="C109" s="40" t="s">
        <v>138</v>
      </c>
      <c r="D109" s="41">
        <v>1</v>
      </c>
      <c r="E109" s="42">
        <v>0</v>
      </c>
      <c r="F109" s="14"/>
      <c r="G109" s="14"/>
    </row>
    <row r="110" spans="1:7" ht="16.5" x14ac:dyDescent="0.3">
      <c r="A110" s="14"/>
      <c r="B110" s="86"/>
      <c r="C110" s="40" t="s">
        <v>141</v>
      </c>
      <c r="D110" s="41">
        <v>1</v>
      </c>
      <c r="E110" s="42">
        <v>0</v>
      </c>
      <c r="F110" s="14"/>
      <c r="G110" s="14"/>
    </row>
    <row r="111" spans="1:7" ht="16.5" x14ac:dyDescent="0.3">
      <c r="A111" s="14"/>
      <c r="B111" s="86"/>
      <c r="C111" s="40" t="s">
        <v>142</v>
      </c>
      <c r="D111" s="41">
        <v>1</v>
      </c>
      <c r="E111" s="42">
        <v>0</v>
      </c>
      <c r="F111" s="14"/>
      <c r="G111" s="14"/>
    </row>
    <row r="112" spans="1:7" ht="16.5" x14ac:dyDescent="0.3">
      <c r="A112" s="14"/>
      <c r="B112" s="86"/>
      <c r="C112" s="40" t="s">
        <v>125</v>
      </c>
      <c r="D112" s="41">
        <v>1</v>
      </c>
      <c r="E112" s="42">
        <v>0</v>
      </c>
      <c r="F112" s="14"/>
      <c r="G112" s="14"/>
    </row>
    <row r="113" spans="1:7" ht="16.5" x14ac:dyDescent="0.3">
      <c r="A113" s="14"/>
      <c r="B113" s="86"/>
      <c r="C113" s="40" t="s">
        <v>268</v>
      </c>
      <c r="D113" s="41">
        <v>1</v>
      </c>
      <c r="E113" s="42">
        <v>0</v>
      </c>
      <c r="F113" s="14"/>
      <c r="G113" s="14"/>
    </row>
    <row r="114" spans="1:7" ht="16.5" x14ac:dyDescent="0.3">
      <c r="A114" s="14"/>
      <c r="B114" s="86"/>
      <c r="C114" s="40" t="s">
        <v>151</v>
      </c>
      <c r="D114" s="41">
        <v>1</v>
      </c>
      <c r="E114" s="42">
        <v>0</v>
      </c>
      <c r="F114" s="14"/>
      <c r="G114" s="14"/>
    </row>
    <row r="115" spans="1:7" ht="16.5" x14ac:dyDescent="0.3">
      <c r="A115" s="14"/>
      <c r="B115" s="86"/>
      <c r="C115" s="40" t="s">
        <v>265</v>
      </c>
      <c r="D115" s="41">
        <v>1</v>
      </c>
      <c r="E115" s="42">
        <v>0</v>
      </c>
      <c r="F115" s="14"/>
      <c r="G115" s="14"/>
    </row>
    <row r="116" spans="1:7" ht="16.5" x14ac:dyDescent="0.3">
      <c r="A116" s="14"/>
      <c r="B116" s="86"/>
      <c r="C116" s="40" t="s">
        <v>198</v>
      </c>
      <c r="D116" s="41">
        <v>1</v>
      </c>
      <c r="E116" s="42">
        <v>0</v>
      </c>
      <c r="F116" s="14"/>
      <c r="G116" s="14"/>
    </row>
    <row r="117" spans="1:7" ht="16.5" x14ac:dyDescent="0.3">
      <c r="A117" s="14"/>
      <c r="B117" s="86"/>
      <c r="C117" s="40" t="s">
        <v>134</v>
      </c>
      <c r="D117" s="41">
        <v>1</v>
      </c>
      <c r="E117" s="42">
        <v>0</v>
      </c>
      <c r="F117" s="14"/>
      <c r="G117" s="14"/>
    </row>
    <row r="118" spans="1:7" ht="16.5" x14ac:dyDescent="0.3">
      <c r="A118" s="14"/>
      <c r="B118" s="86"/>
      <c r="C118" s="40" t="s">
        <v>274</v>
      </c>
      <c r="D118" s="41">
        <v>1</v>
      </c>
      <c r="E118" s="42">
        <v>0</v>
      </c>
      <c r="F118" s="14"/>
      <c r="G118" s="14"/>
    </row>
    <row r="119" spans="1:7" ht="16.5" x14ac:dyDescent="0.3">
      <c r="A119" s="14"/>
      <c r="B119" s="86"/>
      <c r="C119" s="40" t="s">
        <v>175</v>
      </c>
      <c r="D119" s="41">
        <v>1</v>
      </c>
      <c r="E119" s="42">
        <v>0</v>
      </c>
      <c r="F119" s="14"/>
      <c r="G119" s="14"/>
    </row>
    <row r="120" spans="1:7" ht="16.5" x14ac:dyDescent="0.3">
      <c r="A120" s="14"/>
      <c r="B120" s="86"/>
      <c r="C120" s="40" t="s">
        <v>128</v>
      </c>
      <c r="D120" s="41">
        <v>1</v>
      </c>
      <c r="E120" s="42">
        <v>0</v>
      </c>
      <c r="F120" s="14"/>
      <c r="G120" s="14"/>
    </row>
    <row r="121" spans="1:7" ht="16.5" x14ac:dyDescent="0.3">
      <c r="A121" s="14"/>
      <c r="B121" s="86"/>
      <c r="C121" s="40" t="s">
        <v>176</v>
      </c>
      <c r="D121" s="41">
        <v>1</v>
      </c>
      <c r="E121" s="42">
        <v>0</v>
      </c>
      <c r="F121" s="14"/>
      <c r="G121" s="14"/>
    </row>
    <row r="122" spans="1:7" ht="16.5" x14ac:dyDescent="0.3">
      <c r="A122" s="14"/>
      <c r="B122" s="86"/>
      <c r="C122" s="40" t="s">
        <v>180</v>
      </c>
      <c r="D122" s="41">
        <v>1</v>
      </c>
      <c r="E122" s="42">
        <v>0</v>
      </c>
      <c r="F122" s="14"/>
      <c r="G122" s="14"/>
    </row>
    <row r="123" spans="1:7" ht="16.5" x14ac:dyDescent="0.3">
      <c r="A123" s="14"/>
      <c r="B123" s="86"/>
      <c r="C123" s="40" t="s">
        <v>182</v>
      </c>
      <c r="D123" s="41">
        <v>1</v>
      </c>
      <c r="E123" s="42">
        <v>0</v>
      </c>
      <c r="F123" s="14"/>
      <c r="G123" s="14"/>
    </row>
    <row r="124" spans="1:7" ht="16.5" x14ac:dyDescent="0.3">
      <c r="A124" s="14"/>
      <c r="B124" s="86"/>
      <c r="C124" s="40" t="s">
        <v>184</v>
      </c>
      <c r="D124" s="41">
        <v>1</v>
      </c>
      <c r="E124" s="42">
        <v>0</v>
      </c>
      <c r="F124" s="14"/>
      <c r="G124" s="14"/>
    </row>
    <row r="125" spans="1:7" ht="16.5" x14ac:dyDescent="0.3">
      <c r="A125" s="14"/>
      <c r="B125" s="86"/>
      <c r="C125" s="40" t="s">
        <v>186</v>
      </c>
      <c r="D125" s="41">
        <v>1</v>
      </c>
      <c r="E125" s="42">
        <v>0</v>
      </c>
      <c r="F125" s="14"/>
      <c r="G125" s="14"/>
    </row>
    <row r="126" spans="1:7" ht="16.5" x14ac:dyDescent="0.3">
      <c r="A126" s="14"/>
      <c r="B126" s="86"/>
      <c r="C126" s="40" t="s">
        <v>135</v>
      </c>
      <c r="D126" s="41">
        <v>1</v>
      </c>
      <c r="E126" s="42">
        <v>0</v>
      </c>
      <c r="F126" s="14"/>
      <c r="G126" s="14"/>
    </row>
    <row r="127" spans="1:7" ht="16.5" x14ac:dyDescent="0.3">
      <c r="A127" s="14"/>
      <c r="B127" s="86"/>
      <c r="C127" s="40" t="s">
        <v>199</v>
      </c>
      <c r="D127" s="41">
        <v>1</v>
      </c>
      <c r="E127" s="42">
        <v>0</v>
      </c>
      <c r="F127" s="14"/>
      <c r="G127" s="14"/>
    </row>
    <row r="128" spans="1:7" ht="16.5" x14ac:dyDescent="0.3">
      <c r="A128" s="14"/>
      <c r="B128" s="86"/>
      <c r="C128" s="43" t="s">
        <v>318</v>
      </c>
      <c r="D128" s="44">
        <v>171</v>
      </c>
      <c r="E128" s="45">
        <v>7.0999999999999994E-2</v>
      </c>
      <c r="F128" s="14"/>
      <c r="G128" s="14"/>
    </row>
    <row r="129" spans="1:7" ht="16.5" x14ac:dyDescent="0.3">
      <c r="A129" s="14"/>
      <c r="B129" s="86" t="s">
        <v>89</v>
      </c>
      <c r="C129" s="40" t="s">
        <v>145</v>
      </c>
      <c r="D129" s="41">
        <v>29</v>
      </c>
      <c r="E129" s="42">
        <v>1.2E-2</v>
      </c>
      <c r="F129" s="14"/>
      <c r="G129" s="14"/>
    </row>
    <row r="130" spans="1:7" ht="16.5" x14ac:dyDescent="0.3">
      <c r="A130" s="14"/>
      <c r="B130" s="86"/>
      <c r="C130" s="40" t="s">
        <v>129</v>
      </c>
      <c r="D130" s="41">
        <v>19</v>
      </c>
      <c r="E130" s="42">
        <v>8.0000000000000002E-3</v>
      </c>
      <c r="F130" s="14"/>
      <c r="G130" s="14"/>
    </row>
    <row r="131" spans="1:7" ht="16.5" x14ac:dyDescent="0.3">
      <c r="A131" s="14"/>
      <c r="B131" s="86"/>
      <c r="C131" s="40" t="s">
        <v>127</v>
      </c>
      <c r="D131" s="41">
        <v>10</v>
      </c>
      <c r="E131" s="42">
        <v>4.0000000000000001E-3</v>
      </c>
      <c r="F131" s="14"/>
      <c r="G131" s="14"/>
    </row>
    <row r="132" spans="1:7" ht="16.5" x14ac:dyDescent="0.3">
      <c r="A132" s="14"/>
      <c r="B132" s="86"/>
      <c r="C132" s="40" t="s">
        <v>141</v>
      </c>
      <c r="D132" s="41">
        <v>4</v>
      </c>
      <c r="E132" s="42">
        <v>2E-3</v>
      </c>
      <c r="F132" s="14"/>
      <c r="G132" s="14"/>
    </row>
    <row r="133" spans="1:7" ht="16.5" x14ac:dyDescent="0.3">
      <c r="A133" s="14"/>
      <c r="B133" s="86"/>
      <c r="C133" s="40" t="s">
        <v>265</v>
      </c>
      <c r="D133" s="41">
        <v>3</v>
      </c>
      <c r="E133" s="42">
        <v>1E-3</v>
      </c>
      <c r="F133" s="14"/>
      <c r="G133" s="14"/>
    </row>
    <row r="134" spans="1:7" ht="16.5" x14ac:dyDescent="0.3">
      <c r="A134" s="14"/>
      <c r="B134" s="86"/>
      <c r="C134" s="40" t="s">
        <v>191</v>
      </c>
      <c r="D134" s="41">
        <v>3</v>
      </c>
      <c r="E134" s="42">
        <v>1E-3</v>
      </c>
      <c r="F134" s="14"/>
      <c r="G134" s="14"/>
    </row>
    <row r="135" spans="1:7" ht="16.5" x14ac:dyDescent="0.3">
      <c r="A135" s="14"/>
      <c r="B135" s="86"/>
      <c r="C135" s="40" t="s">
        <v>138</v>
      </c>
      <c r="D135" s="41">
        <v>2</v>
      </c>
      <c r="E135" s="42">
        <v>1E-3</v>
      </c>
      <c r="F135" s="14"/>
      <c r="G135" s="14"/>
    </row>
    <row r="136" spans="1:7" ht="16.5" x14ac:dyDescent="0.3">
      <c r="A136" s="14"/>
      <c r="B136" s="86"/>
      <c r="C136" s="40" t="s">
        <v>164</v>
      </c>
      <c r="D136" s="41">
        <v>2</v>
      </c>
      <c r="E136" s="42">
        <v>1E-3</v>
      </c>
      <c r="F136" s="14"/>
      <c r="G136" s="14"/>
    </row>
    <row r="137" spans="1:7" ht="16.5" x14ac:dyDescent="0.3">
      <c r="A137" s="14"/>
      <c r="B137" s="86"/>
      <c r="C137" s="40" t="s">
        <v>150</v>
      </c>
      <c r="D137" s="41">
        <v>1</v>
      </c>
      <c r="E137" s="42">
        <v>0</v>
      </c>
      <c r="F137" s="14"/>
      <c r="G137" s="14"/>
    </row>
    <row r="138" spans="1:7" ht="16.5" x14ac:dyDescent="0.3">
      <c r="A138" s="14"/>
      <c r="B138" s="86"/>
      <c r="C138" s="40" t="s">
        <v>198</v>
      </c>
      <c r="D138" s="41">
        <v>1</v>
      </c>
      <c r="E138" s="42">
        <v>0</v>
      </c>
      <c r="F138" s="14"/>
      <c r="G138" s="14"/>
    </row>
    <row r="139" spans="1:7" ht="16.5" x14ac:dyDescent="0.3">
      <c r="A139" s="14"/>
      <c r="B139" s="86"/>
      <c r="C139" s="40" t="s">
        <v>134</v>
      </c>
      <c r="D139" s="41">
        <v>1</v>
      </c>
      <c r="E139" s="42">
        <v>0</v>
      </c>
      <c r="F139" s="14"/>
      <c r="G139" s="14"/>
    </row>
    <row r="140" spans="1:7" ht="16.5" x14ac:dyDescent="0.3">
      <c r="A140" s="14"/>
      <c r="B140" s="86"/>
      <c r="C140" s="40" t="s">
        <v>274</v>
      </c>
      <c r="D140" s="41">
        <v>1</v>
      </c>
      <c r="E140" s="42">
        <v>0</v>
      </c>
      <c r="F140" s="14"/>
      <c r="G140" s="14"/>
    </row>
    <row r="141" spans="1:7" ht="16.5" x14ac:dyDescent="0.3">
      <c r="A141" s="14"/>
      <c r="B141" s="86"/>
      <c r="C141" s="40" t="s">
        <v>190</v>
      </c>
      <c r="D141" s="41">
        <v>1</v>
      </c>
      <c r="E141" s="42">
        <v>0</v>
      </c>
      <c r="F141" s="14"/>
      <c r="G141" s="14"/>
    </row>
    <row r="142" spans="1:7" ht="16.5" x14ac:dyDescent="0.3">
      <c r="A142" s="14"/>
      <c r="B142" s="86"/>
      <c r="C142" s="40" t="s">
        <v>136</v>
      </c>
      <c r="D142" s="41">
        <v>1</v>
      </c>
      <c r="E142" s="42">
        <v>0</v>
      </c>
      <c r="F142" s="14"/>
      <c r="G142" s="14"/>
    </row>
    <row r="143" spans="1:7" ht="16.5" x14ac:dyDescent="0.3">
      <c r="A143" s="14"/>
      <c r="B143" s="86"/>
      <c r="C143" s="40" t="s">
        <v>194</v>
      </c>
      <c r="D143" s="41">
        <v>1</v>
      </c>
      <c r="E143" s="42">
        <v>0</v>
      </c>
      <c r="F143" s="14"/>
      <c r="G143" s="14"/>
    </row>
    <row r="144" spans="1:7" ht="16.5" x14ac:dyDescent="0.3">
      <c r="A144" s="14"/>
      <c r="B144" s="86"/>
      <c r="C144" s="43" t="s">
        <v>318</v>
      </c>
      <c r="D144" s="44">
        <v>79</v>
      </c>
      <c r="E144" s="45">
        <v>3.3000000000000002E-2</v>
      </c>
      <c r="F144" s="14"/>
      <c r="G144" s="14"/>
    </row>
    <row r="145" spans="1:7" ht="16.5" x14ac:dyDescent="0.3">
      <c r="A145" s="14"/>
      <c r="B145" s="86" t="s">
        <v>114</v>
      </c>
      <c r="C145" s="40" t="s">
        <v>134</v>
      </c>
      <c r="D145" s="41">
        <v>37</v>
      </c>
      <c r="E145" s="42">
        <v>1.4999999999999999E-2</v>
      </c>
      <c r="F145" s="14"/>
      <c r="G145" s="14"/>
    </row>
    <row r="146" spans="1:7" ht="16.5" x14ac:dyDescent="0.3">
      <c r="A146" s="14"/>
      <c r="B146" s="86"/>
      <c r="C146" s="40" t="s">
        <v>127</v>
      </c>
      <c r="D146" s="41">
        <v>13</v>
      </c>
      <c r="E146" s="42">
        <v>5.0000000000000001E-3</v>
      </c>
      <c r="F146" s="14"/>
      <c r="G146" s="14"/>
    </row>
    <row r="147" spans="1:7" ht="16.5" x14ac:dyDescent="0.3">
      <c r="A147" s="14"/>
      <c r="B147" s="86"/>
      <c r="C147" s="40" t="s">
        <v>169</v>
      </c>
      <c r="D147" s="41">
        <v>7</v>
      </c>
      <c r="E147" s="42">
        <v>3.0000000000000001E-3</v>
      </c>
      <c r="F147" s="14"/>
      <c r="G147" s="14"/>
    </row>
    <row r="148" spans="1:7" ht="16.5" x14ac:dyDescent="0.3">
      <c r="A148" s="14"/>
      <c r="B148" s="86"/>
      <c r="C148" s="40" t="s">
        <v>181</v>
      </c>
      <c r="D148" s="41">
        <v>6</v>
      </c>
      <c r="E148" s="42">
        <v>2E-3</v>
      </c>
      <c r="F148" s="14"/>
      <c r="G148" s="14"/>
    </row>
    <row r="149" spans="1:7" ht="16.5" x14ac:dyDescent="0.3">
      <c r="A149" s="14"/>
      <c r="B149" s="86"/>
      <c r="C149" s="40" t="s">
        <v>157</v>
      </c>
      <c r="D149" s="41">
        <v>3</v>
      </c>
      <c r="E149" s="42">
        <v>1E-3</v>
      </c>
      <c r="F149" s="14"/>
      <c r="G149" s="14"/>
    </row>
    <row r="150" spans="1:7" ht="16.5" x14ac:dyDescent="0.3">
      <c r="A150" s="14"/>
      <c r="B150" s="86"/>
      <c r="C150" s="40" t="s">
        <v>129</v>
      </c>
      <c r="D150" s="41">
        <v>3</v>
      </c>
      <c r="E150" s="42">
        <v>1E-3</v>
      </c>
      <c r="F150" s="14"/>
      <c r="G150" s="14"/>
    </row>
    <row r="151" spans="1:7" ht="16.5" x14ac:dyDescent="0.3">
      <c r="A151" s="14"/>
      <c r="B151" s="86"/>
      <c r="C151" s="40" t="s">
        <v>130</v>
      </c>
      <c r="D151" s="41">
        <v>3</v>
      </c>
      <c r="E151" s="42">
        <v>1E-3</v>
      </c>
      <c r="F151" s="14"/>
      <c r="G151" s="14"/>
    </row>
    <row r="152" spans="1:7" ht="16.5" x14ac:dyDescent="0.3">
      <c r="A152" s="14"/>
      <c r="B152" s="86"/>
      <c r="C152" s="40" t="s">
        <v>147</v>
      </c>
      <c r="D152" s="41">
        <v>2</v>
      </c>
      <c r="E152" s="42">
        <v>1E-3</v>
      </c>
      <c r="F152" s="14"/>
      <c r="G152" s="14"/>
    </row>
    <row r="153" spans="1:7" ht="16.5" x14ac:dyDescent="0.3">
      <c r="A153" s="14"/>
      <c r="B153" s="86"/>
      <c r="C153" s="40" t="s">
        <v>138</v>
      </c>
      <c r="D153" s="41">
        <v>1</v>
      </c>
      <c r="E153" s="42">
        <v>0</v>
      </c>
      <c r="F153" s="14"/>
      <c r="G153" s="14"/>
    </row>
    <row r="154" spans="1:7" ht="16.5" x14ac:dyDescent="0.3">
      <c r="A154" s="14"/>
      <c r="B154" s="86"/>
      <c r="C154" s="40" t="s">
        <v>168</v>
      </c>
      <c r="D154" s="41">
        <v>1</v>
      </c>
      <c r="E154" s="42">
        <v>0</v>
      </c>
      <c r="F154" s="14"/>
      <c r="G154" s="14"/>
    </row>
    <row r="155" spans="1:7" ht="16.5" x14ac:dyDescent="0.3">
      <c r="A155" s="14"/>
      <c r="B155" s="86"/>
      <c r="C155" s="40" t="s">
        <v>174</v>
      </c>
      <c r="D155" s="41">
        <v>1</v>
      </c>
      <c r="E155" s="42">
        <v>0</v>
      </c>
      <c r="F155" s="14"/>
      <c r="G155" s="14"/>
    </row>
    <row r="156" spans="1:7" ht="16.5" x14ac:dyDescent="0.3">
      <c r="A156" s="14"/>
      <c r="B156" s="86"/>
      <c r="C156" s="40" t="s">
        <v>191</v>
      </c>
      <c r="D156" s="41">
        <v>1</v>
      </c>
      <c r="E156" s="42">
        <v>0</v>
      </c>
      <c r="F156" s="14"/>
      <c r="G156" s="14"/>
    </row>
    <row r="157" spans="1:7" ht="16.5" x14ac:dyDescent="0.3">
      <c r="A157" s="14"/>
      <c r="B157" s="86"/>
      <c r="C157" s="40" t="s">
        <v>136</v>
      </c>
      <c r="D157" s="41">
        <v>1</v>
      </c>
      <c r="E157" s="42">
        <v>0</v>
      </c>
      <c r="F157" s="14"/>
      <c r="G157" s="14"/>
    </row>
    <row r="158" spans="1:7" ht="16.5" x14ac:dyDescent="0.3">
      <c r="A158" s="14"/>
      <c r="B158" s="86"/>
      <c r="C158" s="43" t="s">
        <v>318</v>
      </c>
      <c r="D158" s="44">
        <v>79</v>
      </c>
      <c r="E158" s="45">
        <v>3.3000000000000002E-2</v>
      </c>
      <c r="F158" s="14"/>
      <c r="G158" s="14"/>
    </row>
    <row r="159" spans="1:7" ht="16.5" x14ac:dyDescent="0.3">
      <c r="A159" s="14"/>
      <c r="B159" s="86" t="s">
        <v>107</v>
      </c>
      <c r="C159" s="40" t="s">
        <v>170</v>
      </c>
      <c r="D159" s="41">
        <v>19</v>
      </c>
      <c r="E159" s="42">
        <v>8.0000000000000002E-3</v>
      </c>
      <c r="F159" s="14"/>
      <c r="G159" s="14"/>
    </row>
    <row r="160" spans="1:7" ht="16.5" x14ac:dyDescent="0.3">
      <c r="A160" s="14"/>
      <c r="B160" s="86"/>
      <c r="C160" s="40" t="s">
        <v>127</v>
      </c>
      <c r="D160" s="41">
        <v>14</v>
      </c>
      <c r="E160" s="42">
        <v>6.0000000000000001E-3</v>
      </c>
      <c r="F160" s="14"/>
      <c r="G160" s="14"/>
    </row>
    <row r="161" spans="1:7" ht="16.5" x14ac:dyDescent="0.3">
      <c r="A161" s="14"/>
      <c r="B161" s="86"/>
      <c r="C161" s="40" t="s">
        <v>141</v>
      </c>
      <c r="D161" s="41">
        <v>4</v>
      </c>
      <c r="E161" s="42">
        <v>2E-3</v>
      </c>
      <c r="F161" s="14"/>
      <c r="G161" s="14"/>
    </row>
    <row r="162" spans="1:7" ht="16.5" x14ac:dyDescent="0.3">
      <c r="A162" s="14"/>
      <c r="B162" s="86"/>
      <c r="C162" s="40" t="s">
        <v>145</v>
      </c>
      <c r="D162" s="41">
        <v>3</v>
      </c>
      <c r="E162" s="42">
        <v>1E-3</v>
      </c>
      <c r="F162" s="14"/>
      <c r="G162" s="14"/>
    </row>
    <row r="163" spans="1:7" ht="16.5" x14ac:dyDescent="0.3">
      <c r="A163" s="14"/>
      <c r="B163" s="86"/>
      <c r="C163" s="40" t="s">
        <v>169</v>
      </c>
      <c r="D163" s="41">
        <v>2</v>
      </c>
      <c r="E163" s="42">
        <v>1E-3</v>
      </c>
      <c r="F163" s="14"/>
      <c r="G163" s="14"/>
    </row>
    <row r="164" spans="1:7" ht="16.5" x14ac:dyDescent="0.3">
      <c r="A164" s="14"/>
      <c r="B164" s="86"/>
      <c r="C164" s="40" t="s">
        <v>198</v>
      </c>
      <c r="D164" s="41">
        <v>2</v>
      </c>
      <c r="E164" s="42">
        <v>1E-3</v>
      </c>
      <c r="F164" s="14"/>
      <c r="G164" s="14"/>
    </row>
    <row r="165" spans="1:7" ht="16.5" x14ac:dyDescent="0.3">
      <c r="A165" s="14"/>
      <c r="B165" s="86"/>
      <c r="C165" s="40" t="s">
        <v>129</v>
      </c>
      <c r="D165" s="41">
        <v>2</v>
      </c>
      <c r="E165" s="42">
        <v>1E-3</v>
      </c>
      <c r="F165" s="14"/>
      <c r="G165" s="14"/>
    </row>
    <row r="166" spans="1:7" ht="16.5" x14ac:dyDescent="0.3">
      <c r="A166" s="14"/>
      <c r="B166" s="86"/>
      <c r="C166" s="40" t="s">
        <v>137</v>
      </c>
      <c r="D166" s="41">
        <v>1</v>
      </c>
      <c r="E166" s="42">
        <v>0</v>
      </c>
      <c r="F166" s="14"/>
      <c r="G166" s="14"/>
    </row>
    <row r="167" spans="1:7" ht="16.5" x14ac:dyDescent="0.3">
      <c r="A167" s="14"/>
      <c r="B167" s="86"/>
      <c r="C167" s="40" t="s">
        <v>142</v>
      </c>
      <c r="D167" s="41">
        <v>1</v>
      </c>
      <c r="E167" s="42">
        <v>0</v>
      </c>
      <c r="F167" s="14"/>
      <c r="G167" s="14"/>
    </row>
    <row r="168" spans="1:7" ht="16.5" x14ac:dyDescent="0.3">
      <c r="A168" s="14"/>
      <c r="B168" s="86"/>
      <c r="C168" s="40" t="s">
        <v>151</v>
      </c>
      <c r="D168" s="41">
        <v>1</v>
      </c>
      <c r="E168" s="42">
        <v>0</v>
      </c>
      <c r="F168" s="14"/>
      <c r="G168" s="14"/>
    </row>
    <row r="169" spans="1:7" ht="16.5" x14ac:dyDescent="0.3">
      <c r="A169" s="14"/>
      <c r="B169" s="86"/>
      <c r="C169" s="40" t="s">
        <v>265</v>
      </c>
      <c r="D169" s="41">
        <v>1</v>
      </c>
      <c r="E169" s="42">
        <v>0</v>
      </c>
      <c r="F169" s="14"/>
      <c r="G169" s="14"/>
    </row>
    <row r="170" spans="1:7" ht="16.5" x14ac:dyDescent="0.3">
      <c r="A170" s="14"/>
      <c r="B170" s="86"/>
      <c r="C170" s="40" t="s">
        <v>157</v>
      </c>
      <c r="D170" s="41">
        <v>1</v>
      </c>
      <c r="E170" s="42">
        <v>0</v>
      </c>
      <c r="F170" s="14"/>
      <c r="G170" s="14"/>
    </row>
    <row r="171" spans="1:7" ht="16.5" x14ac:dyDescent="0.3">
      <c r="A171" s="14"/>
      <c r="B171" s="86"/>
      <c r="C171" s="40" t="s">
        <v>163</v>
      </c>
      <c r="D171" s="41">
        <v>1</v>
      </c>
      <c r="E171" s="42">
        <v>0</v>
      </c>
      <c r="F171" s="14"/>
      <c r="G171" s="14"/>
    </row>
    <row r="172" spans="1:7" ht="16.5" x14ac:dyDescent="0.3">
      <c r="A172" s="14"/>
      <c r="B172" s="86"/>
      <c r="C172" s="40" t="s">
        <v>165</v>
      </c>
      <c r="D172" s="41">
        <v>1</v>
      </c>
      <c r="E172" s="42">
        <v>0</v>
      </c>
      <c r="F172" s="14"/>
      <c r="G172" s="14"/>
    </row>
    <row r="173" spans="1:7" ht="16.5" x14ac:dyDescent="0.3">
      <c r="A173" s="14"/>
      <c r="B173" s="86"/>
      <c r="C173" s="40" t="s">
        <v>126</v>
      </c>
      <c r="D173" s="41">
        <v>1</v>
      </c>
      <c r="E173" s="42">
        <v>0</v>
      </c>
      <c r="F173" s="14"/>
      <c r="G173" s="14"/>
    </row>
    <row r="174" spans="1:7" ht="16.5" x14ac:dyDescent="0.3">
      <c r="A174" s="14"/>
      <c r="B174" s="86"/>
      <c r="C174" s="40" t="s">
        <v>134</v>
      </c>
      <c r="D174" s="41">
        <v>1</v>
      </c>
      <c r="E174" s="42">
        <v>0</v>
      </c>
      <c r="F174" s="14"/>
      <c r="G174" s="14"/>
    </row>
    <row r="175" spans="1:7" ht="16.5" x14ac:dyDescent="0.3">
      <c r="A175" s="14"/>
      <c r="B175" s="86"/>
      <c r="C175" s="40" t="s">
        <v>274</v>
      </c>
      <c r="D175" s="41">
        <v>1</v>
      </c>
      <c r="E175" s="42">
        <v>0</v>
      </c>
      <c r="F175" s="14"/>
      <c r="G175" s="14"/>
    </row>
    <row r="176" spans="1:7" ht="16.5" x14ac:dyDescent="0.3">
      <c r="A176" s="14"/>
      <c r="B176" s="86"/>
      <c r="C176" s="40" t="s">
        <v>180</v>
      </c>
      <c r="D176" s="41">
        <v>1</v>
      </c>
      <c r="E176" s="42">
        <v>0</v>
      </c>
      <c r="F176" s="14"/>
      <c r="G176" s="14"/>
    </row>
    <row r="177" spans="1:7" ht="16.5" x14ac:dyDescent="0.3">
      <c r="A177" s="14"/>
      <c r="B177" s="86"/>
      <c r="C177" s="40" t="s">
        <v>181</v>
      </c>
      <c r="D177" s="41">
        <v>1</v>
      </c>
      <c r="E177" s="42">
        <v>0</v>
      </c>
      <c r="F177" s="14"/>
      <c r="G177" s="14"/>
    </row>
    <row r="178" spans="1:7" ht="16.5" x14ac:dyDescent="0.3">
      <c r="A178" s="14"/>
      <c r="B178" s="86"/>
      <c r="C178" s="40" t="s">
        <v>184</v>
      </c>
      <c r="D178" s="41">
        <v>1</v>
      </c>
      <c r="E178" s="42">
        <v>0</v>
      </c>
      <c r="F178" s="14"/>
      <c r="G178" s="14"/>
    </row>
    <row r="179" spans="1:7" ht="16.5" x14ac:dyDescent="0.3">
      <c r="A179" s="14"/>
      <c r="B179" s="86"/>
      <c r="C179" s="40" t="s">
        <v>191</v>
      </c>
      <c r="D179" s="41">
        <v>1</v>
      </c>
      <c r="E179" s="42">
        <v>0</v>
      </c>
      <c r="F179" s="14"/>
      <c r="G179" s="14"/>
    </row>
    <row r="180" spans="1:7" ht="16.5" x14ac:dyDescent="0.3">
      <c r="A180" s="14"/>
      <c r="B180" s="86"/>
      <c r="C180" s="43" t="s">
        <v>318</v>
      </c>
      <c r="D180" s="44">
        <v>60</v>
      </c>
      <c r="E180" s="45">
        <v>2.5000000000000001E-2</v>
      </c>
      <c r="F180" s="14"/>
      <c r="G180" s="14"/>
    </row>
    <row r="181" spans="1:7" ht="16.5" x14ac:dyDescent="0.3">
      <c r="A181" s="14"/>
      <c r="B181" s="86" t="s">
        <v>87</v>
      </c>
      <c r="C181" s="40" t="s">
        <v>129</v>
      </c>
      <c r="D181" s="41">
        <v>24</v>
      </c>
      <c r="E181" s="42">
        <v>0.01</v>
      </c>
      <c r="F181" s="14"/>
      <c r="G181" s="14"/>
    </row>
    <row r="182" spans="1:7" ht="16.5" x14ac:dyDescent="0.3">
      <c r="A182" s="14"/>
      <c r="B182" s="86"/>
      <c r="C182" s="40" t="s">
        <v>134</v>
      </c>
      <c r="D182" s="41">
        <v>3</v>
      </c>
      <c r="E182" s="42">
        <v>1E-3</v>
      </c>
      <c r="F182" s="14"/>
      <c r="G182" s="14"/>
    </row>
    <row r="183" spans="1:7" ht="16.5" x14ac:dyDescent="0.3">
      <c r="A183" s="14"/>
      <c r="B183" s="86"/>
      <c r="C183" s="40" t="s">
        <v>127</v>
      </c>
      <c r="D183" s="41">
        <v>2</v>
      </c>
      <c r="E183" s="42">
        <v>1E-3</v>
      </c>
      <c r="F183" s="14"/>
      <c r="G183" s="14"/>
    </row>
    <row r="184" spans="1:7" ht="16.5" x14ac:dyDescent="0.3">
      <c r="A184" s="14"/>
      <c r="B184" s="86"/>
      <c r="C184" s="40" t="s">
        <v>158</v>
      </c>
      <c r="D184" s="41">
        <v>1</v>
      </c>
      <c r="E184" s="42">
        <v>0</v>
      </c>
      <c r="F184" s="14"/>
      <c r="G184" s="14"/>
    </row>
    <row r="185" spans="1:7" ht="16.5" x14ac:dyDescent="0.3">
      <c r="A185" s="14"/>
      <c r="B185" s="86"/>
      <c r="C185" s="40" t="s">
        <v>126</v>
      </c>
      <c r="D185" s="41">
        <v>1</v>
      </c>
      <c r="E185" s="42">
        <v>0</v>
      </c>
      <c r="F185" s="14"/>
      <c r="G185" s="14"/>
    </row>
    <row r="186" spans="1:7" ht="16.5" x14ac:dyDescent="0.3">
      <c r="A186" s="14"/>
      <c r="B186" s="86"/>
      <c r="C186" s="40" t="s">
        <v>194</v>
      </c>
      <c r="D186" s="41">
        <v>1</v>
      </c>
      <c r="E186" s="42">
        <v>0</v>
      </c>
      <c r="F186" s="14"/>
      <c r="G186" s="14"/>
    </row>
    <row r="187" spans="1:7" ht="16.5" x14ac:dyDescent="0.3">
      <c r="A187" s="14"/>
      <c r="B187" s="86"/>
      <c r="C187" s="43" t="s">
        <v>318</v>
      </c>
      <c r="D187" s="44">
        <v>32</v>
      </c>
      <c r="E187" s="45">
        <v>1.2999999999999999E-2</v>
      </c>
      <c r="F187" s="14"/>
      <c r="G187" s="14"/>
    </row>
    <row r="188" spans="1:7" ht="16.5" x14ac:dyDescent="0.3">
      <c r="A188" s="14"/>
      <c r="B188" s="86" t="s">
        <v>80</v>
      </c>
      <c r="C188" s="40" t="s">
        <v>134</v>
      </c>
      <c r="D188" s="41">
        <v>11</v>
      </c>
      <c r="E188" s="42">
        <v>5.0000000000000001E-3</v>
      </c>
      <c r="F188" s="14"/>
      <c r="G188" s="14"/>
    </row>
    <row r="189" spans="1:7" ht="16.5" x14ac:dyDescent="0.3">
      <c r="A189" s="14"/>
      <c r="B189" s="86"/>
      <c r="C189" s="40" t="s">
        <v>127</v>
      </c>
      <c r="D189" s="41">
        <v>4</v>
      </c>
      <c r="E189" s="42">
        <v>2E-3</v>
      </c>
      <c r="F189" s="14"/>
      <c r="G189" s="14"/>
    </row>
    <row r="190" spans="1:7" ht="16.5" x14ac:dyDescent="0.3">
      <c r="A190" s="14"/>
      <c r="B190" s="86"/>
      <c r="C190" s="40" t="s">
        <v>163</v>
      </c>
      <c r="D190" s="41">
        <v>3</v>
      </c>
      <c r="E190" s="42">
        <v>1E-3</v>
      </c>
      <c r="F190" s="14"/>
      <c r="G190" s="14"/>
    </row>
    <row r="191" spans="1:7" ht="16.5" x14ac:dyDescent="0.3">
      <c r="A191" s="14"/>
      <c r="B191" s="86"/>
      <c r="C191" s="40" t="s">
        <v>141</v>
      </c>
      <c r="D191" s="41">
        <v>2</v>
      </c>
      <c r="E191" s="42">
        <v>1E-3</v>
      </c>
      <c r="F191" s="14"/>
      <c r="G191" s="14"/>
    </row>
    <row r="192" spans="1:7" ht="16.5" x14ac:dyDescent="0.3">
      <c r="A192" s="14"/>
      <c r="B192" s="86"/>
      <c r="C192" s="40" t="s">
        <v>187</v>
      </c>
      <c r="D192" s="41">
        <v>2</v>
      </c>
      <c r="E192" s="42">
        <v>1E-3</v>
      </c>
      <c r="F192" s="14"/>
      <c r="G192" s="14"/>
    </row>
    <row r="193" spans="1:7" ht="16.5" x14ac:dyDescent="0.3">
      <c r="A193" s="14"/>
      <c r="B193" s="86"/>
      <c r="C193" s="40" t="s">
        <v>157</v>
      </c>
      <c r="D193" s="41">
        <v>1</v>
      </c>
      <c r="E193" s="42">
        <v>0</v>
      </c>
      <c r="F193" s="14"/>
      <c r="G193" s="14"/>
    </row>
    <row r="194" spans="1:7" ht="16.5" x14ac:dyDescent="0.3">
      <c r="A194" s="14"/>
      <c r="B194" s="86"/>
      <c r="C194" s="40" t="s">
        <v>164</v>
      </c>
      <c r="D194" s="41">
        <v>1</v>
      </c>
      <c r="E194" s="42">
        <v>0</v>
      </c>
      <c r="F194" s="14"/>
      <c r="G194" s="14"/>
    </row>
    <row r="195" spans="1:7" ht="16.5" x14ac:dyDescent="0.3">
      <c r="A195" s="14"/>
      <c r="B195" s="86"/>
      <c r="C195" s="40" t="s">
        <v>169</v>
      </c>
      <c r="D195" s="41">
        <v>1</v>
      </c>
      <c r="E195" s="42">
        <v>0</v>
      </c>
      <c r="F195" s="14"/>
      <c r="G195" s="14"/>
    </row>
    <row r="196" spans="1:7" ht="16.5" x14ac:dyDescent="0.3">
      <c r="A196" s="14"/>
      <c r="B196" s="86"/>
      <c r="C196" s="40" t="s">
        <v>132</v>
      </c>
      <c r="D196" s="41">
        <v>1</v>
      </c>
      <c r="E196" s="42">
        <v>0</v>
      </c>
      <c r="F196" s="14"/>
      <c r="G196" s="14"/>
    </row>
    <row r="197" spans="1:7" ht="16.5" x14ac:dyDescent="0.3">
      <c r="A197" s="14"/>
      <c r="B197" s="86"/>
      <c r="C197" s="40" t="s">
        <v>275</v>
      </c>
      <c r="D197" s="41">
        <v>1</v>
      </c>
      <c r="E197" s="42">
        <v>0</v>
      </c>
      <c r="F197" s="14"/>
      <c r="G197" s="14"/>
    </row>
    <row r="198" spans="1:7" ht="16.5" x14ac:dyDescent="0.3">
      <c r="A198" s="14"/>
      <c r="B198" s="86"/>
      <c r="C198" s="40" t="s">
        <v>181</v>
      </c>
      <c r="D198" s="41">
        <v>1</v>
      </c>
      <c r="E198" s="42">
        <v>0</v>
      </c>
      <c r="F198" s="14"/>
      <c r="G198" s="14"/>
    </row>
    <row r="199" spans="1:7" ht="16.5" x14ac:dyDescent="0.3">
      <c r="A199" s="14"/>
      <c r="B199" s="86"/>
      <c r="C199" s="40" t="s">
        <v>130</v>
      </c>
      <c r="D199" s="41">
        <v>1</v>
      </c>
      <c r="E199" s="42">
        <v>0</v>
      </c>
      <c r="F199" s="14"/>
      <c r="G199" s="14"/>
    </row>
    <row r="200" spans="1:7" ht="16.5" x14ac:dyDescent="0.3">
      <c r="A200" s="14"/>
      <c r="B200" s="86"/>
      <c r="C200" s="40" t="s">
        <v>191</v>
      </c>
      <c r="D200" s="41">
        <v>1</v>
      </c>
      <c r="E200" s="42">
        <v>0</v>
      </c>
      <c r="F200" s="14"/>
      <c r="G200" s="14"/>
    </row>
    <row r="201" spans="1:7" ht="16.5" customHeight="1" x14ac:dyDescent="0.3">
      <c r="A201" s="14"/>
      <c r="B201" s="86"/>
      <c r="C201" s="43" t="s">
        <v>318</v>
      </c>
      <c r="D201" s="44">
        <v>30</v>
      </c>
      <c r="E201" s="45">
        <v>1.2E-2</v>
      </c>
      <c r="F201" s="14"/>
      <c r="G201" s="14"/>
    </row>
    <row r="202" spans="1:7" ht="16.5" x14ac:dyDescent="0.3">
      <c r="A202" s="14"/>
      <c r="B202" s="86" t="s">
        <v>94</v>
      </c>
      <c r="C202" s="40" t="s">
        <v>127</v>
      </c>
      <c r="D202" s="41">
        <v>16</v>
      </c>
      <c r="E202" s="42">
        <v>7.0000000000000001E-3</v>
      </c>
      <c r="F202" s="14"/>
      <c r="G202" s="14"/>
    </row>
    <row r="203" spans="1:7" ht="16.5" x14ac:dyDescent="0.3">
      <c r="A203" s="14"/>
      <c r="B203" s="86"/>
      <c r="C203" s="40" t="s">
        <v>173</v>
      </c>
      <c r="D203" s="41">
        <v>2</v>
      </c>
      <c r="E203" s="42">
        <v>1E-3</v>
      </c>
      <c r="F203" s="14"/>
      <c r="G203" s="14"/>
    </row>
    <row r="204" spans="1:7" ht="16.5" x14ac:dyDescent="0.3">
      <c r="A204" s="14"/>
      <c r="B204" s="86"/>
      <c r="C204" s="40" t="s">
        <v>158</v>
      </c>
      <c r="D204" s="41">
        <v>1</v>
      </c>
      <c r="E204" s="42">
        <v>0</v>
      </c>
      <c r="F204" s="14"/>
      <c r="G204" s="14"/>
    </row>
    <row r="205" spans="1:7" ht="16.5" x14ac:dyDescent="0.3">
      <c r="A205" s="14"/>
      <c r="B205" s="86"/>
      <c r="C205" s="40" t="s">
        <v>164</v>
      </c>
      <c r="D205" s="41">
        <v>1</v>
      </c>
      <c r="E205" s="42">
        <v>0</v>
      </c>
      <c r="F205" s="14"/>
      <c r="G205" s="14"/>
    </row>
    <row r="206" spans="1:7" ht="16.5" x14ac:dyDescent="0.3">
      <c r="A206" s="14"/>
      <c r="B206" s="86"/>
      <c r="C206" s="40" t="s">
        <v>126</v>
      </c>
      <c r="D206" s="41">
        <v>1</v>
      </c>
      <c r="E206" s="42">
        <v>0</v>
      </c>
      <c r="F206" s="14"/>
      <c r="G206" s="14"/>
    </row>
    <row r="207" spans="1:7" ht="16.5" x14ac:dyDescent="0.3">
      <c r="A207" s="14"/>
      <c r="B207" s="86"/>
      <c r="C207" s="40" t="s">
        <v>170</v>
      </c>
      <c r="D207" s="41">
        <v>1</v>
      </c>
      <c r="E207" s="42">
        <v>0</v>
      </c>
      <c r="F207" s="14"/>
      <c r="G207" s="14"/>
    </row>
    <row r="208" spans="1:7" ht="16.5" x14ac:dyDescent="0.3">
      <c r="A208" s="14"/>
      <c r="B208" s="86"/>
      <c r="C208" s="40" t="s">
        <v>175</v>
      </c>
      <c r="D208" s="41">
        <v>1</v>
      </c>
      <c r="E208" s="42">
        <v>0</v>
      </c>
      <c r="F208" s="14"/>
      <c r="G208" s="14"/>
    </row>
    <row r="209" spans="1:7" ht="16.5" x14ac:dyDescent="0.3">
      <c r="A209" s="14"/>
      <c r="B209" s="86"/>
      <c r="C209" s="40" t="s">
        <v>130</v>
      </c>
      <c r="D209" s="41">
        <v>1</v>
      </c>
      <c r="E209" s="42">
        <v>0</v>
      </c>
      <c r="F209" s="14"/>
      <c r="G209" s="14"/>
    </row>
    <row r="210" spans="1:7" ht="16.5" x14ac:dyDescent="0.3">
      <c r="A210" s="14"/>
      <c r="B210" s="86"/>
      <c r="C210" s="40" t="s">
        <v>191</v>
      </c>
      <c r="D210" s="41">
        <v>1</v>
      </c>
      <c r="E210" s="42">
        <v>0</v>
      </c>
      <c r="F210" s="14"/>
      <c r="G210" s="14"/>
    </row>
    <row r="211" spans="1:7" ht="16.5" x14ac:dyDescent="0.3">
      <c r="A211" s="14"/>
      <c r="B211" s="86"/>
      <c r="C211" s="40" t="s">
        <v>136</v>
      </c>
      <c r="D211" s="41">
        <v>1</v>
      </c>
      <c r="E211" s="42">
        <v>0</v>
      </c>
      <c r="F211" s="14"/>
      <c r="G211" s="14"/>
    </row>
    <row r="212" spans="1:7" ht="16.5" x14ac:dyDescent="0.3">
      <c r="A212" s="14"/>
      <c r="B212" s="86"/>
      <c r="C212" s="40" t="s">
        <v>194</v>
      </c>
      <c r="D212" s="41">
        <v>1</v>
      </c>
      <c r="E212" s="42">
        <v>0</v>
      </c>
      <c r="F212" s="14"/>
      <c r="G212" s="14"/>
    </row>
    <row r="213" spans="1:7" ht="16.5" x14ac:dyDescent="0.3">
      <c r="A213" s="14"/>
      <c r="B213" s="86"/>
      <c r="C213" s="43" t="s">
        <v>318</v>
      </c>
      <c r="D213" s="44">
        <v>27</v>
      </c>
      <c r="E213" s="45">
        <v>1.0999999999999999E-2</v>
      </c>
      <c r="F213" s="14"/>
      <c r="G213" s="14"/>
    </row>
    <row r="214" spans="1:7" ht="16.5" x14ac:dyDescent="0.3">
      <c r="A214" s="14"/>
      <c r="B214" s="86" t="s">
        <v>91</v>
      </c>
      <c r="C214" s="40" t="s">
        <v>127</v>
      </c>
      <c r="D214" s="41">
        <v>14</v>
      </c>
      <c r="E214" s="42">
        <v>6.0000000000000001E-3</v>
      </c>
      <c r="F214" s="14"/>
      <c r="G214" s="14"/>
    </row>
    <row r="215" spans="1:7" ht="16.5" x14ac:dyDescent="0.3">
      <c r="A215" s="14"/>
      <c r="B215" s="86"/>
      <c r="C215" s="40" t="s">
        <v>148</v>
      </c>
      <c r="D215" s="41">
        <v>1</v>
      </c>
      <c r="E215" s="42">
        <v>0</v>
      </c>
      <c r="F215" s="14"/>
      <c r="G215" s="14"/>
    </row>
    <row r="216" spans="1:7" ht="16.5" x14ac:dyDescent="0.3">
      <c r="A216" s="14"/>
      <c r="B216" s="86"/>
      <c r="C216" s="40" t="s">
        <v>151</v>
      </c>
      <c r="D216" s="41">
        <v>1</v>
      </c>
      <c r="E216" s="42">
        <v>0</v>
      </c>
      <c r="F216" s="14"/>
      <c r="G216" s="14"/>
    </row>
    <row r="217" spans="1:7" ht="16.5" x14ac:dyDescent="0.3">
      <c r="A217" s="14"/>
      <c r="B217" s="86"/>
      <c r="C217" s="40" t="s">
        <v>169</v>
      </c>
      <c r="D217" s="41">
        <v>1</v>
      </c>
      <c r="E217" s="42">
        <v>0</v>
      </c>
      <c r="F217" s="14"/>
      <c r="G217" s="14"/>
    </row>
    <row r="218" spans="1:7" ht="16.5" x14ac:dyDescent="0.3">
      <c r="A218" s="14"/>
      <c r="B218" s="86"/>
      <c r="C218" s="40" t="s">
        <v>198</v>
      </c>
      <c r="D218" s="41">
        <v>1</v>
      </c>
      <c r="E218" s="42">
        <v>0</v>
      </c>
      <c r="F218" s="14"/>
      <c r="G218" s="14"/>
    </row>
    <row r="219" spans="1:7" ht="16.5" x14ac:dyDescent="0.3">
      <c r="A219" s="14"/>
      <c r="B219" s="86"/>
      <c r="C219" s="40" t="s">
        <v>173</v>
      </c>
      <c r="D219" s="41">
        <v>1</v>
      </c>
      <c r="E219" s="42">
        <v>0</v>
      </c>
      <c r="F219" s="14"/>
      <c r="G219" s="14"/>
    </row>
    <row r="220" spans="1:7" ht="16.5" x14ac:dyDescent="0.3">
      <c r="A220" s="14"/>
      <c r="B220" s="86"/>
      <c r="C220" s="40" t="s">
        <v>174</v>
      </c>
      <c r="D220" s="41">
        <v>1</v>
      </c>
      <c r="E220" s="42">
        <v>0</v>
      </c>
      <c r="F220" s="14"/>
      <c r="G220" s="14"/>
    </row>
    <row r="221" spans="1:7" ht="16.5" x14ac:dyDescent="0.3">
      <c r="A221" s="14"/>
      <c r="B221" s="86"/>
      <c r="C221" s="40" t="s">
        <v>175</v>
      </c>
      <c r="D221" s="41">
        <v>1</v>
      </c>
      <c r="E221" s="42">
        <v>0</v>
      </c>
      <c r="F221" s="14"/>
      <c r="G221" s="14"/>
    </row>
    <row r="222" spans="1:7" ht="16.5" x14ac:dyDescent="0.3">
      <c r="A222" s="14"/>
      <c r="B222" s="86"/>
      <c r="C222" s="40" t="s">
        <v>130</v>
      </c>
      <c r="D222" s="41">
        <v>1</v>
      </c>
      <c r="E222" s="42">
        <v>0</v>
      </c>
      <c r="F222" s="14"/>
      <c r="G222" s="14"/>
    </row>
    <row r="223" spans="1:7" ht="16.5" x14ac:dyDescent="0.3">
      <c r="A223" s="14"/>
      <c r="B223" s="86"/>
      <c r="C223" s="40" t="s">
        <v>191</v>
      </c>
      <c r="D223" s="41">
        <v>1</v>
      </c>
      <c r="E223" s="42">
        <v>0</v>
      </c>
      <c r="F223" s="14"/>
      <c r="G223" s="14"/>
    </row>
    <row r="224" spans="1:7" ht="16.5" x14ac:dyDescent="0.3">
      <c r="A224" s="14"/>
      <c r="B224" s="86"/>
      <c r="C224" s="40" t="s">
        <v>194</v>
      </c>
      <c r="D224" s="41">
        <v>1</v>
      </c>
      <c r="E224" s="42">
        <v>0</v>
      </c>
      <c r="F224" s="14"/>
      <c r="G224" s="14"/>
    </row>
    <row r="225" spans="1:7" ht="16.5" x14ac:dyDescent="0.3">
      <c r="A225" s="14"/>
      <c r="B225" s="86"/>
      <c r="C225" s="43" t="s">
        <v>318</v>
      </c>
      <c r="D225" s="44">
        <v>24</v>
      </c>
      <c r="E225" s="45">
        <v>0.01</v>
      </c>
      <c r="F225" s="14"/>
      <c r="G225" s="14"/>
    </row>
    <row r="226" spans="1:7" ht="16.5" x14ac:dyDescent="0.3">
      <c r="A226" s="14"/>
      <c r="B226" s="86" t="s">
        <v>119</v>
      </c>
      <c r="C226" s="40" t="s">
        <v>141</v>
      </c>
      <c r="D226" s="41">
        <v>9</v>
      </c>
      <c r="E226" s="42">
        <v>4.0000000000000001E-3</v>
      </c>
      <c r="F226" s="14"/>
      <c r="G226" s="14"/>
    </row>
    <row r="227" spans="1:7" ht="16.5" x14ac:dyDescent="0.3">
      <c r="A227" s="14"/>
      <c r="B227" s="86"/>
      <c r="C227" s="40" t="s">
        <v>127</v>
      </c>
      <c r="D227" s="41">
        <v>7</v>
      </c>
      <c r="E227" s="42">
        <v>3.0000000000000001E-3</v>
      </c>
      <c r="F227" s="14"/>
      <c r="G227" s="14"/>
    </row>
    <row r="228" spans="1:7" ht="16.5" x14ac:dyDescent="0.3">
      <c r="A228" s="14"/>
      <c r="B228" s="86"/>
      <c r="C228" s="40" t="s">
        <v>126</v>
      </c>
      <c r="D228" s="41">
        <v>2</v>
      </c>
      <c r="E228" s="42">
        <v>1E-3</v>
      </c>
      <c r="F228" s="14"/>
      <c r="G228" s="14"/>
    </row>
    <row r="229" spans="1:7" ht="16.5" x14ac:dyDescent="0.3">
      <c r="A229" s="14"/>
      <c r="B229" s="86"/>
      <c r="C229" s="40" t="s">
        <v>191</v>
      </c>
      <c r="D229" s="41">
        <v>2</v>
      </c>
      <c r="E229" s="42">
        <v>1E-3</v>
      </c>
      <c r="F229" s="14"/>
      <c r="G229" s="14"/>
    </row>
    <row r="230" spans="1:7" ht="16.5" x14ac:dyDescent="0.3">
      <c r="A230" s="14"/>
      <c r="B230" s="86"/>
      <c r="C230" s="40" t="s">
        <v>173</v>
      </c>
      <c r="D230" s="41">
        <v>1</v>
      </c>
      <c r="E230" s="42">
        <v>0</v>
      </c>
      <c r="F230" s="14"/>
      <c r="G230" s="14"/>
    </row>
    <row r="231" spans="1:7" ht="16.5" x14ac:dyDescent="0.3">
      <c r="A231" s="14"/>
      <c r="B231" s="86"/>
      <c r="C231" s="40" t="s">
        <v>174</v>
      </c>
      <c r="D231" s="41">
        <v>1</v>
      </c>
      <c r="E231" s="42">
        <v>0</v>
      </c>
      <c r="F231" s="14"/>
      <c r="G231" s="14"/>
    </row>
    <row r="232" spans="1:7" ht="16.5" x14ac:dyDescent="0.3">
      <c r="A232" s="14"/>
      <c r="B232" s="86"/>
      <c r="C232" s="40" t="s">
        <v>129</v>
      </c>
      <c r="D232" s="41">
        <v>1</v>
      </c>
      <c r="E232" s="42">
        <v>0</v>
      </c>
      <c r="F232" s="14"/>
      <c r="G232" s="14"/>
    </row>
    <row r="233" spans="1:7" ht="16.5" x14ac:dyDescent="0.3">
      <c r="A233" s="14"/>
      <c r="B233" s="86"/>
      <c r="C233" s="40" t="s">
        <v>184</v>
      </c>
      <c r="D233" s="41">
        <v>1</v>
      </c>
      <c r="E233" s="42">
        <v>0</v>
      </c>
      <c r="F233" s="14"/>
      <c r="G233" s="14"/>
    </row>
    <row r="234" spans="1:7" ht="16.5" x14ac:dyDescent="0.3">
      <c r="A234" s="14"/>
      <c r="B234" s="86"/>
      <c r="C234" s="43" t="s">
        <v>318</v>
      </c>
      <c r="D234" s="44">
        <v>24</v>
      </c>
      <c r="E234" s="45">
        <v>0.01</v>
      </c>
      <c r="F234" s="14"/>
      <c r="G234" s="14"/>
    </row>
    <row r="235" spans="1:7" ht="16.5" x14ac:dyDescent="0.3">
      <c r="A235" s="14"/>
      <c r="B235" s="86" t="s">
        <v>105</v>
      </c>
      <c r="C235" s="40" t="s">
        <v>141</v>
      </c>
      <c r="D235" s="41">
        <v>15</v>
      </c>
      <c r="E235" s="42">
        <v>6.0000000000000001E-3</v>
      </c>
      <c r="F235" s="14"/>
      <c r="G235" s="14"/>
    </row>
    <row r="236" spans="1:7" ht="16.5" x14ac:dyDescent="0.3">
      <c r="A236" s="14"/>
      <c r="B236" s="86"/>
      <c r="C236" s="40" t="s">
        <v>127</v>
      </c>
      <c r="D236" s="41">
        <v>3</v>
      </c>
      <c r="E236" s="42">
        <v>1E-3</v>
      </c>
      <c r="F236" s="14"/>
      <c r="G236" s="14"/>
    </row>
    <row r="237" spans="1:7" ht="16.5" x14ac:dyDescent="0.3">
      <c r="A237" s="14"/>
      <c r="B237" s="86"/>
      <c r="C237" s="40" t="s">
        <v>138</v>
      </c>
      <c r="D237" s="41">
        <v>1</v>
      </c>
      <c r="E237" s="42">
        <v>0</v>
      </c>
      <c r="F237" s="14"/>
      <c r="G237" s="14"/>
    </row>
    <row r="238" spans="1:7" ht="16.5" x14ac:dyDescent="0.3">
      <c r="A238" s="14"/>
      <c r="B238" s="86"/>
      <c r="C238" s="40" t="s">
        <v>147</v>
      </c>
      <c r="D238" s="41">
        <v>1</v>
      </c>
      <c r="E238" s="42">
        <v>0</v>
      </c>
      <c r="F238" s="14"/>
      <c r="G238" s="14"/>
    </row>
    <row r="239" spans="1:7" ht="16.5" x14ac:dyDescent="0.3">
      <c r="A239" s="14"/>
      <c r="B239" s="86"/>
      <c r="C239" s="40" t="s">
        <v>170</v>
      </c>
      <c r="D239" s="41">
        <v>1</v>
      </c>
      <c r="E239" s="42">
        <v>0</v>
      </c>
      <c r="F239" s="14"/>
      <c r="G239" s="14"/>
    </row>
    <row r="240" spans="1:7" ht="16.5" x14ac:dyDescent="0.3">
      <c r="A240" s="14"/>
      <c r="B240" s="86"/>
      <c r="C240" s="40" t="s">
        <v>275</v>
      </c>
      <c r="D240" s="41">
        <v>1</v>
      </c>
      <c r="E240" s="42">
        <v>0</v>
      </c>
      <c r="F240" s="14"/>
      <c r="G240" s="14"/>
    </row>
    <row r="241" spans="1:7" ht="16.5" x14ac:dyDescent="0.3">
      <c r="A241" s="14"/>
      <c r="B241" s="86"/>
      <c r="C241" s="40" t="s">
        <v>192</v>
      </c>
      <c r="D241" s="41">
        <v>1</v>
      </c>
      <c r="E241" s="42">
        <v>0</v>
      </c>
      <c r="F241" s="14"/>
      <c r="G241" s="14"/>
    </row>
    <row r="242" spans="1:7" ht="15" customHeight="1" x14ac:dyDescent="0.3">
      <c r="A242" s="14"/>
      <c r="B242" s="86"/>
      <c r="C242" s="43" t="s">
        <v>318</v>
      </c>
      <c r="D242" s="44">
        <v>23</v>
      </c>
      <c r="E242" s="45">
        <v>0.01</v>
      </c>
      <c r="F242" s="14"/>
      <c r="G242" s="14"/>
    </row>
    <row r="243" spans="1:7" ht="16.5" x14ac:dyDescent="0.3">
      <c r="A243" s="14"/>
      <c r="B243" s="86" t="s">
        <v>92</v>
      </c>
      <c r="C243" s="40" t="s">
        <v>127</v>
      </c>
      <c r="D243" s="41">
        <v>9</v>
      </c>
      <c r="E243" s="42">
        <v>4.0000000000000001E-3</v>
      </c>
      <c r="F243" s="14"/>
      <c r="G243" s="14"/>
    </row>
    <row r="244" spans="1:7" ht="16.5" x14ac:dyDescent="0.3">
      <c r="A244" s="14"/>
      <c r="B244" s="86"/>
      <c r="C244" s="40" t="s">
        <v>129</v>
      </c>
      <c r="D244" s="41">
        <v>3</v>
      </c>
      <c r="E244" s="42">
        <v>1E-3</v>
      </c>
      <c r="F244" s="14"/>
      <c r="G244" s="14"/>
    </row>
    <row r="245" spans="1:7" ht="16.5" x14ac:dyDescent="0.3">
      <c r="A245" s="14"/>
      <c r="B245" s="86"/>
      <c r="C245" s="40" t="s">
        <v>160</v>
      </c>
      <c r="D245" s="41">
        <v>2</v>
      </c>
      <c r="E245" s="42">
        <v>1E-3</v>
      </c>
      <c r="F245" s="14"/>
      <c r="G245" s="14"/>
    </row>
    <row r="246" spans="1:7" ht="16.5" x14ac:dyDescent="0.3">
      <c r="A246" s="14"/>
      <c r="B246" s="86"/>
      <c r="C246" s="40" t="s">
        <v>164</v>
      </c>
      <c r="D246" s="41">
        <v>2</v>
      </c>
      <c r="E246" s="42">
        <v>1E-3</v>
      </c>
      <c r="F246" s="14"/>
      <c r="G246" s="14"/>
    </row>
    <row r="247" spans="1:7" ht="16.5" x14ac:dyDescent="0.3">
      <c r="A247" s="14"/>
      <c r="B247" s="86"/>
      <c r="C247" s="40" t="s">
        <v>152</v>
      </c>
      <c r="D247" s="41">
        <v>1</v>
      </c>
      <c r="E247" s="42">
        <v>0</v>
      </c>
      <c r="F247" s="14"/>
      <c r="G247" s="14"/>
    </row>
    <row r="248" spans="1:7" ht="16.5" x14ac:dyDescent="0.3">
      <c r="A248" s="14"/>
      <c r="B248" s="86"/>
      <c r="C248" s="40" t="s">
        <v>191</v>
      </c>
      <c r="D248" s="41">
        <v>1</v>
      </c>
      <c r="E248" s="42">
        <v>0</v>
      </c>
      <c r="F248" s="14"/>
      <c r="G248" s="14"/>
    </row>
    <row r="249" spans="1:7" ht="16.5" x14ac:dyDescent="0.3">
      <c r="A249" s="14"/>
      <c r="B249" s="86"/>
      <c r="C249" s="40" t="s">
        <v>194</v>
      </c>
      <c r="D249" s="41">
        <v>1</v>
      </c>
      <c r="E249" s="42">
        <v>0</v>
      </c>
      <c r="F249" s="14"/>
      <c r="G249" s="14"/>
    </row>
    <row r="250" spans="1:7" ht="16.5" x14ac:dyDescent="0.3">
      <c r="A250" s="14"/>
      <c r="B250" s="86"/>
      <c r="C250" s="40" t="s">
        <v>195</v>
      </c>
      <c r="D250" s="41">
        <v>1</v>
      </c>
      <c r="E250" s="42">
        <v>0</v>
      </c>
      <c r="F250" s="14"/>
      <c r="G250" s="14"/>
    </row>
    <row r="251" spans="1:7" ht="16.5" x14ac:dyDescent="0.3">
      <c r="A251" s="14"/>
      <c r="B251" s="86"/>
      <c r="C251" s="43" t="s">
        <v>318</v>
      </c>
      <c r="D251" s="44">
        <v>20</v>
      </c>
      <c r="E251" s="45">
        <v>8.0000000000000002E-3</v>
      </c>
      <c r="F251" s="14"/>
      <c r="G251" s="14"/>
    </row>
    <row r="252" spans="1:7" ht="16.5" x14ac:dyDescent="0.3">
      <c r="A252" s="14"/>
      <c r="B252" s="86" t="s">
        <v>113</v>
      </c>
      <c r="C252" s="40" t="s">
        <v>141</v>
      </c>
      <c r="D252" s="41">
        <v>5</v>
      </c>
      <c r="E252" s="42">
        <v>2E-3</v>
      </c>
      <c r="F252" s="14"/>
      <c r="G252" s="14"/>
    </row>
    <row r="253" spans="1:7" ht="16.5" x14ac:dyDescent="0.3">
      <c r="A253" s="14"/>
      <c r="B253" s="86"/>
      <c r="C253" s="40" t="s">
        <v>127</v>
      </c>
      <c r="D253" s="41">
        <v>4</v>
      </c>
      <c r="E253" s="42">
        <v>2E-3</v>
      </c>
      <c r="F253" s="14"/>
      <c r="G253" s="14"/>
    </row>
    <row r="254" spans="1:7" ht="16.5" x14ac:dyDescent="0.3">
      <c r="A254" s="14"/>
      <c r="B254" s="86"/>
      <c r="C254" s="40" t="s">
        <v>134</v>
      </c>
      <c r="D254" s="41">
        <v>2</v>
      </c>
      <c r="E254" s="42">
        <v>1E-3</v>
      </c>
      <c r="F254" s="14"/>
      <c r="G254" s="14"/>
    </row>
    <row r="255" spans="1:7" ht="16.5" x14ac:dyDescent="0.3">
      <c r="A255" s="14"/>
      <c r="B255" s="86"/>
      <c r="C255" s="40" t="s">
        <v>138</v>
      </c>
      <c r="D255" s="41">
        <v>1</v>
      </c>
      <c r="E255" s="42">
        <v>0</v>
      </c>
      <c r="F255" s="14"/>
      <c r="G255" s="14"/>
    </row>
    <row r="256" spans="1:7" ht="16.5" x14ac:dyDescent="0.3">
      <c r="A256" s="14"/>
      <c r="B256" s="86"/>
      <c r="C256" s="40" t="s">
        <v>179</v>
      </c>
      <c r="D256" s="41">
        <v>1</v>
      </c>
      <c r="E256" s="42">
        <v>0</v>
      </c>
      <c r="F256" s="14"/>
      <c r="G256" s="14"/>
    </row>
    <row r="257" spans="1:7" ht="16.5" x14ac:dyDescent="0.3">
      <c r="A257" s="14"/>
      <c r="B257" s="86"/>
      <c r="C257" s="40" t="s">
        <v>181</v>
      </c>
      <c r="D257" s="41">
        <v>1</v>
      </c>
      <c r="E257" s="42">
        <v>0</v>
      </c>
      <c r="F257" s="14"/>
      <c r="G257" s="14"/>
    </row>
    <row r="258" spans="1:7" ht="16.5" x14ac:dyDescent="0.3">
      <c r="A258" s="14"/>
      <c r="B258" s="86"/>
      <c r="C258" s="40" t="s">
        <v>129</v>
      </c>
      <c r="D258" s="41">
        <v>1</v>
      </c>
      <c r="E258" s="42">
        <v>0</v>
      </c>
      <c r="F258" s="14"/>
      <c r="G258" s="14"/>
    </row>
    <row r="259" spans="1:7" ht="16.5" x14ac:dyDescent="0.3">
      <c r="A259" s="14"/>
      <c r="B259" s="86"/>
      <c r="C259" s="40" t="s">
        <v>136</v>
      </c>
      <c r="D259" s="41">
        <v>1</v>
      </c>
      <c r="E259" s="42">
        <v>0</v>
      </c>
      <c r="F259" s="14"/>
      <c r="G259" s="14"/>
    </row>
    <row r="260" spans="1:7" ht="16.5" x14ac:dyDescent="0.3">
      <c r="A260" s="14"/>
      <c r="B260" s="86"/>
      <c r="C260" s="43" t="s">
        <v>318</v>
      </c>
      <c r="D260" s="44">
        <v>16</v>
      </c>
      <c r="E260" s="45">
        <v>7.0000000000000001E-3</v>
      </c>
      <c r="F260" s="14"/>
      <c r="G260" s="14"/>
    </row>
    <row r="261" spans="1:7" ht="16.5" x14ac:dyDescent="0.3">
      <c r="A261" s="14"/>
      <c r="B261" s="86" t="s">
        <v>111</v>
      </c>
      <c r="C261" s="40" t="s">
        <v>127</v>
      </c>
      <c r="D261" s="41">
        <v>7</v>
      </c>
      <c r="E261" s="42">
        <v>3.0000000000000001E-3</v>
      </c>
      <c r="F261" s="14"/>
      <c r="G261" s="14"/>
    </row>
    <row r="262" spans="1:7" ht="16.5" x14ac:dyDescent="0.3">
      <c r="A262" s="14"/>
      <c r="B262" s="86"/>
      <c r="C262" s="40" t="s">
        <v>173</v>
      </c>
      <c r="D262" s="41">
        <v>2</v>
      </c>
      <c r="E262" s="42">
        <v>1E-3</v>
      </c>
      <c r="F262" s="14"/>
      <c r="G262" s="14"/>
    </row>
    <row r="263" spans="1:7" ht="16.5" x14ac:dyDescent="0.3">
      <c r="A263" s="14"/>
      <c r="B263" s="86"/>
      <c r="C263" s="40" t="s">
        <v>150</v>
      </c>
      <c r="D263" s="41">
        <v>1</v>
      </c>
      <c r="E263" s="42">
        <v>0</v>
      </c>
      <c r="F263" s="14"/>
      <c r="G263" s="14"/>
    </row>
    <row r="264" spans="1:7" ht="16.5" x14ac:dyDescent="0.3">
      <c r="A264" s="14"/>
      <c r="B264" s="86"/>
      <c r="C264" s="40" t="s">
        <v>164</v>
      </c>
      <c r="D264" s="41">
        <v>1</v>
      </c>
      <c r="E264" s="42">
        <v>0</v>
      </c>
      <c r="F264" s="14"/>
      <c r="G264" s="14"/>
    </row>
    <row r="265" spans="1:7" ht="16.5" x14ac:dyDescent="0.3">
      <c r="A265" s="14"/>
      <c r="B265" s="86"/>
      <c r="C265" s="40" t="s">
        <v>126</v>
      </c>
      <c r="D265" s="41">
        <v>1</v>
      </c>
      <c r="E265" s="42">
        <v>0</v>
      </c>
      <c r="F265" s="14"/>
      <c r="G265" s="14"/>
    </row>
    <row r="266" spans="1:7" ht="16.5" x14ac:dyDescent="0.3">
      <c r="A266" s="14"/>
      <c r="B266" s="86"/>
      <c r="C266" s="40" t="s">
        <v>176</v>
      </c>
      <c r="D266" s="41">
        <v>1</v>
      </c>
      <c r="E266" s="42">
        <v>0</v>
      </c>
      <c r="F266" s="14"/>
      <c r="G266" s="14"/>
    </row>
    <row r="267" spans="1:7" ht="16.5" x14ac:dyDescent="0.3">
      <c r="A267" s="14"/>
      <c r="B267" s="86"/>
      <c r="C267" s="40" t="s">
        <v>130</v>
      </c>
      <c r="D267" s="41">
        <v>1</v>
      </c>
      <c r="E267" s="42">
        <v>0</v>
      </c>
      <c r="F267" s="14"/>
      <c r="G267" s="14"/>
    </row>
    <row r="268" spans="1:7" ht="16.5" x14ac:dyDescent="0.3">
      <c r="A268" s="14"/>
      <c r="B268" s="86"/>
      <c r="C268" s="40" t="s">
        <v>194</v>
      </c>
      <c r="D268" s="41">
        <v>1</v>
      </c>
      <c r="E268" s="42">
        <v>0</v>
      </c>
      <c r="F268" s="14"/>
      <c r="G268" s="14"/>
    </row>
    <row r="269" spans="1:7" ht="16.5" customHeight="1" x14ac:dyDescent="0.3">
      <c r="A269" s="14"/>
      <c r="B269" s="86"/>
      <c r="C269" s="43" t="s">
        <v>318</v>
      </c>
      <c r="D269" s="44">
        <v>15</v>
      </c>
      <c r="E269" s="45">
        <v>6.0000000000000001E-3</v>
      </c>
      <c r="F269" s="14"/>
      <c r="G269" s="14"/>
    </row>
    <row r="270" spans="1:7" ht="16.5" x14ac:dyDescent="0.3">
      <c r="A270" s="14"/>
      <c r="B270" s="86" t="s">
        <v>117</v>
      </c>
      <c r="C270" s="40" t="s">
        <v>127</v>
      </c>
      <c r="D270" s="41">
        <v>2</v>
      </c>
      <c r="E270" s="42">
        <v>1E-3</v>
      </c>
      <c r="F270" s="14"/>
      <c r="G270" s="14"/>
    </row>
    <row r="271" spans="1:7" ht="16.5" x14ac:dyDescent="0.3">
      <c r="A271" s="14"/>
      <c r="B271" s="86"/>
      <c r="C271" s="40" t="s">
        <v>173</v>
      </c>
      <c r="D271" s="41">
        <v>2</v>
      </c>
      <c r="E271" s="42">
        <v>1E-3</v>
      </c>
      <c r="F271" s="14"/>
      <c r="G271" s="14"/>
    </row>
    <row r="272" spans="1:7" ht="16.5" x14ac:dyDescent="0.3">
      <c r="A272" s="14"/>
      <c r="B272" s="86"/>
      <c r="C272" s="40" t="s">
        <v>129</v>
      </c>
      <c r="D272" s="41">
        <v>2</v>
      </c>
      <c r="E272" s="42">
        <v>1E-3</v>
      </c>
      <c r="F272" s="14"/>
      <c r="G272" s="14"/>
    </row>
    <row r="273" spans="1:7" ht="16.5" x14ac:dyDescent="0.3">
      <c r="A273" s="14"/>
      <c r="B273" s="86"/>
      <c r="C273" s="40" t="s">
        <v>143</v>
      </c>
      <c r="D273" s="41">
        <v>1</v>
      </c>
      <c r="E273" s="42">
        <v>0</v>
      </c>
      <c r="F273" s="14"/>
      <c r="G273" s="14"/>
    </row>
    <row r="274" spans="1:7" ht="16.5" x14ac:dyDescent="0.3">
      <c r="A274" s="14"/>
      <c r="B274" s="86"/>
      <c r="C274" s="40" t="s">
        <v>132</v>
      </c>
      <c r="D274" s="41">
        <v>1</v>
      </c>
      <c r="E274" s="42">
        <v>0</v>
      </c>
      <c r="F274" s="14"/>
      <c r="G274" s="14"/>
    </row>
    <row r="275" spans="1:7" ht="16.5" x14ac:dyDescent="0.3">
      <c r="A275" s="14"/>
      <c r="B275" s="86"/>
      <c r="C275" s="40" t="s">
        <v>274</v>
      </c>
      <c r="D275" s="41">
        <v>1</v>
      </c>
      <c r="E275" s="42">
        <v>0</v>
      </c>
      <c r="F275" s="14"/>
      <c r="G275" s="14"/>
    </row>
    <row r="276" spans="1:7" ht="16.5" x14ac:dyDescent="0.3">
      <c r="A276" s="14"/>
      <c r="B276" s="86"/>
      <c r="C276" s="40" t="s">
        <v>186</v>
      </c>
      <c r="D276" s="41">
        <v>1</v>
      </c>
      <c r="E276" s="42">
        <v>0</v>
      </c>
      <c r="F276" s="14"/>
      <c r="G276" s="14"/>
    </row>
    <row r="277" spans="1:7" ht="16.5" x14ac:dyDescent="0.3">
      <c r="A277" s="14"/>
      <c r="B277" s="86"/>
      <c r="C277" s="40" t="s">
        <v>194</v>
      </c>
      <c r="D277" s="41">
        <v>1</v>
      </c>
      <c r="E277" s="42">
        <v>0</v>
      </c>
      <c r="F277" s="14"/>
      <c r="G277" s="14"/>
    </row>
    <row r="278" spans="1:7" ht="16.5" x14ac:dyDescent="0.3">
      <c r="A278" s="14"/>
      <c r="B278" s="86"/>
      <c r="C278" s="43" t="s">
        <v>318</v>
      </c>
      <c r="D278" s="44">
        <v>11</v>
      </c>
      <c r="E278" s="45">
        <v>5.0000000000000001E-3</v>
      </c>
      <c r="F278" s="14"/>
      <c r="G278" s="14"/>
    </row>
    <row r="279" spans="1:7" ht="16.5" x14ac:dyDescent="0.3">
      <c r="A279" s="14"/>
      <c r="B279" s="86" t="s">
        <v>95</v>
      </c>
      <c r="C279" s="40" t="s">
        <v>127</v>
      </c>
      <c r="D279" s="41">
        <v>3</v>
      </c>
      <c r="E279" s="42">
        <v>1E-3</v>
      </c>
      <c r="F279" s="14"/>
      <c r="G279" s="14"/>
    </row>
    <row r="280" spans="1:7" ht="16.5" x14ac:dyDescent="0.3">
      <c r="A280" s="14"/>
      <c r="B280" s="86"/>
      <c r="C280" s="40" t="s">
        <v>191</v>
      </c>
      <c r="D280" s="41">
        <v>3</v>
      </c>
      <c r="E280" s="42">
        <v>1E-3</v>
      </c>
      <c r="F280" s="14"/>
      <c r="G280" s="14"/>
    </row>
    <row r="281" spans="1:7" ht="16.5" x14ac:dyDescent="0.3">
      <c r="A281" s="14"/>
      <c r="B281" s="86"/>
      <c r="C281" s="40" t="s">
        <v>194</v>
      </c>
      <c r="D281" s="41">
        <v>2</v>
      </c>
      <c r="E281" s="42">
        <v>1E-3</v>
      </c>
      <c r="F281" s="14"/>
      <c r="G281" s="14"/>
    </row>
    <row r="282" spans="1:7" ht="16.5" x14ac:dyDescent="0.3">
      <c r="A282" s="14"/>
      <c r="B282" s="86"/>
      <c r="C282" s="40" t="s">
        <v>164</v>
      </c>
      <c r="D282" s="41">
        <v>1</v>
      </c>
      <c r="E282" s="42">
        <v>0</v>
      </c>
      <c r="F282" s="14"/>
      <c r="G282" s="14"/>
    </row>
    <row r="283" spans="1:7" ht="16.5" x14ac:dyDescent="0.3">
      <c r="A283" s="14"/>
      <c r="B283" s="86"/>
      <c r="C283" s="40" t="s">
        <v>171</v>
      </c>
      <c r="D283" s="41">
        <v>1</v>
      </c>
      <c r="E283" s="42">
        <v>0</v>
      </c>
      <c r="F283" s="14"/>
      <c r="G283" s="14"/>
    </row>
    <row r="284" spans="1:7" ht="16.5" x14ac:dyDescent="0.3">
      <c r="A284" s="14"/>
      <c r="B284" s="86"/>
      <c r="C284" s="43" t="s">
        <v>318</v>
      </c>
      <c r="D284" s="44">
        <v>10</v>
      </c>
      <c r="E284" s="45">
        <v>4.0000000000000001E-3</v>
      </c>
      <c r="F284" s="14"/>
      <c r="G284" s="14"/>
    </row>
    <row r="285" spans="1:7" ht="16.5" x14ac:dyDescent="0.3">
      <c r="A285" s="14"/>
      <c r="B285" s="86" t="s">
        <v>96</v>
      </c>
      <c r="C285" s="40" t="s">
        <v>127</v>
      </c>
      <c r="D285" s="41">
        <v>3</v>
      </c>
      <c r="E285" s="42">
        <v>1E-3</v>
      </c>
      <c r="F285" s="14"/>
      <c r="G285" s="14"/>
    </row>
    <row r="286" spans="1:7" ht="16.5" x14ac:dyDescent="0.3">
      <c r="A286" s="14"/>
      <c r="B286" s="86"/>
      <c r="C286" s="40" t="s">
        <v>141</v>
      </c>
      <c r="D286" s="41">
        <v>2</v>
      </c>
      <c r="E286" s="42">
        <v>1E-3</v>
      </c>
      <c r="F286" s="14"/>
      <c r="G286" s="14"/>
    </row>
    <row r="287" spans="1:7" ht="16.5" x14ac:dyDescent="0.3">
      <c r="A287" s="14"/>
      <c r="B287" s="86"/>
      <c r="C287" s="40" t="s">
        <v>170</v>
      </c>
      <c r="D287" s="41">
        <v>1</v>
      </c>
      <c r="E287" s="42">
        <v>0</v>
      </c>
      <c r="F287" s="14"/>
      <c r="G287" s="14"/>
    </row>
    <row r="288" spans="1:7" ht="16.5" x14ac:dyDescent="0.3">
      <c r="A288" s="14"/>
      <c r="B288" s="86"/>
      <c r="C288" s="40" t="s">
        <v>191</v>
      </c>
      <c r="D288" s="41">
        <v>1</v>
      </c>
      <c r="E288" s="42">
        <v>0</v>
      </c>
      <c r="F288" s="14"/>
      <c r="G288" s="14"/>
    </row>
    <row r="289" spans="1:7" ht="16.5" x14ac:dyDescent="0.3">
      <c r="A289" s="14"/>
      <c r="B289" s="86"/>
      <c r="C289" s="43" t="s">
        <v>318</v>
      </c>
      <c r="D289" s="44">
        <v>7</v>
      </c>
      <c r="E289" s="45">
        <v>3.0000000000000001E-3</v>
      </c>
      <c r="F289" s="14"/>
      <c r="G289" s="14"/>
    </row>
    <row r="290" spans="1:7" ht="16.5" x14ac:dyDescent="0.3">
      <c r="A290" s="14"/>
      <c r="B290" s="86" t="s">
        <v>97</v>
      </c>
      <c r="C290" s="40" t="s">
        <v>127</v>
      </c>
      <c r="D290" s="41">
        <v>5</v>
      </c>
      <c r="E290" s="42">
        <v>2E-3</v>
      </c>
      <c r="F290" s="14"/>
      <c r="G290" s="14"/>
    </row>
    <row r="291" spans="1:7" ht="16.5" x14ac:dyDescent="0.3">
      <c r="A291" s="14"/>
      <c r="B291" s="86"/>
      <c r="C291" s="40" t="s">
        <v>156</v>
      </c>
      <c r="D291" s="41">
        <v>1</v>
      </c>
      <c r="E291" s="42">
        <v>0</v>
      </c>
      <c r="F291" s="14"/>
      <c r="G291" s="14"/>
    </row>
    <row r="292" spans="1:7" ht="16.5" x14ac:dyDescent="0.3">
      <c r="A292" s="14"/>
      <c r="B292" s="86"/>
      <c r="C292" s="40" t="s">
        <v>132</v>
      </c>
      <c r="D292" s="41">
        <v>1</v>
      </c>
      <c r="E292" s="42">
        <v>0</v>
      </c>
      <c r="F292" s="14"/>
      <c r="G292" s="14"/>
    </row>
    <row r="293" spans="1:7" ht="16.5" x14ac:dyDescent="0.3">
      <c r="A293" s="14"/>
      <c r="B293" s="86"/>
      <c r="C293" s="43" t="s">
        <v>318</v>
      </c>
      <c r="D293" s="44">
        <v>7</v>
      </c>
      <c r="E293" s="45">
        <v>3.0000000000000001E-3</v>
      </c>
      <c r="F293" s="14"/>
      <c r="G293" s="14"/>
    </row>
    <row r="294" spans="1:7" ht="16.5" x14ac:dyDescent="0.3">
      <c r="A294" s="14"/>
      <c r="B294" s="86" t="s">
        <v>103</v>
      </c>
      <c r="C294" s="40" t="s">
        <v>127</v>
      </c>
      <c r="D294" s="41">
        <v>5</v>
      </c>
      <c r="E294" s="42">
        <v>2E-3</v>
      </c>
      <c r="F294" s="14"/>
      <c r="G294" s="14"/>
    </row>
    <row r="295" spans="1:7" ht="16.5" x14ac:dyDescent="0.3">
      <c r="A295" s="14"/>
      <c r="B295" s="86"/>
      <c r="C295" s="40" t="s">
        <v>141</v>
      </c>
      <c r="D295" s="41">
        <v>1</v>
      </c>
      <c r="E295" s="42">
        <v>0</v>
      </c>
      <c r="F295" s="14"/>
      <c r="G295" s="14"/>
    </row>
    <row r="296" spans="1:7" ht="16.5" x14ac:dyDescent="0.3">
      <c r="A296" s="14"/>
      <c r="B296" s="86"/>
      <c r="C296" s="40" t="s">
        <v>145</v>
      </c>
      <c r="D296" s="41">
        <v>1</v>
      </c>
      <c r="E296" s="42">
        <v>0</v>
      </c>
      <c r="F296" s="14"/>
      <c r="G296" s="14"/>
    </row>
    <row r="297" spans="1:7" ht="16.5" x14ac:dyDescent="0.3">
      <c r="A297" s="14"/>
      <c r="B297" s="86"/>
      <c r="C297" s="43" t="s">
        <v>318</v>
      </c>
      <c r="D297" s="44">
        <v>7</v>
      </c>
      <c r="E297" s="45">
        <v>3.0000000000000001E-3</v>
      </c>
      <c r="F297" s="14"/>
      <c r="G297" s="14"/>
    </row>
    <row r="298" spans="1:7" ht="16.5" x14ac:dyDescent="0.3">
      <c r="A298" s="14"/>
      <c r="B298" s="86" t="s">
        <v>85</v>
      </c>
      <c r="C298" s="40" t="s">
        <v>127</v>
      </c>
      <c r="D298" s="41">
        <v>2</v>
      </c>
      <c r="E298" s="42">
        <v>1E-3</v>
      </c>
      <c r="F298" s="14"/>
      <c r="G298" s="14"/>
    </row>
    <row r="299" spans="1:7" ht="16.5" x14ac:dyDescent="0.3">
      <c r="A299" s="14"/>
      <c r="B299" s="86"/>
      <c r="C299" s="40" t="s">
        <v>129</v>
      </c>
      <c r="D299" s="41">
        <v>2</v>
      </c>
      <c r="E299" s="42">
        <v>1E-3</v>
      </c>
      <c r="F299" s="14"/>
      <c r="G299" s="14"/>
    </row>
    <row r="300" spans="1:7" ht="16.5" x14ac:dyDescent="0.3">
      <c r="A300" s="14"/>
      <c r="B300" s="86"/>
      <c r="C300" s="40" t="s">
        <v>181</v>
      </c>
      <c r="D300" s="41">
        <v>1</v>
      </c>
      <c r="E300" s="42">
        <v>0</v>
      </c>
      <c r="F300" s="14"/>
      <c r="G300" s="14"/>
    </row>
    <row r="301" spans="1:7" ht="16.5" x14ac:dyDescent="0.3">
      <c r="A301" s="14"/>
      <c r="B301" s="86"/>
      <c r="C301" s="40" t="s">
        <v>191</v>
      </c>
      <c r="D301" s="41">
        <v>1</v>
      </c>
      <c r="E301" s="42">
        <v>0</v>
      </c>
      <c r="F301" s="14"/>
      <c r="G301" s="14"/>
    </row>
    <row r="302" spans="1:7" ht="16.5" x14ac:dyDescent="0.3">
      <c r="A302" s="14"/>
      <c r="B302" s="86"/>
      <c r="C302" s="43" t="s">
        <v>318</v>
      </c>
      <c r="D302" s="44">
        <v>6</v>
      </c>
      <c r="E302" s="45">
        <v>2E-3</v>
      </c>
      <c r="F302" s="14"/>
      <c r="G302" s="14"/>
    </row>
    <row r="303" spans="1:7" ht="16.5" x14ac:dyDescent="0.3">
      <c r="A303" s="14"/>
      <c r="B303" s="86" t="s">
        <v>86</v>
      </c>
      <c r="C303" s="40" t="s">
        <v>127</v>
      </c>
      <c r="D303" s="41">
        <v>3</v>
      </c>
      <c r="E303" s="42">
        <v>1E-3</v>
      </c>
      <c r="F303" s="14"/>
      <c r="G303" s="14"/>
    </row>
    <row r="304" spans="1:7" ht="16.5" x14ac:dyDescent="0.3">
      <c r="A304" s="14"/>
      <c r="B304" s="86"/>
      <c r="C304" s="40" t="s">
        <v>134</v>
      </c>
      <c r="D304" s="41">
        <v>1</v>
      </c>
      <c r="E304" s="42">
        <v>0</v>
      </c>
      <c r="F304" s="14"/>
      <c r="G304" s="14"/>
    </row>
    <row r="305" spans="1:7" ht="16.5" x14ac:dyDescent="0.3">
      <c r="A305" s="14"/>
      <c r="B305" s="86"/>
      <c r="C305" s="40" t="s">
        <v>173</v>
      </c>
      <c r="D305" s="41">
        <v>1</v>
      </c>
      <c r="E305" s="42">
        <v>0</v>
      </c>
      <c r="F305" s="14"/>
      <c r="G305" s="14"/>
    </row>
    <row r="306" spans="1:7" ht="16.5" x14ac:dyDescent="0.3">
      <c r="A306" s="14"/>
      <c r="B306" s="86"/>
      <c r="C306" s="40" t="s">
        <v>190</v>
      </c>
      <c r="D306" s="41">
        <v>1</v>
      </c>
      <c r="E306" s="42">
        <v>0</v>
      </c>
      <c r="F306" s="14"/>
      <c r="G306" s="14"/>
    </row>
    <row r="307" spans="1:7" ht="16.5" x14ac:dyDescent="0.3">
      <c r="A307" s="14"/>
      <c r="B307" s="86"/>
      <c r="C307" s="43" t="s">
        <v>318</v>
      </c>
      <c r="D307" s="44">
        <v>6</v>
      </c>
      <c r="E307" s="45">
        <v>2E-3</v>
      </c>
      <c r="F307" s="14"/>
      <c r="G307" s="14"/>
    </row>
    <row r="308" spans="1:7" ht="16.5" x14ac:dyDescent="0.3">
      <c r="A308" s="14"/>
      <c r="B308" s="86" t="s">
        <v>116</v>
      </c>
      <c r="C308" s="40" t="s">
        <v>127</v>
      </c>
      <c r="D308" s="41">
        <v>4</v>
      </c>
      <c r="E308" s="42">
        <v>2E-3</v>
      </c>
      <c r="F308" s="14"/>
      <c r="G308" s="14"/>
    </row>
    <row r="309" spans="1:7" ht="16.5" x14ac:dyDescent="0.3">
      <c r="A309" s="14"/>
      <c r="B309" s="86"/>
      <c r="C309" s="40" t="s">
        <v>163</v>
      </c>
      <c r="D309" s="41">
        <v>2</v>
      </c>
      <c r="E309" s="42">
        <v>1E-3</v>
      </c>
      <c r="F309" s="14"/>
      <c r="G309" s="14"/>
    </row>
    <row r="310" spans="1:7" ht="16.5" customHeight="1" x14ac:dyDescent="0.3">
      <c r="A310" s="14"/>
      <c r="B310" s="86"/>
      <c r="C310" s="43" t="s">
        <v>318</v>
      </c>
      <c r="D310" s="44">
        <v>6</v>
      </c>
      <c r="E310" s="45">
        <v>2E-3</v>
      </c>
      <c r="F310" s="14"/>
      <c r="G310" s="14"/>
    </row>
    <row r="311" spans="1:7" ht="16.5" x14ac:dyDescent="0.3">
      <c r="A311" s="14"/>
      <c r="B311" s="86" t="s">
        <v>98</v>
      </c>
      <c r="C311" s="40" t="s">
        <v>265</v>
      </c>
      <c r="D311" s="41">
        <v>1</v>
      </c>
      <c r="E311" s="42">
        <v>0</v>
      </c>
      <c r="F311" s="14"/>
      <c r="G311" s="14"/>
    </row>
    <row r="312" spans="1:7" ht="16.5" x14ac:dyDescent="0.3">
      <c r="A312" s="14"/>
      <c r="B312" s="86"/>
      <c r="C312" s="40" t="s">
        <v>127</v>
      </c>
      <c r="D312" s="41">
        <v>1</v>
      </c>
      <c r="E312" s="42">
        <v>0</v>
      </c>
      <c r="F312" s="14"/>
      <c r="G312" s="14"/>
    </row>
    <row r="313" spans="1:7" ht="16.5" x14ac:dyDescent="0.3">
      <c r="A313" s="14"/>
      <c r="B313" s="86"/>
      <c r="C313" s="40" t="s">
        <v>134</v>
      </c>
      <c r="D313" s="41">
        <v>1</v>
      </c>
      <c r="E313" s="42">
        <v>0</v>
      </c>
      <c r="F313" s="14"/>
      <c r="G313" s="14"/>
    </row>
    <row r="314" spans="1:7" ht="16.5" x14ac:dyDescent="0.3">
      <c r="A314" s="14"/>
      <c r="B314" s="86"/>
      <c r="C314" s="40" t="s">
        <v>176</v>
      </c>
      <c r="D314" s="41">
        <v>1</v>
      </c>
      <c r="E314" s="42">
        <v>0</v>
      </c>
      <c r="F314" s="14"/>
      <c r="G314" s="14"/>
    </row>
    <row r="315" spans="1:7" ht="16.5" x14ac:dyDescent="0.3">
      <c r="A315" s="14"/>
      <c r="B315" s="86"/>
      <c r="C315" s="40" t="s">
        <v>190</v>
      </c>
      <c r="D315" s="41">
        <v>1</v>
      </c>
      <c r="E315" s="42">
        <v>0</v>
      </c>
      <c r="F315" s="14"/>
      <c r="G315" s="14"/>
    </row>
    <row r="316" spans="1:7" ht="16.5" x14ac:dyDescent="0.3">
      <c r="A316" s="14"/>
      <c r="B316" s="86"/>
      <c r="C316" s="43" t="s">
        <v>318</v>
      </c>
      <c r="D316" s="44">
        <v>5</v>
      </c>
      <c r="E316" s="45">
        <v>2E-3</v>
      </c>
      <c r="F316" s="14"/>
      <c r="G316" s="14"/>
    </row>
    <row r="317" spans="1:7" ht="16.5" x14ac:dyDescent="0.3">
      <c r="A317" s="14"/>
      <c r="B317" s="86" t="s">
        <v>104</v>
      </c>
      <c r="C317" s="40" t="s">
        <v>192</v>
      </c>
      <c r="D317" s="41">
        <v>2</v>
      </c>
      <c r="E317" s="42">
        <v>1E-3</v>
      </c>
      <c r="F317" s="14"/>
      <c r="G317" s="14"/>
    </row>
    <row r="318" spans="1:7" ht="16.5" x14ac:dyDescent="0.3">
      <c r="A318" s="14"/>
      <c r="B318" s="86"/>
      <c r="C318" s="40" t="s">
        <v>129</v>
      </c>
      <c r="D318" s="41">
        <v>1</v>
      </c>
      <c r="E318" s="42">
        <v>0</v>
      </c>
      <c r="F318" s="14"/>
      <c r="G318" s="14"/>
    </row>
    <row r="319" spans="1:7" ht="16.5" x14ac:dyDescent="0.3">
      <c r="A319" s="14"/>
      <c r="B319" s="86"/>
      <c r="C319" s="40" t="s">
        <v>194</v>
      </c>
      <c r="D319" s="41">
        <v>1</v>
      </c>
      <c r="E319" s="42">
        <v>0</v>
      </c>
      <c r="F319" s="14"/>
      <c r="G319" s="14"/>
    </row>
    <row r="320" spans="1:7" ht="16.5" x14ac:dyDescent="0.3">
      <c r="A320" s="14"/>
      <c r="B320" s="86"/>
      <c r="C320" s="40" t="s">
        <v>202</v>
      </c>
      <c r="D320" s="41">
        <v>1</v>
      </c>
      <c r="E320" s="42">
        <v>0</v>
      </c>
      <c r="F320" s="14"/>
      <c r="G320" s="14"/>
    </row>
    <row r="321" spans="1:7" ht="16.5" x14ac:dyDescent="0.3">
      <c r="A321" s="14"/>
      <c r="B321" s="86"/>
      <c r="C321" s="43" t="s">
        <v>318</v>
      </c>
      <c r="D321" s="44">
        <v>5</v>
      </c>
      <c r="E321" s="45">
        <v>2E-3</v>
      </c>
      <c r="F321" s="14"/>
      <c r="G321" s="14"/>
    </row>
    <row r="322" spans="1:7" ht="16.5" x14ac:dyDescent="0.3">
      <c r="A322" s="14"/>
      <c r="B322" s="86" t="s">
        <v>108</v>
      </c>
      <c r="C322" s="40" t="s">
        <v>265</v>
      </c>
      <c r="D322" s="41">
        <v>1</v>
      </c>
      <c r="E322" s="42">
        <v>0</v>
      </c>
      <c r="F322" s="14"/>
      <c r="G322" s="14"/>
    </row>
    <row r="323" spans="1:7" ht="16.5" x14ac:dyDescent="0.3">
      <c r="A323" s="14"/>
      <c r="B323" s="86"/>
      <c r="C323" s="40" t="s">
        <v>127</v>
      </c>
      <c r="D323" s="41">
        <v>1</v>
      </c>
      <c r="E323" s="42">
        <v>0</v>
      </c>
      <c r="F323" s="14"/>
      <c r="G323" s="14"/>
    </row>
    <row r="324" spans="1:7" ht="16.5" x14ac:dyDescent="0.3">
      <c r="A324" s="14"/>
      <c r="B324" s="86"/>
      <c r="C324" s="40" t="s">
        <v>173</v>
      </c>
      <c r="D324" s="41">
        <v>1</v>
      </c>
      <c r="E324" s="42">
        <v>0</v>
      </c>
      <c r="F324" s="14"/>
      <c r="G324" s="14"/>
    </row>
    <row r="325" spans="1:7" ht="16.5" x14ac:dyDescent="0.3">
      <c r="A325" s="14"/>
      <c r="B325" s="86"/>
      <c r="C325" s="40" t="s">
        <v>180</v>
      </c>
      <c r="D325" s="41">
        <v>1</v>
      </c>
      <c r="E325" s="42">
        <v>0</v>
      </c>
      <c r="F325" s="14"/>
      <c r="G325" s="14"/>
    </row>
    <row r="326" spans="1:7" ht="16.5" x14ac:dyDescent="0.3">
      <c r="A326" s="14"/>
      <c r="B326" s="86"/>
      <c r="C326" s="40" t="s">
        <v>191</v>
      </c>
      <c r="D326" s="41">
        <v>1</v>
      </c>
      <c r="E326" s="42">
        <v>0</v>
      </c>
      <c r="F326" s="14"/>
      <c r="G326" s="14"/>
    </row>
    <row r="327" spans="1:7" ht="16.5" x14ac:dyDescent="0.3">
      <c r="A327" s="14"/>
      <c r="B327" s="86"/>
      <c r="C327" s="43" t="s">
        <v>318</v>
      </c>
      <c r="D327" s="44">
        <v>5</v>
      </c>
      <c r="E327" s="45">
        <v>2E-3</v>
      </c>
      <c r="F327" s="14"/>
      <c r="G327" s="14"/>
    </row>
    <row r="328" spans="1:7" ht="16.5" x14ac:dyDescent="0.3">
      <c r="A328" s="14"/>
      <c r="B328" s="86" t="s">
        <v>110</v>
      </c>
      <c r="C328" s="40" t="s">
        <v>164</v>
      </c>
      <c r="D328" s="41">
        <v>2</v>
      </c>
      <c r="E328" s="42">
        <v>1E-3</v>
      </c>
      <c r="F328" s="14"/>
      <c r="G328" s="14"/>
    </row>
    <row r="329" spans="1:7" ht="16.5" x14ac:dyDescent="0.3">
      <c r="A329" s="14"/>
      <c r="B329" s="86"/>
      <c r="C329" s="40" t="s">
        <v>180</v>
      </c>
      <c r="D329" s="41">
        <v>1</v>
      </c>
      <c r="E329" s="42">
        <v>0</v>
      </c>
      <c r="F329" s="14"/>
      <c r="G329" s="14"/>
    </row>
    <row r="330" spans="1:7" ht="16.5" x14ac:dyDescent="0.3">
      <c r="A330" s="14"/>
      <c r="B330" s="86"/>
      <c r="C330" s="40" t="s">
        <v>136</v>
      </c>
      <c r="D330" s="41">
        <v>1</v>
      </c>
      <c r="E330" s="42">
        <v>0</v>
      </c>
      <c r="F330" s="14"/>
      <c r="G330" s="14"/>
    </row>
    <row r="331" spans="1:7" ht="16.5" x14ac:dyDescent="0.3">
      <c r="A331" s="14"/>
      <c r="B331" s="86"/>
      <c r="C331" s="40" t="s">
        <v>194</v>
      </c>
      <c r="D331" s="41">
        <v>1</v>
      </c>
      <c r="E331" s="42">
        <v>0</v>
      </c>
      <c r="F331" s="14"/>
      <c r="G331" s="14"/>
    </row>
    <row r="332" spans="1:7" ht="16.5" x14ac:dyDescent="0.3">
      <c r="A332" s="14"/>
      <c r="B332" s="86"/>
      <c r="C332" s="43" t="s">
        <v>318</v>
      </c>
      <c r="D332" s="44">
        <v>5</v>
      </c>
      <c r="E332" s="45">
        <v>2E-3</v>
      </c>
      <c r="F332" s="14"/>
      <c r="G332" s="14"/>
    </row>
    <row r="333" spans="1:7" ht="16.5" x14ac:dyDescent="0.3">
      <c r="A333" s="14"/>
      <c r="B333" s="86" t="s">
        <v>106</v>
      </c>
      <c r="C333" s="40" t="s">
        <v>141</v>
      </c>
      <c r="D333" s="41">
        <v>1</v>
      </c>
      <c r="E333" s="42">
        <v>0</v>
      </c>
      <c r="F333" s="14"/>
      <c r="G333" s="14"/>
    </row>
    <row r="334" spans="1:7" ht="16.5" x14ac:dyDescent="0.3">
      <c r="A334" s="14"/>
      <c r="B334" s="86"/>
      <c r="C334" s="40" t="s">
        <v>145</v>
      </c>
      <c r="D334" s="41">
        <v>1</v>
      </c>
      <c r="E334" s="42">
        <v>0</v>
      </c>
      <c r="F334" s="14"/>
      <c r="G334" s="14"/>
    </row>
    <row r="335" spans="1:7" ht="16.5" x14ac:dyDescent="0.3">
      <c r="A335" s="14"/>
      <c r="B335" s="86"/>
      <c r="C335" s="40" t="s">
        <v>198</v>
      </c>
      <c r="D335" s="41">
        <v>1</v>
      </c>
      <c r="E335" s="42">
        <v>0</v>
      </c>
      <c r="F335" s="14"/>
      <c r="G335" s="14"/>
    </row>
    <row r="336" spans="1:7" ht="16.5" x14ac:dyDescent="0.3">
      <c r="A336" s="14"/>
      <c r="B336" s="86"/>
      <c r="C336" s="40" t="s">
        <v>270</v>
      </c>
      <c r="D336" s="41">
        <v>1</v>
      </c>
      <c r="E336" s="42">
        <v>0</v>
      </c>
      <c r="F336" s="14"/>
      <c r="G336" s="14"/>
    </row>
    <row r="337" spans="1:7" ht="16.5" x14ac:dyDescent="0.3">
      <c r="A337" s="14"/>
      <c r="B337" s="86"/>
      <c r="C337" s="43" t="s">
        <v>318</v>
      </c>
      <c r="D337" s="44">
        <v>4</v>
      </c>
      <c r="E337" s="45">
        <v>2E-3</v>
      </c>
      <c r="F337" s="14"/>
      <c r="G337" s="14"/>
    </row>
    <row r="338" spans="1:7" ht="16.5" x14ac:dyDescent="0.3">
      <c r="A338" s="14"/>
      <c r="B338" s="86" t="s">
        <v>115</v>
      </c>
      <c r="C338" s="40" t="s">
        <v>127</v>
      </c>
      <c r="D338" s="41">
        <v>2</v>
      </c>
      <c r="E338" s="42">
        <v>1E-3</v>
      </c>
      <c r="F338" s="14"/>
      <c r="G338" s="14"/>
    </row>
    <row r="339" spans="1:7" ht="16.5" x14ac:dyDescent="0.3">
      <c r="A339" s="14"/>
      <c r="B339" s="86"/>
      <c r="C339" s="40" t="s">
        <v>145</v>
      </c>
      <c r="D339" s="41">
        <v>1</v>
      </c>
      <c r="E339" s="42">
        <v>0</v>
      </c>
      <c r="F339" s="14"/>
      <c r="G339" s="14"/>
    </row>
    <row r="340" spans="1:7" ht="16.5" x14ac:dyDescent="0.3">
      <c r="A340" s="14"/>
      <c r="B340" s="86"/>
      <c r="C340" s="40" t="s">
        <v>173</v>
      </c>
      <c r="D340" s="41">
        <v>1</v>
      </c>
      <c r="E340" s="42">
        <v>0</v>
      </c>
      <c r="F340" s="14"/>
      <c r="G340" s="14"/>
    </row>
    <row r="341" spans="1:7" ht="16.5" customHeight="1" x14ac:dyDescent="0.3">
      <c r="A341" s="14"/>
      <c r="B341" s="86"/>
      <c r="C341" s="43" t="s">
        <v>318</v>
      </c>
      <c r="D341" s="44">
        <v>4</v>
      </c>
      <c r="E341" s="45">
        <v>2E-3</v>
      </c>
      <c r="F341" s="14"/>
      <c r="G341" s="14"/>
    </row>
    <row r="342" spans="1:7" ht="16.5" x14ac:dyDescent="0.3">
      <c r="A342" s="14"/>
      <c r="B342" s="86" t="s">
        <v>99</v>
      </c>
      <c r="C342" s="40" t="s">
        <v>127</v>
      </c>
      <c r="D342" s="41">
        <v>2</v>
      </c>
      <c r="E342" s="42">
        <v>1E-3</v>
      </c>
      <c r="F342" s="14"/>
      <c r="G342" s="14"/>
    </row>
    <row r="343" spans="1:7" ht="16.5" x14ac:dyDescent="0.3">
      <c r="A343" s="14"/>
      <c r="B343" s="86"/>
      <c r="C343" s="40" t="s">
        <v>191</v>
      </c>
      <c r="D343" s="41">
        <v>1</v>
      </c>
      <c r="E343" s="42">
        <v>0</v>
      </c>
      <c r="F343" s="14"/>
      <c r="G343" s="14"/>
    </row>
    <row r="344" spans="1:7" ht="16.5" x14ac:dyDescent="0.3">
      <c r="A344" s="14"/>
      <c r="B344" s="86"/>
      <c r="C344" s="43" t="s">
        <v>318</v>
      </c>
      <c r="D344" s="44">
        <v>3</v>
      </c>
      <c r="E344" s="45">
        <v>1E-3</v>
      </c>
      <c r="F344" s="14"/>
      <c r="G344" s="14"/>
    </row>
    <row r="345" spans="1:7" ht="16.5" x14ac:dyDescent="0.3">
      <c r="A345" s="14"/>
      <c r="B345" s="86" t="s">
        <v>100</v>
      </c>
      <c r="C345" s="40" t="s">
        <v>127</v>
      </c>
      <c r="D345" s="41">
        <v>2</v>
      </c>
      <c r="E345" s="42">
        <v>1E-3</v>
      </c>
      <c r="F345" s="14"/>
      <c r="G345" s="14"/>
    </row>
    <row r="346" spans="1:7" ht="16.5" x14ac:dyDescent="0.3">
      <c r="A346" s="14"/>
      <c r="B346" s="86"/>
      <c r="C346" s="40" t="s">
        <v>194</v>
      </c>
      <c r="D346" s="41">
        <v>1</v>
      </c>
      <c r="E346" s="42">
        <v>0</v>
      </c>
      <c r="F346" s="14"/>
      <c r="G346" s="14"/>
    </row>
    <row r="347" spans="1:7" ht="16.5" x14ac:dyDescent="0.3">
      <c r="A347" s="14"/>
      <c r="B347" s="86"/>
      <c r="C347" s="43" t="s">
        <v>318</v>
      </c>
      <c r="D347" s="44">
        <v>3</v>
      </c>
      <c r="E347" s="45">
        <v>1E-3</v>
      </c>
      <c r="F347" s="14"/>
      <c r="G347" s="14"/>
    </row>
    <row r="348" spans="1:7" ht="16.5" x14ac:dyDescent="0.3">
      <c r="A348" s="14"/>
      <c r="B348" s="86" t="s">
        <v>120</v>
      </c>
      <c r="C348" s="40" t="s">
        <v>127</v>
      </c>
      <c r="D348" s="41">
        <v>2</v>
      </c>
      <c r="E348" s="42">
        <v>1E-3</v>
      </c>
      <c r="F348" s="14"/>
      <c r="G348" s="14"/>
    </row>
    <row r="349" spans="1:7" ht="16.5" x14ac:dyDescent="0.3">
      <c r="A349" s="14"/>
      <c r="B349" s="86"/>
      <c r="C349" s="40" t="s">
        <v>126</v>
      </c>
      <c r="D349" s="41">
        <v>1</v>
      </c>
      <c r="E349" s="42">
        <v>0</v>
      </c>
      <c r="F349" s="14"/>
      <c r="G349" s="14"/>
    </row>
    <row r="350" spans="1:7" ht="16.5" x14ac:dyDescent="0.3">
      <c r="A350" s="14"/>
      <c r="B350" s="86"/>
      <c r="C350" s="43" t="s">
        <v>318</v>
      </c>
      <c r="D350" s="44">
        <v>3</v>
      </c>
      <c r="E350" s="45">
        <v>1E-3</v>
      </c>
      <c r="F350" s="14"/>
      <c r="G350" s="14"/>
    </row>
    <row r="351" spans="1:7" ht="16.5" x14ac:dyDescent="0.3">
      <c r="A351" s="14"/>
      <c r="B351" s="86" t="s">
        <v>121</v>
      </c>
      <c r="C351" s="40" t="s">
        <v>126</v>
      </c>
      <c r="D351" s="41">
        <v>1</v>
      </c>
      <c r="E351" s="42">
        <v>0</v>
      </c>
      <c r="F351" s="14"/>
      <c r="G351" s="14"/>
    </row>
    <row r="352" spans="1:7" ht="16.5" x14ac:dyDescent="0.3">
      <c r="A352" s="14"/>
      <c r="B352" s="86"/>
      <c r="C352" s="40" t="s">
        <v>170</v>
      </c>
      <c r="D352" s="41">
        <v>1</v>
      </c>
      <c r="E352" s="42">
        <v>0</v>
      </c>
      <c r="F352" s="14"/>
      <c r="G352" s="14"/>
    </row>
    <row r="353" spans="1:7" ht="16.5" x14ac:dyDescent="0.3">
      <c r="A353" s="14"/>
      <c r="B353" s="86"/>
      <c r="C353" s="40" t="s">
        <v>127</v>
      </c>
      <c r="D353" s="41">
        <v>1</v>
      </c>
      <c r="E353" s="42">
        <v>0</v>
      </c>
      <c r="F353" s="14"/>
      <c r="G353" s="14"/>
    </row>
    <row r="354" spans="1:7" ht="16.5" x14ac:dyDescent="0.3">
      <c r="A354" s="14"/>
      <c r="B354" s="86"/>
      <c r="C354" s="43" t="s">
        <v>318</v>
      </c>
      <c r="D354" s="44">
        <v>3</v>
      </c>
      <c r="E354" s="45">
        <v>1E-3</v>
      </c>
      <c r="F354" s="14"/>
      <c r="G354" s="14"/>
    </row>
    <row r="355" spans="1:7" ht="16.5" x14ac:dyDescent="0.3">
      <c r="A355" s="14"/>
      <c r="B355" s="86" t="s">
        <v>102</v>
      </c>
      <c r="C355" s="40" t="s">
        <v>164</v>
      </c>
      <c r="D355" s="41">
        <v>1</v>
      </c>
      <c r="E355" s="42">
        <v>0</v>
      </c>
      <c r="F355" s="14"/>
      <c r="G355" s="14"/>
    </row>
    <row r="356" spans="1:7" ht="16.5" x14ac:dyDescent="0.3">
      <c r="A356" s="14"/>
      <c r="B356" s="86"/>
      <c r="C356" s="40" t="s">
        <v>195</v>
      </c>
      <c r="D356" s="41">
        <v>1</v>
      </c>
      <c r="E356" s="42">
        <v>0</v>
      </c>
      <c r="F356" s="14"/>
      <c r="G356" s="14"/>
    </row>
    <row r="357" spans="1:7" ht="16.5" x14ac:dyDescent="0.3">
      <c r="A357" s="14"/>
      <c r="B357" s="86"/>
      <c r="C357" s="43" t="s">
        <v>318</v>
      </c>
      <c r="D357" s="44">
        <v>2</v>
      </c>
      <c r="E357" s="45">
        <v>1E-3</v>
      </c>
      <c r="F357" s="14"/>
      <c r="G357" s="14"/>
    </row>
    <row r="358" spans="1:7" ht="16.5" x14ac:dyDescent="0.3">
      <c r="A358" s="14"/>
      <c r="B358" s="86" t="s">
        <v>112</v>
      </c>
      <c r="C358" s="40" t="s">
        <v>269</v>
      </c>
      <c r="D358" s="41">
        <v>1</v>
      </c>
      <c r="E358" s="42">
        <v>0</v>
      </c>
      <c r="F358" s="14"/>
      <c r="G358" s="14"/>
    </row>
    <row r="359" spans="1:7" ht="16.5" x14ac:dyDescent="0.3">
      <c r="A359" s="14"/>
      <c r="B359" s="86"/>
      <c r="C359" s="40" t="s">
        <v>169</v>
      </c>
      <c r="D359" s="41">
        <v>1</v>
      </c>
      <c r="E359" s="42">
        <v>0</v>
      </c>
      <c r="F359" s="14"/>
      <c r="G359" s="14"/>
    </row>
    <row r="360" spans="1:7" ht="16.5" x14ac:dyDescent="0.3">
      <c r="A360" s="14"/>
      <c r="B360" s="86"/>
      <c r="C360" s="43" t="s">
        <v>318</v>
      </c>
      <c r="D360" s="44">
        <v>2</v>
      </c>
      <c r="E360" s="45">
        <v>1E-3</v>
      </c>
      <c r="F360" s="14"/>
      <c r="G360" s="14"/>
    </row>
    <row r="361" spans="1:7" ht="16.5" x14ac:dyDescent="0.3">
      <c r="A361" s="14"/>
      <c r="B361" s="86" t="s">
        <v>90</v>
      </c>
      <c r="C361" s="40" t="s">
        <v>127</v>
      </c>
      <c r="D361" s="41">
        <v>1</v>
      </c>
      <c r="E361" s="42">
        <v>0</v>
      </c>
      <c r="F361" s="14"/>
      <c r="G361" s="14"/>
    </row>
    <row r="362" spans="1:7" ht="16.5" x14ac:dyDescent="0.3">
      <c r="A362" s="14"/>
      <c r="B362" s="86"/>
      <c r="C362" s="43" t="s">
        <v>318</v>
      </c>
      <c r="D362" s="44">
        <v>1</v>
      </c>
      <c r="E362" s="45">
        <v>0</v>
      </c>
      <c r="F362" s="14"/>
      <c r="G362" s="14"/>
    </row>
    <row r="363" spans="1:7" ht="16.5" x14ac:dyDescent="0.3">
      <c r="A363" s="14"/>
      <c r="B363" s="86" t="s">
        <v>264</v>
      </c>
      <c r="C363" s="40" t="s">
        <v>187</v>
      </c>
      <c r="D363" s="41">
        <v>1</v>
      </c>
      <c r="E363" s="42">
        <v>0</v>
      </c>
      <c r="F363" s="14"/>
      <c r="G363" s="14"/>
    </row>
    <row r="364" spans="1:7" ht="16.5" x14ac:dyDescent="0.3">
      <c r="A364" s="14"/>
      <c r="B364" s="86"/>
      <c r="C364" s="43" t="s">
        <v>318</v>
      </c>
      <c r="D364" s="44">
        <v>1</v>
      </c>
      <c r="E364" s="45">
        <v>0</v>
      </c>
      <c r="F364" s="14"/>
      <c r="G364" s="14"/>
    </row>
    <row r="365" spans="1:7" ht="16.5" x14ac:dyDescent="0.3">
      <c r="A365" s="14"/>
      <c r="B365" s="86" t="s">
        <v>93</v>
      </c>
      <c r="C365" s="40" t="s">
        <v>138</v>
      </c>
      <c r="D365" s="41">
        <v>1</v>
      </c>
      <c r="E365" s="42">
        <v>0</v>
      </c>
      <c r="F365" s="14"/>
      <c r="G365" s="14"/>
    </row>
    <row r="366" spans="1:7" ht="16.5" x14ac:dyDescent="0.3">
      <c r="A366" s="14"/>
      <c r="B366" s="86"/>
      <c r="C366" s="43" t="s">
        <v>318</v>
      </c>
      <c r="D366" s="44">
        <v>1</v>
      </c>
      <c r="E366" s="45">
        <v>0</v>
      </c>
      <c r="F366" s="14"/>
      <c r="G366" s="14"/>
    </row>
    <row r="367" spans="1:7" ht="16.5" x14ac:dyDescent="0.3">
      <c r="A367" s="14"/>
      <c r="B367" s="86" t="s">
        <v>101</v>
      </c>
      <c r="C367" s="40" t="s">
        <v>126</v>
      </c>
      <c r="D367" s="41">
        <v>1</v>
      </c>
      <c r="E367" s="42">
        <v>0</v>
      </c>
      <c r="F367" s="14"/>
      <c r="G367" s="14"/>
    </row>
    <row r="368" spans="1:7" ht="16.5" customHeight="1" x14ac:dyDescent="0.3">
      <c r="A368" s="14"/>
      <c r="B368" s="86"/>
      <c r="C368" s="43" t="s">
        <v>318</v>
      </c>
      <c r="D368" s="44">
        <v>1</v>
      </c>
      <c r="E368" s="45">
        <v>0</v>
      </c>
      <c r="F368" s="14"/>
      <c r="G368" s="14"/>
    </row>
    <row r="369" spans="1:7" ht="16.5" x14ac:dyDescent="0.3">
      <c r="A369" s="14"/>
      <c r="B369" s="86" t="s">
        <v>109</v>
      </c>
      <c r="C369" s="40" t="s">
        <v>127</v>
      </c>
      <c r="D369" s="41">
        <v>1</v>
      </c>
      <c r="E369" s="42">
        <v>0</v>
      </c>
      <c r="F369" s="14"/>
      <c r="G369" s="14"/>
    </row>
    <row r="370" spans="1:7" ht="16.5" x14ac:dyDescent="0.3">
      <c r="A370" s="14"/>
      <c r="B370" s="86"/>
      <c r="C370" s="43" t="s">
        <v>318</v>
      </c>
      <c r="D370" s="44">
        <v>1</v>
      </c>
      <c r="E370" s="45">
        <v>0</v>
      </c>
      <c r="F370" s="14"/>
      <c r="G370" s="14"/>
    </row>
    <row r="371" spans="1:7" ht="16.5" x14ac:dyDescent="0.3">
      <c r="A371" s="14"/>
      <c r="B371" s="87" t="s">
        <v>315</v>
      </c>
      <c r="C371" s="87"/>
      <c r="D371" s="26">
        <v>2401</v>
      </c>
      <c r="E371" s="50">
        <v>1</v>
      </c>
      <c r="F371" s="14"/>
      <c r="G371" s="14"/>
    </row>
    <row r="372" spans="1:7" ht="16.5" x14ac:dyDescent="0.3">
      <c r="A372" s="14"/>
      <c r="B372" s="18"/>
      <c r="C372" s="14"/>
      <c r="D372" s="14"/>
      <c r="E372" s="14"/>
      <c r="F372" s="14"/>
      <c r="G372" s="14"/>
    </row>
    <row r="373" spans="1:7" ht="16.5" x14ac:dyDescent="0.3">
      <c r="A373" s="14"/>
      <c r="B373" s="18" t="s">
        <v>260</v>
      </c>
      <c r="C373" s="14"/>
      <c r="D373" s="14"/>
      <c r="E373" s="14"/>
      <c r="F373" s="14"/>
      <c r="G373" s="14"/>
    </row>
    <row r="374" spans="1:7" ht="16.5" x14ac:dyDescent="0.3">
      <c r="A374" s="14"/>
      <c r="B374" s="19" t="s">
        <v>21</v>
      </c>
      <c r="C374" s="14"/>
      <c r="D374" s="14"/>
      <c r="E374" s="14"/>
      <c r="F374" s="14"/>
      <c r="G374" s="14"/>
    </row>
    <row r="375" spans="1:7" ht="16.5" x14ac:dyDescent="0.3">
      <c r="A375" s="14"/>
      <c r="B375" s="17" t="s">
        <v>122</v>
      </c>
      <c r="C375" s="14"/>
      <c r="D375" s="14"/>
      <c r="E375" s="14"/>
      <c r="F375" s="14"/>
      <c r="G375" s="14"/>
    </row>
    <row r="376" spans="1:7" ht="16.5" x14ac:dyDescent="0.3">
      <c r="A376" s="14"/>
      <c r="B376" s="18" t="s">
        <v>22</v>
      </c>
      <c r="C376" s="14"/>
      <c r="D376" s="14"/>
      <c r="E376" s="14"/>
      <c r="F376" s="14"/>
      <c r="G376" s="14"/>
    </row>
    <row r="377" spans="1:7" ht="16.5" x14ac:dyDescent="0.3">
      <c r="A377" s="14"/>
      <c r="B377" s="18" t="s">
        <v>319</v>
      </c>
      <c r="C377" s="14"/>
      <c r="D377" s="14"/>
      <c r="E377" s="14"/>
      <c r="F377" s="14"/>
      <c r="G377" s="14"/>
    </row>
  </sheetData>
  <mergeCells count="40">
    <mergeCell ref="B371:C371"/>
    <mergeCell ref="B328:B332"/>
    <mergeCell ref="B333:B337"/>
    <mergeCell ref="B10:B91"/>
    <mergeCell ref="B92:B128"/>
    <mergeCell ref="B129:B144"/>
    <mergeCell ref="B145:B158"/>
    <mergeCell ref="B159:B180"/>
    <mergeCell ref="B181:B187"/>
    <mergeCell ref="B188:B201"/>
    <mergeCell ref="B202:B213"/>
    <mergeCell ref="B214:B225"/>
    <mergeCell ref="B226:B234"/>
    <mergeCell ref="B235:B242"/>
    <mergeCell ref="B243:B251"/>
    <mergeCell ref="B252:B260"/>
    <mergeCell ref="B261:B269"/>
    <mergeCell ref="B270:B278"/>
    <mergeCell ref="B279:B284"/>
    <mergeCell ref="B285:B289"/>
    <mergeCell ref="B290:B293"/>
    <mergeCell ref="B294:B297"/>
    <mergeCell ref="B298:B302"/>
    <mergeCell ref="B303:B307"/>
    <mergeCell ref="B308:B310"/>
    <mergeCell ref="B311:B316"/>
    <mergeCell ref="B317:B321"/>
    <mergeCell ref="B322:B327"/>
    <mergeCell ref="B338:B341"/>
    <mergeCell ref="B342:B344"/>
    <mergeCell ref="B345:B347"/>
    <mergeCell ref="B348:B350"/>
    <mergeCell ref="B351:B354"/>
    <mergeCell ref="B367:B368"/>
    <mergeCell ref="B369:B370"/>
    <mergeCell ref="B355:B357"/>
    <mergeCell ref="B358:B360"/>
    <mergeCell ref="B361:B362"/>
    <mergeCell ref="B363:B364"/>
    <mergeCell ref="B365:B366"/>
  </mergeCells>
  <pageMargins left="0.7" right="0.7" top="0.75" bottom="0.75" header="0.3" footer="0.3"/>
  <pageSetup scale="97" orientation="portrait" r:id="rId1"/>
  <rowBreaks count="1" manualBreakCount="1">
    <brk id="333" max="6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4:G512"/>
  <sheetViews>
    <sheetView showGridLines="0" view="pageBreakPreview" zoomScaleNormal="100" zoomScaleSheetLayoutView="100" workbookViewId="0">
      <selection activeCell="E11" sqref="E11"/>
    </sheetView>
  </sheetViews>
  <sheetFormatPr baseColWidth="10" defaultRowHeight="15" x14ac:dyDescent="0.25"/>
  <cols>
    <col min="1" max="1" width="7.85546875" customWidth="1"/>
    <col min="2" max="2" width="18.42578125" customWidth="1"/>
    <col min="3" max="3" width="24.28515625" customWidth="1"/>
    <col min="4" max="4" width="15.140625" customWidth="1"/>
    <col min="5" max="5" width="12.28515625" customWidth="1"/>
    <col min="6" max="6" width="8.140625" customWidth="1"/>
    <col min="7" max="7" width="2.7109375" customWidth="1"/>
  </cols>
  <sheetData>
    <row r="4" spans="1:7" ht="30" customHeight="1" x14ac:dyDescent="0.25"/>
    <row r="6" spans="1:7" ht="21.6" customHeight="1" x14ac:dyDescent="0.25"/>
    <row r="7" spans="1:7" ht="21.95" customHeight="1" x14ac:dyDescent="0.3">
      <c r="A7" s="14"/>
      <c r="B7" s="14"/>
      <c r="C7" s="14"/>
      <c r="D7" s="14"/>
      <c r="E7" s="14"/>
      <c r="F7" s="14"/>
      <c r="G7" s="14"/>
    </row>
    <row r="8" spans="1:7" ht="32.25" customHeight="1" x14ac:dyDescent="0.3">
      <c r="A8" s="14"/>
      <c r="B8" s="14"/>
      <c r="C8" s="14"/>
      <c r="D8" s="14"/>
      <c r="E8" s="14"/>
      <c r="F8" s="14"/>
      <c r="G8" s="14"/>
    </row>
    <row r="9" spans="1:7" ht="42.75" x14ac:dyDescent="0.3">
      <c r="A9" s="14"/>
      <c r="B9" s="27" t="s">
        <v>23</v>
      </c>
      <c r="C9" s="28" t="s">
        <v>27</v>
      </c>
      <c r="D9" s="29" t="s">
        <v>19</v>
      </c>
      <c r="E9" s="27" t="s">
        <v>20</v>
      </c>
      <c r="F9" s="14"/>
      <c r="G9" s="14"/>
    </row>
    <row r="10" spans="1:7" ht="16.5" x14ac:dyDescent="0.3">
      <c r="A10" s="14"/>
      <c r="B10" s="88" t="s">
        <v>74</v>
      </c>
      <c r="C10" s="40" t="s">
        <v>145</v>
      </c>
      <c r="D10" s="41">
        <v>1</v>
      </c>
      <c r="E10" s="42">
        <v>0</v>
      </c>
      <c r="F10" s="14"/>
      <c r="G10" s="14"/>
    </row>
    <row r="11" spans="1:7" ht="16.5" x14ac:dyDescent="0.3">
      <c r="A11" s="14"/>
      <c r="B11" s="90"/>
      <c r="C11" s="43" t="s">
        <v>318</v>
      </c>
      <c r="D11" s="44">
        <v>1</v>
      </c>
      <c r="E11" s="45">
        <v>0</v>
      </c>
      <c r="F11" s="14"/>
      <c r="G11" s="14"/>
    </row>
    <row r="12" spans="1:7" ht="16.5" x14ac:dyDescent="0.3">
      <c r="A12" s="14"/>
      <c r="B12" s="88" t="s">
        <v>59</v>
      </c>
      <c r="C12" s="40" t="s">
        <v>152</v>
      </c>
      <c r="D12" s="41">
        <v>1</v>
      </c>
      <c r="E12" s="42">
        <v>0</v>
      </c>
      <c r="F12" s="14"/>
      <c r="G12" s="14"/>
    </row>
    <row r="13" spans="1:7" ht="16.5" x14ac:dyDescent="0.3">
      <c r="A13" s="14"/>
      <c r="B13" s="89"/>
      <c r="C13" s="40" t="s">
        <v>164</v>
      </c>
      <c r="D13" s="41">
        <v>2</v>
      </c>
      <c r="E13" s="42">
        <v>1E-3</v>
      </c>
      <c r="F13" s="14"/>
      <c r="G13" s="14"/>
    </row>
    <row r="14" spans="1:7" ht="16.5" x14ac:dyDescent="0.3">
      <c r="A14" s="14"/>
      <c r="B14" s="89"/>
      <c r="C14" s="40" t="s">
        <v>127</v>
      </c>
      <c r="D14" s="41">
        <v>7</v>
      </c>
      <c r="E14" s="42">
        <v>3.0000000000000001E-3</v>
      </c>
      <c r="F14" s="14"/>
      <c r="G14" s="14"/>
    </row>
    <row r="15" spans="1:7" ht="16.5" x14ac:dyDescent="0.3">
      <c r="A15" s="14"/>
      <c r="B15" s="89"/>
      <c r="C15" s="40" t="s">
        <v>132</v>
      </c>
      <c r="D15" s="41">
        <v>1</v>
      </c>
      <c r="E15" s="42">
        <v>0</v>
      </c>
      <c r="F15" s="14"/>
      <c r="G15" s="14"/>
    </row>
    <row r="16" spans="1:7" ht="16.5" x14ac:dyDescent="0.3">
      <c r="A16" s="14"/>
      <c r="B16" s="89"/>
      <c r="C16" s="40" t="s">
        <v>181</v>
      </c>
      <c r="D16" s="41">
        <v>1</v>
      </c>
      <c r="E16" s="42">
        <v>0</v>
      </c>
      <c r="F16" s="14"/>
      <c r="G16" s="14"/>
    </row>
    <row r="17" spans="1:7" ht="16.5" x14ac:dyDescent="0.3">
      <c r="A17" s="14"/>
      <c r="B17" s="89"/>
      <c r="C17" s="40" t="s">
        <v>129</v>
      </c>
      <c r="D17" s="41">
        <v>3</v>
      </c>
      <c r="E17" s="42">
        <v>1E-3</v>
      </c>
      <c r="F17" s="14"/>
      <c r="G17" s="14"/>
    </row>
    <row r="18" spans="1:7" ht="16.5" x14ac:dyDescent="0.3">
      <c r="A18" s="14"/>
      <c r="B18" s="89"/>
      <c r="C18" s="40" t="s">
        <v>186</v>
      </c>
      <c r="D18" s="41">
        <v>1</v>
      </c>
      <c r="E18" s="42">
        <v>0</v>
      </c>
      <c r="F18" s="14"/>
      <c r="G18" s="14"/>
    </row>
    <row r="19" spans="1:7" ht="16.5" x14ac:dyDescent="0.3">
      <c r="A19" s="14"/>
      <c r="B19" s="89"/>
      <c r="C19" s="40" t="s">
        <v>191</v>
      </c>
      <c r="D19" s="41">
        <v>2</v>
      </c>
      <c r="E19" s="42">
        <v>1E-3</v>
      </c>
      <c r="F19" s="14"/>
      <c r="G19" s="14"/>
    </row>
    <row r="20" spans="1:7" ht="16.5" x14ac:dyDescent="0.3">
      <c r="A20" s="14"/>
      <c r="B20" s="89"/>
      <c r="C20" s="40" t="s">
        <v>194</v>
      </c>
      <c r="D20" s="41">
        <v>1</v>
      </c>
      <c r="E20" s="42">
        <v>0</v>
      </c>
      <c r="F20" s="14"/>
      <c r="G20" s="14"/>
    </row>
    <row r="21" spans="1:7" ht="16.5" x14ac:dyDescent="0.3">
      <c r="A21" s="14"/>
      <c r="B21" s="89"/>
      <c r="C21" s="40" t="s">
        <v>195</v>
      </c>
      <c r="D21" s="41">
        <v>1</v>
      </c>
      <c r="E21" s="42">
        <v>0</v>
      </c>
      <c r="F21" s="14"/>
      <c r="G21" s="14"/>
    </row>
    <row r="22" spans="1:7" ht="16.5" x14ac:dyDescent="0.3">
      <c r="A22" s="14"/>
      <c r="B22" s="90"/>
      <c r="C22" s="43" t="s">
        <v>318</v>
      </c>
      <c r="D22" s="44">
        <v>20</v>
      </c>
      <c r="E22" s="45">
        <v>8.0000000000000002E-3</v>
      </c>
      <c r="F22" s="14"/>
      <c r="G22" s="14"/>
    </row>
    <row r="23" spans="1:7" ht="16.5" x14ac:dyDescent="0.3">
      <c r="A23" s="14"/>
      <c r="B23" s="88" t="s">
        <v>65</v>
      </c>
      <c r="C23" s="40" t="s">
        <v>151</v>
      </c>
      <c r="D23" s="41">
        <v>1</v>
      </c>
      <c r="E23" s="42">
        <v>0</v>
      </c>
      <c r="F23" s="14"/>
      <c r="G23" s="14"/>
    </row>
    <row r="24" spans="1:7" ht="16.5" x14ac:dyDescent="0.3">
      <c r="A24" s="14"/>
      <c r="B24" s="89"/>
      <c r="C24" s="40" t="s">
        <v>160</v>
      </c>
      <c r="D24" s="41">
        <v>1</v>
      </c>
      <c r="E24" s="42">
        <v>0</v>
      </c>
      <c r="F24" s="14"/>
      <c r="G24" s="14"/>
    </row>
    <row r="25" spans="1:7" ht="16.5" x14ac:dyDescent="0.3">
      <c r="A25" s="14"/>
      <c r="B25" s="89"/>
      <c r="C25" s="40" t="s">
        <v>127</v>
      </c>
      <c r="D25" s="41">
        <v>2</v>
      </c>
      <c r="E25" s="42">
        <v>1E-3</v>
      </c>
      <c r="F25" s="14"/>
      <c r="G25" s="14"/>
    </row>
    <row r="26" spans="1:7" ht="16.5" x14ac:dyDescent="0.3">
      <c r="A26" s="14"/>
      <c r="B26" s="89"/>
      <c r="C26" s="40" t="s">
        <v>173</v>
      </c>
      <c r="D26" s="41">
        <v>1</v>
      </c>
      <c r="E26" s="42">
        <v>0</v>
      </c>
      <c r="F26" s="14"/>
      <c r="G26" s="14"/>
    </row>
    <row r="27" spans="1:7" ht="16.5" x14ac:dyDescent="0.3">
      <c r="A27" s="14"/>
      <c r="B27" s="89"/>
      <c r="C27" s="40" t="s">
        <v>186</v>
      </c>
      <c r="D27" s="41">
        <v>1</v>
      </c>
      <c r="E27" s="42">
        <v>0</v>
      </c>
      <c r="F27" s="14"/>
      <c r="G27" s="14"/>
    </row>
    <row r="28" spans="1:7" ht="16.5" x14ac:dyDescent="0.3">
      <c r="A28" s="14"/>
      <c r="B28" s="89"/>
      <c r="C28" s="40" t="s">
        <v>191</v>
      </c>
      <c r="D28" s="41">
        <v>7</v>
      </c>
      <c r="E28" s="42">
        <v>3.0000000000000001E-3</v>
      </c>
      <c r="F28" s="14"/>
      <c r="G28" s="14"/>
    </row>
    <row r="29" spans="1:7" ht="16.5" x14ac:dyDescent="0.3">
      <c r="A29" s="14"/>
      <c r="B29" s="89"/>
      <c r="C29" s="40" t="s">
        <v>194</v>
      </c>
      <c r="D29" s="41">
        <v>1</v>
      </c>
      <c r="E29" s="42">
        <v>0</v>
      </c>
      <c r="F29" s="14"/>
      <c r="G29" s="14"/>
    </row>
    <row r="30" spans="1:7" ht="16.5" x14ac:dyDescent="0.3">
      <c r="A30" s="14"/>
      <c r="B30" s="90"/>
      <c r="C30" s="43" t="s">
        <v>318</v>
      </c>
      <c r="D30" s="44">
        <v>14</v>
      </c>
      <c r="E30" s="45">
        <v>6.0000000000000001E-3</v>
      </c>
      <c r="F30" s="14"/>
      <c r="G30" s="14"/>
    </row>
    <row r="31" spans="1:7" ht="16.5" x14ac:dyDescent="0.3">
      <c r="A31" s="14"/>
      <c r="B31" s="92" t="s">
        <v>67</v>
      </c>
      <c r="C31" s="40" t="s">
        <v>138</v>
      </c>
      <c r="D31" s="41">
        <v>1</v>
      </c>
      <c r="E31" s="42">
        <v>0</v>
      </c>
      <c r="F31" s="14"/>
      <c r="G31" s="14"/>
    </row>
    <row r="32" spans="1:7" ht="16.5" x14ac:dyDescent="0.3">
      <c r="A32" s="14"/>
      <c r="B32" s="93"/>
      <c r="C32" s="40" t="s">
        <v>141</v>
      </c>
      <c r="D32" s="41">
        <v>2</v>
      </c>
      <c r="E32" s="42">
        <v>1E-3</v>
      </c>
      <c r="F32" s="14"/>
      <c r="G32" s="14"/>
    </row>
    <row r="33" spans="1:7" ht="16.5" x14ac:dyDescent="0.3">
      <c r="A33" s="14"/>
      <c r="B33" s="93"/>
      <c r="C33" s="40" t="s">
        <v>127</v>
      </c>
      <c r="D33" s="41">
        <v>4</v>
      </c>
      <c r="E33" s="42">
        <v>2E-3</v>
      </c>
      <c r="F33" s="14"/>
      <c r="G33" s="14"/>
    </row>
    <row r="34" spans="1:7" ht="16.5" x14ac:dyDescent="0.3">
      <c r="A34" s="14"/>
      <c r="B34" s="93"/>
      <c r="C34" s="40" t="s">
        <v>173</v>
      </c>
      <c r="D34" s="41">
        <v>1</v>
      </c>
      <c r="E34" s="42">
        <v>0</v>
      </c>
      <c r="F34" s="14"/>
      <c r="G34" s="14"/>
    </row>
    <row r="35" spans="1:7" ht="16.5" x14ac:dyDescent="0.3">
      <c r="A35" s="14"/>
      <c r="B35" s="94"/>
      <c r="C35" s="35" t="s">
        <v>318</v>
      </c>
      <c r="D35" s="36">
        <v>8</v>
      </c>
      <c r="E35" s="37">
        <v>3.0000000000000001E-3</v>
      </c>
      <c r="F35" s="14"/>
      <c r="G35" s="14"/>
    </row>
    <row r="36" spans="1:7" ht="16.5" customHeight="1" x14ac:dyDescent="0.3">
      <c r="A36" s="14"/>
      <c r="B36" s="88" t="s">
        <v>78</v>
      </c>
      <c r="C36" s="40" t="s">
        <v>126</v>
      </c>
      <c r="D36" s="41">
        <v>1</v>
      </c>
      <c r="E36" s="42">
        <v>0</v>
      </c>
      <c r="F36" s="14"/>
      <c r="G36" s="14"/>
    </row>
    <row r="37" spans="1:7" ht="16.5" x14ac:dyDescent="0.3">
      <c r="A37" s="14"/>
      <c r="B37" s="90"/>
      <c r="C37" s="35" t="s">
        <v>318</v>
      </c>
      <c r="D37" s="36">
        <v>1</v>
      </c>
      <c r="E37" s="37">
        <v>0</v>
      </c>
      <c r="F37" s="14"/>
      <c r="G37" s="14"/>
    </row>
    <row r="38" spans="1:7" ht="16.5" customHeight="1" x14ac:dyDescent="0.3">
      <c r="A38" s="14"/>
      <c r="B38" s="88" t="s">
        <v>81</v>
      </c>
      <c r="C38" s="40" t="s">
        <v>164</v>
      </c>
      <c r="D38" s="41">
        <v>1</v>
      </c>
      <c r="E38" s="42">
        <v>0</v>
      </c>
      <c r="F38" s="14"/>
      <c r="G38" s="14"/>
    </row>
    <row r="39" spans="1:7" ht="16.5" customHeight="1" x14ac:dyDescent="0.3">
      <c r="A39" s="14"/>
      <c r="B39" s="89"/>
      <c r="C39" s="40" t="s">
        <v>127</v>
      </c>
      <c r="D39" s="41">
        <v>3</v>
      </c>
      <c r="E39" s="42">
        <v>1E-3</v>
      </c>
      <c r="F39" s="14"/>
      <c r="G39" s="14"/>
    </row>
    <row r="40" spans="1:7" ht="16.5" customHeight="1" x14ac:dyDescent="0.3">
      <c r="A40" s="14"/>
      <c r="B40" s="89"/>
      <c r="C40" s="40" t="s">
        <v>128</v>
      </c>
      <c r="D40" s="41">
        <v>1</v>
      </c>
      <c r="E40" s="42">
        <v>0</v>
      </c>
      <c r="F40" s="14"/>
      <c r="G40" s="14"/>
    </row>
    <row r="41" spans="1:7" ht="16.5" x14ac:dyDescent="0.3">
      <c r="A41" s="14"/>
      <c r="B41" s="90"/>
      <c r="C41" s="35" t="s">
        <v>318</v>
      </c>
      <c r="D41" s="36">
        <v>5</v>
      </c>
      <c r="E41" s="37">
        <v>2E-3</v>
      </c>
      <c r="F41" s="14"/>
      <c r="G41" s="14"/>
    </row>
    <row r="42" spans="1:7" ht="16.5" customHeight="1" x14ac:dyDescent="0.3">
      <c r="A42" s="14"/>
      <c r="B42" s="88" t="s">
        <v>262</v>
      </c>
      <c r="C42" s="40" t="s">
        <v>126</v>
      </c>
      <c r="D42" s="41">
        <v>1</v>
      </c>
      <c r="E42" s="42">
        <v>0</v>
      </c>
      <c r="F42" s="14"/>
      <c r="G42" s="14"/>
    </row>
    <row r="43" spans="1:7" ht="16.5" customHeight="1" x14ac:dyDescent="0.3">
      <c r="A43" s="14"/>
      <c r="B43" s="89"/>
      <c r="C43" s="40" t="s">
        <v>199</v>
      </c>
      <c r="D43" s="41">
        <v>1</v>
      </c>
      <c r="E43" s="42">
        <v>0</v>
      </c>
      <c r="F43" s="14"/>
      <c r="G43" s="14"/>
    </row>
    <row r="44" spans="1:7" ht="16.5" x14ac:dyDescent="0.3">
      <c r="A44" s="14"/>
      <c r="B44" s="90"/>
      <c r="C44" s="35" t="s">
        <v>318</v>
      </c>
      <c r="D44" s="36">
        <v>2</v>
      </c>
      <c r="E44" s="37">
        <v>1E-3</v>
      </c>
      <c r="F44" s="14"/>
      <c r="G44" s="14"/>
    </row>
    <row r="45" spans="1:7" ht="16.5" customHeight="1" x14ac:dyDescent="0.3">
      <c r="A45" s="14"/>
      <c r="B45" s="88" t="s">
        <v>54</v>
      </c>
      <c r="C45" s="40" t="s">
        <v>269</v>
      </c>
      <c r="D45" s="41">
        <v>1</v>
      </c>
      <c r="E45" s="42">
        <v>0</v>
      </c>
      <c r="F45" s="14"/>
      <c r="G45" s="14"/>
    </row>
    <row r="46" spans="1:7" ht="16.5" customHeight="1" x14ac:dyDescent="0.3">
      <c r="A46" s="14"/>
      <c r="B46" s="89"/>
      <c r="C46" s="40" t="s">
        <v>158</v>
      </c>
      <c r="D46" s="41">
        <v>1</v>
      </c>
      <c r="E46" s="42">
        <v>0</v>
      </c>
      <c r="F46" s="14"/>
      <c r="G46" s="14"/>
    </row>
    <row r="47" spans="1:7" ht="16.5" customHeight="1" x14ac:dyDescent="0.3">
      <c r="A47" s="14"/>
      <c r="B47" s="89"/>
      <c r="C47" s="40" t="s">
        <v>164</v>
      </c>
      <c r="D47" s="41">
        <v>1</v>
      </c>
      <c r="E47" s="42">
        <v>0</v>
      </c>
      <c r="F47" s="14"/>
      <c r="G47" s="14"/>
    </row>
    <row r="48" spans="1:7" ht="16.5" customHeight="1" x14ac:dyDescent="0.3">
      <c r="A48" s="14"/>
      <c r="B48" s="89"/>
      <c r="C48" s="40" t="s">
        <v>169</v>
      </c>
      <c r="D48" s="41">
        <v>1</v>
      </c>
      <c r="E48" s="42">
        <v>0</v>
      </c>
      <c r="F48" s="14"/>
      <c r="G48" s="14"/>
    </row>
    <row r="49" spans="1:7" ht="16.5" customHeight="1" x14ac:dyDescent="0.3">
      <c r="A49" s="14"/>
      <c r="B49" s="89"/>
      <c r="C49" s="40" t="s">
        <v>126</v>
      </c>
      <c r="D49" s="41">
        <v>1</v>
      </c>
      <c r="E49" s="42">
        <v>0</v>
      </c>
      <c r="F49" s="14"/>
      <c r="G49" s="14"/>
    </row>
    <row r="50" spans="1:7" ht="16.5" customHeight="1" x14ac:dyDescent="0.3">
      <c r="A50" s="14"/>
      <c r="B50" s="89"/>
      <c r="C50" s="40" t="s">
        <v>170</v>
      </c>
      <c r="D50" s="41">
        <v>2</v>
      </c>
      <c r="E50" s="42">
        <v>1E-3</v>
      </c>
      <c r="F50" s="14"/>
      <c r="G50" s="14"/>
    </row>
    <row r="51" spans="1:7" ht="16.5" customHeight="1" x14ac:dyDescent="0.3">
      <c r="A51" s="14"/>
      <c r="B51" s="89"/>
      <c r="C51" s="40" t="s">
        <v>171</v>
      </c>
      <c r="D51" s="41">
        <v>1</v>
      </c>
      <c r="E51" s="42">
        <v>0</v>
      </c>
      <c r="F51" s="14"/>
      <c r="G51" s="14"/>
    </row>
    <row r="52" spans="1:7" ht="16.5" customHeight="1" x14ac:dyDescent="0.3">
      <c r="A52" s="14"/>
      <c r="B52" s="89"/>
      <c r="C52" s="40" t="s">
        <v>127</v>
      </c>
      <c r="D52" s="41">
        <v>15</v>
      </c>
      <c r="E52" s="42">
        <v>6.0000000000000001E-3</v>
      </c>
      <c r="F52" s="14"/>
      <c r="G52" s="14"/>
    </row>
    <row r="53" spans="1:7" ht="16.5" customHeight="1" x14ac:dyDescent="0.3">
      <c r="A53" s="14"/>
      <c r="B53" s="89"/>
      <c r="C53" s="40" t="s">
        <v>173</v>
      </c>
      <c r="D53" s="41">
        <v>2</v>
      </c>
      <c r="E53" s="42">
        <v>1E-3</v>
      </c>
      <c r="F53" s="14"/>
      <c r="G53" s="14"/>
    </row>
    <row r="54" spans="1:7" ht="16.5" customHeight="1" x14ac:dyDescent="0.3">
      <c r="A54" s="14"/>
      <c r="B54" s="89"/>
      <c r="C54" s="40" t="s">
        <v>175</v>
      </c>
      <c r="D54" s="41">
        <v>1</v>
      </c>
      <c r="E54" s="42">
        <v>0</v>
      </c>
      <c r="F54" s="14"/>
      <c r="G54" s="14"/>
    </row>
    <row r="55" spans="1:7" ht="16.5" customHeight="1" x14ac:dyDescent="0.3">
      <c r="A55" s="14"/>
      <c r="B55" s="89"/>
      <c r="C55" s="40" t="s">
        <v>176</v>
      </c>
      <c r="D55" s="41">
        <v>1</v>
      </c>
      <c r="E55" s="42">
        <v>0</v>
      </c>
      <c r="F55" s="14"/>
      <c r="G55" s="14"/>
    </row>
    <row r="56" spans="1:7" ht="16.5" customHeight="1" x14ac:dyDescent="0.3">
      <c r="A56" s="14"/>
      <c r="B56" s="89"/>
      <c r="C56" s="40" t="s">
        <v>130</v>
      </c>
      <c r="D56" s="41">
        <v>1</v>
      </c>
      <c r="E56" s="42">
        <v>0</v>
      </c>
      <c r="F56" s="14"/>
      <c r="G56" s="14"/>
    </row>
    <row r="57" spans="1:7" ht="16.5" customHeight="1" x14ac:dyDescent="0.3">
      <c r="A57" s="14"/>
      <c r="B57" s="89"/>
      <c r="C57" s="40" t="s">
        <v>191</v>
      </c>
      <c r="D57" s="41">
        <v>1</v>
      </c>
      <c r="E57" s="42">
        <v>0</v>
      </c>
      <c r="F57" s="14"/>
      <c r="G57" s="14"/>
    </row>
    <row r="58" spans="1:7" ht="16.5" customHeight="1" x14ac:dyDescent="0.3">
      <c r="A58" s="14"/>
      <c r="B58" s="89"/>
      <c r="C58" s="40" t="s">
        <v>136</v>
      </c>
      <c r="D58" s="41">
        <v>1</v>
      </c>
      <c r="E58" s="42">
        <v>0</v>
      </c>
      <c r="F58" s="14"/>
      <c r="G58" s="14"/>
    </row>
    <row r="59" spans="1:7" ht="16.5" customHeight="1" x14ac:dyDescent="0.3">
      <c r="A59" s="14"/>
      <c r="B59" s="89"/>
      <c r="C59" s="40" t="s">
        <v>194</v>
      </c>
      <c r="D59" s="41">
        <v>2</v>
      </c>
      <c r="E59" s="42">
        <v>1E-3</v>
      </c>
      <c r="F59" s="14"/>
      <c r="G59" s="14"/>
    </row>
    <row r="60" spans="1:7" ht="16.5" x14ac:dyDescent="0.3">
      <c r="A60" s="14"/>
      <c r="B60" s="90"/>
      <c r="C60" s="35" t="s">
        <v>318</v>
      </c>
      <c r="D60" s="36">
        <v>32</v>
      </c>
      <c r="E60" s="37">
        <v>1.2999999999999999E-2</v>
      </c>
      <c r="F60" s="14"/>
      <c r="G60" s="14"/>
    </row>
    <row r="61" spans="1:7" ht="16.5" customHeight="1" x14ac:dyDescent="0.3">
      <c r="A61" s="14"/>
      <c r="B61" s="57" t="s">
        <v>43</v>
      </c>
      <c r="C61" s="40" t="s">
        <v>138</v>
      </c>
      <c r="D61" s="41">
        <v>1</v>
      </c>
      <c r="E61" s="42">
        <v>0</v>
      </c>
      <c r="F61" s="14"/>
      <c r="G61" s="14"/>
    </row>
    <row r="62" spans="1:7" ht="16.5" customHeight="1" x14ac:dyDescent="0.3">
      <c r="A62" s="14"/>
      <c r="B62" s="58"/>
      <c r="C62" s="40" t="s">
        <v>141</v>
      </c>
      <c r="D62" s="41">
        <v>1</v>
      </c>
      <c r="E62" s="42">
        <v>0</v>
      </c>
      <c r="F62" s="14"/>
      <c r="G62" s="14"/>
    </row>
    <row r="63" spans="1:7" ht="16.5" customHeight="1" x14ac:dyDescent="0.3">
      <c r="A63" s="14"/>
      <c r="B63" s="58"/>
      <c r="C63" s="40" t="s">
        <v>143</v>
      </c>
      <c r="D63" s="41">
        <v>10</v>
      </c>
      <c r="E63" s="42">
        <v>4.0000000000000001E-3</v>
      </c>
      <c r="F63" s="14"/>
      <c r="G63" s="14"/>
    </row>
    <row r="64" spans="1:7" ht="16.5" customHeight="1" x14ac:dyDescent="0.3">
      <c r="A64" s="14"/>
      <c r="B64" s="58"/>
      <c r="C64" s="40" t="s">
        <v>268</v>
      </c>
      <c r="D64" s="41">
        <v>1</v>
      </c>
      <c r="E64" s="42">
        <v>0</v>
      </c>
      <c r="F64" s="14"/>
      <c r="G64" s="14"/>
    </row>
    <row r="65" spans="1:7" ht="16.5" customHeight="1" x14ac:dyDescent="0.3">
      <c r="A65" s="14"/>
      <c r="B65" s="58"/>
      <c r="C65" s="40" t="s">
        <v>149</v>
      </c>
      <c r="D65" s="41">
        <v>2</v>
      </c>
      <c r="E65" s="42">
        <v>1E-3</v>
      </c>
      <c r="F65" s="14"/>
      <c r="G65" s="14"/>
    </row>
    <row r="66" spans="1:7" ht="16.5" customHeight="1" x14ac:dyDescent="0.3">
      <c r="A66" s="14"/>
      <c r="B66" s="58"/>
      <c r="C66" s="40" t="s">
        <v>265</v>
      </c>
      <c r="D66" s="41">
        <v>1</v>
      </c>
      <c r="E66" s="42">
        <v>0</v>
      </c>
      <c r="F66" s="14"/>
      <c r="G66" s="14"/>
    </row>
    <row r="67" spans="1:7" ht="16.5" customHeight="1" x14ac:dyDescent="0.3">
      <c r="A67" s="14"/>
      <c r="B67" s="58"/>
      <c r="C67" s="40" t="s">
        <v>131</v>
      </c>
      <c r="D67" s="41">
        <v>1</v>
      </c>
      <c r="E67" s="42">
        <v>0</v>
      </c>
      <c r="F67" s="14"/>
      <c r="G67" s="14"/>
    </row>
    <row r="68" spans="1:7" ht="16.5" customHeight="1" x14ac:dyDescent="0.3">
      <c r="A68" s="14"/>
      <c r="B68" s="58"/>
      <c r="C68" s="40" t="s">
        <v>160</v>
      </c>
      <c r="D68" s="41">
        <v>26</v>
      </c>
      <c r="E68" s="42">
        <v>1.0999999999999999E-2</v>
      </c>
      <c r="F68" s="14"/>
      <c r="G68" s="14"/>
    </row>
    <row r="69" spans="1:7" ht="16.5" customHeight="1" x14ac:dyDescent="0.3">
      <c r="A69" s="14"/>
      <c r="B69" s="58"/>
      <c r="C69" s="40" t="s">
        <v>198</v>
      </c>
      <c r="D69" s="41">
        <v>1</v>
      </c>
      <c r="E69" s="42">
        <v>0</v>
      </c>
      <c r="F69" s="14"/>
      <c r="G69" s="14"/>
    </row>
    <row r="70" spans="1:7" ht="16.5" customHeight="1" x14ac:dyDescent="0.3">
      <c r="A70" s="14"/>
      <c r="B70" s="58"/>
      <c r="C70" s="40" t="s">
        <v>126</v>
      </c>
      <c r="D70" s="41">
        <v>3</v>
      </c>
      <c r="E70" s="42">
        <v>1E-3</v>
      </c>
      <c r="F70" s="14"/>
      <c r="G70" s="14"/>
    </row>
    <row r="71" spans="1:7" ht="16.5" customHeight="1" x14ac:dyDescent="0.3">
      <c r="A71" s="14"/>
      <c r="B71" s="58"/>
      <c r="C71" s="40" t="s">
        <v>127</v>
      </c>
      <c r="D71" s="41">
        <v>32</v>
      </c>
      <c r="E71" s="42">
        <v>1.2999999999999999E-2</v>
      </c>
      <c r="F71" s="14"/>
      <c r="G71" s="14"/>
    </row>
    <row r="72" spans="1:7" ht="16.5" customHeight="1" x14ac:dyDescent="0.3">
      <c r="A72" s="14"/>
      <c r="B72" s="58"/>
      <c r="C72" s="40" t="s">
        <v>134</v>
      </c>
      <c r="D72" s="41">
        <v>1</v>
      </c>
      <c r="E72" s="42">
        <v>0</v>
      </c>
      <c r="F72" s="14"/>
      <c r="G72" s="14"/>
    </row>
    <row r="73" spans="1:7" ht="16.5" customHeight="1" x14ac:dyDescent="0.3">
      <c r="A73" s="14"/>
      <c r="B73" s="58"/>
      <c r="C73" s="40" t="s">
        <v>173</v>
      </c>
      <c r="D73" s="41">
        <v>1</v>
      </c>
      <c r="E73" s="42">
        <v>0</v>
      </c>
      <c r="F73" s="14"/>
      <c r="G73" s="14"/>
    </row>
    <row r="74" spans="1:7" ht="16.5" customHeight="1" x14ac:dyDescent="0.3">
      <c r="A74" s="14"/>
      <c r="B74" s="58"/>
      <c r="C74" s="40" t="s">
        <v>176</v>
      </c>
      <c r="D74" s="41">
        <v>1</v>
      </c>
      <c r="E74" s="42">
        <v>0</v>
      </c>
      <c r="F74" s="14"/>
      <c r="G74" s="14"/>
    </row>
    <row r="75" spans="1:7" ht="16.5" customHeight="1" x14ac:dyDescent="0.3">
      <c r="A75" s="14"/>
      <c r="B75" s="58"/>
      <c r="C75" s="40" t="s">
        <v>182</v>
      </c>
      <c r="D75" s="41">
        <v>1</v>
      </c>
      <c r="E75" s="42">
        <v>0</v>
      </c>
      <c r="F75" s="14"/>
      <c r="G75" s="14"/>
    </row>
    <row r="76" spans="1:7" ht="16.5" customHeight="1" x14ac:dyDescent="0.3">
      <c r="A76" s="14"/>
      <c r="B76" s="58"/>
      <c r="C76" s="40" t="s">
        <v>129</v>
      </c>
      <c r="D76" s="41">
        <v>3</v>
      </c>
      <c r="E76" s="42">
        <v>1E-3</v>
      </c>
      <c r="F76" s="14"/>
      <c r="G76" s="14"/>
    </row>
    <row r="77" spans="1:7" ht="16.5" customHeight="1" x14ac:dyDescent="0.3">
      <c r="A77" s="14"/>
      <c r="B77" s="58"/>
      <c r="C77" s="40" t="s">
        <v>184</v>
      </c>
      <c r="D77" s="41">
        <v>1</v>
      </c>
      <c r="E77" s="42">
        <v>0</v>
      </c>
      <c r="F77" s="14"/>
      <c r="G77" s="14"/>
    </row>
    <row r="78" spans="1:7" ht="16.5" customHeight="1" x14ac:dyDescent="0.3">
      <c r="A78" s="14"/>
      <c r="B78" s="58"/>
      <c r="C78" s="40" t="s">
        <v>191</v>
      </c>
      <c r="D78" s="41">
        <v>1</v>
      </c>
      <c r="E78" s="42">
        <v>0</v>
      </c>
      <c r="F78" s="14"/>
      <c r="G78" s="14"/>
    </row>
    <row r="79" spans="1:7" ht="16.5" customHeight="1" x14ac:dyDescent="0.3">
      <c r="A79" s="14"/>
      <c r="B79" s="58"/>
      <c r="C79" s="40" t="s">
        <v>194</v>
      </c>
      <c r="D79" s="41">
        <v>1</v>
      </c>
      <c r="E79" s="42">
        <v>0</v>
      </c>
      <c r="F79" s="14"/>
      <c r="G79" s="14"/>
    </row>
    <row r="80" spans="1:7" ht="16.5" customHeight="1" x14ac:dyDescent="0.3">
      <c r="A80" s="14"/>
      <c r="B80" s="58"/>
      <c r="C80" s="40" t="s">
        <v>199</v>
      </c>
      <c r="D80" s="41">
        <v>1</v>
      </c>
      <c r="E80" s="42">
        <v>0</v>
      </c>
      <c r="F80" s="14"/>
      <c r="G80" s="14"/>
    </row>
    <row r="81" spans="1:7" ht="16.5" x14ac:dyDescent="0.3">
      <c r="A81" s="14"/>
      <c r="B81" s="65"/>
      <c r="C81" s="35" t="s">
        <v>318</v>
      </c>
      <c r="D81" s="36">
        <v>90</v>
      </c>
      <c r="E81" s="37">
        <v>3.6999999999999998E-2</v>
      </c>
      <c r="F81" s="14"/>
      <c r="G81" s="14"/>
    </row>
    <row r="82" spans="1:7" ht="16.5" customHeight="1" x14ac:dyDescent="0.3">
      <c r="A82" s="14"/>
      <c r="B82" s="88" t="s">
        <v>46</v>
      </c>
      <c r="C82" s="40" t="s">
        <v>138</v>
      </c>
      <c r="D82" s="41">
        <v>2</v>
      </c>
      <c r="E82" s="42">
        <v>1E-3</v>
      </c>
      <c r="F82" s="14"/>
      <c r="G82" s="14"/>
    </row>
    <row r="83" spans="1:7" ht="16.5" customHeight="1" x14ac:dyDescent="0.3">
      <c r="A83" s="14"/>
      <c r="B83" s="89"/>
      <c r="C83" s="40" t="s">
        <v>141</v>
      </c>
      <c r="D83" s="41">
        <v>4</v>
      </c>
      <c r="E83" s="42">
        <v>2E-3</v>
      </c>
      <c r="F83" s="14"/>
      <c r="G83" s="14"/>
    </row>
    <row r="84" spans="1:7" ht="16.5" customHeight="1" x14ac:dyDescent="0.3">
      <c r="A84" s="14"/>
      <c r="B84" s="89"/>
      <c r="C84" s="40" t="s">
        <v>145</v>
      </c>
      <c r="D84" s="41">
        <v>28</v>
      </c>
      <c r="E84" s="42">
        <v>1.2E-2</v>
      </c>
      <c r="F84" s="14"/>
      <c r="G84" s="14"/>
    </row>
    <row r="85" spans="1:7" ht="16.5" customHeight="1" x14ac:dyDescent="0.3">
      <c r="A85" s="14"/>
      <c r="B85" s="89"/>
      <c r="C85" s="40" t="s">
        <v>265</v>
      </c>
      <c r="D85" s="41">
        <v>3</v>
      </c>
      <c r="E85" s="42">
        <v>1E-3</v>
      </c>
      <c r="F85" s="14"/>
      <c r="G85" s="14"/>
    </row>
    <row r="86" spans="1:7" ht="16.5" customHeight="1" x14ac:dyDescent="0.3">
      <c r="A86" s="14"/>
      <c r="B86" s="89"/>
      <c r="C86" s="40" t="s">
        <v>164</v>
      </c>
      <c r="D86" s="41">
        <v>2</v>
      </c>
      <c r="E86" s="42">
        <v>1E-3</v>
      </c>
      <c r="F86" s="14"/>
      <c r="G86" s="14"/>
    </row>
    <row r="87" spans="1:7" ht="16.5" customHeight="1" x14ac:dyDescent="0.3">
      <c r="A87" s="14"/>
      <c r="B87" s="89"/>
      <c r="C87" s="40" t="s">
        <v>198</v>
      </c>
      <c r="D87" s="41">
        <v>1</v>
      </c>
      <c r="E87" s="42">
        <v>0</v>
      </c>
      <c r="F87" s="14"/>
      <c r="G87" s="14"/>
    </row>
    <row r="88" spans="1:7" ht="16.5" customHeight="1" x14ac:dyDescent="0.3">
      <c r="A88" s="14"/>
      <c r="B88" s="89"/>
      <c r="C88" s="40" t="s">
        <v>127</v>
      </c>
      <c r="D88" s="41">
        <v>10</v>
      </c>
      <c r="E88" s="42">
        <v>4.0000000000000001E-3</v>
      </c>
      <c r="F88" s="14"/>
      <c r="G88" s="14"/>
    </row>
    <row r="89" spans="1:7" ht="16.5" customHeight="1" x14ac:dyDescent="0.3">
      <c r="A89" s="14"/>
      <c r="B89" s="89"/>
      <c r="C89" s="40" t="s">
        <v>134</v>
      </c>
      <c r="D89" s="41">
        <v>1</v>
      </c>
      <c r="E89" s="42">
        <v>0</v>
      </c>
      <c r="F89" s="14"/>
      <c r="G89" s="14"/>
    </row>
    <row r="90" spans="1:7" ht="16.5" customHeight="1" x14ac:dyDescent="0.3">
      <c r="A90" s="14"/>
      <c r="B90" s="89"/>
      <c r="C90" s="40" t="s">
        <v>274</v>
      </c>
      <c r="D90" s="41">
        <v>1</v>
      </c>
      <c r="E90" s="42">
        <v>0</v>
      </c>
      <c r="F90" s="14"/>
      <c r="G90" s="14"/>
    </row>
    <row r="91" spans="1:7" ht="16.5" customHeight="1" x14ac:dyDescent="0.3">
      <c r="A91" s="14"/>
      <c r="B91" s="89"/>
      <c r="C91" s="40" t="s">
        <v>129</v>
      </c>
      <c r="D91" s="41">
        <v>19</v>
      </c>
      <c r="E91" s="42">
        <v>8.0000000000000002E-3</v>
      </c>
      <c r="F91" s="14"/>
      <c r="G91" s="14"/>
    </row>
    <row r="92" spans="1:7" ht="16.5" customHeight="1" x14ac:dyDescent="0.3">
      <c r="A92" s="14"/>
      <c r="B92" s="89"/>
      <c r="C92" s="40" t="s">
        <v>190</v>
      </c>
      <c r="D92" s="41">
        <v>1</v>
      </c>
      <c r="E92" s="42">
        <v>0</v>
      </c>
      <c r="F92" s="14"/>
      <c r="G92" s="14"/>
    </row>
    <row r="93" spans="1:7" ht="16.5" customHeight="1" x14ac:dyDescent="0.3">
      <c r="A93" s="14"/>
      <c r="B93" s="89"/>
      <c r="C93" s="40" t="s">
        <v>191</v>
      </c>
      <c r="D93" s="41">
        <v>3</v>
      </c>
      <c r="E93" s="42">
        <v>1E-3</v>
      </c>
      <c r="F93" s="14"/>
      <c r="G93" s="14"/>
    </row>
    <row r="94" spans="1:7" ht="16.5" customHeight="1" x14ac:dyDescent="0.3">
      <c r="A94" s="14"/>
      <c r="B94" s="89"/>
      <c r="C94" s="40" t="s">
        <v>136</v>
      </c>
      <c r="D94" s="41">
        <v>1</v>
      </c>
      <c r="E94" s="42">
        <v>0</v>
      </c>
      <c r="F94" s="14"/>
      <c r="G94" s="14"/>
    </row>
    <row r="95" spans="1:7" ht="16.5" customHeight="1" x14ac:dyDescent="0.3">
      <c r="A95" s="14"/>
      <c r="B95" s="89"/>
      <c r="C95" s="40" t="s">
        <v>194</v>
      </c>
      <c r="D95" s="41">
        <v>1</v>
      </c>
      <c r="E95" s="42">
        <v>0</v>
      </c>
      <c r="F95" s="14"/>
      <c r="G95" s="14"/>
    </row>
    <row r="96" spans="1:7" ht="16.5" x14ac:dyDescent="0.3">
      <c r="A96" s="14"/>
      <c r="B96" s="90"/>
      <c r="C96" s="35" t="s">
        <v>318</v>
      </c>
      <c r="D96" s="36">
        <v>77</v>
      </c>
      <c r="E96" s="37">
        <v>3.2000000000000001E-2</v>
      </c>
      <c r="F96" s="14"/>
      <c r="G96" s="14"/>
    </row>
    <row r="97" spans="1:7" ht="16.5" customHeight="1" x14ac:dyDescent="0.3">
      <c r="A97" s="14"/>
      <c r="B97" s="88" t="s">
        <v>72</v>
      </c>
      <c r="C97" s="40" t="s">
        <v>164</v>
      </c>
      <c r="D97" s="41">
        <v>1</v>
      </c>
      <c r="E97" s="42">
        <v>0</v>
      </c>
      <c r="F97" s="14"/>
      <c r="G97" s="14"/>
    </row>
    <row r="98" spans="1:7" ht="16.5" customHeight="1" x14ac:dyDescent="0.3">
      <c r="A98" s="14"/>
      <c r="B98" s="89"/>
      <c r="C98" s="40" t="s">
        <v>127</v>
      </c>
      <c r="D98" s="41">
        <v>1</v>
      </c>
      <c r="E98" s="42">
        <v>0</v>
      </c>
      <c r="F98" s="14"/>
      <c r="G98" s="14"/>
    </row>
    <row r="99" spans="1:7" ht="16.5" customHeight="1" x14ac:dyDescent="0.3">
      <c r="A99" s="14"/>
      <c r="B99" s="89"/>
      <c r="C99" s="40" t="s">
        <v>195</v>
      </c>
      <c r="D99" s="41">
        <v>1</v>
      </c>
      <c r="E99" s="42">
        <v>0</v>
      </c>
      <c r="F99" s="14"/>
      <c r="G99" s="14"/>
    </row>
    <row r="100" spans="1:7" ht="16.5" x14ac:dyDescent="0.3">
      <c r="A100" s="14"/>
      <c r="B100" s="90"/>
      <c r="C100" s="35" t="s">
        <v>318</v>
      </c>
      <c r="D100" s="36">
        <v>3</v>
      </c>
      <c r="E100" s="37">
        <v>1E-3</v>
      </c>
      <c r="F100" s="14"/>
      <c r="G100" s="14"/>
    </row>
    <row r="101" spans="1:7" ht="16.5" customHeight="1" x14ac:dyDescent="0.3">
      <c r="A101" s="14"/>
      <c r="B101" s="88" t="s">
        <v>261</v>
      </c>
      <c r="C101" s="40" t="s">
        <v>139</v>
      </c>
      <c r="D101" s="41">
        <v>1</v>
      </c>
      <c r="E101" s="42">
        <v>0</v>
      </c>
      <c r="F101" s="14"/>
      <c r="G101" s="14"/>
    </row>
    <row r="102" spans="1:7" ht="16.5" customHeight="1" x14ac:dyDescent="0.3">
      <c r="A102" s="14"/>
      <c r="B102" s="89"/>
      <c r="C102" s="40" t="s">
        <v>127</v>
      </c>
      <c r="D102" s="41">
        <v>3</v>
      </c>
      <c r="E102" s="42">
        <v>1E-3</v>
      </c>
      <c r="F102" s="14"/>
      <c r="G102" s="14"/>
    </row>
    <row r="103" spans="1:7" ht="16.5" customHeight="1" x14ac:dyDescent="0.3">
      <c r="A103" s="14"/>
      <c r="B103" s="89"/>
      <c r="C103" s="40" t="s">
        <v>173</v>
      </c>
      <c r="D103" s="41">
        <v>1</v>
      </c>
      <c r="E103" s="42">
        <v>0</v>
      </c>
      <c r="F103" s="14"/>
      <c r="G103" s="14"/>
    </row>
    <row r="104" spans="1:7" ht="16.5" x14ac:dyDescent="0.3">
      <c r="A104" s="14"/>
      <c r="B104" s="90"/>
      <c r="C104" s="35" t="s">
        <v>318</v>
      </c>
      <c r="D104" s="36">
        <v>5</v>
      </c>
      <c r="E104" s="37">
        <v>2E-3</v>
      </c>
      <c r="F104" s="14"/>
      <c r="G104" s="14"/>
    </row>
    <row r="105" spans="1:7" ht="16.5" customHeight="1" x14ac:dyDescent="0.3">
      <c r="A105" s="14"/>
      <c r="B105" s="88" t="s">
        <v>75</v>
      </c>
      <c r="C105" s="40" t="s">
        <v>145</v>
      </c>
      <c r="D105" s="41">
        <v>1</v>
      </c>
      <c r="E105" s="42">
        <v>0</v>
      </c>
      <c r="F105" s="14"/>
      <c r="G105" s="14"/>
    </row>
    <row r="106" spans="1:7" ht="16.5" customHeight="1" x14ac:dyDescent="0.3">
      <c r="A106" s="14"/>
      <c r="B106" s="89"/>
      <c r="C106" s="40" t="s">
        <v>127</v>
      </c>
      <c r="D106" s="41">
        <v>3</v>
      </c>
      <c r="E106" s="42">
        <v>1E-3</v>
      </c>
      <c r="F106" s="14"/>
      <c r="G106" s="14"/>
    </row>
    <row r="107" spans="1:7" ht="16.5" customHeight="1" x14ac:dyDescent="0.3">
      <c r="A107" s="14"/>
      <c r="B107" s="89"/>
      <c r="C107" s="40" t="s">
        <v>173</v>
      </c>
      <c r="D107" s="41">
        <v>1</v>
      </c>
      <c r="E107" s="42">
        <v>0</v>
      </c>
      <c r="F107" s="14"/>
      <c r="G107" s="14"/>
    </row>
    <row r="108" spans="1:7" ht="16.5" x14ac:dyDescent="0.3">
      <c r="A108" s="14"/>
      <c r="B108" s="90"/>
      <c r="C108" s="35" t="s">
        <v>318</v>
      </c>
      <c r="D108" s="36">
        <v>5</v>
      </c>
      <c r="E108" s="37">
        <v>2E-3</v>
      </c>
      <c r="F108" s="14"/>
      <c r="G108" s="14"/>
    </row>
    <row r="109" spans="1:7" ht="16.5" customHeight="1" x14ac:dyDescent="0.3">
      <c r="A109" s="14"/>
      <c r="B109" s="88" t="s">
        <v>62</v>
      </c>
      <c r="C109" s="40" t="s">
        <v>137</v>
      </c>
      <c r="D109" s="41">
        <v>1</v>
      </c>
      <c r="E109" s="42">
        <v>0</v>
      </c>
      <c r="F109" s="14"/>
      <c r="G109" s="14"/>
    </row>
    <row r="110" spans="1:7" ht="16.5" customHeight="1" x14ac:dyDescent="0.3">
      <c r="A110" s="14"/>
      <c r="B110" s="89"/>
      <c r="C110" s="40" t="s">
        <v>138</v>
      </c>
      <c r="D110" s="41">
        <v>1</v>
      </c>
      <c r="E110" s="42">
        <v>0</v>
      </c>
      <c r="F110" s="14"/>
      <c r="G110" s="14"/>
    </row>
    <row r="111" spans="1:7" ht="16.5" customHeight="1" x14ac:dyDescent="0.3">
      <c r="A111" s="14"/>
      <c r="B111" s="89"/>
      <c r="C111" s="40" t="s">
        <v>151</v>
      </c>
      <c r="D111" s="41">
        <v>2</v>
      </c>
      <c r="E111" s="42">
        <v>1E-3</v>
      </c>
      <c r="F111" s="14"/>
      <c r="G111" s="14"/>
    </row>
    <row r="112" spans="1:7" ht="16.5" customHeight="1" x14ac:dyDescent="0.3">
      <c r="A112" s="14"/>
      <c r="B112" s="89"/>
      <c r="C112" s="40" t="s">
        <v>163</v>
      </c>
      <c r="D112" s="41">
        <v>1</v>
      </c>
      <c r="E112" s="42">
        <v>0</v>
      </c>
      <c r="F112" s="14"/>
      <c r="G112" s="14"/>
    </row>
    <row r="113" spans="1:7" ht="16.5" customHeight="1" x14ac:dyDescent="0.3">
      <c r="A113" s="14"/>
      <c r="B113" s="89"/>
      <c r="C113" s="40" t="s">
        <v>126</v>
      </c>
      <c r="D113" s="41">
        <v>1</v>
      </c>
      <c r="E113" s="42">
        <v>0</v>
      </c>
      <c r="F113" s="14"/>
      <c r="G113" s="14"/>
    </row>
    <row r="114" spans="1:7" ht="16.5" customHeight="1" x14ac:dyDescent="0.3">
      <c r="A114" s="14"/>
      <c r="B114" s="89"/>
      <c r="C114" s="40" t="s">
        <v>171</v>
      </c>
      <c r="D114" s="41">
        <v>1</v>
      </c>
      <c r="E114" s="42">
        <v>0</v>
      </c>
      <c r="F114" s="14"/>
      <c r="G114" s="14"/>
    </row>
    <row r="115" spans="1:7" ht="16.5" customHeight="1" x14ac:dyDescent="0.3">
      <c r="A115" s="14"/>
      <c r="B115" s="89"/>
      <c r="C115" s="40" t="s">
        <v>127</v>
      </c>
      <c r="D115" s="41">
        <v>12</v>
      </c>
      <c r="E115" s="42">
        <v>5.0000000000000001E-3</v>
      </c>
      <c r="F115" s="14"/>
      <c r="G115" s="14"/>
    </row>
    <row r="116" spans="1:7" ht="16.5" customHeight="1" x14ac:dyDescent="0.3">
      <c r="A116" s="14"/>
      <c r="B116" s="89"/>
      <c r="C116" s="40" t="s">
        <v>134</v>
      </c>
      <c r="D116" s="41">
        <v>4</v>
      </c>
      <c r="E116" s="42">
        <v>2E-3</v>
      </c>
      <c r="F116" s="14"/>
      <c r="G116" s="14"/>
    </row>
    <row r="117" spans="1:7" ht="16.5" customHeight="1" x14ac:dyDescent="0.3">
      <c r="A117" s="14"/>
      <c r="B117" s="89"/>
      <c r="C117" s="40" t="s">
        <v>132</v>
      </c>
      <c r="D117" s="41">
        <v>3</v>
      </c>
      <c r="E117" s="42">
        <v>1E-3</v>
      </c>
      <c r="F117" s="14"/>
      <c r="G117" s="14"/>
    </row>
    <row r="118" spans="1:7" ht="16.5" x14ac:dyDescent="0.3">
      <c r="A118" s="14"/>
      <c r="B118" s="90"/>
      <c r="C118" s="35" t="s">
        <v>318</v>
      </c>
      <c r="D118" s="36">
        <v>26</v>
      </c>
      <c r="E118" s="37">
        <v>1.0999999999999999E-2</v>
      </c>
      <c r="F118" s="14"/>
      <c r="G118" s="14"/>
    </row>
    <row r="119" spans="1:7" ht="16.5" customHeight="1" x14ac:dyDescent="0.3">
      <c r="A119" s="14"/>
      <c r="B119" s="88" t="s">
        <v>52</v>
      </c>
      <c r="C119" s="40" t="s">
        <v>139</v>
      </c>
      <c r="D119" s="41">
        <v>1</v>
      </c>
      <c r="E119" s="42">
        <v>0</v>
      </c>
      <c r="F119" s="14"/>
      <c r="G119" s="14"/>
    </row>
    <row r="120" spans="1:7" ht="16.5" customHeight="1" x14ac:dyDescent="0.3">
      <c r="A120" s="14"/>
      <c r="B120" s="89"/>
      <c r="C120" s="40" t="s">
        <v>141</v>
      </c>
      <c r="D120" s="41">
        <v>1</v>
      </c>
      <c r="E120" s="42">
        <v>0</v>
      </c>
      <c r="F120" s="14"/>
      <c r="G120" s="14"/>
    </row>
    <row r="121" spans="1:7" ht="16.5" customHeight="1" x14ac:dyDescent="0.3">
      <c r="A121" s="14"/>
      <c r="B121" s="89"/>
      <c r="C121" s="40" t="s">
        <v>142</v>
      </c>
      <c r="D121" s="41">
        <v>1</v>
      </c>
      <c r="E121" s="42">
        <v>0</v>
      </c>
      <c r="F121" s="14"/>
      <c r="G121" s="14"/>
    </row>
    <row r="122" spans="1:7" ht="16.5" customHeight="1" x14ac:dyDescent="0.3">
      <c r="A122" s="14"/>
      <c r="B122" s="89"/>
      <c r="C122" s="40" t="s">
        <v>125</v>
      </c>
      <c r="D122" s="41">
        <v>1</v>
      </c>
      <c r="E122" s="42">
        <v>0</v>
      </c>
      <c r="F122" s="14"/>
      <c r="G122" s="14"/>
    </row>
    <row r="123" spans="1:7" ht="16.5" customHeight="1" x14ac:dyDescent="0.3">
      <c r="A123" s="14"/>
      <c r="B123" s="89"/>
      <c r="C123" s="40" t="s">
        <v>131</v>
      </c>
      <c r="D123" s="41">
        <v>1</v>
      </c>
      <c r="E123" s="42">
        <v>0</v>
      </c>
      <c r="F123" s="14"/>
      <c r="G123" s="14"/>
    </row>
    <row r="124" spans="1:7" ht="16.5" customHeight="1" x14ac:dyDescent="0.3">
      <c r="A124" s="14"/>
      <c r="B124" s="89"/>
      <c r="C124" s="40" t="s">
        <v>158</v>
      </c>
      <c r="D124" s="41">
        <v>1</v>
      </c>
      <c r="E124" s="42">
        <v>0</v>
      </c>
      <c r="F124" s="14"/>
      <c r="G124" s="14"/>
    </row>
    <row r="125" spans="1:7" ht="16.5" customHeight="1" x14ac:dyDescent="0.3">
      <c r="A125" s="14"/>
      <c r="B125" s="89"/>
      <c r="C125" s="40" t="s">
        <v>164</v>
      </c>
      <c r="D125" s="41">
        <v>1</v>
      </c>
      <c r="E125" s="42">
        <v>0</v>
      </c>
      <c r="F125" s="14"/>
      <c r="G125" s="14"/>
    </row>
    <row r="126" spans="1:7" ht="16.5" customHeight="1" x14ac:dyDescent="0.3">
      <c r="A126" s="14"/>
      <c r="B126" s="89"/>
      <c r="C126" s="40" t="s">
        <v>165</v>
      </c>
      <c r="D126" s="41">
        <v>2</v>
      </c>
      <c r="E126" s="42">
        <v>1E-3</v>
      </c>
      <c r="F126" s="14"/>
      <c r="G126" s="14"/>
    </row>
    <row r="127" spans="1:7" ht="16.5" customHeight="1" x14ac:dyDescent="0.3">
      <c r="A127" s="14"/>
      <c r="B127" s="89"/>
      <c r="C127" s="40" t="s">
        <v>127</v>
      </c>
      <c r="D127" s="41">
        <v>19</v>
      </c>
      <c r="E127" s="42">
        <v>8.0000000000000002E-3</v>
      </c>
      <c r="F127" s="14"/>
      <c r="G127" s="14"/>
    </row>
    <row r="128" spans="1:7" ht="16.5" customHeight="1" x14ac:dyDescent="0.3">
      <c r="A128" s="14"/>
      <c r="B128" s="89"/>
      <c r="C128" s="40" t="s">
        <v>173</v>
      </c>
      <c r="D128" s="41">
        <v>2</v>
      </c>
      <c r="E128" s="42">
        <v>1E-3</v>
      </c>
      <c r="F128" s="14"/>
      <c r="G128" s="14"/>
    </row>
    <row r="129" spans="1:7" ht="16.5" customHeight="1" x14ac:dyDescent="0.3">
      <c r="A129" s="14"/>
      <c r="B129" s="89"/>
      <c r="C129" s="40" t="s">
        <v>274</v>
      </c>
      <c r="D129" s="41">
        <v>1</v>
      </c>
      <c r="E129" s="42">
        <v>0</v>
      </c>
      <c r="F129" s="14"/>
      <c r="G129" s="14"/>
    </row>
    <row r="130" spans="1:7" ht="16.5" customHeight="1" x14ac:dyDescent="0.3">
      <c r="A130" s="14"/>
      <c r="B130" s="89"/>
      <c r="C130" s="40" t="s">
        <v>180</v>
      </c>
      <c r="D130" s="41">
        <v>1</v>
      </c>
      <c r="E130" s="42">
        <v>0</v>
      </c>
      <c r="F130" s="14"/>
      <c r="G130" s="14"/>
    </row>
    <row r="131" spans="1:7" ht="16.5" customHeight="1" x14ac:dyDescent="0.3">
      <c r="A131" s="14"/>
      <c r="B131" s="89"/>
      <c r="C131" s="40" t="s">
        <v>183</v>
      </c>
      <c r="D131" s="41">
        <v>1</v>
      </c>
      <c r="E131" s="42">
        <v>0</v>
      </c>
      <c r="F131" s="14"/>
      <c r="G131" s="14"/>
    </row>
    <row r="132" spans="1:7" ht="16.5" customHeight="1" x14ac:dyDescent="0.3">
      <c r="A132" s="14"/>
      <c r="B132" s="89"/>
      <c r="C132" s="40" t="s">
        <v>189</v>
      </c>
      <c r="D132" s="41">
        <v>2</v>
      </c>
      <c r="E132" s="42">
        <v>1E-3</v>
      </c>
      <c r="F132" s="14"/>
      <c r="G132" s="14"/>
    </row>
    <row r="133" spans="1:7" ht="16.5" customHeight="1" x14ac:dyDescent="0.3">
      <c r="A133" s="14"/>
      <c r="B133" s="89"/>
      <c r="C133" s="40" t="s">
        <v>135</v>
      </c>
      <c r="D133" s="41">
        <v>1</v>
      </c>
      <c r="E133" s="42">
        <v>0</v>
      </c>
      <c r="F133" s="14"/>
      <c r="G133" s="14"/>
    </row>
    <row r="134" spans="1:7" ht="16.5" customHeight="1" x14ac:dyDescent="0.3">
      <c r="A134" s="14"/>
      <c r="B134" s="89"/>
      <c r="C134" s="40" t="s">
        <v>194</v>
      </c>
      <c r="D134" s="41">
        <v>2</v>
      </c>
      <c r="E134" s="42">
        <v>1E-3</v>
      </c>
      <c r="F134" s="14"/>
      <c r="G134" s="14"/>
    </row>
    <row r="135" spans="1:7" ht="16.5" x14ac:dyDescent="0.3">
      <c r="A135" s="14"/>
      <c r="B135" s="90"/>
      <c r="C135" s="35" t="s">
        <v>318</v>
      </c>
      <c r="D135" s="36">
        <v>38</v>
      </c>
      <c r="E135" s="37">
        <v>1.6E-2</v>
      </c>
      <c r="F135" s="14"/>
      <c r="G135" s="14"/>
    </row>
    <row r="136" spans="1:7" ht="16.5" customHeight="1" x14ac:dyDescent="0.3">
      <c r="A136" s="14"/>
      <c r="B136" s="88" t="s">
        <v>77</v>
      </c>
      <c r="C136" s="40" t="s">
        <v>265</v>
      </c>
      <c r="D136" s="41">
        <v>1</v>
      </c>
      <c r="E136" s="42">
        <v>0</v>
      </c>
      <c r="F136" s="14"/>
      <c r="G136" s="14"/>
    </row>
    <row r="137" spans="1:7" ht="16.5" customHeight="1" x14ac:dyDescent="0.3">
      <c r="A137" s="14"/>
      <c r="B137" s="89"/>
      <c r="C137" s="40" t="s">
        <v>127</v>
      </c>
      <c r="D137" s="41">
        <v>3</v>
      </c>
      <c r="E137" s="42">
        <v>1E-3</v>
      </c>
      <c r="F137" s="14"/>
      <c r="G137" s="14"/>
    </row>
    <row r="138" spans="1:7" ht="16.5" customHeight="1" x14ac:dyDescent="0.3">
      <c r="A138" s="14"/>
      <c r="B138" s="89"/>
      <c r="C138" s="40" t="s">
        <v>134</v>
      </c>
      <c r="D138" s="41">
        <v>1</v>
      </c>
      <c r="E138" s="42">
        <v>0</v>
      </c>
      <c r="F138" s="14"/>
      <c r="G138" s="14"/>
    </row>
    <row r="139" spans="1:7" ht="16.5" customHeight="1" x14ac:dyDescent="0.3">
      <c r="A139" s="14"/>
      <c r="B139" s="89"/>
      <c r="C139" s="40" t="s">
        <v>190</v>
      </c>
      <c r="D139" s="41">
        <v>1</v>
      </c>
      <c r="E139" s="42">
        <v>0</v>
      </c>
      <c r="F139" s="14"/>
      <c r="G139" s="14"/>
    </row>
    <row r="140" spans="1:7" ht="16.5" customHeight="1" x14ac:dyDescent="0.3">
      <c r="A140" s="14"/>
      <c r="B140" s="89"/>
      <c r="C140" s="40" t="s">
        <v>191</v>
      </c>
      <c r="D140" s="41">
        <v>3</v>
      </c>
      <c r="E140" s="42">
        <v>1E-3</v>
      </c>
      <c r="F140" s="14"/>
      <c r="G140" s="14"/>
    </row>
    <row r="141" spans="1:7" ht="16.5" customHeight="1" x14ac:dyDescent="0.3">
      <c r="A141" s="14"/>
      <c r="B141" s="89"/>
      <c r="C141" s="40" t="s">
        <v>194</v>
      </c>
      <c r="D141" s="41">
        <v>1</v>
      </c>
      <c r="E141" s="42">
        <v>0</v>
      </c>
      <c r="F141" s="14"/>
      <c r="G141" s="14"/>
    </row>
    <row r="142" spans="1:7" ht="16.5" x14ac:dyDescent="0.3">
      <c r="A142" s="14"/>
      <c r="B142" s="90"/>
      <c r="C142" s="35" t="s">
        <v>318</v>
      </c>
      <c r="D142" s="36">
        <v>10</v>
      </c>
      <c r="E142" s="37">
        <v>4.0000000000000001E-3</v>
      </c>
      <c r="F142" s="14"/>
      <c r="G142" s="14"/>
    </row>
    <row r="143" spans="1:7" ht="16.5" customHeight="1" x14ac:dyDescent="0.3">
      <c r="A143" s="14"/>
      <c r="B143" s="88" t="s">
        <v>55</v>
      </c>
      <c r="C143" s="40" t="s">
        <v>138</v>
      </c>
      <c r="D143" s="41">
        <v>1</v>
      </c>
      <c r="E143" s="42">
        <v>0</v>
      </c>
      <c r="F143" s="14"/>
      <c r="G143" s="14"/>
    </row>
    <row r="144" spans="1:7" ht="16.5" customHeight="1" x14ac:dyDescent="0.3">
      <c r="A144" s="14"/>
      <c r="B144" s="89"/>
      <c r="C144" s="40" t="s">
        <v>141</v>
      </c>
      <c r="D144" s="41">
        <v>15</v>
      </c>
      <c r="E144" s="42">
        <v>6.0000000000000001E-3</v>
      </c>
      <c r="F144" s="14"/>
      <c r="G144" s="14"/>
    </row>
    <row r="145" spans="1:7" ht="16.5" customHeight="1" x14ac:dyDescent="0.3">
      <c r="A145" s="14"/>
      <c r="B145" s="89"/>
      <c r="C145" s="40" t="s">
        <v>147</v>
      </c>
      <c r="D145" s="41">
        <v>1</v>
      </c>
      <c r="E145" s="42">
        <v>0</v>
      </c>
      <c r="F145" s="14"/>
      <c r="G145" s="14"/>
    </row>
    <row r="146" spans="1:7" ht="16.5" customHeight="1" x14ac:dyDescent="0.3">
      <c r="A146" s="14"/>
      <c r="B146" s="89"/>
      <c r="C146" s="40" t="s">
        <v>164</v>
      </c>
      <c r="D146" s="41">
        <v>1</v>
      </c>
      <c r="E146" s="42">
        <v>0</v>
      </c>
      <c r="F146" s="14"/>
      <c r="G146" s="14"/>
    </row>
    <row r="147" spans="1:7" ht="16.5" customHeight="1" x14ac:dyDescent="0.3">
      <c r="A147" s="14"/>
      <c r="B147" s="89"/>
      <c r="C147" s="40" t="s">
        <v>170</v>
      </c>
      <c r="D147" s="41">
        <v>1</v>
      </c>
      <c r="E147" s="42">
        <v>0</v>
      </c>
      <c r="F147" s="14"/>
      <c r="G147" s="14"/>
    </row>
    <row r="148" spans="1:7" ht="16.5" customHeight="1" x14ac:dyDescent="0.3">
      <c r="A148" s="14"/>
      <c r="B148" s="89"/>
      <c r="C148" s="40" t="s">
        <v>127</v>
      </c>
      <c r="D148" s="41">
        <v>7</v>
      </c>
      <c r="E148" s="42">
        <v>3.0000000000000001E-3</v>
      </c>
      <c r="F148" s="14"/>
      <c r="G148" s="14"/>
    </row>
    <row r="149" spans="1:7" ht="16.5" customHeight="1" x14ac:dyDescent="0.3">
      <c r="A149" s="14"/>
      <c r="B149" s="89"/>
      <c r="C149" s="40" t="s">
        <v>132</v>
      </c>
      <c r="D149" s="41">
        <v>1</v>
      </c>
      <c r="E149" s="42">
        <v>0</v>
      </c>
      <c r="F149" s="14"/>
      <c r="G149" s="14"/>
    </row>
    <row r="150" spans="1:7" ht="16.5" customHeight="1" x14ac:dyDescent="0.3">
      <c r="A150" s="14"/>
      <c r="B150" s="89"/>
      <c r="C150" s="40" t="s">
        <v>275</v>
      </c>
      <c r="D150" s="41">
        <v>1</v>
      </c>
      <c r="E150" s="42">
        <v>0</v>
      </c>
      <c r="F150" s="14"/>
      <c r="G150" s="14"/>
    </row>
    <row r="151" spans="1:7" ht="16.5" customHeight="1" x14ac:dyDescent="0.3">
      <c r="A151" s="14"/>
      <c r="B151" s="89"/>
      <c r="C151" s="40" t="s">
        <v>192</v>
      </c>
      <c r="D151" s="41">
        <v>1</v>
      </c>
      <c r="E151" s="42">
        <v>0</v>
      </c>
      <c r="F151" s="14"/>
      <c r="G151" s="14"/>
    </row>
    <row r="152" spans="1:7" ht="16.5" x14ac:dyDescent="0.3">
      <c r="A152" s="14"/>
      <c r="B152" s="90"/>
      <c r="C152" s="35" t="s">
        <v>318</v>
      </c>
      <c r="D152" s="36">
        <v>29</v>
      </c>
      <c r="E152" s="37">
        <v>1.2E-2</v>
      </c>
      <c r="F152" s="14"/>
      <c r="G152" s="14"/>
    </row>
    <row r="153" spans="1:7" ht="16.5" customHeight="1" x14ac:dyDescent="0.3">
      <c r="A153" s="14"/>
      <c r="B153" s="88" t="s">
        <v>82</v>
      </c>
      <c r="C153" s="40" t="s">
        <v>127</v>
      </c>
      <c r="D153" s="41">
        <v>1</v>
      </c>
      <c r="E153" s="42">
        <v>0</v>
      </c>
      <c r="F153" s="14"/>
      <c r="G153" s="14"/>
    </row>
    <row r="154" spans="1:7" ht="16.5" customHeight="1" x14ac:dyDescent="0.3">
      <c r="A154" s="14"/>
      <c r="B154" s="89"/>
      <c r="C154" s="40" t="s">
        <v>183</v>
      </c>
      <c r="D154" s="41">
        <v>2</v>
      </c>
      <c r="E154" s="42">
        <v>1E-3</v>
      </c>
      <c r="F154" s="14"/>
      <c r="G154" s="14"/>
    </row>
    <row r="155" spans="1:7" ht="16.5" customHeight="1" x14ac:dyDescent="0.3">
      <c r="A155" s="14"/>
      <c r="B155" s="89"/>
      <c r="C155" s="40" t="s">
        <v>129</v>
      </c>
      <c r="D155" s="41">
        <v>1</v>
      </c>
      <c r="E155" s="42">
        <v>0</v>
      </c>
      <c r="F155" s="14"/>
      <c r="G155" s="14"/>
    </row>
    <row r="156" spans="1:7" ht="16.5" x14ac:dyDescent="0.3">
      <c r="A156" s="14"/>
      <c r="B156" s="90"/>
      <c r="C156" s="35" t="s">
        <v>318</v>
      </c>
      <c r="D156" s="36">
        <v>4</v>
      </c>
      <c r="E156" s="37">
        <v>2E-3</v>
      </c>
      <c r="F156" s="14"/>
      <c r="G156" s="14"/>
    </row>
    <row r="157" spans="1:7" ht="16.5" customHeight="1" x14ac:dyDescent="0.3">
      <c r="A157" s="14"/>
      <c r="B157" s="88" t="s">
        <v>49</v>
      </c>
      <c r="C157" s="40" t="s">
        <v>137</v>
      </c>
      <c r="D157" s="41">
        <v>1</v>
      </c>
      <c r="E157" s="42">
        <v>0</v>
      </c>
      <c r="F157" s="14"/>
      <c r="G157" s="14"/>
    </row>
    <row r="158" spans="1:7" ht="16.5" customHeight="1" x14ac:dyDescent="0.3">
      <c r="A158" s="14"/>
      <c r="B158" s="89"/>
      <c r="C158" s="40" t="s">
        <v>141</v>
      </c>
      <c r="D158" s="41">
        <v>4</v>
      </c>
      <c r="E158" s="42">
        <v>2E-3</v>
      </c>
      <c r="F158" s="14"/>
      <c r="G158" s="14"/>
    </row>
    <row r="159" spans="1:7" ht="16.5" customHeight="1" x14ac:dyDescent="0.3">
      <c r="A159" s="14"/>
      <c r="B159" s="89"/>
      <c r="C159" s="40" t="s">
        <v>142</v>
      </c>
      <c r="D159" s="41">
        <v>1</v>
      </c>
      <c r="E159" s="42">
        <v>0</v>
      </c>
      <c r="F159" s="14"/>
      <c r="G159" s="14"/>
    </row>
    <row r="160" spans="1:7" ht="16.5" customHeight="1" x14ac:dyDescent="0.3">
      <c r="A160" s="14"/>
      <c r="B160" s="89"/>
      <c r="C160" s="40" t="s">
        <v>145</v>
      </c>
      <c r="D160" s="41">
        <v>3</v>
      </c>
      <c r="E160" s="42">
        <v>1E-3</v>
      </c>
      <c r="F160" s="14"/>
      <c r="G160" s="14"/>
    </row>
    <row r="161" spans="1:7" ht="16.5" customHeight="1" x14ac:dyDescent="0.3">
      <c r="A161" s="14"/>
      <c r="B161" s="89"/>
      <c r="C161" s="40" t="s">
        <v>151</v>
      </c>
      <c r="D161" s="41">
        <v>1</v>
      </c>
      <c r="E161" s="42">
        <v>0</v>
      </c>
      <c r="F161" s="14"/>
      <c r="G161" s="14"/>
    </row>
    <row r="162" spans="1:7" ht="16.5" customHeight="1" x14ac:dyDescent="0.3">
      <c r="A162" s="14"/>
      <c r="B162" s="89"/>
      <c r="C162" s="40" t="s">
        <v>265</v>
      </c>
      <c r="D162" s="41">
        <v>1</v>
      </c>
      <c r="E162" s="42">
        <v>0</v>
      </c>
      <c r="F162" s="14"/>
      <c r="G162" s="14"/>
    </row>
    <row r="163" spans="1:7" ht="16.5" customHeight="1" x14ac:dyDescent="0.3">
      <c r="A163" s="14"/>
      <c r="B163" s="89"/>
      <c r="C163" s="40" t="s">
        <v>157</v>
      </c>
      <c r="D163" s="41">
        <v>1</v>
      </c>
      <c r="E163" s="42">
        <v>0</v>
      </c>
      <c r="F163" s="14"/>
      <c r="G163" s="14"/>
    </row>
    <row r="164" spans="1:7" ht="16.5" customHeight="1" x14ac:dyDescent="0.3">
      <c r="A164" s="14"/>
      <c r="B164" s="89"/>
      <c r="C164" s="40" t="s">
        <v>163</v>
      </c>
      <c r="D164" s="41">
        <v>1</v>
      </c>
      <c r="E164" s="42">
        <v>0</v>
      </c>
      <c r="F164" s="14"/>
      <c r="G164" s="14"/>
    </row>
    <row r="165" spans="1:7" ht="16.5" customHeight="1" x14ac:dyDescent="0.3">
      <c r="A165" s="14"/>
      <c r="B165" s="89"/>
      <c r="C165" s="40" t="s">
        <v>165</v>
      </c>
      <c r="D165" s="41">
        <v>1</v>
      </c>
      <c r="E165" s="42">
        <v>0</v>
      </c>
      <c r="F165" s="14"/>
      <c r="G165" s="14"/>
    </row>
    <row r="166" spans="1:7" ht="16.5" customHeight="1" x14ac:dyDescent="0.3">
      <c r="A166" s="14"/>
      <c r="B166" s="89"/>
      <c r="C166" s="40" t="s">
        <v>169</v>
      </c>
      <c r="D166" s="41">
        <v>2</v>
      </c>
      <c r="E166" s="42">
        <v>1E-3</v>
      </c>
      <c r="F166" s="14"/>
      <c r="G166" s="14"/>
    </row>
    <row r="167" spans="1:7" ht="16.5" customHeight="1" x14ac:dyDescent="0.3">
      <c r="A167" s="14"/>
      <c r="B167" s="89"/>
      <c r="C167" s="40" t="s">
        <v>198</v>
      </c>
      <c r="D167" s="41">
        <v>2</v>
      </c>
      <c r="E167" s="42">
        <v>1E-3</v>
      </c>
      <c r="F167" s="14"/>
      <c r="G167" s="14"/>
    </row>
    <row r="168" spans="1:7" ht="16.5" customHeight="1" x14ac:dyDescent="0.3">
      <c r="A168" s="14"/>
      <c r="B168" s="89"/>
      <c r="C168" s="40" t="s">
        <v>126</v>
      </c>
      <c r="D168" s="41">
        <v>1</v>
      </c>
      <c r="E168" s="42">
        <v>0</v>
      </c>
      <c r="F168" s="14"/>
      <c r="G168" s="14"/>
    </row>
    <row r="169" spans="1:7" ht="16.5" customHeight="1" x14ac:dyDescent="0.3">
      <c r="A169" s="14"/>
      <c r="B169" s="89"/>
      <c r="C169" s="40" t="s">
        <v>170</v>
      </c>
      <c r="D169" s="41">
        <v>19</v>
      </c>
      <c r="E169" s="42">
        <v>8.0000000000000002E-3</v>
      </c>
      <c r="F169" s="14"/>
      <c r="G169" s="14"/>
    </row>
    <row r="170" spans="1:7" ht="16.5" customHeight="1" x14ac:dyDescent="0.3">
      <c r="A170" s="14"/>
      <c r="B170" s="89"/>
      <c r="C170" s="40" t="s">
        <v>127</v>
      </c>
      <c r="D170" s="41">
        <v>11</v>
      </c>
      <c r="E170" s="42">
        <v>5.0000000000000001E-3</v>
      </c>
      <c r="F170" s="14"/>
      <c r="G170" s="14"/>
    </row>
    <row r="171" spans="1:7" ht="16.5" customHeight="1" x14ac:dyDescent="0.3">
      <c r="A171" s="14"/>
      <c r="B171" s="89"/>
      <c r="C171" s="40" t="s">
        <v>134</v>
      </c>
      <c r="D171" s="41">
        <v>1</v>
      </c>
      <c r="E171" s="42">
        <v>0</v>
      </c>
      <c r="F171" s="14"/>
      <c r="G171" s="14"/>
    </row>
    <row r="172" spans="1:7" ht="16.5" customHeight="1" x14ac:dyDescent="0.3">
      <c r="A172" s="14"/>
      <c r="B172" s="89"/>
      <c r="C172" s="40" t="s">
        <v>274</v>
      </c>
      <c r="D172" s="41">
        <v>1</v>
      </c>
      <c r="E172" s="42">
        <v>0</v>
      </c>
      <c r="F172" s="14"/>
      <c r="G172" s="14"/>
    </row>
    <row r="173" spans="1:7" ht="16.5" customHeight="1" x14ac:dyDescent="0.3">
      <c r="A173" s="14"/>
      <c r="B173" s="89"/>
      <c r="C173" s="40" t="s">
        <v>181</v>
      </c>
      <c r="D173" s="41">
        <v>1</v>
      </c>
      <c r="E173" s="42">
        <v>0</v>
      </c>
      <c r="F173" s="14"/>
      <c r="G173" s="14"/>
    </row>
    <row r="174" spans="1:7" ht="16.5" customHeight="1" x14ac:dyDescent="0.3">
      <c r="A174" s="14"/>
      <c r="B174" s="89"/>
      <c r="C174" s="40" t="s">
        <v>129</v>
      </c>
      <c r="D174" s="41">
        <v>2</v>
      </c>
      <c r="E174" s="42">
        <v>1E-3</v>
      </c>
      <c r="F174" s="14"/>
      <c r="G174" s="14"/>
    </row>
    <row r="175" spans="1:7" ht="16.5" customHeight="1" x14ac:dyDescent="0.3">
      <c r="A175" s="14"/>
      <c r="B175" s="89"/>
      <c r="C175" s="40" t="s">
        <v>184</v>
      </c>
      <c r="D175" s="41">
        <v>1</v>
      </c>
      <c r="E175" s="42">
        <v>0</v>
      </c>
      <c r="F175" s="14"/>
      <c r="G175" s="14"/>
    </row>
    <row r="176" spans="1:7" ht="16.5" customHeight="1" x14ac:dyDescent="0.3">
      <c r="A176" s="14"/>
      <c r="B176" s="89"/>
      <c r="C176" s="40" t="s">
        <v>191</v>
      </c>
      <c r="D176" s="41">
        <v>1</v>
      </c>
      <c r="E176" s="42">
        <v>0</v>
      </c>
      <c r="F176" s="14"/>
      <c r="G176" s="14"/>
    </row>
    <row r="177" spans="1:7" ht="16.5" x14ac:dyDescent="0.3">
      <c r="A177" s="14"/>
      <c r="B177" s="90"/>
      <c r="C177" s="35" t="s">
        <v>318</v>
      </c>
      <c r="D177" s="36">
        <v>56</v>
      </c>
      <c r="E177" s="37">
        <v>2.3E-2</v>
      </c>
      <c r="F177" s="14"/>
      <c r="G177" s="14"/>
    </row>
    <row r="178" spans="1:7" ht="16.5" customHeight="1" x14ac:dyDescent="0.3">
      <c r="A178" s="14"/>
      <c r="B178" s="88" t="s">
        <v>53</v>
      </c>
      <c r="C178" s="40" t="s">
        <v>143</v>
      </c>
      <c r="D178" s="41">
        <v>1</v>
      </c>
      <c r="E178" s="42">
        <v>0</v>
      </c>
      <c r="F178" s="14"/>
      <c r="G178" s="14"/>
    </row>
    <row r="179" spans="1:7" ht="16.5" customHeight="1" x14ac:dyDescent="0.3">
      <c r="A179" s="14"/>
      <c r="B179" s="89"/>
      <c r="C179" s="40" t="s">
        <v>158</v>
      </c>
      <c r="D179" s="41">
        <v>1</v>
      </c>
      <c r="E179" s="42">
        <v>0</v>
      </c>
      <c r="F179" s="14"/>
      <c r="G179" s="14"/>
    </row>
    <row r="180" spans="1:7" ht="16.5" customHeight="1" x14ac:dyDescent="0.3">
      <c r="A180" s="14"/>
      <c r="B180" s="89"/>
      <c r="C180" s="40" t="s">
        <v>127</v>
      </c>
      <c r="D180" s="41">
        <v>3</v>
      </c>
      <c r="E180" s="42">
        <v>1E-3</v>
      </c>
      <c r="F180" s="14"/>
      <c r="G180" s="14"/>
    </row>
    <row r="181" spans="1:7" ht="16.5" customHeight="1" x14ac:dyDescent="0.3">
      <c r="A181" s="14"/>
      <c r="B181" s="89"/>
      <c r="C181" s="40" t="s">
        <v>134</v>
      </c>
      <c r="D181" s="41">
        <v>3</v>
      </c>
      <c r="E181" s="42">
        <v>1E-3</v>
      </c>
      <c r="F181" s="14"/>
      <c r="G181" s="14"/>
    </row>
    <row r="182" spans="1:7" ht="16.5" customHeight="1" x14ac:dyDescent="0.3">
      <c r="A182" s="14"/>
      <c r="B182" s="89"/>
      <c r="C182" s="40" t="s">
        <v>173</v>
      </c>
      <c r="D182" s="41">
        <v>2</v>
      </c>
      <c r="E182" s="42">
        <v>1E-3</v>
      </c>
      <c r="F182" s="14"/>
      <c r="G182" s="14"/>
    </row>
    <row r="183" spans="1:7" ht="16.5" customHeight="1" x14ac:dyDescent="0.3">
      <c r="A183" s="14"/>
      <c r="B183" s="89"/>
      <c r="C183" s="40" t="s">
        <v>274</v>
      </c>
      <c r="D183" s="41">
        <v>1</v>
      </c>
      <c r="E183" s="42">
        <v>0</v>
      </c>
      <c r="F183" s="14"/>
      <c r="G183" s="14"/>
    </row>
    <row r="184" spans="1:7" ht="16.5" customHeight="1" x14ac:dyDescent="0.3">
      <c r="A184" s="14"/>
      <c r="B184" s="89"/>
      <c r="C184" s="40" t="s">
        <v>129</v>
      </c>
      <c r="D184" s="41">
        <v>26</v>
      </c>
      <c r="E184" s="42">
        <v>1.0999999999999999E-2</v>
      </c>
      <c r="F184" s="14"/>
      <c r="G184" s="14"/>
    </row>
    <row r="185" spans="1:7" ht="16.5" customHeight="1" x14ac:dyDescent="0.3">
      <c r="A185" s="14"/>
      <c r="B185" s="89"/>
      <c r="C185" s="40" t="s">
        <v>273</v>
      </c>
      <c r="D185" s="41">
        <v>1</v>
      </c>
      <c r="E185" s="42">
        <v>0</v>
      </c>
      <c r="F185" s="14"/>
      <c r="G185" s="14"/>
    </row>
    <row r="186" spans="1:7" ht="16.5" customHeight="1" x14ac:dyDescent="0.3">
      <c r="A186" s="14"/>
      <c r="B186" s="89"/>
      <c r="C186" s="40" t="s">
        <v>194</v>
      </c>
      <c r="D186" s="41">
        <v>2</v>
      </c>
      <c r="E186" s="42">
        <v>1E-3</v>
      </c>
      <c r="F186" s="14"/>
      <c r="G186" s="14"/>
    </row>
    <row r="187" spans="1:7" ht="16.5" x14ac:dyDescent="0.3">
      <c r="A187" s="14"/>
      <c r="B187" s="90"/>
      <c r="C187" s="35" t="s">
        <v>318</v>
      </c>
      <c r="D187" s="36">
        <v>40</v>
      </c>
      <c r="E187" s="37">
        <v>1.7000000000000001E-2</v>
      </c>
      <c r="F187" s="14"/>
      <c r="G187" s="14"/>
    </row>
    <row r="188" spans="1:7" ht="16.5" customHeight="1" x14ac:dyDescent="0.3">
      <c r="A188" s="14"/>
      <c r="B188" s="88" t="s">
        <v>42</v>
      </c>
      <c r="C188" s="40" t="s">
        <v>137</v>
      </c>
      <c r="D188" s="41">
        <v>2</v>
      </c>
      <c r="E188" s="42">
        <v>1E-3</v>
      </c>
      <c r="F188" s="14"/>
      <c r="G188" s="14"/>
    </row>
    <row r="189" spans="1:7" ht="16.5" customHeight="1" x14ac:dyDescent="0.3">
      <c r="A189" s="14"/>
      <c r="B189" s="89"/>
      <c r="C189" s="40" t="s">
        <v>133</v>
      </c>
      <c r="D189" s="41">
        <v>1</v>
      </c>
      <c r="E189" s="42">
        <v>0</v>
      </c>
      <c r="F189" s="14"/>
      <c r="G189" s="14"/>
    </row>
    <row r="190" spans="1:7" ht="16.5" customHeight="1" x14ac:dyDescent="0.3">
      <c r="A190" s="14"/>
      <c r="B190" s="89"/>
      <c r="C190" s="40" t="s">
        <v>138</v>
      </c>
      <c r="D190" s="41">
        <v>1</v>
      </c>
      <c r="E190" s="42">
        <v>0</v>
      </c>
      <c r="F190" s="14"/>
      <c r="G190" s="14"/>
    </row>
    <row r="191" spans="1:7" ht="16.5" customHeight="1" x14ac:dyDescent="0.3">
      <c r="A191" s="14"/>
      <c r="B191" s="89"/>
      <c r="C191" s="40" t="s">
        <v>139</v>
      </c>
      <c r="D191" s="41">
        <v>1</v>
      </c>
      <c r="E191" s="42">
        <v>0</v>
      </c>
      <c r="F191" s="14"/>
      <c r="G191" s="14"/>
    </row>
    <row r="192" spans="1:7" ht="16.5" customHeight="1" x14ac:dyDescent="0.3">
      <c r="A192" s="14"/>
      <c r="B192" s="89"/>
      <c r="C192" s="40" t="s">
        <v>140</v>
      </c>
      <c r="D192" s="41">
        <v>2</v>
      </c>
      <c r="E192" s="42">
        <v>1E-3</v>
      </c>
      <c r="F192" s="14"/>
      <c r="G192" s="14"/>
    </row>
    <row r="193" spans="1:7" ht="16.5" customHeight="1" x14ac:dyDescent="0.3">
      <c r="A193" s="14"/>
      <c r="B193" s="89"/>
      <c r="C193" s="40" t="s">
        <v>141</v>
      </c>
      <c r="D193" s="41">
        <v>1</v>
      </c>
      <c r="E193" s="42">
        <v>0</v>
      </c>
      <c r="F193" s="14"/>
      <c r="G193" s="14"/>
    </row>
    <row r="194" spans="1:7" ht="16.5" customHeight="1" x14ac:dyDescent="0.3">
      <c r="A194" s="14"/>
      <c r="B194" s="89"/>
      <c r="C194" s="40" t="s">
        <v>142</v>
      </c>
      <c r="D194" s="41">
        <v>2</v>
      </c>
      <c r="E194" s="42">
        <v>1E-3</v>
      </c>
      <c r="F194" s="14"/>
      <c r="G194" s="14"/>
    </row>
    <row r="195" spans="1:7" ht="16.5" customHeight="1" x14ac:dyDescent="0.3">
      <c r="A195" s="14"/>
      <c r="B195" s="89"/>
      <c r="C195" s="40" t="s">
        <v>143</v>
      </c>
      <c r="D195" s="41">
        <v>5</v>
      </c>
      <c r="E195" s="42">
        <v>2E-3</v>
      </c>
      <c r="F195" s="14"/>
      <c r="G195" s="14"/>
    </row>
    <row r="196" spans="1:7" ht="16.5" customHeight="1" x14ac:dyDescent="0.3">
      <c r="A196" s="14"/>
      <c r="B196" s="89"/>
      <c r="C196" s="40" t="s">
        <v>144</v>
      </c>
      <c r="D196" s="41">
        <v>1</v>
      </c>
      <c r="E196" s="42">
        <v>0</v>
      </c>
      <c r="F196" s="14"/>
      <c r="G196" s="14"/>
    </row>
    <row r="197" spans="1:7" ht="16.5" customHeight="1" x14ac:dyDescent="0.3">
      <c r="A197" s="14"/>
      <c r="B197" s="89"/>
      <c r="C197" s="40" t="s">
        <v>145</v>
      </c>
      <c r="D197" s="41">
        <v>10</v>
      </c>
      <c r="E197" s="42">
        <v>4.0000000000000001E-3</v>
      </c>
      <c r="F197" s="14"/>
      <c r="G197" s="14"/>
    </row>
    <row r="198" spans="1:7" ht="16.5" customHeight="1" x14ac:dyDescent="0.3">
      <c r="A198" s="14"/>
      <c r="B198" s="89"/>
      <c r="C198" s="40" t="s">
        <v>148</v>
      </c>
      <c r="D198" s="41">
        <v>1</v>
      </c>
      <c r="E198" s="42">
        <v>0</v>
      </c>
      <c r="F198" s="14"/>
      <c r="G198" s="14"/>
    </row>
    <row r="199" spans="1:7" ht="16.5" customHeight="1" x14ac:dyDescent="0.3">
      <c r="A199" s="14"/>
      <c r="B199" s="89"/>
      <c r="C199" s="40" t="s">
        <v>150</v>
      </c>
      <c r="D199" s="41">
        <v>1</v>
      </c>
      <c r="E199" s="42">
        <v>0</v>
      </c>
      <c r="F199" s="14"/>
      <c r="G199" s="14"/>
    </row>
    <row r="200" spans="1:7" ht="16.5" customHeight="1" x14ac:dyDescent="0.3">
      <c r="A200" s="14"/>
      <c r="B200" s="89"/>
      <c r="C200" s="40" t="s">
        <v>152</v>
      </c>
      <c r="D200" s="41">
        <v>2</v>
      </c>
      <c r="E200" s="42">
        <v>1E-3</v>
      </c>
      <c r="F200" s="14"/>
      <c r="G200" s="14"/>
    </row>
    <row r="201" spans="1:7" ht="16.5" customHeight="1" x14ac:dyDescent="0.3">
      <c r="A201" s="14"/>
      <c r="B201" s="89"/>
      <c r="C201" s="40" t="s">
        <v>265</v>
      </c>
      <c r="D201" s="41">
        <v>1</v>
      </c>
      <c r="E201" s="42">
        <v>0</v>
      </c>
      <c r="F201" s="14"/>
      <c r="G201" s="14"/>
    </row>
    <row r="202" spans="1:7" ht="16.5" customHeight="1" x14ac:dyDescent="0.3">
      <c r="A202" s="14"/>
      <c r="B202" s="89"/>
      <c r="C202" s="40" t="s">
        <v>269</v>
      </c>
      <c r="D202" s="41">
        <v>1</v>
      </c>
      <c r="E202" s="42">
        <v>0</v>
      </c>
      <c r="F202" s="14"/>
      <c r="G202" s="14"/>
    </row>
    <row r="203" spans="1:7" ht="16.5" customHeight="1" x14ac:dyDescent="0.3">
      <c r="A203" s="14"/>
      <c r="B203" s="89"/>
      <c r="C203" s="40" t="s">
        <v>154</v>
      </c>
      <c r="D203" s="41">
        <v>1</v>
      </c>
      <c r="E203" s="42">
        <v>0</v>
      </c>
      <c r="F203" s="14"/>
      <c r="G203" s="14"/>
    </row>
    <row r="204" spans="1:7" ht="16.5" customHeight="1" x14ac:dyDescent="0.3">
      <c r="A204" s="14"/>
      <c r="B204" s="89"/>
      <c r="C204" s="40" t="s">
        <v>155</v>
      </c>
      <c r="D204" s="41">
        <v>1</v>
      </c>
      <c r="E204" s="42">
        <v>0</v>
      </c>
      <c r="F204" s="14"/>
      <c r="G204" s="14"/>
    </row>
    <row r="205" spans="1:7" ht="16.5" customHeight="1" x14ac:dyDescent="0.3">
      <c r="A205" s="14"/>
      <c r="B205" s="89"/>
      <c r="C205" s="40" t="s">
        <v>156</v>
      </c>
      <c r="D205" s="41">
        <v>4</v>
      </c>
      <c r="E205" s="42">
        <v>2E-3</v>
      </c>
      <c r="F205" s="14"/>
      <c r="G205" s="14"/>
    </row>
    <row r="206" spans="1:7" ht="16.5" customHeight="1" x14ac:dyDescent="0.3">
      <c r="A206" s="14"/>
      <c r="B206" s="89"/>
      <c r="C206" s="40" t="s">
        <v>157</v>
      </c>
      <c r="D206" s="41">
        <v>2</v>
      </c>
      <c r="E206" s="42">
        <v>1E-3</v>
      </c>
      <c r="F206" s="14"/>
      <c r="G206" s="14"/>
    </row>
    <row r="207" spans="1:7" ht="16.5" customHeight="1" x14ac:dyDescent="0.3">
      <c r="A207" s="14"/>
      <c r="B207" s="89"/>
      <c r="C207" s="40" t="s">
        <v>158</v>
      </c>
      <c r="D207" s="41">
        <v>1</v>
      </c>
      <c r="E207" s="42">
        <v>0</v>
      </c>
      <c r="F207" s="14"/>
      <c r="G207" s="14"/>
    </row>
    <row r="208" spans="1:7" ht="16.5" customHeight="1" x14ac:dyDescent="0.3">
      <c r="A208" s="14"/>
      <c r="B208" s="89"/>
      <c r="C208" s="40" t="s">
        <v>196</v>
      </c>
      <c r="D208" s="41">
        <v>2</v>
      </c>
      <c r="E208" s="42">
        <v>1E-3</v>
      </c>
      <c r="F208" s="14"/>
      <c r="G208" s="14"/>
    </row>
    <row r="209" spans="1:7" ht="16.5" customHeight="1" x14ac:dyDescent="0.3">
      <c r="A209" s="14"/>
      <c r="B209" s="89"/>
      <c r="C209" s="40" t="s">
        <v>159</v>
      </c>
      <c r="D209" s="41">
        <v>2</v>
      </c>
      <c r="E209" s="42">
        <v>1E-3</v>
      </c>
      <c r="F209" s="14"/>
      <c r="G209" s="14"/>
    </row>
    <row r="210" spans="1:7" ht="16.5" customHeight="1" x14ac:dyDescent="0.3">
      <c r="A210" s="14"/>
      <c r="B210" s="89"/>
      <c r="C210" s="40" t="s">
        <v>160</v>
      </c>
      <c r="D210" s="41">
        <v>5</v>
      </c>
      <c r="E210" s="42">
        <v>2E-3</v>
      </c>
      <c r="F210" s="14"/>
      <c r="G210" s="14"/>
    </row>
    <row r="211" spans="1:7" ht="16.5" customHeight="1" x14ac:dyDescent="0.3">
      <c r="A211" s="14"/>
      <c r="B211" s="89"/>
      <c r="C211" s="40" t="s">
        <v>161</v>
      </c>
      <c r="D211" s="41">
        <v>1</v>
      </c>
      <c r="E211" s="42">
        <v>0</v>
      </c>
      <c r="F211" s="14"/>
      <c r="G211" s="14"/>
    </row>
    <row r="212" spans="1:7" ht="16.5" customHeight="1" x14ac:dyDescent="0.3">
      <c r="A212" s="14"/>
      <c r="B212" s="89"/>
      <c r="C212" s="40" t="s">
        <v>162</v>
      </c>
      <c r="D212" s="41">
        <v>3</v>
      </c>
      <c r="E212" s="42">
        <v>1E-3</v>
      </c>
      <c r="F212" s="14"/>
      <c r="G212" s="14"/>
    </row>
    <row r="213" spans="1:7" ht="16.5" customHeight="1" x14ac:dyDescent="0.3">
      <c r="A213" s="14"/>
      <c r="B213" s="89"/>
      <c r="C213" s="40" t="s">
        <v>164</v>
      </c>
      <c r="D213" s="41">
        <v>13</v>
      </c>
      <c r="E213" s="42">
        <v>5.0000000000000001E-3</v>
      </c>
      <c r="F213" s="14"/>
      <c r="G213" s="14"/>
    </row>
    <row r="214" spans="1:7" ht="16.5" customHeight="1" x14ac:dyDescent="0.3">
      <c r="A214" s="14"/>
      <c r="B214" s="89"/>
      <c r="C214" s="40" t="s">
        <v>165</v>
      </c>
      <c r="D214" s="41">
        <v>2</v>
      </c>
      <c r="E214" s="42">
        <v>1E-3</v>
      </c>
      <c r="F214" s="14"/>
      <c r="G214" s="14"/>
    </row>
    <row r="215" spans="1:7" ht="16.5" customHeight="1" x14ac:dyDescent="0.3">
      <c r="A215" s="14"/>
      <c r="B215" s="89"/>
      <c r="C215" s="40" t="s">
        <v>166</v>
      </c>
      <c r="D215" s="41">
        <v>3</v>
      </c>
      <c r="E215" s="42">
        <v>1E-3</v>
      </c>
      <c r="F215" s="14"/>
      <c r="G215" s="14"/>
    </row>
    <row r="216" spans="1:7" ht="16.5" customHeight="1" x14ac:dyDescent="0.3">
      <c r="A216" s="14"/>
      <c r="B216" s="89"/>
      <c r="C216" s="40" t="s">
        <v>167</v>
      </c>
      <c r="D216" s="41">
        <v>1</v>
      </c>
      <c r="E216" s="42">
        <v>0</v>
      </c>
      <c r="F216" s="14"/>
      <c r="G216" s="14"/>
    </row>
    <row r="217" spans="1:7" ht="16.5" customHeight="1" x14ac:dyDescent="0.3">
      <c r="A217" s="14"/>
      <c r="B217" s="89"/>
      <c r="C217" s="40" t="s">
        <v>198</v>
      </c>
      <c r="D217" s="41">
        <v>1</v>
      </c>
      <c r="E217" s="42">
        <v>0</v>
      </c>
      <c r="F217" s="14"/>
      <c r="G217" s="14"/>
    </row>
    <row r="218" spans="1:7" ht="16.5" customHeight="1" x14ac:dyDescent="0.3">
      <c r="A218" s="14"/>
      <c r="B218" s="89"/>
      <c r="C218" s="40" t="s">
        <v>197</v>
      </c>
      <c r="D218" s="41">
        <v>2</v>
      </c>
      <c r="E218" s="42">
        <v>1E-3</v>
      </c>
      <c r="F218" s="14"/>
      <c r="G218" s="14"/>
    </row>
    <row r="219" spans="1:7" ht="16.5" customHeight="1" x14ac:dyDescent="0.3">
      <c r="A219" s="14"/>
      <c r="B219" s="89"/>
      <c r="C219" s="40" t="s">
        <v>126</v>
      </c>
      <c r="D219" s="41">
        <v>71</v>
      </c>
      <c r="E219" s="42">
        <v>0.03</v>
      </c>
      <c r="F219" s="14"/>
      <c r="G219" s="14"/>
    </row>
    <row r="220" spans="1:7" ht="16.5" customHeight="1" x14ac:dyDescent="0.3">
      <c r="A220" s="14"/>
      <c r="B220" s="89"/>
      <c r="C220" s="40" t="s">
        <v>170</v>
      </c>
      <c r="D220" s="41">
        <v>17</v>
      </c>
      <c r="E220" s="42">
        <v>7.0000000000000001E-3</v>
      </c>
      <c r="F220" s="14"/>
      <c r="G220" s="14"/>
    </row>
    <row r="221" spans="1:7" ht="16.5" customHeight="1" x14ac:dyDescent="0.3">
      <c r="A221" s="14"/>
      <c r="B221" s="89"/>
      <c r="C221" s="40" t="s">
        <v>171</v>
      </c>
      <c r="D221" s="41">
        <v>3</v>
      </c>
      <c r="E221" s="42">
        <v>1E-3</v>
      </c>
      <c r="F221" s="14"/>
      <c r="G221" s="14"/>
    </row>
    <row r="222" spans="1:7" ht="16.5" customHeight="1" x14ac:dyDescent="0.3">
      <c r="A222" s="14"/>
      <c r="B222" s="89"/>
      <c r="C222" s="40" t="s">
        <v>127</v>
      </c>
      <c r="D222" s="41">
        <v>113</v>
      </c>
      <c r="E222" s="42">
        <v>4.7E-2</v>
      </c>
      <c r="F222" s="14"/>
      <c r="G222" s="14"/>
    </row>
    <row r="223" spans="1:7" ht="16.5" customHeight="1" x14ac:dyDescent="0.3">
      <c r="A223" s="14"/>
      <c r="B223" s="89"/>
      <c r="C223" s="40" t="s">
        <v>134</v>
      </c>
      <c r="D223" s="41">
        <v>4</v>
      </c>
      <c r="E223" s="42">
        <v>2E-3</v>
      </c>
      <c r="F223" s="14"/>
      <c r="G223" s="14"/>
    </row>
    <row r="224" spans="1:7" ht="16.5" customHeight="1" x14ac:dyDescent="0.3">
      <c r="A224" s="14"/>
      <c r="B224" s="89"/>
      <c r="C224" s="40" t="s">
        <v>132</v>
      </c>
      <c r="D224" s="41">
        <v>3</v>
      </c>
      <c r="E224" s="42">
        <v>1E-3</v>
      </c>
      <c r="F224" s="14"/>
      <c r="G224" s="14"/>
    </row>
    <row r="225" spans="1:7" ht="16.5" customHeight="1" x14ac:dyDescent="0.3">
      <c r="A225" s="14"/>
      <c r="B225" s="89"/>
      <c r="C225" s="40" t="s">
        <v>173</v>
      </c>
      <c r="D225" s="41">
        <v>2</v>
      </c>
      <c r="E225" s="42">
        <v>1E-3</v>
      </c>
      <c r="F225" s="14"/>
      <c r="G225" s="14"/>
    </row>
    <row r="226" spans="1:7" ht="16.5" customHeight="1" x14ac:dyDescent="0.3">
      <c r="A226" s="14"/>
      <c r="B226" s="89"/>
      <c r="C226" s="40" t="s">
        <v>272</v>
      </c>
      <c r="D226" s="41">
        <v>1</v>
      </c>
      <c r="E226" s="42">
        <v>0</v>
      </c>
      <c r="F226" s="14"/>
      <c r="G226" s="14"/>
    </row>
    <row r="227" spans="1:7" ht="16.5" customHeight="1" x14ac:dyDescent="0.3">
      <c r="A227" s="14"/>
      <c r="B227" s="89"/>
      <c r="C227" s="40" t="s">
        <v>175</v>
      </c>
      <c r="D227" s="41">
        <v>1</v>
      </c>
      <c r="E227" s="42">
        <v>0</v>
      </c>
      <c r="F227" s="14"/>
      <c r="G227" s="14"/>
    </row>
    <row r="228" spans="1:7" ht="16.5" customHeight="1" x14ac:dyDescent="0.3">
      <c r="A228" s="14"/>
      <c r="B228" s="89"/>
      <c r="C228" s="40" t="s">
        <v>176</v>
      </c>
      <c r="D228" s="41">
        <v>6</v>
      </c>
      <c r="E228" s="42">
        <v>2E-3</v>
      </c>
      <c r="F228" s="14"/>
      <c r="G228" s="14"/>
    </row>
    <row r="229" spans="1:7" ht="16.5" customHeight="1" x14ac:dyDescent="0.3">
      <c r="A229" s="14"/>
      <c r="B229" s="89"/>
      <c r="C229" s="40" t="s">
        <v>177</v>
      </c>
      <c r="D229" s="41">
        <v>1</v>
      </c>
      <c r="E229" s="42">
        <v>0</v>
      </c>
      <c r="F229" s="14"/>
      <c r="G229" s="14"/>
    </row>
    <row r="230" spans="1:7" ht="16.5" customHeight="1" x14ac:dyDescent="0.3">
      <c r="A230" s="14"/>
      <c r="B230" s="89"/>
      <c r="C230" s="40" t="s">
        <v>183</v>
      </c>
      <c r="D230" s="41">
        <v>5</v>
      </c>
      <c r="E230" s="42">
        <v>2E-3</v>
      </c>
      <c r="F230" s="14"/>
      <c r="G230" s="14"/>
    </row>
    <row r="231" spans="1:7" ht="16.5" customHeight="1" x14ac:dyDescent="0.3">
      <c r="A231" s="14"/>
      <c r="B231" s="89"/>
      <c r="C231" s="40" t="s">
        <v>129</v>
      </c>
      <c r="D231" s="41">
        <v>9</v>
      </c>
      <c r="E231" s="42">
        <v>4.0000000000000001E-3</v>
      </c>
      <c r="F231" s="14"/>
      <c r="G231" s="14"/>
    </row>
    <row r="232" spans="1:7" ht="16.5" customHeight="1" x14ac:dyDescent="0.3">
      <c r="A232" s="14"/>
      <c r="B232" s="89"/>
      <c r="C232" s="40" t="s">
        <v>185</v>
      </c>
      <c r="D232" s="41">
        <v>1</v>
      </c>
      <c r="E232" s="42">
        <v>0</v>
      </c>
      <c r="F232" s="14"/>
      <c r="G232" s="14"/>
    </row>
    <row r="233" spans="1:7" ht="16.5" customHeight="1" x14ac:dyDescent="0.3">
      <c r="A233" s="14"/>
      <c r="B233" s="89"/>
      <c r="C233" s="40" t="s">
        <v>186</v>
      </c>
      <c r="D233" s="41">
        <v>3</v>
      </c>
      <c r="E233" s="42">
        <v>1E-3</v>
      </c>
      <c r="F233" s="14"/>
      <c r="G233" s="14"/>
    </row>
    <row r="234" spans="1:7" ht="16.5" customHeight="1" x14ac:dyDescent="0.3">
      <c r="A234" s="14"/>
      <c r="B234" s="89"/>
      <c r="C234" s="40" t="s">
        <v>187</v>
      </c>
      <c r="D234" s="41">
        <v>4</v>
      </c>
      <c r="E234" s="42">
        <v>2E-3</v>
      </c>
      <c r="F234" s="14"/>
      <c r="G234" s="14"/>
    </row>
    <row r="235" spans="1:7" ht="16.5" customHeight="1" x14ac:dyDescent="0.3">
      <c r="A235" s="14"/>
      <c r="B235" s="89"/>
      <c r="C235" s="40" t="s">
        <v>188</v>
      </c>
      <c r="D235" s="41">
        <v>1</v>
      </c>
      <c r="E235" s="42">
        <v>0</v>
      </c>
      <c r="F235" s="14"/>
      <c r="G235" s="14"/>
    </row>
    <row r="236" spans="1:7" ht="16.5" customHeight="1" x14ac:dyDescent="0.3">
      <c r="A236" s="14"/>
      <c r="B236" s="89"/>
      <c r="C236" s="40" t="s">
        <v>201</v>
      </c>
      <c r="D236" s="41">
        <v>1</v>
      </c>
      <c r="E236" s="42">
        <v>0</v>
      </c>
      <c r="F236" s="14"/>
      <c r="G236" s="14"/>
    </row>
    <row r="237" spans="1:7" ht="16.5" customHeight="1" x14ac:dyDescent="0.3">
      <c r="A237" s="14"/>
      <c r="B237" s="89"/>
      <c r="C237" s="40" t="s">
        <v>189</v>
      </c>
      <c r="D237" s="41">
        <v>2</v>
      </c>
      <c r="E237" s="42">
        <v>1E-3</v>
      </c>
      <c r="F237" s="14"/>
      <c r="G237" s="14"/>
    </row>
    <row r="238" spans="1:7" ht="16.5" customHeight="1" x14ac:dyDescent="0.3">
      <c r="A238" s="14"/>
      <c r="B238" s="89"/>
      <c r="C238" s="40" t="s">
        <v>200</v>
      </c>
      <c r="D238" s="41">
        <v>1</v>
      </c>
      <c r="E238" s="42">
        <v>0</v>
      </c>
      <c r="F238" s="14"/>
      <c r="G238" s="14"/>
    </row>
    <row r="239" spans="1:7" ht="16.5" customHeight="1" x14ac:dyDescent="0.3">
      <c r="A239" s="14"/>
      <c r="B239" s="89"/>
      <c r="C239" s="40" t="s">
        <v>191</v>
      </c>
      <c r="D239" s="41">
        <v>5</v>
      </c>
      <c r="E239" s="42">
        <v>2E-3</v>
      </c>
      <c r="F239" s="14"/>
      <c r="G239" s="14"/>
    </row>
    <row r="240" spans="1:7" ht="16.5" customHeight="1" x14ac:dyDescent="0.3">
      <c r="A240" s="14"/>
      <c r="B240" s="89"/>
      <c r="C240" s="40" t="s">
        <v>192</v>
      </c>
      <c r="D240" s="41">
        <v>14</v>
      </c>
      <c r="E240" s="42">
        <v>6.0000000000000001E-3</v>
      </c>
      <c r="F240" s="14"/>
      <c r="G240" s="14"/>
    </row>
    <row r="241" spans="1:7" ht="16.5" customHeight="1" x14ac:dyDescent="0.3">
      <c r="A241" s="14"/>
      <c r="B241" s="89"/>
      <c r="C241" s="40" t="s">
        <v>135</v>
      </c>
      <c r="D241" s="41">
        <v>2</v>
      </c>
      <c r="E241" s="42">
        <v>1E-3</v>
      </c>
      <c r="F241" s="14"/>
      <c r="G241" s="14"/>
    </row>
    <row r="242" spans="1:7" ht="16.5" customHeight="1" x14ac:dyDescent="0.3">
      <c r="A242" s="14"/>
      <c r="B242" s="89"/>
      <c r="C242" s="40" t="s">
        <v>136</v>
      </c>
      <c r="D242" s="41">
        <v>1</v>
      </c>
      <c r="E242" s="42">
        <v>0</v>
      </c>
      <c r="F242" s="14"/>
      <c r="G242" s="14"/>
    </row>
    <row r="243" spans="1:7" ht="16.5" customHeight="1" x14ac:dyDescent="0.3">
      <c r="A243" s="14"/>
      <c r="B243" s="89"/>
      <c r="C243" s="40" t="s">
        <v>194</v>
      </c>
      <c r="D243" s="41">
        <v>1</v>
      </c>
      <c r="E243" s="42">
        <v>0</v>
      </c>
      <c r="F243" s="14"/>
      <c r="G243" s="14"/>
    </row>
    <row r="244" spans="1:7" ht="16.5" customHeight="1" x14ac:dyDescent="0.3">
      <c r="A244" s="14"/>
      <c r="B244" s="89"/>
      <c r="C244" s="40" t="s">
        <v>199</v>
      </c>
      <c r="D244" s="41">
        <v>2</v>
      </c>
      <c r="E244" s="42">
        <v>1E-3</v>
      </c>
      <c r="F244" s="14"/>
      <c r="G244" s="14"/>
    </row>
    <row r="245" spans="1:7" ht="16.5" x14ac:dyDescent="0.3">
      <c r="A245" s="14"/>
      <c r="B245" s="90"/>
      <c r="C245" s="35" t="s">
        <v>318</v>
      </c>
      <c r="D245" s="36">
        <v>350</v>
      </c>
      <c r="E245" s="37">
        <v>0.14599999999999999</v>
      </c>
      <c r="F245" s="14"/>
      <c r="G245" s="14"/>
    </row>
    <row r="246" spans="1:7" ht="16.5" customHeight="1" x14ac:dyDescent="0.3">
      <c r="A246" s="14"/>
      <c r="B246" s="88" t="s">
        <v>61</v>
      </c>
      <c r="C246" s="40" t="s">
        <v>158</v>
      </c>
      <c r="D246" s="41">
        <v>1</v>
      </c>
      <c r="E246" s="42">
        <v>0</v>
      </c>
      <c r="F246" s="14"/>
      <c r="G246" s="14"/>
    </row>
    <row r="247" spans="1:7" ht="16.5" customHeight="1" x14ac:dyDescent="0.3">
      <c r="A247" s="14"/>
      <c r="B247" s="89"/>
      <c r="C247" s="40" t="s">
        <v>127</v>
      </c>
      <c r="D247" s="41">
        <v>6</v>
      </c>
      <c r="E247" s="42">
        <v>2E-3</v>
      </c>
      <c r="F247" s="14"/>
      <c r="G247" s="14"/>
    </row>
    <row r="248" spans="1:7" ht="16.5" customHeight="1" x14ac:dyDescent="0.3">
      <c r="A248" s="14"/>
      <c r="B248" s="89"/>
      <c r="C248" s="40" t="s">
        <v>175</v>
      </c>
      <c r="D248" s="41">
        <v>1</v>
      </c>
      <c r="E248" s="42">
        <v>0</v>
      </c>
      <c r="F248" s="14"/>
      <c r="G248" s="14"/>
    </row>
    <row r="249" spans="1:7" ht="16.5" x14ac:dyDescent="0.3">
      <c r="A249" s="14"/>
      <c r="B249" s="90"/>
      <c r="C249" s="35" t="s">
        <v>318</v>
      </c>
      <c r="D249" s="36">
        <v>8</v>
      </c>
      <c r="E249" s="37">
        <v>3.0000000000000001E-3</v>
      </c>
      <c r="F249" s="14"/>
      <c r="G249" s="14"/>
    </row>
    <row r="250" spans="1:7" ht="16.5" customHeight="1" x14ac:dyDescent="0.3">
      <c r="A250" s="14"/>
      <c r="B250" s="88" t="s">
        <v>57</v>
      </c>
      <c r="C250" s="40" t="s">
        <v>148</v>
      </c>
      <c r="D250" s="41">
        <v>1</v>
      </c>
      <c r="E250" s="42">
        <v>0</v>
      </c>
      <c r="F250" s="14"/>
      <c r="G250" s="14"/>
    </row>
    <row r="251" spans="1:7" ht="16.5" customHeight="1" x14ac:dyDescent="0.3">
      <c r="A251" s="14"/>
      <c r="B251" s="89"/>
      <c r="C251" s="40" t="s">
        <v>151</v>
      </c>
      <c r="D251" s="41">
        <v>1</v>
      </c>
      <c r="E251" s="42">
        <v>0</v>
      </c>
      <c r="F251" s="14"/>
      <c r="G251" s="14"/>
    </row>
    <row r="252" spans="1:7" ht="16.5" customHeight="1" x14ac:dyDescent="0.3">
      <c r="A252" s="14"/>
      <c r="B252" s="89"/>
      <c r="C252" s="40" t="s">
        <v>198</v>
      </c>
      <c r="D252" s="41">
        <v>1</v>
      </c>
      <c r="E252" s="42">
        <v>0</v>
      </c>
      <c r="F252" s="14"/>
      <c r="G252" s="14"/>
    </row>
    <row r="253" spans="1:7" ht="16.5" customHeight="1" x14ac:dyDescent="0.3">
      <c r="A253" s="14"/>
      <c r="B253" s="89"/>
      <c r="C253" s="40" t="s">
        <v>127</v>
      </c>
      <c r="D253" s="41">
        <v>8</v>
      </c>
      <c r="E253" s="42">
        <v>3.0000000000000001E-3</v>
      </c>
      <c r="F253" s="14"/>
      <c r="G253" s="14"/>
    </row>
    <row r="254" spans="1:7" ht="16.5" customHeight="1" x14ac:dyDescent="0.3">
      <c r="A254" s="14"/>
      <c r="B254" s="89"/>
      <c r="C254" s="40" t="s">
        <v>173</v>
      </c>
      <c r="D254" s="41">
        <v>1</v>
      </c>
      <c r="E254" s="42">
        <v>0</v>
      </c>
      <c r="F254" s="14"/>
      <c r="G254" s="14"/>
    </row>
    <row r="255" spans="1:7" ht="16.5" customHeight="1" x14ac:dyDescent="0.3">
      <c r="A255" s="14"/>
      <c r="B255" s="89"/>
      <c r="C255" s="40" t="s">
        <v>174</v>
      </c>
      <c r="D255" s="41">
        <v>1</v>
      </c>
      <c r="E255" s="42">
        <v>0</v>
      </c>
      <c r="F255" s="14"/>
      <c r="G255" s="14"/>
    </row>
    <row r="256" spans="1:7" ht="16.5" customHeight="1" x14ac:dyDescent="0.3">
      <c r="A256" s="14"/>
      <c r="B256" s="89"/>
      <c r="C256" s="40" t="s">
        <v>175</v>
      </c>
      <c r="D256" s="41">
        <v>1</v>
      </c>
      <c r="E256" s="42">
        <v>0</v>
      </c>
      <c r="F256" s="14"/>
      <c r="G256" s="14"/>
    </row>
    <row r="257" spans="1:7" ht="16.5" customHeight="1" x14ac:dyDescent="0.3">
      <c r="A257" s="14"/>
      <c r="B257" s="89"/>
      <c r="C257" s="40" t="s">
        <v>194</v>
      </c>
      <c r="D257" s="41">
        <v>1</v>
      </c>
      <c r="E257" s="42">
        <v>0</v>
      </c>
      <c r="F257" s="14"/>
      <c r="G257" s="14"/>
    </row>
    <row r="258" spans="1:7" ht="16.5" x14ac:dyDescent="0.3">
      <c r="A258" s="14"/>
      <c r="B258" s="90"/>
      <c r="C258" s="35" t="s">
        <v>318</v>
      </c>
      <c r="D258" s="36">
        <v>15</v>
      </c>
      <c r="E258" s="37">
        <v>6.0000000000000001E-3</v>
      </c>
      <c r="F258" s="14"/>
      <c r="G258" s="14"/>
    </row>
    <row r="259" spans="1:7" ht="16.5" customHeight="1" x14ac:dyDescent="0.3">
      <c r="A259" s="14"/>
      <c r="B259" s="88" t="s">
        <v>73</v>
      </c>
      <c r="C259" s="40" t="s">
        <v>126</v>
      </c>
      <c r="D259" s="41">
        <v>1</v>
      </c>
      <c r="E259" s="42">
        <v>0</v>
      </c>
      <c r="F259" s="14"/>
      <c r="G259" s="14"/>
    </row>
    <row r="260" spans="1:7" ht="16.5" customHeight="1" x14ac:dyDescent="0.3">
      <c r="A260" s="14"/>
      <c r="B260" s="89"/>
      <c r="C260" s="40" t="s">
        <v>127</v>
      </c>
      <c r="D260" s="41">
        <v>1</v>
      </c>
      <c r="E260" s="42">
        <v>0</v>
      </c>
      <c r="F260" s="14"/>
      <c r="G260" s="14"/>
    </row>
    <row r="261" spans="1:7" ht="16.5" x14ac:dyDescent="0.3">
      <c r="A261" s="14"/>
      <c r="B261" s="90"/>
      <c r="C261" s="35" t="s">
        <v>318</v>
      </c>
      <c r="D261" s="36">
        <v>2</v>
      </c>
      <c r="E261" s="37">
        <v>1E-3</v>
      </c>
      <c r="F261" s="14"/>
      <c r="G261" s="14"/>
    </row>
    <row r="262" spans="1:7" ht="16.5" customHeight="1" x14ac:dyDescent="0.3">
      <c r="A262" s="14"/>
      <c r="B262" s="88" t="s">
        <v>83</v>
      </c>
      <c r="C262" s="40" t="s">
        <v>265</v>
      </c>
      <c r="D262" s="41">
        <v>1</v>
      </c>
      <c r="E262" s="42">
        <v>0</v>
      </c>
      <c r="F262" s="14"/>
      <c r="G262" s="14"/>
    </row>
    <row r="263" spans="1:7" ht="16.5" customHeight="1" x14ac:dyDescent="0.3">
      <c r="A263" s="14"/>
      <c r="B263" s="89"/>
      <c r="C263" s="40" t="s">
        <v>127</v>
      </c>
      <c r="D263" s="41">
        <v>1</v>
      </c>
      <c r="E263" s="42">
        <v>0</v>
      </c>
      <c r="F263" s="14"/>
      <c r="G263" s="14"/>
    </row>
    <row r="264" spans="1:7" ht="16.5" customHeight="1" x14ac:dyDescent="0.3">
      <c r="A264" s="14"/>
      <c r="B264" s="89"/>
      <c r="C264" s="40" t="s">
        <v>191</v>
      </c>
      <c r="D264" s="41">
        <v>1</v>
      </c>
      <c r="E264" s="42">
        <v>0</v>
      </c>
      <c r="F264" s="14"/>
      <c r="G264" s="14"/>
    </row>
    <row r="265" spans="1:7" ht="16.5" customHeight="1" x14ac:dyDescent="0.3">
      <c r="A265" s="14"/>
      <c r="B265" s="90"/>
      <c r="C265" s="35" t="s">
        <v>318</v>
      </c>
      <c r="D265" s="36">
        <v>3</v>
      </c>
      <c r="E265" s="37">
        <v>1E-3</v>
      </c>
      <c r="F265" s="14"/>
      <c r="G265" s="14"/>
    </row>
    <row r="266" spans="1:7" ht="16.5" customHeight="1" x14ac:dyDescent="0.3">
      <c r="A266" s="14"/>
      <c r="B266" s="88" t="s">
        <v>63</v>
      </c>
      <c r="C266" s="40" t="s">
        <v>127</v>
      </c>
      <c r="D266" s="41">
        <v>4</v>
      </c>
      <c r="E266" s="42">
        <v>2E-3</v>
      </c>
      <c r="F266" s="14"/>
      <c r="G266" s="14"/>
    </row>
    <row r="267" spans="1:7" ht="16.5" customHeight="1" x14ac:dyDescent="0.3">
      <c r="A267" s="14"/>
      <c r="B267" s="89"/>
      <c r="C267" s="40" t="s">
        <v>129</v>
      </c>
      <c r="D267" s="41">
        <v>1</v>
      </c>
      <c r="E267" s="42">
        <v>0</v>
      </c>
      <c r="F267" s="14"/>
      <c r="G267" s="14"/>
    </row>
    <row r="268" spans="1:7" ht="16.5" customHeight="1" x14ac:dyDescent="0.3">
      <c r="A268" s="14"/>
      <c r="B268" s="89"/>
      <c r="C268" s="40" t="s">
        <v>191</v>
      </c>
      <c r="D268" s="41">
        <v>1</v>
      </c>
      <c r="E268" s="42">
        <v>0</v>
      </c>
      <c r="F268" s="14"/>
      <c r="G268" s="14"/>
    </row>
    <row r="269" spans="1:7" ht="16.5" customHeight="1" x14ac:dyDescent="0.3">
      <c r="A269" s="14"/>
      <c r="B269" s="89"/>
      <c r="C269" s="40" t="s">
        <v>192</v>
      </c>
      <c r="D269" s="41">
        <v>2</v>
      </c>
      <c r="E269" s="42">
        <v>1E-3</v>
      </c>
      <c r="F269" s="14"/>
      <c r="G269" s="14"/>
    </row>
    <row r="270" spans="1:7" ht="16.5" customHeight="1" x14ac:dyDescent="0.3">
      <c r="A270" s="14"/>
      <c r="B270" s="89"/>
      <c r="C270" s="40" t="s">
        <v>202</v>
      </c>
      <c r="D270" s="41">
        <v>1</v>
      </c>
      <c r="E270" s="42">
        <v>0</v>
      </c>
      <c r="F270" s="14"/>
      <c r="G270" s="14"/>
    </row>
    <row r="271" spans="1:7" ht="16.5" customHeight="1" x14ac:dyDescent="0.3">
      <c r="A271" s="14"/>
      <c r="B271" s="90"/>
      <c r="C271" s="35" t="s">
        <v>318</v>
      </c>
      <c r="D271" s="36">
        <v>9</v>
      </c>
      <c r="E271" s="37">
        <v>4.0000000000000001E-3</v>
      </c>
      <c r="F271" s="14"/>
      <c r="G271" s="14"/>
    </row>
    <row r="272" spans="1:7" ht="16.5" customHeight="1" x14ac:dyDescent="0.3">
      <c r="A272" s="14"/>
      <c r="B272" s="88" t="s">
        <v>68</v>
      </c>
      <c r="C272" s="40" t="s">
        <v>164</v>
      </c>
      <c r="D272" s="41">
        <v>2</v>
      </c>
      <c r="E272" s="42">
        <v>1E-3</v>
      </c>
      <c r="F272" s="14"/>
      <c r="G272" s="14"/>
    </row>
    <row r="273" spans="1:7" ht="16.5" customHeight="1" x14ac:dyDescent="0.3">
      <c r="A273" s="14"/>
      <c r="B273" s="89"/>
      <c r="C273" s="40" t="s">
        <v>127</v>
      </c>
      <c r="D273" s="41">
        <v>1</v>
      </c>
      <c r="E273" s="42">
        <v>0</v>
      </c>
      <c r="F273" s="14"/>
      <c r="G273" s="14"/>
    </row>
    <row r="274" spans="1:7" ht="16.5" customHeight="1" x14ac:dyDescent="0.3">
      <c r="A274" s="14"/>
      <c r="B274" s="89"/>
      <c r="C274" s="40" t="s">
        <v>173</v>
      </c>
      <c r="D274" s="41">
        <v>1</v>
      </c>
      <c r="E274" s="42">
        <v>0</v>
      </c>
      <c r="F274" s="14"/>
      <c r="G274" s="14"/>
    </row>
    <row r="275" spans="1:7" ht="16.5" customHeight="1" x14ac:dyDescent="0.3">
      <c r="A275" s="14"/>
      <c r="B275" s="89"/>
      <c r="C275" s="40" t="s">
        <v>180</v>
      </c>
      <c r="D275" s="41">
        <v>2</v>
      </c>
      <c r="E275" s="42">
        <v>1E-3</v>
      </c>
      <c r="F275" s="14"/>
      <c r="G275" s="14"/>
    </row>
    <row r="276" spans="1:7" ht="16.5" customHeight="1" x14ac:dyDescent="0.3">
      <c r="A276" s="14"/>
      <c r="B276" s="89"/>
      <c r="C276" s="40" t="s">
        <v>136</v>
      </c>
      <c r="D276" s="41">
        <v>1</v>
      </c>
      <c r="E276" s="42">
        <v>0</v>
      </c>
      <c r="F276" s="14"/>
      <c r="G276" s="14"/>
    </row>
    <row r="277" spans="1:7" ht="16.5" customHeight="1" x14ac:dyDescent="0.3">
      <c r="A277" s="14"/>
      <c r="B277" s="89"/>
      <c r="C277" s="40" t="s">
        <v>194</v>
      </c>
      <c r="D277" s="41">
        <v>1</v>
      </c>
      <c r="E277" s="42">
        <v>0</v>
      </c>
      <c r="F277" s="14"/>
      <c r="G277" s="14"/>
    </row>
    <row r="278" spans="1:7" ht="16.5" x14ac:dyDescent="0.3">
      <c r="A278" s="14"/>
      <c r="B278" s="90"/>
      <c r="C278" s="35" t="s">
        <v>318</v>
      </c>
      <c r="D278" s="36">
        <v>8</v>
      </c>
      <c r="E278" s="37">
        <v>3.0000000000000001E-3</v>
      </c>
      <c r="F278" s="14"/>
      <c r="G278" s="14"/>
    </row>
    <row r="279" spans="1:7" ht="16.5" customHeight="1" x14ac:dyDescent="0.3">
      <c r="A279" s="14"/>
      <c r="B279" s="88" t="s">
        <v>66</v>
      </c>
      <c r="C279" s="40" t="s">
        <v>138</v>
      </c>
      <c r="D279" s="41">
        <v>1</v>
      </c>
      <c r="E279" s="42">
        <v>0</v>
      </c>
      <c r="F279" s="14"/>
      <c r="G279" s="14"/>
    </row>
    <row r="280" spans="1:7" ht="16.5" customHeight="1" x14ac:dyDescent="0.3">
      <c r="A280" s="14"/>
      <c r="B280" s="89"/>
      <c r="C280" s="40" t="s">
        <v>141</v>
      </c>
      <c r="D280" s="41">
        <v>4</v>
      </c>
      <c r="E280" s="42">
        <v>2E-3</v>
      </c>
      <c r="F280" s="14"/>
      <c r="G280" s="14"/>
    </row>
    <row r="281" spans="1:7" ht="16.5" customHeight="1" x14ac:dyDescent="0.3">
      <c r="A281" s="14"/>
      <c r="B281" s="89"/>
      <c r="C281" s="40" t="s">
        <v>126</v>
      </c>
      <c r="D281" s="41">
        <v>1</v>
      </c>
      <c r="E281" s="42">
        <v>0</v>
      </c>
      <c r="F281" s="14"/>
      <c r="G281" s="14"/>
    </row>
    <row r="282" spans="1:7" ht="16.5" customHeight="1" x14ac:dyDescent="0.3">
      <c r="A282" s="14"/>
      <c r="B282" s="89"/>
      <c r="C282" s="40" t="s">
        <v>127</v>
      </c>
      <c r="D282" s="41">
        <v>5</v>
      </c>
      <c r="E282" s="42">
        <v>2E-3</v>
      </c>
      <c r="F282" s="14"/>
      <c r="G282" s="14"/>
    </row>
    <row r="283" spans="1:7" ht="16.5" customHeight="1" x14ac:dyDescent="0.3">
      <c r="A283" s="14"/>
      <c r="B283" s="89"/>
      <c r="C283" s="40" t="s">
        <v>134</v>
      </c>
      <c r="D283" s="41">
        <v>2</v>
      </c>
      <c r="E283" s="42">
        <v>1E-3</v>
      </c>
      <c r="F283" s="14"/>
      <c r="G283" s="14"/>
    </row>
    <row r="284" spans="1:7" ht="16.5" customHeight="1" x14ac:dyDescent="0.3">
      <c r="A284" s="14"/>
      <c r="B284" s="89"/>
      <c r="C284" s="40" t="s">
        <v>179</v>
      </c>
      <c r="D284" s="41">
        <v>1</v>
      </c>
      <c r="E284" s="42">
        <v>0</v>
      </c>
      <c r="F284" s="14"/>
      <c r="G284" s="14"/>
    </row>
    <row r="285" spans="1:7" ht="16.5" customHeight="1" x14ac:dyDescent="0.3">
      <c r="A285" s="14"/>
      <c r="B285" s="89"/>
      <c r="C285" s="40" t="s">
        <v>181</v>
      </c>
      <c r="D285" s="41">
        <v>1</v>
      </c>
      <c r="E285" s="42">
        <v>0</v>
      </c>
      <c r="F285" s="14"/>
      <c r="G285" s="14"/>
    </row>
    <row r="286" spans="1:7" ht="16.5" customHeight="1" x14ac:dyDescent="0.3">
      <c r="A286" s="14"/>
      <c r="B286" s="89"/>
      <c r="C286" s="40" t="s">
        <v>129</v>
      </c>
      <c r="D286" s="41">
        <v>1</v>
      </c>
      <c r="E286" s="42">
        <v>0</v>
      </c>
      <c r="F286" s="14"/>
      <c r="G286" s="14"/>
    </row>
    <row r="287" spans="1:7" ht="16.5" customHeight="1" x14ac:dyDescent="0.3">
      <c r="A287" s="14"/>
      <c r="B287" s="89"/>
      <c r="C287" s="40" t="s">
        <v>136</v>
      </c>
      <c r="D287" s="41">
        <v>1</v>
      </c>
      <c r="E287" s="42">
        <v>0</v>
      </c>
      <c r="F287" s="14"/>
      <c r="G287" s="14"/>
    </row>
    <row r="288" spans="1:7" ht="16.5" customHeight="1" x14ac:dyDescent="0.3">
      <c r="A288" s="14"/>
      <c r="B288" s="90"/>
      <c r="C288" s="35" t="s">
        <v>318</v>
      </c>
      <c r="D288" s="36">
        <v>17</v>
      </c>
      <c r="E288" s="37">
        <v>7.0000000000000001E-3</v>
      </c>
      <c r="F288" s="14"/>
      <c r="G288" s="14"/>
    </row>
    <row r="289" spans="1:7" ht="16.5" customHeight="1" x14ac:dyDescent="0.3">
      <c r="A289" s="14"/>
      <c r="B289" s="88" t="s">
        <v>79</v>
      </c>
      <c r="C289" s="40" t="s">
        <v>141</v>
      </c>
      <c r="D289" s="41">
        <v>3</v>
      </c>
      <c r="E289" s="42">
        <v>1E-3</v>
      </c>
      <c r="F289" s="14"/>
      <c r="G289" s="14"/>
    </row>
    <row r="290" spans="1:7" ht="16.5" customHeight="1" x14ac:dyDescent="0.3">
      <c r="A290" s="14"/>
      <c r="B290" s="89"/>
      <c r="C290" s="40" t="s">
        <v>145</v>
      </c>
      <c r="D290" s="41">
        <v>1</v>
      </c>
      <c r="E290" s="42">
        <v>0</v>
      </c>
      <c r="F290" s="14"/>
      <c r="G290" s="14"/>
    </row>
    <row r="291" spans="1:7" ht="16.5" customHeight="1" x14ac:dyDescent="0.3">
      <c r="A291" s="14"/>
      <c r="B291" s="89"/>
      <c r="C291" s="40" t="s">
        <v>198</v>
      </c>
      <c r="D291" s="41">
        <v>1</v>
      </c>
      <c r="E291" s="42">
        <v>0</v>
      </c>
      <c r="F291" s="14"/>
      <c r="G291" s="14"/>
    </row>
    <row r="292" spans="1:7" ht="16.5" customHeight="1" x14ac:dyDescent="0.3">
      <c r="A292" s="14"/>
      <c r="B292" s="89"/>
      <c r="C292" s="40" t="s">
        <v>170</v>
      </c>
      <c r="D292" s="41">
        <v>1</v>
      </c>
      <c r="E292" s="42">
        <v>0</v>
      </c>
      <c r="F292" s="14"/>
      <c r="G292" s="14"/>
    </row>
    <row r="293" spans="1:7" ht="16.5" customHeight="1" x14ac:dyDescent="0.3">
      <c r="A293" s="14"/>
      <c r="B293" s="89"/>
      <c r="C293" s="40" t="s">
        <v>127</v>
      </c>
      <c r="D293" s="41">
        <v>3</v>
      </c>
      <c r="E293" s="42">
        <v>1E-3</v>
      </c>
      <c r="F293" s="14"/>
      <c r="G293" s="14"/>
    </row>
    <row r="294" spans="1:7" ht="16.5" customHeight="1" x14ac:dyDescent="0.3">
      <c r="A294" s="14"/>
      <c r="B294" s="89"/>
      <c r="C294" s="40" t="s">
        <v>270</v>
      </c>
      <c r="D294" s="41">
        <v>1</v>
      </c>
      <c r="E294" s="42">
        <v>0</v>
      </c>
      <c r="F294" s="14"/>
      <c r="G294" s="14"/>
    </row>
    <row r="295" spans="1:7" ht="16.5" customHeight="1" x14ac:dyDescent="0.3">
      <c r="A295" s="14"/>
      <c r="B295" s="89"/>
      <c r="C295" s="40" t="s">
        <v>191</v>
      </c>
      <c r="D295" s="41">
        <v>1</v>
      </c>
      <c r="E295" s="42">
        <v>0</v>
      </c>
      <c r="F295" s="14"/>
      <c r="G295" s="14"/>
    </row>
    <row r="296" spans="1:7" ht="16.5" x14ac:dyDescent="0.3">
      <c r="A296" s="14"/>
      <c r="B296" s="90"/>
      <c r="C296" s="35" t="s">
        <v>318</v>
      </c>
      <c r="D296" s="36">
        <v>11</v>
      </c>
      <c r="E296" s="37">
        <v>5.0000000000000001E-3</v>
      </c>
      <c r="F296" s="14"/>
      <c r="G296" s="14"/>
    </row>
    <row r="297" spans="1:7" ht="16.5" customHeight="1" x14ac:dyDescent="0.3">
      <c r="A297" s="14"/>
      <c r="B297" s="88" t="s">
        <v>64</v>
      </c>
      <c r="C297" s="40" t="s">
        <v>169</v>
      </c>
      <c r="D297" s="41">
        <v>1</v>
      </c>
      <c r="E297" s="42">
        <v>0</v>
      </c>
      <c r="F297" s="14"/>
      <c r="G297" s="14"/>
    </row>
    <row r="298" spans="1:7" ht="16.5" customHeight="1" x14ac:dyDescent="0.3">
      <c r="A298" s="14"/>
      <c r="B298" s="89"/>
      <c r="C298" s="40" t="s">
        <v>127</v>
      </c>
      <c r="D298" s="41">
        <v>7</v>
      </c>
      <c r="E298" s="42">
        <v>3.0000000000000001E-3</v>
      </c>
      <c r="F298" s="14"/>
      <c r="G298" s="14"/>
    </row>
    <row r="299" spans="1:7" ht="16.5" customHeight="1" x14ac:dyDescent="0.3">
      <c r="A299" s="14"/>
      <c r="B299" s="89"/>
      <c r="C299" s="40" t="s">
        <v>130</v>
      </c>
      <c r="D299" s="41">
        <v>1</v>
      </c>
      <c r="E299" s="42">
        <v>0</v>
      </c>
      <c r="F299" s="14"/>
      <c r="G299" s="14"/>
    </row>
    <row r="300" spans="1:7" ht="16.5" customHeight="1" x14ac:dyDescent="0.3">
      <c r="A300" s="14"/>
      <c r="B300" s="89"/>
      <c r="C300" s="40" t="s">
        <v>191</v>
      </c>
      <c r="D300" s="41">
        <v>1</v>
      </c>
      <c r="E300" s="42">
        <v>0</v>
      </c>
      <c r="F300" s="14"/>
      <c r="G300" s="14"/>
    </row>
    <row r="301" spans="1:7" ht="16.5" x14ac:dyDescent="0.3">
      <c r="A301" s="14"/>
      <c r="B301" s="90"/>
      <c r="C301" s="35" t="s">
        <v>318</v>
      </c>
      <c r="D301" s="36">
        <v>10</v>
      </c>
      <c r="E301" s="37">
        <v>4.0000000000000001E-3</v>
      </c>
      <c r="F301" s="14"/>
      <c r="G301" s="14"/>
    </row>
    <row r="302" spans="1:7" ht="16.5" customHeight="1" x14ac:dyDescent="0.3">
      <c r="A302" s="14"/>
      <c r="B302" s="88" t="s">
        <v>47</v>
      </c>
      <c r="C302" s="40" t="s">
        <v>137</v>
      </c>
      <c r="D302" s="41">
        <v>2</v>
      </c>
      <c r="E302" s="42">
        <v>1E-3</v>
      </c>
      <c r="F302" s="14"/>
      <c r="G302" s="14"/>
    </row>
    <row r="303" spans="1:7" ht="16.5" customHeight="1" x14ac:dyDescent="0.3">
      <c r="A303" s="14"/>
      <c r="B303" s="89"/>
      <c r="C303" s="40" t="s">
        <v>133</v>
      </c>
      <c r="D303" s="41">
        <v>1</v>
      </c>
      <c r="E303" s="42">
        <v>0</v>
      </c>
      <c r="F303" s="14"/>
      <c r="G303" s="14"/>
    </row>
    <row r="304" spans="1:7" ht="16.5" customHeight="1" x14ac:dyDescent="0.3">
      <c r="A304" s="14"/>
      <c r="B304" s="89"/>
      <c r="C304" s="40" t="s">
        <v>151</v>
      </c>
      <c r="D304" s="41">
        <v>1</v>
      </c>
      <c r="E304" s="42">
        <v>0</v>
      </c>
      <c r="F304" s="14"/>
      <c r="G304" s="14"/>
    </row>
    <row r="305" spans="1:7" ht="16.5" customHeight="1" x14ac:dyDescent="0.3">
      <c r="A305" s="14"/>
      <c r="B305" s="89"/>
      <c r="C305" s="40" t="s">
        <v>153</v>
      </c>
      <c r="D305" s="41">
        <v>1</v>
      </c>
      <c r="E305" s="42">
        <v>0</v>
      </c>
      <c r="F305" s="14"/>
      <c r="G305" s="14"/>
    </row>
    <row r="306" spans="1:7" ht="16.5" customHeight="1" x14ac:dyDescent="0.3">
      <c r="A306" s="14"/>
      <c r="B306" s="89"/>
      <c r="C306" s="40" t="s">
        <v>162</v>
      </c>
      <c r="D306" s="41">
        <v>1</v>
      </c>
      <c r="E306" s="42">
        <v>0</v>
      </c>
      <c r="F306" s="14"/>
      <c r="G306" s="14"/>
    </row>
    <row r="307" spans="1:7" ht="16.5" customHeight="1" x14ac:dyDescent="0.3">
      <c r="A307" s="14"/>
      <c r="B307" s="89"/>
      <c r="C307" s="40" t="s">
        <v>168</v>
      </c>
      <c r="D307" s="41">
        <v>1</v>
      </c>
      <c r="E307" s="42">
        <v>0</v>
      </c>
      <c r="F307" s="14"/>
      <c r="G307" s="14"/>
    </row>
    <row r="308" spans="1:7" ht="16.5" customHeight="1" x14ac:dyDescent="0.3">
      <c r="A308" s="14"/>
      <c r="B308" s="89"/>
      <c r="C308" s="40" t="s">
        <v>169</v>
      </c>
      <c r="D308" s="41">
        <v>1</v>
      </c>
      <c r="E308" s="42">
        <v>0</v>
      </c>
      <c r="F308" s="14"/>
      <c r="G308" s="14"/>
    </row>
    <row r="309" spans="1:7" ht="16.5" customHeight="1" x14ac:dyDescent="0.3">
      <c r="A309" s="14"/>
      <c r="B309" s="89"/>
      <c r="C309" s="40" t="s">
        <v>126</v>
      </c>
      <c r="D309" s="41">
        <v>2</v>
      </c>
      <c r="E309" s="42">
        <v>1E-3</v>
      </c>
      <c r="F309" s="14"/>
      <c r="G309" s="14"/>
    </row>
    <row r="310" spans="1:7" ht="16.5" customHeight="1" x14ac:dyDescent="0.3">
      <c r="A310" s="14"/>
      <c r="B310" s="89"/>
      <c r="C310" s="40" t="s">
        <v>170</v>
      </c>
      <c r="D310" s="41">
        <v>57</v>
      </c>
      <c r="E310" s="42">
        <v>2.4E-2</v>
      </c>
      <c r="F310" s="14"/>
      <c r="G310" s="14"/>
    </row>
    <row r="311" spans="1:7" ht="16.5" customHeight="1" x14ac:dyDescent="0.3">
      <c r="A311" s="14"/>
      <c r="B311" s="89"/>
      <c r="C311" s="40" t="s">
        <v>127</v>
      </c>
      <c r="D311" s="41">
        <v>24</v>
      </c>
      <c r="E311" s="42">
        <v>0.01</v>
      </c>
      <c r="F311" s="14"/>
      <c r="G311" s="14"/>
    </row>
    <row r="312" spans="1:7" ht="16.5" customHeight="1" x14ac:dyDescent="0.3">
      <c r="A312" s="14"/>
      <c r="B312" s="89"/>
      <c r="C312" s="40" t="s">
        <v>134</v>
      </c>
      <c r="D312" s="41">
        <v>4</v>
      </c>
      <c r="E312" s="42">
        <v>2E-3</v>
      </c>
      <c r="F312" s="14"/>
      <c r="G312" s="14"/>
    </row>
    <row r="313" spans="1:7" ht="16.5" customHeight="1" x14ac:dyDescent="0.3">
      <c r="A313" s="14"/>
      <c r="B313" s="89"/>
      <c r="C313" s="40" t="s">
        <v>174</v>
      </c>
      <c r="D313" s="41">
        <v>1</v>
      </c>
      <c r="E313" s="42">
        <v>0</v>
      </c>
      <c r="F313" s="14"/>
      <c r="G313" s="14"/>
    </row>
    <row r="314" spans="1:7" ht="16.5" customHeight="1" x14ac:dyDescent="0.3">
      <c r="A314" s="14"/>
      <c r="B314" s="89"/>
      <c r="C314" s="40" t="s">
        <v>176</v>
      </c>
      <c r="D314" s="41">
        <v>2</v>
      </c>
      <c r="E314" s="42">
        <v>1E-3</v>
      </c>
      <c r="F314" s="14"/>
      <c r="G314" s="14"/>
    </row>
    <row r="315" spans="1:7" ht="16.5" customHeight="1" x14ac:dyDescent="0.3">
      <c r="A315" s="14"/>
      <c r="B315" s="89"/>
      <c r="C315" s="40" t="s">
        <v>180</v>
      </c>
      <c r="D315" s="41">
        <v>1</v>
      </c>
      <c r="E315" s="42">
        <v>0</v>
      </c>
      <c r="F315" s="14"/>
      <c r="G315" s="14"/>
    </row>
    <row r="316" spans="1:7" ht="16.5" customHeight="1" x14ac:dyDescent="0.3">
      <c r="A316" s="14"/>
      <c r="B316" s="89"/>
      <c r="C316" s="40" t="s">
        <v>182</v>
      </c>
      <c r="D316" s="41">
        <v>1</v>
      </c>
      <c r="E316" s="42">
        <v>0</v>
      </c>
      <c r="F316" s="14"/>
      <c r="G316" s="14"/>
    </row>
    <row r="317" spans="1:7" ht="16.5" customHeight="1" x14ac:dyDescent="0.3">
      <c r="A317" s="14"/>
      <c r="B317" s="89"/>
      <c r="C317" s="40" t="s">
        <v>129</v>
      </c>
      <c r="D317" s="41">
        <v>1</v>
      </c>
      <c r="E317" s="42">
        <v>0</v>
      </c>
      <c r="F317" s="14"/>
      <c r="G317" s="14"/>
    </row>
    <row r="318" spans="1:7" ht="16.5" customHeight="1" x14ac:dyDescent="0.3">
      <c r="A318" s="14"/>
      <c r="B318" s="89"/>
      <c r="C318" s="40" t="s">
        <v>130</v>
      </c>
      <c r="D318" s="41">
        <v>1</v>
      </c>
      <c r="E318" s="42">
        <v>0</v>
      </c>
      <c r="F318" s="14"/>
      <c r="G318" s="14"/>
    </row>
    <row r="319" spans="1:7" ht="16.5" customHeight="1" x14ac:dyDescent="0.3">
      <c r="A319" s="14"/>
      <c r="B319" s="89"/>
      <c r="C319" s="40" t="s">
        <v>200</v>
      </c>
      <c r="D319" s="41">
        <v>1</v>
      </c>
      <c r="E319" s="42">
        <v>0</v>
      </c>
      <c r="F319" s="14"/>
      <c r="G319" s="14"/>
    </row>
    <row r="320" spans="1:7" ht="16.5" customHeight="1" x14ac:dyDescent="0.3">
      <c r="A320" s="14"/>
      <c r="B320" s="89"/>
      <c r="C320" s="40" t="s">
        <v>191</v>
      </c>
      <c r="D320" s="41">
        <v>1</v>
      </c>
      <c r="E320" s="42">
        <v>0</v>
      </c>
      <c r="F320" s="14"/>
      <c r="G320" s="14"/>
    </row>
    <row r="321" spans="1:7" ht="16.5" customHeight="1" x14ac:dyDescent="0.3">
      <c r="A321" s="14"/>
      <c r="B321" s="89"/>
      <c r="C321" s="40" t="s">
        <v>193</v>
      </c>
      <c r="D321" s="41">
        <v>1</v>
      </c>
      <c r="E321" s="42">
        <v>0</v>
      </c>
      <c r="F321" s="14"/>
      <c r="G321" s="14"/>
    </row>
    <row r="322" spans="1:7" ht="16.5" customHeight="1" x14ac:dyDescent="0.3">
      <c r="A322" s="14"/>
      <c r="B322" s="89"/>
      <c r="C322" s="40" t="s">
        <v>136</v>
      </c>
      <c r="D322" s="41">
        <v>2</v>
      </c>
      <c r="E322" s="42">
        <v>1E-3</v>
      </c>
      <c r="F322" s="14"/>
      <c r="G322" s="14"/>
    </row>
    <row r="323" spans="1:7" ht="16.5" x14ac:dyDescent="0.3">
      <c r="A323" s="14"/>
      <c r="B323" s="90"/>
      <c r="C323" s="35" t="s">
        <v>318</v>
      </c>
      <c r="D323" s="36">
        <v>107</v>
      </c>
      <c r="E323" s="37">
        <v>4.4999999999999998E-2</v>
      </c>
      <c r="F323" s="14"/>
      <c r="G323" s="14"/>
    </row>
    <row r="324" spans="1:7" ht="16.5" customHeight="1" x14ac:dyDescent="0.3">
      <c r="A324" s="14"/>
      <c r="B324" s="88" t="s">
        <v>69</v>
      </c>
      <c r="C324" s="40" t="s">
        <v>127</v>
      </c>
      <c r="D324" s="41">
        <v>3</v>
      </c>
      <c r="E324" s="42">
        <v>1E-3</v>
      </c>
      <c r="F324" s="14"/>
      <c r="G324" s="14"/>
    </row>
    <row r="325" spans="1:7" ht="16.5" customHeight="1" x14ac:dyDescent="0.3">
      <c r="A325" s="14"/>
      <c r="B325" s="89"/>
      <c r="C325" s="40" t="s">
        <v>134</v>
      </c>
      <c r="D325" s="41">
        <v>1</v>
      </c>
      <c r="E325" s="42">
        <v>0</v>
      </c>
      <c r="F325" s="14"/>
      <c r="G325" s="14"/>
    </row>
    <row r="326" spans="1:7" ht="16.5" customHeight="1" x14ac:dyDescent="0.3">
      <c r="A326" s="14"/>
      <c r="B326" s="89"/>
      <c r="C326" s="40" t="s">
        <v>173</v>
      </c>
      <c r="D326" s="41">
        <v>1</v>
      </c>
      <c r="E326" s="42">
        <v>0</v>
      </c>
      <c r="F326" s="14"/>
      <c r="G326" s="14"/>
    </row>
    <row r="327" spans="1:7" ht="16.5" customHeight="1" x14ac:dyDescent="0.3">
      <c r="A327" s="14"/>
      <c r="B327" s="89"/>
      <c r="C327" s="40" t="s">
        <v>190</v>
      </c>
      <c r="D327" s="41">
        <v>1</v>
      </c>
      <c r="E327" s="42">
        <v>0</v>
      </c>
      <c r="F327" s="14"/>
      <c r="G327" s="14"/>
    </row>
    <row r="328" spans="1:7" ht="16.5" x14ac:dyDescent="0.3">
      <c r="A328" s="14"/>
      <c r="B328" s="90"/>
      <c r="C328" s="35" t="s">
        <v>318</v>
      </c>
      <c r="D328" s="36">
        <v>6</v>
      </c>
      <c r="E328" s="37">
        <v>2E-3</v>
      </c>
      <c r="F328" s="14"/>
      <c r="G328" s="14"/>
    </row>
    <row r="329" spans="1:7" ht="16.5" customHeight="1" x14ac:dyDescent="0.3">
      <c r="A329" s="14"/>
      <c r="B329" s="88" t="s">
        <v>45</v>
      </c>
      <c r="C329" s="40" t="s">
        <v>138</v>
      </c>
      <c r="D329" s="41">
        <v>1</v>
      </c>
      <c r="E329" s="42">
        <v>0</v>
      </c>
      <c r="F329" s="14"/>
      <c r="G329" s="14"/>
    </row>
    <row r="330" spans="1:7" ht="16.5" customHeight="1" x14ac:dyDescent="0.3">
      <c r="A330" s="14"/>
      <c r="B330" s="89"/>
      <c r="C330" s="40" t="s">
        <v>147</v>
      </c>
      <c r="D330" s="41">
        <v>2</v>
      </c>
      <c r="E330" s="42">
        <v>1E-3</v>
      </c>
      <c r="F330" s="14"/>
      <c r="G330" s="14"/>
    </row>
    <row r="331" spans="1:7" ht="16.5" customHeight="1" x14ac:dyDescent="0.3">
      <c r="A331" s="14"/>
      <c r="B331" s="89"/>
      <c r="C331" s="40" t="s">
        <v>157</v>
      </c>
      <c r="D331" s="41">
        <v>4</v>
      </c>
      <c r="E331" s="42">
        <v>2E-3</v>
      </c>
      <c r="F331" s="14"/>
      <c r="G331" s="14"/>
    </row>
    <row r="332" spans="1:7" ht="16.5" customHeight="1" x14ac:dyDescent="0.3">
      <c r="A332" s="14"/>
      <c r="B332" s="89"/>
      <c r="C332" s="40" t="s">
        <v>168</v>
      </c>
      <c r="D332" s="41">
        <v>1</v>
      </c>
      <c r="E332" s="42">
        <v>0</v>
      </c>
      <c r="F332" s="14"/>
      <c r="G332" s="14"/>
    </row>
    <row r="333" spans="1:7" ht="16.5" customHeight="1" x14ac:dyDescent="0.3">
      <c r="A333" s="14"/>
      <c r="B333" s="89"/>
      <c r="C333" s="40" t="s">
        <v>169</v>
      </c>
      <c r="D333" s="41">
        <v>8</v>
      </c>
      <c r="E333" s="42">
        <v>3.0000000000000001E-3</v>
      </c>
      <c r="F333" s="14"/>
      <c r="G333" s="14"/>
    </row>
    <row r="334" spans="1:7" ht="16.5" customHeight="1" x14ac:dyDescent="0.3">
      <c r="A334" s="14"/>
      <c r="B334" s="89"/>
      <c r="C334" s="40" t="s">
        <v>127</v>
      </c>
      <c r="D334" s="41">
        <v>12</v>
      </c>
      <c r="E334" s="42">
        <v>5.0000000000000001E-3</v>
      </c>
      <c r="F334" s="14"/>
      <c r="G334" s="14"/>
    </row>
    <row r="335" spans="1:7" ht="16.5" customHeight="1" x14ac:dyDescent="0.3">
      <c r="A335" s="14"/>
      <c r="B335" s="89"/>
      <c r="C335" s="40" t="s">
        <v>134</v>
      </c>
      <c r="D335" s="41">
        <v>47</v>
      </c>
      <c r="E335" s="42">
        <v>0.02</v>
      </c>
      <c r="F335" s="14"/>
      <c r="G335" s="14"/>
    </row>
    <row r="336" spans="1:7" ht="16.5" customHeight="1" x14ac:dyDescent="0.3">
      <c r="A336" s="14"/>
      <c r="B336" s="89"/>
      <c r="C336" s="40" t="s">
        <v>132</v>
      </c>
      <c r="D336" s="41">
        <v>1</v>
      </c>
      <c r="E336" s="42">
        <v>0</v>
      </c>
      <c r="F336" s="14"/>
      <c r="G336" s="14"/>
    </row>
    <row r="337" spans="1:7" ht="16.5" customHeight="1" x14ac:dyDescent="0.3">
      <c r="A337" s="14"/>
      <c r="B337" s="89"/>
      <c r="C337" s="40" t="s">
        <v>174</v>
      </c>
      <c r="D337" s="41">
        <v>1</v>
      </c>
      <c r="E337" s="42">
        <v>0</v>
      </c>
      <c r="F337" s="14"/>
      <c r="G337" s="14"/>
    </row>
    <row r="338" spans="1:7" ht="16.5" customHeight="1" x14ac:dyDescent="0.3">
      <c r="A338" s="14"/>
      <c r="B338" s="89"/>
      <c r="C338" s="40" t="s">
        <v>181</v>
      </c>
      <c r="D338" s="41">
        <v>7</v>
      </c>
      <c r="E338" s="42">
        <v>3.0000000000000001E-3</v>
      </c>
      <c r="F338" s="14"/>
      <c r="G338" s="14"/>
    </row>
    <row r="339" spans="1:7" ht="16.5" customHeight="1" x14ac:dyDescent="0.3">
      <c r="A339" s="14"/>
      <c r="B339" s="89"/>
      <c r="C339" s="40" t="s">
        <v>129</v>
      </c>
      <c r="D339" s="41">
        <v>3</v>
      </c>
      <c r="E339" s="42">
        <v>1E-3</v>
      </c>
      <c r="F339" s="14"/>
      <c r="G339" s="14"/>
    </row>
    <row r="340" spans="1:7" ht="16.5" customHeight="1" x14ac:dyDescent="0.3">
      <c r="A340" s="14"/>
      <c r="B340" s="89"/>
      <c r="C340" s="40" t="s">
        <v>130</v>
      </c>
      <c r="D340" s="41">
        <v>4</v>
      </c>
      <c r="E340" s="42">
        <v>2E-3</v>
      </c>
      <c r="F340" s="14"/>
      <c r="G340" s="14"/>
    </row>
    <row r="341" spans="1:7" ht="16.5" customHeight="1" x14ac:dyDescent="0.3">
      <c r="A341" s="14"/>
      <c r="B341" s="89"/>
      <c r="C341" s="40" t="s">
        <v>191</v>
      </c>
      <c r="D341" s="41">
        <v>1</v>
      </c>
      <c r="E341" s="42">
        <v>0</v>
      </c>
      <c r="F341" s="14"/>
      <c r="G341" s="14"/>
    </row>
    <row r="342" spans="1:7" ht="16.5" customHeight="1" x14ac:dyDescent="0.3">
      <c r="A342" s="14"/>
      <c r="B342" s="89"/>
      <c r="C342" s="40" t="s">
        <v>136</v>
      </c>
      <c r="D342" s="41">
        <v>1</v>
      </c>
      <c r="E342" s="42">
        <v>0</v>
      </c>
      <c r="F342" s="14"/>
      <c r="G342" s="14"/>
    </row>
    <row r="343" spans="1:7" ht="16.5" x14ac:dyDescent="0.3">
      <c r="A343" s="14"/>
      <c r="B343" s="90"/>
      <c r="C343" s="35" t="s">
        <v>318</v>
      </c>
      <c r="D343" s="36">
        <v>93</v>
      </c>
      <c r="E343" s="37">
        <v>3.9E-2</v>
      </c>
      <c r="F343" s="14"/>
      <c r="G343" s="14"/>
    </row>
    <row r="344" spans="1:7" ht="16.5" customHeight="1" x14ac:dyDescent="0.3">
      <c r="A344" s="14"/>
      <c r="B344" s="88" t="s">
        <v>84</v>
      </c>
      <c r="C344" s="40" t="s">
        <v>127</v>
      </c>
      <c r="D344" s="41">
        <v>1</v>
      </c>
      <c r="E344" s="42">
        <v>0</v>
      </c>
      <c r="F344" s="14"/>
      <c r="G344" s="14"/>
    </row>
    <row r="345" spans="1:7" ht="16.5" x14ac:dyDescent="0.3">
      <c r="A345" s="14"/>
      <c r="B345" s="90"/>
      <c r="C345" s="35" t="s">
        <v>318</v>
      </c>
      <c r="D345" s="36">
        <v>1</v>
      </c>
      <c r="E345" s="37">
        <v>0</v>
      </c>
      <c r="F345" s="14"/>
      <c r="G345" s="14"/>
    </row>
    <row r="346" spans="1:7" ht="16.5" customHeight="1" x14ac:dyDescent="0.3">
      <c r="A346" s="14"/>
      <c r="B346" s="88" t="s">
        <v>56</v>
      </c>
      <c r="C346" s="40" t="s">
        <v>150</v>
      </c>
      <c r="D346" s="41">
        <v>1</v>
      </c>
      <c r="E346" s="42">
        <v>0</v>
      </c>
      <c r="F346" s="14"/>
      <c r="G346" s="14"/>
    </row>
    <row r="347" spans="1:7" ht="16.5" customHeight="1" x14ac:dyDescent="0.3">
      <c r="A347" s="14"/>
      <c r="B347" s="89"/>
      <c r="C347" s="40" t="s">
        <v>160</v>
      </c>
      <c r="D347" s="41">
        <v>2</v>
      </c>
      <c r="E347" s="42">
        <v>1E-3</v>
      </c>
      <c r="F347" s="14"/>
      <c r="G347" s="14"/>
    </row>
    <row r="348" spans="1:7" ht="16.5" customHeight="1" x14ac:dyDescent="0.3">
      <c r="A348" s="14"/>
      <c r="B348" s="89"/>
      <c r="C348" s="40" t="s">
        <v>163</v>
      </c>
      <c r="D348" s="41">
        <v>2</v>
      </c>
      <c r="E348" s="42">
        <v>1E-3</v>
      </c>
      <c r="F348" s="14"/>
      <c r="G348" s="14"/>
    </row>
    <row r="349" spans="1:7" ht="16.5" customHeight="1" x14ac:dyDescent="0.3">
      <c r="A349" s="14"/>
      <c r="B349" s="89"/>
      <c r="C349" s="40" t="s">
        <v>164</v>
      </c>
      <c r="D349" s="41">
        <v>1</v>
      </c>
      <c r="E349" s="42">
        <v>0</v>
      </c>
      <c r="F349" s="14"/>
      <c r="G349" s="14"/>
    </row>
    <row r="350" spans="1:7" ht="16.5" customHeight="1" x14ac:dyDescent="0.3">
      <c r="A350" s="14"/>
      <c r="B350" s="89"/>
      <c r="C350" s="40" t="s">
        <v>126</v>
      </c>
      <c r="D350" s="41">
        <v>1</v>
      </c>
      <c r="E350" s="42">
        <v>0</v>
      </c>
      <c r="F350" s="14"/>
      <c r="G350" s="14"/>
    </row>
    <row r="351" spans="1:7" ht="16.5" customHeight="1" x14ac:dyDescent="0.3">
      <c r="A351" s="14"/>
      <c r="B351" s="89"/>
      <c r="C351" s="40" t="s">
        <v>127</v>
      </c>
      <c r="D351" s="41">
        <v>12</v>
      </c>
      <c r="E351" s="42">
        <v>5.0000000000000001E-3</v>
      </c>
      <c r="F351" s="14"/>
      <c r="G351" s="14"/>
    </row>
    <row r="352" spans="1:7" ht="16.5" customHeight="1" x14ac:dyDescent="0.3">
      <c r="A352" s="14"/>
      <c r="B352" s="89"/>
      <c r="C352" s="40" t="s">
        <v>173</v>
      </c>
      <c r="D352" s="41">
        <v>2</v>
      </c>
      <c r="E352" s="42">
        <v>1E-3</v>
      </c>
      <c r="F352" s="14"/>
      <c r="G352" s="14"/>
    </row>
    <row r="353" spans="1:7" ht="16.5" customHeight="1" x14ac:dyDescent="0.3">
      <c r="A353" s="14"/>
      <c r="B353" s="89"/>
      <c r="C353" s="40" t="s">
        <v>176</v>
      </c>
      <c r="D353" s="41">
        <v>1</v>
      </c>
      <c r="E353" s="42">
        <v>0</v>
      </c>
      <c r="F353" s="14"/>
      <c r="G353" s="14"/>
    </row>
    <row r="354" spans="1:7" ht="16.5" customHeight="1" x14ac:dyDescent="0.3">
      <c r="A354" s="14"/>
      <c r="B354" s="89"/>
      <c r="C354" s="40" t="s">
        <v>129</v>
      </c>
      <c r="D354" s="41">
        <v>2</v>
      </c>
      <c r="E354" s="42">
        <v>1E-3</v>
      </c>
      <c r="F354" s="14"/>
      <c r="G354" s="14"/>
    </row>
    <row r="355" spans="1:7" ht="16.5" customHeight="1" x14ac:dyDescent="0.3">
      <c r="A355" s="14"/>
      <c r="B355" s="89"/>
      <c r="C355" s="40" t="s">
        <v>130</v>
      </c>
      <c r="D355" s="41">
        <v>1</v>
      </c>
      <c r="E355" s="42">
        <v>0</v>
      </c>
      <c r="F355" s="14"/>
      <c r="G355" s="14"/>
    </row>
    <row r="356" spans="1:7" ht="16.5" customHeight="1" x14ac:dyDescent="0.3">
      <c r="A356" s="14"/>
      <c r="B356" s="89"/>
      <c r="C356" s="40" t="s">
        <v>194</v>
      </c>
      <c r="D356" s="41">
        <v>2</v>
      </c>
      <c r="E356" s="42">
        <v>1E-3</v>
      </c>
      <c r="F356" s="14"/>
      <c r="G356" s="14"/>
    </row>
    <row r="357" spans="1:7" ht="16.5" x14ac:dyDescent="0.3">
      <c r="A357" s="14"/>
      <c r="B357" s="90"/>
      <c r="C357" s="35" t="s">
        <v>318</v>
      </c>
      <c r="D357" s="36">
        <v>27</v>
      </c>
      <c r="E357" s="37">
        <v>1.0999999999999999E-2</v>
      </c>
      <c r="F357" s="14"/>
      <c r="G357" s="14"/>
    </row>
    <row r="358" spans="1:7" ht="16.5" customHeight="1" x14ac:dyDescent="0.3">
      <c r="A358" s="14"/>
      <c r="B358" s="88" t="s">
        <v>50</v>
      </c>
      <c r="C358" s="40" t="s">
        <v>158</v>
      </c>
      <c r="D358" s="41">
        <v>1</v>
      </c>
      <c r="E358" s="42">
        <v>0</v>
      </c>
      <c r="F358" s="14"/>
      <c r="G358" s="14"/>
    </row>
    <row r="359" spans="1:7" ht="16.5" customHeight="1" x14ac:dyDescent="0.3">
      <c r="A359" s="14"/>
      <c r="B359" s="89"/>
      <c r="C359" s="40" t="s">
        <v>162</v>
      </c>
      <c r="D359" s="41">
        <v>1</v>
      </c>
      <c r="E359" s="42">
        <v>0</v>
      </c>
      <c r="F359" s="14"/>
      <c r="G359" s="14"/>
    </row>
    <row r="360" spans="1:7" ht="16.5" customHeight="1" x14ac:dyDescent="0.3">
      <c r="A360" s="14"/>
      <c r="B360" s="89"/>
      <c r="C360" s="40" t="s">
        <v>197</v>
      </c>
      <c r="D360" s="41">
        <v>1</v>
      </c>
      <c r="E360" s="42">
        <v>0</v>
      </c>
      <c r="F360" s="14"/>
      <c r="G360" s="14"/>
    </row>
    <row r="361" spans="1:7" ht="16.5" customHeight="1" x14ac:dyDescent="0.3">
      <c r="A361" s="14"/>
      <c r="B361" s="89"/>
      <c r="C361" s="40" t="s">
        <v>126</v>
      </c>
      <c r="D361" s="41">
        <v>1</v>
      </c>
      <c r="E361" s="42">
        <v>0</v>
      </c>
      <c r="F361" s="14"/>
      <c r="G361" s="14"/>
    </row>
    <row r="362" spans="1:7" ht="16.5" customHeight="1" x14ac:dyDescent="0.3">
      <c r="A362" s="14"/>
      <c r="B362" s="89"/>
      <c r="C362" s="40" t="s">
        <v>127</v>
      </c>
      <c r="D362" s="41">
        <v>9</v>
      </c>
      <c r="E362" s="42">
        <v>4.0000000000000001E-3</v>
      </c>
      <c r="F362" s="14"/>
      <c r="G362" s="14"/>
    </row>
    <row r="363" spans="1:7" ht="16.5" customHeight="1" x14ac:dyDescent="0.3">
      <c r="A363" s="14"/>
      <c r="B363" s="89"/>
      <c r="C363" s="40" t="s">
        <v>134</v>
      </c>
      <c r="D363" s="41">
        <v>9</v>
      </c>
      <c r="E363" s="42">
        <v>4.0000000000000001E-3</v>
      </c>
      <c r="F363" s="14"/>
      <c r="G363" s="14"/>
    </row>
    <row r="364" spans="1:7" ht="16.5" customHeight="1" x14ac:dyDescent="0.3">
      <c r="A364" s="14"/>
      <c r="B364" s="89"/>
      <c r="C364" s="40" t="s">
        <v>132</v>
      </c>
      <c r="D364" s="41">
        <v>6</v>
      </c>
      <c r="E364" s="42">
        <v>2E-3</v>
      </c>
      <c r="F364" s="14"/>
      <c r="G364" s="14"/>
    </row>
    <row r="365" spans="1:7" ht="16.5" customHeight="1" x14ac:dyDescent="0.3">
      <c r="A365" s="14"/>
      <c r="B365" s="89"/>
      <c r="C365" s="40" t="s">
        <v>129</v>
      </c>
      <c r="D365" s="41">
        <v>2</v>
      </c>
      <c r="E365" s="42">
        <v>1E-3</v>
      </c>
      <c r="F365" s="14"/>
      <c r="G365" s="14"/>
    </row>
    <row r="366" spans="1:7" ht="16.5" customHeight="1" x14ac:dyDescent="0.3">
      <c r="A366" s="14"/>
      <c r="B366" s="89"/>
      <c r="C366" s="40" t="s">
        <v>130</v>
      </c>
      <c r="D366" s="41">
        <v>1</v>
      </c>
      <c r="E366" s="42">
        <v>0</v>
      </c>
      <c r="F366" s="14"/>
      <c r="G366" s="14"/>
    </row>
    <row r="367" spans="1:7" ht="16.5" customHeight="1" x14ac:dyDescent="0.3">
      <c r="A367" s="14"/>
      <c r="B367" s="89"/>
      <c r="C367" s="40" t="s">
        <v>135</v>
      </c>
      <c r="D367" s="41">
        <v>1</v>
      </c>
      <c r="E367" s="42">
        <v>0</v>
      </c>
      <c r="F367" s="14"/>
      <c r="G367" s="14"/>
    </row>
    <row r="368" spans="1:7" ht="16.5" x14ac:dyDescent="0.3">
      <c r="A368" s="14"/>
      <c r="B368" s="90"/>
      <c r="C368" s="35" t="s">
        <v>318</v>
      </c>
      <c r="D368" s="36">
        <v>32</v>
      </c>
      <c r="E368" s="37">
        <v>1.2999999999999999E-2</v>
      </c>
      <c r="F368" s="14"/>
      <c r="G368" s="14"/>
    </row>
    <row r="369" spans="1:7" ht="16.5" customHeight="1" x14ac:dyDescent="0.3">
      <c r="A369" s="14"/>
      <c r="B369" s="88" t="s">
        <v>70</v>
      </c>
      <c r="C369" s="40" t="s">
        <v>141</v>
      </c>
      <c r="D369" s="41">
        <v>1</v>
      </c>
      <c r="E369" s="42">
        <v>0</v>
      </c>
      <c r="F369" s="14"/>
      <c r="G369" s="14"/>
    </row>
    <row r="370" spans="1:7" ht="16.5" customHeight="1" x14ac:dyDescent="0.3">
      <c r="A370" s="14"/>
      <c r="B370" s="89"/>
      <c r="C370" s="40" t="s">
        <v>145</v>
      </c>
      <c r="D370" s="41">
        <v>1</v>
      </c>
      <c r="E370" s="42">
        <v>0</v>
      </c>
      <c r="F370" s="14"/>
      <c r="G370" s="14"/>
    </row>
    <row r="371" spans="1:7" ht="16.5" customHeight="1" x14ac:dyDescent="0.3">
      <c r="A371" s="14"/>
      <c r="B371" s="89"/>
      <c r="C371" s="40" t="s">
        <v>156</v>
      </c>
      <c r="D371" s="41">
        <v>1</v>
      </c>
      <c r="E371" s="42">
        <v>0</v>
      </c>
      <c r="F371" s="14"/>
      <c r="G371" s="14"/>
    </row>
    <row r="372" spans="1:7" ht="16.5" customHeight="1" x14ac:dyDescent="0.3">
      <c r="A372" s="14"/>
      <c r="B372" s="89"/>
      <c r="C372" s="40" t="s">
        <v>127</v>
      </c>
      <c r="D372" s="41">
        <v>5</v>
      </c>
      <c r="E372" s="42">
        <v>2E-3</v>
      </c>
      <c r="F372" s="14"/>
      <c r="G372" s="14"/>
    </row>
    <row r="373" spans="1:7" ht="16.5" x14ac:dyDescent="0.3">
      <c r="A373" s="14"/>
      <c r="B373" s="90"/>
      <c r="C373" s="35" t="s">
        <v>318</v>
      </c>
      <c r="D373" s="36">
        <v>8</v>
      </c>
      <c r="E373" s="37">
        <v>3.0000000000000001E-3</v>
      </c>
      <c r="F373" s="14"/>
      <c r="G373" s="14"/>
    </row>
    <row r="374" spans="1:7" ht="16.5" customHeight="1" x14ac:dyDescent="0.3">
      <c r="A374" s="14"/>
      <c r="B374" s="88" t="s">
        <v>60</v>
      </c>
      <c r="C374" s="40" t="s">
        <v>141</v>
      </c>
      <c r="D374" s="41">
        <v>9</v>
      </c>
      <c r="E374" s="42">
        <v>4.0000000000000001E-3</v>
      </c>
      <c r="F374" s="14"/>
      <c r="G374" s="14"/>
    </row>
    <row r="375" spans="1:7" ht="16.5" customHeight="1" x14ac:dyDescent="0.3">
      <c r="A375" s="14"/>
      <c r="B375" s="89"/>
      <c r="C375" s="40" t="s">
        <v>150</v>
      </c>
      <c r="D375" s="41">
        <v>1</v>
      </c>
      <c r="E375" s="42">
        <v>0</v>
      </c>
      <c r="F375" s="14"/>
      <c r="G375" s="14"/>
    </row>
    <row r="376" spans="1:7" ht="16.5" customHeight="1" x14ac:dyDescent="0.3">
      <c r="A376" s="14"/>
      <c r="B376" s="89"/>
      <c r="C376" s="40" t="s">
        <v>126</v>
      </c>
      <c r="D376" s="41">
        <v>2</v>
      </c>
      <c r="E376" s="42">
        <v>1E-3</v>
      </c>
      <c r="F376" s="14"/>
      <c r="G376" s="14"/>
    </row>
    <row r="377" spans="1:7" ht="16.5" customHeight="1" x14ac:dyDescent="0.3">
      <c r="A377" s="14"/>
      <c r="B377" s="89"/>
      <c r="C377" s="40" t="s">
        <v>127</v>
      </c>
      <c r="D377" s="41">
        <v>4</v>
      </c>
      <c r="E377" s="42">
        <v>2E-3</v>
      </c>
      <c r="F377" s="14"/>
      <c r="G377" s="14"/>
    </row>
    <row r="378" spans="1:7" ht="16.5" customHeight="1" x14ac:dyDescent="0.3">
      <c r="A378" s="14"/>
      <c r="B378" s="89"/>
      <c r="C378" s="40" t="s">
        <v>174</v>
      </c>
      <c r="D378" s="41">
        <v>1</v>
      </c>
      <c r="E378" s="42">
        <v>0</v>
      </c>
      <c r="F378" s="14"/>
      <c r="G378" s="14"/>
    </row>
    <row r="379" spans="1:7" ht="16.5" customHeight="1" x14ac:dyDescent="0.3">
      <c r="A379" s="14"/>
      <c r="B379" s="89"/>
      <c r="C379" s="40" t="s">
        <v>129</v>
      </c>
      <c r="D379" s="41">
        <v>1</v>
      </c>
      <c r="E379" s="42">
        <v>0</v>
      </c>
      <c r="F379" s="14"/>
      <c r="G379" s="14"/>
    </row>
    <row r="380" spans="1:7" ht="16.5" customHeight="1" x14ac:dyDescent="0.3">
      <c r="A380" s="14"/>
      <c r="B380" s="89"/>
      <c r="C380" s="40" t="s">
        <v>184</v>
      </c>
      <c r="D380" s="41">
        <v>1</v>
      </c>
      <c r="E380" s="42">
        <v>0</v>
      </c>
      <c r="F380" s="14"/>
      <c r="G380" s="14"/>
    </row>
    <row r="381" spans="1:7" ht="16.5" customHeight="1" x14ac:dyDescent="0.3">
      <c r="A381" s="14"/>
      <c r="B381" s="89"/>
      <c r="C381" s="40" t="s">
        <v>191</v>
      </c>
      <c r="D381" s="41">
        <v>2</v>
      </c>
      <c r="E381" s="42">
        <v>1E-3</v>
      </c>
      <c r="F381" s="14"/>
      <c r="G381" s="14"/>
    </row>
    <row r="382" spans="1:7" ht="16.5" x14ac:dyDescent="0.3">
      <c r="A382" s="14"/>
      <c r="B382" s="90"/>
      <c r="C382" s="35" t="s">
        <v>318</v>
      </c>
      <c r="D382" s="36">
        <v>21</v>
      </c>
      <c r="E382" s="37">
        <v>8.9999999999999993E-3</v>
      </c>
      <c r="F382" s="14"/>
      <c r="G382" s="14"/>
    </row>
    <row r="383" spans="1:7" ht="16.5" customHeight="1" x14ac:dyDescent="0.3">
      <c r="A383" s="14"/>
      <c r="B383" s="88" t="s">
        <v>76</v>
      </c>
      <c r="C383" s="40" t="s">
        <v>133</v>
      </c>
      <c r="D383" s="41">
        <v>1</v>
      </c>
      <c r="E383" s="42">
        <v>0</v>
      </c>
      <c r="F383" s="14"/>
      <c r="G383" s="14"/>
    </row>
    <row r="384" spans="1:7" ht="16.5" customHeight="1" x14ac:dyDescent="0.3">
      <c r="A384" s="14"/>
      <c r="B384" s="89"/>
      <c r="C384" s="40" t="s">
        <v>127</v>
      </c>
      <c r="D384" s="41">
        <v>7</v>
      </c>
      <c r="E384" s="42">
        <v>3.0000000000000001E-3</v>
      </c>
      <c r="F384" s="14"/>
      <c r="G384" s="14"/>
    </row>
    <row r="385" spans="1:7" ht="16.5" customHeight="1" x14ac:dyDescent="0.3">
      <c r="A385" s="14"/>
      <c r="B385" s="89"/>
      <c r="C385" s="40" t="s">
        <v>191</v>
      </c>
      <c r="D385" s="41">
        <v>1</v>
      </c>
      <c r="E385" s="42">
        <v>0</v>
      </c>
      <c r="F385" s="14"/>
      <c r="G385" s="14"/>
    </row>
    <row r="386" spans="1:7" ht="16.5" x14ac:dyDescent="0.3">
      <c r="A386" s="14"/>
      <c r="B386" s="90"/>
      <c r="C386" s="35" t="s">
        <v>318</v>
      </c>
      <c r="D386" s="36">
        <v>9</v>
      </c>
      <c r="E386" s="37">
        <v>4.0000000000000001E-3</v>
      </c>
      <c r="F386" s="14"/>
      <c r="G386" s="14"/>
    </row>
    <row r="387" spans="1:7" ht="16.5" customHeight="1" x14ac:dyDescent="0.3">
      <c r="A387" s="14"/>
      <c r="B387" s="88" t="s">
        <v>51</v>
      </c>
      <c r="C387" s="40" t="s">
        <v>141</v>
      </c>
      <c r="D387" s="41">
        <v>3</v>
      </c>
      <c r="E387" s="42">
        <v>1E-3</v>
      </c>
      <c r="F387" s="14"/>
      <c r="G387" s="14"/>
    </row>
    <row r="388" spans="1:7" ht="16.5" customHeight="1" x14ac:dyDescent="0.3">
      <c r="A388" s="14"/>
      <c r="B388" s="89"/>
      <c r="C388" s="40" t="s">
        <v>143</v>
      </c>
      <c r="D388" s="41">
        <v>2</v>
      </c>
      <c r="E388" s="42">
        <v>1E-3</v>
      </c>
      <c r="F388" s="14"/>
      <c r="G388" s="14"/>
    </row>
    <row r="389" spans="1:7" ht="16.5" customHeight="1" x14ac:dyDescent="0.3">
      <c r="A389" s="14"/>
      <c r="B389" s="89"/>
      <c r="C389" s="40" t="s">
        <v>145</v>
      </c>
      <c r="D389" s="41">
        <v>5</v>
      </c>
      <c r="E389" s="42">
        <v>2E-3</v>
      </c>
      <c r="F389" s="14"/>
      <c r="G389" s="14"/>
    </row>
    <row r="390" spans="1:7" ht="16.5" customHeight="1" x14ac:dyDescent="0.3">
      <c r="A390" s="14"/>
      <c r="B390" s="89"/>
      <c r="C390" s="40" t="s">
        <v>160</v>
      </c>
      <c r="D390" s="41">
        <v>3</v>
      </c>
      <c r="E390" s="42">
        <v>1E-3</v>
      </c>
      <c r="F390" s="14"/>
      <c r="G390" s="14"/>
    </row>
    <row r="391" spans="1:7" ht="16.5" customHeight="1" x14ac:dyDescent="0.3">
      <c r="A391" s="14"/>
      <c r="B391" s="89"/>
      <c r="C391" s="40" t="s">
        <v>164</v>
      </c>
      <c r="D391" s="41">
        <v>1</v>
      </c>
      <c r="E391" s="42">
        <v>0</v>
      </c>
      <c r="F391" s="14"/>
      <c r="G391" s="14"/>
    </row>
    <row r="392" spans="1:7" ht="16.5" customHeight="1" x14ac:dyDescent="0.3">
      <c r="A392" s="14"/>
      <c r="B392" s="89"/>
      <c r="C392" s="40" t="s">
        <v>198</v>
      </c>
      <c r="D392" s="41">
        <v>1</v>
      </c>
      <c r="E392" s="42">
        <v>0</v>
      </c>
      <c r="F392" s="14"/>
      <c r="G392" s="14"/>
    </row>
    <row r="393" spans="1:7" ht="16.5" customHeight="1" x14ac:dyDescent="0.3">
      <c r="A393" s="14"/>
      <c r="B393" s="89"/>
      <c r="C393" s="40" t="s">
        <v>170</v>
      </c>
      <c r="D393" s="41">
        <v>2</v>
      </c>
      <c r="E393" s="42">
        <v>1E-3</v>
      </c>
      <c r="F393" s="14"/>
      <c r="G393" s="14"/>
    </row>
    <row r="394" spans="1:7" ht="16.5" customHeight="1" x14ac:dyDescent="0.3">
      <c r="A394" s="14"/>
      <c r="B394" s="89"/>
      <c r="C394" s="40" t="s">
        <v>127</v>
      </c>
      <c r="D394" s="41">
        <v>21</v>
      </c>
      <c r="E394" s="42">
        <v>8.9999999999999993E-3</v>
      </c>
      <c r="F394" s="14"/>
      <c r="G394" s="14"/>
    </row>
    <row r="395" spans="1:7" ht="16.5" customHeight="1" x14ac:dyDescent="0.3">
      <c r="A395" s="14"/>
      <c r="B395" s="89"/>
      <c r="C395" s="40" t="s">
        <v>270</v>
      </c>
      <c r="D395" s="41">
        <v>1</v>
      </c>
      <c r="E395" s="42">
        <v>0</v>
      </c>
      <c r="F395" s="14"/>
      <c r="G395" s="14"/>
    </row>
    <row r="396" spans="1:7" ht="16.5" customHeight="1" x14ac:dyDescent="0.3">
      <c r="A396" s="14"/>
      <c r="B396" s="89"/>
      <c r="C396" s="40" t="s">
        <v>134</v>
      </c>
      <c r="D396" s="41">
        <v>1</v>
      </c>
      <c r="E396" s="42">
        <v>0</v>
      </c>
      <c r="F396" s="14"/>
      <c r="G396" s="14"/>
    </row>
    <row r="397" spans="1:7" ht="16.5" customHeight="1" x14ac:dyDescent="0.3">
      <c r="A397" s="14"/>
      <c r="B397" s="89"/>
      <c r="C397" s="40" t="s">
        <v>172</v>
      </c>
      <c r="D397" s="41">
        <v>1</v>
      </c>
      <c r="E397" s="42">
        <v>0</v>
      </c>
      <c r="F397" s="14"/>
      <c r="G397" s="14"/>
    </row>
    <row r="398" spans="1:7" ht="16.5" customHeight="1" x14ac:dyDescent="0.3">
      <c r="A398" s="14"/>
      <c r="B398" s="89"/>
      <c r="C398" s="40" t="s">
        <v>132</v>
      </c>
      <c r="D398" s="41">
        <v>1</v>
      </c>
      <c r="E398" s="42">
        <v>0</v>
      </c>
      <c r="F398" s="14"/>
      <c r="G398" s="14"/>
    </row>
    <row r="399" spans="1:7" ht="16.5" customHeight="1" x14ac:dyDescent="0.3">
      <c r="A399" s="14"/>
      <c r="B399" s="89"/>
      <c r="C399" s="40" t="s">
        <v>271</v>
      </c>
      <c r="D399" s="41">
        <v>1</v>
      </c>
      <c r="E399" s="42">
        <v>0</v>
      </c>
      <c r="F399" s="14"/>
      <c r="G399" s="14"/>
    </row>
    <row r="400" spans="1:7" ht="16.5" customHeight="1" x14ac:dyDescent="0.3">
      <c r="A400" s="14"/>
      <c r="B400" s="89"/>
      <c r="C400" s="40" t="s">
        <v>175</v>
      </c>
      <c r="D400" s="41">
        <v>1</v>
      </c>
      <c r="E400" s="42">
        <v>0</v>
      </c>
      <c r="F400" s="14"/>
      <c r="G400" s="14"/>
    </row>
    <row r="401" spans="1:7" ht="16.5" customHeight="1" x14ac:dyDescent="0.3">
      <c r="A401" s="14"/>
      <c r="B401" s="89"/>
      <c r="C401" s="40" t="s">
        <v>129</v>
      </c>
      <c r="D401" s="41">
        <v>1</v>
      </c>
      <c r="E401" s="42">
        <v>0</v>
      </c>
      <c r="F401" s="14"/>
      <c r="G401" s="14"/>
    </row>
    <row r="402" spans="1:7" ht="16.5" customHeight="1" x14ac:dyDescent="0.3">
      <c r="A402" s="14"/>
      <c r="B402" s="89"/>
      <c r="C402" s="40" t="s">
        <v>186</v>
      </c>
      <c r="D402" s="41">
        <v>1</v>
      </c>
      <c r="E402" s="42">
        <v>0</v>
      </c>
      <c r="F402" s="14"/>
      <c r="G402" s="14"/>
    </row>
    <row r="403" spans="1:7" ht="16.5" customHeight="1" x14ac:dyDescent="0.3">
      <c r="A403" s="14"/>
      <c r="B403" s="89"/>
      <c r="C403" s="40" t="s">
        <v>130</v>
      </c>
      <c r="D403" s="41">
        <v>1</v>
      </c>
      <c r="E403" s="42">
        <v>0</v>
      </c>
      <c r="F403" s="14"/>
      <c r="G403" s="14"/>
    </row>
    <row r="404" spans="1:7" ht="16.5" customHeight="1" x14ac:dyDescent="0.3">
      <c r="A404" s="14"/>
      <c r="B404" s="89"/>
      <c r="C404" s="40" t="s">
        <v>190</v>
      </c>
      <c r="D404" s="41">
        <v>1</v>
      </c>
      <c r="E404" s="42">
        <v>0</v>
      </c>
      <c r="F404" s="14"/>
      <c r="G404" s="14"/>
    </row>
    <row r="405" spans="1:7" ht="16.5" customHeight="1" x14ac:dyDescent="0.3">
      <c r="A405" s="14"/>
      <c r="B405" s="89"/>
      <c r="C405" s="40" t="s">
        <v>199</v>
      </c>
      <c r="D405" s="41">
        <v>1</v>
      </c>
      <c r="E405" s="42">
        <v>0</v>
      </c>
      <c r="F405" s="14"/>
      <c r="G405" s="14"/>
    </row>
    <row r="406" spans="1:7" ht="16.5" customHeight="1" x14ac:dyDescent="0.3">
      <c r="A406" s="14"/>
      <c r="B406" s="89"/>
      <c r="C406" s="40" t="s">
        <v>195</v>
      </c>
      <c r="D406" s="41">
        <v>1</v>
      </c>
      <c r="E406" s="42">
        <v>0</v>
      </c>
      <c r="F406" s="14"/>
      <c r="G406" s="14"/>
    </row>
    <row r="407" spans="1:7" ht="16.5" customHeight="1" x14ac:dyDescent="0.3">
      <c r="A407" s="14"/>
      <c r="B407" s="90"/>
      <c r="C407" s="35" t="s">
        <v>318</v>
      </c>
      <c r="D407" s="36">
        <v>50</v>
      </c>
      <c r="E407" s="37">
        <v>2.1000000000000001E-2</v>
      </c>
      <c r="F407" s="14"/>
      <c r="G407" s="14"/>
    </row>
    <row r="408" spans="1:7" ht="16.5" customHeight="1" x14ac:dyDescent="0.3">
      <c r="A408" s="14"/>
      <c r="B408" s="88" t="s">
        <v>71</v>
      </c>
      <c r="C408" s="40" t="s">
        <v>145</v>
      </c>
      <c r="D408" s="41">
        <v>1</v>
      </c>
      <c r="E408" s="42">
        <v>0</v>
      </c>
      <c r="F408" s="14"/>
      <c r="G408" s="14"/>
    </row>
    <row r="409" spans="1:7" ht="16.5" customHeight="1" x14ac:dyDescent="0.3">
      <c r="A409" s="14"/>
      <c r="B409" s="89"/>
      <c r="C409" s="40" t="s">
        <v>163</v>
      </c>
      <c r="D409" s="41">
        <v>1</v>
      </c>
      <c r="E409" s="42">
        <v>0</v>
      </c>
      <c r="F409" s="14"/>
      <c r="G409" s="14"/>
    </row>
    <row r="410" spans="1:7" ht="16.5" customHeight="1" x14ac:dyDescent="0.3">
      <c r="A410" s="14"/>
      <c r="B410" s="89"/>
      <c r="C410" s="40" t="s">
        <v>127</v>
      </c>
      <c r="D410" s="41">
        <v>3</v>
      </c>
      <c r="E410" s="42">
        <v>1E-3</v>
      </c>
      <c r="F410" s="14"/>
      <c r="G410" s="14"/>
    </row>
    <row r="411" spans="1:7" ht="16.5" customHeight="1" x14ac:dyDescent="0.3">
      <c r="A411" s="14"/>
      <c r="B411" s="89"/>
      <c r="C411" s="40" t="s">
        <v>134</v>
      </c>
      <c r="D411" s="41">
        <v>2</v>
      </c>
      <c r="E411" s="42">
        <v>1E-3</v>
      </c>
      <c r="F411" s="14"/>
      <c r="G411" s="14"/>
    </row>
    <row r="412" spans="1:7" ht="16.5" customHeight="1" x14ac:dyDescent="0.3">
      <c r="A412" s="14"/>
      <c r="B412" s="89"/>
      <c r="C412" s="40" t="s">
        <v>129</v>
      </c>
      <c r="D412" s="41">
        <v>1</v>
      </c>
      <c r="E412" s="42">
        <v>0</v>
      </c>
      <c r="F412" s="14"/>
      <c r="G412" s="14"/>
    </row>
    <row r="413" spans="1:7" ht="16.5" x14ac:dyDescent="0.3">
      <c r="A413" s="14"/>
      <c r="B413" s="90"/>
      <c r="C413" s="35" t="s">
        <v>318</v>
      </c>
      <c r="D413" s="36">
        <v>8</v>
      </c>
      <c r="E413" s="37">
        <v>3.0000000000000001E-3</v>
      </c>
      <c r="F413" s="14"/>
      <c r="G413" s="14"/>
    </row>
    <row r="414" spans="1:7" ht="16.5" customHeight="1" x14ac:dyDescent="0.3">
      <c r="A414" s="14"/>
      <c r="B414" s="88" t="s">
        <v>41</v>
      </c>
      <c r="C414" s="40" t="s">
        <v>133</v>
      </c>
      <c r="D414" s="41">
        <v>19</v>
      </c>
      <c r="E414" s="42">
        <v>8.0000000000000002E-3</v>
      </c>
      <c r="F414" s="14"/>
      <c r="G414" s="14"/>
    </row>
    <row r="415" spans="1:7" ht="16.5" customHeight="1" x14ac:dyDescent="0.3">
      <c r="A415" s="14"/>
      <c r="B415" s="89"/>
      <c r="C415" s="40" t="s">
        <v>138</v>
      </c>
      <c r="D415" s="41">
        <v>35</v>
      </c>
      <c r="E415" s="42">
        <v>1.4999999999999999E-2</v>
      </c>
      <c r="F415" s="14"/>
      <c r="G415" s="14"/>
    </row>
    <row r="416" spans="1:7" ht="16.5" customHeight="1" x14ac:dyDescent="0.3">
      <c r="A416" s="14"/>
      <c r="B416" s="89"/>
      <c r="C416" s="40" t="s">
        <v>139</v>
      </c>
      <c r="D416" s="41">
        <v>1</v>
      </c>
      <c r="E416" s="42">
        <v>0</v>
      </c>
      <c r="F416" s="14"/>
      <c r="G416" s="14"/>
    </row>
    <row r="417" spans="1:7" ht="16.5" customHeight="1" x14ac:dyDescent="0.3">
      <c r="A417" s="14"/>
      <c r="B417" s="89"/>
      <c r="C417" s="40" t="s">
        <v>144</v>
      </c>
      <c r="D417" s="41">
        <v>3</v>
      </c>
      <c r="E417" s="42">
        <v>1E-3</v>
      </c>
      <c r="F417" s="14"/>
      <c r="G417" s="14"/>
    </row>
    <row r="418" spans="1:7" ht="16.5" customHeight="1" x14ac:dyDescent="0.3">
      <c r="A418" s="14"/>
      <c r="B418" s="89"/>
      <c r="C418" s="40" t="s">
        <v>146</v>
      </c>
      <c r="D418" s="41">
        <v>1</v>
      </c>
      <c r="E418" s="42">
        <v>0</v>
      </c>
      <c r="F418" s="14"/>
      <c r="G418" s="14"/>
    </row>
    <row r="419" spans="1:7" ht="16.5" customHeight="1" x14ac:dyDescent="0.3">
      <c r="A419" s="14"/>
      <c r="B419" s="89"/>
      <c r="C419" s="40" t="s">
        <v>267</v>
      </c>
      <c r="D419" s="41">
        <v>1</v>
      </c>
      <c r="E419" s="42">
        <v>0</v>
      </c>
      <c r="F419" s="14"/>
      <c r="G419" s="14"/>
    </row>
    <row r="420" spans="1:7" ht="16.5" customHeight="1" x14ac:dyDescent="0.3">
      <c r="A420" s="14"/>
      <c r="B420" s="89"/>
      <c r="C420" s="40" t="s">
        <v>147</v>
      </c>
      <c r="D420" s="41">
        <v>1</v>
      </c>
      <c r="E420" s="42">
        <v>0</v>
      </c>
      <c r="F420" s="14"/>
      <c r="G420" s="14"/>
    </row>
    <row r="421" spans="1:7" ht="16.5" customHeight="1" x14ac:dyDescent="0.3">
      <c r="A421" s="14"/>
      <c r="B421" s="89"/>
      <c r="C421" s="40" t="s">
        <v>268</v>
      </c>
      <c r="D421" s="41">
        <v>1</v>
      </c>
      <c r="E421" s="42">
        <v>0</v>
      </c>
      <c r="F421" s="14"/>
      <c r="G421" s="14"/>
    </row>
    <row r="422" spans="1:7" ht="16.5" customHeight="1" x14ac:dyDescent="0.3">
      <c r="A422" s="14"/>
      <c r="B422" s="89"/>
      <c r="C422" s="40" t="s">
        <v>151</v>
      </c>
      <c r="D422" s="41">
        <v>8</v>
      </c>
      <c r="E422" s="42">
        <v>3.0000000000000001E-3</v>
      </c>
      <c r="F422" s="14"/>
      <c r="G422" s="14"/>
    </row>
    <row r="423" spans="1:7" ht="16.5" customHeight="1" x14ac:dyDescent="0.3">
      <c r="A423" s="14"/>
      <c r="B423" s="89"/>
      <c r="C423" s="40" t="s">
        <v>265</v>
      </c>
      <c r="D423" s="41">
        <v>18</v>
      </c>
      <c r="E423" s="42">
        <v>7.0000000000000001E-3</v>
      </c>
      <c r="F423" s="14"/>
      <c r="G423" s="14"/>
    </row>
    <row r="424" spans="1:7" ht="16.5" customHeight="1" x14ac:dyDescent="0.3">
      <c r="A424" s="14"/>
      <c r="B424" s="89"/>
      <c r="C424" s="40" t="s">
        <v>157</v>
      </c>
      <c r="D424" s="41">
        <v>7</v>
      </c>
      <c r="E424" s="42">
        <v>3.0000000000000001E-3</v>
      </c>
      <c r="F424" s="14"/>
      <c r="G424" s="14"/>
    </row>
    <row r="425" spans="1:7" ht="16.5" customHeight="1" x14ac:dyDescent="0.3">
      <c r="A425" s="14"/>
      <c r="B425" s="89"/>
      <c r="C425" s="40" t="s">
        <v>196</v>
      </c>
      <c r="D425" s="41">
        <v>2</v>
      </c>
      <c r="E425" s="42">
        <v>1E-3</v>
      </c>
      <c r="F425" s="14"/>
      <c r="G425" s="14"/>
    </row>
    <row r="426" spans="1:7" ht="16.5" customHeight="1" x14ac:dyDescent="0.3">
      <c r="A426" s="14"/>
      <c r="B426" s="89"/>
      <c r="C426" s="40" t="s">
        <v>162</v>
      </c>
      <c r="D426" s="41">
        <v>6</v>
      </c>
      <c r="E426" s="42">
        <v>2E-3</v>
      </c>
      <c r="F426" s="14"/>
      <c r="G426" s="14"/>
    </row>
    <row r="427" spans="1:7" ht="16.5" customHeight="1" x14ac:dyDescent="0.3">
      <c r="A427" s="14"/>
      <c r="B427" s="89"/>
      <c r="C427" s="40" t="s">
        <v>164</v>
      </c>
      <c r="D427" s="41">
        <v>3</v>
      </c>
      <c r="E427" s="42">
        <v>1E-3</v>
      </c>
      <c r="F427" s="14"/>
      <c r="G427" s="14"/>
    </row>
    <row r="428" spans="1:7" ht="16.5" customHeight="1" x14ac:dyDescent="0.3">
      <c r="A428" s="14"/>
      <c r="B428" s="89"/>
      <c r="C428" s="40" t="s">
        <v>168</v>
      </c>
      <c r="D428" s="41">
        <v>31</v>
      </c>
      <c r="E428" s="42">
        <v>1.2999999999999999E-2</v>
      </c>
      <c r="F428" s="14"/>
      <c r="G428" s="14"/>
    </row>
    <row r="429" spans="1:7" ht="16.5" customHeight="1" x14ac:dyDescent="0.3">
      <c r="A429" s="14"/>
      <c r="B429" s="89"/>
      <c r="C429" s="40" t="s">
        <v>169</v>
      </c>
      <c r="D429" s="41">
        <v>3</v>
      </c>
      <c r="E429" s="42">
        <v>1E-3</v>
      </c>
      <c r="F429" s="14"/>
      <c r="G429" s="14"/>
    </row>
    <row r="430" spans="1:7" ht="16.5" customHeight="1" x14ac:dyDescent="0.3">
      <c r="A430" s="14"/>
      <c r="B430" s="89"/>
      <c r="C430" s="40" t="s">
        <v>266</v>
      </c>
      <c r="D430" s="41">
        <v>2</v>
      </c>
      <c r="E430" s="42">
        <v>1E-3</v>
      </c>
      <c r="F430" s="14"/>
      <c r="G430" s="14"/>
    </row>
    <row r="431" spans="1:7" ht="16.5" customHeight="1" x14ac:dyDescent="0.3">
      <c r="A431" s="14"/>
      <c r="B431" s="89"/>
      <c r="C431" s="40" t="s">
        <v>170</v>
      </c>
      <c r="D431" s="41">
        <v>2</v>
      </c>
      <c r="E431" s="42">
        <v>1E-3</v>
      </c>
      <c r="F431" s="14"/>
      <c r="G431" s="14"/>
    </row>
    <row r="432" spans="1:7" ht="16.5" customHeight="1" x14ac:dyDescent="0.3">
      <c r="A432" s="14"/>
      <c r="B432" s="89"/>
      <c r="C432" s="40" t="s">
        <v>127</v>
      </c>
      <c r="D432" s="41">
        <v>53</v>
      </c>
      <c r="E432" s="42">
        <v>2.1999999999999999E-2</v>
      </c>
      <c r="F432" s="14"/>
      <c r="G432" s="14"/>
    </row>
    <row r="433" spans="1:7" ht="16.5" customHeight="1" x14ac:dyDescent="0.3">
      <c r="A433" s="14"/>
      <c r="B433" s="89"/>
      <c r="C433" s="40" t="s">
        <v>134</v>
      </c>
      <c r="D433" s="41">
        <v>381</v>
      </c>
      <c r="E433" s="42">
        <v>0.159</v>
      </c>
      <c r="F433" s="14"/>
      <c r="G433" s="14"/>
    </row>
    <row r="434" spans="1:7" ht="16.5" customHeight="1" x14ac:dyDescent="0.3">
      <c r="A434" s="14"/>
      <c r="B434" s="89"/>
      <c r="C434" s="40" t="s">
        <v>172</v>
      </c>
      <c r="D434" s="41">
        <v>1</v>
      </c>
      <c r="E434" s="42">
        <v>0</v>
      </c>
      <c r="F434" s="14"/>
      <c r="G434" s="14"/>
    </row>
    <row r="435" spans="1:7" ht="16.5" customHeight="1" x14ac:dyDescent="0.3">
      <c r="A435" s="14"/>
      <c r="B435" s="89"/>
      <c r="C435" s="40" t="s">
        <v>132</v>
      </c>
      <c r="D435" s="41">
        <v>93</v>
      </c>
      <c r="E435" s="42">
        <v>3.9E-2</v>
      </c>
      <c r="F435" s="14"/>
      <c r="G435" s="14"/>
    </row>
    <row r="436" spans="1:7" ht="16.5" customHeight="1" x14ac:dyDescent="0.3">
      <c r="A436" s="14"/>
      <c r="B436" s="89"/>
      <c r="C436" s="40" t="s">
        <v>174</v>
      </c>
      <c r="D436" s="41">
        <v>38</v>
      </c>
      <c r="E436" s="42">
        <v>1.6E-2</v>
      </c>
      <c r="F436" s="14"/>
      <c r="G436" s="14"/>
    </row>
    <row r="437" spans="1:7" ht="16.5" customHeight="1" x14ac:dyDescent="0.3">
      <c r="A437" s="14"/>
      <c r="B437" s="89"/>
      <c r="C437" s="40" t="s">
        <v>176</v>
      </c>
      <c r="D437" s="41">
        <v>3</v>
      </c>
      <c r="E437" s="42">
        <v>1E-3</v>
      </c>
      <c r="F437" s="14"/>
      <c r="G437" s="14"/>
    </row>
    <row r="438" spans="1:7" ht="16.5" customHeight="1" x14ac:dyDescent="0.3">
      <c r="A438" s="14"/>
      <c r="B438" s="89"/>
      <c r="C438" s="40" t="s">
        <v>179</v>
      </c>
      <c r="D438" s="41">
        <v>6</v>
      </c>
      <c r="E438" s="42">
        <v>2E-3</v>
      </c>
      <c r="F438" s="14"/>
      <c r="G438" s="14"/>
    </row>
    <row r="439" spans="1:7" ht="16.5" customHeight="1" x14ac:dyDescent="0.3">
      <c r="A439" s="14"/>
      <c r="B439" s="89"/>
      <c r="C439" s="40" t="s">
        <v>181</v>
      </c>
      <c r="D439" s="41">
        <v>9</v>
      </c>
      <c r="E439" s="42">
        <v>4.0000000000000001E-3</v>
      </c>
      <c r="F439" s="14"/>
      <c r="G439" s="14"/>
    </row>
    <row r="440" spans="1:7" ht="16.5" customHeight="1" x14ac:dyDescent="0.3">
      <c r="A440" s="14"/>
      <c r="B440" s="89"/>
      <c r="C440" s="40" t="s">
        <v>129</v>
      </c>
      <c r="D440" s="41">
        <v>93</v>
      </c>
      <c r="E440" s="42">
        <v>3.9E-2</v>
      </c>
      <c r="F440" s="14"/>
      <c r="G440" s="14"/>
    </row>
    <row r="441" spans="1:7" ht="16.5" customHeight="1" x14ac:dyDescent="0.3">
      <c r="A441" s="14"/>
      <c r="B441" s="89"/>
      <c r="C441" s="40" t="s">
        <v>184</v>
      </c>
      <c r="D441" s="41">
        <v>28</v>
      </c>
      <c r="E441" s="42">
        <v>1.2E-2</v>
      </c>
      <c r="F441" s="14"/>
      <c r="G441" s="14"/>
    </row>
    <row r="442" spans="1:7" ht="16.5" customHeight="1" x14ac:dyDescent="0.3">
      <c r="A442" s="14"/>
      <c r="B442" s="89"/>
      <c r="C442" s="40" t="s">
        <v>186</v>
      </c>
      <c r="D442" s="41">
        <v>1</v>
      </c>
      <c r="E442" s="42">
        <v>0</v>
      </c>
      <c r="F442" s="14"/>
      <c r="G442" s="14"/>
    </row>
    <row r="443" spans="1:7" ht="16.5" customHeight="1" x14ac:dyDescent="0.3">
      <c r="A443" s="14"/>
      <c r="B443" s="89"/>
      <c r="C443" s="40" t="s">
        <v>187</v>
      </c>
      <c r="D443" s="41">
        <v>1</v>
      </c>
      <c r="E443" s="42">
        <v>0</v>
      </c>
      <c r="F443" s="14"/>
      <c r="G443" s="14"/>
    </row>
    <row r="444" spans="1:7" ht="16.5" customHeight="1" x14ac:dyDescent="0.3">
      <c r="A444" s="14"/>
      <c r="B444" s="89"/>
      <c r="C444" s="40" t="s">
        <v>130</v>
      </c>
      <c r="D444" s="41">
        <v>53</v>
      </c>
      <c r="E444" s="42">
        <v>2.1999999999999999E-2</v>
      </c>
      <c r="F444" s="14"/>
      <c r="G444" s="14"/>
    </row>
    <row r="445" spans="1:7" ht="16.5" customHeight="1" x14ac:dyDescent="0.3">
      <c r="A445" s="14"/>
      <c r="B445" s="89"/>
      <c r="C445" s="40" t="s">
        <v>190</v>
      </c>
      <c r="D445" s="41">
        <v>6</v>
      </c>
      <c r="E445" s="42">
        <v>2E-3</v>
      </c>
      <c r="F445" s="14"/>
      <c r="G445" s="14"/>
    </row>
    <row r="446" spans="1:7" ht="16.5" customHeight="1" x14ac:dyDescent="0.3">
      <c r="A446" s="14"/>
      <c r="B446" s="89"/>
      <c r="C446" s="40" t="s">
        <v>191</v>
      </c>
      <c r="D446" s="41">
        <v>7</v>
      </c>
      <c r="E446" s="42">
        <v>3.0000000000000001E-3</v>
      </c>
      <c r="F446" s="14"/>
      <c r="G446" s="14"/>
    </row>
    <row r="447" spans="1:7" ht="16.5" customHeight="1" x14ac:dyDescent="0.3">
      <c r="A447" s="14"/>
      <c r="B447" s="89"/>
      <c r="C447" s="40" t="s">
        <v>135</v>
      </c>
      <c r="D447" s="41">
        <v>5</v>
      </c>
      <c r="E447" s="42">
        <v>2E-3</v>
      </c>
      <c r="F447" s="14"/>
      <c r="G447" s="14"/>
    </row>
    <row r="448" spans="1:7" ht="16.5" customHeight="1" x14ac:dyDescent="0.3">
      <c r="A448" s="14"/>
      <c r="B448" s="89"/>
      <c r="C448" s="40" t="s">
        <v>136</v>
      </c>
      <c r="D448" s="41">
        <v>3</v>
      </c>
      <c r="E448" s="42">
        <v>1E-3</v>
      </c>
      <c r="F448" s="14"/>
      <c r="G448" s="14"/>
    </row>
    <row r="449" spans="1:7" ht="16.5" customHeight="1" x14ac:dyDescent="0.3">
      <c r="A449" s="14"/>
      <c r="B449" s="89"/>
      <c r="C449" s="40" t="s">
        <v>194</v>
      </c>
      <c r="D449" s="41">
        <v>1</v>
      </c>
      <c r="E449" s="42">
        <v>0</v>
      </c>
      <c r="F449" s="14"/>
      <c r="G449" s="14"/>
    </row>
    <row r="450" spans="1:7" ht="16.5" x14ac:dyDescent="0.3">
      <c r="A450" s="14"/>
      <c r="B450" s="90"/>
      <c r="C450" s="35" t="s">
        <v>318</v>
      </c>
      <c r="D450" s="36">
        <v>926</v>
      </c>
      <c r="E450" s="37">
        <v>0.38600000000000001</v>
      </c>
      <c r="F450" s="14"/>
      <c r="G450" s="14"/>
    </row>
    <row r="451" spans="1:7" ht="16.5" customHeight="1" x14ac:dyDescent="0.3">
      <c r="A451" s="14"/>
      <c r="B451" s="88" t="s">
        <v>44</v>
      </c>
      <c r="C451" s="40" t="s">
        <v>133</v>
      </c>
      <c r="D451" s="41">
        <v>1</v>
      </c>
      <c r="E451" s="42">
        <v>0</v>
      </c>
      <c r="F451" s="14"/>
      <c r="G451" s="14"/>
    </row>
    <row r="452" spans="1:7" ht="16.5" customHeight="1" x14ac:dyDescent="0.3">
      <c r="A452" s="14"/>
      <c r="B452" s="89"/>
      <c r="C452" s="40" t="s">
        <v>138</v>
      </c>
      <c r="D452" s="41">
        <v>11</v>
      </c>
      <c r="E452" s="42">
        <v>5.0000000000000001E-3</v>
      </c>
      <c r="F452" s="14"/>
      <c r="G452" s="14"/>
    </row>
    <row r="453" spans="1:7" ht="16.5" customHeight="1" x14ac:dyDescent="0.3">
      <c r="A453" s="14"/>
      <c r="B453" s="89"/>
      <c r="C453" s="40" t="s">
        <v>151</v>
      </c>
      <c r="D453" s="41">
        <v>3</v>
      </c>
      <c r="E453" s="42">
        <v>1E-3</v>
      </c>
      <c r="F453" s="14"/>
      <c r="G453" s="14"/>
    </row>
    <row r="454" spans="1:7" ht="16.5" customHeight="1" x14ac:dyDescent="0.3">
      <c r="A454" s="14"/>
      <c r="B454" s="89"/>
      <c r="C454" s="40" t="s">
        <v>157</v>
      </c>
      <c r="D454" s="41">
        <v>2</v>
      </c>
      <c r="E454" s="42">
        <v>1E-3</v>
      </c>
      <c r="F454" s="14"/>
      <c r="G454" s="14"/>
    </row>
    <row r="455" spans="1:7" ht="16.5" customHeight="1" x14ac:dyDescent="0.3">
      <c r="A455" s="14"/>
      <c r="B455" s="89"/>
      <c r="C455" s="40" t="s">
        <v>158</v>
      </c>
      <c r="D455" s="41">
        <v>1</v>
      </c>
      <c r="E455" s="42">
        <v>0</v>
      </c>
      <c r="F455" s="14"/>
      <c r="G455" s="14"/>
    </row>
    <row r="456" spans="1:7" ht="16.5" customHeight="1" x14ac:dyDescent="0.3">
      <c r="A456" s="14"/>
      <c r="B456" s="89"/>
      <c r="C456" s="40" t="s">
        <v>162</v>
      </c>
      <c r="D456" s="41">
        <v>5</v>
      </c>
      <c r="E456" s="42">
        <v>2E-3</v>
      </c>
      <c r="F456" s="14"/>
      <c r="G456" s="14"/>
    </row>
    <row r="457" spans="1:7" ht="16.5" customHeight="1" x14ac:dyDescent="0.3">
      <c r="A457" s="14"/>
      <c r="B457" s="89"/>
      <c r="C457" s="40" t="s">
        <v>168</v>
      </c>
      <c r="D457" s="41">
        <v>1</v>
      </c>
      <c r="E457" s="42">
        <v>0</v>
      </c>
      <c r="F457" s="14"/>
      <c r="G457" s="14"/>
    </row>
    <row r="458" spans="1:7" ht="16.5" customHeight="1" x14ac:dyDescent="0.3">
      <c r="A458" s="14"/>
      <c r="B458" s="89"/>
      <c r="C458" s="40" t="s">
        <v>169</v>
      </c>
      <c r="D458" s="41">
        <v>3</v>
      </c>
      <c r="E458" s="42">
        <v>1E-3</v>
      </c>
      <c r="F458" s="14"/>
      <c r="G458" s="14"/>
    </row>
    <row r="459" spans="1:7" ht="16.5" customHeight="1" x14ac:dyDescent="0.3">
      <c r="A459" s="14"/>
      <c r="B459" s="89"/>
      <c r="C459" s="40" t="s">
        <v>266</v>
      </c>
      <c r="D459" s="41">
        <v>2</v>
      </c>
      <c r="E459" s="42">
        <v>1E-3</v>
      </c>
      <c r="F459" s="14"/>
      <c r="G459" s="14"/>
    </row>
    <row r="460" spans="1:7" ht="16.5" customHeight="1" x14ac:dyDescent="0.3">
      <c r="A460" s="14"/>
      <c r="B460" s="89"/>
      <c r="C460" s="40" t="s">
        <v>170</v>
      </c>
      <c r="D460" s="41">
        <v>1</v>
      </c>
      <c r="E460" s="42">
        <v>0</v>
      </c>
      <c r="F460" s="14"/>
      <c r="G460" s="14"/>
    </row>
    <row r="461" spans="1:7" ht="16.5" customHeight="1" x14ac:dyDescent="0.3">
      <c r="A461" s="14"/>
      <c r="B461" s="89"/>
      <c r="C461" s="40" t="s">
        <v>127</v>
      </c>
      <c r="D461" s="41">
        <v>18</v>
      </c>
      <c r="E461" s="42">
        <v>7.0000000000000001E-3</v>
      </c>
      <c r="F461" s="14"/>
      <c r="G461" s="14"/>
    </row>
    <row r="462" spans="1:7" ht="16.5" customHeight="1" x14ac:dyDescent="0.3">
      <c r="A462" s="14"/>
      <c r="B462" s="89"/>
      <c r="C462" s="40" t="s">
        <v>134</v>
      </c>
      <c r="D462" s="41">
        <v>62</v>
      </c>
      <c r="E462" s="42">
        <v>2.5999999999999999E-2</v>
      </c>
      <c r="F462" s="14"/>
      <c r="G462" s="14"/>
    </row>
    <row r="463" spans="1:7" ht="16.5" customHeight="1" x14ac:dyDescent="0.3">
      <c r="A463" s="14"/>
      <c r="B463" s="89"/>
      <c r="C463" s="40" t="s">
        <v>132</v>
      </c>
      <c r="D463" s="41">
        <v>7</v>
      </c>
      <c r="E463" s="42">
        <v>3.0000000000000001E-3</v>
      </c>
      <c r="F463" s="14"/>
      <c r="G463" s="14"/>
    </row>
    <row r="464" spans="1:7" ht="16.5" customHeight="1" x14ac:dyDescent="0.3">
      <c r="A464" s="14"/>
      <c r="B464" s="89"/>
      <c r="C464" s="40" t="s">
        <v>173</v>
      </c>
      <c r="D464" s="41">
        <v>1</v>
      </c>
      <c r="E464" s="42">
        <v>0</v>
      </c>
      <c r="F464" s="14"/>
      <c r="G464" s="14"/>
    </row>
    <row r="465" spans="1:7" ht="16.5" customHeight="1" x14ac:dyDescent="0.3">
      <c r="A465" s="14"/>
      <c r="B465" s="89"/>
      <c r="C465" s="40" t="s">
        <v>174</v>
      </c>
      <c r="D465" s="41">
        <v>2</v>
      </c>
      <c r="E465" s="42">
        <v>1E-3</v>
      </c>
      <c r="F465" s="14"/>
      <c r="G465" s="14"/>
    </row>
    <row r="466" spans="1:7" ht="16.5" customHeight="1" x14ac:dyDescent="0.3">
      <c r="A466" s="14"/>
      <c r="B466" s="89"/>
      <c r="C466" s="40" t="s">
        <v>178</v>
      </c>
      <c r="D466" s="41">
        <v>1</v>
      </c>
      <c r="E466" s="42">
        <v>0</v>
      </c>
      <c r="F466" s="14"/>
      <c r="G466" s="14"/>
    </row>
    <row r="467" spans="1:7" ht="16.5" customHeight="1" x14ac:dyDescent="0.3">
      <c r="A467" s="14"/>
      <c r="B467" s="89"/>
      <c r="C467" s="40" t="s">
        <v>179</v>
      </c>
      <c r="D467" s="41">
        <v>1</v>
      </c>
      <c r="E467" s="42">
        <v>0</v>
      </c>
      <c r="F467" s="14"/>
      <c r="G467" s="14"/>
    </row>
    <row r="468" spans="1:7" ht="16.5" customHeight="1" x14ac:dyDescent="0.3">
      <c r="A468" s="14"/>
      <c r="B468" s="89"/>
      <c r="C468" s="40" t="s">
        <v>181</v>
      </c>
      <c r="D468" s="41">
        <v>2</v>
      </c>
      <c r="E468" s="42">
        <v>1E-3</v>
      </c>
      <c r="F468" s="14"/>
      <c r="G468" s="14"/>
    </row>
    <row r="469" spans="1:7" ht="16.5" customHeight="1" x14ac:dyDescent="0.3">
      <c r="A469" s="14"/>
      <c r="B469" s="89"/>
      <c r="C469" s="40" t="s">
        <v>129</v>
      </c>
      <c r="D469" s="41">
        <v>11</v>
      </c>
      <c r="E469" s="42">
        <v>5.0000000000000001E-3</v>
      </c>
      <c r="F469" s="14"/>
      <c r="G469" s="14"/>
    </row>
    <row r="470" spans="1:7" ht="16.5" customHeight="1" x14ac:dyDescent="0.3">
      <c r="A470" s="14"/>
      <c r="B470" s="89"/>
      <c r="C470" s="40" t="s">
        <v>184</v>
      </c>
      <c r="D470" s="41">
        <v>1</v>
      </c>
      <c r="E470" s="42">
        <v>0</v>
      </c>
      <c r="F470" s="14"/>
      <c r="G470" s="14"/>
    </row>
    <row r="471" spans="1:7" ht="16.5" customHeight="1" x14ac:dyDescent="0.3">
      <c r="A471" s="14"/>
      <c r="B471" s="89"/>
      <c r="C471" s="40" t="s">
        <v>130</v>
      </c>
      <c r="D471" s="41">
        <v>5</v>
      </c>
      <c r="E471" s="42">
        <v>2E-3</v>
      </c>
      <c r="F471" s="14"/>
      <c r="G471" s="14"/>
    </row>
    <row r="472" spans="1:7" ht="16.5" customHeight="1" x14ac:dyDescent="0.3">
      <c r="A472" s="14"/>
      <c r="B472" s="89"/>
      <c r="C472" s="40" t="s">
        <v>190</v>
      </c>
      <c r="D472" s="41">
        <v>3</v>
      </c>
      <c r="E472" s="42">
        <v>1E-3</v>
      </c>
      <c r="F472" s="14"/>
      <c r="G472" s="14"/>
    </row>
    <row r="473" spans="1:7" ht="16.5" customHeight="1" x14ac:dyDescent="0.3">
      <c r="A473" s="14"/>
      <c r="B473" s="89"/>
      <c r="C473" s="40" t="s">
        <v>135</v>
      </c>
      <c r="D473" s="41">
        <v>1</v>
      </c>
      <c r="E473" s="42">
        <v>0</v>
      </c>
      <c r="F473" s="14"/>
      <c r="G473" s="14"/>
    </row>
    <row r="474" spans="1:7" ht="16.5" customHeight="1" x14ac:dyDescent="0.3">
      <c r="A474" s="14"/>
      <c r="B474" s="89"/>
      <c r="C474" s="40" t="s">
        <v>136</v>
      </c>
      <c r="D474" s="41">
        <v>2</v>
      </c>
      <c r="E474" s="42">
        <v>1E-3</v>
      </c>
      <c r="F474" s="14"/>
      <c r="G474" s="14"/>
    </row>
    <row r="475" spans="1:7" ht="16.5" x14ac:dyDescent="0.3">
      <c r="A475" s="14"/>
      <c r="B475" s="90"/>
      <c r="C475" s="35" t="s">
        <v>318</v>
      </c>
      <c r="D475" s="36">
        <v>147</v>
      </c>
      <c r="E475" s="37">
        <v>6.0999999999999999E-2</v>
      </c>
      <c r="F475" s="14"/>
      <c r="G475" s="14"/>
    </row>
    <row r="476" spans="1:7" ht="16.5" customHeight="1" x14ac:dyDescent="0.3">
      <c r="A476" s="14"/>
      <c r="B476" s="88" t="s">
        <v>48</v>
      </c>
      <c r="C476" s="40" t="s">
        <v>142</v>
      </c>
      <c r="D476" s="41">
        <v>1</v>
      </c>
      <c r="E476" s="42">
        <v>0</v>
      </c>
      <c r="F476" s="14"/>
      <c r="G476" s="14"/>
    </row>
    <row r="477" spans="1:7" ht="16.5" customHeight="1" x14ac:dyDescent="0.3">
      <c r="A477" s="14"/>
      <c r="B477" s="89"/>
      <c r="C477" s="40" t="s">
        <v>145</v>
      </c>
      <c r="D477" s="41">
        <v>1</v>
      </c>
      <c r="E477" s="42">
        <v>0</v>
      </c>
      <c r="F477" s="14"/>
      <c r="G477" s="14"/>
    </row>
    <row r="478" spans="1:7" ht="16.5" customHeight="1" x14ac:dyDescent="0.3">
      <c r="A478" s="14"/>
      <c r="B478" s="89"/>
      <c r="C478" s="40" t="s">
        <v>162</v>
      </c>
      <c r="D478" s="41">
        <v>1</v>
      </c>
      <c r="E478" s="42">
        <v>0</v>
      </c>
      <c r="F478" s="14"/>
      <c r="G478" s="14"/>
    </row>
    <row r="479" spans="1:7" ht="16.5" customHeight="1" x14ac:dyDescent="0.3">
      <c r="A479" s="14"/>
      <c r="B479" s="89"/>
      <c r="C479" s="40" t="s">
        <v>164</v>
      </c>
      <c r="D479" s="41">
        <v>1</v>
      </c>
      <c r="E479" s="42">
        <v>0</v>
      </c>
      <c r="F479" s="14"/>
      <c r="G479" s="14"/>
    </row>
    <row r="480" spans="1:7" ht="16.5" customHeight="1" x14ac:dyDescent="0.3">
      <c r="A480" s="14"/>
      <c r="B480" s="89"/>
      <c r="C480" s="40" t="s">
        <v>166</v>
      </c>
      <c r="D480" s="41">
        <v>1</v>
      </c>
      <c r="E480" s="42">
        <v>0</v>
      </c>
      <c r="F480" s="14"/>
      <c r="G480" s="14"/>
    </row>
    <row r="481" spans="1:7" ht="16.5" customHeight="1" x14ac:dyDescent="0.3">
      <c r="A481" s="14"/>
      <c r="B481" s="89"/>
      <c r="C481" s="40" t="s">
        <v>167</v>
      </c>
      <c r="D481" s="41">
        <v>1</v>
      </c>
      <c r="E481" s="42">
        <v>0</v>
      </c>
      <c r="F481" s="14"/>
      <c r="G481" s="14"/>
    </row>
    <row r="482" spans="1:7" ht="16.5" customHeight="1" x14ac:dyDescent="0.3">
      <c r="A482" s="14"/>
      <c r="B482" s="89"/>
      <c r="C482" s="40" t="s">
        <v>197</v>
      </c>
      <c r="D482" s="41">
        <v>1</v>
      </c>
      <c r="E482" s="42">
        <v>0</v>
      </c>
      <c r="F482" s="14"/>
      <c r="G482" s="14"/>
    </row>
    <row r="483" spans="1:7" ht="16.5" customHeight="1" x14ac:dyDescent="0.3">
      <c r="A483" s="14"/>
      <c r="B483" s="89"/>
      <c r="C483" s="40" t="s">
        <v>126</v>
      </c>
      <c r="D483" s="41">
        <v>4</v>
      </c>
      <c r="E483" s="42">
        <v>2E-3</v>
      </c>
      <c r="F483" s="14"/>
      <c r="G483" s="14"/>
    </row>
    <row r="484" spans="1:7" ht="16.5" customHeight="1" x14ac:dyDescent="0.3">
      <c r="A484" s="14"/>
      <c r="B484" s="89"/>
      <c r="C484" s="40" t="s">
        <v>170</v>
      </c>
      <c r="D484" s="41">
        <v>7</v>
      </c>
      <c r="E484" s="42">
        <v>3.0000000000000001E-3</v>
      </c>
      <c r="F484" s="14"/>
      <c r="G484" s="14"/>
    </row>
    <row r="485" spans="1:7" ht="16.5" customHeight="1" x14ac:dyDescent="0.3">
      <c r="A485" s="14"/>
      <c r="B485" s="89"/>
      <c r="C485" s="40" t="s">
        <v>127</v>
      </c>
      <c r="D485" s="41">
        <v>14</v>
      </c>
      <c r="E485" s="42">
        <v>6.0000000000000001E-3</v>
      </c>
      <c r="F485" s="14"/>
      <c r="G485" s="14"/>
    </row>
    <row r="486" spans="1:7" ht="16.5" customHeight="1" x14ac:dyDescent="0.3">
      <c r="A486" s="14"/>
      <c r="B486" s="89"/>
      <c r="C486" s="40" t="s">
        <v>176</v>
      </c>
      <c r="D486" s="41">
        <v>2</v>
      </c>
      <c r="E486" s="42">
        <v>1E-3</v>
      </c>
      <c r="F486" s="14"/>
      <c r="G486" s="14"/>
    </row>
    <row r="487" spans="1:7" ht="16.5" customHeight="1" x14ac:dyDescent="0.3">
      <c r="A487" s="14"/>
      <c r="B487" s="89"/>
      <c r="C487" s="40" t="s">
        <v>129</v>
      </c>
      <c r="D487" s="41">
        <v>1</v>
      </c>
      <c r="E487" s="42">
        <v>0</v>
      </c>
      <c r="F487" s="14"/>
      <c r="G487" s="14"/>
    </row>
    <row r="488" spans="1:7" ht="16.5" customHeight="1" x14ac:dyDescent="0.3">
      <c r="A488" s="14"/>
      <c r="B488" s="89"/>
      <c r="C488" s="40" t="s">
        <v>130</v>
      </c>
      <c r="D488" s="41">
        <v>2</v>
      </c>
      <c r="E488" s="42">
        <v>1E-3</v>
      </c>
      <c r="F488" s="14"/>
      <c r="G488" s="14"/>
    </row>
    <row r="489" spans="1:7" ht="16.5" customHeight="1" x14ac:dyDescent="0.3">
      <c r="A489" s="14"/>
      <c r="B489" s="89"/>
      <c r="C489" s="40" t="s">
        <v>191</v>
      </c>
      <c r="D489" s="41">
        <v>2</v>
      </c>
      <c r="E489" s="42">
        <v>1E-3</v>
      </c>
      <c r="F489" s="14"/>
      <c r="G489" s="14"/>
    </row>
    <row r="490" spans="1:7" ht="16.5" customHeight="1" x14ac:dyDescent="0.3">
      <c r="A490" s="14"/>
      <c r="B490" s="89"/>
      <c r="C490" s="40" t="s">
        <v>192</v>
      </c>
      <c r="D490" s="41">
        <v>7</v>
      </c>
      <c r="E490" s="42">
        <v>3.0000000000000001E-3</v>
      </c>
      <c r="F490" s="14"/>
      <c r="G490" s="14"/>
    </row>
    <row r="491" spans="1:7" ht="16.5" x14ac:dyDescent="0.3">
      <c r="A491" s="14"/>
      <c r="B491" s="90"/>
      <c r="C491" s="35" t="s">
        <v>318</v>
      </c>
      <c r="D491" s="36">
        <v>46</v>
      </c>
      <c r="E491" s="37">
        <v>1.9E-2</v>
      </c>
      <c r="F491" s="14"/>
      <c r="G491" s="14"/>
    </row>
    <row r="492" spans="1:7" ht="16.5" customHeight="1" x14ac:dyDescent="0.3">
      <c r="A492" s="14"/>
      <c r="B492" s="88" t="s">
        <v>58</v>
      </c>
      <c r="C492" s="40" t="s">
        <v>163</v>
      </c>
      <c r="D492" s="41">
        <v>3</v>
      </c>
      <c r="E492" s="42">
        <v>1E-3</v>
      </c>
      <c r="F492" s="14"/>
      <c r="G492" s="14"/>
    </row>
    <row r="493" spans="1:7" ht="16.5" customHeight="1" x14ac:dyDescent="0.3">
      <c r="A493" s="14"/>
      <c r="B493" s="89"/>
      <c r="C493" s="40" t="s">
        <v>164</v>
      </c>
      <c r="D493" s="41">
        <v>1</v>
      </c>
      <c r="E493" s="42">
        <v>0</v>
      </c>
      <c r="F493" s="14"/>
      <c r="G493" s="14"/>
    </row>
    <row r="494" spans="1:7" ht="16.5" customHeight="1" x14ac:dyDescent="0.3">
      <c r="A494" s="14"/>
      <c r="B494" s="89"/>
      <c r="C494" s="40" t="s">
        <v>127</v>
      </c>
      <c r="D494" s="41">
        <v>4</v>
      </c>
      <c r="E494" s="42">
        <v>2E-3</v>
      </c>
      <c r="F494" s="14"/>
      <c r="G494" s="14"/>
    </row>
    <row r="495" spans="1:7" ht="16.5" customHeight="1" x14ac:dyDescent="0.3">
      <c r="A495" s="14"/>
      <c r="B495" s="89"/>
      <c r="C495" s="40" t="s">
        <v>134</v>
      </c>
      <c r="D495" s="41">
        <v>1</v>
      </c>
      <c r="E495" s="42">
        <v>0</v>
      </c>
      <c r="F495" s="14"/>
      <c r="G495" s="14"/>
    </row>
    <row r="496" spans="1:7" ht="16.5" customHeight="1" x14ac:dyDescent="0.3">
      <c r="A496" s="14"/>
      <c r="B496" s="89"/>
      <c r="C496" s="40" t="s">
        <v>275</v>
      </c>
      <c r="D496" s="41">
        <v>1</v>
      </c>
      <c r="E496" s="42">
        <v>0</v>
      </c>
      <c r="F496" s="14"/>
      <c r="G496" s="14"/>
    </row>
    <row r="497" spans="1:7" ht="16.5" customHeight="1" x14ac:dyDescent="0.3">
      <c r="A497" s="14"/>
      <c r="B497" s="89"/>
      <c r="C497" s="40" t="s">
        <v>187</v>
      </c>
      <c r="D497" s="41">
        <v>2</v>
      </c>
      <c r="E497" s="42">
        <v>1E-3</v>
      </c>
      <c r="F497" s="14"/>
      <c r="G497" s="14"/>
    </row>
    <row r="498" spans="1:7" ht="16.5" customHeight="1" x14ac:dyDescent="0.3">
      <c r="A498" s="14"/>
      <c r="B498" s="89"/>
      <c r="C498" s="40" t="s">
        <v>191</v>
      </c>
      <c r="D498" s="41">
        <v>1</v>
      </c>
      <c r="E498" s="42">
        <v>0</v>
      </c>
      <c r="F498" s="14"/>
      <c r="G498" s="14"/>
    </row>
    <row r="499" spans="1:7" ht="16.5" x14ac:dyDescent="0.3">
      <c r="A499" s="14"/>
      <c r="B499" s="90"/>
      <c r="C499" s="35" t="s">
        <v>318</v>
      </c>
      <c r="D499" s="36">
        <v>13</v>
      </c>
      <c r="E499" s="37">
        <v>5.0000000000000001E-3</v>
      </c>
      <c r="F499" s="14"/>
      <c r="G499" s="14"/>
    </row>
    <row r="500" spans="1:7" ht="16.5" customHeight="1" x14ac:dyDescent="0.3">
      <c r="A500" s="14"/>
      <c r="B500" s="88" t="s">
        <v>263</v>
      </c>
      <c r="C500" s="40" t="s">
        <v>127</v>
      </c>
      <c r="D500" s="41">
        <v>2</v>
      </c>
      <c r="E500" s="42">
        <v>1E-3</v>
      </c>
      <c r="F500" s="14"/>
      <c r="G500" s="14"/>
    </row>
    <row r="501" spans="1:7" ht="16.5" x14ac:dyDescent="0.3">
      <c r="A501" s="14"/>
      <c r="B501" s="90"/>
      <c r="C501" s="35" t="s">
        <v>318</v>
      </c>
      <c r="D501" s="36">
        <v>2</v>
      </c>
      <c r="E501" s="37">
        <v>1E-3</v>
      </c>
      <c r="F501" s="14"/>
      <c r="G501" s="14"/>
    </row>
    <row r="502" spans="1:7" ht="16.5" customHeight="1" x14ac:dyDescent="0.3">
      <c r="A502" s="14"/>
      <c r="B502" s="88" t="s">
        <v>80</v>
      </c>
      <c r="C502" s="40" t="s">
        <v>126</v>
      </c>
      <c r="D502" s="41">
        <v>1</v>
      </c>
      <c r="E502" s="42">
        <v>0</v>
      </c>
      <c r="F502" s="14"/>
      <c r="G502" s="14"/>
    </row>
    <row r="503" spans="1:7" ht="16.5" customHeight="1" x14ac:dyDescent="0.3">
      <c r="A503" s="14"/>
      <c r="B503" s="89"/>
      <c r="C503" s="40" t="s">
        <v>127</v>
      </c>
      <c r="D503" s="41">
        <v>4</v>
      </c>
      <c r="E503" s="42">
        <v>2E-3</v>
      </c>
      <c r="F503" s="14"/>
      <c r="G503" s="14"/>
    </row>
    <row r="504" spans="1:7" ht="16.5" customHeight="1" x14ac:dyDescent="0.3">
      <c r="A504" s="14"/>
      <c r="B504" s="89"/>
      <c r="C504" s="40" t="s">
        <v>194</v>
      </c>
      <c r="D504" s="41">
        <v>1</v>
      </c>
      <c r="E504" s="42">
        <v>0</v>
      </c>
      <c r="F504" s="14"/>
      <c r="G504" s="14"/>
    </row>
    <row r="505" spans="1:7" ht="16.5" x14ac:dyDescent="0.3">
      <c r="A505" s="14"/>
      <c r="B505" s="90"/>
      <c r="C505" s="35" t="s">
        <v>318</v>
      </c>
      <c r="D505" s="36">
        <v>6</v>
      </c>
      <c r="E505" s="37">
        <v>2E-3</v>
      </c>
      <c r="F505" s="14"/>
      <c r="G505" s="14"/>
    </row>
    <row r="506" spans="1:7" ht="16.5" x14ac:dyDescent="0.3">
      <c r="A506" s="14"/>
      <c r="B506" s="91" t="s">
        <v>318</v>
      </c>
      <c r="C506" s="91"/>
      <c r="D506" s="38">
        <v>2401</v>
      </c>
      <c r="E506" s="39">
        <v>1</v>
      </c>
      <c r="F506" s="14"/>
      <c r="G506" s="14"/>
    </row>
    <row r="507" spans="1:7" ht="16.5" x14ac:dyDescent="0.3">
      <c r="A507" s="14"/>
      <c r="B507" s="14"/>
      <c r="C507" s="14"/>
      <c r="D507" s="14"/>
      <c r="E507" s="14"/>
      <c r="F507" s="14"/>
      <c r="G507" s="14"/>
    </row>
    <row r="508" spans="1:7" ht="16.5" x14ac:dyDescent="0.3">
      <c r="A508" s="14"/>
      <c r="B508" s="18" t="s">
        <v>260</v>
      </c>
      <c r="C508" s="14"/>
      <c r="D508" s="14"/>
      <c r="E508" s="14"/>
      <c r="F508" s="14"/>
      <c r="G508" s="14"/>
    </row>
    <row r="509" spans="1:7" ht="16.5" x14ac:dyDescent="0.3">
      <c r="A509" s="14"/>
      <c r="B509" s="19" t="s">
        <v>21</v>
      </c>
      <c r="C509" s="14"/>
      <c r="D509" s="14"/>
      <c r="E509" s="14"/>
      <c r="F509" s="14"/>
      <c r="G509" s="14"/>
    </row>
    <row r="510" spans="1:7" ht="16.5" x14ac:dyDescent="0.3">
      <c r="A510" s="14"/>
      <c r="B510" s="17" t="s">
        <v>122</v>
      </c>
      <c r="C510" s="14"/>
      <c r="D510" s="14"/>
      <c r="E510" s="14"/>
      <c r="F510" s="14"/>
      <c r="G510" s="14"/>
    </row>
    <row r="511" spans="1:7" ht="16.5" x14ac:dyDescent="0.3">
      <c r="A511" s="14"/>
      <c r="B511" s="18" t="s">
        <v>22</v>
      </c>
      <c r="C511" s="14"/>
      <c r="D511" s="14"/>
      <c r="E511" s="14"/>
      <c r="F511" s="14"/>
      <c r="G511" s="14"/>
    </row>
    <row r="512" spans="1:7" ht="16.5" x14ac:dyDescent="0.3">
      <c r="A512" s="14"/>
      <c r="B512" s="18" t="s">
        <v>319</v>
      </c>
      <c r="C512" s="14"/>
      <c r="D512" s="14"/>
      <c r="E512" s="14"/>
      <c r="F512" s="14"/>
      <c r="G512" s="14"/>
    </row>
  </sheetData>
  <mergeCells count="47">
    <mergeCell ref="B10:B11"/>
    <mergeCell ref="B12:B22"/>
    <mergeCell ref="B23:B30"/>
    <mergeCell ref="B506:C506"/>
    <mergeCell ref="B31:B35"/>
    <mergeCell ref="B36:B37"/>
    <mergeCell ref="B38:B41"/>
    <mergeCell ref="B42:B44"/>
    <mergeCell ref="B45:B60"/>
    <mergeCell ref="B82:B96"/>
    <mergeCell ref="B414:B450"/>
    <mergeCell ref="B451:B475"/>
    <mergeCell ref="B324:B328"/>
    <mergeCell ref="B97:B100"/>
    <mergeCell ref="B329:B343"/>
    <mergeCell ref="B344:B345"/>
    <mergeCell ref="B346:B357"/>
    <mergeCell ref="B358:B368"/>
    <mergeCell ref="B101:B104"/>
    <mergeCell ref="B105:B108"/>
    <mergeCell ref="B109:B118"/>
    <mergeCell ref="B119:B135"/>
    <mergeCell ref="B136:B142"/>
    <mergeCell ref="B272:B278"/>
    <mergeCell ref="B279:B288"/>
    <mergeCell ref="B289:B296"/>
    <mergeCell ref="B297:B301"/>
    <mergeCell ref="B302:B323"/>
    <mergeCell ref="B246:B249"/>
    <mergeCell ref="B250:B258"/>
    <mergeCell ref="B259:B261"/>
    <mergeCell ref="B262:B265"/>
    <mergeCell ref="B266:B271"/>
    <mergeCell ref="B143:B152"/>
    <mergeCell ref="B153:B156"/>
    <mergeCell ref="B157:B177"/>
    <mergeCell ref="B178:B187"/>
    <mergeCell ref="B188:B245"/>
    <mergeCell ref="B476:B491"/>
    <mergeCell ref="B492:B499"/>
    <mergeCell ref="B500:B501"/>
    <mergeCell ref="B502:B505"/>
    <mergeCell ref="B369:B373"/>
    <mergeCell ref="B374:B382"/>
    <mergeCell ref="B383:B386"/>
    <mergeCell ref="B387:B407"/>
    <mergeCell ref="B408:B413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4:E41"/>
  <sheetViews>
    <sheetView showGridLines="0" view="pageBreakPreview" zoomScaleNormal="100" zoomScaleSheetLayoutView="100" workbookViewId="0">
      <selection activeCell="C12" sqref="C12"/>
    </sheetView>
  </sheetViews>
  <sheetFormatPr baseColWidth="10" defaultRowHeight="15" x14ac:dyDescent="0.25"/>
  <cols>
    <col min="1" max="1" width="9.28515625" customWidth="1"/>
    <col min="2" max="2" width="32.42578125" customWidth="1"/>
    <col min="3" max="3" width="19.5703125" customWidth="1"/>
    <col min="4" max="4" width="17.85546875" customWidth="1"/>
    <col min="5" max="5" width="8.85546875" customWidth="1"/>
    <col min="6" max="6" width="0.140625" customWidth="1"/>
  </cols>
  <sheetData>
    <row r="4" spans="1:5" ht="34.5" customHeight="1" x14ac:dyDescent="0.25"/>
    <row r="7" spans="1:5" ht="16.5" x14ac:dyDescent="0.3">
      <c r="A7" s="14"/>
      <c r="B7" s="83" t="s">
        <v>28</v>
      </c>
      <c r="C7" s="83"/>
      <c r="D7" s="83"/>
      <c r="E7" s="14"/>
    </row>
    <row r="8" spans="1:5" ht="16.5" x14ac:dyDescent="0.3">
      <c r="A8" s="14"/>
      <c r="B8" s="83"/>
      <c r="C8" s="83"/>
      <c r="D8" s="83"/>
      <c r="E8" s="14"/>
    </row>
    <row r="9" spans="1:5" ht="16.5" x14ac:dyDescent="0.3">
      <c r="A9" s="14"/>
      <c r="B9" s="83"/>
      <c r="C9" s="83"/>
      <c r="D9" s="83"/>
      <c r="E9" s="14"/>
    </row>
    <row r="10" spans="1:5" ht="7.5" customHeight="1" x14ac:dyDescent="0.3">
      <c r="A10" s="14"/>
      <c r="B10" s="14"/>
      <c r="C10" s="14"/>
      <c r="D10" s="14"/>
      <c r="E10" s="14"/>
    </row>
    <row r="11" spans="1:5" ht="28.5" x14ac:dyDescent="0.3">
      <c r="A11" s="14"/>
      <c r="B11" s="22" t="s">
        <v>29</v>
      </c>
      <c r="C11" s="23" t="s">
        <v>30</v>
      </c>
      <c r="D11" s="24" t="s">
        <v>19</v>
      </c>
      <c r="E11" s="14"/>
    </row>
    <row r="12" spans="1:5" ht="14.45" customHeight="1" x14ac:dyDescent="0.3">
      <c r="A12" s="14"/>
      <c r="B12" s="51" t="s">
        <v>203</v>
      </c>
      <c r="C12" s="52">
        <v>26</v>
      </c>
      <c r="D12" s="53">
        <v>1.0828821324448E-2</v>
      </c>
      <c r="E12" s="14"/>
    </row>
    <row r="13" spans="1:5" ht="14.45" customHeight="1" x14ac:dyDescent="0.3">
      <c r="A13" s="14"/>
      <c r="B13" s="51" t="s">
        <v>204</v>
      </c>
      <c r="C13" s="52">
        <v>12</v>
      </c>
      <c r="D13" s="53">
        <v>4.9979175343610001E-3</v>
      </c>
      <c r="E13" s="14"/>
    </row>
    <row r="14" spans="1:5" ht="14.45" customHeight="1" x14ac:dyDescent="0.3">
      <c r="A14" s="14"/>
      <c r="B14" s="51" t="s">
        <v>205</v>
      </c>
      <c r="C14" s="52">
        <v>29</v>
      </c>
      <c r="D14" s="53">
        <v>1.2078300708038E-2</v>
      </c>
      <c r="E14" s="14"/>
    </row>
    <row r="15" spans="1:5" ht="14.45" customHeight="1" x14ac:dyDescent="0.3">
      <c r="A15" s="14"/>
      <c r="B15" s="51" t="s">
        <v>206</v>
      </c>
      <c r="C15" s="52">
        <v>37</v>
      </c>
      <c r="D15" s="53">
        <v>1.5410245730945E-2</v>
      </c>
      <c r="E15" s="14"/>
    </row>
    <row r="16" spans="1:5" ht="14.45" customHeight="1" x14ac:dyDescent="0.3">
      <c r="A16" s="14"/>
      <c r="B16" s="51" t="s">
        <v>207</v>
      </c>
      <c r="C16" s="52">
        <v>29</v>
      </c>
      <c r="D16" s="53">
        <v>1.2078300708038E-2</v>
      </c>
      <c r="E16" s="14"/>
    </row>
    <row r="17" spans="1:5" ht="14.45" customHeight="1" x14ac:dyDescent="0.3">
      <c r="A17" s="14"/>
      <c r="B17" s="51" t="s">
        <v>208</v>
      </c>
      <c r="C17" s="52">
        <v>26</v>
      </c>
      <c r="D17" s="53">
        <v>1.0828821324448E-2</v>
      </c>
      <c r="E17" s="14"/>
    </row>
    <row r="18" spans="1:5" ht="14.45" customHeight="1" x14ac:dyDescent="0.3">
      <c r="A18" s="14"/>
      <c r="B18" s="51" t="s">
        <v>209</v>
      </c>
      <c r="C18" s="52">
        <v>211</v>
      </c>
      <c r="D18" s="53">
        <v>8.7880049979175007E-2</v>
      </c>
      <c r="E18" s="14"/>
    </row>
    <row r="19" spans="1:5" ht="14.45" customHeight="1" x14ac:dyDescent="0.3">
      <c r="A19" s="14"/>
      <c r="B19" s="51" t="s">
        <v>210</v>
      </c>
      <c r="C19" s="52">
        <v>266</v>
      </c>
      <c r="D19" s="53">
        <v>0.11078717201166199</v>
      </c>
      <c r="E19" s="14"/>
    </row>
    <row r="20" spans="1:5" ht="14.45" customHeight="1" x14ac:dyDescent="0.3">
      <c r="A20" s="14"/>
      <c r="B20" s="51" t="s">
        <v>211</v>
      </c>
      <c r="C20" s="52">
        <v>42</v>
      </c>
      <c r="D20" s="53">
        <v>1.7492711370261999E-2</v>
      </c>
      <c r="E20" s="14"/>
    </row>
    <row r="21" spans="1:5" ht="14.45" customHeight="1" x14ac:dyDescent="0.3">
      <c r="A21" s="14"/>
      <c r="B21" s="51" t="s">
        <v>212</v>
      </c>
      <c r="C21" s="52">
        <v>44</v>
      </c>
      <c r="D21" s="53">
        <v>1.8325697625988999E-2</v>
      </c>
      <c r="E21" s="14"/>
    </row>
    <row r="22" spans="1:5" ht="14.45" customHeight="1" x14ac:dyDescent="0.3">
      <c r="A22" s="14"/>
      <c r="B22" s="51" t="s">
        <v>213</v>
      </c>
      <c r="C22" s="52">
        <v>130</v>
      </c>
      <c r="D22" s="53">
        <v>5.4144106622240999E-2</v>
      </c>
      <c r="E22" s="14"/>
    </row>
    <row r="23" spans="1:5" ht="14.45" customHeight="1" x14ac:dyDescent="0.3">
      <c r="A23" s="14"/>
      <c r="B23" s="51" t="s">
        <v>214</v>
      </c>
      <c r="C23" s="52">
        <v>801</v>
      </c>
      <c r="D23" s="53">
        <v>0.33361099541857597</v>
      </c>
      <c r="E23" s="14"/>
    </row>
    <row r="24" spans="1:5" ht="14.45" customHeight="1" x14ac:dyDescent="0.3">
      <c r="A24" s="14"/>
      <c r="B24" s="51" t="s">
        <v>215</v>
      </c>
      <c r="C24" s="52">
        <v>37</v>
      </c>
      <c r="D24" s="53">
        <v>1.5410245730945E-2</v>
      </c>
      <c r="E24" s="14"/>
    </row>
    <row r="25" spans="1:5" ht="14.45" customHeight="1" x14ac:dyDescent="0.3">
      <c r="A25" s="14"/>
      <c r="B25" s="51" t="s">
        <v>216</v>
      </c>
      <c r="C25" s="52">
        <v>96</v>
      </c>
      <c r="D25" s="53">
        <v>3.9983340274885003E-2</v>
      </c>
      <c r="E25" s="14"/>
    </row>
    <row r="26" spans="1:5" ht="14.45" customHeight="1" x14ac:dyDescent="0.3">
      <c r="A26" s="14"/>
      <c r="B26" s="51" t="s">
        <v>217</v>
      </c>
      <c r="C26" s="52">
        <v>441</v>
      </c>
      <c r="D26" s="53">
        <v>0.183673469387755</v>
      </c>
      <c r="E26" s="14"/>
    </row>
    <row r="27" spans="1:5" ht="14.45" customHeight="1" x14ac:dyDescent="0.3">
      <c r="A27" s="14"/>
      <c r="B27" s="51" t="s">
        <v>218</v>
      </c>
      <c r="C27" s="52">
        <v>13</v>
      </c>
      <c r="D27" s="53">
        <v>5.4144106622240002E-3</v>
      </c>
      <c r="E27" s="14"/>
    </row>
    <row r="28" spans="1:5" ht="14.45" customHeight="1" x14ac:dyDescent="0.3">
      <c r="A28" s="14"/>
      <c r="B28" s="51" t="s">
        <v>219</v>
      </c>
      <c r="C28" s="52">
        <v>8</v>
      </c>
      <c r="D28" s="53">
        <v>3.3319450229069999E-3</v>
      </c>
      <c r="E28" s="14"/>
    </row>
    <row r="29" spans="1:5" ht="14.45" customHeight="1" x14ac:dyDescent="0.3">
      <c r="A29" s="14"/>
      <c r="B29" s="51" t="s">
        <v>220</v>
      </c>
      <c r="C29" s="52">
        <v>3</v>
      </c>
      <c r="D29" s="53">
        <v>1.24947938359E-3</v>
      </c>
      <c r="E29" s="14"/>
    </row>
    <row r="30" spans="1:5" ht="14.45" customHeight="1" x14ac:dyDescent="0.3">
      <c r="A30" s="14"/>
      <c r="B30" s="51" t="s">
        <v>221</v>
      </c>
      <c r="C30" s="52">
        <v>1</v>
      </c>
      <c r="D30" s="53">
        <v>4.1649312786300001E-4</v>
      </c>
      <c r="E30" s="14"/>
    </row>
    <row r="31" spans="1:5" ht="14.45" customHeight="1" x14ac:dyDescent="0.3">
      <c r="A31" s="14"/>
      <c r="B31" s="51" t="s">
        <v>222</v>
      </c>
      <c r="C31" s="52">
        <v>29</v>
      </c>
      <c r="D31" s="53">
        <v>1.2078300708038E-2</v>
      </c>
      <c r="E31" s="14"/>
    </row>
    <row r="32" spans="1:5" ht="14.45" customHeight="1" x14ac:dyDescent="0.3">
      <c r="A32" s="14"/>
      <c r="B32" s="51" t="s">
        <v>223</v>
      </c>
      <c r="C32" s="52">
        <v>117</v>
      </c>
      <c r="D32" s="53">
        <v>4.8729695960017E-2</v>
      </c>
      <c r="E32" s="14"/>
    </row>
    <row r="33" spans="1:5" ht="14.45" customHeight="1" x14ac:dyDescent="0.3">
      <c r="A33" s="14"/>
      <c r="B33" s="51" t="s">
        <v>289</v>
      </c>
      <c r="C33" s="52">
        <v>1</v>
      </c>
      <c r="D33" s="53">
        <v>4.1649312786300001E-4</v>
      </c>
      <c r="E33" s="14"/>
    </row>
    <row r="34" spans="1:5" ht="14.45" customHeight="1" x14ac:dyDescent="0.3">
      <c r="A34" s="14"/>
      <c r="B34" s="51" t="s">
        <v>224</v>
      </c>
      <c r="C34" s="52">
        <v>2</v>
      </c>
      <c r="D34" s="53">
        <v>8.3298625572699998E-4</v>
      </c>
      <c r="E34" s="14"/>
    </row>
    <row r="35" spans="1:5" ht="14.45" customHeight="1" x14ac:dyDescent="0.3">
      <c r="A35" s="14"/>
      <c r="B35" s="54" t="s">
        <v>317</v>
      </c>
      <c r="C35" s="55">
        <v>2401</v>
      </c>
      <c r="D35" s="56">
        <v>1</v>
      </c>
      <c r="E35" s="14"/>
    </row>
    <row r="36" spans="1:5" ht="14.45" customHeight="1" x14ac:dyDescent="0.3">
      <c r="A36" s="14"/>
      <c r="B36" s="17"/>
      <c r="C36" s="14"/>
      <c r="D36" s="14"/>
      <c r="E36" s="14"/>
    </row>
    <row r="37" spans="1:5" ht="14.45" customHeight="1" x14ac:dyDescent="0.3">
      <c r="A37" s="14"/>
      <c r="B37" s="18" t="s">
        <v>260</v>
      </c>
      <c r="C37" s="14"/>
      <c r="D37" s="14"/>
      <c r="E37" s="14"/>
    </row>
    <row r="38" spans="1:5" ht="14.45" customHeight="1" x14ac:dyDescent="0.3">
      <c r="A38" s="14"/>
      <c r="B38" s="19" t="s">
        <v>21</v>
      </c>
      <c r="C38" s="14"/>
      <c r="D38" s="14"/>
      <c r="E38" s="14"/>
    </row>
    <row r="39" spans="1:5" ht="14.45" customHeight="1" x14ac:dyDescent="0.3">
      <c r="A39" s="14"/>
      <c r="B39" s="17" t="s">
        <v>122</v>
      </c>
      <c r="C39" s="14"/>
      <c r="D39" s="14"/>
      <c r="E39" s="14"/>
    </row>
    <row r="40" spans="1:5" ht="14.45" customHeight="1" x14ac:dyDescent="0.3">
      <c r="A40" s="14"/>
      <c r="B40" s="18" t="s">
        <v>22</v>
      </c>
      <c r="C40" s="14"/>
      <c r="D40" s="14"/>
      <c r="E40" s="14"/>
    </row>
    <row r="41" spans="1:5" ht="14.45" customHeight="1" x14ac:dyDescent="0.3">
      <c r="A41" s="14"/>
      <c r="B41" s="18" t="s">
        <v>319</v>
      </c>
      <c r="C41" s="14"/>
      <c r="D41" s="14"/>
      <c r="E41" s="14"/>
    </row>
  </sheetData>
  <mergeCells count="1">
    <mergeCell ref="B7:D9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4:F271"/>
  <sheetViews>
    <sheetView showGridLines="0" view="pageBreakPreview" zoomScaleNormal="100" zoomScaleSheetLayoutView="100" workbookViewId="0">
      <selection activeCell="H6" sqref="H6"/>
    </sheetView>
  </sheetViews>
  <sheetFormatPr baseColWidth="10" defaultRowHeight="15" x14ac:dyDescent="0.25"/>
  <cols>
    <col min="1" max="1" width="3" customWidth="1"/>
    <col min="2" max="2" width="20.28515625" customWidth="1"/>
    <col min="3" max="3" width="26.5703125" customWidth="1"/>
    <col min="4" max="5" width="16.42578125" customWidth="1"/>
    <col min="6" max="6" width="10.85546875" hidden="1" customWidth="1"/>
  </cols>
  <sheetData>
    <row r="4" spans="1:5" ht="30.6" customHeight="1" x14ac:dyDescent="0.25"/>
    <row r="6" spans="1:5" ht="27" customHeight="1" x14ac:dyDescent="0.3">
      <c r="A6" s="14"/>
      <c r="B6" s="14"/>
      <c r="C6" s="14"/>
      <c r="D6" s="14"/>
      <c r="E6" s="14"/>
    </row>
    <row r="7" spans="1:5" ht="25.5" customHeight="1" x14ac:dyDescent="0.3">
      <c r="A7" s="14"/>
      <c r="B7" s="14"/>
      <c r="C7" s="14"/>
      <c r="D7" s="14"/>
      <c r="E7" s="14"/>
    </row>
    <row r="8" spans="1:5" ht="46.5" customHeight="1" x14ac:dyDescent="0.3">
      <c r="A8" s="14"/>
      <c r="B8" s="14"/>
      <c r="C8" s="14"/>
      <c r="D8" s="14"/>
      <c r="E8" s="14"/>
    </row>
    <row r="9" spans="1:5" ht="28.5" x14ac:dyDescent="0.3">
      <c r="A9" s="14"/>
      <c r="B9" s="27" t="s">
        <v>31</v>
      </c>
      <c r="C9" s="28" t="s">
        <v>26</v>
      </c>
      <c r="D9" s="29" t="s">
        <v>19</v>
      </c>
      <c r="E9" s="27" t="s">
        <v>20</v>
      </c>
    </row>
    <row r="10" spans="1:5" ht="16.5" x14ac:dyDescent="0.3">
      <c r="A10" s="14"/>
      <c r="B10" s="88" t="s">
        <v>203</v>
      </c>
      <c r="C10" s="40" t="s">
        <v>85</v>
      </c>
      <c r="D10" s="41">
        <v>1</v>
      </c>
      <c r="E10" s="42">
        <v>0</v>
      </c>
    </row>
    <row r="11" spans="1:5" ht="16.5" x14ac:dyDescent="0.3">
      <c r="A11" s="14"/>
      <c r="B11" s="89"/>
      <c r="C11" s="40" t="s">
        <v>88</v>
      </c>
      <c r="D11" s="41">
        <v>19</v>
      </c>
      <c r="E11" s="42">
        <v>8.0000000000000002E-3</v>
      </c>
    </row>
    <row r="12" spans="1:5" ht="16.5" x14ac:dyDescent="0.3">
      <c r="A12" s="14"/>
      <c r="B12" s="89"/>
      <c r="C12" s="40" t="s">
        <v>92</v>
      </c>
      <c r="D12" s="41">
        <v>1</v>
      </c>
      <c r="E12" s="42">
        <v>0</v>
      </c>
    </row>
    <row r="13" spans="1:5" ht="16.5" x14ac:dyDescent="0.3">
      <c r="A13" s="14"/>
      <c r="B13" s="89"/>
      <c r="C13" s="40" t="s">
        <v>107</v>
      </c>
      <c r="D13" s="41">
        <v>1</v>
      </c>
      <c r="E13" s="42">
        <v>0</v>
      </c>
    </row>
    <row r="14" spans="1:5" ht="16.5" x14ac:dyDescent="0.3">
      <c r="A14" s="14"/>
      <c r="B14" s="89"/>
      <c r="C14" s="40" t="s">
        <v>114</v>
      </c>
      <c r="D14" s="41">
        <v>2</v>
      </c>
      <c r="E14" s="42">
        <v>1E-3</v>
      </c>
    </row>
    <row r="15" spans="1:5" ht="16.5" x14ac:dyDescent="0.3">
      <c r="A15" s="14"/>
      <c r="B15" s="89"/>
      <c r="C15" s="40" t="s">
        <v>119</v>
      </c>
      <c r="D15" s="41">
        <v>1</v>
      </c>
      <c r="E15" s="42">
        <v>0</v>
      </c>
    </row>
    <row r="16" spans="1:5" ht="16.5" x14ac:dyDescent="0.3">
      <c r="A16" s="14"/>
      <c r="B16" s="89"/>
      <c r="C16" s="40" t="s">
        <v>80</v>
      </c>
      <c r="D16" s="41">
        <v>1</v>
      </c>
      <c r="E16" s="42">
        <v>0</v>
      </c>
    </row>
    <row r="17" spans="1:5" ht="16.5" x14ac:dyDescent="0.3">
      <c r="A17" s="14"/>
      <c r="B17" s="90"/>
      <c r="C17" s="43" t="s">
        <v>317</v>
      </c>
      <c r="D17" s="44">
        <v>26</v>
      </c>
      <c r="E17" s="45">
        <v>1.0999999999999999E-2</v>
      </c>
    </row>
    <row r="18" spans="1:5" ht="16.5" x14ac:dyDescent="0.3">
      <c r="A18" s="14"/>
      <c r="B18" s="88" t="s">
        <v>276</v>
      </c>
      <c r="C18" s="40" t="s">
        <v>88</v>
      </c>
      <c r="D18" s="41">
        <v>9</v>
      </c>
      <c r="E18" s="42">
        <v>4.0000000000000001E-3</v>
      </c>
    </row>
    <row r="19" spans="1:5" ht="16.5" x14ac:dyDescent="0.3">
      <c r="A19" s="14"/>
      <c r="B19" s="89"/>
      <c r="C19" s="40" t="s">
        <v>107</v>
      </c>
      <c r="D19" s="41">
        <v>1</v>
      </c>
      <c r="E19" s="42">
        <v>0</v>
      </c>
    </row>
    <row r="20" spans="1:5" ht="16.5" x14ac:dyDescent="0.3">
      <c r="A20" s="14"/>
      <c r="B20" s="89"/>
      <c r="C20" s="40" t="s">
        <v>114</v>
      </c>
      <c r="D20" s="41">
        <v>1</v>
      </c>
      <c r="E20" s="42">
        <v>0</v>
      </c>
    </row>
    <row r="21" spans="1:5" ht="16.5" x14ac:dyDescent="0.3">
      <c r="A21" s="14"/>
      <c r="B21" s="89"/>
      <c r="C21" s="40" t="s">
        <v>118</v>
      </c>
      <c r="D21" s="41">
        <v>1</v>
      </c>
      <c r="E21" s="42">
        <v>0</v>
      </c>
    </row>
    <row r="22" spans="1:5" ht="16.5" x14ac:dyDescent="0.3">
      <c r="A22" s="14"/>
      <c r="B22" s="90"/>
      <c r="C22" s="43" t="s">
        <v>317</v>
      </c>
      <c r="D22" s="44">
        <v>12</v>
      </c>
      <c r="E22" s="45">
        <v>5.0000000000000001E-3</v>
      </c>
    </row>
    <row r="23" spans="1:5" ht="16.5" x14ac:dyDescent="0.3">
      <c r="A23" s="14"/>
      <c r="B23" s="88" t="s">
        <v>277</v>
      </c>
      <c r="C23" s="40" t="s">
        <v>88</v>
      </c>
      <c r="D23" s="41">
        <v>20</v>
      </c>
      <c r="E23" s="42">
        <v>8.0000000000000002E-3</v>
      </c>
    </row>
    <row r="24" spans="1:5" ht="16.5" x14ac:dyDescent="0.3">
      <c r="A24" s="14"/>
      <c r="B24" s="89"/>
      <c r="C24" s="40" t="s">
        <v>89</v>
      </c>
      <c r="D24" s="41">
        <v>3</v>
      </c>
      <c r="E24" s="42">
        <v>1E-3</v>
      </c>
    </row>
    <row r="25" spans="1:5" ht="16.5" x14ac:dyDescent="0.3">
      <c r="A25" s="14"/>
      <c r="B25" s="89"/>
      <c r="C25" s="40" t="s">
        <v>111</v>
      </c>
      <c r="D25" s="41">
        <v>1</v>
      </c>
      <c r="E25" s="42">
        <v>0</v>
      </c>
    </row>
    <row r="26" spans="1:5" ht="16.5" x14ac:dyDescent="0.3">
      <c r="A26" s="14"/>
      <c r="B26" s="89"/>
      <c r="C26" s="40" t="s">
        <v>114</v>
      </c>
      <c r="D26" s="41">
        <v>2</v>
      </c>
      <c r="E26" s="42">
        <v>1E-3</v>
      </c>
    </row>
    <row r="27" spans="1:5" ht="16.5" x14ac:dyDescent="0.3">
      <c r="A27" s="14"/>
      <c r="B27" s="89"/>
      <c r="C27" s="40" t="s">
        <v>118</v>
      </c>
      <c r="D27" s="41">
        <v>1</v>
      </c>
      <c r="E27" s="42">
        <v>0</v>
      </c>
    </row>
    <row r="28" spans="1:5" ht="16.5" x14ac:dyDescent="0.3">
      <c r="A28" s="14"/>
      <c r="B28" s="89"/>
      <c r="C28" s="40" t="s">
        <v>80</v>
      </c>
      <c r="D28" s="41">
        <v>2</v>
      </c>
      <c r="E28" s="42">
        <v>1E-3</v>
      </c>
    </row>
    <row r="29" spans="1:5" ht="16.5" x14ac:dyDescent="0.3">
      <c r="A29" s="14"/>
      <c r="B29" s="90"/>
      <c r="C29" s="43" t="s">
        <v>317</v>
      </c>
      <c r="D29" s="44">
        <v>29</v>
      </c>
      <c r="E29" s="45">
        <v>1.2E-2</v>
      </c>
    </row>
    <row r="30" spans="1:5" ht="16.5" x14ac:dyDescent="0.3">
      <c r="A30" s="14"/>
      <c r="B30" s="88" t="s">
        <v>278</v>
      </c>
      <c r="C30" s="40" t="s">
        <v>87</v>
      </c>
      <c r="D30" s="41">
        <v>1</v>
      </c>
      <c r="E30" s="42">
        <v>0</v>
      </c>
    </row>
    <row r="31" spans="1:5" ht="16.5" x14ac:dyDescent="0.3">
      <c r="A31" s="14"/>
      <c r="B31" s="89"/>
      <c r="C31" s="40" t="s">
        <v>88</v>
      </c>
      <c r="D31" s="41">
        <v>22</v>
      </c>
      <c r="E31" s="42">
        <v>8.9999999999999993E-3</v>
      </c>
    </row>
    <row r="32" spans="1:5" ht="16.5" x14ac:dyDescent="0.3">
      <c r="A32" s="14"/>
      <c r="B32" s="89"/>
      <c r="C32" s="40" t="s">
        <v>89</v>
      </c>
      <c r="D32" s="41">
        <v>1</v>
      </c>
      <c r="E32" s="42">
        <v>0</v>
      </c>
    </row>
    <row r="33" spans="1:5" ht="16.5" x14ac:dyDescent="0.3">
      <c r="A33" s="14"/>
      <c r="B33" s="89"/>
      <c r="C33" s="40" t="s">
        <v>92</v>
      </c>
      <c r="D33" s="41">
        <v>1</v>
      </c>
      <c r="E33" s="42">
        <v>0</v>
      </c>
    </row>
    <row r="34" spans="1:5" ht="16.5" x14ac:dyDescent="0.3">
      <c r="A34" s="14"/>
      <c r="B34" s="89"/>
      <c r="C34" s="40" t="s">
        <v>105</v>
      </c>
      <c r="D34" s="41">
        <v>1</v>
      </c>
      <c r="E34" s="42">
        <v>0</v>
      </c>
    </row>
    <row r="35" spans="1:5" ht="16.5" x14ac:dyDescent="0.3">
      <c r="A35" s="14"/>
      <c r="B35" s="89"/>
      <c r="C35" s="40" t="s">
        <v>106</v>
      </c>
      <c r="D35" s="41">
        <v>1</v>
      </c>
      <c r="E35" s="42">
        <v>0</v>
      </c>
    </row>
    <row r="36" spans="1:5" ht="16.5" x14ac:dyDescent="0.3">
      <c r="A36" s="14"/>
      <c r="B36" s="89"/>
      <c r="C36" s="40" t="s">
        <v>107</v>
      </c>
      <c r="D36" s="41">
        <v>5</v>
      </c>
      <c r="E36" s="42">
        <v>2E-3</v>
      </c>
    </row>
    <row r="37" spans="1:5" ht="16.5" x14ac:dyDescent="0.3">
      <c r="A37" s="14"/>
      <c r="B37" s="89"/>
      <c r="C37" s="40" t="s">
        <v>114</v>
      </c>
      <c r="D37" s="41">
        <v>1</v>
      </c>
      <c r="E37" s="42">
        <v>0</v>
      </c>
    </row>
    <row r="38" spans="1:5" ht="16.5" x14ac:dyDescent="0.3">
      <c r="A38" s="14"/>
      <c r="B38" s="89"/>
      <c r="C38" s="40" t="s">
        <v>118</v>
      </c>
      <c r="D38" s="41">
        <v>4</v>
      </c>
      <c r="E38" s="42">
        <v>2E-3</v>
      </c>
    </row>
    <row r="39" spans="1:5" ht="16.5" x14ac:dyDescent="0.3">
      <c r="A39" s="14"/>
      <c r="B39" s="90"/>
      <c r="C39" s="43" t="s">
        <v>317</v>
      </c>
      <c r="D39" s="44">
        <v>37</v>
      </c>
      <c r="E39" s="45">
        <v>1.4999999999999999E-2</v>
      </c>
    </row>
    <row r="40" spans="1:5" ht="16.5" x14ac:dyDescent="0.3">
      <c r="A40" s="14"/>
      <c r="B40" s="88" t="s">
        <v>279</v>
      </c>
      <c r="C40" s="40" t="s">
        <v>87</v>
      </c>
      <c r="D40" s="41">
        <v>1</v>
      </c>
      <c r="E40" s="42">
        <v>0</v>
      </c>
    </row>
    <row r="41" spans="1:5" ht="16.5" x14ac:dyDescent="0.3">
      <c r="A41" s="14"/>
      <c r="B41" s="89"/>
      <c r="C41" s="40" t="s">
        <v>88</v>
      </c>
      <c r="D41" s="41">
        <v>22</v>
      </c>
      <c r="E41" s="42">
        <v>8.9999999999999993E-3</v>
      </c>
    </row>
    <row r="42" spans="1:5" ht="16.5" x14ac:dyDescent="0.3">
      <c r="A42" s="14"/>
      <c r="B42" s="89"/>
      <c r="C42" s="40" t="s">
        <v>91</v>
      </c>
      <c r="D42" s="41">
        <v>1</v>
      </c>
      <c r="E42" s="42">
        <v>0</v>
      </c>
    </row>
    <row r="43" spans="1:5" ht="16.5" x14ac:dyDescent="0.3">
      <c r="A43" s="14"/>
      <c r="B43" s="89"/>
      <c r="C43" s="40" t="s">
        <v>103</v>
      </c>
      <c r="D43" s="41">
        <v>1</v>
      </c>
      <c r="E43" s="42">
        <v>0</v>
      </c>
    </row>
    <row r="44" spans="1:5" ht="16.5" x14ac:dyDescent="0.3">
      <c r="A44" s="14"/>
      <c r="B44" s="89"/>
      <c r="C44" s="40" t="s">
        <v>107</v>
      </c>
      <c r="D44" s="41">
        <v>1</v>
      </c>
      <c r="E44" s="42">
        <v>0</v>
      </c>
    </row>
    <row r="45" spans="1:5" ht="16.5" x14ac:dyDescent="0.3">
      <c r="A45" s="14"/>
      <c r="B45" s="89"/>
      <c r="C45" s="40" t="s">
        <v>120</v>
      </c>
      <c r="D45" s="41">
        <v>1</v>
      </c>
      <c r="E45" s="42">
        <v>0</v>
      </c>
    </row>
    <row r="46" spans="1:5" ht="16.5" x14ac:dyDescent="0.3">
      <c r="A46" s="14"/>
      <c r="B46" s="89"/>
      <c r="C46" s="40" t="s">
        <v>80</v>
      </c>
      <c r="D46" s="41">
        <v>2</v>
      </c>
      <c r="E46" s="42">
        <v>1E-3</v>
      </c>
    </row>
    <row r="47" spans="1:5" ht="16.5" x14ac:dyDescent="0.3">
      <c r="A47" s="14"/>
      <c r="B47" s="90"/>
      <c r="C47" s="43" t="s">
        <v>317</v>
      </c>
      <c r="D47" s="44">
        <v>29</v>
      </c>
      <c r="E47" s="45">
        <v>1.2E-2</v>
      </c>
    </row>
    <row r="48" spans="1:5" ht="16.5" x14ac:dyDescent="0.3">
      <c r="A48" s="14"/>
      <c r="B48" s="88" t="s">
        <v>280</v>
      </c>
      <c r="C48" s="40" t="s">
        <v>87</v>
      </c>
      <c r="D48" s="41">
        <v>1</v>
      </c>
      <c r="E48" s="42">
        <v>0</v>
      </c>
    </row>
    <row r="49" spans="1:5" ht="16.5" x14ac:dyDescent="0.3">
      <c r="A49" s="14"/>
      <c r="B49" s="89"/>
      <c r="C49" s="40" t="s">
        <v>88</v>
      </c>
      <c r="D49" s="41">
        <v>17</v>
      </c>
      <c r="E49" s="42">
        <v>7.0000000000000001E-3</v>
      </c>
    </row>
    <row r="50" spans="1:5" ht="16.5" x14ac:dyDescent="0.3">
      <c r="A50" s="14"/>
      <c r="B50" s="89"/>
      <c r="C50" s="40" t="s">
        <v>89</v>
      </c>
      <c r="D50" s="41">
        <v>2</v>
      </c>
      <c r="E50" s="42">
        <v>1E-3</v>
      </c>
    </row>
    <row r="51" spans="1:5" ht="16.5" x14ac:dyDescent="0.3">
      <c r="A51" s="14"/>
      <c r="B51" s="89"/>
      <c r="C51" s="40" t="s">
        <v>96</v>
      </c>
      <c r="D51" s="41">
        <v>1</v>
      </c>
      <c r="E51" s="42">
        <v>0</v>
      </c>
    </row>
    <row r="52" spans="1:5" ht="16.5" x14ac:dyDescent="0.3">
      <c r="A52" s="14"/>
      <c r="B52" s="89"/>
      <c r="C52" s="40" t="s">
        <v>113</v>
      </c>
      <c r="D52" s="41">
        <v>1</v>
      </c>
      <c r="E52" s="42">
        <v>0</v>
      </c>
    </row>
    <row r="53" spans="1:5" ht="16.5" x14ac:dyDescent="0.3">
      <c r="A53" s="14"/>
      <c r="B53" s="89"/>
      <c r="C53" s="40" t="s">
        <v>114</v>
      </c>
      <c r="D53" s="41">
        <v>1</v>
      </c>
      <c r="E53" s="42">
        <v>0</v>
      </c>
    </row>
    <row r="54" spans="1:5" ht="16.5" x14ac:dyDescent="0.3">
      <c r="A54" s="14"/>
      <c r="B54" s="89"/>
      <c r="C54" s="40" t="s">
        <v>118</v>
      </c>
      <c r="D54" s="41">
        <v>2</v>
      </c>
      <c r="E54" s="42">
        <v>1E-3</v>
      </c>
    </row>
    <row r="55" spans="1:5" ht="16.5" x14ac:dyDescent="0.3">
      <c r="A55" s="14"/>
      <c r="B55" s="89"/>
      <c r="C55" s="40" t="s">
        <v>80</v>
      </c>
      <c r="D55" s="41">
        <v>1</v>
      </c>
      <c r="E55" s="42">
        <v>0</v>
      </c>
    </row>
    <row r="56" spans="1:5" ht="16.5" x14ac:dyDescent="0.3">
      <c r="A56" s="14"/>
      <c r="B56" s="90"/>
      <c r="C56" s="43" t="s">
        <v>317</v>
      </c>
      <c r="D56" s="44">
        <v>26</v>
      </c>
      <c r="E56" s="45">
        <v>1.0999999999999999E-2</v>
      </c>
    </row>
    <row r="57" spans="1:5" ht="16.5" x14ac:dyDescent="0.3">
      <c r="A57" s="14"/>
      <c r="B57" s="88" t="s">
        <v>281</v>
      </c>
      <c r="C57" s="40" t="s">
        <v>88</v>
      </c>
      <c r="D57" s="41">
        <v>172</v>
      </c>
      <c r="E57" s="42">
        <v>7.1999999999999995E-2</v>
      </c>
    </row>
    <row r="58" spans="1:5" ht="16.5" x14ac:dyDescent="0.3">
      <c r="A58" s="14"/>
      <c r="B58" s="89"/>
      <c r="C58" s="40" t="s">
        <v>89</v>
      </c>
      <c r="D58" s="41">
        <v>5</v>
      </c>
      <c r="E58" s="42">
        <v>2E-3</v>
      </c>
    </row>
    <row r="59" spans="1:5" ht="16.5" x14ac:dyDescent="0.3">
      <c r="A59" s="14"/>
      <c r="B59" s="89"/>
      <c r="C59" s="40" t="s">
        <v>91</v>
      </c>
      <c r="D59" s="41">
        <v>1</v>
      </c>
      <c r="E59" s="42">
        <v>0</v>
      </c>
    </row>
    <row r="60" spans="1:5" ht="16.5" x14ac:dyDescent="0.3">
      <c r="A60" s="14"/>
      <c r="B60" s="89"/>
      <c r="C60" s="40" t="s">
        <v>94</v>
      </c>
      <c r="D60" s="41">
        <v>1</v>
      </c>
      <c r="E60" s="42">
        <v>0</v>
      </c>
    </row>
    <row r="61" spans="1:5" ht="16.5" x14ac:dyDescent="0.3">
      <c r="A61" s="14"/>
      <c r="B61" s="89"/>
      <c r="C61" s="40" t="s">
        <v>100</v>
      </c>
      <c r="D61" s="41">
        <v>1</v>
      </c>
      <c r="E61" s="42">
        <v>0</v>
      </c>
    </row>
    <row r="62" spans="1:5" ht="16.5" x14ac:dyDescent="0.3">
      <c r="A62" s="14"/>
      <c r="B62" s="89"/>
      <c r="C62" s="40" t="s">
        <v>105</v>
      </c>
      <c r="D62" s="41">
        <v>2</v>
      </c>
      <c r="E62" s="42">
        <v>1E-3</v>
      </c>
    </row>
    <row r="63" spans="1:5" ht="16.5" x14ac:dyDescent="0.3">
      <c r="A63" s="14"/>
      <c r="B63" s="89"/>
      <c r="C63" s="40" t="s">
        <v>107</v>
      </c>
      <c r="D63" s="41">
        <v>3</v>
      </c>
      <c r="E63" s="42">
        <v>1E-3</v>
      </c>
    </row>
    <row r="64" spans="1:5" ht="16.5" x14ac:dyDescent="0.3">
      <c r="A64" s="14"/>
      <c r="B64" s="89"/>
      <c r="C64" s="40" t="s">
        <v>111</v>
      </c>
      <c r="D64" s="41">
        <v>1</v>
      </c>
      <c r="E64" s="42">
        <v>0</v>
      </c>
    </row>
    <row r="65" spans="1:5" ht="16.5" x14ac:dyDescent="0.3">
      <c r="A65" s="14"/>
      <c r="B65" s="89"/>
      <c r="C65" s="40" t="s">
        <v>113</v>
      </c>
      <c r="D65" s="41">
        <v>1</v>
      </c>
      <c r="E65" s="42">
        <v>0</v>
      </c>
    </row>
    <row r="66" spans="1:5" ht="16.5" x14ac:dyDescent="0.3">
      <c r="A66" s="14"/>
      <c r="B66" s="89"/>
      <c r="C66" s="40" t="s">
        <v>114</v>
      </c>
      <c r="D66" s="41">
        <v>9</v>
      </c>
      <c r="E66" s="42">
        <v>4.0000000000000001E-3</v>
      </c>
    </row>
    <row r="67" spans="1:5" ht="16.5" x14ac:dyDescent="0.3">
      <c r="A67" s="14"/>
      <c r="B67" s="89"/>
      <c r="C67" s="40" t="s">
        <v>115</v>
      </c>
      <c r="D67" s="41">
        <v>1</v>
      </c>
      <c r="E67" s="42">
        <v>0</v>
      </c>
    </row>
    <row r="68" spans="1:5" ht="16.5" x14ac:dyDescent="0.3">
      <c r="A68" s="14"/>
      <c r="B68" s="89"/>
      <c r="C68" s="40" t="s">
        <v>118</v>
      </c>
      <c r="D68" s="41">
        <v>7</v>
      </c>
      <c r="E68" s="42">
        <v>3.0000000000000001E-3</v>
      </c>
    </row>
    <row r="69" spans="1:5" ht="15" customHeight="1" x14ac:dyDescent="0.3">
      <c r="A69" s="14"/>
      <c r="B69" s="89"/>
      <c r="C69" s="40" t="s">
        <v>119</v>
      </c>
      <c r="D69" s="41">
        <v>4</v>
      </c>
      <c r="E69" s="42">
        <v>2E-3</v>
      </c>
    </row>
    <row r="70" spans="1:5" ht="16.5" x14ac:dyDescent="0.3">
      <c r="A70" s="14"/>
      <c r="B70" s="89"/>
      <c r="C70" s="40" t="s">
        <v>80</v>
      </c>
      <c r="D70" s="41">
        <v>3</v>
      </c>
      <c r="E70" s="42">
        <v>1E-3</v>
      </c>
    </row>
    <row r="71" spans="1:5" ht="16.5" x14ac:dyDescent="0.3">
      <c r="A71" s="14"/>
      <c r="B71" s="90"/>
      <c r="C71" s="43" t="s">
        <v>317</v>
      </c>
      <c r="D71" s="44">
        <v>211</v>
      </c>
      <c r="E71" s="45">
        <v>8.7999999999999995E-2</v>
      </c>
    </row>
    <row r="72" spans="1:5" ht="16.5" customHeight="1" x14ac:dyDescent="0.3">
      <c r="A72" s="14"/>
      <c r="B72" s="88" t="s">
        <v>210</v>
      </c>
      <c r="C72" s="40" t="s">
        <v>85</v>
      </c>
      <c r="D72" s="41">
        <v>3</v>
      </c>
      <c r="E72" s="42">
        <v>1E-3</v>
      </c>
    </row>
    <row r="73" spans="1:5" ht="16.5" x14ac:dyDescent="0.3">
      <c r="A73" s="14"/>
      <c r="B73" s="89"/>
      <c r="C73" s="40" t="s">
        <v>87</v>
      </c>
      <c r="D73" s="41">
        <v>1</v>
      </c>
      <c r="E73" s="42">
        <v>0</v>
      </c>
    </row>
    <row r="74" spans="1:5" ht="16.5" x14ac:dyDescent="0.3">
      <c r="A74" s="14"/>
      <c r="B74" s="89"/>
      <c r="C74" s="40" t="s">
        <v>88</v>
      </c>
      <c r="D74" s="41">
        <v>208</v>
      </c>
      <c r="E74" s="42">
        <v>8.6999999999999994E-2</v>
      </c>
    </row>
    <row r="75" spans="1:5" ht="16.5" x14ac:dyDescent="0.3">
      <c r="A75" s="14"/>
      <c r="B75" s="89"/>
      <c r="C75" s="40" t="s">
        <v>89</v>
      </c>
      <c r="D75" s="41">
        <v>10</v>
      </c>
      <c r="E75" s="42">
        <v>4.0000000000000001E-3</v>
      </c>
    </row>
    <row r="76" spans="1:5" ht="16.5" x14ac:dyDescent="0.3">
      <c r="A76" s="14"/>
      <c r="B76" s="89"/>
      <c r="C76" s="40" t="s">
        <v>91</v>
      </c>
      <c r="D76" s="41">
        <v>1</v>
      </c>
      <c r="E76" s="42">
        <v>0</v>
      </c>
    </row>
    <row r="77" spans="1:5" ht="16.5" x14ac:dyDescent="0.3">
      <c r="A77" s="14"/>
      <c r="B77" s="89"/>
      <c r="C77" s="40" t="s">
        <v>92</v>
      </c>
      <c r="D77" s="41">
        <v>1</v>
      </c>
      <c r="E77" s="42">
        <v>0</v>
      </c>
    </row>
    <row r="78" spans="1:5" ht="16.5" x14ac:dyDescent="0.3">
      <c r="A78" s="14"/>
      <c r="B78" s="89"/>
      <c r="C78" s="40" t="s">
        <v>95</v>
      </c>
      <c r="D78" s="41">
        <v>3</v>
      </c>
      <c r="E78" s="42">
        <v>1E-3</v>
      </c>
    </row>
    <row r="79" spans="1:5" ht="16.5" x14ac:dyDescent="0.3">
      <c r="A79" s="14"/>
      <c r="B79" s="89"/>
      <c r="C79" s="40" t="s">
        <v>96</v>
      </c>
      <c r="D79" s="41">
        <v>1</v>
      </c>
      <c r="E79" s="42">
        <v>0</v>
      </c>
    </row>
    <row r="80" spans="1:5" ht="16.5" x14ac:dyDescent="0.3">
      <c r="A80" s="14"/>
      <c r="B80" s="89"/>
      <c r="C80" s="40" t="s">
        <v>102</v>
      </c>
      <c r="D80" s="41">
        <v>1</v>
      </c>
      <c r="E80" s="42">
        <v>0</v>
      </c>
    </row>
    <row r="81" spans="1:5" ht="16.5" x14ac:dyDescent="0.3">
      <c r="A81" s="14"/>
      <c r="B81" s="89"/>
      <c r="C81" s="40" t="s">
        <v>104</v>
      </c>
      <c r="D81" s="41">
        <v>1</v>
      </c>
      <c r="E81" s="42">
        <v>0</v>
      </c>
    </row>
    <row r="82" spans="1:5" ht="16.5" x14ac:dyDescent="0.3">
      <c r="A82" s="14"/>
      <c r="B82" s="89"/>
      <c r="C82" s="40" t="s">
        <v>105</v>
      </c>
      <c r="D82" s="41">
        <v>4</v>
      </c>
      <c r="E82" s="42">
        <v>2E-3</v>
      </c>
    </row>
    <row r="83" spans="1:5" ht="16.5" x14ac:dyDescent="0.3">
      <c r="A83" s="14"/>
      <c r="B83" s="89"/>
      <c r="C83" s="40" t="s">
        <v>107</v>
      </c>
      <c r="D83" s="41">
        <v>5</v>
      </c>
      <c r="E83" s="42">
        <v>2E-3</v>
      </c>
    </row>
    <row r="84" spans="1:5" ht="16.5" x14ac:dyDescent="0.3">
      <c r="A84" s="14"/>
      <c r="B84" s="89"/>
      <c r="C84" s="40" t="s">
        <v>111</v>
      </c>
      <c r="D84" s="41">
        <v>3</v>
      </c>
      <c r="E84" s="42">
        <v>1E-3</v>
      </c>
    </row>
    <row r="85" spans="1:5" ht="16.5" x14ac:dyDescent="0.3">
      <c r="A85" s="14"/>
      <c r="B85" s="89"/>
      <c r="C85" s="40" t="s">
        <v>114</v>
      </c>
      <c r="D85" s="41">
        <v>10</v>
      </c>
      <c r="E85" s="42">
        <v>4.0000000000000001E-3</v>
      </c>
    </row>
    <row r="86" spans="1:5" ht="16.5" x14ac:dyDescent="0.3">
      <c r="A86" s="14"/>
      <c r="B86" s="89"/>
      <c r="C86" s="40" t="s">
        <v>115</v>
      </c>
      <c r="D86" s="41">
        <v>1</v>
      </c>
      <c r="E86" s="42">
        <v>0</v>
      </c>
    </row>
    <row r="87" spans="1:5" ht="16.5" x14ac:dyDescent="0.3">
      <c r="A87" s="14"/>
      <c r="B87" s="89"/>
      <c r="C87" s="40" t="s">
        <v>117</v>
      </c>
      <c r="D87" s="41">
        <v>2</v>
      </c>
      <c r="E87" s="42">
        <v>1E-3</v>
      </c>
    </row>
    <row r="88" spans="1:5" ht="16.5" x14ac:dyDescent="0.3">
      <c r="A88" s="14"/>
      <c r="B88" s="89"/>
      <c r="C88" s="40" t="s">
        <v>118</v>
      </c>
      <c r="D88" s="41">
        <v>11</v>
      </c>
      <c r="E88" s="42">
        <v>5.0000000000000001E-3</v>
      </c>
    </row>
    <row r="89" spans="1:5" ht="16.5" customHeight="1" x14ac:dyDescent="0.3">
      <c r="A89" s="14"/>
      <c r="B89" s="90"/>
      <c r="C89" s="43" t="s">
        <v>317</v>
      </c>
      <c r="D89" s="44">
        <v>266</v>
      </c>
      <c r="E89" s="45">
        <v>0.111</v>
      </c>
    </row>
    <row r="90" spans="1:5" ht="16.5" x14ac:dyDescent="0.3">
      <c r="A90" s="14"/>
      <c r="B90" s="88" t="s">
        <v>282</v>
      </c>
      <c r="C90" s="40" t="s">
        <v>87</v>
      </c>
      <c r="D90" s="41">
        <v>1</v>
      </c>
      <c r="E90" s="42">
        <v>0</v>
      </c>
    </row>
    <row r="91" spans="1:5" ht="16.5" x14ac:dyDescent="0.3">
      <c r="A91" s="14"/>
      <c r="B91" s="89"/>
      <c r="C91" s="40" t="s">
        <v>88</v>
      </c>
      <c r="D91" s="41">
        <v>33</v>
      </c>
      <c r="E91" s="42">
        <v>1.4E-2</v>
      </c>
    </row>
    <row r="92" spans="1:5" ht="16.5" x14ac:dyDescent="0.3">
      <c r="A92" s="14"/>
      <c r="B92" s="89"/>
      <c r="C92" s="40" t="s">
        <v>89</v>
      </c>
      <c r="D92" s="41">
        <v>1</v>
      </c>
      <c r="E92" s="42">
        <v>0</v>
      </c>
    </row>
    <row r="93" spans="1:5" ht="16.5" x14ac:dyDescent="0.3">
      <c r="A93" s="14"/>
      <c r="B93" s="89"/>
      <c r="C93" s="40" t="s">
        <v>92</v>
      </c>
      <c r="D93" s="41">
        <v>1</v>
      </c>
      <c r="E93" s="42">
        <v>0</v>
      </c>
    </row>
    <row r="94" spans="1:5" ht="16.5" x14ac:dyDescent="0.3">
      <c r="A94" s="14"/>
      <c r="B94" s="89"/>
      <c r="C94" s="40" t="s">
        <v>107</v>
      </c>
      <c r="D94" s="41">
        <v>1</v>
      </c>
      <c r="E94" s="42">
        <v>0</v>
      </c>
    </row>
    <row r="95" spans="1:5" ht="16.5" x14ac:dyDescent="0.3">
      <c r="A95" s="14"/>
      <c r="B95" s="89"/>
      <c r="C95" s="40" t="s">
        <v>114</v>
      </c>
      <c r="D95" s="41">
        <v>2</v>
      </c>
      <c r="E95" s="42">
        <v>1E-3</v>
      </c>
    </row>
    <row r="96" spans="1:5" ht="16.5" x14ac:dyDescent="0.3">
      <c r="A96" s="14"/>
      <c r="B96" s="89"/>
      <c r="C96" s="40" t="s">
        <v>118</v>
      </c>
      <c r="D96" s="41">
        <v>2</v>
      </c>
      <c r="E96" s="42">
        <v>1E-3</v>
      </c>
    </row>
    <row r="97" spans="1:5" ht="16.5" x14ac:dyDescent="0.3">
      <c r="A97" s="14"/>
      <c r="B97" s="89"/>
      <c r="C97" s="40" t="s">
        <v>119</v>
      </c>
      <c r="D97" s="41">
        <v>1</v>
      </c>
      <c r="E97" s="42">
        <v>0</v>
      </c>
    </row>
    <row r="98" spans="1:5" ht="16.5" customHeight="1" x14ac:dyDescent="0.3">
      <c r="A98" s="14"/>
      <c r="B98" s="90"/>
      <c r="C98" s="43" t="s">
        <v>317</v>
      </c>
      <c r="D98" s="44">
        <v>42</v>
      </c>
      <c r="E98" s="45">
        <v>1.7000000000000001E-2</v>
      </c>
    </row>
    <row r="99" spans="1:5" ht="16.5" x14ac:dyDescent="0.3">
      <c r="A99" s="14"/>
      <c r="B99" s="88" t="s">
        <v>283</v>
      </c>
      <c r="C99" s="40" t="s">
        <v>86</v>
      </c>
      <c r="D99" s="41">
        <v>1</v>
      </c>
      <c r="E99" s="42">
        <v>0</v>
      </c>
    </row>
    <row r="100" spans="1:5" ht="16.5" x14ac:dyDescent="0.3">
      <c r="A100" s="14"/>
      <c r="B100" s="89"/>
      <c r="C100" s="40" t="s">
        <v>88</v>
      </c>
      <c r="D100" s="41">
        <v>29</v>
      </c>
      <c r="E100" s="42">
        <v>1.2E-2</v>
      </c>
    </row>
    <row r="101" spans="1:5" ht="16.5" x14ac:dyDescent="0.3">
      <c r="A101" s="14"/>
      <c r="B101" s="89"/>
      <c r="C101" s="40" t="s">
        <v>89</v>
      </c>
      <c r="D101" s="41">
        <v>4</v>
      </c>
      <c r="E101" s="42">
        <v>2E-3</v>
      </c>
    </row>
    <row r="102" spans="1:5" ht="16.5" x14ac:dyDescent="0.3">
      <c r="A102" s="14"/>
      <c r="B102" s="89"/>
      <c r="C102" s="40" t="s">
        <v>91</v>
      </c>
      <c r="D102" s="41">
        <v>1</v>
      </c>
      <c r="E102" s="42">
        <v>0</v>
      </c>
    </row>
    <row r="103" spans="1:5" ht="16.5" x14ac:dyDescent="0.3">
      <c r="A103" s="14"/>
      <c r="B103" s="89"/>
      <c r="C103" s="40" t="s">
        <v>105</v>
      </c>
      <c r="D103" s="41">
        <v>1</v>
      </c>
      <c r="E103" s="42">
        <v>0</v>
      </c>
    </row>
    <row r="104" spans="1:5" ht="16.5" x14ac:dyDescent="0.3">
      <c r="A104" s="14"/>
      <c r="B104" s="89"/>
      <c r="C104" s="40" t="s">
        <v>107</v>
      </c>
      <c r="D104" s="41">
        <v>1</v>
      </c>
      <c r="E104" s="42">
        <v>0</v>
      </c>
    </row>
    <row r="105" spans="1:5" ht="16.5" x14ac:dyDescent="0.3">
      <c r="A105" s="14"/>
      <c r="B105" s="89"/>
      <c r="C105" s="40" t="s">
        <v>114</v>
      </c>
      <c r="D105" s="41">
        <v>5</v>
      </c>
      <c r="E105" s="42">
        <v>2E-3</v>
      </c>
    </row>
    <row r="106" spans="1:5" ht="16.5" x14ac:dyDescent="0.3">
      <c r="A106" s="14"/>
      <c r="B106" s="89"/>
      <c r="C106" s="40" t="s">
        <v>118</v>
      </c>
      <c r="D106" s="41">
        <v>2</v>
      </c>
      <c r="E106" s="42">
        <v>1E-3</v>
      </c>
    </row>
    <row r="107" spans="1:5" ht="16.5" customHeight="1" x14ac:dyDescent="0.3">
      <c r="A107" s="14"/>
      <c r="B107" s="90"/>
      <c r="C107" s="43" t="s">
        <v>317</v>
      </c>
      <c r="D107" s="44">
        <v>44</v>
      </c>
      <c r="E107" s="45">
        <v>1.7999999999999999E-2</v>
      </c>
    </row>
    <row r="108" spans="1:5" ht="16.5" x14ac:dyDescent="0.3">
      <c r="A108" s="14"/>
      <c r="B108" s="88" t="s">
        <v>284</v>
      </c>
      <c r="C108" s="40" t="s">
        <v>87</v>
      </c>
      <c r="D108" s="41">
        <v>4</v>
      </c>
      <c r="E108" s="42">
        <v>2E-3</v>
      </c>
    </row>
    <row r="109" spans="1:5" ht="16.5" x14ac:dyDescent="0.3">
      <c r="A109" s="14"/>
      <c r="B109" s="89"/>
      <c r="C109" s="40" t="s">
        <v>88</v>
      </c>
      <c r="D109" s="41">
        <v>95</v>
      </c>
      <c r="E109" s="42">
        <v>0.04</v>
      </c>
    </row>
    <row r="110" spans="1:5" ht="16.5" x14ac:dyDescent="0.3">
      <c r="A110" s="14"/>
      <c r="B110" s="89"/>
      <c r="C110" s="40" t="s">
        <v>89</v>
      </c>
      <c r="D110" s="41">
        <v>8</v>
      </c>
      <c r="E110" s="42">
        <v>3.0000000000000001E-3</v>
      </c>
    </row>
    <row r="111" spans="1:5" ht="16.5" x14ac:dyDescent="0.3">
      <c r="A111" s="14"/>
      <c r="B111" s="89"/>
      <c r="C111" s="40" t="s">
        <v>91</v>
      </c>
      <c r="D111" s="41">
        <v>4</v>
      </c>
      <c r="E111" s="42">
        <v>2E-3</v>
      </c>
    </row>
    <row r="112" spans="1:5" ht="16.5" x14ac:dyDescent="0.3">
      <c r="A112" s="14"/>
      <c r="B112" s="89"/>
      <c r="C112" s="40" t="s">
        <v>92</v>
      </c>
      <c r="D112" s="41">
        <v>3</v>
      </c>
      <c r="E112" s="42">
        <v>1E-3</v>
      </c>
    </row>
    <row r="113" spans="1:5" ht="16.5" x14ac:dyDescent="0.3">
      <c r="A113" s="14"/>
      <c r="B113" s="89"/>
      <c r="C113" s="40" t="s">
        <v>94</v>
      </c>
      <c r="D113" s="41">
        <v>2</v>
      </c>
      <c r="E113" s="42">
        <v>1E-3</v>
      </c>
    </row>
    <row r="114" spans="1:5" ht="16.5" x14ac:dyDescent="0.3">
      <c r="A114" s="14"/>
      <c r="B114" s="89"/>
      <c r="C114" s="40" t="s">
        <v>96</v>
      </c>
      <c r="D114" s="41">
        <v>1</v>
      </c>
      <c r="E114" s="42">
        <v>0</v>
      </c>
    </row>
    <row r="115" spans="1:5" ht="16.5" x14ac:dyDescent="0.3">
      <c r="A115" s="14"/>
      <c r="B115" s="89"/>
      <c r="C115" s="40" t="s">
        <v>107</v>
      </c>
      <c r="D115" s="41">
        <v>2</v>
      </c>
      <c r="E115" s="42">
        <v>1E-3</v>
      </c>
    </row>
    <row r="116" spans="1:5" ht="16.5" x14ac:dyDescent="0.3">
      <c r="A116" s="14"/>
      <c r="B116" s="89"/>
      <c r="C116" s="40" t="s">
        <v>110</v>
      </c>
      <c r="D116" s="41">
        <v>1</v>
      </c>
      <c r="E116" s="42">
        <v>0</v>
      </c>
    </row>
    <row r="117" spans="1:5" ht="16.5" x14ac:dyDescent="0.3">
      <c r="A117" s="14"/>
      <c r="B117" s="89"/>
      <c r="C117" s="40" t="s">
        <v>111</v>
      </c>
      <c r="D117" s="41">
        <v>1</v>
      </c>
      <c r="E117" s="42">
        <v>0</v>
      </c>
    </row>
    <row r="118" spans="1:5" ht="15" customHeight="1" x14ac:dyDescent="0.3">
      <c r="A118" s="14"/>
      <c r="B118" s="89"/>
      <c r="C118" s="40" t="s">
        <v>113</v>
      </c>
      <c r="D118" s="41">
        <v>1</v>
      </c>
      <c r="E118" s="42">
        <v>0</v>
      </c>
    </row>
    <row r="119" spans="1:5" ht="16.5" x14ac:dyDescent="0.3">
      <c r="A119" s="14"/>
      <c r="B119" s="89"/>
      <c r="C119" s="40" t="s">
        <v>114</v>
      </c>
      <c r="D119" s="41">
        <v>3</v>
      </c>
      <c r="E119" s="42">
        <v>1E-3</v>
      </c>
    </row>
    <row r="120" spans="1:5" ht="16.5" x14ac:dyDescent="0.3">
      <c r="A120" s="14"/>
      <c r="B120" s="89"/>
      <c r="C120" s="40" t="s">
        <v>118</v>
      </c>
      <c r="D120" s="41">
        <v>5</v>
      </c>
      <c r="E120" s="42">
        <v>2E-3</v>
      </c>
    </row>
    <row r="121" spans="1:5" ht="16.5" customHeight="1" x14ac:dyDescent="0.3">
      <c r="A121" s="14"/>
      <c r="B121" s="90"/>
      <c r="C121" s="43" t="s">
        <v>317</v>
      </c>
      <c r="D121" s="44">
        <v>130</v>
      </c>
      <c r="E121" s="45">
        <v>5.3999999999999999E-2</v>
      </c>
    </row>
    <row r="122" spans="1:5" ht="16.5" customHeight="1" x14ac:dyDescent="0.3">
      <c r="A122" s="14"/>
      <c r="B122" s="88" t="s">
        <v>214</v>
      </c>
      <c r="C122" s="40" t="s">
        <v>85</v>
      </c>
      <c r="D122" s="41">
        <v>1</v>
      </c>
      <c r="E122" s="42">
        <v>0</v>
      </c>
    </row>
    <row r="123" spans="1:5" ht="16.5" x14ac:dyDescent="0.3">
      <c r="A123" s="14"/>
      <c r="B123" s="89"/>
      <c r="C123" s="40" t="s">
        <v>86</v>
      </c>
      <c r="D123" s="41">
        <v>1</v>
      </c>
      <c r="E123" s="42">
        <v>0</v>
      </c>
    </row>
    <row r="124" spans="1:5" ht="16.5" x14ac:dyDescent="0.3">
      <c r="A124" s="14"/>
      <c r="B124" s="89"/>
      <c r="C124" s="40" t="s">
        <v>87</v>
      </c>
      <c r="D124" s="41">
        <v>10</v>
      </c>
      <c r="E124" s="42">
        <v>4.0000000000000001E-3</v>
      </c>
    </row>
    <row r="125" spans="1:5" ht="16.5" x14ac:dyDescent="0.3">
      <c r="A125" s="14"/>
      <c r="B125" s="89"/>
      <c r="C125" s="40" t="s">
        <v>88</v>
      </c>
      <c r="D125" s="41">
        <v>581</v>
      </c>
      <c r="E125" s="42">
        <v>0.24199999999999999</v>
      </c>
    </row>
    <row r="126" spans="1:5" ht="16.5" x14ac:dyDescent="0.3">
      <c r="A126" s="14"/>
      <c r="B126" s="89"/>
      <c r="C126" s="40" t="s">
        <v>89</v>
      </c>
      <c r="D126" s="41">
        <v>25</v>
      </c>
      <c r="E126" s="42">
        <v>0.01</v>
      </c>
    </row>
    <row r="127" spans="1:5" ht="16.5" x14ac:dyDescent="0.3">
      <c r="A127" s="14"/>
      <c r="B127" s="89"/>
      <c r="C127" s="40" t="s">
        <v>91</v>
      </c>
      <c r="D127" s="41">
        <v>4</v>
      </c>
      <c r="E127" s="42">
        <v>2E-3</v>
      </c>
    </row>
    <row r="128" spans="1:5" ht="16.5" x14ac:dyDescent="0.3">
      <c r="A128" s="14"/>
      <c r="B128" s="89"/>
      <c r="C128" s="40" t="s">
        <v>92</v>
      </c>
      <c r="D128" s="41">
        <v>6</v>
      </c>
      <c r="E128" s="42">
        <v>2E-3</v>
      </c>
    </row>
    <row r="129" spans="1:5" ht="16.5" x14ac:dyDescent="0.3">
      <c r="A129" s="14"/>
      <c r="B129" s="89"/>
      <c r="C129" s="40" t="s">
        <v>93</v>
      </c>
      <c r="D129" s="41">
        <v>1</v>
      </c>
      <c r="E129" s="42">
        <v>0</v>
      </c>
    </row>
    <row r="130" spans="1:5" ht="16.5" x14ac:dyDescent="0.3">
      <c r="A130" s="14"/>
      <c r="B130" s="89"/>
      <c r="C130" s="40" t="s">
        <v>94</v>
      </c>
      <c r="D130" s="41">
        <v>12</v>
      </c>
      <c r="E130" s="42">
        <v>5.0000000000000001E-3</v>
      </c>
    </row>
    <row r="131" spans="1:5" ht="16.5" x14ac:dyDescent="0.3">
      <c r="A131" s="14"/>
      <c r="B131" s="89"/>
      <c r="C131" s="40" t="s">
        <v>95</v>
      </c>
      <c r="D131" s="41">
        <v>3</v>
      </c>
      <c r="E131" s="42">
        <v>1E-3</v>
      </c>
    </row>
    <row r="132" spans="1:5" ht="16.5" x14ac:dyDescent="0.3">
      <c r="A132" s="14"/>
      <c r="B132" s="89"/>
      <c r="C132" s="40" t="s">
        <v>96</v>
      </c>
      <c r="D132" s="41">
        <v>3</v>
      </c>
      <c r="E132" s="42">
        <v>1E-3</v>
      </c>
    </row>
    <row r="133" spans="1:5" ht="16.5" x14ac:dyDescent="0.3">
      <c r="A133" s="14"/>
      <c r="B133" s="89"/>
      <c r="C133" s="40" t="s">
        <v>97</v>
      </c>
      <c r="D133" s="41">
        <v>3</v>
      </c>
      <c r="E133" s="42">
        <v>1E-3</v>
      </c>
    </row>
    <row r="134" spans="1:5" ht="16.5" x14ac:dyDescent="0.3">
      <c r="A134" s="14"/>
      <c r="B134" s="89"/>
      <c r="C134" s="40" t="s">
        <v>98</v>
      </c>
      <c r="D134" s="41">
        <v>1</v>
      </c>
      <c r="E134" s="42">
        <v>0</v>
      </c>
    </row>
    <row r="135" spans="1:5" ht="16.5" x14ac:dyDescent="0.3">
      <c r="A135" s="14"/>
      <c r="B135" s="89"/>
      <c r="C135" s="40" t="s">
        <v>99</v>
      </c>
      <c r="D135" s="41">
        <v>1</v>
      </c>
      <c r="E135" s="42">
        <v>0</v>
      </c>
    </row>
    <row r="136" spans="1:5" ht="16.5" x14ac:dyDescent="0.3">
      <c r="A136" s="14"/>
      <c r="B136" s="89"/>
      <c r="C136" s="40" t="s">
        <v>100</v>
      </c>
      <c r="D136" s="41">
        <v>1</v>
      </c>
      <c r="E136" s="42">
        <v>0</v>
      </c>
    </row>
    <row r="137" spans="1:5" ht="16.5" x14ac:dyDescent="0.3">
      <c r="A137" s="14"/>
      <c r="B137" s="89"/>
      <c r="C137" s="40" t="s">
        <v>102</v>
      </c>
      <c r="D137" s="41">
        <v>1</v>
      </c>
      <c r="E137" s="42">
        <v>0</v>
      </c>
    </row>
    <row r="138" spans="1:5" ht="16.5" x14ac:dyDescent="0.3">
      <c r="A138" s="14"/>
      <c r="B138" s="89"/>
      <c r="C138" s="40" t="s">
        <v>103</v>
      </c>
      <c r="D138" s="41">
        <v>3</v>
      </c>
      <c r="E138" s="42">
        <v>1E-3</v>
      </c>
    </row>
    <row r="139" spans="1:5" ht="16.5" x14ac:dyDescent="0.3">
      <c r="A139" s="14"/>
      <c r="B139" s="89"/>
      <c r="C139" s="40" t="s">
        <v>104</v>
      </c>
      <c r="D139" s="41">
        <v>4</v>
      </c>
      <c r="E139" s="42">
        <v>2E-3</v>
      </c>
    </row>
    <row r="140" spans="1:5" ht="16.5" x14ac:dyDescent="0.3">
      <c r="A140" s="14"/>
      <c r="B140" s="89"/>
      <c r="C140" s="40" t="s">
        <v>105</v>
      </c>
      <c r="D140" s="41">
        <v>5</v>
      </c>
      <c r="E140" s="42">
        <v>2E-3</v>
      </c>
    </row>
    <row r="141" spans="1:5" ht="16.5" x14ac:dyDescent="0.3">
      <c r="A141" s="14"/>
      <c r="B141" s="89"/>
      <c r="C141" s="40" t="s">
        <v>106</v>
      </c>
      <c r="D141" s="41">
        <v>3</v>
      </c>
      <c r="E141" s="42">
        <v>1E-3</v>
      </c>
    </row>
    <row r="142" spans="1:5" ht="16.5" x14ac:dyDescent="0.3">
      <c r="A142" s="14"/>
      <c r="B142" s="89"/>
      <c r="C142" s="40" t="s">
        <v>107</v>
      </c>
      <c r="D142" s="41">
        <v>18</v>
      </c>
      <c r="E142" s="42">
        <v>7.0000000000000001E-3</v>
      </c>
    </row>
    <row r="143" spans="1:5" ht="16.5" x14ac:dyDescent="0.3">
      <c r="A143" s="14"/>
      <c r="B143" s="89"/>
      <c r="C143" s="40" t="s">
        <v>108</v>
      </c>
      <c r="D143" s="41">
        <v>2</v>
      </c>
      <c r="E143" s="42">
        <v>1E-3</v>
      </c>
    </row>
    <row r="144" spans="1:5" ht="16.5" x14ac:dyDescent="0.3">
      <c r="A144" s="14"/>
      <c r="B144" s="89"/>
      <c r="C144" s="40" t="s">
        <v>110</v>
      </c>
      <c r="D144" s="41">
        <v>3</v>
      </c>
      <c r="E144" s="42">
        <v>1E-3</v>
      </c>
    </row>
    <row r="145" spans="1:5" ht="16.5" x14ac:dyDescent="0.3">
      <c r="A145" s="14"/>
      <c r="B145" s="89"/>
      <c r="C145" s="40" t="s">
        <v>111</v>
      </c>
      <c r="D145" s="41">
        <v>6</v>
      </c>
      <c r="E145" s="42">
        <v>2E-3</v>
      </c>
    </row>
    <row r="146" spans="1:5" ht="16.5" x14ac:dyDescent="0.3">
      <c r="A146" s="14"/>
      <c r="B146" s="89"/>
      <c r="C146" s="40" t="s">
        <v>112</v>
      </c>
      <c r="D146" s="41">
        <v>2</v>
      </c>
      <c r="E146" s="42">
        <v>1E-3</v>
      </c>
    </row>
    <row r="147" spans="1:5" ht="16.5" x14ac:dyDescent="0.3">
      <c r="A147" s="14"/>
      <c r="B147" s="89"/>
      <c r="C147" s="40" t="s">
        <v>113</v>
      </c>
      <c r="D147" s="41">
        <v>7</v>
      </c>
      <c r="E147" s="42">
        <v>3.0000000000000001E-3</v>
      </c>
    </row>
    <row r="148" spans="1:5" ht="16.5" x14ac:dyDescent="0.3">
      <c r="A148" s="14"/>
      <c r="B148" s="89"/>
      <c r="C148" s="40" t="s">
        <v>114</v>
      </c>
      <c r="D148" s="41">
        <v>20</v>
      </c>
      <c r="E148" s="42">
        <v>8.0000000000000002E-3</v>
      </c>
    </row>
    <row r="149" spans="1:5" ht="16.5" x14ac:dyDescent="0.3">
      <c r="A149" s="14"/>
      <c r="B149" s="89"/>
      <c r="C149" s="40" t="s">
        <v>116</v>
      </c>
      <c r="D149" s="41">
        <v>5</v>
      </c>
      <c r="E149" s="42">
        <v>2E-3</v>
      </c>
    </row>
    <row r="150" spans="1:5" ht="16.5" x14ac:dyDescent="0.3">
      <c r="A150" s="14"/>
      <c r="B150" s="89"/>
      <c r="C150" s="40" t="s">
        <v>117</v>
      </c>
      <c r="D150" s="41">
        <v>2</v>
      </c>
      <c r="E150" s="42">
        <v>1E-3</v>
      </c>
    </row>
    <row r="151" spans="1:5" ht="15" customHeight="1" x14ac:dyDescent="0.3">
      <c r="A151" s="14"/>
      <c r="B151" s="89"/>
      <c r="C151" s="40" t="s">
        <v>118</v>
      </c>
      <c r="D151" s="41">
        <v>49</v>
      </c>
      <c r="E151" s="42">
        <v>0.02</v>
      </c>
    </row>
    <row r="152" spans="1:5" ht="16.5" x14ac:dyDescent="0.3">
      <c r="A152" s="14"/>
      <c r="B152" s="89"/>
      <c r="C152" s="40" t="s">
        <v>119</v>
      </c>
      <c r="D152" s="41">
        <v>5</v>
      </c>
      <c r="E152" s="42">
        <v>2E-3</v>
      </c>
    </row>
    <row r="153" spans="1:5" ht="16.5" x14ac:dyDescent="0.3">
      <c r="A153" s="14"/>
      <c r="B153" s="89"/>
      <c r="C153" s="40" t="s">
        <v>120</v>
      </c>
      <c r="D153" s="41">
        <v>2</v>
      </c>
      <c r="E153" s="42">
        <v>1E-3</v>
      </c>
    </row>
    <row r="154" spans="1:5" ht="16.5" x14ac:dyDescent="0.3">
      <c r="A154" s="14"/>
      <c r="B154" s="89"/>
      <c r="C154" s="40" t="s">
        <v>80</v>
      </c>
      <c r="D154" s="41">
        <v>10</v>
      </c>
      <c r="E154" s="42">
        <v>4.0000000000000001E-3</v>
      </c>
    </row>
    <row r="155" spans="1:5" ht="16.5" x14ac:dyDescent="0.3">
      <c r="A155" s="14"/>
      <c r="B155" s="89"/>
      <c r="C155" s="40" t="s">
        <v>121</v>
      </c>
      <c r="D155" s="41">
        <v>1</v>
      </c>
      <c r="E155" s="42">
        <v>0</v>
      </c>
    </row>
    <row r="156" spans="1:5" ht="16.5" customHeight="1" x14ac:dyDescent="0.3">
      <c r="A156" s="14"/>
      <c r="B156" s="90"/>
      <c r="C156" s="43" t="s">
        <v>317</v>
      </c>
      <c r="D156" s="44">
        <v>801</v>
      </c>
      <c r="E156" s="45">
        <v>0.33400000000000002</v>
      </c>
    </row>
    <row r="157" spans="1:5" ht="16.5" customHeight="1" x14ac:dyDescent="0.3">
      <c r="A157" s="14"/>
      <c r="B157" s="88" t="s">
        <v>215</v>
      </c>
      <c r="C157" s="40" t="s">
        <v>88</v>
      </c>
      <c r="D157" s="41">
        <v>21</v>
      </c>
      <c r="E157" s="42">
        <v>8.9999999999999993E-3</v>
      </c>
    </row>
    <row r="158" spans="1:5" ht="16.5" x14ac:dyDescent="0.3">
      <c r="A158" s="14"/>
      <c r="B158" s="89"/>
      <c r="C158" s="40" t="s">
        <v>89</v>
      </c>
      <c r="D158" s="41">
        <v>1</v>
      </c>
      <c r="E158" s="42">
        <v>0</v>
      </c>
    </row>
    <row r="159" spans="1:5" ht="16.5" x14ac:dyDescent="0.3">
      <c r="A159" s="14"/>
      <c r="B159" s="89"/>
      <c r="C159" s="40" t="s">
        <v>91</v>
      </c>
      <c r="D159" s="41">
        <v>1</v>
      </c>
      <c r="E159" s="42">
        <v>0</v>
      </c>
    </row>
    <row r="160" spans="1:5" ht="16.5" x14ac:dyDescent="0.3">
      <c r="A160" s="14"/>
      <c r="B160" s="89"/>
      <c r="C160" s="40" t="s">
        <v>92</v>
      </c>
      <c r="D160" s="41">
        <v>1</v>
      </c>
      <c r="E160" s="42">
        <v>0</v>
      </c>
    </row>
    <row r="161" spans="1:5" ht="16.5" x14ac:dyDescent="0.3">
      <c r="A161" s="14"/>
      <c r="B161" s="89"/>
      <c r="C161" s="40" t="s">
        <v>107</v>
      </c>
      <c r="D161" s="41">
        <v>1</v>
      </c>
      <c r="E161" s="42">
        <v>0</v>
      </c>
    </row>
    <row r="162" spans="1:5" ht="16.5" x14ac:dyDescent="0.3">
      <c r="A162" s="14"/>
      <c r="B162" s="89"/>
      <c r="C162" s="40" t="s">
        <v>114</v>
      </c>
      <c r="D162" s="41">
        <v>1</v>
      </c>
      <c r="E162" s="42">
        <v>0</v>
      </c>
    </row>
    <row r="163" spans="1:5" ht="16.5" x14ac:dyDescent="0.3">
      <c r="A163" s="14"/>
      <c r="B163" s="89"/>
      <c r="C163" s="40" t="s">
        <v>115</v>
      </c>
      <c r="D163" s="41">
        <v>1</v>
      </c>
      <c r="E163" s="42">
        <v>0</v>
      </c>
    </row>
    <row r="164" spans="1:5" ht="16.5" x14ac:dyDescent="0.3">
      <c r="A164" s="14"/>
      <c r="B164" s="89"/>
      <c r="C164" s="40" t="s">
        <v>118</v>
      </c>
      <c r="D164" s="41">
        <v>9</v>
      </c>
      <c r="E164" s="42">
        <v>4.0000000000000001E-3</v>
      </c>
    </row>
    <row r="165" spans="1:5" ht="15" customHeight="1" x14ac:dyDescent="0.3">
      <c r="A165" s="14"/>
      <c r="B165" s="89"/>
      <c r="C165" s="40" t="s">
        <v>80</v>
      </c>
      <c r="D165" s="41">
        <v>1</v>
      </c>
      <c r="E165" s="42">
        <v>0</v>
      </c>
    </row>
    <row r="166" spans="1:5" ht="16.5" customHeight="1" x14ac:dyDescent="0.3">
      <c r="A166" s="14"/>
      <c r="B166" s="90"/>
      <c r="C166" s="43" t="s">
        <v>317</v>
      </c>
      <c r="D166" s="44">
        <v>37</v>
      </c>
      <c r="E166" s="45">
        <v>1.4999999999999999E-2</v>
      </c>
    </row>
    <row r="167" spans="1:5" ht="16.5" customHeight="1" x14ac:dyDescent="0.3">
      <c r="A167" s="14"/>
      <c r="B167" s="88" t="s">
        <v>216</v>
      </c>
      <c r="C167" s="40" t="s">
        <v>87</v>
      </c>
      <c r="D167" s="41">
        <v>2</v>
      </c>
      <c r="E167" s="42">
        <v>1E-3</v>
      </c>
    </row>
    <row r="168" spans="1:5" ht="16.5" x14ac:dyDescent="0.3">
      <c r="A168" s="14"/>
      <c r="B168" s="89"/>
      <c r="C168" s="40" t="s">
        <v>88</v>
      </c>
      <c r="D168" s="41">
        <v>55</v>
      </c>
      <c r="E168" s="42">
        <v>2.3E-2</v>
      </c>
    </row>
    <row r="169" spans="1:5" ht="16.5" x14ac:dyDescent="0.3">
      <c r="A169" s="14"/>
      <c r="B169" s="89"/>
      <c r="C169" s="40" t="s">
        <v>89</v>
      </c>
      <c r="D169" s="41">
        <v>1</v>
      </c>
      <c r="E169" s="42">
        <v>0</v>
      </c>
    </row>
    <row r="170" spans="1:5" ht="16.5" x14ac:dyDescent="0.3">
      <c r="A170" s="14"/>
      <c r="B170" s="89"/>
      <c r="C170" s="40" t="s">
        <v>95</v>
      </c>
      <c r="D170" s="41">
        <v>1</v>
      </c>
      <c r="E170" s="42">
        <v>0</v>
      </c>
    </row>
    <row r="171" spans="1:5" ht="16.5" x14ac:dyDescent="0.3">
      <c r="A171" s="14"/>
      <c r="B171" s="89"/>
      <c r="C171" s="40" t="s">
        <v>97</v>
      </c>
      <c r="D171" s="41">
        <v>2</v>
      </c>
      <c r="E171" s="42">
        <v>1E-3</v>
      </c>
    </row>
    <row r="172" spans="1:5" ht="16.5" x14ac:dyDescent="0.3">
      <c r="A172" s="14"/>
      <c r="B172" s="89"/>
      <c r="C172" s="40" t="s">
        <v>98</v>
      </c>
      <c r="D172" s="41">
        <v>1</v>
      </c>
      <c r="E172" s="42">
        <v>0</v>
      </c>
    </row>
    <row r="173" spans="1:5" ht="16.5" x14ac:dyDescent="0.3">
      <c r="A173" s="14"/>
      <c r="B173" s="89"/>
      <c r="C173" s="40" t="s">
        <v>103</v>
      </c>
      <c r="D173" s="41">
        <v>2</v>
      </c>
      <c r="E173" s="42">
        <v>1E-3</v>
      </c>
    </row>
    <row r="174" spans="1:5" ht="16.5" x14ac:dyDescent="0.3">
      <c r="A174" s="14"/>
      <c r="B174" s="89"/>
      <c r="C174" s="40" t="s">
        <v>105</v>
      </c>
      <c r="D174" s="41">
        <v>1</v>
      </c>
      <c r="E174" s="42">
        <v>0</v>
      </c>
    </row>
    <row r="175" spans="1:5" ht="16.5" x14ac:dyDescent="0.3">
      <c r="A175" s="14"/>
      <c r="B175" s="89"/>
      <c r="C175" s="40" t="s">
        <v>107</v>
      </c>
      <c r="D175" s="41">
        <v>2</v>
      </c>
      <c r="E175" s="42">
        <v>1E-3</v>
      </c>
    </row>
    <row r="176" spans="1:5" ht="16.5" x14ac:dyDescent="0.3">
      <c r="A176" s="14"/>
      <c r="B176" s="89"/>
      <c r="C176" s="40" t="s">
        <v>108</v>
      </c>
      <c r="D176" s="41">
        <v>1</v>
      </c>
      <c r="E176" s="42">
        <v>0</v>
      </c>
    </row>
    <row r="177" spans="1:5" ht="16.5" x14ac:dyDescent="0.3">
      <c r="A177" s="14"/>
      <c r="B177" s="89"/>
      <c r="C177" s="40" t="s">
        <v>111</v>
      </c>
      <c r="D177" s="41">
        <v>1</v>
      </c>
      <c r="E177" s="42">
        <v>0</v>
      </c>
    </row>
    <row r="178" spans="1:5" ht="16.5" x14ac:dyDescent="0.3">
      <c r="A178" s="14"/>
      <c r="B178" s="89"/>
      <c r="C178" s="40" t="s">
        <v>113</v>
      </c>
      <c r="D178" s="41">
        <v>1</v>
      </c>
      <c r="E178" s="42">
        <v>0</v>
      </c>
    </row>
    <row r="179" spans="1:5" ht="16.5" x14ac:dyDescent="0.3">
      <c r="A179" s="14"/>
      <c r="B179" s="89"/>
      <c r="C179" s="40" t="s">
        <v>114</v>
      </c>
      <c r="D179" s="41">
        <v>7</v>
      </c>
      <c r="E179" s="42">
        <v>3.0000000000000001E-3</v>
      </c>
    </row>
    <row r="180" spans="1:5" ht="15" customHeight="1" x14ac:dyDescent="0.3">
      <c r="A180" s="14"/>
      <c r="B180" s="89"/>
      <c r="C180" s="40" t="s">
        <v>117</v>
      </c>
      <c r="D180" s="41">
        <v>1</v>
      </c>
      <c r="E180" s="42">
        <v>0</v>
      </c>
    </row>
    <row r="181" spans="1:5" ht="16.5" x14ac:dyDescent="0.3">
      <c r="A181" s="14"/>
      <c r="B181" s="89"/>
      <c r="C181" s="40" t="s">
        <v>118</v>
      </c>
      <c r="D181" s="41">
        <v>14</v>
      </c>
      <c r="E181" s="42">
        <v>6.0000000000000001E-3</v>
      </c>
    </row>
    <row r="182" spans="1:5" ht="16.5" x14ac:dyDescent="0.3">
      <c r="A182" s="14"/>
      <c r="B182" s="89"/>
      <c r="C182" s="40" t="s">
        <v>119</v>
      </c>
      <c r="D182" s="41">
        <v>1</v>
      </c>
      <c r="E182" s="42">
        <v>0</v>
      </c>
    </row>
    <row r="183" spans="1:5" ht="16.5" x14ac:dyDescent="0.3">
      <c r="A183" s="14"/>
      <c r="B183" s="89"/>
      <c r="C183" s="40" t="s">
        <v>80</v>
      </c>
      <c r="D183" s="41">
        <v>3</v>
      </c>
      <c r="E183" s="42">
        <v>1E-3</v>
      </c>
    </row>
    <row r="184" spans="1:5" ht="16.5" customHeight="1" x14ac:dyDescent="0.3">
      <c r="A184" s="14"/>
      <c r="B184" s="90"/>
      <c r="C184" s="43" t="s">
        <v>317</v>
      </c>
      <c r="D184" s="44">
        <v>96</v>
      </c>
      <c r="E184" s="45">
        <v>0.04</v>
      </c>
    </row>
    <row r="185" spans="1:5" ht="16.5" customHeight="1" x14ac:dyDescent="0.3">
      <c r="A185" s="14"/>
      <c r="B185" s="88" t="s">
        <v>217</v>
      </c>
      <c r="C185" s="40" t="s">
        <v>85</v>
      </c>
      <c r="D185" s="41">
        <v>1</v>
      </c>
      <c r="E185" s="42">
        <v>0</v>
      </c>
    </row>
    <row r="186" spans="1:5" ht="16.5" x14ac:dyDescent="0.3">
      <c r="A186" s="14"/>
      <c r="B186" s="89"/>
      <c r="C186" s="40" t="s">
        <v>86</v>
      </c>
      <c r="D186" s="41">
        <v>2</v>
      </c>
      <c r="E186" s="42">
        <v>1E-3</v>
      </c>
    </row>
    <row r="187" spans="1:5" ht="16.5" x14ac:dyDescent="0.3">
      <c r="A187" s="14"/>
      <c r="B187" s="89"/>
      <c r="C187" s="40" t="s">
        <v>87</v>
      </c>
      <c r="D187" s="41">
        <v>8</v>
      </c>
      <c r="E187" s="42">
        <v>3.0000000000000001E-3</v>
      </c>
    </row>
    <row r="188" spans="1:5" ht="16.5" x14ac:dyDescent="0.3">
      <c r="A188" s="14"/>
      <c r="B188" s="89"/>
      <c r="C188" s="40" t="s">
        <v>88</v>
      </c>
      <c r="D188" s="41">
        <v>293</v>
      </c>
      <c r="E188" s="42">
        <v>0.122</v>
      </c>
    </row>
    <row r="189" spans="1:5" ht="16.5" x14ac:dyDescent="0.3">
      <c r="A189" s="14"/>
      <c r="B189" s="89"/>
      <c r="C189" s="40" t="s">
        <v>89</v>
      </c>
      <c r="D189" s="41">
        <v>15</v>
      </c>
      <c r="E189" s="42">
        <v>6.0000000000000001E-3</v>
      </c>
    </row>
    <row r="190" spans="1:5" ht="16.5" x14ac:dyDescent="0.3">
      <c r="A190" s="14"/>
      <c r="B190" s="89"/>
      <c r="C190" s="40" t="s">
        <v>90</v>
      </c>
      <c r="D190" s="41">
        <v>1</v>
      </c>
      <c r="E190" s="42">
        <v>0</v>
      </c>
    </row>
    <row r="191" spans="1:5" ht="16.5" x14ac:dyDescent="0.3">
      <c r="A191" s="14"/>
      <c r="B191" s="89"/>
      <c r="C191" s="40" t="s">
        <v>91</v>
      </c>
      <c r="D191" s="41">
        <v>4</v>
      </c>
      <c r="E191" s="42">
        <v>2E-3</v>
      </c>
    </row>
    <row r="192" spans="1:5" ht="16.5" x14ac:dyDescent="0.3">
      <c r="A192" s="14"/>
      <c r="B192" s="89"/>
      <c r="C192" s="40" t="s">
        <v>92</v>
      </c>
      <c r="D192" s="41">
        <v>4</v>
      </c>
      <c r="E192" s="42">
        <v>2E-3</v>
      </c>
    </row>
    <row r="193" spans="1:5" ht="16.5" x14ac:dyDescent="0.3">
      <c r="A193" s="14"/>
      <c r="B193" s="89"/>
      <c r="C193" s="40" t="s">
        <v>264</v>
      </c>
      <c r="D193" s="41">
        <v>1</v>
      </c>
      <c r="E193" s="42">
        <v>0</v>
      </c>
    </row>
    <row r="194" spans="1:5" ht="16.5" x14ac:dyDescent="0.3">
      <c r="A194" s="14"/>
      <c r="B194" s="89"/>
      <c r="C194" s="40" t="s">
        <v>94</v>
      </c>
      <c r="D194" s="41">
        <v>7</v>
      </c>
      <c r="E194" s="42">
        <v>3.0000000000000001E-3</v>
      </c>
    </row>
    <row r="195" spans="1:5" ht="16.5" x14ac:dyDescent="0.3">
      <c r="A195" s="14"/>
      <c r="B195" s="89"/>
      <c r="C195" s="40" t="s">
        <v>97</v>
      </c>
      <c r="D195" s="41">
        <v>2</v>
      </c>
      <c r="E195" s="42">
        <v>1E-3</v>
      </c>
    </row>
    <row r="196" spans="1:5" ht="16.5" x14ac:dyDescent="0.3">
      <c r="A196" s="14"/>
      <c r="B196" s="89"/>
      <c r="C196" s="40" t="s">
        <v>98</v>
      </c>
      <c r="D196" s="41">
        <v>2</v>
      </c>
      <c r="E196" s="42">
        <v>1E-3</v>
      </c>
    </row>
    <row r="197" spans="1:5" ht="16.5" x14ac:dyDescent="0.3">
      <c r="A197" s="14"/>
      <c r="B197" s="89"/>
      <c r="C197" s="40" t="s">
        <v>101</v>
      </c>
      <c r="D197" s="41">
        <v>1</v>
      </c>
      <c r="E197" s="42">
        <v>0</v>
      </c>
    </row>
    <row r="198" spans="1:5" ht="16.5" x14ac:dyDescent="0.3">
      <c r="A198" s="14"/>
      <c r="B198" s="89"/>
      <c r="C198" s="40" t="s">
        <v>105</v>
      </c>
      <c r="D198" s="41">
        <v>9</v>
      </c>
      <c r="E198" s="42">
        <v>4.0000000000000001E-3</v>
      </c>
    </row>
    <row r="199" spans="1:5" ht="16.5" x14ac:dyDescent="0.3">
      <c r="A199" s="14"/>
      <c r="B199" s="89"/>
      <c r="C199" s="40" t="s">
        <v>107</v>
      </c>
      <c r="D199" s="41">
        <v>14</v>
      </c>
      <c r="E199" s="42">
        <v>6.0000000000000001E-3</v>
      </c>
    </row>
    <row r="200" spans="1:5" ht="16.5" x14ac:dyDescent="0.3">
      <c r="A200" s="14"/>
      <c r="B200" s="89"/>
      <c r="C200" s="40" t="s">
        <v>109</v>
      </c>
      <c r="D200" s="41">
        <v>1</v>
      </c>
      <c r="E200" s="42">
        <v>0</v>
      </c>
    </row>
    <row r="201" spans="1:5" ht="16.5" x14ac:dyDescent="0.3">
      <c r="A201" s="14"/>
      <c r="B201" s="89"/>
      <c r="C201" s="40" t="s">
        <v>110</v>
      </c>
      <c r="D201" s="41">
        <v>1</v>
      </c>
      <c r="E201" s="42">
        <v>0</v>
      </c>
    </row>
    <row r="202" spans="1:5" ht="16.5" x14ac:dyDescent="0.3">
      <c r="A202" s="14"/>
      <c r="B202" s="89"/>
      <c r="C202" s="40" t="s">
        <v>111</v>
      </c>
      <c r="D202" s="41">
        <v>1</v>
      </c>
      <c r="E202" s="42">
        <v>0</v>
      </c>
    </row>
    <row r="203" spans="1:5" ht="16.5" x14ac:dyDescent="0.3">
      <c r="A203" s="14"/>
      <c r="B203" s="89"/>
      <c r="C203" s="40" t="s">
        <v>113</v>
      </c>
      <c r="D203" s="41">
        <v>3</v>
      </c>
      <c r="E203" s="42">
        <v>1E-3</v>
      </c>
    </row>
    <row r="204" spans="1:5" ht="16.5" x14ac:dyDescent="0.3">
      <c r="A204" s="14"/>
      <c r="B204" s="89"/>
      <c r="C204" s="40" t="s">
        <v>114</v>
      </c>
      <c r="D204" s="41">
        <v>10</v>
      </c>
      <c r="E204" s="42">
        <v>4.0000000000000001E-3</v>
      </c>
    </row>
    <row r="205" spans="1:5" ht="16.5" x14ac:dyDescent="0.3">
      <c r="A205" s="14"/>
      <c r="B205" s="89"/>
      <c r="C205" s="40" t="s">
        <v>115</v>
      </c>
      <c r="D205" s="41">
        <v>1</v>
      </c>
      <c r="E205" s="42">
        <v>0</v>
      </c>
    </row>
    <row r="206" spans="1:5" ht="16.5" x14ac:dyDescent="0.3">
      <c r="A206" s="14"/>
      <c r="B206" s="89"/>
      <c r="C206" s="40" t="s">
        <v>116</v>
      </c>
      <c r="D206" s="41">
        <v>1</v>
      </c>
      <c r="E206" s="42">
        <v>0</v>
      </c>
    </row>
    <row r="207" spans="1:5" ht="16.5" x14ac:dyDescent="0.3">
      <c r="A207" s="14"/>
      <c r="B207" s="89"/>
      <c r="C207" s="40" t="s">
        <v>117</v>
      </c>
      <c r="D207" s="41">
        <v>2</v>
      </c>
      <c r="E207" s="42">
        <v>1E-3</v>
      </c>
    </row>
    <row r="208" spans="1:5" ht="16.5" x14ac:dyDescent="0.3">
      <c r="A208" s="14"/>
      <c r="B208" s="89"/>
      <c r="C208" s="40" t="s">
        <v>118</v>
      </c>
      <c r="D208" s="41">
        <v>43</v>
      </c>
      <c r="E208" s="42">
        <v>1.7999999999999999E-2</v>
      </c>
    </row>
    <row r="209" spans="1:5" ht="16.5" x14ac:dyDescent="0.3">
      <c r="A209" s="14"/>
      <c r="B209" s="89"/>
      <c r="C209" s="40" t="s">
        <v>119</v>
      </c>
      <c r="D209" s="41">
        <v>10</v>
      </c>
      <c r="E209" s="42">
        <v>4.0000000000000001E-3</v>
      </c>
    </row>
    <row r="210" spans="1:5" ht="16.5" x14ac:dyDescent="0.3">
      <c r="A210" s="14"/>
      <c r="B210" s="89"/>
      <c r="C210" s="40" t="s">
        <v>80</v>
      </c>
      <c r="D210" s="41">
        <v>3</v>
      </c>
      <c r="E210" s="42">
        <v>1E-3</v>
      </c>
    </row>
    <row r="211" spans="1:5" ht="15" customHeight="1" x14ac:dyDescent="0.3">
      <c r="A211" s="14"/>
      <c r="B211" s="89"/>
      <c r="C211" s="40" t="s">
        <v>121</v>
      </c>
      <c r="D211" s="41">
        <v>1</v>
      </c>
      <c r="E211" s="42">
        <v>0</v>
      </c>
    </row>
    <row r="212" spans="1:5" ht="16.5" customHeight="1" x14ac:dyDescent="0.3">
      <c r="A212" s="14"/>
      <c r="B212" s="90"/>
      <c r="C212" s="43" t="s">
        <v>317</v>
      </c>
      <c r="D212" s="44">
        <v>441</v>
      </c>
      <c r="E212" s="45">
        <v>0.184</v>
      </c>
    </row>
    <row r="213" spans="1:5" ht="16.5" customHeight="1" x14ac:dyDescent="0.3">
      <c r="A213" s="14"/>
      <c r="B213" s="88" t="s">
        <v>285</v>
      </c>
      <c r="C213" s="40" t="s">
        <v>88</v>
      </c>
      <c r="D213" s="41">
        <v>9</v>
      </c>
      <c r="E213" s="42">
        <v>4.0000000000000001E-3</v>
      </c>
    </row>
    <row r="214" spans="1:5" ht="16.5" x14ac:dyDescent="0.3">
      <c r="A214" s="14"/>
      <c r="B214" s="89"/>
      <c r="C214" s="40" t="s">
        <v>92</v>
      </c>
      <c r="D214" s="41">
        <v>1</v>
      </c>
      <c r="E214" s="42">
        <v>0</v>
      </c>
    </row>
    <row r="215" spans="1:5" ht="15" customHeight="1" x14ac:dyDescent="0.3">
      <c r="A215" s="14"/>
      <c r="B215" s="89"/>
      <c r="C215" s="40" t="s">
        <v>95</v>
      </c>
      <c r="D215" s="41">
        <v>1</v>
      </c>
      <c r="E215" s="42">
        <v>0</v>
      </c>
    </row>
    <row r="216" spans="1:5" ht="16.5" x14ac:dyDescent="0.3">
      <c r="A216" s="14"/>
      <c r="B216" s="89"/>
      <c r="C216" s="40" t="s">
        <v>114</v>
      </c>
      <c r="D216" s="41">
        <v>1</v>
      </c>
      <c r="E216" s="42">
        <v>0</v>
      </c>
    </row>
    <row r="217" spans="1:5" ht="16.5" x14ac:dyDescent="0.3">
      <c r="A217" s="14"/>
      <c r="B217" s="89"/>
      <c r="C217" s="40" t="s">
        <v>80</v>
      </c>
      <c r="D217" s="41">
        <v>1</v>
      </c>
      <c r="E217" s="42">
        <v>0</v>
      </c>
    </row>
    <row r="218" spans="1:5" ht="16.5" customHeight="1" x14ac:dyDescent="0.3">
      <c r="A218" s="14"/>
      <c r="B218" s="90"/>
      <c r="C218" s="43" t="s">
        <v>317</v>
      </c>
      <c r="D218" s="44">
        <v>13</v>
      </c>
      <c r="E218" s="45">
        <v>5.0000000000000001E-3</v>
      </c>
    </row>
    <row r="219" spans="1:5" ht="16.5" customHeight="1" x14ac:dyDescent="0.3">
      <c r="A219" s="14"/>
      <c r="B219" s="88" t="s">
        <v>286</v>
      </c>
      <c r="C219" s="40" t="s">
        <v>88</v>
      </c>
      <c r="D219" s="41">
        <v>6</v>
      </c>
      <c r="E219" s="42">
        <v>2E-3</v>
      </c>
    </row>
    <row r="220" spans="1:5" ht="15" customHeight="1" x14ac:dyDescent="0.3">
      <c r="A220" s="14"/>
      <c r="B220" s="89"/>
      <c r="C220" s="40" t="s">
        <v>117</v>
      </c>
      <c r="D220" s="41">
        <v>1</v>
      </c>
      <c r="E220" s="42">
        <v>0</v>
      </c>
    </row>
    <row r="221" spans="1:5" ht="16.5" x14ac:dyDescent="0.3">
      <c r="A221" s="14"/>
      <c r="B221" s="89"/>
      <c r="C221" s="40" t="s">
        <v>118</v>
      </c>
      <c r="D221" s="41">
        <v>1</v>
      </c>
      <c r="E221" s="42">
        <v>0</v>
      </c>
    </row>
    <row r="222" spans="1:5" ht="15" customHeight="1" x14ac:dyDescent="0.3">
      <c r="A222" s="14"/>
      <c r="B222" s="90"/>
      <c r="C222" s="43" t="s">
        <v>317</v>
      </c>
      <c r="D222" s="44">
        <v>8</v>
      </c>
      <c r="E222" s="45">
        <v>3.0000000000000001E-3</v>
      </c>
    </row>
    <row r="223" spans="1:5" ht="16.5" customHeight="1" x14ac:dyDescent="0.3">
      <c r="A223" s="14"/>
      <c r="B223" s="88" t="s">
        <v>287</v>
      </c>
      <c r="C223" s="40" t="s">
        <v>88</v>
      </c>
      <c r="D223" s="41">
        <v>1</v>
      </c>
      <c r="E223" s="42">
        <v>0</v>
      </c>
    </row>
    <row r="224" spans="1:5" ht="15" customHeight="1" x14ac:dyDescent="0.3">
      <c r="A224" s="14"/>
      <c r="B224" s="89"/>
      <c r="C224" s="40" t="s">
        <v>107</v>
      </c>
      <c r="D224" s="41">
        <v>1</v>
      </c>
      <c r="E224" s="42">
        <v>0</v>
      </c>
    </row>
    <row r="225" spans="1:5" ht="16.5" x14ac:dyDescent="0.3">
      <c r="A225" s="14"/>
      <c r="B225" s="89"/>
      <c r="C225" s="40" t="s">
        <v>118</v>
      </c>
      <c r="D225" s="41">
        <v>1</v>
      </c>
      <c r="E225" s="42">
        <v>0</v>
      </c>
    </row>
    <row r="226" spans="1:5" ht="16.5" customHeight="1" x14ac:dyDescent="0.3">
      <c r="A226" s="14"/>
      <c r="B226" s="90"/>
      <c r="C226" s="43" t="s">
        <v>317</v>
      </c>
      <c r="D226" s="44">
        <v>3</v>
      </c>
      <c r="E226" s="45">
        <v>1E-3</v>
      </c>
    </row>
    <row r="227" spans="1:5" ht="28.5" customHeight="1" x14ac:dyDescent="0.3">
      <c r="A227" s="14"/>
      <c r="B227" s="95" t="s">
        <v>288</v>
      </c>
      <c r="C227" s="40" t="s">
        <v>88</v>
      </c>
      <c r="D227" s="41">
        <v>1</v>
      </c>
      <c r="E227" s="42">
        <v>0</v>
      </c>
    </row>
    <row r="228" spans="1:5" ht="16.5" customHeight="1" x14ac:dyDescent="0.3">
      <c r="A228" s="14"/>
      <c r="B228" s="96"/>
      <c r="C228" s="48" t="s">
        <v>317</v>
      </c>
      <c r="D228" s="44">
        <v>1</v>
      </c>
      <c r="E228" s="45">
        <v>0</v>
      </c>
    </row>
    <row r="229" spans="1:5" ht="16.5" x14ac:dyDescent="0.3">
      <c r="A229" s="14"/>
      <c r="B229" s="88" t="s">
        <v>222</v>
      </c>
      <c r="C229" s="40" t="s">
        <v>87</v>
      </c>
      <c r="D229" s="41">
        <v>1</v>
      </c>
      <c r="E229" s="42">
        <v>0</v>
      </c>
    </row>
    <row r="230" spans="1:5" ht="16.5" x14ac:dyDescent="0.3">
      <c r="A230" s="14"/>
      <c r="B230" s="89"/>
      <c r="C230" s="40" t="s">
        <v>88</v>
      </c>
      <c r="D230" s="41">
        <v>17</v>
      </c>
      <c r="E230" s="42">
        <v>7.0000000000000001E-3</v>
      </c>
    </row>
    <row r="231" spans="1:5" ht="16.5" x14ac:dyDescent="0.3">
      <c r="A231" s="14"/>
      <c r="B231" s="89"/>
      <c r="C231" s="40" t="s">
        <v>98</v>
      </c>
      <c r="D231" s="41">
        <v>1</v>
      </c>
      <c r="E231" s="42">
        <v>0</v>
      </c>
    </row>
    <row r="232" spans="1:5" ht="16.5" x14ac:dyDescent="0.3">
      <c r="A232" s="14"/>
      <c r="B232" s="89"/>
      <c r="C232" s="40" t="s">
        <v>107</v>
      </c>
      <c r="D232" s="41">
        <v>1</v>
      </c>
      <c r="E232" s="42">
        <v>0</v>
      </c>
    </row>
    <row r="233" spans="1:5" ht="16.5" x14ac:dyDescent="0.3">
      <c r="A233" s="14"/>
      <c r="B233" s="89"/>
      <c r="C233" s="40" t="s">
        <v>111</v>
      </c>
      <c r="D233" s="41">
        <v>1</v>
      </c>
      <c r="E233" s="42">
        <v>0</v>
      </c>
    </row>
    <row r="234" spans="1:5" ht="16.5" x14ac:dyDescent="0.3">
      <c r="A234" s="14"/>
      <c r="B234" s="89"/>
      <c r="C234" s="40" t="s">
        <v>113</v>
      </c>
      <c r="D234" s="41">
        <v>1</v>
      </c>
      <c r="E234" s="42">
        <v>0</v>
      </c>
    </row>
    <row r="235" spans="1:5" ht="16.5" x14ac:dyDescent="0.3">
      <c r="A235" s="14"/>
      <c r="B235" s="89"/>
      <c r="C235" s="40" t="s">
        <v>117</v>
      </c>
      <c r="D235" s="41">
        <v>1</v>
      </c>
      <c r="E235" s="42">
        <v>0</v>
      </c>
    </row>
    <row r="236" spans="1:5" ht="16.5" x14ac:dyDescent="0.3">
      <c r="A236" s="14"/>
      <c r="B236" s="89"/>
      <c r="C236" s="40" t="s">
        <v>118</v>
      </c>
      <c r="D236" s="41">
        <v>3</v>
      </c>
      <c r="E236" s="42">
        <v>1E-3</v>
      </c>
    </row>
    <row r="237" spans="1:5" ht="16.5" x14ac:dyDescent="0.3">
      <c r="A237" s="14"/>
      <c r="B237" s="89"/>
      <c r="C237" s="40" t="s">
        <v>119</v>
      </c>
      <c r="D237" s="41">
        <v>2</v>
      </c>
      <c r="E237" s="42">
        <v>1E-3</v>
      </c>
    </row>
    <row r="238" spans="1:5" ht="16.5" x14ac:dyDescent="0.3">
      <c r="A238" s="14"/>
      <c r="B238" s="89"/>
      <c r="C238" s="40" t="s">
        <v>80</v>
      </c>
      <c r="D238" s="41">
        <v>1</v>
      </c>
      <c r="E238" s="42">
        <v>0</v>
      </c>
    </row>
    <row r="239" spans="1:5" ht="16.5" customHeight="1" x14ac:dyDescent="0.3">
      <c r="A239" s="14"/>
      <c r="B239" s="90"/>
      <c r="C239" s="43" t="s">
        <v>317</v>
      </c>
      <c r="D239" s="44">
        <v>29</v>
      </c>
      <c r="E239" s="45">
        <v>1.2E-2</v>
      </c>
    </row>
    <row r="240" spans="1:5" ht="15" customHeight="1" x14ac:dyDescent="0.3">
      <c r="A240" s="14"/>
      <c r="B240" s="88" t="s">
        <v>223</v>
      </c>
      <c r="C240" s="40" t="s">
        <v>86</v>
      </c>
      <c r="D240" s="41">
        <v>2</v>
      </c>
      <c r="E240" s="42">
        <v>1E-3</v>
      </c>
    </row>
    <row r="241" spans="1:5" ht="16.5" x14ac:dyDescent="0.3">
      <c r="A241" s="14"/>
      <c r="B241" s="89"/>
      <c r="C241" s="40" t="s">
        <v>87</v>
      </c>
      <c r="D241" s="41">
        <v>2</v>
      </c>
      <c r="E241" s="42">
        <v>1E-3</v>
      </c>
    </row>
    <row r="242" spans="1:5" ht="16.5" x14ac:dyDescent="0.3">
      <c r="A242" s="14"/>
      <c r="B242" s="89"/>
      <c r="C242" s="40" t="s">
        <v>88</v>
      </c>
      <c r="D242" s="41">
        <v>62</v>
      </c>
      <c r="E242" s="42">
        <v>2.5999999999999999E-2</v>
      </c>
    </row>
    <row r="243" spans="1:5" ht="16.5" x14ac:dyDescent="0.3">
      <c r="A243" s="14"/>
      <c r="B243" s="89"/>
      <c r="C243" s="40" t="s">
        <v>89</v>
      </c>
      <c r="D243" s="41">
        <v>3</v>
      </c>
      <c r="E243" s="42">
        <v>1E-3</v>
      </c>
    </row>
    <row r="244" spans="1:5" ht="16.5" x14ac:dyDescent="0.3">
      <c r="A244" s="14"/>
      <c r="B244" s="89"/>
      <c r="C244" s="40" t="s">
        <v>91</v>
      </c>
      <c r="D244" s="41">
        <v>5</v>
      </c>
      <c r="E244" s="42">
        <v>2E-3</v>
      </c>
    </row>
    <row r="245" spans="1:5" ht="16.5" x14ac:dyDescent="0.3">
      <c r="A245" s="14"/>
      <c r="B245" s="89"/>
      <c r="C245" s="40" t="s">
        <v>92</v>
      </c>
      <c r="D245" s="41">
        <v>1</v>
      </c>
      <c r="E245" s="42">
        <v>0</v>
      </c>
    </row>
    <row r="246" spans="1:5" ht="16.5" x14ac:dyDescent="0.3">
      <c r="A246" s="14"/>
      <c r="B246" s="89"/>
      <c r="C246" s="40" t="s">
        <v>94</v>
      </c>
      <c r="D246" s="41">
        <v>5</v>
      </c>
      <c r="E246" s="42">
        <v>2E-3</v>
      </c>
    </row>
    <row r="247" spans="1:5" ht="16.5" x14ac:dyDescent="0.3">
      <c r="A247" s="14"/>
      <c r="B247" s="89"/>
      <c r="C247" s="40" t="s">
        <v>95</v>
      </c>
      <c r="D247" s="41">
        <v>2</v>
      </c>
      <c r="E247" s="42">
        <v>1E-3</v>
      </c>
    </row>
    <row r="248" spans="1:5" ht="16.5" x14ac:dyDescent="0.3">
      <c r="A248" s="14"/>
      <c r="B248" s="89"/>
      <c r="C248" s="40" t="s">
        <v>96</v>
      </c>
      <c r="D248" s="41">
        <v>1</v>
      </c>
      <c r="E248" s="42">
        <v>0</v>
      </c>
    </row>
    <row r="249" spans="1:5" ht="16.5" x14ac:dyDescent="0.3">
      <c r="A249" s="14"/>
      <c r="B249" s="89"/>
      <c r="C249" s="40" t="s">
        <v>99</v>
      </c>
      <c r="D249" s="41">
        <v>2</v>
      </c>
      <c r="E249" s="42">
        <v>1E-3</v>
      </c>
    </row>
    <row r="250" spans="1:5" ht="16.5" x14ac:dyDescent="0.3">
      <c r="A250" s="14"/>
      <c r="B250" s="89"/>
      <c r="C250" s="40" t="s">
        <v>100</v>
      </c>
      <c r="D250" s="41">
        <v>1</v>
      </c>
      <c r="E250" s="42">
        <v>0</v>
      </c>
    </row>
    <row r="251" spans="1:5" ht="16.5" x14ac:dyDescent="0.3">
      <c r="A251" s="14"/>
      <c r="B251" s="89"/>
      <c r="C251" s="40" t="s">
        <v>103</v>
      </c>
      <c r="D251" s="41">
        <v>1</v>
      </c>
      <c r="E251" s="42">
        <v>0</v>
      </c>
    </row>
    <row r="252" spans="1:5" ht="16.5" x14ac:dyDescent="0.3">
      <c r="A252" s="14"/>
      <c r="B252" s="89"/>
      <c r="C252" s="40" t="s">
        <v>107</v>
      </c>
      <c r="D252" s="41">
        <v>3</v>
      </c>
      <c r="E252" s="42">
        <v>1E-3</v>
      </c>
    </row>
    <row r="253" spans="1:5" ht="16.5" x14ac:dyDescent="0.3">
      <c r="A253" s="14"/>
      <c r="B253" s="89"/>
      <c r="C253" s="40" t="s">
        <v>108</v>
      </c>
      <c r="D253" s="41">
        <v>2</v>
      </c>
      <c r="E253" s="42">
        <v>1E-3</v>
      </c>
    </row>
    <row r="254" spans="1:5" ht="16.5" x14ac:dyDescent="0.3">
      <c r="A254" s="14"/>
      <c r="B254" s="89"/>
      <c r="C254" s="40" t="s">
        <v>113</v>
      </c>
      <c r="D254" s="41">
        <v>1</v>
      </c>
      <c r="E254" s="42">
        <v>0</v>
      </c>
    </row>
    <row r="255" spans="1:5" ht="16.5" x14ac:dyDescent="0.3">
      <c r="A255" s="14"/>
      <c r="B255" s="89"/>
      <c r="C255" s="40" t="s">
        <v>114</v>
      </c>
      <c r="D255" s="41">
        <v>4</v>
      </c>
      <c r="E255" s="42">
        <v>2E-3</v>
      </c>
    </row>
    <row r="256" spans="1:5" ht="16.5" x14ac:dyDescent="0.3">
      <c r="A256" s="14"/>
      <c r="B256" s="89"/>
      <c r="C256" s="40" t="s">
        <v>117</v>
      </c>
      <c r="D256" s="41">
        <v>2</v>
      </c>
      <c r="E256" s="42">
        <v>1E-3</v>
      </c>
    </row>
    <row r="257" spans="1:5" ht="16.5" x14ac:dyDescent="0.3">
      <c r="A257" s="14"/>
      <c r="B257" s="89"/>
      <c r="C257" s="40" t="s">
        <v>118</v>
      </c>
      <c r="D257" s="41">
        <v>15</v>
      </c>
      <c r="E257" s="42">
        <v>6.0000000000000001E-3</v>
      </c>
    </row>
    <row r="258" spans="1:5" ht="16.5" x14ac:dyDescent="0.3">
      <c r="A258" s="14"/>
      <c r="B258" s="89"/>
      <c r="C258" s="40" t="s">
        <v>80</v>
      </c>
      <c r="D258" s="41">
        <v>2</v>
      </c>
      <c r="E258" s="42">
        <v>1E-3</v>
      </c>
    </row>
    <row r="259" spans="1:5" ht="16.5" x14ac:dyDescent="0.3">
      <c r="A259" s="14"/>
      <c r="B259" s="89"/>
      <c r="C259" s="40" t="s">
        <v>121</v>
      </c>
      <c r="D259" s="41">
        <v>1</v>
      </c>
      <c r="E259" s="42">
        <v>0</v>
      </c>
    </row>
    <row r="260" spans="1:5" ht="16.5" customHeight="1" x14ac:dyDescent="0.3">
      <c r="A260" s="14"/>
      <c r="B260" s="90"/>
      <c r="C260" s="43" t="s">
        <v>317</v>
      </c>
      <c r="D260" s="44">
        <v>117</v>
      </c>
      <c r="E260" s="45">
        <v>4.9000000000000002E-2</v>
      </c>
    </row>
    <row r="261" spans="1:5" ht="15" customHeight="1" x14ac:dyDescent="0.3">
      <c r="A261" s="14"/>
      <c r="B261" s="88" t="s">
        <v>289</v>
      </c>
      <c r="C261" s="40" t="s">
        <v>118</v>
      </c>
      <c r="D261" s="41">
        <v>1</v>
      </c>
      <c r="E261" s="42">
        <v>0</v>
      </c>
    </row>
    <row r="262" spans="1:5" ht="16.5" customHeight="1" x14ac:dyDescent="0.3">
      <c r="A262" s="14"/>
      <c r="B262" s="90"/>
      <c r="C262" s="43" t="s">
        <v>317</v>
      </c>
      <c r="D262" s="44">
        <v>1</v>
      </c>
      <c r="E262" s="45">
        <v>0</v>
      </c>
    </row>
    <row r="263" spans="1:5" ht="16.5" x14ac:dyDescent="0.3">
      <c r="A263" s="14"/>
      <c r="B263" s="88" t="s">
        <v>224</v>
      </c>
      <c r="C263" s="40" t="s">
        <v>91</v>
      </c>
      <c r="D263" s="41">
        <v>2</v>
      </c>
      <c r="E263" s="42">
        <v>1E-3</v>
      </c>
    </row>
    <row r="264" spans="1:5" ht="16.5" customHeight="1" x14ac:dyDescent="0.3">
      <c r="A264" s="14"/>
      <c r="B264" s="90"/>
      <c r="C264" s="43" t="s">
        <v>317</v>
      </c>
      <c r="D264" s="44">
        <v>2</v>
      </c>
      <c r="E264" s="45">
        <v>1E-3</v>
      </c>
    </row>
    <row r="265" spans="1:5" ht="16.5" x14ac:dyDescent="0.3">
      <c r="A265" s="14"/>
      <c r="B265" s="87" t="s">
        <v>315</v>
      </c>
      <c r="C265" s="87"/>
      <c r="D265" s="26">
        <v>2401</v>
      </c>
      <c r="E265" s="50">
        <v>1</v>
      </c>
    </row>
    <row r="266" spans="1:5" ht="14.45" customHeight="1" x14ac:dyDescent="0.3">
      <c r="A266" s="14"/>
      <c r="B266" s="17"/>
      <c r="C266" s="14"/>
      <c r="D266" s="14"/>
      <c r="E266" s="14"/>
    </row>
    <row r="267" spans="1:5" ht="14.45" customHeight="1" x14ac:dyDescent="0.3">
      <c r="A267" s="14"/>
      <c r="B267" s="18" t="s">
        <v>260</v>
      </c>
      <c r="C267" s="14"/>
      <c r="D267" s="14"/>
      <c r="E267" s="14"/>
    </row>
    <row r="268" spans="1:5" ht="14.45" customHeight="1" x14ac:dyDescent="0.3">
      <c r="A268" s="14"/>
      <c r="B268" s="19" t="s">
        <v>21</v>
      </c>
      <c r="C268" s="14"/>
      <c r="D268" s="14"/>
      <c r="E268" s="14"/>
    </row>
    <row r="269" spans="1:5" ht="14.45" customHeight="1" x14ac:dyDescent="0.3">
      <c r="A269" s="14"/>
      <c r="B269" s="17" t="s">
        <v>122</v>
      </c>
      <c r="C269" s="14"/>
      <c r="D269" s="14"/>
      <c r="E269" s="14"/>
    </row>
    <row r="270" spans="1:5" ht="14.45" customHeight="1" x14ac:dyDescent="0.3">
      <c r="A270" s="14"/>
      <c r="B270" s="18" t="s">
        <v>22</v>
      </c>
      <c r="C270" s="14"/>
      <c r="D270" s="14"/>
      <c r="E270" s="14"/>
    </row>
    <row r="271" spans="1:5" ht="14.45" customHeight="1" x14ac:dyDescent="0.3">
      <c r="A271" s="14"/>
      <c r="B271" s="18" t="s">
        <v>319</v>
      </c>
      <c r="C271" s="14"/>
      <c r="D271" s="14"/>
      <c r="E271" s="14"/>
    </row>
  </sheetData>
  <mergeCells count="24">
    <mergeCell ref="B10:B17"/>
    <mergeCell ref="B18:B22"/>
    <mergeCell ref="B23:B29"/>
    <mergeCell ref="B265:C265"/>
    <mergeCell ref="B229:B239"/>
    <mergeCell ref="B240:B260"/>
    <mergeCell ref="B261:B262"/>
    <mergeCell ref="B263:B264"/>
    <mergeCell ref="B213:B218"/>
    <mergeCell ref="B219:B222"/>
    <mergeCell ref="B223:B226"/>
    <mergeCell ref="B227:B228"/>
    <mergeCell ref="B30:B39"/>
    <mergeCell ref="B40:B47"/>
    <mergeCell ref="B48:B56"/>
    <mergeCell ref="B57:B71"/>
    <mergeCell ref="B157:B166"/>
    <mergeCell ref="B167:B184"/>
    <mergeCell ref="B185:B212"/>
    <mergeCell ref="B72:B89"/>
    <mergeCell ref="B90:B98"/>
    <mergeCell ref="B99:B107"/>
    <mergeCell ref="B108:B121"/>
    <mergeCell ref="B122:B156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4:F410"/>
  <sheetViews>
    <sheetView showGridLines="0" view="pageBreakPreview" topLeftCell="A389" zoomScaleNormal="100" zoomScaleSheetLayoutView="100" workbookViewId="0">
      <selection activeCell="H401" sqref="H401"/>
    </sheetView>
  </sheetViews>
  <sheetFormatPr baseColWidth="10" defaultRowHeight="15" x14ac:dyDescent="0.25"/>
  <cols>
    <col min="1" max="1" width="4.140625" customWidth="1"/>
    <col min="2" max="2" width="17.140625" customWidth="1"/>
    <col min="3" max="3" width="30.42578125" customWidth="1"/>
    <col min="4" max="4" width="20.85546875" customWidth="1"/>
    <col min="5" max="5" width="15.7109375" customWidth="1"/>
  </cols>
  <sheetData>
    <row r="4" spans="1:6" ht="36.75" customHeight="1" x14ac:dyDescent="0.25"/>
    <row r="6" spans="1:6" ht="21.75" customHeight="1" x14ac:dyDescent="0.3">
      <c r="A6" s="14"/>
      <c r="B6" s="14"/>
      <c r="C6" s="14"/>
      <c r="D6" s="14"/>
      <c r="E6" s="14"/>
      <c r="F6" s="14"/>
    </row>
    <row r="7" spans="1:6" ht="24.75" customHeight="1" x14ac:dyDescent="0.3">
      <c r="A7" s="14"/>
      <c r="B7" s="14"/>
      <c r="C7" s="14"/>
      <c r="D7" s="14"/>
      <c r="E7" s="14"/>
      <c r="F7" s="14"/>
    </row>
    <row r="8" spans="1:6" ht="39.6" customHeight="1" x14ac:dyDescent="0.3">
      <c r="A8" s="14"/>
      <c r="B8" s="14"/>
      <c r="C8" s="14"/>
      <c r="D8" s="14"/>
      <c r="E8" s="14"/>
      <c r="F8" s="14"/>
    </row>
    <row r="9" spans="1:6" ht="28.5" x14ac:dyDescent="0.3">
      <c r="A9" s="14"/>
      <c r="B9" s="27" t="s">
        <v>23</v>
      </c>
      <c r="C9" s="28" t="s">
        <v>29</v>
      </c>
      <c r="D9" s="29" t="s">
        <v>19</v>
      </c>
      <c r="E9" s="27" t="s">
        <v>20</v>
      </c>
      <c r="F9" s="14"/>
    </row>
    <row r="10" spans="1:6" ht="14.45" customHeight="1" x14ac:dyDescent="0.3">
      <c r="A10" s="14"/>
      <c r="B10" s="88" t="s">
        <v>59</v>
      </c>
      <c r="C10" s="40" t="s">
        <v>203</v>
      </c>
      <c r="D10" s="41">
        <v>2</v>
      </c>
      <c r="E10" s="42">
        <v>1E-3</v>
      </c>
      <c r="F10" s="14"/>
    </row>
    <row r="11" spans="1:6" ht="14.45" customHeight="1" x14ac:dyDescent="0.3">
      <c r="A11" s="14"/>
      <c r="B11" s="89"/>
      <c r="C11" s="40" t="s">
        <v>278</v>
      </c>
      <c r="D11" s="41">
        <v>1</v>
      </c>
      <c r="E11" s="42">
        <v>0</v>
      </c>
      <c r="F11" s="14"/>
    </row>
    <row r="12" spans="1:6" ht="14.45" customHeight="1" x14ac:dyDescent="0.3">
      <c r="A12" s="14"/>
      <c r="B12" s="89"/>
      <c r="C12" s="40" t="s">
        <v>210</v>
      </c>
      <c r="D12" s="41">
        <v>4</v>
      </c>
      <c r="E12" s="42">
        <v>2E-3</v>
      </c>
      <c r="F12" s="14"/>
    </row>
    <row r="13" spans="1:6" ht="14.45" customHeight="1" x14ac:dyDescent="0.3">
      <c r="A13" s="14"/>
      <c r="B13" s="89"/>
      <c r="C13" s="40" t="s">
        <v>282</v>
      </c>
      <c r="D13" s="41">
        <v>1</v>
      </c>
      <c r="E13" s="42">
        <v>0</v>
      </c>
      <c r="F13" s="14"/>
    </row>
    <row r="14" spans="1:6" ht="14.45" customHeight="1" x14ac:dyDescent="0.3">
      <c r="A14" s="14"/>
      <c r="B14" s="89"/>
      <c r="C14" s="40" t="s">
        <v>214</v>
      </c>
      <c r="D14" s="41">
        <v>6</v>
      </c>
      <c r="E14" s="42">
        <v>2E-3</v>
      </c>
      <c r="F14" s="14"/>
    </row>
    <row r="15" spans="1:6" ht="14.45" customHeight="1" x14ac:dyDescent="0.3">
      <c r="A15" s="14"/>
      <c r="B15" s="89"/>
      <c r="C15" s="40" t="s">
        <v>217</v>
      </c>
      <c r="D15" s="41">
        <v>4</v>
      </c>
      <c r="E15" s="42">
        <v>2E-3</v>
      </c>
      <c r="F15" s="14"/>
    </row>
    <row r="16" spans="1:6" ht="14.45" customHeight="1" x14ac:dyDescent="0.3">
      <c r="A16" s="14"/>
      <c r="B16" s="89"/>
      <c r="C16" s="40" t="s">
        <v>285</v>
      </c>
      <c r="D16" s="41">
        <v>1</v>
      </c>
      <c r="E16" s="42">
        <v>0</v>
      </c>
      <c r="F16" s="14"/>
    </row>
    <row r="17" spans="1:6" ht="14.45" customHeight="1" x14ac:dyDescent="0.3">
      <c r="A17" s="14"/>
      <c r="B17" s="89"/>
      <c r="C17" s="40" t="s">
        <v>223</v>
      </c>
      <c r="D17" s="41">
        <v>1</v>
      </c>
      <c r="E17" s="42">
        <v>0</v>
      </c>
      <c r="F17" s="14"/>
    </row>
    <row r="18" spans="1:6" ht="14.45" customHeight="1" x14ac:dyDescent="0.3">
      <c r="A18" s="14"/>
      <c r="B18" s="90"/>
      <c r="C18" s="43" t="s">
        <v>318</v>
      </c>
      <c r="D18" s="44">
        <v>20</v>
      </c>
      <c r="E18" s="45">
        <v>8.0000000000000002E-3</v>
      </c>
      <c r="F18" s="14"/>
    </row>
    <row r="19" spans="1:6" ht="14.45" customHeight="1" x14ac:dyDescent="0.3">
      <c r="A19" s="14"/>
      <c r="B19" s="95" t="s">
        <v>65</v>
      </c>
      <c r="C19" s="40" t="s">
        <v>281</v>
      </c>
      <c r="D19" s="41">
        <v>1</v>
      </c>
      <c r="E19" s="42">
        <v>0</v>
      </c>
      <c r="F19" s="14"/>
    </row>
    <row r="20" spans="1:6" ht="14.45" customHeight="1" x14ac:dyDescent="0.3">
      <c r="A20" s="14"/>
      <c r="B20" s="97"/>
      <c r="C20" s="40" t="s">
        <v>282</v>
      </c>
      <c r="D20" s="41">
        <v>1</v>
      </c>
      <c r="E20" s="42">
        <v>0</v>
      </c>
      <c r="F20" s="14"/>
    </row>
    <row r="21" spans="1:6" ht="14.45" customHeight="1" x14ac:dyDescent="0.3">
      <c r="A21" s="14"/>
      <c r="B21" s="97"/>
      <c r="C21" s="40" t="s">
        <v>283</v>
      </c>
      <c r="D21" s="41">
        <v>1</v>
      </c>
      <c r="E21" s="42">
        <v>0</v>
      </c>
      <c r="F21" s="14"/>
    </row>
    <row r="22" spans="1:6" ht="14.45" customHeight="1" x14ac:dyDescent="0.3">
      <c r="A22" s="14"/>
      <c r="B22" s="97"/>
      <c r="C22" s="40" t="s">
        <v>284</v>
      </c>
      <c r="D22" s="41">
        <v>1</v>
      </c>
      <c r="E22" s="42">
        <v>0</v>
      </c>
      <c r="F22" s="14"/>
    </row>
    <row r="23" spans="1:6" ht="14.45" customHeight="1" x14ac:dyDescent="0.3">
      <c r="A23" s="14"/>
      <c r="B23" s="97"/>
      <c r="C23" s="40" t="s">
        <v>214</v>
      </c>
      <c r="D23" s="41">
        <v>3</v>
      </c>
      <c r="E23" s="42">
        <v>1E-3</v>
      </c>
      <c r="F23" s="14"/>
    </row>
    <row r="24" spans="1:6" ht="14.45" customHeight="1" x14ac:dyDescent="0.3">
      <c r="A24" s="14"/>
      <c r="B24" s="97"/>
      <c r="C24" s="40" t="s">
        <v>216</v>
      </c>
      <c r="D24" s="41">
        <v>2</v>
      </c>
      <c r="E24" s="42">
        <v>1E-3</v>
      </c>
      <c r="F24" s="14"/>
    </row>
    <row r="25" spans="1:6" ht="14.45" customHeight="1" x14ac:dyDescent="0.3">
      <c r="A25" s="14"/>
      <c r="B25" s="97"/>
      <c r="C25" s="40" t="s">
        <v>217</v>
      </c>
      <c r="D25" s="41">
        <v>4</v>
      </c>
      <c r="E25" s="42">
        <v>2E-3</v>
      </c>
      <c r="F25" s="14"/>
    </row>
    <row r="26" spans="1:6" ht="14.45" customHeight="1" x14ac:dyDescent="0.3">
      <c r="A26" s="14"/>
      <c r="B26" s="97"/>
      <c r="C26" s="40" t="s">
        <v>223</v>
      </c>
      <c r="D26" s="41">
        <v>1</v>
      </c>
      <c r="E26" s="42">
        <v>0</v>
      </c>
      <c r="F26" s="14"/>
    </row>
    <row r="27" spans="1:6" ht="14.45" customHeight="1" x14ac:dyDescent="0.3">
      <c r="A27" s="14"/>
      <c r="B27" s="96"/>
      <c r="C27" s="48" t="s">
        <v>318</v>
      </c>
      <c r="D27" s="44">
        <v>14</v>
      </c>
      <c r="E27" s="45">
        <v>6.0000000000000001E-3</v>
      </c>
      <c r="F27" s="14"/>
    </row>
    <row r="28" spans="1:6" ht="14.45" customHeight="1" x14ac:dyDescent="0.3">
      <c r="A28" s="14"/>
      <c r="B28" s="88" t="s">
        <v>67</v>
      </c>
      <c r="C28" s="40" t="s">
        <v>282</v>
      </c>
      <c r="D28" s="41">
        <v>1</v>
      </c>
      <c r="E28" s="42">
        <v>0</v>
      </c>
      <c r="F28" s="14"/>
    </row>
    <row r="29" spans="1:6" ht="14.45" customHeight="1" x14ac:dyDescent="0.3">
      <c r="A29" s="14"/>
      <c r="B29" s="89"/>
      <c r="C29" s="40" t="s">
        <v>214</v>
      </c>
      <c r="D29" s="41">
        <v>4</v>
      </c>
      <c r="E29" s="42">
        <v>2E-3</v>
      </c>
      <c r="F29" s="14"/>
    </row>
    <row r="30" spans="1:6" ht="14.45" customHeight="1" x14ac:dyDescent="0.3">
      <c r="A30" s="14"/>
      <c r="B30" s="89"/>
      <c r="C30" s="40" t="s">
        <v>216</v>
      </c>
      <c r="D30" s="41">
        <v>2</v>
      </c>
      <c r="E30" s="42">
        <v>1E-3</v>
      </c>
      <c r="F30" s="14"/>
    </row>
    <row r="31" spans="1:6" ht="14.45" customHeight="1" x14ac:dyDescent="0.3">
      <c r="A31" s="14"/>
      <c r="B31" s="89"/>
      <c r="C31" s="40" t="s">
        <v>217</v>
      </c>
      <c r="D31" s="41">
        <v>1</v>
      </c>
      <c r="E31" s="42">
        <v>0</v>
      </c>
      <c r="F31" s="14"/>
    </row>
    <row r="32" spans="1:6" ht="14.45" customHeight="1" x14ac:dyDescent="0.3">
      <c r="A32" s="14"/>
      <c r="B32" s="90"/>
      <c r="C32" s="43" t="s">
        <v>318</v>
      </c>
      <c r="D32" s="44">
        <v>8</v>
      </c>
      <c r="E32" s="45">
        <v>3.0000000000000001E-3</v>
      </c>
      <c r="F32" s="14"/>
    </row>
    <row r="33" spans="1:6" ht="14.45" customHeight="1" x14ac:dyDescent="0.3">
      <c r="A33" s="14"/>
      <c r="B33" s="88" t="s">
        <v>78</v>
      </c>
      <c r="C33" s="40" t="s">
        <v>217</v>
      </c>
      <c r="D33" s="41">
        <v>1</v>
      </c>
      <c r="E33" s="42">
        <v>0</v>
      </c>
      <c r="F33" s="14"/>
    </row>
    <row r="34" spans="1:6" ht="14.45" customHeight="1" x14ac:dyDescent="0.3">
      <c r="A34" s="14"/>
      <c r="B34" s="90"/>
      <c r="C34" s="43" t="s">
        <v>318</v>
      </c>
      <c r="D34" s="44">
        <v>1</v>
      </c>
      <c r="E34" s="45">
        <v>0</v>
      </c>
      <c r="F34" s="14"/>
    </row>
    <row r="35" spans="1:6" ht="14.45" customHeight="1" x14ac:dyDescent="0.3">
      <c r="A35" s="14"/>
      <c r="B35" s="88" t="s">
        <v>81</v>
      </c>
      <c r="C35" s="40" t="s">
        <v>281</v>
      </c>
      <c r="D35" s="41">
        <v>1</v>
      </c>
      <c r="E35" s="42">
        <v>0</v>
      </c>
      <c r="F35" s="14"/>
    </row>
    <row r="36" spans="1:6" ht="14.45" customHeight="1" x14ac:dyDescent="0.3">
      <c r="A36" s="14"/>
      <c r="B36" s="89"/>
      <c r="C36" s="40" t="s">
        <v>214</v>
      </c>
      <c r="D36" s="41">
        <v>3</v>
      </c>
      <c r="E36" s="42">
        <v>1E-3</v>
      </c>
      <c r="F36" s="14"/>
    </row>
    <row r="37" spans="1:6" ht="14.45" customHeight="1" x14ac:dyDescent="0.3">
      <c r="A37" s="14"/>
      <c r="B37" s="89"/>
      <c r="C37" s="40" t="s">
        <v>216</v>
      </c>
      <c r="D37" s="41">
        <v>1</v>
      </c>
      <c r="E37" s="42">
        <v>0</v>
      </c>
      <c r="F37" s="14"/>
    </row>
    <row r="38" spans="1:6" ht="14.45" customHeight="1" x14ac:dyDescent="0.3">
      <c r="A38" s="14"/>
      <c r="B38" s="90"/>
      <c r="C38" s="43" t="s">
        <v>318</v>
      </c>
      <c r="D38" s="44">
        <v>5</v>
      </c>
      <c r="E38" s="45">
        <v>2E-3</v>
      </c>
      <c r="F38" s="14"/>
    </row>
    <row r="39" spans="1:6" ht="14.45" customHeight="1" x14ac:dyDescent="0.3">
      <c r="A39" s="14"/>
      <c r="B39" s="88" t="s">
        <v>262</v>
      </c>
      <c r="C39" s="40" t="s">
        <v>284</v>
      </c>
      <c r="D39" s="41">
        <v>1</v>
      </c>
      <c r="E39" s="42">
        <v>0</v>
      </c>
      <c r="F39" s="14"/>
    </row>
    <row r="40" spans="1:6" ht="14.45" customHeight="1" x14ac:dyDescent="0.3">
      <c r="A40" s="14"/>
      <c r="B40" s="89"/>
      <c r="C40" s="40" t="s">
        <v>214</v>
      </c>
      <c r="D40" s="41">
        <v>1</v>
      </c>
      <c r="E40" s="42">
        <v>0</v>
      </c>
      <c r="F40" s="14"/>
    </row>
    <row r="41" spans="1:6" ht="14.45" customHeight="1" x14ac:dyDescent="0.3">
      <c r="A41" s="14"/>
      <c r="B41" s="90"/>
      <c r="C41" s="43" t="s">
        <v>318</v>
      </c>
      <c r="D41" s="44">
        <v>2</v>
      </c>
      <c r="E41" s="45">
        <v>1E-3</v>
      </c>
      <c r="F41" s="14"/>
    </row>
    <row r="42" spans="1:6" ht="14.45" customHeight="1" x14ac:dyDescent="0.3">
      <c r="A42" s="14"/>
      <c r="B42" s="88" t="s">
        <v>54</v>
      </c>
      <c r="C42" s="40" t="s">
        <v>281</v>
      </c>
      <c r="D42" s="41">
        <v>1</v>
      </c>
      <c r="E42" s="42">
        <v>0</v>
      </c>
      <c r="F42" s="14"/>
    </row>
    <row r="43" spans="1:6" ht="14.45" customHeight="1" x14ac:dyDescent="0.3">
      <c r="A43" s="14"/>
      <c r="B43" s="89"/>
      <c r="C43" s="40" t="s">
        <v>210</v>
      </c>
      <c r="D43" s="41">
        <v>1</v>
      </c>
      <c r="E43" s="42">
        <v>0</v>
      </c>
      <c r="F43" s="14"/>
    </row>
    <row r="44" spans="1:6" ht="14.45" customHeight="1" x14ac:dyDescent="0.3">
      <c r="A44" s="14"/>
      <c r="B44" s="89"/>
      <c r="C44" s="40" t="s">
        <v>284</v>
      </c>
      <c r="D44" s="41">
        <v>2</v>
      </c>
      <c r="E44" s="42">
        <v>1E-3</v>
      </c>
      <c r="F44" s="14"/>
    </row>
    <row r="45" spans="1:6" ht="14.45" customHeight="1" x14ac:dyDescent="0.3">
      <c r="A45" s="14"/>
      <c r="B45" s="89"/>
      <c r="C45" s="40" t="s">
        <v>214</v>
      </c>
      <c r="D45" s="41">
        <v>16</v>
      </c>
      <c r="E45" s="42">
        <v>7.0000000000000001E-3</v>
      </c>
      <c r="F45" s="14"/>
    </row>
    <row r="46" spans="1:6" ht="14.45" customHeight="1" x14ac:dyDescent="0.3">
      <c r="A46" s="14"/>
      <c r="B46" s="89"/>
      <c r="C46" s="40" t="s">
        <v>216</v>
      </c>
      <c r="D46" s="41">
        <v>1</v>
      </c>
      <c r="E46" s="42">
        <v>0</v>
      </c>
      <c r="F46" s="14"/>
    </row>
    <row r="47" spans="1:6" ht="14.45" customHeight="1" x14ac:dyDescent="0.3">
      <c r="A47" s="14"/>
      <c r="B47" s="89"/>
      <c r="C47" s="40" t="s">
        <v>217</v>
      </c>
      <c r="D47" s="41">
        <v>6</v>
      </c>
      <c r="E47" s="42">
        <v>2E-3</v>
      </c>
      <c r="F47" s="14"/>
    </row>
    <row r="48" spans="1:6" ht="14.45" customHeight="1" x14ac:dyDescent="0.3">
      <c r="A48" s="14"/>
      <c r="B48" s="89"/>
      <c r="C48" s="40" t="s">
        <v>222</v>
      </c>
      <c r="D48" s="41">
        <v>1</v>
      </c>
      <c r="E48" s="42">
        <v>0</v>
      </c>
      <c r="F48" s="14"/>
    </row>
    <row r="49" spans="1:6" ht="14.45" customHeight="1" x14ac:dyDescent="0.3">
      <c r="A49" s="14"/>
      <c r="B49" s="89"/>
      <c r="C49" s="40" t="s">
        <v>223</v>
      </c>
      <c r="D49" s="41">
        <v>4</v>
      </c>
      <c r="E49" s="42">
        <v>2E-3</v>
      </c>
      <c r="F49" s="14"/>
    </row>
    <row r="50" spans="1:6" ht="14.45" customHeight="1" x14ac:dyDescent="0.3">
      <c r="A50" s="14"/>
      <c r="B50" s="90"/>
      <c r="C50" s="43" t="s">
        <v>318</v>
      </c>
      <c r="D50" s="44">
        <v>32</v>
      </c>
      <c r="E50" s="45">
        <v>1.2999999999999999E-2</v>
      </c>
      <c r="F50" s="14"/>
    </row>
    <row r="51" spans="1:6" ht="14.45" customHeight="1" x14ac:dyDescent="0.3">
      <c r="A51" s="14"/>
      <c r="B51" s="88" t="s">
        <v>43</v>
      </c>
      <c r="C51" s="40" t="s">
        <v>276</v>
      </c>
      <c r="D51" s="41">
        <v>1</v>
      </c>
      <c r="E51" s="42">
        <v>0</v>
      </c>
      <c r="F51" s="14"/>
    </row>
    <row r="52" spans="1:6" ht="14.45" customHeight="1" x14ac:dyDescent="0.3">
      <c r="A52" s="14"/>
      <c r="B52" s="89"/>
      <c r="C52" s="40" t="s">
        <v>277</v>
      </c>
      <c r="D52" s="41">
        <v>1</v>
      </c>
      <c r="E52" s="42">
        <v>0</v>
      </c>
      <c r="F52" s="14"/>
    </row>
    <row r="53" spans="1:6" ht="14.45" customHeight="1" x14ac:dyDescent="0.3">
      <c r="A53" s="14"/>
      <c r="B53" s="89"/>
      <c r="C53" s="40" t="s">
        <v>278</v>
      </c>
      <c r="D53" s="41">
        <v>3</v>
      </c>
      <c r="E53" s="42">
        <v>1E-3</v>
      </c>
      <c r="F53" s="14"/>
    </row>
    <row r="54" spans="1:6" ht="14.45" customHeight="1" x14ac:dyDescent="0.3">
      <c r="A54" s="14"/>
      <c r="B54" s="89"/>
      <c r="C54" s="40" t="s">
        <v>280</v>
      </c>
      <c r="D54" s="41">
        <v>2</v>
      </c>
      <c r="E54" s="42">
        <v>1E-3</v>
      </c>
      <c r="F54" s="14"/>
    </row>
    <row r="55" spans="1:6" ht="14.45" customHeight="1" x14ac:dyDescent="0.3">
      <c r="A55" s="14"/>
      <c r="B55" s="89"/>
      <c r="C55" s="40" t="s">
        <v>281</v>
      </c>
      <c r="D55" s="41">
        <v>4</v>
      </c>
      <c r="E55" s="42">
        <v>2E-3</v>
      </c>
      <c r="F55" s="14"/>
    </row>
    <row r="56" spans="1:6" ht="14.45" customHeight="1" x14ac:dyDescent="0.3">
      <c r="A56" s="14"/>
      <c r="B56" s="89"/>
      <c r="C56" s="40" t="s">
        <v>210</v>
      </c>
      <c r="D56" s="41">
        <v>2</v>
      </c>
      <c r="E56" s="42">
        <v>1E-3</v>
      </c>
      <c r="F56" s="14"/>
    </row>
    <row r="57" spans="1:6" ht="14.45" customHeight="1" x14ac:dyDescent="0.3">
      <c r="A57" s="14"/>
      <c r="B57" s="89"/>
      <c r="C57" s="40" t="s">
        <v>284</v>
      </c>
      <c r="D57" s="41">
        <v>2</v>
      </c>
      <c r="E57" s="42">
        <v>1E-3</v>
      </c>
      <c r="F57" s="14"/>
    </row>
    <row r="58" spans="1:6" ht="14.45" customHeight="1" x14ac:dyDescent="0.3">
      <c r="A58" s="14"/>
      <c r="B58" s="89"/>
      <c r="C58" s="40" t="s">
        <v>214</v>
      </c>
      <c r="D58" s="41">
        <v>35</v>
      </c>
      <c r="E58" s="42">
        <v>1.4999999999999999E-2</v>
      </c>
      <c r="F58" s="14"/>
    </row>
    <row r="59" spans="1:6" ht="14.45" customHeight="1" x14ac:dyDescent="0.3">
      <c r="A59" s="14"/>
      <c r="B59" s="89"/>
      <c r="C59" s="40" t="s">
        <v>215</v>
      </c>
      <c r="D59" s="41">
        <v>6</v>
      </c>
      <c r="E59" s="42">
        <v>2E-3</v>
      </c>
      <c r="F59" s="14"/>
    </row>
    <row r="60" spans="1:6" ht="14.45" customHeight="1" x14ac:dyDescent="0.3">
      <c r="A60" s="14"/>
      <c r="B60" s="89"/>
      <c r="C60" s="40" t="s">
        <v>216</v>
      </c>
      <c r="D60" s="41">
        <v>3</v>
      </c>
      <c r="E60" s="42">
        <v>1E-3</v>
      </c>
      <c r="F60" s="14"/>
    </row>
    <row r="61" spans="1:6" ht="14.45" customHeight="1" x14ac:dyDescent="0.3">
      <c r="A61" s="14"/>
      <c r="B61" s="89"/>
      <c r="C61" s="40" t="s">
        <v>217</v>
      </c>
      <c r="D61" s="41">
        <v>23</v>
      </c>
      <c r="E61" s="42">
        <v>0.01</v>
      </c>
      <c r="F61" s="14"/>
    </row>
    <row r="62" spans="1:6" ht="14.45" customHeight="1" x14ac:dyDescent="0.3">
      <c r="A62" s="14"/>
      <c r="B62" s="89"/>
      <c r="C62" s="40" t="s">
        <v>286</v>
      </c>
      <c r="D62" s="41">
        <v>1</v>
      </c>
      <c r="E62" s="42">
        <v>0</v>
      </c>
      <c r="F62" s="14"/>
    </row>
    <row r="63" spans="1:6" ht="14.45" customHeight="1" x14ac:dyDescent="0.3">
      <c r="A63" s="14"/>
      <c r="B63" s="89"/>
      <c r="C63" s="40" t="s">
        <v>222</v>
      </c>
      <c r="D63" s="41">
        <v>1</v>
      </c>
      <c r="E63" s="42">
        <v>0</v>
      </c>
      <c r="F63" s="14"/>
    </row>
    <row r="64" spans="1:6" ht="14.45" customHeight="1" x14ac:dyDescent="0.3">
      <c r="A64" s="14"/>
      <c r="B64" s="89"/>
      <c r="C64" s="40" t="s">
        <v>223</v>
      </c>
      <c r="D64" s="41">
        <v>6</v>
      </c>
      <c r="E64" s="42">
        <v>2E-3</v>
      </c>
      <c r="F64" s="14"/>
    </row>
    <row r="65" spans="1:6" ht="14.45" customHeight="1" x14ac:dyDescent="0.3">
      <c r="A65" s="14"/>
      <c r="B65" s="90"/>
      <c r="C65" s="43" t="s">
        <v>318</v>
      </c>
      <c r="D65" s="44">
        <v>90</v>
      </c>
      <c r="E65" s="45">
        <v>3.6999999999999998E-2</v>
      </c>
      <c r="F65" s="14"/>
    </row>
    <row r="66" spans="1:6" ht="14.45" customHeight="1" x14ac:dyDescent="0.3">
      <c r="A66" s="14"/>
      <c r="B66" s="88" t="s">
        <v>46</v>
      </c>
      <c r="C66" s="40" t="s">
        <v>277</v>
      </c>
      <c r="D66" s="41">
        <v>3</v>
      </c>
      <c r="E66" s="42">
        <v>1E-3</v>
      </c>
      <c r="F66" s="14"/>
    </row>
    <row r="67" spans="1:6" ht="14.45" customHeight="1" x14ac:dyDescent="0.3">
      <c r="A67" s="14"/>
      <c r="B67" s="89"/>
      <c r="C67" s="40" t="s">
        <v>278</v>
      </c>
      <c r="D67" s="41">
        <v>1</v>
      </c>
      <c r="E67" s="42">
        <v>0</v>
      </c>
      <c r="F67" s="14"/>
    </row>
    <row r="68" spans="1:6" ht="14.45" customHeight="1" x14ac:dyDescent="0.3">
      <c r="A68" s="14"/>
      <c r="B68" s="89"/>
      <c r="C68" s="40" t="s">
        <v>280</v>
      </c>
      <c r="D68" s="41">
        <v>2</v>
      </c>
      <c r="E68" s="42">
        <v>1E-3</v>
      </c>
      <c r="F68" s="14"/>
    </row>
    <row r="69" spans="1:6" ht="14.45" customHeight="1" x14ac:dyDescent="0.3">
      <c r="A69" s="14"/>
      <c r="B69" s="89"/>
      <c r="C69" s="40" t="s">
        <v>281</v>
      </c>
      <c r="D69" s="41">
        <v>5</v>
      </c>
      <c r="E69" s="42">
        <v>2E-3</v>
      </c>
      <c r="F69" s="14"/>
    </row>
    <row r="70" spans="1:6" ht="14.45" customHeight="1" x14ac:dyDescent="0.3">
      <c r="A70" s="14"/>
      <c r="B70" s="89"/>
      <c r="C70" s="40" t="s">
        <v>210</v>
      </c>
      <c r="D70" s="41">
        <v>10</v>
      </c>
      <c r="E70" s="42">
        <v>4.0000000000000001E-3</v>
      </c>
      <c r="F70" s="14"/>
    </row>
    <row r="71" spans="1:6" ht="14.45" customHeight="1" x14ac:dyDescent="0.3">
      <c r="A71" s="14"/>
      <c r="B71" s="89"/>
      <c r="C71" s="40" t="s">
        <v>282</v>
      </c>
      <c r="D71" s="41">
        <v>1</v>
      </c>
      <c r="E71" s="42">
        <v>0</v>
      </c>
      <c r="F71" s="14"/>
    </row>
    <row r="72" spans="1:6" ht="14.45" customHeight="1" x14ac:dyDescent="0.3">
      <c r="A72" s="14"/>
      <c r="B72" s="89"/>
      <c r="C72" s="40" t="s">
        <v>283</v>
      </c>
      <c r="D72" s="41">
        <v>4</v>
      </c>
      <c r="E72" s="42">
        <v>2E-3</v>
      </c>
      <c r="F72" s="14"/>
    </row>
    <row r="73" spans="1:6" ht="14.45" customHeight="1" x14ac:dyDescent="0.3">
      <c r="A73" s="14"/>
      <c r="B73" s="89"/>
      <c r="C73" s="40" t="s">
        <v>284</v>
      </c>
      <c r="D73" s="41">
        <v>7</v>
      </c>
      <c r="E73" s="42">
        <v>3.0000000000000001E-3</v>
      </c>
      <c r="F73" s="14"/>
    </row>
    <row r="74" spans="1:6" ht="14.45" customHeight="1" x14ac:dyDescent="0.3">
      <c r="A74" s="14"/>
      <c r="B74" s="89"/>
      <c r="C74" s="40" t="s">
        <v>214</v>
      </c>
      <c r="D74" s="41">
        <v>25</v>
      </c>
      <c r="E74" s="42">
        <v>0.01</v>
      </c>
      <c r="F74" s="14"/>
    </row>
    <row r="75" spans="1:6" ht="14.45" customHeight="1" x14ac:dyDescent="0.3">
      <c r="A75" s="14"/>
      <c r="B75" s="89"/>
      <c r="C75" s="40" t="s">
        <v>215</v>
      </c>
      <c r="D75" s="41">
        <v>1</v>
      </c>
      <c r="E75" s="42">
        <v>0</v>
      </c>
      <c r="F75" s="14"/>
    </row>
    <row r="76" spans="1:6" ht="14.45" customHeight="1" x14ac:dyDescent="0.3">
      <c r="A76" s="14"/>
      <c r="B76" s="89"/>
      <c r="C76" s="40" t="s">
        <v>216</v>
      </c>
      <c r="D76" s="41">
        <v>1</v>
      </c>
      <c r="E76" s="42">
        <v>0</v>
      </c>
      <c r="F76" s="14"/>
    </row>
    <row r="77" spans="1:6" ht="14.45" customHeight="1" x14ac:dyDescent="0.3">
      <c r="A77" s="14"/>
      <c r="B77" s="89"/>
      <c r="C77" s="40" t="s">
        <v>217</v>
      </c>
      <c r="D77" s="41">
        <v>14</v>
      </c>
      <c r="E77" s="42">
        <v>6.0000000000000001E-3</v>
      </c>
      <c r="F77" s="14"/>
    </row>
    <row r="78" spans="1:6" ht="14.45" customHeight="1" x14ac:dyDescent="0.3">
      <c r="A78" s="14"/>
      <c r="B78" s="89"/>
      <c r="C78" s="40" t="s">
        <v>223</v>
      </c>
      <c r="D78" s="41">
        <v>3</v>
      </c>
      <c r="E78" s="42">
        <v>1E-3</v>
      </c>
      <c r="F78" s="14"/>
    </row>
    <row r="79" spans="1:6" ht="14.45" customHeight="1" x14ac:dyDescent="0.3">
      <c r="A79" s="14"/>
      <c r="B79" s="90"/>
      <c r="C79" s="43" t="s">
        <v>318</v>
      </c>
      <c r="D79" s="44">
        <v>77</v>
      </c>
      <c r="E79" s="45">
        <v>3.2000000000000001E-2</v>
      </c>
      <c r="F79" s="14"/>
    </row>
    <row r="80" spans="1:6" ht="14.45" customHeight="1" x14ac:dyDescent="0.3">
      <c r="A80" s="14"/>
      <c r="B80" s="88" t="s">
        <v>72</v>
      </c>
      <c r="C80" s="40" t="s">
        <v>210</v>
      </c>
      <c r="D80" s="41">
        <v>1</v>
      </c>
      <c r="E80" s="42">
        <v>0</v>
      </c>
      <c r="F80" s="14"/>
    </row>
    <row r="81" spans="1:6" ht="14.45" customHeight="1" x14ac:dyDescent="0.3">
      <c r="A81" s="14"/>
      <c r="B81" s="89"/>
      <c r="C81" s="40" t="s">
        <v>214</v>
      </c>
      <c r="D81" s="41">
        <v>1</v>
      </c>
      <c r="E81" s="42">
        <v>0</v>
      </c>
      <c r="F81" s="14"/>
    </row>
    <row r="82" spans="1:6" ht="14.45" customHeight="1" x14ac:dyDescent="0.3">
      <c r="A82" s="14"/>
      <c r="B82" s="89"/>
      <c r="C82" s="40" t="s">
        <v>217</v>
      </c>
      <c r="D82" s="41">
        <v>1</v>
      </c>
      <c r="E82" s="42">
        <v>0</v>
      </c>
      <c r="F82" s="14"/>
    </row>
    <row r="83" spans="1:6" ht="14.45" customHeight="1" x14ac:dyDescent="0.3">
      <c r="A83" s="14"/>
      <c r="B83" s="90"/>
      <c r="C83" s="43" t="s">
        <v>318</v>
      </c>
      <c r="D83" s="44">
        <v>3</v>
      </c>
      <c r="E83" s="45">
        <v>1E-3</v>
      </c>
      <c r="F83" s="14"/>
    </row>
    <row r="84" spans="1:6" ht="14.45" customHeight="1" x14ac:dyDescent="0.3">
      <c r="A84" s="14"/>
      <c r="B84" s="88" t="s">
        <v>261</v>
      </c>
      <c r="C84" s="40" t="s">
        <v>214</v>
      </c>
      <c r="D84" s="41">
        <v>2</v>
      </c>
      <c r="E84" s="42">
        <v>1E-3</v>
      </c>
      <c r="F84" s="14"/>
    </row>
    <row r="85" spans="1:6" ht="14.45" customHeight="1" x14ac:dyDescent="0.3">
      <c r="A85" s="14"/>
      <c r="B85" s="89"/>
      <c r="C85" s="40" t="s">
        <v>217</v>
      </c>
      <c r="D85" s="41">
        <v>2</v>
      </c>
      <c r="E85" s="42">
        <v>1E-3</v>
      </c>
      <c r="F85" s="14"/>
    </row>
    <row r="86" spans="1:6" ht="14.45" customHeight="1" x14ac:dyDescent="0.3">
      <c r="A86" s="14"/>
      <c r="B86" s="89"/>
      <c r="C86" s="40" t="s">
        <v>223</v>
      </c>
      <c r="D86" s="41">
        <v>1</v>
      </c>
      <c r="E86" s="42">
        <v>0</v>
      </c>
      <c r="F86" s="14"/>
    </row>
    <row r="87" spans="1:6" ht="14.45" customHeight="1" x14ac:dyDescent="0.3">
      <c r="A87" s="14"/>
      <c r="B87" s="90"/>
      <c r="C87" s="43" t="s">
        <v>318</v>
      </c>
      <c r="D87" s="44">
        <v>5</v>
      </c>
      <c r="E87" s="45">
        <v>2E-3</v>
      </c>
      <c r="F87" s="14"/>
    </row>
    <row r="88" spans="1:6" ht="14.45" customHeight="1" x14ac:dyDescent="0.3">
      <c r="A88" s="14"/>
      <c r="B88" s="88" t="s">
        <v>75</v>
      </c>
      <c r="C88" s="40" t="s">
        <v>281</v>
      </c>
      <c r="D88" s="41">
        <v>1</v>
      </c>
      <c r="E88" s="42">
        <v>0</v>
      </c>
      <c r="F88" s="14"/>
    </row>
    <row r="89" spans="1:6" ht="14.45" customHeight="1" x14ac:dyDescent="0.3">
      <c r="A89" s="14"/>
      <c r="B89" s="89"/>
      <c r="C89" s="40" t="s">
        <v>210</v>
      </c>
      <c r="D89" s="41">
        <v>1</v>
      </c>
      <c r="E89" s="42">
        <v>0</v>
      </c>
      <c r="F89" s="14"/>
    </row>
    <row r="90" spans="1:6" ht="14.45" customHeight="1" x14ac:dyDescent="0.3">
      <c r="A90" s="14"/>
      <c r="B90" s="89"/>
      <c r="C90" s="40" t="s">
        <v>215</v>
      </c>
      <c r="D90" s="41">
        <v>1</v>
      </c>
      <c r="E90" s="42">
        <v>0</v>
      </c>
      <c r="F90" s="14"/>
    </row>
    <row r="91" spans="1:6" ht="14.45" customHeight="1" x14ac:dyDescent="0.3">
      <c r="A91" s="14"/>
      <c r="B91" s="89"/>
      <c r="C91" s="40" t="s">
        <v>217</v>
      </c>
      <c r="D91" s="41">
        <v>2</v>
      </c>
      <c r="E91" s="42">
        <v>1E-3</v>
      </c>
      <c r="F91" s="14"/>
    </row>
    <row r="92" spans="1:6" ht="14.45" customHeight="1" x14ac:dyDescent="0.3">
      <c r="A92" s="14"/>
      <c r="B92" s="90"/>
      <c r="C92" s="43" t="s">
        <v>318</v>
      </c>
      <c r="D92" s="44">
        <v>5</v>
      </c>
      <c r="E92" s="45">
        <v>2E-3</v>
      </c>
      <c r="F92" s="14"/>
    </row>
    <row r="93" spans="1:6" ht="14.45" customHeight="1" x14ac:dyDescent="0.3">
      <c r="A93" s="14"/>
      <c r="B93" s="88" t="s">
        <v>62</v>
      </c>
      <c r="C93" s="40" t="s">
        <v>278</v>
      </c>
      <c r="D93" s="41">
        <v>1</v>
      </c>
      <c r="E93" s="42">
        <v>0</v>
      </c>
      <c r="F93" s="14"/>
    </row>
    <row r="94" spans="1:6" ht="14.45" customHeight="1" x14ac:dyDescent="0.3">
      <c r="A94" s="14"/>
      <c r="B94" s="89"/>
      <c r="C94" s="40" t="s">
        <v>279</v>
      </c>
      <c r="D94" s="41">
        <v>2</v>
      </c>
      <c r="E94" s="42">
        <v>1E-3</v>
      </c>
      <c r="F94" s="14"/>
    </row>
    <row r="95" spans="1:6" ht="14.45" customHeight="1" x14ac:dyDescent="0.3">
      <c r="A95" s="14"/>
      <c r="B95" s="89"/>
      <c r="C95" s="40" t="s">
        <v>281</v>
      </c>
      <c r="D95" s="41">
        <v>4</v>
      </c>
      <c r="E95" s="42">
        <v>2E-3</v>
      </c>
      <c r="F95" s="14"/>
    </row>
    <row r="96" spans="1:6" ht="14.45" customHeight="1" x14ac:dyDescent="0.3">
      <c r="A96" s="14"/>
      <c r="B96" s="89"/>
      <c r="C96" s="40" t="s">
        <v>210</v>
      </c>
      <c r="D96" s="41">
        <v>2</v>
      </c>
      <c r="E96" s="42">
        <v>1E-3</v>
      </c>
      <c r="F96" s="14"/>
    </row>
    <row r="97" spans="1:6" ht="14.45" customHeight="1" x14ac:dyDescent="0.3">
      <c r="A97" s="14"/>
      <c r="B97" s="89"/>
      <c r="C97" s="40" t="s">
        <v>283</v>
      </c>
      <c r="D97" s="41">
        <v>1</v>
      </c>
      <c r="E97" s="42">
        <v>0</v>
      </c>
      <c r="F97" s="14"/>
    </row>
    <row r="98" spans="1:6" ht="14.45" customHeight="1" x14ac:dyDescent="0.3">
      <c r="A98" s="14"/>
      <c r="B98" s="89"/>
      <c r="C98" s="40" t="s">
        <v>214</v>
      </c>
      <c r="D98" s="41">
        <v>6</v>
      </c>
      <c r="E98" s="42">
        <v>2E-3</v>
      </c>
      <c r="F98" s="14"/>
    </row>
    <row r="99" spans="1:6" ht="14.45" customHeight="1" x14ac:dyDescent="0.3">
      <c r="A99" s="14"/>
      <c r="B99" s="89"/>
      <c r="C99" s="40" t="s">
        <v>216</v>
      </c>
      <c r="D99" s="41">
        <v>1</v>
      </c>
      <c r="E99" s="42">
        <v>0</v>
      </c>
      <c r="F99" s="14"/>
    </row>
    <row r="100" spans="1:6" ht="14.45" customHeight="1" x14ac:dyDescent="0.3">
      <c r="A100" s="14"/>
      <c r="B100" s="89"/>
      <c r="C100" s="40" t="s">
        <v>217</v>
      </c>
      <c r="D100" s="41">
        <v>6</v>
      </c>
      <c r="E100" s="42">
        <v>2E-3</v>
      </c>
      <c r="F100" s="14"/>
    </row>
    <row r="101" spans="1:6" ht="14.45" customHeight="1" x14ac:dyDescent="0.3">
      <c r="A101" s="14"/>
      <c r="B101" s="89"/>
      <c r="C101" s="40" t="s">
        <v>222</v>
      </c>
      <c r="D101" s="41">
        <v>1</v>
      </c>
      <c r="E101" s="42">
        <v>0</v>
      </c>
      <c r="F101" s="14"/>
    </row>
    <row r="102" spans="1:6" ht="14.45" customHeight="1" x14ac:dyDescent="0.3">
      <c r="A102" s="14"/>
      <c r="B102" s="89"/>
      <c r="C102" s="40" t="s">
        <v>223</v>
      </c>
      <c r="D102" s="41">
        <v>2</v>
      </c>
      <c r="E102" s="42">
        <v>1E-3</v>
      </c>
      <c r="F102" s="14"/>
    </row>
    <row r="103" spans="1:6" ht="14.45" customHeight="1" x14ac:dyDescent="0.3">
      <c r="A103" s="14"/>
      <c r="B103" s="90"/>
      <c r="C103" s="43" t="s">
        <v>318</v>
      </c>
      <c r="D103" s="44">
        <v>26</v>
      </c>
      <c r="E103" s="45">
        <v>1.0999999999999999E-2</v>
      </c>
      <c r="F103" s="14"/>
    </row>
    <row r="104" spans="1:6" ht="14.45" customHeight="1" x14ac:dyDescent="0.3">
      <c r="A104" s="14"/>
      <c r="B104" s="88" t="s">
        <v>52</v>
      </c>
      <c r="C104" s="40" t="s">
        <v>278</v>
      </c>
      <c r="D104" s="41">
        <v>1</v>
      </c>
      <c r="E104" s="42">
        <v>0</v>
      </c>
      <c r="F104" s="14"/>
    </row>
    <row r="105" spans="1:6" ht="14.45" customHeight="1" x14ac:dyDescent="0.3">
      <c r="A105" s="14"/>
      <c r="B105" s="89"/>
      <c r="C105" s="40" t="s">
        <v>210</v>
      </c>
      <c r="D105" s="41">
        <v>7</v>
      </c>
      <c r="E105" s="42">
        <v>3.0000000000000001E-3</v>
      </c>
      <c r="F105" s="14"/>
    </row>
    <row r="106" spans="1:6" ht="14.45" customHeight="1" x14ac:dyDescent="0.3">
      <c r="A106" s="14"/>
      <c r="B106" s="89"/>
      <c r="C106" s="40" t="s">
        <v>282</v>
      </c>
      <c r="D106" s="41">
        <v>1</v>
      </c>
      <c r="E106" s="42">
        <v>0</v>
      </c>
      <c r="F106" s="14"/>
    </row>
    <row r="107" spans="1:6" ht="14.45" customHeight="1" x14ac:dyDescent="0.3">
      <c r="A107" s="14"/>
      <c r="B107" s="89"/>
      <c r="C107" s="40" t="s">
        <v>283</v>
      </c>
      <c r="D107" s="41">
        <v>1</v>
      </c>
      <c r="E107" s="42">
        <v>0</v>
      </c>
      <c r="F107" s="14"/>
    </row>
    <row r="108" spans="1:6" ht="14.45" customHeight="1" x14ac:dyDescent="0.3">
      <c r="A108" s="14"/>
      <c r="B108" s="89"/>
      <c r="C108" s="40" t="s">
        <v>284</v>
      </c>
      <c r="D108" s="41">
        <v>1</v>
      </c>
      <c r="E108" s="42">
        <v>0</v>
      </c>
      <c r="F108" s="14"/>
    </row>
    <row r="109" spans="1:6" ht="14.45" customHeight="1" x14ac:dyDescent="0.3">
      <c r="A109" s="14"/>
      <c r="B109" s="89"/>
      <c r="C109" s="40" t="s">
        <v>214</v>
      </c>
      <c r="D109" s="41">
        <v>4</v>
      </c>
      <c r="E109" s="42">
        <v>2E-3</v>
      </c>
      <c r="F109" s="14"/>
    </row>
    <row r="110" spans="1:6" ht="14.45" customHeight="1" x14ac:dyDescent="0.3">
      <c r="A110" s="14"/>
      <c r="B110" s="89"/>
      <c r="C110" s="40" t="s">
        <v>215</v>
      </c>
      <c r="D110" s="41">
        <v>2</v>
      </c>
      <c r="E110" s="42">
        <v>1E-3</v>
      </c>
      <c r="F110" s="14"/>
    </row>
    <row r="111" spans="1:6" ht="14.45" customHeight="1" x14ac:dyDescent="0.3">
      <c r="A111" s="14"/>
      <c r="B111" s="89"/>
      <c r="C111" s="40" t="s">
        <v>216</v>
      </c>
      <c r="D111" s="41">
        <v>5</v>
      </c>
      <c r="E111" s="42">
        <v>2E-3</v>
      </c>
      <c r="F111" s="14"/>
    </row>
    <row r="112" spans="1:6" ht="14.45" customHeight="1" x14ac:dyDescent="0.3">
      <c r="A112" s="14"/>
      <c r="B112" s="89"/>
      <c r="C112" s="40" t="s">
        <v>217</v>
      </c>
      <c r="D112" s="41">
        <v>11</v>
      </c>
      <c r="E112" s="42">
        <v>5.0000000000000001E-3</v>
      </c>
      <c r="F112" s="14"/>
    </row>
    <row r="113" spans="1:6" ht="14.45" customHeight="1" x14ac:dyDescent="0.3">
      <c r="A113" s="14"/>
      <c r="B113" s="89"/>
      <c r="C113" s="40" t="s">
        <v>222</v>
      </c>
      <c r="D113" s="41">
        <v>1</v>
      </c>
      <c r="E113" s="42">
        <v>0</v>
      </c>
      <c r="F113" s="14"/>
    </row>
    <row r="114" spans="1:6" ht="14.45" customHeight="1" x14ac:dyDescent="0.3">
      <c r="A114" s="14"/>
      <c r="B114" s="89"/>
      <c r="C114" s="40" t="s">
        <v>223</v>
      </c>
      <c r="D114" s="41">
        <v>3</v>
      </c>
      <c r="E114" s="42">
        <v>1E-3</v>
      </c>
      <c r="F114" s="14"/>
    </row>
    <row r="115" spans="1:6" ht="14.45" customHeight="1" x14ac:dyDescent="0.3">
      <c r="A115" s="14"/>
      <c r="B115" s="89"/>
      <c r="C115" s="40" t="s">
        <v>289</v>
      </c>
      <c r="D115" s="41">
        <v>1</v>
      </c>
      <c r="E115" s="42">
        <v>0</v>
      </c>
      <c r="F115" s="14"/>
    </row>
    <row r="116" spans="1:6" ht="14.45" customHeight="1" x14ac:dyDescent="0.3">
      <c r="A116" s="14"/>
      <c r="B116" s="90"/>
      <c r="C116" s="43" t="s">
        <v>318</v>
      </c>
      <c r="D116" s="44">
        <v>38</v>
      </c>
      <c r="E116" s="45">
        <v>1.6E-2</v>
      </c>
      <c r="F116" s="14"/>
    </row>
    <row r="117" spans="1:6" ht="14.45" customHeight="1" x14ac:dyDescent="0.3">
      <c r="A117" s="14"/>
      <c r="B117" s="88" t="s">
        <v>77</v>
      </c>
      <c r="C117" s="40" t="s">
        <v>210</v>
      </c>
      <c r="D117" s="41">
        <v>2</v>
      </c>
      <c r="E117" s="42">
        <v>1E-3</v>
      </c>
      <c r="F117" s="14"/>
    </row>
    <row r="118" spans="1:6" ht="14.45" customHeight="1" x14ac:dyDescent="0.3">
      <c r="A118" s="14"/>
      <c r="B118" s="89"/>
      <c r="C118" s="40" t="s">
        <v>214</v>
      </c>
      <c r="D118" s="41">
        <v>3</v>
      </c>
      <c r="E118" s="42">
        <v>1E-3</v>
      </c>
      <c r="F118" s="14"/>
    </row>
    <row r="119" spans="1:6" ht="14.45" customHeight="1" x14ac:dyDescent="0.3">
      <c r="A119" s="14"/>
      <c r="B119" s="89"/>
      <c r="C119" s="40" t="s">
        <v>216</v>
      </c>
      <c r="D119" s="41">
        <v>1</v>
      </c>
      <c r="E119" s="42">
        <v>0</v>
      </c>
      <c r="F119" s="14"/>
    </row>
    <row r="120" spans="1:6" ht="14.45" customHeight="1" x14ac:dyDescent="0.3">
      <c r="A120" s="14"/>
      <c r="B120" s="89"/>
      <c r="C120" s="40" t="s">
        <v>217</v>
      </c>
      <c r="D120" s="41">
        <v>1</v>
      </c>
      <c r="E120" s="42">
        <v>0</v>
      </c>
      <c r="F120" s="14"/>
    </row>
    <row r="121" spans="1:6" ht="14.45" customHeight="1" x14ac:dyDescent="0.3">
      <c r="A121" s="14"/>
      <c r="B121" s="89"/>
      <c r="C121" s="40" t="s">
        <v>285</v>
      </c>
      <c r="D121" s="41">
        <v>1</v>
      </c>
      <c r="E121" s="42">
        <v>0</v>
      </c>
      <c r="F121" s="14"/>
    </row>
    <row r="122" spans="1:6" ht="14.45" customHeight="1" x14ac:dyDescent="0.3">
      <c r="A122" s="14"/>
      <c r="B122" s="89"/>
      <c r="C122" s="40" t="s">
        <v>223</v>
      </c>
      <c r="D122" s="41">
        <v>2</v>
      </c>
      <c r="E122" s="42">
        <v>1E-3</v>
      </c>
      <c r="F122" s="14"/>
    </row>
    <row r="123" spans="1:6" ht="14.45" customHeight="1" x14ac:dyDescent="0.3">
      <c r="A123" s="14"/>
      <c r="B123" s="90"/>
      <c r="C123" s="47" t="s">
        <v>318</v>
      </c>
      <c r="D123" s="44">
        <v>10</v>
      </c>
      <c r="E123" s="46">
        <v>4.0000000000000001E-3</v>
      </c>
      <c r="F123" s="14"/>
    </row>
    <row r="124" spans="1:6" ht="14.45" customHeight="1" x14ac:dyDescent="0.3">
      <c r="A124" s="14"/>
      <c r="B124" s="88" t="s">
        <v>55</v>
      </c>
      <c r="C124" s="40" t="s">
        <v>278</v>
      </c>
      <c r="D124" s="41">
        <v>1</v>
      </c>
      <c r="E124" s="42">
        <v>0</v>
      </c>
      <c r="F124" s="14"/>
    </row>
    <row r="125" spans="1:6" ht="14.45" customHeight="1" x14ac:dyDescent="0.3">
      <c r="A125" s="14"/>
      <c r="B125" s="89"/>
      <c r="C125" s="40" t="s">
        <v>281</v>
      </c>
      <c r="D125" s="41">
        <v>2</v>
      </c>
      <c r="E125" s="42">
        <v>1E-3</v>
      </c>
      <c r="F125" s="14"/>
    </row>
    <row r="126" spans="1:6" ht="14.45" customHeight="1" x14ac:dyDescent="0.3">
      <c r="A126" s="14"/>
      <c r="B126" s="89"/>
      <c r="C126" s="40" t="s">
        <v>210</v>
      </c>
      <c r="D126" s="41">
        <v>4</v>
      </c>
      <c r="E126" s="42">
        <v>2E-3</v>
      </c>
      <c r="F126" s="14"/>
    </row>
    <row r="127" spans="1:6" ht="14.45" customHeight="1" x14ac:dyDescent="0.3">
      <c r="A127" s="14"/>
      <c r="B127" s="89"/>
      <c r="C127" s="40" t="s">
        <v>283</v>
      </c>
      <c r="D127" s="41">
        <v>1</v>
      </c>
      <c r="E127" s="42">
        <v>0</v>
      </c>
      <c r="F127" s="14"/>
    </row>
    <row r="128" spans="1:6" ht="14.45" customHeight="1" x14ac:dyDescent="0.3">
      <c r="A128" s="14"/>
      <c r="B128" s="89"/>
      <c r="C128" s="40" t="s">
        <v>214</v>
      </c>
      <c r="D128" s="41">
        <v>6</v>
      </c>
      <c r="E128" s="42">
        <v>2E-3</v>
      </c>
      <c r="F128" s="14"/>
    </row>
    <row r="129" spans="1:6" ht="14.45" customHeight="1" x14ac:dyDescent="0.3">
      <c r="A129" s="14"/>
      <c r="B129" s="89"/>
      <c r="C129" s="40" t="s">
        <v>216</v>
      </c>
      <c r="D129" s="41">
        <v>3</v>
      </c>
      <c r="E129" s="42">
        <v>1E-3</v>
      </c>
      <c r="F129" s="14"/>
    </row>
    <row r="130" spans="1:6" ht="14.45" customHeight="1" x14ac:dyDescent="0.3">
      <c r="A130" s="14"/>
      <c r="B130" s="89"/>
      <c r="C130" s="40" t="s">
        <v>217</v>
      </c>
      <c r="D130" s="41">
        <v>11</v>
      </c>
      <c r="E130" s="42">
        <v>5.0000000000000001E-3</v>
      </c>
      <c r="F130" s="14"/>
    </row>
    <row r="131" spans="1:6" ht="14.45" customHeight="1" x14ac:dyDescent="0.3">
      <c r="A131" s="14"/>
      <c r="B131" s="89"/>
      <c r="C131" s="40" t="s">
        <v>223</v>
      </c>
      <c r="D131" s="41">
        <v>1</v>
      </c>
      <c r="E131" s="42">
        <v>0</v>
      </c>
      <c r="F131" s="14"/>
    </row>
    <row r="132" spans="1:6" ht="14.45" customHeight="1" x14ac:dyDescent="0.3">
      <c r="A132" s="14"/>
      <c r="B132" s="90"/>
      <c r="C132" s="43" t="s">
        <v>318</v>
      </c>
      <c r="D132" s="44">
        <v>29</v>
      </c>
      <c r="E132" s="45">
        <v>1.2E-2</v>
      </c>
      <c r="F132" s="14"/>
    </row>
    <row r="133" spans="1:6" ht="14.45" customHeight="1" x14ac:dyDescent="0.3">
      <c r="A133" s="14"/>
      <c r="B133" s="88" t="s">
        <v>82</v>
      </c>
      <c r="C133" s="40" t="s">
        <v>210</v>
      </c>
      <c r="D133" s="41">
        <v>2</v>
      </c>
      <c r="E133" s="42">
        <v>1E-3</v>
      </c>
      <c r="F133" s="14"/>
    </row>
    <row r="134" spans="1:6" ht="14.45" customHeight="1" x14ac:dyDescent="0.3">
      <c r="A134" s="14"/>
      <c r="B134" s="89"/>
      <c r="C134" s="40" t="s">
        <v>284</v>
      </c>
      <c r="D134" s="41">
        <v>1</v>
      </c>
      <c r="E134" s="42">
        <v>0</v>
      </c>
      <c r="F134" s="14"/>
    </row>
    <row r="135" spans="1:6" ht="14.45" customHeight="1" x14ac:dyDescent="0.3">
      <c r="A135" s="14"/>
      <c r="B135" s="89"/>
      <c r="C135" s="40" t="s">
        <v>217</v>
      </c>
      <c r="D135" s="41">
        <v>1</v>
      </c>
      <c r="E135" s="42">
        <v>0</v>
      </c>
      <c r="F135" s="14"/>
    </row>
    <row r="136" spans="1:6" ht="14.45" customHeight="1" x14ac:dyDescent="0.3">
      <c r="A136" s="14"/>
      <c r="B136" s="90"/>
      <c r="C136" s="43" t="s">
        <v>318</v>
      </c>
      <c r="D136" s="44">
        <v>4</v>
      </c>
      <c r="E136" s="45">
        <v>2E-3</v>
      </c>
      <c r="F136" s="14"/>
    </row>
    <row r="137" spans="1:6" ht="14.45" customHeight="1" x14ac:dyDescent="0.3">
      <c r="A137" s="14"/>
      <c r="B137" s="88" t="s">
        <v>49</v>
      </c>
      <c r="C137" s="40" t="s">
        <v>203</v>
      </c>
      <c r="D137" s="41">
        <v>1</v>
      </c>
      <c r="E137" s="42">
        <v>0</v>
      </c>
      <c r="F137" s="14"/>
    </row>
    <row r="138" spans="1:6" ht="14.45" customHeight="1" x14ac:dyDescent="0.3">
      <c r="A138" s="14"/>
      <c r="B138" s="89"/>
      <c r="C138" s="40" t="s">
        <v>276</v>
      </c>
      <c r="D138" s="41">
        <v>1</v>
      </c>
      <c r="E138" s="42">
        <v>0</v>
      </c>
      <c r="F138" s="14"/>
    </row>
    <row r="139" spans="1:6" ht="14.45" customHeight="1" x14ac:dyDescent="0.3">
      <c r="A139" s="14"/>
      <c r="B139" s="89"/>
      <c r="C139" s="40" t="s">
        <v>278</v>
      </c>
      <c r="D139" s="41">
        <v>5</v>
      </c>
      <c r="E139" s="42">
        <v>2E-3</v>
      </c>
      <c r="F139" s="14"/>
    </row>
    <row r="140" spans="1:6" ht="14.45" customHeight="1" x14ac:dyDescent="0.3">
      <c r="A140" s="14"/>
      <c r="B140" s="89"/>
      <c r="C140" s="40" t="s">
        <v>279</v>
      </c>
      <c r="D140" s="41">
        <v>1</v>
      </c>
      <c r="E140" s="42">
        <v>0</v>
      </c>
      <c r="F140" s="14"/>
    </row>
    <row r="141" spans="1:6" ht="14.45" customHeight="1" x14ac:dyDescent="0.3">
      <c r="A141" s="14"/>
      <c r="B141" s="89"/>
      <c r="C141" s="40" t="s">
        <v>281</v>
      </c>
      <c r="D141" s="41">
        <v>3</v>
      </c>
      <c r="E141" s="42">
        <v>1E-3</v>
      </c>
      <c r="F141" s="14"/>
    </row>
    <row r="142" spans="1:6" ht="14.45" customHeight="1" x14ac:dyDescent="0.3">
      <c r="A142" s="14"/>
      <c r="B142" s="89"/>
      <c r="C142" s="40" t="s">
        <v>210</v>
      </c>
      <c r="D142" s="41">
        <v>5</v>
      </c>
      <c r="E142" s="42">
        <v>2E-3</v>
      </c>
      <c r="F142" s="14"/>
    </row>
    <row r="143" spans="1:6" ht="14.45" customHeight="1" x14ac:dyDescent="0.3">
      <c r="A143" s="14"/>
      <c r="B143" s="89"/>
      <c r="C143" s="40" t="s">
        <v>282</v>
      </c>
      <c r="D143" s="41">
        <v>1</v>
      </c>
      <c r="E143" s="42">
        <v>0</v>
      </c>
      <c r="F143" s="14"/>
    </row>
    <row r="144" spans="1:6" ht="14.45" customHeight="1" x14ac:dyDescent="0.3">
      <c r="A144" s="14"/>
      <c r="B144" s="89"/>
      <c r="C144" s="40" t="s">
        <v>283</v>
      </c>
      <c r="D144" s="41">
        <v>1</v>
      </c>
      <c r="E144" s="42">
        <v>0</v>
      </c>
      <c r="F144" s="14"/>
    </row>
    <row r="145" spans="1:6" ht="14.45" customHeight="1" x14ac:dyDescent="0.3">
      <c r="A145" s="14"/>
      <c r="B145" s="89"/>
      <c r="C145" s="40" t="s">
        <v>284</v>
      </c>
      <c r="D145" s="41">
        <v>2</v>
      </c>
      <c r="E145" s="42">
        <v>1E-3</v>
      </c>
      <c r="F145" s="14"/>
    </row>
    <row r="146" spans="1:6" ht="14.45" customHeight="1" x14ac:dyDescent="0.3">
      <c r="A146" s="14"/>
      <c r="B146" s="89"/>
      <c r="C146" s="40" t="s">
        <v>214</v>
      </c>
      <c r="D146" s="41">
        <v>18</v>
      </c>
      <c r="E146" s="42">
        <v>7.0000000000000001E-3</v>
      </c>
      <c r="F146" s="14"/>
    </row>
    <row r="147" spans="1:6" ht="14.45" customHeight="1" x14ac:dyDescent="0.3">
      <c r="A147" s="14"/>
      <c r="B147" s="89"/>
      <c r="C147" s="40" t="s">
        <v>215</v>
      </c>
      <c r="D147" s="41">
        <v>1</v>
      </c>
      <c r="E147" s="42">
        <v>0</v>
      </c>
      <c r="F147" s="14"/>
    </row>
    <row r="148" spans="1:6" ht="14.45" customHeight="1" x14ac:dyDescent="0.3">
      <c r="A148" s="14"/>
      <c r="B148" s="89"/>
      <c r="C148" s="40" t="s">
        <v>216</v>
      </c>
      <c r="D148" s="41">
        <v>2</v>
      </c>
      <c r="E148" s="42">
        <v>1E-3</v>
      </c>
      <c r="F148" s="14"/>
    </row>
    <row r="149" spans="1:6" ht="14.45" customHeight="1" x14ac:dyDescent="0.3">
      <c r="A149" s="14"/>
      <c r="B149" s="89"/>
      <c r="C149" s="40" t="s">
        <v>217</v>
      </c>
      <c r="D149" s="41">
        <v>11</v>
      </c>
      <c r="E149" s="42">
        <v>5.0000000000000001E-3</v>
      </c>
      <c r="F149" s="14"/>
    </row>
    <row r="150" spans="1:6" ht="14.45" customHeight="1" x14ac:dyDescent="0.3">
      <c r="A150" s="14"/>
      <c r="B150" s="89"/>
      <c r="C150" s="40" t="s">
        <v>287</v>
      </c>
      <c r="D150" s="41">
        <v>1</v>
      </c>
      <c r="E150" s="42">
        <v>0</v>
      </c>
      <c r="F150" s="14"/>
    </row>
    <row r="151" spans="1:6" ht="14.45" customHeight="1" x14ac:dyDescent="0.3">
      <c r="A151" s="14"/>
      <c r="B151" s="89"/>
      <c r="C151" s="40" t="s">
        <v>223</v>
      </c>
      <c r="D151" s="41">
        <v>3</v>
      </c>
      <c r="E151" s="42">
        <v>1E-3</v>
      </c>
      <c r="F151" s="14"/>
    </row>
    <row r="152" spans="1:6" ht="14.45" customHeight="1" x14ac:dyDescent="0.3">
      <c r="A152" s="14"/>
      <c r="B152" s="90"/>
      <c r="C152" s="43" t="s">
        <v>318</v>
      </c>
      <c r="D152" s="44">
        <v>56</v>
      </c>
      <c r="E152" s="45">
        <v>2.3E-2</v>
      </c>
      <c r="F152" s="14"/>
    </row>
    <row r="153" spans="1:6" ht="14.45" customHeight="1" x14ac:dyDescent="0.3">
      <c r="A153" s="14"/>
      <c r="B153" s="88" t="s">
        <v>53</v>
      </c>
      <c r="C153" s="40" t="s">
        <v>278</v>
      </c>
      <c r="D153" s="41">
        <v>1</v>
      </c>
      <c r="E153" s="42">
        <v>0</v>
      </c>
      <c r="F153" s="14"/>
    </row>
    <row r="154" spans="1:6" ht="14.45" customHeight="1" x14ac:dyDescent="0.3">
      <c r="A154" s="14"/>
      <c r="B154" s="89"/>
      <c r="C154" s="40" t="s">
        <v>279</v>
      </c>
      <c r="D154" s="41">
        <v>1</v>
      </c>
      <c r="E154" s="42">
        <v>0</v>
      </c>
      <c r="F154" s="14"/>
    </row>
    <row r="155" spans="1:6" ht="14.45" customHeight="1" x14ac:dyDescent="0.3">
      <c r="A155" s="14"/>
      <c r="B155" s="89"/>
      <c r="C155" s="40" t="s">
        <v>280</v>
      </c>
      <c r="D155" s="41">
        <v>1</v>
      </c>
      <c r="E155" s="42">
        <v>0</v>
      </c>
      <c r="F155" s="14"/>
    </row>
    <row r="156" spans="1:6" ht="14.45" customHeight="1" x14ac:dyDescent="0.3">
      <c r="A156" s="14"/>
      <c r="B156" s="89"/>
      <c r="C156" s="40" t="s">
        <v>210</v>
      </c>
      <c r="D156" s="41">
        <v>3</v>
      </c>
      <c r="E156" s="42">
        <v>1E-3</v>
      </c>
      <c r="F156" s="14"/>
    </row>
    <row r="157" spans="1:6" ht="14.45" customHeight="1" x14ac:dyDescent="0.3">
      <c r="A157" s="14"/>
      <c r="B157" s="89"/>
      <c r="C157" s="40" t="s">
        <v>282</v>
      </c>
      <c r="D157" s="41">
        <v>1</v>
      </c>
      <c r="E157" s="42">
        <v>0</v>
      </c>
      <c r="F157" s="14"/>
    </row>
    <row r="158" spans="1:6" ht="14.45" customHeight="1" x14ac:dyDescent="0.3">
      <c r="A158" s="14"/>
      <c r="B158" s="89"/>
      <c r="C158" s="40" t="s">
        <v>284</v>
      </c>
      <c r="D158" s="41">
        <v>4</v>
      </c>
      <c r="E158" s="42">
        <v>2E-3</v>
      </c>
      <c r="F158" s="14"/>
    </row>
    <row r="159" spans="1:6" ht="14.45" customHeight="1" x14ac:dyDescent="0.3">
      <c r="A159" s="14"/>
      <c r="B159" s="89"/>
      <c r="C159" s="40" t="s">
        <v>214</v>
      </c>
      <c r="D159" s="41">
        <v>11</v>
      </c>
      <c r="E159" s="42">
        <v>5.0000000000000001E-3</v>
      </c>
      <c r="F159" s="14"/>
    </row>
    <row r="160" spans="1:6" ht="14.45" customHeight="1" x14ac:dyDescent="0.3">
      <c r="A160" s="14"/>
      <c r="B160" s="89"/>
      <c r="C160" s="40" t="s">
        <v>216</v>
      </c>
      <c r="D160" s="41">
        <v>3</v>
      </c>
      <c r="E160" s="42">
        <v>1E-3</v>
      </c>
      <c r="F160" s="14"/>
    </row>
    <row r="161" spans="1:6" ht="14.45" customHeight="1" x14ac:dyDescent="0.3">
      <c r="A161" s="14"/>
      <c r="B161" s="89"/>
      <c r="C161" s="40" t="s">
        <v>217</v>
      </c>
      <c r="D161" s="41">
        <v>9</v>
      </c>
      <c r="E161" s="42">
        <v>4.0000000000000001E-3</v>
      </c>
      <c r="F161" s="14"/>
    </row>
    <row r="162" spans="1:6" ht="14.45" customHeight="1" x14ac:dyDescent="0.3">
      <c r="A162" s="14"/>
      <c r="B162" s="89"/>
      <c r="C162" s="40" t="s">
        <v>286</v>
      </c>
      <c r="D162" s="41">
        <v>1</v>
      </c>
      <c r="E162" s="42">
        <v>0</v>
      </c>
      <c r="F162" s="14"/>
    </row>
    <row r="163" spans="1:6" ht="14.45" customHeight="1" x14ac:dyDescent="0.3">
      <c r="A163" s="14"/>
      <c r="B163" s="89"/>
      <c r="C163" s="40" t="s">
        <v>222</v>
      </c>
      <c r="D163" s="41">
        <v>2</v>
      </c>
      <c r="E163" s="42">
        <v>1E-3</v>
      </c>
      <c r="F163" s="14"/>
    </row>
    <row r="164" spans="1:6" ht="14.45" customHeight="1" x14ac:dyDescent="0.3">
      <c r="A164" s="14"/>
      <c r="B164" s="89"/>
      <c r="C164" s="40" t="s">
        <v>223</v>
      </c>
      <c r="D164" s="41">
        <v>3</v>
      </c>
      <c r="E164" s="42">
        <v>1E-3</v>
      </c>
      <c r="F164" s="14"/>
    </row>
    <row r="165" spans="1:6" ht="14.45" customHeight="1" x14ac:dyDescent="0.3">
      <c r="A165" s="14"/>
      <c r="B165" s="90"/>
      <c r="C165" s="43" t="s">
        <v>318</v>
      </c>
      <c r="D165" s="44">
        <v>40</v>
      </c>
      <c r="E165" s="45">
        <v>1.7000000000000001E-2</v>
      </c>
      <c r="F165" s="14"/>
    </row>
    <row r="166" spans="1:6" ht="14.45" customHeight="1" x14ac:dyDescent="0.3">
      <c r="A166" s="14"/>
      <c r="B166" s="88" t="s">
        <v>42</v>
      </c>
      <c r="C166" s="40" t="s">
        <v>203</v>
      </c>
      <c r="D166" s="41">
        <v>6</v>
      </c>
      <c r="E166" s="42">
        <v>2E-3</v>
      </c>
      <c r="F166" s="14"/>
    </row>
    <row r="167" spans="1:6" ht="14.45" customHeight="1" x14ac:dyDescent="0.3">
      <c r="A167" s="14"/>
      <c r="B167" s="89"/>
      <c r="C167" s="40" t="s">
        <v>276</v>
      </c>
      <c r="D167" s="41">
        <v>4</v>
      </c>
      <c r="E167" s="42">
        <v>2E-3</v>
      </c>
      <c r="F167" s="14"/>
    </row>
    <row r="168" spans="1:6" ht="14.45" customHeight="1" x14ac:dyDescent="0.3">
      <c r="A168" s="14"/>
      <c r="B168" s="89"/>
      <c r="C168" s="40" t="s">
        <v>277</v>
      </c>
      <c r="D168" s="41">
        <v>5</v>
      </c>
      <c r="E168" s="42">
        <v>2E-3</v>
      </c>
      <c r="F168" s="14"/>
    </row>
    <row r="169" spans="1:6" ht="14.45" customHeight="1" x14ac:dyDescent="0.3">
      <c r="A169" s="14"/>
      <c r="B169" s="89"/>
      <c r="C169" s="40" t="s">
        <v>278</v>
      </c>
      <c r="D169" s="41">
        <v>1</v>
      </c>
      <c r="E169" s="42">
        <v>0</v>
      </c>
      <c r="F169" s="14"/>
    </row>
    <row r="170" spans="1:6" ht="14.45" customHeight="1" x14ac:dyDescent="0.3">
      <c r="A170" s="14"/>
      <c r="B170" s="89"/>
      <c r="C170" s="40" t="s">
        <v>279</v>
      </c>
      <c r="D170" s="41">
        <v>3</v>
      </c>
      <c r="E170" s="42">
        <v>1E-3</v>
      </c>
      <c r="F170" s="14"/>
    </row>
    <row r="171" spans="1:6" ht="14.45" customHeight="1" x14ac:dyDescent="0.3">
      <c r="A171" s="14"/>
      <c r="B171" s="89"/>
      <c r="C171" s="40" t="s">
        <v>280</v>
      </c>
      <c r="D171" s="41">
        <v>6</v>
      </c>
      <c r="E171" s="42">
        <v>2E-3</v>
      </c>
      <c r="F171" s="14"/>
    </row>
    <row r="172" spans="1:6" ht="14.45" customHeight="1" x14ac:dyDescent="0.3">
      <c r="A172" s="14"/>
      <c r="B172" s="89"/>
      <c r="C172" s="40" t="s">
        <v>281</v>
      </c>
      <c r="D172" s="41">
        <v>29</v>
      </c>
      <c r="E172" s="42">
        <v>1.2E-2</v>
      </c>
      <c r="F172" s="14"/>
    </row>
    <row r="173" spans="1:6" ht="14.45" customHeight="1" x14ac:dyDescent="0.3">
      <c r="A173" s="14"/>
      <c r="B173" s="89"/>
      <c r="C173" s="40" t="s">
        <v>210</v>
      </c>
      <c r="D173" s="41">
        <v>60</v>
      </c>
      <c r="E173" s="42">
        <v>2.5000000000000001E-2</v>
      </c>
      <c r="F173" s="14"/>
    </row>
    <row r="174" spans="1:6" ht="14.45" customHeight="1" x14ac:dyDescent="0.3">
      <c r="A174" s="14"/>
      <c r="B174" s="89"/>
      <c r="C174" s="40" t="s">
        <v>282</v>
      </c>
      <c r="D174" s="41">
        <v>4</v>
      </c>
      <c r="E174" s="42">
        <v>2E-3</v>
      </c>
      <c r="F174" s="14"/>
    </row>
    <row r="175" spans="1:6" ht="14.45" customHeight="1" x14ac:dyDescent="0.3">
      <c r="A175" s="14"/>
      <c r="B175" s="89"/>
      <c r="C175" s="40" t="s">
        <v>283</v>
      </c>
      <c r="D175" s="41">
        <v>2</v>
      </c>
      <c r="E175" s="42">
        <v>1E-3</v>
      </c>
      <c r="F175" s="14"/>
    </row>
    <row r="176" spans="1:6" ht="14.45" customHeight="1" x14ac:dyDescent="0.3">
      <c r="A176" s="14"/>
      <c r="B176" s="89"/>
      <c r="C176" s="40" t="s">
        <v>284</v>
      </c>
      <c r="D176" s="41">
        <v>11</v>
      </c>
      <c r="E176" s="42">
        <v>5.0000000000000001E-3</v>
      </c>
      <c r="F176" s="14"/>
    </row>
    <row r="177" spans="1:6" ht="14.45" customHeight="1" x14ac:dyDescent="0.3">
      <c r="A177" s="14"/>
      <c r="B177" s="89"/>
      <c r="C177" s="40" t="s">
        <v>214</v>
      </c>
      <c r="D177" s="41">
        <v>87</v>
      </c>
      <c r="E177" s="42">
        <v>3.5999999999999997E-2</v>
      </c>
      <c r="F177" s="14"/>
    </row>
    <row r="178" spans="1:6" ht="14.45" customHeight="1" x14ac:dyDescent="0.3">
      <c r="A178" s="14"/>
      <c r="B178" s="89"/>
      <c r="C178" s="40" t="s">
        <v>215</v>
      </c>
      <c r="D178" s="41">
        <v>6</v>
      </c>
      <c r="E178" s="42">
        <v>2E-3</v>
      </c>
      <c r="F178" s="14"/>
    </row>
    <row r="179" spans="1:6" ht="14.45" customHeight="1" x14ac:dyDescent="0.3">
      <c r="A179" s="14"/>
      <c r="B179" s="89"/>
      <c r="C179" s="40" t="s">
        <v>216</v>
      </c>
      <c r="D179" s="41">
        <v>12</v>
      </c>
      <c r="E179" s="42">
        <v>5.0000000000000001E-3</v>
      </c>
      <c r="F179" s="14"/>
    </row>
    <row r="180" spans="1:6" ht="14.45" customHeight="1" x14ac:dyDescent="0.3">
      <c r="A180" s="14"/>
      <c r="B180" s="89"/>
      <c r="C180" s="40" t="s">
        <v>217</v>
      </c>
      <c r="D180" s="41">
        <v>91</v>
      </c>
      <c r="E180" s="42">
        <v>3.7999999999999999E-2</v>
      </c>
      <c r="F180" s="14"/>
    </row>
    <row r="181" spans="1:6" ht="14.45" customHeight="1" x14ac:dyDescent="0.3">
      <c r="A181" s="14"/>
      <c r="B181" s="89"/>
      <c r="C181" s="40" t="s">
        <v>286</v>
      </c>
      <c r="D181" s="41">
        <v>1</v>
      </c>
      <c r="E181" s="42">
        <v>0</v>
      </c>
      <c r="F181" s="14"/>
    </row>
    <row r="182" spans="1:6" ht="14.45" customHeight="1" x14ac:dyDescent="0.3">
      <c r="A182" s="14"/>
      <c r="B182" s="89"/>
      <c r="C182" s="40" t="s">
        <v>222</v>
      </c>
      <c r="D182" s="41">
        <v>7</v>
      </c>
      <c r="E182" s="42">
        <v>3.0000000000000001E-3</v>
      </c>
      <c r="F182" s="14"/>
    </row>
    <row r="183" spans="1:6" ht="14.45" customHeight="1" x14ac:dyDescent="0.3">
      <c r="A183" s="14"/>
      <c r="B183" s="89"/>
      <c r="C183" s="40" t="s">
        <v>223</v>
      </c>
      <c r="D183" s="41">
        <v>15</v>
      </c>
      <c r="E183" s="42">
        <v>6.0000000000000001E-3</v>
      </c>
      <c r="F183" s="14"/>
    </row>
    <row r="184" spans="1:6" ht="14.45" customHeight="1" x14ac:dyDescent="0.3">
      <c r="A184" s="14"/>
      <c r="B184" s="90"/>
      <c r="C184" s="43" t="s">
        <v>318</v>
      </c>
      <c r="D184" s="44">
        <v>350</v>
      </c>
      <c r="E184" s="45">
        <v>0.14599999999999999</v>
      </c>
      <c r="F184" s="14"/>
    </row>
    <row r="185" spans="1:6" ht="14.45" customHeight="1" x14ac:dyDescent="0.3">
      <c r="A185" s="14"/>
      <c r="B185" s="88" t="s">
        <v>61</v>
      </c>
      <c r="C185" s="40" t="s">
        <v>214</v>
      </c>
      <c r="D185" s="41">
        <v>1</v>
      </c>
      <c r="E185" s="42">
        <v>0</v>
      </c>
      <c r="F185" s="14"/>
    </row>
    <row r="186" spans="1:6" ht="14.45" customHeight="1" x14ac:dyDescent="0.3">
      <c r="A186" s="14"/>
      <c r="B186" s="89"/>
      <c r="C186" s="40" t="s">
        <v>216</v>
      </c>
      <c r="D186" s="41">
        <v>2</v>
      </c>
      <c r="E186" s="42">
        <v>1E-3</v>
      </c>
      <c r="F186" s="14"/>
    </row>
    <row r="187" spans="1:6" ht="14.45" customHeight="1" x14ac:dyDescent="0.3">
      <c r="A187" s="14"/>
      <c r="B187" s="89"/>
      <c r="C187" s="40" t="s">
        <v>287</v>
      </c>
      <c r="D187" s="41">
        <v>1</v>
      </c>
      <c r="E187" s="42">
        <v>0</v>
      </c>
      <c r="F187" s="14"/>
    </row>
    <row r="188" spans="1:6" ht="14.45" customHeight="1" x14ac:dyDescent="0.3">
      <c r="A188" s="14"/>
      <c r="B188" s="89"/>
      <c r="C188" s="40" t="s">
        <v>222</v>
      </c>
      <c r="D188" s="41">
        <v>1</v>
      </c>
      <c r="E188" s="42">
        <v>0</v>
      </c>
      <c r="F188" s="14"/>
    </row>
    <row r="189" spans="1:6" ht="14.45" customHeight="1" x14ac:dyDescent="0.3">
      <c r="A189" s="14"/>
      <c r="B189" s="89"/>
      <c r="C189" s="40" t="s">
        <v>223</v>
      </c>
      <c r="D189" s="41">
        <v>3</v>
      </c>
      <c r="E189" s="42">
        <v>1E-3</v>
      </c>
      <c r="F189" s="14"/>
    </row>
    <row r="190" spans="1:6" ht="14.45" customHeight="1" x14ac:dyDescent="0.3">
      <c r="A190" s="14"/>
      <c r="B190" s="90"/>
      <c r="C190" s="43" t="s">
        <v>318</v>
      </c>
      <c r="D190" s="44">
        <v>8</v>
      </c>
      <c r="E190" s="45">
        <v>3.0000000000000001E-3</v>
      </c>
      <c r="F190" s="14"/>
    </row>
    <row r="191" spans="1:6" ht="14.45" customHeight="1" x14ac:dyDescent="0.3">
      <c r="A191" s="14"/>
      <c r="B191" s="88" t="s">
        <v>57</v>
      </c>
      <c r="C191" s="40" t="s">
        <v>281</v>
      </c>
      <c r="D191" s="41">
        <v>1</v>
      </c>
      <c r="E191" s="42">
        <v>0</v>
      </c>
      <c r="F191" s="14"/>
    </row>
    <row r="192" spans="1:6" ht="14.45" customHeight="1" x14ac:dyDescent="0.3">
      <c r="A192" s="14"/>
      <c r="B192" s="89"/>
      <c r="C192" s="40" t="s">
        <v>210</v>
      </c>
      <c r="D192" s="41">
        <v>1</v>
      </c>
      <c r="E192" s="42">
        <v>0</v>
      </c>
      <c r="F192" s="14"/>
    </row>
    <row r="193" spans="1:6" ht="14.45" customHeight="1" x14ac:dyDescent="0.3">
      <c r="A193" s="14"/>
      <c r="B193" s="89"/>
      <c r="C193" s="40" t="s">
        <v>284</v>
      </c>
      <c r="D193" s="41">
        <v>2</v>
      </c>
      <c r="E193" s="42">
        <v>1E-3</v>
      </c>
      <c r="F193" s="14"/>
    </row>
    <row r="194" spans="1:6" ht="14.45" customHeight="1" x14ac:dyDescent="0.3">
      <c r="A194" s="14"/>
      <c r="B194" s="89"/>
      <c r="C194" s="40" t="s">
        <v>214</v>
      </c>
      <c r="D194" s="41">
        <v>3</v>
      </c>
      <c r="E194" s="42">
        <v>1E-3</v>
      </c>
      <c r="F194" s="14"/>
    </row>
    <row r="195" spans="1:6" ht="14.45" customHeight="1" x14ac:dyDescent="0.3">
      <c r="A195" s="14"/>
      <c r="B195" s="89"/>
      <c r="C195" s="40" t="s">
        <v>215</v>
      </c>
      <c r="D195" s="41">
        <v>1</v>
      </c>
      <c r="E195" s="42">
        <v>0</v>
      </c>
      <c r="F195" s="14"/>
    </row>
    <row r="196" spans="1:6" ht="14.45" customHeight="1" x14ac:dyDescent="0.3">
      <c r="A196" s="14"/>
      <c r="B196" s="89"/>
      <c r="C196" s="40" t="s">
        <v>217</v>
      </c>
      <c r="D196" s="41">
        <v>2</v>
      </c>
      <c r="E196" s="42">
        <v>1E-3</v>
      </c>
      <c r="F196" s="14"/>
    </row>
    <row r="197" spans="1:6" ht="14.45" customHeight="1" x14ac:dyDescent="0.3">
      <c r="A197" s="14"/>
      <c r="B197" s="89"/>
      <c r="C197" s="40" t="s">
        <v>223</v>
      </c>
      <c r="D197" s="41">
        <v>3</v>
      </c>
      <c r="E197" s="42">
        <v>1E-3</v>
      </c>
      <c r="F197" s="14"/>
    </row>
    <row r="198" spans="1:6" ht="14.45" customHeight="1" x14ac:dyDescent="0.3">
      <c r="A198" s="14"/>
      <c r="B198" s="89"/>
      <c r="C198" s="40" t="s">
        <v>224</v>
      </c>
      <c r="D198" s="41">
        <v>2</v>
      </c>
      <c r="E198" s="42">
        <v>1E-3</v>
      </c>
      <c r="F198" s="14"/>
    </row>
    <row r="199" spans="1:6" ht="14.45" customHeight="1" x14ac:dyDescent="0.3">
      <c r="A199" s="14"/>
      <c r="B199" s="90"/>
      <c r="C199" s="43" t="s">
        <v>318</v>
      </c>
      <c r="D199" s="44">
        <v>15</v>
      </c>
      <c r="E199" s="45">
        <v>6.0000000000000001E-3</v>
      </c>
      <c r="F199" s="14"/>
    </row>
    <row r="200" spans="1:6" ht="14.45" customHeight="1" x14ac:dyDescent="0.3">
      <c r="A200" s="14"/>
      <c r="B200" s="88" t="s">
        <v>73</v>
      </c>
      <c r="C200" s="40" t="s">
        <v>217</v>
      </c>
      <c r="D200" s="41">
        <v>1</v>
      </c>
      <c r="E200" s="42">
        <v>0</v>
      </c>
      <c r="F200" s="14"/>
    </row>
    <row r="201" spans="1:6" ht="14.45" customHeight="1" x14ac:dyDescent="0.3">
      <c r="A201" s="14"/>
      <c r="B201" s="89"/>
      <c r="C201" s="40" t="s">
        <v>223</v>
      </c>
      <c r="D201" s="41">
        <v>1</v>
      </c>
      <c r="E201" s="42">
        <v>0</v>
      </c>
      <c r="F201" s="14"/>
    </row>
    <row r="202" spans="1:6" ht="14.45" customHeight="1" x14ac:dyDescent="0.3">
      <c r="A202" s="14"/>
      <c r="B202" s="90"/>
      <c r="C202" s="43" t="s">
        <v>318</v>
      </c>
      <c r="D202" s="44">
        <v>2</v>
      </c>
      <c r="E202" s="45">
        <v>1E-3</v>
      </c>
      <c r="F202" s="14"/>
    </row>
    <row r="203" spans="1:6" ht="14.45" customHeight="1" x14ac:dyDescent="0.3">
      <c r="A203" s="14"/>
      <c r="B203" s="88" t="s">
        <v>83</v>
      </c>
      <c r="C203" s="40" t="s">
        <v>214</v>
      </c>
      <c r="D203" s="41">
        <v>1</v>
      </c>
      <c r="E203" s="42">
        <v>0</v>
      </c>
      <c r="F203" s="14"/>
    </row>
    <row r="204" spans="1:6" ht="14.45" customHeight="1" x14ac:dyDescent="0.3">
      <c r="A204" s="14"/>
      <c r="B204" s="89"/>
      <c r="C204" s="40" t="s">
        <v>223</v>
      </c>
      <c r="D204" s="41">
        <v>2</v>
      </c>
      <c r="E204" s="42">
        <v>1E-3</v>
      </c>
      <c r="F204" s="14"/>
    </row>
    <row r="205" spans="1:6" ht="14.45" customHeight="1" x14ac:dyDescent="0.3">
      <c r="A205" s="14"/>
      <c r="B205" s="90"/>
      <c r="C205" s="47" t="s">
        <v>318</v>
      </c>
      <c r="D205" s="44">
        <v>3</v>
      </c>
      <c r="E205" s="46">
        <v>1E-3</v>
      </c>
      <c r="F205" s="14"/>
    </row>
    <row r="206" spans="1:6" ht="14.45" customHeight="1" x14ac:dyDescent="0.3">
      <c r="A206" s="14"/>
      <c r="B206" s="88" t="s">
        <v>63</v>
      </c>
      <c r="C206" s="40" t="s">
        <v>210</v>
      </c>
      <c r="D206" s="41">
        <v>1</v>
      </c>
      <c r="E206" s="42">
        <v>0</v>
      </c>
      <c r="F206" s="14"/>
    </row>
    <row r="207" spans="1:6" ht="14.45" customHeight="1" x14ac:dyDescent="0.3">
      <c r="A207" s="14"/>
      <c r="B207" s="89"/>
      <c r="C207" s="40" t="s">
        <v>214</v>
      </c>
      <c r="D207" s="41">
        <v>5</v>
      </c>
      <c r="E207" s="42">
        <v>2E-3</v>
      </c>
      <c r="F207" s="14"/>
    </row>
    <row r="208" spans="1:6" ht="14.45" customHeight="1" x14ac:dyDescent="0.3">
      <c r="A208" s="14"/>
      <c r="B208" s="89"/>
      <c r="C208" s="40" t="s">
        <v>217</v>
      </c>
      <c r="D208" s="41">
        <v>1</v>
      </c>
      <c r="E208" s="42">
        <v>0</v>
      </c>
      <c r="F208" s="14"/>
    </row>
    <row r="209" spans="1:6" ht="14.45" customHeight="1" x14ac:dyDescent="0.3">
      <c r="A209" s="14"/>
      <c r="B209" s="89"/>
      <c r="C209" s="40" t="s">
        <v>223</v>
      </c>
      <c r="D209" s="41">
        <v>2</v>
      </c>
      <c r="E209" s="42">
        <v>1E-3</v>
      </c>
      <c r="F209" s="14"/>
    </row>
    <row r="210" spans="1:6" ht="14.45" customHeight="1" x14ac:dyDescent="0.3">
      <c r="A210" s="14"/>
      <c r="B210" s="90"/>
      <c r="C210" s="43" t="s">
        <v>318</v>
      </c>
      <c r="D210" s="44">
        <v>9</v>
      </c>
      <c r="E210" s="45">
        <v>4.0000000000000001E-3</v>
      </c>
      <c r="F210" s="14"/>
    </row>
    <row r="211" spans="1:6" ht="14.45" customHeight="1" x14ac:dyDescent="0.3">
      <c r="A211" s="14"/>
      <c r="B211" s="88" t="s">
        <v>68</v>
      </c>
      <c r="C211" s="40" t="s">
        <v>284</v>
      </c>
      <c r="D211" s="41">
        <v>1</v>
      </c>
      <c r="E211" s="42">
        <v>0</v>
      </c>
      <c r="F211" s="14"/>
    </row>
    <row r="212" spans="1:6" ht="14.45" customHeight="1" x14ac:dyDescent="0.3">
      <c r="A212" s="14"/>
      <c r="B212" s="89"/>
      <c r="C212" s="40" t="s">
        <v>214</v>
      </c>
      <c r="D212" s="41">
        <v>4</v>
      </c>
      <c r="E212" s="42">
        <v>2E-3</v>
      </c>
      <c r="F212" s="14"/>
    </row>
    <row r="213" spans="1:6" ht="14.45" customHeight="1" x14ac:dyDescent="0.3">
      <c r="A213" s="14"/>
      <c r="B213" s="89"/>
      <c r="C213" s="40" t="s">
        <v>215</v>
      </c>
      <c r="D213" s="41">
        <v>1</v>
      </c>
      <c r="E213" s="42">
        <v>0</v>
      </c>
      <c r="F213" s="14"/>
    </row>
    <row r="214" spans="1:6" ht="14.45" customHeight="1" x14ac:dyDescent="0.3">
      <c r="A214" s="14"/>
      <c r="B214" s="89"/>
      <c r="C214" s="40" t="s">
        <v>216</v>
      </c>
      <c r="D214" s="41">
        <v>1</v>
      </c>
      <c r="E214" s="42">
        <v>0</v>
      </c>
      <c r="F214" s="14"/>
    </row>
    <row r="215" spans="1:6" ht="14.45" customHeight="1" x14ac:dyDescent="0.3">
      <c r="A215" s="14"/>
      <c r="B215" s="89"/>
      <c r="C215" s="40" t="s">
        <v>217</v>
      </c>
      <c r="D215" s="41">
        <v>1</v>
      </c>
      <c r="E215" s="42">
        <v>0</v>
      </c>
      <c r="F215" s="14"/>
    </row>
    <row r="216" spans="1:6" ht="14.45" customHeight="1" x14ac:dyDescent="0.3">
      <c r="A216" s="14"/>
      <c r="B216" s="90"/>
      <c r="C216" s="43" t="s">
        <v>318</v>
      </c>
      <c r="D216" s="44">
        <v>8</v>
      </c>
      <c r="E216" s="45">
        <v>3.0000000000000001E-3</v>
      </c>
      <c r="F216" s="14"/>
    </row>
    <row r="217" spans="1:6" ht="14.45" customHeight="1" x14ac:dyDescent="0.3">
      <c r="A217" s="14"/>
      <c r="B217" s="88" t="s">
        <v>66</v>
      </c>
      <c r="C217" s="40" t="s">
        <v>280</v>
      </c>
      <c r="D217" s="41">
        <v>1</v>
      </c>
      <c r="E217" s="42">
        <v>0</v>
      </c>
      <c r="F217" s="14"/>
    </row>
    <row r="218" spans="1:6" ht="14.45" customHeight="1" x14ac:dyDescent="0.3">
      <c r="A218" s="14"/>
      <c r="B218" s="89"/>
      <c r="C218" s="40" t="s">
        <v>281</v>
      </c>
      <c r="D218" s="41">
        <v>1</v>
      </c>
      <c r="E218" s="42">
        <v>0</v>
      </c>
      <c r="F218" s="14"/>
    </row>
    <row r="219" spans="1:6" ht="14.45" customHeight="1" x14ac:dyDescent="0.3">
      <c r="A219" s="14"/>
      <c r="B219" s="89"/>
      <c r="C219" s="40" t="s">
        <v>284</v>
      </c>
      <c r="D219" s="41">
        <v>1</v>
      </c>
      <c r="E219" s="42">
        <v>0</v>
      </c>
      <c r="F219" s="14"/>
    </row>
    <row r="220" spans="1:6" ht="14.45" customHeight="1" x14ac:dyDescent="0.3">
      <c r="A220" s="14"/>
      <c r="B220" s="89"/>
      <c r="C220" s="40" t="s">
        <v>214</v>
      </c>
      <c r="D220" s="41">
        <v>8</v>
      </c>
      <c r="E220" s="42">
        <v>3.0000000000000001E-3</v>
      </c>
      <c r="F220" s="14"/>
    </row>
    <row r="221" spans="1:6" ht="14.45" customHeight="1" x14ac:dyDescent="0.3">
      <c r="A221" s="14"/>
      <c r="B221" s="89"/>
      <c r="C221" s="40" t="s">
        <v>216</v>
      </c>
      <c r="D221" s="41">
        <v>1</v>
      </c>
      <c r="E221" s="42">
        <v>0</v>
      </c>
      <c r="F221" s="14"/>
    </row>
    <row r="222" spans="1:6" ht="14.45" customHeight="1" x14ac:dyDescent="0.3">
      <c r="A222" s="14"/>
      <c r="B222" s="89"/>
      <c r="C222" s="40" t="s">
        <v>217</v>
      </c>
      <c r="D222" s="41">
        <v>3</v>
      </c>
      <c r="E222" s="42">
        <v>1E-3</v>
      </c>
      <c r="F222" s="14"/>
    </row>
    <row r="223" spans="1:6" ht="14.45" customHeight="1" x14ac:dyDescent="0.3">
      <c r="A223" s="14"/>
      <c r="B223" s="89"/>
      <c r="C223" s="40" t="s">
        <v>222</v>
      </c>
      <c r="D223" s="41">
        <v>1</v>
      </c>
      <c r="E223" s="42">
        <v>0</v>
      </c>
      <c r="F223" s="14"/>
    </row>
    <row r="224" spans="1:6" ht="14.45" customHeight="1" x14ac:dyDescent="0.3">
      <c r="A224" s="14"/>
      <c r="B224" s="89"/>
      <c r="C224" s="40" t="s">
        <v>223</v>
      </c>
      <c r="D224" s="41">
        <v>1</v>
      </c>
      <c r="E224" s="42">
        <v>0</v>
      </c>
      <c r="F224" s="14"/>
    </row>
    <row r="225" spans="1:6" ht="14.45" customHeight="1" x14ac:dyDescent="0.3">
      <c r="A225" s="14"/>
      <c r="B225" s="90"/>
      <c r="C225" s="43" t="s">
        <v>318</v>
      </c>
      <c r="D225" s="44">
        <v>17</v>
      </c>
      <c r="E225" s="45">
        <v>7.0000000000000001E-3</v>
      </c>
      <c r="F225" s="14"/>
    </row>
    <row r="226" spans="1:6" ht="14.45" customHeight="1" x14ac:dyDescent="0.3">
      <c r="A226" s="14"/>
      <c r="B226" s="88" t="s">
        <v>79</v>
      </c>
      <c r="C226" s="40" t="s">
        <v>278</v>
      </c>
      <c r="D226" s="41">
        <v>1</v>
      </c>
      <c r="E226" s="42">
        <v>0</v>
      </c>
      <c r="F226" s="14"/>
    </row>
    <row r="227" spans="1:6" ht="14.45" customHeight="1" x14ac:dyDescent="0.3">
      <c r="A227" s="14"/>
      <c r="B227" s="89"/>
      <c r="C227" s="40" t="s">
        <v>280</v>
      </c>
      <c r="D227" s="41">
        <v>1</v>
      </c>
      <c r="E227" s="42">
        <v>0</v>
      </c>
      <c r="F227" s="14"/>
    </row>
    <row r="228" spans="1:6" ht="14.45" customHeight="1" x14ac:dyDescent="0.3">
      <c r="A228" s="14"/>
      <c r="B228" s="89"/>
      <c r="C228" s="40" t="s">
        <v>210</v>
      </c>
      <c r="D228" s="41">
        <v>1</v>
      </c>
      <c r="E228" s="42">
        <v>0</v>
      </c>
      <c r="F228" s="14"/>
    </row>
    <row r="229" spans="1:6" ht="14.45" customHeight="1" x14ac:dyDescent="0.3">
      <c r="A229" s="14"/>
      <c r="B229" s="89"/>
      <c r="C229" s="40" t="s">
        <v>284</v>
      </c>
      <c r="D229" s="41">
        <v>1</v>
      </c>
      <c r="E229" s="42">
        <v>0</v>
      </c>
      <c r="F229" s="14"/>
    </row>
    <row r="230" spans="1:6" ht="14.45" customHeight="1" x14ac:dyDescent="0.3">
      <c r="A230" s="14"/>
      <c r="B230" s="89"/>
      <c r="C230" s="40" t="s">
        <v>214</v>
      </c>
      <c r="D230" s="41">
        <v>6</v>
      </c>
      <c r="E230" s="42">
        <v>2E-3</v>
      </c>
      <c r="F230" s="14"/>
    </row>
    <row r="231" spans="1:6" ht="14.45" customHeight="1" x14ac:dyDescent="0.3">
      <c r="A231" s="14"/>
      <c r="B231" s="89"/>
      <c r="C231" s="40" t="s">
        <v>223</v>
      </c>
      <c r="D231" s="41">
        <v>1</v>
      </c>
      <c r="E231" s="42">
        <v>0</v>
      </c>
      <c r="F231" s="14"/>
    </row>
    <row r="232" spans="1:6" ht="14.45" customHeight="1" x14ac:dyDescent="0.3">
      <c r="A232" s="14"/>
      <c r="B232" s="90"/>
      <c r="C232" s="43" t="s">
        <v>318</v>
      </c>
      <c r="D232" s="44">
        <v>11</v>
      </c>
      <c r="E232" s="45">
        <v>5.0000000000000001E-3</v>
      </c>
      <c r="F232" s="14"/>
    </row>
    <row r="233" spans="1:6" ht="14.45" customHeight="1" x14ac:dyDescent="0.3">
      <c r="A233" s="14"/>
      <c r="B233" s="88" t="s">
        <v>64</v>
      </c>
      <c r="C233" s="40" t="s">
        <v>279</v>
      </c>
      <c r="D233" s="41">
        <v>1</v>
      </c>
      <c r="E233" s="42">
        <v>0</v>
      </c>
      <c r="F233" s="14"/>
    </row>
    <row r="234" spans="1:6" ht="14.45" customHeight="1" x14ac:dyDescent="0.3">
      <c r="A234" s="14"/>
      <c r="B234" s="89"/>
      <c r="C234" s="40" t="s">
        <v>283</v>
      </c>
      <c r="D234" s="41">
        <v>1</v>
      </c>
      <c r="E234" s="42">
        <v>0</v>
      </c>
      <c r="F234" s="14"/>
    </row>
    <row r="235" spans="1:6" ht="14.45" customHeight="1" x14ac:dyDescent="0.3">
      <c r="A235" s="14"/>
      <c r="B235" s="89"/>
      <c r="C235" s="40" t="s">
        <v>284</v>
      </c>
      <c r="D235" s="41">
        <v>2</v>
      </c>
      <c r="E235" s="42">
        <v>1E-3</v>
      </c>
      <c r="F235" s="14"/>
    </row>
    <row r="236" spans="1:6" ht="14.45" customHeight="1" x14ac:dyDescent="0.3">
      <c r="A236" s="14"/>
      <c r="B236" s="89"/>
      <c r="C236" s="40" t="s">
        <v>214</v>
      </c>
      <c r="D236" s="41">
        <v>1</v>
      </c>
      <c r="E236" s="42">
        <v>0</v>
      </c>
      <c r="F236" s="14"/>
    </row>
    <row r="237" spans="1:6" ht="14.45" customHeight="1" x14ac:dyDescent="0.3">
      <c r="A237" s="14"/>
      <c r="B237" s="89"/>
      <c r="C237" s="40" t="s">
        <v>217</v>
      </c>
      <c r="D237" s="41">
        <v>3</v>
      </c>
      <c r="E237" s="42">
        <v>1E-3</v>
      </c>
      <c r="F237" s="14"/>
    </row>
    <row r="238" spans="1:6" ht="14.45" customHeight="1" x14ac:dyDescent="0.3">
      <c r="A238" s="14"/>
      <c r="B238" s="89"/>
      <c r="C238" s="40" t="s">
        <v>223</v>
      </c>
      <c r="D238" s="41">
        <v>2</v>
      </c>
      <c r="E238" s="42">
        <v>1E-3</v>
      </c>
      <c r="F238" s="14"/>
    </row>
    <row r="239" spans="1:6" ht="14.45" customHeight="1" x14ac:dyDescent="0.3">
      <c r="A239" s="14"/>
      <c r="B239" s="90"/>
      <c r="C239" s="47" t="s">
        <v>318</v>
      </c>
      <c r="D239" s="44">
        <v>10</v>
      </c>
      <c r="E239" s="46">
        <v>4.0000000000000001E-3</v>
      </c>
      <c r="F239" s="14"/>
    </row>
    <row r="240" spans="1:6" ht="14.45" customHeight="1" x14ac:dyDescent="0.3">
      <c r="A240" s="14"/>
      <c r="B240" s="88" t="s">
        <v>47</v>
      </c>
      <c r="C240" s="40" t="s">
        <v>277</v>
      </c>
      <c r="D240" s="41">
        <v>3</v>
      </c>
      <c r="E240" s="42">
        <v>1E-3</v>
      </c>
      <c r="F240" s="14"/>
    </row>
    <row r="241" spans="1:6" ht="14.45" customHeight="1" x14ac:dyDescent="0.3">
      <c r="A241" s="14"/>
      <c r="B241" s="89"/>
      <c r="C241" s="40" t="s">
        <v>280</v>
      </c>
      <c r="D241" s="41">
        <v>2</v>
      </c>
      <c r="E241" s="42">
        <v>1E-3</v>
      </c>
      <c r="F241" s="14"/>
    </row>
    <row r="242" spans="1:6" ht="14.45" customHeight="1" x14ac:dyDescent="0.3">
      <c r="A242" s="14"/>
      <c r="B242" s="89"/>
      <c r="C242" s="40" t="s">
        <v>281</v>
      </c>
      <c r="D242" s="41">
        <v>11</v>
      </c>
      <c r="E242" s="42">
        <v>5.0000000000000001E-3</v>
      </c>
      <c r="F242" s="14"/>
    </row>
    <row r="243" spans="1:6" ht="14.45" customHeight="1" x14ac:dyDescent="0.3">
      <c r="A243" s="14"/>
      <c r="B243" s="89"/>
      <c r="C243" s="40" t="s">
        <v>210</v>
      </c>
      <c r="D243" s="41">
        <v>7</v>
      </c>
      <c r="E243" s="42">
        <v>3.0000000000000001E-3</v>
      </c>
      <c r="F243" s="14"/>
    </row>
    <row r="244" spans="1:6" ht="14.45" customHeight="1" x14ac:dyDescent="0.3">
      <c r="A244" s="14"/>
      <c r="B244" s="89"/>
      <c r="C244" s="40" t="s">
        <v>282</v>
      </c>
      <c r="D244" s="41">
        <v>1</v>
      </c>
      <c r="E244" s="42">
        <v>0</v>
      </c>
      <c r="F244" s="14"/>
    </row>
    <row r="245" spans="1:6" ht="14.45" customHeight="1" x14ac:dyDescent="0.3">
      <c r="A245" s="14"/>
      <c r="B245" s="89"/>
      <c r="C245" s="40" t="s">
        <v>283</v>
      </c>
      <c r="D245" s="41">
        <v>4</v>
      </c>
      <c r="E245" s="42">
        <v>2E-3</v>
      </c>
      <c r="F245" s="14"/>
    </row>
    <row r="246" spans="1:6" ht="14.45" customHeight="1" x14ac:dyDescent="0.3">
      <c r="A246" s="14"/>
      <c r="B246" s="89"/>
      <c r="C246" s="40" t="s">
        <v>284</v>
      </c>
      <c r="D246" s="41">
        <v>3</v>
      </c>
      <c r="E246" s="42">
        <v>1E-3</v>
      </c>
      <c r="F246" s="14"/>
    </row>
    <row r="247" spans="1:6" ht="14.45" customHeight="1" x14ac:dyDescent="0.3">
      <c r="A247" s="14"/>
      <c r="B247" s="89"/>
      <c r="C247" s="40" t="s">
        <v>214</v>
      </c>
      <c r="D247" s="41">
        <v>39</v>
      </c>
      <c r="E247" s="42">
        <v>1.6E-2</v>
      </c>
      <c r="F247" s="14"/>
    </row>
    <row r="248" spans="1:6" ht="14.45" customHeight="1" x14ac:dyDescent="0.3">
      <c r="A248" s="14"/>
      <c r="B248" s="89"/>
      <c r="C248" s="40" t="s">
        <v>215</v>
      </c>
      <c r="D248" s="41">
        <v>3</v>
      </c>
      <c r="E248" s="42">
        <v>1E-3</v>
      </c>
      <c r="F248" s="14"/>
    </row>
    <row r="249" spans="1:6" ht="14.45" customHeight="1" x14ac:dyDescent="0.3">
      <c r="A249" s="14"/>
      <c r="B249" s="89"/>
      <c r="C249" s="40" t="s">
        <v>216</v>
      </c>
      <c r="D249" s="41">
        <v>4</v>
      </c>
      <c r="E249" s="42">
        <v>2E-3</v>
      </c>
      <c r="F249" s="14"/>
    </row>
    <row r="250" spans="1:6" ht="14.45" customHeight="1" x14ac:dyDescent="0.3">
      <c r="A250" s="14"/>
      <c r="B250" s="89"/>
      <c r="C250" s="40" t="s">
        <v>217</v>
      </c>
      <c r="D250" s="41">
        <v>23</v>
      </c>
      <c r="E250" s="42">
        <v>0.01</v>
      </c>
      <c r="F250" s="14"/>
    </row>
    <row r="251" spans="1:6" ht="14.45" customHeight="1" x14ac:dyDescent="0.3">
      <c r="A251" s="14"/>
      <c r="B251" s="89"/>
      <c r="C251" s="40" t="s">
        <v>285</v>
      </c>
      <c r="D251" s="41">
        <v>2</v>
      </c>
      <c r="E251" s="42">
        <v>1E-3</v>
      </c>
      <c r="F251" s="14"/>
    </row>
    <row r="252" spans="1:6" ht="14.45" customHeight="1" x14ac:dyDescent="0.3">
      <c r="A252" s="14"/>
      <c r="B252" s="89"/>
      <c r="C252" s="40" t="s">
        <v>286</v>
      </c>
      <c r="D252" s="41">
        <v>1</v>
      </c>
      <c r="E252" s="42">
        <v>0</v>
      </c>
      <c r="F252" s="14"/>
    </row>
    <row r="253" spans="1:6" ht="14.45" customHeight="1" x14ac:dyDescent="0.3">
      <c r="A253" s="14"/>
      <c r="B253" s="89"/>
      <c r="C253" s="40" t="s">
        <v>222</v>
      </c>
      <c r="D253" s="41">
        <v>1</v>
      </c>
      <c r="E253" s="42">
        <v>0</v>
      </c>
      <c r="F253" s="14"/>
    </row>
    <row r="254" spans="1:6" ht="14.45" customHeight="1" x14ac:dyDescent="0.3">
      <c r="A254" s="14"/>
      <c r="B254" s="89"/>
      <c r="C254" s="40" t="s">
        <v>223</v>
      </c>
      <c r="D254" s="41">
        <v>3</v>
      </c>
      <c r="E254" s="42">
        <v>1E-3</v>
      </c>
      <c r="F254" s="14"/>
    </row>
    <row r="255" spans="1:6" ht="14.45" customHeight="1" x14ac:dyDescent="0.3">
      <c r="A255" s="14"/>
      <c r="B255" s="90"/>
      <c r="C255" s="43" t="s">
        <v>318</v>
      </c>
      <c r="D255" s="44">
        <v>107</v>
      </c>
      <c r="E255" s="45">
        <v>4.4999999999999998E-2</v>
      </c>
      <c r="F255" s="14"/>
    </row>
    <row r="256" spans="1:6" ht="14.45" customHeight="1" x14ac:dyDescent="0.3">
      <c r="A256" s="14"/>
      <c r="B256" s="88" t="s">
        <v>69</v>
      </c>
      <c r="C256" s="40" t="s">
        <v>283</v>
      </c>
      <c r="D256" s="41">
        <v>1</v>
      </c>
      <c r="E256" s="42">
        <v>0</v>
      </c>
      <c r="F256" s="14"/>
    </row>
    <row r="257" spans="1:6" ht="14.45" customHeight="1" x14ac:dyDescent="0.3">
      <c r="A257" s="14"/>
      <c r="B257" s="89"/>
      <c r="C257" s="40" t="s">
        <v>217</v>
      </c>
      <c r="D257" s="41">
        <v>4</v>
      </c>
      <c r="E257" s="42">
        <v>2E-3</v>
      </c>
      <c r="F257" s="14"/>
    </row>
    <row r="258" spans="1:6" ht="14.45" customHeight="1" x14ac:dyDescent="0.3">
      <c r="A258" s="14"/>
      <c r="B258" s="89"/>
      <c r="C258" s="40" t="s">
        <v>223</v>
      </c>
      <c r="D258" s="41">
        <v>1</v>
      </c>
      <c r="E258" s="42">
        <v>0</v>
      </c>
      <c r="F258" s="14"/>
    </row>
    <row r="259" spans="1:6" ht="14.45" customHeight="1" x14ac:dyDescent="0.3">
      <c r="A259" s="14"/>
      <c r="B259" s="90"/>
      <c r="C259" s="43" t="s">
        <v>318</v>
      </c>
      <c r="D259" s="44">
        <v>6</v>
      </c>
      <c r="E259" s="45">
        <v>2E-3</v>
      </c>
      <c r="F259" s="14"/>
    </row>
    <row r="260" spans="1:6" ht="14.45" customHeight="1" x14ac:dyDescent="0.3">
      <c r="A260" s="14"/>
      <c r="B260" s="88" t="s">
        <v>45</v>
      </c>
      <c r="C260" s="40" t="s">
        <v>203</v>
      </c>
      <c r="D260" s="41">
        <v>3</v>
      </c>
      <c r="E260" s="42">
        <v>1E-3</v>
      </c>
      <c r="F260" s="14"/>
    </row>
    <row r="261" spans="1:6" ht="14.45" customHeight="1" x14ac:dyDescent="0.3">
      <c r="A261" s="14"/>
      <c r="B261" s="89"/>
      <c r="C261" s="40" t="s">
        <v>276</v>
      </c>
      <c r="D261" s="41">
        <v>1</v>
      </c>
      <c r="E261" s="42">
        <v>0</v>
      </c>
      <c r="F261" s="14"/>
    </row>
    <row r="262" spans="1:6" ht="14.45" customHeight="1" x14ac:dyDescent="0.3">
      <c r="A262" s="14"/>
      <c r="B262" s="89"/>
      <c r="C262" s="40" t="s">
        <v>277</v>
      </c>
      <c r="D262" s="41">
        <v>3</v>
      </c>
      <c r="E262" s="42">
        <v>1E-3</v>
      </c>
      <c r="F262" s="14"/>
    </row>
    <row r="263" spans="1:6" ht="14.45" customHeight="1" x14ac:dyDescent="0.3">
      <c r="A263" s="14"/>
      <c r="B263" s="89"/>
      <c r="C263" s="40" t="s">
        <v>278</v>
      </c>
      <c r="D263" s="41">
        <v>1</v>
      </c>
      <c r="E263" s="42">
        <v>0</v>
      </c>
      <c r="F263" s="14"/>
    </row>
    <row r="264" spans="1:6" ht="14.45" customHeight="1" x14ac:dyDescent="0.3">
      <c r="A264" s="14"/>
      <c r="B264" s="89"/>
      <c r="C264" s="40" t="s">
        <v>279</v>
      </c>
      <c r="D264" s="41">
        <v>1</v>
      </c>
      <c r="E264" s="42">
        <v>0</v>
      </c>
      <c r="F264" s="14"/>
    </row>
    <row r="265" spans="1:6" ht="14.45" customHeight="1" x14ac:dyDescent="0.3">
      <c r="A265" s="14"/>
      <c r="B265" s="89"/>
      <c r="C265" s="40" t="s">
        <v>280</v>
      </c>
      <c r="D265" s="41">
        <v>1</v>
      </c>
      <c r="E265" s="42">
        <v>0</v>
      </c>
      <c r="F265" s="14"/>
    </row>
    <row r="266" spans="1:6" ht="14.45" customHeight="1" x14ac:dyDescent="0.3">
      <c r="A266" s="14"/>
      <c r="B266" s="89"/>
      <c r="C266" s="40" t="s">
        <v>281</v>
      </c>
      <c r="D266" s="41">
        <v>10</v>
      </c>
      <c r="E266" s="42">
        <v>4.0000000000000001E-3</v>
      </c>
      <c r="F266" s="14"/>
    </row>
    <row r="267" spans="1:6" ht="14.45" customHeight="1" x14ac:dyDescent="0.3">
      <c r="A267" s="14"/>
      <c r="B267" s="89"/>
      <c r="C267" s="40" t="s">
        <v>210</v>
      </c>
      <c r="D267" s="41">
        <v>10</v>
      </c>
      <c r="E267" s="42">
        <v>4.0000000000000001E-3</v>
      </c>
      <c r="F267" s="14"/>
    </row>
    <row r="268" spans="1:6" ht="14.45" customHeight="1" x14ac:dyDescent="0.3">
      <c r="A268" s="14"/>
      <c r="B268" s="89"/>
      <c r="C268" s="40" t="s">
        <v>282</v>
      </c>
      <c r="D268" s="41">
        <v>2</v>
      </c>
      <c r="E268" s="42">
        <v>1E-3</v>
      </c>
      <c r="F268" s="14"/>
    </row>
    <row r="269" spans="1:6" ht="14.45" customHeight="1" x14ac:dyDescent="0.3">
      <c r="A269" s="14"/>
      <c r="B269" s="89"/>
      <c r="C269" s="40" t="s">
        <v>283</v>
      </c>
      <c r="D269" s="41">
        <v>5</v>
      </c>
      <c r="E269" s="42">
        <v>2E-3</v>
      </c>
      <c r="F269" s="14"/>
    </row>
    <row r="270" spans="1:6" ht="14.45" customHeight="1" x14ac:dyDescent="0.3">
      <c r="A270" s="14"/>
      <c r="B270" s="89"/>
      <c r="C270" s="40" t="s">
        <v>284</v>
      </c>
      <c r="D270" s="41">
        <v>3</v>
      </c>
      <c r="E270" s="42">
        <v>1E-3</v>
      </c>
      <c r="F270" s="14"/>
    </row>
    <row r="271" spans="1:6" ht="14.45" customHeight="1" x14ac:dyDescent="0.3">
      <c r="A271" s="14"/>
      <c r="B271" s="89"/>
      <c r="C271" s="40" t="s">
        <v>214</v>
      </c>
      <c r="D271" s="41">
        <v>24</v>
      </c>
      <c r="E271" s="42">
        <v>0.01</v>
      </c>
      <c r="F271" s="14"/>
    </row>
    <row r="272" spans="1:6" ht="14.45" customHeight="1" x14ac:dyDescent="0.3">
      <c r="A272" s="14"/>
      <c r="B272" s="89"/>
      <c r="C272" s="40" t="s">
        <v>215</v>
      </c>
      <c r="D272" s="41">
        <v>2</v>
      </c>
      <c r="E272" s="42">
        <v>1E-3</v>
      </c>
      <c r="F272" s="14"/>
    </row>
    <row r="273" spans="1:6" ht="14.45" customHeight="1" x14ac:dyDescent="0.3">
      <c r="A273" s="14"/>
      <c r="B273" s="89"/>
      <c r="C273" s="40" t="s">
        <v>216</v>
      </c>
      <c r="D273" s="41">
        <v>9</v>
      </c>
      <c r="E273" s="42">
        <v>4.0000000000000001E-3</v>
      </c>
      <c r="F273" s="14"/>
    </row>
    <row r="274" spans="1:6" ht="14.45" customHeight="1" x14ac:dyDescent="0.3">
      <c r="A274" s="14"/>
      <c r="B274" s="89"/>
      <c r="C274" s="40" t="s">
        <v>217</v>
      </c>
      <c r="D274" s="41">
        <v>11</v>
      </c>
      <c r="E274" s="42">
        <v>5.0000000000000001E-3</v>
      </c>
      <c r="F274" s="14"/>
    </row>
    <row r="275" spans="1:6" ht="14.45" customHeight="1" x14ac:dyDescent="0.3">
      <c r="A275" s="14"/>
      <c r="B275" s="89"/>
      <c r="C275" s="40" t="s">
        <v>285</v>
      </c>
      <c r="D275" s="41">
        <v>2</v>
      </c>
      <c r="E275" s="42">
        <v>1E-3</v>
      </c>
      <c r="F275" s="14"/>
    </row>
    <row r="276" spans="1:6" ht="14.45" customHeight="1" x14ac:dyDescent="0.3">
      <c r="A276" s="14"/>
      <c r="B276" s="89"/>
      <c r="C276" s="40" t="s">
        <v>222</v>
      </c>
      <c r="D276" s="41">
        <v>1</v>
      </c>
      <c r="E276" s="42">
        <v>0</v>
      </c>
      <c r="F276" s="14"/>
    </row>
    <row r="277" spans="1:6" ht="14.45" customHeight="1" x14ac:dyDescent="0.3">
      <c r="A277" s="14"/>
      <c r="B277" s="89"/>
      <c r="C277" s="40" t="s">
        <v>223</v>
      </c>
      <c r="D277" s="41">
        <v>4</v>
      </c>
      <c r="E277" s="42">
        <v>2E-3</v>
      </c>
      <c r="F277" s="14"/>
    </row>
    <row r="278" spans="1:6" ht="14.45" customHeight="1" x14ac:dyDescent="0.3">
      <c r="A278" s="14"/>
      <c r="B278" s="90"/>
      <c r="C278" s="43" t="s">
        <v>318</v>
      </c>
      <c r="D278" s="44">
        <v>93</v>
      </c>
      <c r="E278" s="45">
        <v>3.9E-2</v>
      </c>
      <c r="F278" s="14"/>
    </row>
    <row r="279" spans="1:6" ht="14.45" customHeight="1" x14ac:dyDescent="0.3">
      <c r="A279" s="14"/>
      <c r="B279" s="88" t="s">
        <v>84</v>
      </c>
      <c r="C279" s="40" t="s">
        <v>217</v>
      </c>
      <c r="D279" s="41">
        <v>1</v>
      </c>
      <c r="E279" s="42">
        <v>0</v>
      </c>
      <c r="F279" s="14"/>
    </row>
    <row r="280" spans="1:6" ht="14.45" customHeight="1" x14ac:dyDescent="0.3">
      <c r="A280" s="14"/>
      <c r="B280" s="90"/>
      <c r="C280" s="43" t="s">
        <v>318</v>
      </c>
      <c r="D280" s="44">
        <v>1</v>
      </c>
      <c r="E280" s="45">
        <v>0</v>
      </c>
      <c r="F280" s="14"/>
    </row>
    <row r="281" spans="1:6" ht="14.45" customHeight="1" x14ac:dyDescent="0.3">
      <c r="A281" s="14"/>
      <c r="B281" s="88" t="s">
        <v>56</v>
      </c>
      <c r="C281" s="40" t="s">
        <v>277</v>
      </c>
      <c r="D281" s="41">
        <v>1</v>
      </c>
      <c r="E281" s="42">
        <v>0</v>
      </c>
      <c r="F281" s="14"/>
    </row>
    <row r="282" spans="1:6" ht="14.45" customHeight="1" x14ac:dyDescent="0.3">
      <c r="A282" s="14"/>
      <c r="B282" s="89"/>
      <c r="C282" s="40" t="s">
        <v>281</v>
      </c>
      <c r="D282" s="41">
        <v>1</v>
      </c>
      <c r="E282" s="42">
        <v>0</v>
      </c>
      <c r="F282" s="14"/>
    </row>
    <row r="283" spans="1:6" ht="14.45" customHeight="1" x14ac:dyDescent="0.3">
      <c r="A283" s="14"/>
      <c r="B283" s="89"/>
      <c r="C283" s="40" t="s">
        <v>210</v>
      </c>
      <c r="D283" s="41">
        <v>3</v>
      </c>
      <c r="E283" s="42">
        <v>1E-3</v>
      </c>
      <c r="F283" s="14"/>
    </row>
    <row r="284" spans="1:6" ht="14.45" customHeight="1" x14ac:dyDescent="0.3">
      <c r="A284" s="14"/>
      <c r="B284" s="89"/>
      <c r="C284" s="40" t="s">
        <v>284</v>
      </c>
      <c r="D284" s="41">
        <v>4</v>
      </c>
      <c r="E284" s="42">
        <v>2E-3</v>
      </c>
      <c r="F284" s="14"/>
    </row>
    <row r="285" spans="1:6" ht="14.45" customHeight="1" x14ac:dyDescent="0.3">
      <c r="A285" s="14"/>
      <c r="B285" s="89"/>
      <c r="C285" s="40" t="s">
        <v>214</v>
      </c>
      <c r="D285" s="41">
        <v>13</v>
      </c>
      <c r="E285" s="42">
        <v>5.0000000000000001E-3</v>
      </c>
      <c r="F285" s="14"/>
    </row>
    <row r="286" spans="1:6" ht="14.45" customHeight="1" x14ac:dyDescent="0.3">
      <c r="A286" s="14"/>
      <c r="B286" s="89"/>
      <c r="C286" s="40" t="s">
        <v>216</v>
      </c>
      <c r="D286" s="41">
        <v>1</v>
      </c>
      <c r="E286" s="42">
        <v>0</v>
      </c>
      <c r="F286" s="14"/>
    </row>
    <row r="287" spans="1:6" ht="14.45" customHeight="1" x14ac:dyDescent="0.3">
      <c r="A287" s="14"/>
      <c r="B287" s="89"/>
      <c r="C287" s="40" t="s">
        <v>217</v>
      </c>
      <c r="D287" s="41">
        <v>3</v>
      </c>
      <c r="E287" s="42">
        <v>1E-3</v>
      </c>
      <c r="F287" s="14"/>
    </row>
    <row r="288" spans="1:6" ht="14.45" customHeight="1" x14ac:dyDescent="0.3">
      <c r="A288" s="14"/>
      <c r="B288" s="89"/>
      <c r="C288" s="40" t="s">
        <v>222</v>
      </c>
      <c r="D288" s="41">
        <v>1</v>
      </c>
      <c r="E288" s="42">
        <v>0</v>
      </c>
      <c r="F288" s="14"/>
    </row>
    <row r="289" spans="1:6" ht="14.45" customHeight="1" x14ac:dyDescent="0.3">
      <c r="A289" s="14"/>
      <c r="B289" s="90"/>
      <c r="C289" s="43" t="s">
        <v>318</v>
      </c>
      <c r="D289" s="44">
        <v>27</v>
      </c>
      <c r="E289" s="45">
        <v>1.0999999999999999E-2</v>
      </c>
      <c r="F289" s="14"/>
    </row>
    <row r="290" spans="1:6" ht="14.45" customHeight="1" x14ac:dyDescent="0.3">
      <c r="A290" s="14"/>
      <c r="B290" s="88" t="s">
        <v>50</v>
      </c>
      <c r="C290" s="40" t="s">
        <v>210</v>
      </c>
      <c r="D290" s="41">
        <v>3</v>
      </c>
      <c r="E290" s="42">
        <v>1E-3</v>
      </c>
      <c r="F290" s="14"/>
    </row>
    <row r="291" spans="1:6" ht="14.45" customHeight="1" x14ac:dyDescent="0.3">
      <c r="A291" s="14"/>
      <c r="B291" s="89"/>
      <c r="C291" s="40" t="s">
        <v>284</v>
      </c>
      <c r="D291" s="41">
        <v>4</v>
      </c>
      <c r="E291" s="42">
        <v>2E-3</v>
      </c>
      <c r="F291" s="14"/>
    </row>
    <row r="292" spans="1:6" ht="14.45" customHeight="1" x14ac:dyDescent="0.3">
      <c r="A292" s="14"/>
      <c r="B292" s="89"/>
      <c r="C292" s="40" t="s">
        <v>214</v>
      </c>
      <c r="D292" s="41">
        <v>11</v>
      </c>
      <c r="E292" s="42">
        <v>5.0000000000000001E-3</v>
      </c>
      <c r="F292" s="14"/>
    </row>
    <row r="293" spans="1:6" ht="14.45" customHeight="1" x14ac:dyDescent="0.3">
      <c r="A293" s="14"/>
      <c r="B293" s="89"/>
      <c r="C293" s="40" t="s">
        <v>216</v>
      </c>
      <c r="D293" s="41">
        <v>2</v>
      </c>
      <c r="E293" s="42">
        <v>1E-3</v>
      </c>
      <c r="F293" s="14"/>
    </row>
    <row r="294" spans="1:6" ht="14.45" customHeight="1" x14ac:dyDescent="0.3">
      <c r="A294" s="14"/>
      <c r="B294" s="89"/>
      <c r="C294" s="40" t="s">
        <v>217</v>
      </c>
      <c r="D294" s="41">
        <v>10</v>
      </c>
      <c r="E294" s="42">
        <v>4.0000000000000001E-3</v>
      </c>
      <c r="F294" s="14"/>
    </row>
    <row r="295" spans="1:6" ht="14.45" customHeight="1" x14ac:dyDescent="0.3">
      <c r="A295" s="14"/>
      <c r="B295" s="89"/>
      <c r="C295" s="40" t="s">
        <v>223</v>
      </c>
      <c r="D295" s="41">
        <v>2</v>
      </c>
      <c r="E295" s="42">
        <v>1E-3</v>
      </c>
      <c r="F295" s="14"/>
    </row>
    <row r="296" spans="1:6" ht="14.45" customHeight="1" x14ac:dyDescent="0.3">
      <c r="A296" s="14"/>
      <c r="B296" s="90"/>
      <c r="C296" s="43" t="s">
        <v>318</v>
      </c>
      <c r="D296" s="44">
        <v>32</v>
      </c>
      <c r="E296" s="45">
        <v>1.2999999999999999E-2</v>
      </c>
      <c r="F296" s="14"/>
    </row>
    <row r="297" spans="1:6" ht="14.45" customHeight="1" x14ac:dyDescent="0.3">
      <c r="A297" s="14"/>
      <c r="B297" s="88" t="s">
        <v>70</v>
      </c>
      <c r="C297" s="40" t="s">
        <v>279</v>
      </c>
      <c r="D297" s="41">
        <v>1</v>
      </c>
      <c r="E297" s="42">
        <v>0</v>
      </c>
      <c r="F297" s="14"/>
    </row>
    <row r="298" spans="1:6" ht="14.45" customHeight="1" x14ac:dyDescent="0.3">
      <c r="A298" s="14"/>
      <c r="B298" s="89"/>
      <c r="C298" s="40" t="s">
        <v>214</v>
      </c>
      <c r="D298" s="41">
        <v>4</v>
      </c>
      <c r="E298" s="42">
        <v>2E-3</v>
      </c>
      <c r="F298" s="14"/>
    </row>
    <row r="299" spans="1:6" ht="14.45" customHeight="1" x14ac:dyDescent="0.3">
      <c r="A299" s="14"/>
      <c r="B299" s="89"/>
      <c r="C299" s="40" t="s">
        <v>216</v>
      </c>
      <c r="D299" s="41">
        <v>2</v>
      </c>
      <c r="E299" s="42">
        <v>1E-3</v>
      </c>
      <c r="F299" s="14"/>
    </row>
    <row r="300" spans="1:6" ht="14.45" customHeight="1" x14ac:dyDescent="0.3">
      <c r="A300" s="14"/>
      <c r="B300" s="89"/>
      <c r="C300" s="40" t="s">
        <v>223</v>
      </c>
      <c r="D300" s="41">
        <v>1</v>
      </c>
      <c r="E300" s="42">
        <v>0</v>
      </c>
      <c r="F300" s="14"/>
    </row>
    <row r="301" spans="1:6" ht="14.45" customHeight="1" x14ac:dyDescent="0.3">
      <c r="A301" s="14"/>
      <c r="B301" s="90"/>
      <c r="C301" s="43" t="s">
        <v>318</v>
      </c>
      <c r="D301" s="44">
        <v>8</v>
      </c>
      <c r="E301" s="45">
        <v>3.0000000000000001E-3</v>
      </c>
      <c r="F301" s="14"/>
    </row>
    <row r="302" spans="1:6" ht="14.45" customHeight="1" x14ac:dyDescent="0.3">
      <c r="A302" s="14"/>
      <c r="B302" s="88" t="s">
        <v>60</v>
      </c>
      <c r="C302" s="40" t="s">
        <v>203</v>
      </c>
      <c r="D302" s="41">
        <v>1</v>
      </c>
      <c r="E302" s="42">
        <v>0</v>
      </c>
      <c r="F302" s="14"/>
    </row>
    <row r="303" spans="1:6" ht="14.45" customHeight="1" x14ac:dyDescent="0.3">
      <c r="A303" s="14"/>
      <c r="B303" s="89"/>
      <c r="C303" s="40" t="s">
        <v>281</v>
      </c>
      <c r="D303" s="41">
        <v>4</v>
      </c>
      <c r="E303" s="42">
        <v>2E-3</v>
      </c>
      <c r="F303" s="14"/>
    </row>
    <row r="304" spans="1:6" ht="14.45" customHeight="1" x14ac:dyDescent="0.3">
      <c r="A304" s="14"/>
      <c r="B304" s="89"/>
      <c r="C304" s="40" t="s">
        <v>284</v>
      </c>
      <c r="D304" s="41">
        <v>1</v>
      </c>
      <c r="E304" s="42">
        <v>0</v>
      </c>
      <c r="F304" s="14"/>
    </row>
    <row r="305" spans="1:6" ht="14.45" customHeight="1" x14ac:dyDescent="0.3">
      <c r="A305" s="14"/>
      <c r="B305" s="89"/>
      <c r="C305" s="40" t="s">
        <v>214</v>
      </c>
      <c r="D305" s="41">
        <v>4</v>
      </c>
      <c r="E305" s="42">
        <v>2E-3</v>
      </c>
      <c r="F305" s="14"/>
    </row>
    <row r="306" spans="1:6" ht="14.45" customHeight="1" x14ac:dyDescent="0.3">
      <c r="A306" s="14"/>
      <c r="B306" s="89"/>
      <c r="C306" s="40" t="s">
        <v>217</v>
      </c>
      <c r="D306" s="41">
        <v>9</v>
      </c>
      <c r="E306" s="42">
        <v>4.0000000000000001E-3</v>
      </c>
      <c r="F306" s="14"/>
    </row>
    <row r="307" spans="1:6" ht="14.45" customHeight="1" x14ac:dyDescent="0.3">
      <c r="A307" s="14"/>
      <c r="B307" s="89"/>
      <c r="C307" s="40" t="s">
        <v>222</v>
      </c>
      <c r="D307" s="41">
        <v>2</v>
      </c>
      <c r="E307" s="42">
        <v>1E-3</v>
      </c>
      <c r="F307" s="14"/>
    </row>
    <row r="308" spans="1:6" ht="14.45" customHeight="1" x14ac:dyDescent="0.3">
      <c r="A308" s="14"/>
      <c r="B308" s="90"/>
      <c r="C308" s="43" t="s">
        <v>318</v>
      </c>
      <c r="D308" s="44">
        <v>21</v>
      </c>
      <c r="E308" s="45">
        <v>8.9999999999999993E-3</v>
      </c>
      <c r="F308" s="14"/>
    </row>
    <row r="309" spans="1:6" ht="14.45" customHeight="1" x14ac:dyDescent="0.3">
      <c r="A309" s="14"/>
      <c r="B309" s="88" t="s">
        <v>76</v>
      </c>
      <c r="C309" s="40" t="s">
        <v>281</v>
      </c>
      <c r="D309" s="41">
        <v>1</v>
      </c>
      <c r="E309" s="42">
        <v>0</v>
      </c>
      <c r="F309" s="14"/>
    </row>
    <row r="310" spans="1:6" ht="14.45" customHeight="1" x14ac:dyDescent="0.3">
      <c r="A310" s="14"/>
      <c r="B310" s="89"/>
      <c r="C310" s="40" t="s">
        <v>214</v>
      </c>
      <c r="D310" s="41">
        <v>2</v>
      </c>
      <c r="E310" s="42">
        <v>1E-3</v>
      </c>
      <c r="F310" s="14"/>
    </row>
    <row r="311" spans="1:6" ht="14.45" customHeight="1" x14ac:dyDescent="0.3">
      <c r="A311" s="14"/>
      <c r="B311" s="89"/>
      <c r="C311" s="40" t="s">
        <v>215</v>
      </c>
      <c r="D311" s="41">
        <v>1</v>
      </c>
      <c r="E311" s="42">
        <v>0</v>
      </c>
      <c r="F311" s="14"/>
    </row>
    <row r="312" spans="1:6" ht="14.45" customHeight="1" x14ac:dyDescent="0.3">
      <c r="A312" s="14"/>
      <c r="B312" s="89"/>
      <c r="C312" s="40" t="s">
        <v>216</v>
      </c>
      <c r="D312" s="41">
        <v>1</v>
      </c>
      <c r="E312" s="42">
        <v>0</v>
      </c>
      <c r="F312" s="14"/>
    </row>
    <row r="313" spans="1:6" ht="14.45" customHeight="1" x14ac:dyDescent="0.3">
      <c r="A313" s="14"/>
      <c r="B313" s="89"/>
      <c r="C313" s="40" t="s">
        <v>217</v>
      </c>
      <c r="D313" s="41">
        <v>2</v>
      </c>
      <c r="E313" s="42">
        <v>1E-3</v>
      </c>
      <c r="F313" s="14"/>
    </row>
    <row r="314" spans="1:6" ht="14.45" customHeight="1" x14ac:dyDescent="0.3">
      <c r="A314" s="14"/>
      <c r="B314" s="89"/>
      <c r="C314" s="40" t="s">
        <v>223</v>
      </c>
      <c r="D314" s="41">
        <v>2</v>
      </c>
      <c r="E314" s="42">
        <v>1E-3</v>
      </c>
      <c r="F314" s="14"/>
    </row>
    <row r="315" spans="1:6" ht="14.45" customHeight="1" x14ac:dyDescent="0.3">
      <c r="A315" s="14"/>
      <c r="B315" s="90"/>
      <c r="C315" s="43" t="s">
        <v>318</v>
      </c>
      <c r="D315" s="44">
        <v>9</v>
      </c>
      <c r="E315" s="45">
        <v>4.0000000000000001E-3</v>
      </c>
      <c r="F315" s="14"/>
    </row>
    <row r="316" spans="1:6" ht="14.45" customHeight="1" x14ac:dyDescent="0.3">
      <c r="A316" s="14"/>
      <c r="B316" s="88" t="s">
        <v>51</v>
      </c>
      <c r="C316" s="40" t="s">
        <v>203</v>
      </c>
      <c r="D316" s="41">
        <v>1</v>
      </c>
      <c r="E316" s="42">
        <v>0</v>
      </c>
      <c r="F316" s="14"/>
    </row>
    <row r="317" spans="1:6" ht="14.45" customHeight="1" x14ac:dyDescent="0.3">
      <c r="A317" s="14"/>
      <c r="B317" s="89"/>
      <c r="C317" s="40" t="s">
        <v>278</v>
      </c>
      <c r="D317" s="41">
        <v>1</v>
      </c>
      <c r="E317" s="42">
        <v>0</v>
      </c>
      <c r="F317" s="14"/>
    </row>
    <row r="318" spans="1:6" ht="14.45" customHeight="1" x14ac:dyDescent="0.3">
      <c r="A318" s="14"/>
      <c r="B318" s="89"/>
      <c r="C318" s="40" t="s">
        <v>279</v>
      </c>
      <c r="D318" s="41">
        <v>1</v>
      </c>
      <c r="E318" s="42">
        <v>0</v>
      </c>
      <c r="F318" s="14"/>
    </row>
    <row r="319" spans="1:6" ht="14.45" customHeight="1" x14ac:dyDescent="0.3">
      <c r="A319" s="14"/>
      <c r="B319" s="89"/>
      <c r="C319" s="40" t="s">
        <v>281</v>
      </c>
      <c r="D319" s="41">
        <v>4</v>
      </c>
      <c r="E319" s="42">
        <v>2E-3</v>
      </c>
      <c r="F319" s="14"/>
    </row>
    <row r="320" spans="1:6" ht="14.45" customHeight="1" x14ac:dyDescent="0.3">
      <c r="A320" s="14"/>
      <c r="B320" s="89"/>
      <c r="C320" s="40" t="s">
        <v>210</v>
      </c>
      <c r="D320" s="41">
        <v>4</v>
      </c>
      <c r="E320" s="42">
        <v>2E-3</v>
      </c>
      <c r="F320" s="14"/>
    </row>
    <row r="321" spans="1:6" ht="14.45" customHeight="1" x14ac:dyDescent="0.3">
      <c r="A321" s="14"/>
      <c r="B321" s="89"/>
      <c r="C321" s="40" t="s">
        <v>284</v>
      </c>
      <c r="D321" s="41">
        <v>4</v>
      </c>
      <c r="E321" s="42">
        <v>2E-3</v>
      </c>
      <c r="F321" s="14"/>
    </row>
    <row r="322" spans="1:6" ht="14.45" customHeight="1" x14ac:dyDescent="0.3">
      <c r="A322" s="14"/>
      <c r="B322" s="89"/>
      <c r="C322" s="40" t="s">
        <v>214</v>
      </c>
      <c r="D322" s="41">
        <v>13</v>
      </c>
      <c r="E322" s="42">
        <v>5.0000000000000001E-3</v>
      </c>
      <c r="F322" s="14"/>
    </row>
    <row r="323" spans="1:6" ht="14.45" customHeight="1" x14ac:dyDescent="0.3">
      <c r="A323" s="14"/>
      <c r="B323" s="89"/>
      <c r="C323" s="40" t="s">
        <v>216</v>
      </c>
      <c r="D323" s="41">
        <v>6</v>
      </c>
      <c r="E323" s="42">
        <v>2E-3</v>
      </c>
      <c r="F323" s="14"/>
    </row>
    <row r="324" spans="1:6" ht="14.45" customHeight="1" x14ac:dyDescent="0.3">
      <c r="A324" s="14"/>
      <c r="B324" s="89"/>
      <c r="C324" s="40" t="s">
        <v>217</v>
      </c>
      <c r="D324" s="41">
        <v>12</v>
      </c>
      <c r="E324" s="42">
        <v>5.0000000000000001E-3</v>
      </c>
      <c r="F324" s="14"/>
    </row>
    <row r="325" spans="1:6" ht="14.45" customHeight="1" x14ac:dyDescent="0.3">
      <c r="A325" s="14"/>
      <c r="B325" s="89"/>
      <c r="C325" s="40" t="s">
        <v>223</v>
      </c>
      <c r="D325" s="41">
        <v>4</v>
      </c>
      <c r="E325" s="42">
        <v>2E-3</v>
      </c>
      <c r="F325" s="14"/>
    </row>
    <row r="326" spans="1:6" ht="14.45" customHeight="1" x14ac:dyDescent="0.3">
      <c r="A326" s="14"/>
      <c r="B326" s="90"/>
      <c r="C326" s="47" t="s">
        <v>318</v>
      </c>
      <c r="D326" s="44">
        <v>50</v>
      </c>
      <c r="E326" s="46">
        <v>2.1000000000000001E-2</v>
      </c>
      <c r="F326" s="14"/>
    </row>
    <row r="327" spans="1:6" ht="14.45" customHeight="1" x14ac:dyDescent="0.3">
      <c r="A327" s="14"/>
      <c r="B327" s="88" t="s">
        <v>71</v>
      </c>
      <c r="C327" s="40" t="s">
        <v>210</v>
      </c>
      <c r="D327" s="41">
        <v>1</v>
      </c>
      <c r="E327" s="42">
        <v>0</v>
      </c>
      <c r="F327" s="14"/>
    </row>
    <row r="328" spans="1:6" ht="14.45" customHeight="1" x14ac:dyDescent="0.3">
      <c r="A328" s="14"/>
      <c r="B328" s="89"/>
      <c r="C328" s="40" t="s">
        <v>214</v>
      </c>
      <c r="D328" s="41">
        <v>2</v>
      </c>
      <c r="E328" s="42">
        <v>1E-3</v>
      </c>
      <c r="F328" s="14"/>
    </row>
    <row r="329" spans="1:6" ht="14.45" customHeight="1" x14ac:dyDescent="0.3">
      <c r="A329" s="14"/>
      <c r="B329" s="89"/>
      <c r="C329" s="40" t="s">
        <v>216</v>
      </c>
      <c r="D329" s="41">
        <v>1</v>
      </c>
      <c r="E329" s="42">
        <v>0</v>
      </c>
      <c r="F329" s="14"/>
    </row>
    <row r="330" spans="1:6" ht="14.45" customHeight="1" x14ac:dyDescent="0.3">
      <c r="A330" s="14"/>
      <c r="B330" s="89"/>
      <c r="C330" s="40" t="s">
        <v>217</v>
      </c>
      <c r="D330" s="41">
        <v>2</v>
      </c>
      <c r="E330" s="42">
        <v>1E-3</v>
      </c>
      <c r="F330" s="14"/>
    </row>
    <row r="331" spans="1:6" ht="14.45" customHeight="1" x14ac:dyDescent="0.3">
      <c r="A331" s="14"/>
      <c r="B331" s="89"/>
      <c r="C331" s="40" t="s">
        <v>222</v>
      </c>
      <c r="D331" s="41">
        <v>1</v>
      </c>
      <c r="E331" s="42">
        <v>0</v>
      </c>
      <c r="F331" s="14"/>
    </row>
    <row r="332" spans="1:6" ht="14.45" customHeight="1" x14ac:dyDescent="0.3">
      <c r="A332" s="14"/>
      <c r="B332" s="89"/>
      <c r="C332" s="40" t="s">
        <v>223</v>
      </c>
      <c r="D332" s="41">
        <v>1</v>
      </c>
      <c r="E332" s="42">
        <v>0</v>
      </c>
      <c r="F332" s="14"/>
    </row>
    <row r="333" spans="1:6" ht="14.45" customHeight="1" x14ac:dyDescent="0.3">
      <c r="A333" s="14"/>
      <c r="B333" s="90"/>
      <c r="C333" s="43" t="s">
        <v>318</v>
      </c>
      <c r="D333" s="44">
        <v>8</v>
      </c>
      <c r="E333" s="45">
        <v>3.0000000000000001E-3</v>
      </c>
      <c r="F333" s="14"/>
    </row>
    <row r="334" spans="1:6" ht="14.45" customHeight="1" x14ac:dyDescent="0.3">
      <c r="A334" s="14"/>
      <c r="B334" s="88" t="s">
        <v>41</v>
      </c>
      <c r="C334" s="40" t="s">
        <v>203</v>
      </c>
      <c r="D334" s="41">
        <v>11</v>
      </c>
      <c r="E334" s="42">
        <v>5.0000000000000001E-3</v>
      </c>
      <c r="F334" s="14"/>
    </row>
    <row r="335" spans="1:6" ht="14.45" customHeight="1" x14ac:dyDescent="0.3">
      <c r="A335" s="14"/>
      <c r="B335" s="89"/>
      <c r="C335" s="40" t="s">
        <v>276</v>
      </c>
      <c r="D335" s="41">
        <v>4</v>
      </c>
      <c r="E335" s="42">
        <v>2E-3</v>
      </c>
      <c r="F335" s="14"/>
    </row>
    <row r="336" spans="1:6" ht="14.45" customHeight="1" x14ac:dyDescent="0.3">
      <c r="A336" s="14"/>
      <c r="B336" s="89"/>
      <c r="C336" s="40" t="s">
        <v>277</v>
      </c>
      <c r="D336" s="41">
        <v>9</v>
      </c>
      <c r="E336" s="42">
        <v>4.0000000000000001E-3</v>
      </c>
      <c r="F336" s="14"/>
    </row>
    <row r="337" spans="1:6" ht="14.45" customHeight="1" x14ac:dyDescent="0.3">
      <c r="A337" s="14"/>
      <c r="B337" s="89"/>
      <c r="C337" s="40" t="s">
        <v>278</v>
      </c>
      <c r="D337" s="41">
        <v>14</v>
      </c>
      <c r="E337" s="42">
        <v>6.0000000000000001E-3</v>
      </c>
      <c r="F337" s="14"/>
    </row>
    <row r="338" spans="1:6" ht="14.45" customHeight="1" x14ac:dyDescent="0.3">
      <c r="A338" s="14"/>
      <c r="B338" s="89"/>
      <c r="C338" s="40" t="s">
        <v>279</v>
      </c>
      <c r="D338" s="41">
        <v>13</v>
      </c>
      <c r="E338" s="42">
        <v>5.0000000000000001E-3</v>
      </c>
      <c r="F338" s="14"/>
    </row>
    <row r="339" spans="1:6" ht="14.45" customHeight="1" x14ac:dyDescent="0.3">
      <c r="A339" s="14"/>
      <c r="B339" s="89"/>
      <c r="C339" s="40" t="s">
        <v>280</v>
      </c>
      <c r="D339" s="41">
        <v>7</v>
      </c>
      <c r="E339" s="42">
        <v>3.0000000000000001E-3</v>
      </c>
      <c r="F339" s="14"/>
    </row>
    <row r="340" spans="1:6" ht="14.45" customHeight="1" x14ac:dyDescent="0.3">
      <c r="A340" s="14"/>
      <c r="B340" s="89"/>
      <c r="C340" s="40" t="s">
        <v>281</v>
      </c>
      <c r="D340" s="41">
        <v>105</v>
      </c>
      <c r="E340" s="42">
        <v>4.3999999999999997E-2</v>
      </c>
      <c r="F340" s="14"/>
    </row>
    <row r="341" spans="1:6" ht="14.45" customHeight="1" x14ac:dyDescent="0.3">
      <c r="A341" s="14"/>
      <c r="B341" s="89"/>
      <c r="C341" s="40" t="s">
        <v>210</v>
      </c>
      <c r="D341" s="41">
        <v>107</v>
      </c>
      <c r="E341" s="42">
        <v>4.4999999999999998E-2</v>
      </c>
      <c r="F341" s="14"/>
    </row>
    <row r="342" spans="1:6" ht="14.45" customHeight="1" x14ac:dyDescent="0.3">
      <c r="A342" s="14"/>
      <c r="B342" s="89"/>
      <c r="C342" s="40" t="s">
        <v>282</v>
      </c>
      <c r="D342" s="41">
        <v>24</v>
      </c>
      <c r="E342" s="42">
        <v>0.01</v>
      </c>
      <c r="F342" s="14"/>
    </row>
    <row r="343" spans="1:6" ht="14.45" customHeight="1" x14ac:dyDescent="0.3">
      <c r="A343" s="14"/>
      <c r="B343" s="89"/>
      <c r="C343" s="40" t="s">
        <v>283</v>
      </c>
      <c r="D343" s="41">
        <v>18</v>
      </c>
      <c r="E343" s="42">
        <v>7.0000000000000001E-3</v>
      </c>
      <c r="F343" s="14"/>
    </row>
    <row r="344" spans="1:6" ht="14.45" customHeight="1" x14ac:dyDescent="0.3">
      <c r="A344" s="14"/>
      <c r="B344" s="89"/>
      <c r="C344" s="40" t="s">
        <v>284</v>
      </c>
      <c r="D344" s="41">
        <v>62</v>
      </c>
      <c r="E344" s="42">
        <v>2.5999999999999999E-2</v>
      </c>
      <c r="F344" s="14"/>
    </row>
    <row r="345" spans="1:6" ht="14.45" customHeight="1" x14ac:dyDescent="0.3">
      <c r="A345" s="14"/>
      <c r="B345" s="89"/>
      <c r="C345" s="40" t="s">
        <v>214</v>
      </c>
      <c r="D345" s="41">
        <v>364</v>
      </c>
      <c r="E345" s="42">
        <v>0.152</v>
      </c>
      <c r="F345" s="14"/>
    </row>
    <row r="346" spans="1:6" ht="14.45" customHeight="1" x14ac:dyDescent="0.3">
      <c r="A346" s="14"/>
      <c r="B346" s="89"/>
      <c r="C346" s="40" t="s">
        <v>215</v>
      </c>
      <c r="D346" s="41">
        <v>11</v>
      </c>
      <c r="E346" s="42">
        <v>5.0000000000000001E-3</v>
      </c>
      <c r="F346" s="14"/>
    </row>
    <row r="347" spans="1:6" ht="14.45" customHeight="1" x14ac:dyDescent="0.3">
      <c r="A347" s="14"/>
      <c r="B347" s="89"/>
      <c r="C347" s="40" t="s">
        <v>216</v>
      </c>
      <c r="D347" s="41">
        <v>17</v>
      </c>
      <c r="E347" s="42">
        <v>7.0000000000000001E-3</v>
      </c>
      <c r="F347" s="14"/>
    </row>
    <row r="348" spans="1:6" ht="14.45" customHeight="1" x14ac:dyDescent="0.3">
      <c r="A348" s="14"/>
      <c r="B348" s="89"/>
      <c r="C348" s="40" t="s">
        <v>217</v>
      </c>
      <c r="D348" s="41">
        <v>116</v>
      </c>
      <c r="E348" s="42">
        <v>4.8000000000000001E-2</v>
      </c>
      <c r="F348" s="14"/>
    </row>
    <row r="349" spans="1:6" ht="14.45" customHeight="1" x14ac:dyDescent="0.3">
      <c r="A349" s="14"/>
      <c r="B349" s="89"/>
      <c r="C349" s="40" t="s">
        <v>285</v>
      </c>
      <c r="D349" s="41">
        <v>4</v>
      </c>
      <c r="E349" s="42">
        <v>2E-3</v>
      </c>
      <c r="F349" s="14"/>
    </row>
    <row r="350" spans="1:6" ht="14.45" customHeight="1" x14ac:dyDescent="0.3">
      <c r="A350" s="14"/>
      <c r="B350" s="89"/>
      <c r="C350" s="40" t="s">
        <v>286</v>
      </c>
      <c r="D350" s="41">
        <v>3</v>
      </c>
      <c r="E350" s="42">
        <v>1E-3</v>
      </c>
      <c r="F350" s="14"/>
    </row>
    <row r="351" spans="1:6" ht="14.45" customHeight="1" x14ac:dyDescent="0.3">
      <c r="A351" s="14"/>
      <c r="B351" s="89"/>
      <c r="C351" s="40" t="s">
        <v>287</v>
      </c>
      <c r="D351" s="41">
        <v>1</v>
      </c>
      <c r="E351" s="42">
        <v>0</v>
      </c>
      <c r="F351" s="14"/>
    </row>
    <row r="352" spans="1:6" ht="14.45" customHeight="1" x14ac:dyDescent="0.3">
      <c r="A352" s="14"/>
      <c r="B352" s="89"/>
      <c r="C352" s="40" t="s">
        <v>288</v>
      </c>
      <c r="D352" s="41">
        <v>1</v>
      </c>
      <c r="E352" s="42">
        <v>0</v>
      </c>
      <c r="F352" s="14"/>
    </row>
    <row r="353" spans="1:6" ht="14.45" customHeight="1" x14ac:dyDescent="0.3">
      <c r="A353" s="14"/>
      <c r="B353" s="89"/>
      <c r="C353" s="40" t="s">
        <v>222</v>
      </c>
      <c r="D353" s="41">
        <v>7</v>
      </c>
      <c r="E353" s="42">
        <v>3.0000000000000001E-3</v>
      </c>
      <c r="F353" s="14"/>
    </row>
    <row r="354" spans="1:6" ht="14.45" customHeight="1" x14ac:dyDescent="0.3">
      <c r="A354" s="14"/>
      <c r="B354" s="89"/>
      <c r="C354" s="40" t="s">
        <v>223</v>
      </c>
      <c r="D354" s="41">
        <v>28</v>
      </c>
      <c r="E354" s="42">
        <v>1.2E-2</v>
      </c>
      <c r="F354" s="14"/>
    </row>
    <row r="355" spans="1:6" ht="14.45" customHeight="1" x14ac:dyDescent="0.3">
      <c r="A355" s="14"/>
      <c r="B355" s="90"/>
      <c r="C355" s="43" t="s">
        <v>318</v>
      </c>
      <c r="D355" s="44">
        <v>926</v>
      </c>
      <c r="E355" s="45">
        <v>0.38600000000000001</v>
      </c>
      <c r="F355" s="14"/>
    </row>
    <row r="356" spans="1:6" ht="14.45" customHeight="1" x14ac:dyDescent="0.3">
      <c r="A356" s="14"/>
      <c r="B356" s="88" t="s">
        <v>44</v>
      </c>
      <c r="C356" s="40" t="s">
        <v>276</v>
      </c>
      <c r="D356" s="41">
        <v>1</v>
      </c>
      <c r="E356" s="42">
        <v>0</v>
      </c>
      <c r="F356" s="14"/>
    </row>
    <row r="357" spans="1:6" ht="14.45" customHeight="1" x14ac:dyDescent="0.3">
      <c r="A357" s="14"/>
      <c r="B357" s="89"/>
      <c r="C357" s="40" t="s">
        <v>277</v>
      </c>
      <c r="D357" s="41">
        <v>2</v>
      </c>
      <c r="E357" s="42">
        <v>1E-3</v>
      </c>
      <c r="F357" s="14"/>
    </row>
    <row r="358" spans="1:6" ht="14.45" customHeight="1" x14ac:dyDescent="0.3">
      <c r="A358" s="14"/>
      <c r="B358" s="89"/>
      <c r="C358" s="40" t="s">
        <v>278</v>
      </c>
      <c r="D358" s="41">
        <v>3</v>
      </c>
      <c r="E358" s="42">
        <v>1E-3</v>
      </c>
      <c r="F358" s="14"/>
    </row>
    <row r="359" spans="1:6" ht="14.45" customHeight="1" x14ac:dyDescent="0.3">
      <c r="A359" s="14"/>
      <c r="B359" s="89"/>
      <c r="C359" s="40" t="s">
        <v>279</v>
      </c>
      <c r="D359" s="41">
        <v>3</v>
      </c>
      <c r="E359" s="42">
        <v>1E-3</v>
      </c>
      <c r="F359" s="14"/>
    </row>
    <row r="360" spans="1:6" ht="14.45" customHeight="1" x14ac:dyDescent="0.3">
      <c r="A360" s="14"/>
      <c r="B360" s="89"/>
      <c r="C360" s="40" t="s">
        <v>280</v>
      </c>
      <c r="D360" s="41">
        <v>2</v>
      </c>
      <c r="E360" s="42">
        <v>1E-3</v>
      </c>
      <c r="F360" s="14"/>
    </row>
    <row r="361" spans="1:6" ht="14.45" customHeight="1" x14ac:dyDescent="0.3">
      <c r="A361" s="14"/>
      <c r="B361" s="89"/>
      <c r="C361" s="40" t="s">
        <v>281</v>
      </c>
      <c r="D361" s="41">
        <v>13</v>
      </c>
      <c r="E361" s="42">
        <v>5.0000000000000001E-3</v>
      </c>
      <c r="F361" s="14"/>
    </row>
    <row r="362" spans="1:6" ht="14.45" customHeight="1" x14ac:dyDescent="0.3">
      <c r="A362" s="14"/>
      <c r="B362" s="89"/>
      <c r="C362" s="40" t="s">
        <v>210</v>
      </c>
      <c r="D362" s="41">
        <v>18</v>
      </c>
      <c r="E362" s="42">
        <v>7.0000000000000001E-3</v>
      </c>
      <c r="F362" s="14"/>
    </row>
    <row r="363" spans="1:6" ht="14.45" customHeight="1" x14ac:dyDescent="0.3">
      <c r="A363" s="14"/>
      <c r="B363" s="89"/>
      <c r="C363" s="40" t="s">
        <v>282</v>
      </c>
      <c r="D363" s="41">
        <v>2</v>
      </c>
      <c r="E363" s="42">
        <v>1E-3</v>
      </c>
      <c r="F363" s="14"/>
    </row>
    <row r="364" spans="1:6" ht="14.45" customHeight="1" x14ac:dyDescent="0.3">
      <c r="A364" s="14"/>
      <c r="B364" s="89"/>
      <c r="C364" s="40" t="s">
        <v>283</v>
      </c>
      <c r="D364" s="41">
        <v>3</v>
      </c>
      <c r="E364" s="42">
        <v>1E-3</v>
      </c>
      <c r="F364" s="14"/>
    </row>
    <row r="365" spans="1:6" ht="14.45" customHeight="1" x14ac:dyDescent="0.3">
      <c r="A365" s="14"/>
      <c r="B365" s="89"/>
      <c r="C365" s="40" t="s">
        <v>284</v>
      </c>
      <c r="D365" s="41">
        <v>7</v>
      </c>
      <c r="E365" s="42">
        <v>3.0000000000000001E-3</v>
      </c>
      <c r="F365" s="14"/>
    </row>
    <row r="366" spans="1:6" ht="14.45" customHeight="1" x14ac:dyDescent="0.3">
      <c r="A366" s="14"/>
      <c r="B366" s="89"/>
      <c r="C366" s="40" t="s">
        <v>214</v>
      </c>
      <c r="D366" s="41">
        <v>48</v>
      </c>
      <c r="E366" s="42">
        <v>0.02</v>
      </c>
      <c r="F366" s="14"/>
    </row>
    <row r="367" spans="1:6" ht="14.45" customHeight="1" x14ac:dyDescent="0.3">
      <c r="A367" s="14"/>
      <c r="B367" s="89"/>
      <c r="C367" s="40" t="s">
        <v>215</v>
      </c>
      <c r="D367" s="41">
        <v>1</v>
      </c>
      <c r="E367" s="42">
        <v>0</v>
      </c>
      <c r="F367" s="14"/>
    </row>
    <row r="368" spans="1:6" ht="14.45" customHeight="1" x14ac:dyDescent="0.3">
      <c r="A368" s="14"/>
      <c r="B368" s="89"/>
      <c r="C368" s="40" t="s">
        <v>216</v>
      </c>
      <c r="D368" s="41">
        <v>8</v>
      </c>
      <c r="E368" s="42">
        <v>3.0000000000000001E-3</v>
      </c>
      <c r="F368" s="14"/>
    </row>
    <row r="369" spans="1:6" ht="14.45" customHeight="1" x14ac:dyDescent="0.3">
      <c r="A369" s="14"/>
      <c r="B369" s="89"/>
      <c r="C369" s="40" t="s">
        <v>217</v>
      </c>
      <c r="D369" s="41">
        <v>26</v>
      </c>
      <c r="E369" s="42">
        <v>1.0999999999999999E-2</v>
      </c>
      <c r="F369" s="14"/>
    </row>
    <row r="370" spans="1:6" ht="14.45" customHeight="1" x14ac:dyDescent="0.3">
      <c r="A370" s="14"/>
      <c r="B370" s="89"/>
      <c r="C370" s="40" t="s">
        <v>285</v>
      </c>
      <c r="D370" s="41">
        <v>3</v>
      </c>
      <c r="E370" s="42">
        <v>1E-3</v>
      </c>
      <c r="F370" s="14"/>
    </row>
    <row r="371" spans="1:6" ht="14.45" customHeight="1" x14ac:dyDescent="0.3">
      <c r="A371" s="14"/>
      <c r="B371" s="89"/>
      <c r="C371" s="40" t="s">
        <v>286</v>
      </c>
      <c r="D371" s="41">
        <v>1</v>
      </c>
      <c r="E371" s="42">
        <v>0</v>
      </c>
      <c r="F371" s="14"/>
    </row>
    <row r="372" spans="1:6" ht="14.45" customHeight="1" x14ac:dyDescent="0.3">
      <c r="A372" s="14"/>
      <c r="B372" s="89"/>
      <c r="C372" s="40" t="s">
        <v>223</v>
      </c>
      <c r="D372" s="41">
        <v>6</v>
      </c>
      <c r="E372" s="42">
        <v>2E-3</v>
      </c>
      <c r="F372" s="14"/>
    </row>
    <row r="373" spans="1:6" ht="14.45" customHeight="1" x14ac:dyDescent="0.3">
      <c r="A373" s="14"/>
      <c r="B373" s="90"/>
      <c r="C373" s="43" t="s">
        <v>318</v>
      </c>
      <c r="D373" s="44">
        <v>147</v>
      </c>
      <c r="E373" s="45">
        <v>6.0999999999999999E-2</v>
      </c>
      <c r="F373" s="14"/>
    </row>
    <row r="374" spans="1:6" ht="14.45" customHeight="1" x14ac:dyDescent="0.3">
      <c r="A374" s="14"/>
      <c r="B374" s="88" t="s">
        <v>48</v>
      </c>
      <c r="C374" s="40" t="s">
        <v>203</v>
      </c>
      <c r="D374" s="41">
        <v>1</v>
      </c>
      <c r="E374" s="42">
        <v>0</v>
      </c>
      <c r="F374" s="14"/>
    </row>
    <row r="375" spans="1:6" ht="14.45" customHeight="1" x14ac:dyDescent="0.3">
      <c r="A375" s="14"/>
      <c r="B375" s="89"/>
      <c r="C375" s="40" t="s">
        <v>277</v>
      </c>
      <c r="D375" s="41">
        <v>1</v>
      </c>
      <c r="E375" s="42">
        <v>0</v>
      </c>
      <c r="F375" s="14"/>
    </row>
    <row r="376" spans="1:6" ht="14.45" customHeight="1" x14ac:dyDescent="0.3">
      <c r="A376" s="14"/>
      <c r="B376" s="89"/>
      <c r="C376" s="40" t="s">
        <v>278</v>
      </c>
      <c r="D376" s="41">
        <v>2</v>
      </c>
      <c r="E376" s="42">
        <v>1E-3</v>
      </c>
      <c r="F376" s="14"/>
    </row>
    <row r="377" spans="1:6" ht="14.45" customHeight="1" x14ac:dyDescent="0.3">
      <c r="A377" s="14"/>
      <c r="B377" s="89"/>
      <c r="C377" s="40" t="s">
        <v>281</v>
      </c>
      <c r="D377" s="41">
        <v>6</v>
      </c>
      <c r="E377" s="42">
        <v>2E-3</v>
      </c>
      <c r="F377" s="14"/>
    </row>
    <row r="378" spans="1:6" ht="14.45" customHeight="1" x14ac:dyDescent="0.3">
      <c r="A378" s="14"/>
      <c r="B378" s="89"/>
      <c r="C378" s="40" t="s">
        <v>210</v>
      </c>
      <c r="D378" s="41">
        <v>6</v>
      </c>
      <c r="E378" s="42">
        <v>2E-3</v>
      </c>
      <c r="F378" s="14"/>
    </row>
    <row r="379" spans="1:6" ht="14.45" customHeight="1" x14ac:dyDescent="0.3">
      <c r="A379" s="14"/>
      <c r="B379" s="89"/>
      <c r="C379" s="40" t="s">
        <v>282</v>
      </c>
      <c r="D379" s="41">
        <v>2</v>
      </c>
      <c r="E379" s="42">
        <v>1E-3</v>
      </c>
      <c r="F379" s="14"/>
    </row>
    <row r="380" spans="1:6" ht="14.45" customHeight="1" x14ac:dyDescent="0.3">
      <c r="A380" s="14"/>
      <c r="B380" s="89"/>
      <c r="C380" s="40" t="s">
        <v>283</v>
      </c>
      <c r="D380" s="41">
        <v>1</v>
      </c>
      <c r="E380" s="42">
        <v>0</v>
      </c>
      <c r="F380" s="14"/>
    </row>
    <row r="381" spans="1:6" ht="14.45" customHeight="1" x14ac:dyDescent="0.3">
      <c r="A381" s="14"/>
      <c r="B381" s="89"/>
      <c r="C381" s="40" t="s">
        <v>284</v>
      </c>
      <c r="D381" s="41">
        <v>3</v>
      </c>
      <c r="E381" s="42">
        <v>1E-3</v>
      </c>
      <c r="F381" s="14"/>
    </row>
    <row r="382" spans="1:6" ht="14.45" customHeight="1" x14ac:dyDescent="0.3">
      <c r="A382" s="14"/>
      <c r="B382" s="89"/>
      <c r="C382" s="40" t="s">
        <v>214</v>
      </c>
      <c r="D382" s="41">
        <v>9</v>
      </c>
      <c r="E382" s="42">
        <v>4.0000000000000001E-3</v>
      </c>
      <c r="F382" s="14"/>
    </row>
    <row r="383" spans="1:6" ht="14.45" customHeight="1" x14ac:dyDescent="0.3">
      <c r="A383" s="14"/>
      <c r="B383" s="89"/>
      <c r="C383" s="40" t="s">
        <v>216</v>
      </c>
      <c r="D383" s="41">
        <v>4</v>
      </c>
      <c r="E383" s="42">
        <v>2E-3</v>
      </c>
      <c r="F383" s="14"/>
    </row>
    <row r="384" spans="1:6" ht="14.45" customHeight="1" x14ac:dyDescent="0.3">
      <c r="A384" s="14"/>
      <c r="B384" s="89"/>
      <c r="C384" s="40" t="s">
        <v>217</v>
      </c>
      <c r="D384" s="41">
        <v>9</v>
      </c>
      <c r="E384" s="42">
        <v>4.0000000000000001E-3</v>
      </c>
      <c r="F384" s="14"/>
    </row>
    <row r="385" spans="1:6" ht="14.45" customHeight="1" x14ac:dyDescent="0.3">
      <c r="A385" s="14"/>
      <c r="B385" s="89"/>
      <c r="C385" s="40" t="s">
        <v>222</v>
      </c>
      <c r="D385" s="41">
        <v>1</v>
      </c>
      <c r="E385" s="42">
        <v>0</v>
      </c>
      <c r="F385" s="14"/>
    </row>
    <row r="386" spans="1:6" ht="14.45" customHeight="1" x14ac:dyDescent="0.3">
      <c r="A386" s="14"/>
      <c r="B386" s="89"/>
      <c r="C386" s="40" t="s">
        <v>223</v>
      </c>
      <c r="D386" s="41">
        <v>1</v>
      </c>
      <c r="E386" s="42">
        <v>0</v>
      </c>
      <c r="F386" s="14"/>
    </row>
    <row r="387" spans="1:6" ht="14.45" customHeight="1" x14ac:dyDescent="0.3">
      <c r="A387" s="14"/>
      <c r="B387" s="90"/>
      <c r="C387" s="43" t="s">
        <v>318</v>
      </c>
      <c r="D387" s="44">
        <v>46</v>
      </c>
      <c r="E387" s="45">
        <v>1.9E-2</v>
      </c>
      <c r="F387" s="14"/>
    </row>
    <row r="388" spans="1:6" ht="14.45" customHeight="1" x14ac:dyDescent="0.3">
      <c r="A388" s="14"/>
      <c r="B388" s="88" t="s">
        <v>58</v>
      </c>
      <c r="C388" s="40" t="s">
        <v>277</v>
      </c>
      <c r="D388" s="41">
        <v>1</v>
      </c>
      <c r="E388" s="42">
        <v>0</v>
      </c>
      <c r="F388" s="14"/>
    </row>
    <row r="389" spans="1:6" ht="14.45" customHeight="1" x14ac:dyDescent="0.3">
      <c r="A389" s="14"/>
      <c r="B389" s="89"/>
      <c r="C389" s="40" t="s">
        <v>279</v>
      </c>
      <c r="D389" s="41">
        <v>1</v>
      </c>
      <c r="E389" s="42">
        <v>0</v>
      </c>
      <c r="F389" s="14"/>
    </row>
    <row r="390" spans="1:6" ht="14.45" customHeight="1" x14ac:dyDescent="0.3">
      <c r="A390" s="14"/>
      <c r="B390" s="89"/>
      <c r="C390" s="40" t="s">
        <v>280</v>
      </c>
      <c r="D390" s="41">
        <v>1</v>
      </c>
      <c r="E390" s="42">
        <v>0</v>
      </c>
      <c r="F390" s="14"/>
    </row>
    <row r="391" spans="1:6" ht="14.45" customHeight="1" x14ac:dyDescent="0.3">
      <c r="A391" s="14"/>
      <c r="B391" s="89"/>
      <c r="C391" s="40" t="s">
        <v>281</v>
      </c>
      <c r="D391" s="41">
        <v>2</v>
      </c>
      <c r="E391" s="42">
        <v>1E-3</v>
      </c>
      <c r="F391" s="14"/>
    </row>
    <row r="392" spans="1:6" ht="14.45" customHeight="1" x14ac:dyDescent="0.3">
      <c r="A392" s="14"/>
      <c r="B392" s="89"/>
      <c r="C392" s="40" t="s">
        <v>214</v>
      </c>
      <c r="D392" s="41">
        <v>4</v>
      </c>
      <c r="E392" s="42">
        <v>2E-3</v>
      </c>
      <c r="F392" s="14"/>
    </row>
    <row r="393" spans="1:6" ht="14.45" customHeight="1" x14ac:dyDescent="0.3">
      <c r="A393" s="14"/>
      <c r="B393" s="89"/>
      <c r="C393" s="40" t="s">
        <v>217</v>
      </c>
      <c r="D393" s="41">
        <v>2</v>
      </c>
      <c r="E393" s="42">
        <v>1E-3</v>
      </c>
      <c r="F393" s="14"/>
    </row>
    <row r="394" spans="1:6" ht="14.45" customHeight="1" x14ac:dyDescent="0.3">
      <c r="A394" s="14"/>
      <c r="B394" s="89"/>
      <c r="C394" s="40" t="s">
        <v>223</v>
      </c>
      <c r="D394" s="41">
        <v>2</v>
      </c>
      <c r="E394" s="42">
        <v>1E-3</v>
      </c>
      <c r="F394" s="14"/>
    </row>
    <row r="395" spans="1:6" ht="14.45" customHeight="1" x14ac:dyDescent="0.3">
      <c r="A395" s="14"/>
      <c r="B395" s="90"/>
      <c r="C395" s="43" t="s">
        <v>318</v>
      </c>
      <c r="D395" s="44">
        <v>13</v>
      </c>
      <c r="E395" s="45">
        <v>5.0000000000000001E-3</v>
      </c>
      <c r="F395" s="14"/>
    </row>
    <row r="396" spans="1:6" ht="14.45" customHeight="1" x14ac:dyDescent="0.3">
      <c r="A396" s="14"/>
      <c r="B396" s="88" t="s">
        <v>263</v>
      </c>
      <c r="C396" s="40" t="s">
        <v>214</v>
      </c>
      <c r="D396" s="41">
        <v>1</v>
      </c>
      <c r="E396" s="42">
        <v>0</v>
      </c>
      <c r="F396" s="14"/>
    </row>
    <row r="397" spans="1:6" ht="14.45" customHeight="1" x14ac:dyDescent="0.3">
      <c r="A397" s="14"/>
      <c r="B397" s="89"/>
      <c r="C397" s="40" t="s">
        <v>223</v>
      </c>
      <c r="D397" s="41">
        <v>1</v>
      </c>
      <c r="E397" s="42">
        <v>0</v>
      </c>
      <c r="F397" s="14"/>
    </row>
    <row r="398" spans="1:6" ht="14.45" customHeight="1" x14ac:dyDescent="0.3">
      <c r="A398" s="14"/>
      <c r="B398" s="90"/>
      <c r="C398" s="43" t="s">
        <v>318</v>
      </c>
      <c r="D398" s="44">
        <v>2</v>
      </c>
      <c r="E398" s="45">
        <v>1E-3</v>
      </c>
      <c r="F398" s="14"/>
    </row>
    <row r="399" spans="1:6" ht="14.45" customHeight="1" x14ac:dyDescent="0.3">
      <c r="A399" s="14"/>
      <c r="B399" s="88" t="s">
        <v>80</v>
      </c>
      <c r="C399" s="40" t="s">
        <v>279</v>
      </c>
      <c r="D399" s="41">
        <v>1</v>
      </c>
      <c r="E399" s="42">
        <v>0</v>
      </c>
      <c r="F399" s="14"/>
    </row>
    <row r="400" spans="1:6" ht="14.45" customHeight="1" x14ac:dyDescent="0.3">
      <c r="A400" s="14"/>
      <c r="B400" s="89"/>
      <c r="C400" s="40" t="s">
        <v>281</v>
      </c>
      <c r="D400" s="41">
        <v>1</v>
      </c>
      <c r="E400" s="42">
        <v>0</v>
      </c>
      <c r="F400" s="14"/>
    </row>
    <row r="401" spans="1:6" ht="14.45" customHeight="1" x14ac:dyDescent="0.3">
      <c r="A401" s="14"/>
      <c r="B401" s="89"/>
      <c r="C401" s="40" t="s">
        <v>214</v>
      </c>
      <c r="D401" s="41">
        <v>3</v>
      </c>
      <c r="E401" s="42">
        <v>1E-3</v>
      </c>
      <c r="F401" s="14"/>
    </row>
    <row r="402" spans="1:6" ht="14.45" customHeight="1" x14ac:dyDescent="0.3">
      <c r="A402" s="14"/>
      <c r="B402" s="89"/>
      <c r="C402" s="40" t="s">
        <v>223</v>
      </c>
      <c r="D402" s="41">
        <v>1</v>
      </c>
      <c r="E402" s="42">
        <v>0</v>
      </c>
      <c r="F402" s="14"/>
    </row>
    <row r="403" spans="1:6" ht="14.45" customHeight="1" x14ac:dyDescent="0.3">
      <c r="A403" s="14"/>
      <c r="B403" s="90"/>
      <c r="C403" s="43" t="s">
        <v>318</v>
      </c>
      <c r="D403" s="44">
        <v>6</v>
      </c>
      <c r="E403" s="45">
        <v>2E-3</v>
      </c>
      <c r="F403" s="14"/>
    </row>
    <row r="404" spans="1:6" ht="14.45" customHeight="1" x14ac:dyDescent="0.3">
      <c r="A404" s="14"/>
      <c r="B404" s="87" t="s">
        <v>318</v>
      </c>
      <c r="C404" s="87"/>
      <c r="D404" s="26">
        <v>2401</v>
      </c>
      <c r="E404" s="50">
        <v>1</v>
      </c>
      <c r="F404" s="14"/>
    </row>
    <row r="405" spans="1:6" ht="16.5" x14ac:dyDescent="0.3">
      <c r="A405" s="14"/>
      <c r="B405" s="14"/>
      <c r="C405" s="14"/>
      <c r="D405" s="14"/>
      <c r="E405" s="14"/>
      <c r="F405" s="14"/>
    </row>
    <row r="406" spans="1:6" ht="16.5" x14ac:dyDescent="0.3">
      <c r="A406" s="14"/>
      <c r="B406" s="18" t="s">
        <v>260</v>
      </c>
      <c r="C406" s="14"/>
      <c r="D406" s="14"/>
      <c r="E406" s="14"/>
      <c r="F406" s="14"/>
    </row>
    <row r="407" spans="1:6" ht="16.5" x14ac:dyDescent="0.3">
      <c r="A407" s="14"/>
      <c r="B407" s="19" t="s">
        <v>21</v>
      </c>
      <c r="C407" s="14"/>
      <c r="D407" s="14"/>
      <c r="E407" s="14"/>
      <c r="F407" s="14"/>
    </row>
    <row r="408" spans="1:6" ht="16.5" x14ac:dyDescent="0.3">
      <c r="A408" s="14"/>
      <c r="B408" s="17" t="s">
        <v>122</v>
      </c>
      <c r="C408" s="14"/>
      <c r="D408" s="14"/>
      <c r="E408" s="14"/>
      <c r="F408" s="14"/>
    </row>
    <row r="409" spans="1:6" ht="16.5" x14ac:dyDescent="0.3">
      <c r="A409" s="14"/>
      <c r="B409" s="18" t="s">
        <v>22</v>
      </c>
      <c r="C409" s="14"/>
      <c r="D409" s="14"/>
      <c r="E409" s="14"/>
      <c r="F409" s="14"/>
    </row>
    <row r="410" spans="1:6" ht="16.5" x14ac:dyDescent="0.3">
      <c r="A410" s="14"/>
      <c r="B410" s="18" t="s">
        <v>319</v>
      </c>
      <c r="C410" s="14"/>
      <c r="D410" s="14"/>
      <c r="E410" s="14"/>
      <c r="F410" s="14"/>
    </row>
  </sheetData>
  <mergeCells count="47">
    <mergeCell ref="B203:B205"/>
    <mergeCell ref="B153:B165"/>
    <mergeCell ref="B166:B184"/>
    <mergeCell ref="B185:B190"/>
    <mergeCell ref="B191:B199"/>
    <mergeCell ref="B200:B202"/>
    <mergeCell ref="B88:B92"/>
    <mergeCell ref="B93:B103"/>
    <mergeCell ref="B104:B116"/>
    <mergeCell ref="B84:B87"/>
    <mergeCell ref="B327:B333"/>
    <mergeCell ref="B290:B296"/>
    <mergeCell ref="B297:B301"/>
    <mergeCell ref="B302:B308"/>
    <mergeCell ref="B309:B315"/>
    <mergeCell ref="B316:B326"/>
    <mergeCell ref="B240:B255"/>
    <mergeCell ref="B256:B259"/>
    <mergeCell ref="B117:B123"/>
    <mergeCell ref="B124:B132"/>
    <mergeCell ref="B133:B136"/>
    <mergeCell ref="B137:B152"/>
    <mergeCell ref="B404:C404"/>
    <mergeCell ref="B396:B398"/>
    <mergeCell ref="B399:B403"/>
    <mergeCell ref="B260:B278"/>
    <mergeCell ref="B279:B280"/>
    <mergeCell ref="B281:B289"/>
    <mergeCell ref="B334:B355"/>
    <mergeCell ref="B356:B373"/>
    <mergeCell ref="B374:B387"/>
    <mergeCell ref="B388:B395"/>
    <mergeCell ref="B10:B18"/>
    <mergeCell ref="B19:B27"/>
    <mergeCell ref="B28:B32"/>
    <mergeCell ref="B33:B34"/>
    <mergeCell ref="B35:B38"/>
    <mergeCell ref="B39:B41"/>
    <mergeCell ref="B42:B50"/>
    <mergeCell ref="B51:B65"/>
    <mergeCell ref="B66:B79"/>
    <mergeCell ref="B80:B83"/>
    <mergeCell ref="B206:B210"/>
    <mergeCell ref="B211:B216"/>
    <mergeCell ref="B217:B225"/>
    <mergeCell ref="B226:B232"/>
    <mergeCell ref="B233:B239"/>
  </mergeCells>
  <pageMargins left="0.7" right="0.7" top="0.75" bottom="0.75" header="0.3" footer="0.3"/>
  <pageSetup scale="78" orientation="portrait" r:id="rId1"/>
  <rowBreaks count="1" manualBreakCount="1">
    <brk id="352" max="4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7:E20"/>
  <sheetViews>
    <sheetView showGridLines="0" view="pageBreakPreview" zoomScaleNormal="100" zoomScaleSheetLayoutView="100" workbookViewId="0">
      <selection activeCell="G17" sqref="G17"/>
    </sheetView>
  </sheetViews>
  <sheetFormatPr baseColWidth="10" defaultRowHeight="15" x14ac:dyDescent="0.25"/>
  <cols>
    <col min="1" max="1" width="8.85546875" customWidth="1"/>
    <col min="2" max="2" width="23.28515625" customWidth="1"/>
    <col min="3" max="3" width="17.28515625" customWidth="1"/>
    <col min="4" max="4" width="16.140625" customWidth="1"/>
    <col min="5" max="5" width="9.7109375" customWidth="1"/>
  </cols>
  <sheetData>
    <row r="7" spans="1:5" ht="19.5" customHeight="1" x14ac:dyDescent="0.3">
      <c r="A7" s="14"/>
      <c r="B7" s="83" t="s">
        <v>32</v>
      </c>
      <c r="C7" s="83"/>
      <c r="D7" s="83"/>
      <c r="E7" s="14"/>
    </row>
    <row r="8" spans="1:5" ht="16.5" x14ac:dyDescent="0.3">
      <c r="A8" s="14"/>
      <c r="B8" s="83"/>
      <c r="C8" s="83"/>
      <c r="D8" s="83"/>
      <c r="E8" s="14"/>
    </row>
    <row r="9" spans="1:5" ht="31.5" customHeight="1" x14ac:dyDescent="0.3">
      <c r="A9" s="14"/>
      <c r="B9" s="83"/>
      <c r="C9" s="83"/>
      <c r="D9" s="83"/>
      <c r="E9" s="14"/>
    </row>
    <row r="10" spans="1:5" ht="3.6" customHeight="1" x14ac:dyDescent="0.3">
      <c r="A10" s="14"/>
      <c r="B10" s="14"/>
      <c r="C10" s="14"/>
      <c r="D10" s="14"/>
      <c r="E10" s="14"/>
    </row>
    <row r="11" spans="1:5" ht="28.5" x14ac:dyDescent="0.3">
      <c r="A11" s="14"/>
      <c r="B11" s="22" t="s">
        <v>33</v>
      </c>
      <c r="C11" s="23" t="s">
        <v>19</v>
      </c>
      <c r="D11" s="24" t="s">
        <v>20</v>
      </c>
      <c r="E11" s="14"/>
    </row>
    <row r="12" spans="1:5" ht="14.45" customHeight="1" x14ac:dyDescent="0.3">
      <c r="A12" s="14"/>
      <c r="B12" s="51" t="s">
        <v>123</v>
      </c>
      <c r="C12" s="52">
        <v>677</v>
      </c>
      <c r="D12" s="53">
        <v>0.281965847563515</v>
      </c>
      <c r="E12" s="14"/>
    </row>
    <row r="13" spans="1:5" ht="14.45" customHeight="1" x14ac:dyDescent="0.3">
      <c r="A13" s="14"/>
      <c r="B13" s="51" t="s">
        <v>124</v>
      </c>
      <c r="C13" s="52">
        <v>1724</v>
      </c>
      <c r="D13" s="53">
        <v>0.71803415243648505</v>
      </c>
      <c r="E13" s="14"/>
    </row>
    <row r="14" spans="1:5" ht="14.45" customHeight="1" x14ac:dyDescent="0.3">
      <c r="A14" s="14"/>
      <c r="B14" s="54" t="s">
        <v>317</v>
      </c>
      <c r="C14" s="55">
        <v>2401</v>
      </c>
      <c r="D14" s="56">
        <v>1</v>
      </c>
      <c r="E14" s="14"/>
    </row>
    <row r="15" spans="1:5" ht="14.45" customHeight="1" x14ac:dyDescent="0.3">
      <c r="A15" s="14"/>
      <c r="B15" s="17"/>
      <c r="C15" s="14"/>
      <c r="D15" s="14"/>
      <c r="E15" s="14"/>
    </row>
    <row r="16" spans="1:5" ht="14.45" customHeight="1" x14ac:dyDescent="0.3">
      <c r="A16" s="14"/>
      <c r="B16" s="18" t="s">
        <v>260</v>
      </c>
      <c r="C16" s="14"/>
      <c r="D16" s="14"/>
      <c r="E16" s="14"/>
    </row>
    <row r="17" spans="1:5" ht="14.45" customHeight="1" x14ac:dyDescent="0.3">
      <c r="A17" s="14"/>
      <c r="B17" s="19" t="s">
        <v>21</v>
      </c>
      <c r="C17" s="14"/>
      <c r="D17" s="14"/>
      <c r="E17" s="14"/>
    </row>
    <row r="18" spans="1:5" ht="14.45" customHeight="1" x14ac:dyDescent="0.3">
      <c r="A18" s="14"/>
      <c r="B18" s="17" t="s">
        <v>122</v>
      </c>
      <c r="C18" s="14"/>
      <c r="D18" s="14"/>
      <c r="E18" s="14"/>
    </row>
    <row r="19" spans="1:5" ht="14.45" customHeight="1" x14ac:dyDescent="0.3">
      <c r="A19" s="14"/>
      <c r="B19" s="18" t="s">
        <v>22</v>
      </c>
      <c r="C19" s="14"/>
      <c r="D19" s="14"/>
      <c r="E19" s="14"/>
    </row>
    <row r="20" spans="1:5" ht="14.45" customHeight="1" x14ac:dyDescent="0.3">
      <c r="A20" s="14"/>
      <c r="B20" s="18" t="s">
        <v>319</v>
      </c>
      <c r="C20" s="14"/>
      <c r="D20" s="14"/>
      <c r="E20" s="14"/>
    </row>
  </sheetData>
  <mergeCells count="1">
    <mergeCell ref="B7:D9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4124-6E8E-40DD-A287-6231E99D13BC}">
  <sheetPr>
    <tabColor rgb="FF00B050"/>
  </sheetPr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4:F155"/>
  <sheetViews>
    <sheetView showGridLines="0" view="pageBreakPreview" topLeftCell="A2" zoomScale="90" zoomScaleNormal="100" zoomScaleSheetLayoutView="90" workbookViewId="0">
      <selection activeCell="L24" sqref="L24"/>
    </sheetView>
  </sheetViews>
  <sheetFormatPr baseColWidth="10" defaultRowHeight="15" x14ac:dyDescent="0.25"/>
  <cols>
    <col min="1" max="1" width="7" customWidth="1"/>
    <col min="2" max="2" width="20.85546875" customWidth="1"/>
    <col min="3" max="3" width="18.5703125" customWidth="1"/>
    <col min="4" max="4" width="19.7109375" customWidth="1"/>
    <col min="5" max="5" width="13" customWidth="1"/>
    <col min="6" max="6" width="9.140625" customWidth="1"/>
  </cols>
  <sheetData>
    <row r="4" spans="1:6" ht="31.5" customHeight="1" x14ac:dyDescent="0.25"/>
    <row r="7" spans="1:6" ht="2.1" customHeight="1" x14ac:dyDescent="0.25"/>
    <row r="8" spans="1:6" ht="16.5" x14ac:dyDescent="0.3">
      <c r="A8" s="14"/>
      <c r="B8" s="83" t="s">
        <v>34</v>
      </c>
      <c r="C8" s="83"/>
      <c r="D8" s="83"/>
      <c r="E8" s="83"/>
      <c r="F8" s="14"/>
    </row>
    <row r="9" spans="1:6" ht="16.5" x14ac:dyDescent="0.3">
      <c r="A9" s="14"/>
      <c r="B9" s="83"/>
      <c r="C9" s="83"/>
      <c r="D9" s="83"/>
      <c r="E9" s="83"/>
      <c r="F9" s="14"/>
    </row>
    <row r="10" spans="1:6" ht="16.5" x14ac:dyDescent="0.3">
      <c r="A10" s="14"/>
      <c r="B10" s="83"/>
      <c r="C10" s="83"/>
      <c r="D10" s="83"/>
      <c r="E10" s="83"/>
      <c r="F10" s="14"/>
    </row>
    <row r="11" spans="1:6" ht="16.5" x14ac:dyDescent="0.3">
      <c r="A11" s="14"/>
      <c r="B11" s="14"/>
      <c r="C11" s="14"/>
      <c r="D11" s="14"/>
      <c r="E11" s="14"/>
      <c r="F11" s="14"/>
    </row>
    <row r="12" spans="1:6" ht="28.5" x14ac:dyDescent="0.3">
      <c r="A12" s="14"/>
      <c r="B12" s="27" t="s">
        <v>23</v>
      </c>
      <c r="C12" s="27" t="s">
        <v>33</v>
      </c>
      <c r="D12" s="27" t="s">
        <v>19</v>
      </c>
      <c r="E12" s="27" t="s">
        <v>20</v>
      </c>
      <c r="F12" s="14"/>
    </row>
    <row r="13" spans="1:6" s="13" customFormat="1" ht="14.45" customHeight="1" x14ac:dyDescent="0.3">
      <c r="A13" s="30"/>
      <c r="B13" s="86" t="s">
        <v>74</v>
      </c>
      <c r="C13" s="40" t="s">
        <v>124</v>
      </c>
      <c r="D13" s="41">
        <v>1</v>
      </c>
      <c r="E13" s="42">
        <v>0</v>
      </c>
      <c r="F13" s="30"/>
    </row>
    <row r="14" spans="1:6" s="13" customFormat="1" ht="14.45" customHeight="1" x14ac:dyDescent="0.3">
      <c r="A14" s="30"/>
      <c r="B14" s="86"/>
      <c r="C14" s="43" t="s">
        <v>318</v>
      </c>
      <c r="D14" s="44">
        <v>1</v>
      </c>
      <c r="E14" s="45">
        <v>0</v>
      </c>
      <c r="F14" s="30"/>
    </row>
    <row r="15" spans="1:6" s="13" customFormat="1" ht="14.45" customHeight="1" x14ac:dyDescent="0.3">
      <c r="A15" s="30"/>
      <c r="B15" s="98" t="s">
        <v>59</v>
      </c>
      <c r="C15" s="40" t="s">
        <v>123</v>
      </c>
      <c r="D15" s="41">
        <v>5</v>
      </c>
      <c r="E15" s="42">
        <v>2E-3</v>
      </c>
      <c r="F15" s="30"/>
    </row>
    <row r="16" spans="1:6" s="13" customFormat="1" ht="14.45" customHeight="1" x14ac:dyDescent="0.3">
      <c r="A16" s="30"/>
      <c r="B16" s="98"/>
      <c r="C16" s="40" t="s">
        <v>124</v>
      </c>
      <c r="D16" s="41">
        <v>15</v>
      </c>
      <c r="E16" s="42">
        <v>6.0000000000000001E-3</v>
      </c>
      <c r="F16" s="30"/>
    </row>
    <row r="17" spans="1:6" s="13" customFormat="1" ht="14.45" customHeight="1" x14ac:dyDescent="0.3">
      <c r="A17" s="30"/>
      <c r="B17" s="98"/>
      <c r="C17" s="43" t="s">
        <v>318</v>
      </c>
      <c r="D17" s="44">
        <v>20</v>
      </c>
      <c r="E17" s="46">
        <v>8.0000000000000002E-3</v>
      </c>
      <c r="F17" s="30"/>
    </row>
    <row r="18" spans="1:6" s="13" customFormat="1" ht="14.45" customHeight="1" x14ac:dyDescent="0.3">
      <c r="A18" s="30"/>
      <c r="B18" s="98" t="s">
        <v>65</v>
      </c>
      <c r="C18" s="40" t="s">
        <v>123</v>
      </c>
      <c r="D18" s="41">
        <v>4</v>
      </c>
      <c r="E18" s="42">
        <v>2E-3</v>
      </c>
      <c r="F18" s="30"/>
    </row>
    <row r="19" spans="1:6" s="13" customFormat="1" ht="14.45" customHeight="1" x14ac:dyDescent="0.3">
      <c r="A19" s="30"/>
      <c r="B19" s="98"/>
      <c r="C19" s="40" t="s">
        <v>124</v>
      </c>
      <c r="D19" s="41">
        <v>10</v>
      </c>
      <c r="E19" s="42">
        <v>4.0000000000000001E-3</v>
      </c>
      <c r="F19" s="30"/>
    </row>
    <row r="20" spans="1:6" s="13" customFormat="1" ht="14.45" customHeight="1" x14ac:dyDescent="0.3">
      <c r="A20" s="30"/>
      <c r="B20" s="98" t="s">
        <v>304</v>
      </c>
      <c r="C20" s="43" t="s">
        <v>318</v>
      </c>
      <c r="D20" s="44">
        <v>14</v>
      </c>
      <c r="E20" s="45">
        <v>6.0000000000000001E-3</v>
      </c>
      <c r="F20" s="30"/>
    </row>
    <row r="21" spans="1:6" s="13" customFormat="1" ht="14.45" customHeight="1" x14ac:dyDescent="0.3">
      <c r="A21" s="30"/>
      <c r="B21" s="92" t="s">
        <v>67</v>
      </c>
      <c r="C21" s="40" t="s">
        <v>123</v>
      </c>
      <c r="D21" s="41">
        <v>3</v>
      </c>
      <c r="E21" s="42">
        <v>1E-3</v>
      </c>
      <c r="F21" s="30"/>
    </row>
    <row r="22" spans="1:6" s="13" customFormat="1" ht="14.45" customHeight="1" x14ac:dyDescent="0.3">
      <c r="A22" s="30"/>
      <c r="B22" s="93"/>
      <c r="C22" s="40" t="s">
        <v>124</v>
      </c>
      <c r="D22" s="41">
        <v>5</v>
      </c>
      <c r="E22" s="42">
        <v>2E-3</v>
      </c>
      <c r="F22" s="30"/>
    </row>
    <row r="23" spans="1:6" s="13" customFormat="1" ht="14.45" customHeight="1" x14ac:dyDescent="0.3">
      <c r="A23" s="30"/>
      <c r="B23" s="94"/>
      <c r="C23" s="43" t="s">
        <v>318</v>
      </c>
      <c r="D23" s="44">
        <v>8</v>
      </c>
      <c r="E23" s="45">
        <v>3.0000000000000001E-3</v>
      </c>
      <c r="F23" s="30"/>
    </row>
    <row r="24" spans="1:6" s="13" customFormat="1" ht="14.45" customHeight="1" x14ac:dyDescent="0.3">
      <c r="A24" s="30"/>
      <c r="B24" s="88" t="s">
        <v>78</v>
      </c>
      <c r="C24" s="40" t="s">
        <v>124</v>
      </c>
      <c r="D24" s="41">
        <v>1</v>
      </c>
      <c r="E24" s="42">
        <v>0</v>
      </c>
      <c r="F24" s="30"/>
    </row>
    <row r="25" spans="1:6" s="13" customFormat="1" ht="14.45" customHeight="1" x14ac:dyDescent="0.3">
      <c r="A25" s="30"/>
      <c r="B25" s="90"/>
      <c r="C25" s="43" t="s">
        <v>318</v>
      </c>
      <c r="D25" s="44">
        <v>1</v>
      </c>
      <c r="E25" s="45">
        <v>0</v>
      </c>
      <c r="F25" s="30"/>
    </row>
    <row r="26" spans="1:6" s="13" customFormat="1" ht="14.45" customHeight="1" x14ac:dyDescent="0.3">
      <c r="A26" s="30"/>
      <c r="B26" s="88" t="s">
        <v>81</v>
      </c>
      <c r="C26" s="40" t="s">
        <v>123</v>
      </c>
      <c r="D26" s="41">
        <v>2</v>
      </c>
      <c r="E26" s="42">
        <v>1E-3</v>
      </c>
      <c r="F26" s="30"/>
    </row>
    <row r="27" spans="1:6" s="13" customFormat="1" ht="14.45" customHeight="1" x14ac:dyDescent="0.3">
      <c r="A27" s="30"/>
      <c r="B27" s="89"/>
      <c r="C27" s="40" t="s">
        <v>124</v>
      </c>
      <c r="D27" s="41">
        <v>3</v>
      </c>
      <c r="E27" s="42">
        <v>1E-3</v>
      </c>
      <c r="F27" s="30"/>
    </row>
    <row r="28" spans="1:6" s="13" customFormat="1" ht="14.45" customHeight="1" x14ac:dyDescent="0.3">
      <c r="A28" s="30"/>
      <c r="B28" s="90"/>
      <c r="C28" s="43" t="s">
        <v>318</v>
      </c>
      <c r="D28" s="44">
        <v>5</v>
      </c>
      <c r="E28" s="45">
        <v>2E-3</v>
      </c>
      <c r="F28" s="30"/>
    </row>
    <row r="29" spans="1:6" s="13" customFormat="1" ht="14.45" customHeight="1" x14ac:dyDescent="0.3">
      <c r="A29" s="30"/>
      <c r="B29" s="88" t="s">
        <v>262</v>
      </c>
      <c r="C29" s="40" t="s">
        <v>124</v>
      </c>
      <c r="D29" s="41">
        <v>2</v>
      </c>
      <c r="E29" s="42">
        <v>1E-3</v>
      </c>
      <c r="F29" s="30"/>
    </row>
    <row r="30" spans="1:6" s="13" customFormat="1" ht="14.45" customHeight="1" x14ac:dyDescent="0.3">
      <c r="A30" s="30"/>
      <c r="B30" s="90"/>
      <c r="C30" s="43" t="s">
        <v>318</v>
      </c>
      <c r="D30" s="44">
        <v>2</v>
      </c>
      <c r="E30" s="45">
        <v>1E-3</v>
      </c>
      <c r="F30" s="30"/>
    </row>
    <row r="31" spans="1:6" s="13" customFormat="1" ht="14.45" customHeight="1" x14ac:dyDescent="0.3">
      <c r="A31" s="30"/>
      <c r="B31" s="98" t="s">
        <v>54</v>
      </c>
      <c r="C31" s="40" t="s">
        <v>123</v>
      </c>
      <c r="D31" s="41">
        <v>9</v>
      </c>
      <c r="E31" s="42">
        <v>4.0000000000000001E-3</v>
      </c>
      <c r="F31" s="30"/>
    </row>
    <row r="32" spans="1:6" s="13" customFormat="1" ht="14.45" customHeight="1" x14ac:dyDescent="0.3">
      <c r="A32" s="30"/>
      <c r="B32" s="98"/>
      <c r="C32" s="40" t="s">
        <v>124</v>
      </c>
      <c r="D32" s="41">
        <v>23</v>
      </c>
      <c r="E32" s="42">
        <v>0.01</v>
      </c>
      <c r="F32" s="30"/>
    </row>
    <row r="33" spans="1:6" s="13" customFormat="1" ht="14.45" customHeight="1" x14ac:dyDescent="0.3">
      <c r="A33" s="30"/>
      <c r="B33" s="98" t="s">
        <v>305</v>
      </c>
      <c r="C33" s="43" t="s">
        <v>318</v>
      </c>
      <c r="D33" s="44">
        <v>32</v>
      </c>
      <c r="E33" s="46">
        <v>1.2999999999999999E-2</v>
      </c>
      <c r="F33" s="30"/>
    </row>
    <row r="34" spans="1:6" s="13" customFormat="1" ht="14.45" customHeight="1" x14ac:dyDescent="0.3">
      <c r="A34" s="30"/>
      <c r="B34" s="98" t="s">
        <v>43</v>
      </c>
      <c r="C34" s="40" t="s">
        <v>123</v>
      </c>
      <c r="D34" s="41">
        <v>40</v>
      </c>
      <c r="E34" s="42">
        <v>1.7000000000000001E-2</v>
      </c>
      <c r="F34" s="30"/>
    </row>
    <row r="35" spans="1:6" s="13" customFormat="1" ht="14.45" customHeight="1" x14ac:dyDescent="0.3">
      <c r="A35" s="30"/>
      <c r="B35" s="98"/>
      <c r="C35" s="40" t="s">
        <v>124</v>
      </c>
      <c r="D35" s="41">
        <v>50</v>
      </c>
      <c r="E35" s="42">
        <v>2.1000000000000001E-2</v>
      </c>
      <c r="F35" s="30"/>
    </row>
    <row r="36" spans="1:6" s="13" customFormat="1" ht="14.45" customHeight="1" x14ac:dyDescent="0.3">
      <c r="A36" s="30"/>
      <c r="B36" s="98" t="s">
        <v>306</v>
      </c>
      <c r="C36" s="43" t="s">
        <v>318</v>
      </c>
      <c r="D36" s="44">
        <v>90</v>
      </c>
      <c r="E36" s="46">
        <v>3.6999999999999998E-2</v>
      </c>
      <c r="F36" s="30"/>
    </row>
    <row r="37" spans="1:6" s="13" customFormat="1" ht="14.45" customHeight="1" x14ac:dyDescent="0.3">
      <c r="A37" s="30"/>
      <c r="B37" s="98" t="s">
        <v>46</v>
      </c>
      <c r="C37" s="40" t="s">
        <v>123</v>
      </c>
      <c r="D37" s="41">
        <v>15</v>
      </c>
      <c r="E37" s="42">
        <v>6.0000000000000001E-3</v>
      </c>
      <c r="F37" s="30"/>
    </row>
    <row r="38" spans="1:6" s="13" customFormat="1" ht="14.45" customHeight="1" x14ac:dyDescent="0.3">
      <c r="A38" s="30"/>
      <c r="B38" s="98"/>
      <c r="C38" s="40" t="s">
        <v>124</v>
      </c>
      <c r="D38" s="41">
        <v>62</v>
      </c>
      <c r="E38" s="42">
        <v>2.5999999999999999E-2</v>
      </c>
      <c r="F38" s="30"/>
    </row>
    <row r="39" spans="1:6" s="13" customFormat="1" ht="14.45" customHeight="1" x14ac:dyDescent="0.3">
      <c r="A39" s="30"/>
      <c r="B39" s="98"/>
      <c r="C39" s="43" t="s">
        <v>318</v>
      </c>
      <c r="D39" s="44">
        <v>77</v>
      </c>
      <c r="E39" s="46">
        <v>3.2000000000000001E-2</v>
      </c>
      <c r="F39" s="30"/>
    </row>
    <row r="40" spans="1:6" s="13" customFormat="1" ht="14.45" customHeight="1" x14ac:dyDescent="0.3">
      <c r="A40" s="30"/>
      <c r="B40" s="88" t="s">
        <v>72</v>
      </c>
      <c r="C40" s="40" t="s">
        <v>124</v>
      </c>
      <c r="D40" s="41">
        <v>3</v>
      </c>
      <c r="E40" s="42">
        <v>1E-3</v>
      </c>
      <c r="F40" s="30"/>
    </row>
    <row r="41" spans="1:6" s="13" customFormat="1" ht="14.45" customHeight="1" x14ac:dyDescent="0.3">
      <c r="A41" s="30"/>
      <c r="B41" s="90"/>
      <c r="C41" s="43" t="s">
        <v>318</v>
      </c>
      <c r="D41" s="44">
        <v>3</v>
      </c>
      <c r="E41" s="45">
        <v>1E-3</v>
      </c>
      <c r="F41" s="30"/>
    </row>
    <row r="42" spans="1:6" s="13" customFormat="1" ht="14.45" customHeight="1" x14ac:dyDescent="0.3">
      <c r="A42" s="30"/>
      <c r="B42" s="88" t="s">
        <v>261</v>
      </c>
      <c r="C42" s="40" t="s">
        <v>123</v>
      </c>
      <c r="D42" s="41">
        <v>2</v>
      </c>
      <c r="E42" s="42">
        <v>1E-3</v>
      </c>
      <c r="F42" s="30"/>
    </row>
    <row r="43" spans="1:6" s="13" customFormat="1" ht="14.45" customHeight="1" x14ac:dyDescent="0.3">
      <c r="A43" s="30"/>
      <c r="B43" s="89"/>
      <c r="C43" s="40" t="s">
        <v>124</v>
      </c>
      <c r="D43" s="41">
        <v>3</v>
      </c>
      <c r="E43" s="42">
        <v>1E-3</v>
      </c>
      <c r="F43" s="30"/>
    </row>
    <row r="44" spans="1:6" s="13" customFormat="1" ht="14.45" customHeight="1" x14ac:dyDescent="0.3">
      <c r="A44" s="30"/>
      <c r="B44" s="90"/>
      <c r="C44" s="43" t="s">
        <v>318</v>
      </c>
      <c r="D44" s="44">
        <v>5</v>
      </c>
      <c r="E44" s="45">
        <v>2E-3</v>
      </c>
      <c r="F44" s="30"/>
    </row>
    <row r="45" spans="1:6" s="13" customFormat="1" ht="14.45" customHeight="1" x14ac:dyDescent="0.3">
      <c r="A45" s="30"/>
      <c r="B45" s="88" t="s">
        <v>75</v>
      </c>
      <c r="C45" s="40" t="s">
        <v>123</v>
      </c>
      <c r="D45" s="41">
        <v>4</v>
      </c>
      <c r="E45" s="42">
        <v>2E-3</v>
      </c>
      <c r="F45" s="30"/>
    </row>
    <row r="46" spans="1:6" s="13" customFormat="1" ht="14.45" customHeight="1" x14ac:dyDescent="0.3">
      <c r="A46" s="30"/>
      <c r="B46" s="89"/>
      <c r="C46" s="40" t="s">
        <v>124</v>
      </c>
      <c r="D46" s="41">
        <v>1</v>
      </c>
      <c r="E46" s="42">
        <v>0</v>
      </c>
      <c r="F46" s="30"/>
    </row>
    <row r="47" spans="1:6" s="13" customFormat="1" ht="14.45" customHeight="1" x14ac:dyDescent="0.3">
      <c r="A47" s="30"/>
      <c r="B47" s="90"/>
      <c r="C47" s="43" t="s">
        <v>318</v>
      </c>
      <c r="D47" s="44">
        <v>5</v>
      </c>
      <c r="E47" s="45">
        <v>2E-3</v>
      </c>
      <c r="F47" s="30"/>
    </row>
    <row r="48" spans="1:6" s="13" customFormat="1" ht="14.45" customHeight="1" x14ac:dyDescent="0.3">
      <c r="A48" s="30"/>
      <c r="B48" s="88" t="s">
        <v>62</v>
      </c>
      <c r="C48" s="40" t="s">
        <v>123</v>
      </c>
      <c r="D48" s="41">
        <v>12</v>
      </c>
      <c r="E48" s="42">
        <v>5.0000000000000001E-3</v>
      </c>
      <c r="F48" s="30"/>
    </row>
    <row r="49" spans="1:6" s="13" customFormat="1" ht="14.45" customHeight="1" x14ac:dyDescent="0.3">
      <c r="A49" s="30"/>
      <c r="B49" s="89"/>
      <c r="C49" s="40" t="s">
        <v>124</v>
      </c>
      <c r="D49" s="41">
        <v>14</v>
      </c>
      <c r="E49" s="42">
        <v>6.0000000000000001E-3</v>
      </c>
      <c r="F49" s="30"/>
    </row>
    <row r="50" spans="1:6" s="13" customFormat="1" ht="14.45" customHeight="1" x14ac:dyDescent="0.3">
      <c r="A50" s="30"/>
      <c r="B50" s="90"/>
      <c r="C50" s="43" t="s">
        <v>318</v>
      </c>
      <c r="D50" s="44">
        <v>26</v>
      </c>
      <c r="E50" s="45">
        <v>1.0999999999999999E-2</v>
      </c>
      <c r="F50" s="30"/>
    </row>
    <row r="51" spans="1:6" s="13" customFormat="1" ht="14.45" customHeight="1" x14ac:dyDescent="0.3">
      <c r="A51" s="30"/>
      <c r="B51" s="88" t="s">
        <v>52</v>
      </c>
      <c r="C51" s="40" t="s">
        <v>123</v>
      </c>
      <c r="D51" s="41">
        <v>19</v>
      </c>
      <c r="E51" s="42">
        <v>8.0000000000000002E-3</v>
      </c>
      <c r="F51" s="30"/>
    </row>
    <row r="52" spans="1:6" s="13" customFormat="1" ht="14.45" customHeight="1" x14ac:dyDescent="0.3">
      <c r="A52" s="30"/>
      <c r="B52" s="89"/>
      <c r="C52" s="40" t="s">
        <v>124</v>
      </c>
      <c r="D52" s="41">
        <v>19</v>
      </c>
      <c r="E52" s="42">
        <v>8.0000000000000002E-3</v>
      </c>
      <c r="F52" s="30"/>
    </row>
    <row r="53" spans="1:6" s="13" customFormat="1" ht="14.45" customHeight="1" x14ac:dyDescent="0.3">
      <c r="A53" s="30"/>
      <c r="B53" s="90"/>
      <c r="C53" s="43" t="s">
        <v>318</v>
      </c>
      <c r="D53" s="44">
        <v>38</v>
      </c>
      <c r="E53" s="45">
        <v>1.6E-2</v>
      </c>
      <c r="F53" s="30"/>
    </row>
    <row r="54" spans="1:6" s="13" customFormat="1" ht="14.45" customHeight="1" x14ac:dyDescent="0.3">
      <c r="A54" s="30"/>
      <c r="B54" s="88" t="s">
        <v>77</v>
      </c>
      <c r="C54" s="40" t="s">
        <v>123</v>
      </c>
      <c r="D54" s="41">
        <v>2</v>
      </c>
      <c r="E54" s="42">
        <v>1E-3</v>
      </c>
      <c r="F54" s="30"/>
    </row>
    <row r="55" spans="1:6" s="13" customFormat="1" ht="14.45" customHeight="1" x14ac:dyDescent="0.3">
      <c r="A55" s="30"/>
      <c r="B55" s="89"/>
      <c r="C55" s="40" t="s">
        <v>124</v>
      </c>
      <c r="D55" s="41">
        <v>8</v>
      </c>
      <c r="E55" s="42">
        <v>3.0000000000000001E-3</v>
      </c>
      <c r="F55" s="30"/>
    </row>
    <row r="56" spans="1:6" s="13" customFormat="1" ht="14.45" customHeight="1" x14ac:dyDescent="0.3">
      <c r="A56" s="30"/>
      <c r="B56" s="90"/>
      <c r="C56" s="43" t="s">
        <v>318</v>
      </c>
      <c r="D56" s="44">
        <v>10</v>
      </c>
      <c r="E56" s="45">
        <v>4.0000000000000001E-3</v>
      </c>
      <c r="F56" s="30"/>
    </row>
    <row r="57" spans="1:6" s="13" customFormat="1" ht="14.45" customHeight="1" x14ac:dyDescent="0.3">
      <c r="A57" s="30"/>
      <c r="B57" s="88" t="s">
        <v>55</v>
      </c>
      <c r="C57" s="40" t="s">
        <v>123</v>
      </c>
      <c r="D57" s="41">
        <v>7</v>
      </c>
      <c r="E57" s="42">
        <v>3.0000000000000001E-3</v>
      </c>
      <c r="F57" s="30"/>
    </row>
    <row r="58" spans="1:6" s="13" customFormat="1" ht="14.45" customHeight="1" x14ac:dyDescent="0.3">
      <c r="A58" s="30"/>
      <c r="B58" s="89"/>
      <c r="C58" s="40" t="s">
        <v>124</v>
      </c>
      <c r="D58" s="41">
        <v>22</v>
      </c>
      <c r="E58" s="42">
        <v>8.9999999999999993E-3</v>
      </c>
      <c r="F58" s="30"/>
    </row>
    <row r="59" spans="1:6" s="13" customFormat="1" ht="14.45" customHeight="1" x14ac:dyDescent="0.3">
      <c r="A59" s="30"/>
      <c r="B59" s="90"/>
      <c r="C59" s="43" t="s">
        <v>318</v>
      </c>
      <c r="D59" s="44">
        <v>29</v>
      </c>
      <c r="E59" s="45">
        <v>1.2E-2</v>
      </c>
      <c r="F59" s="30"/>
    </row>
    <row r="60" spans="1:6" s="13" customFormat="1" ht="14.45" customHeight="1" x14ac:dyDescent="0.3">
      <c r="A60" s="30"/>
      <c r="B60" s="88" t="s">
        <v>82</v>
      </c>
      <c r="C60" s="40" t="s">
        <v>123</v>
      </c>
      <c r="D60" s="41">
        <v>3</v>
      </c>
      <c r="E60" s="42">
        <v>1E-3</v>
      </c>
      <c r="F60" s="30"/>
    </row>
    <row r="61" spans="1:6" s="13" customFormat="1" ht="14.45" customHeight="1" x14ac:dyDescent="0.3">
      <c r="A61" s="30"/>
      <c r="B61" s="89"/>
      <c r="C61" s="40" t="s">
        <v>124</v>
      </c>
      <c r="D61" s="41">
        <v>1</v>
      </c>
      <c r="E61" s="42">
        <v>0</v>
      </c>
      <c r="F61" s="30"/>
    </row>
    <row r="62" spans="1:6" s="13" customFormat="1" ht="14.45" customHeight="1" x14ac:dyDescent="0.3">
      <c r="A62" s="30"/>
      <c r="B62" s="90"/>
      <c r="C62" s="43" t="s">
        <v>318</v>
      </c>
      <c r="D62" s="44">
        <v>4</v>
      </c>
      <c r="E62" s="45">
        <v>2E-3</v>
      </c>
      <c r="F62" s="30"/>
    </row>
    <row r="63" spans="1:6" s="13" customFormat="1" ht="14.45" customHeight="1" x14ac:dyDescent="0.3">
      <c r="A63" s="30"/>
      <c r="B63" s="88" t="s">
        <v>49</v>
      </c>
      <c r="C63" s="40" t="s">
        <v>123</v>
      </c>
      <c r="D63" s="41">
        <v>25</v>
      </c>
      <c r="E63" s="42">
        <v>0.01</v>
      </c>
      <c r="F63" s="30"/>
    </row>
    <row r="64" spans="1:6" s="13" customFormat="1" ht="14.45" customHeight="1" x14ac:dyDescent="0.3">
      <c r="A64" s="30"/>
      <c r="B64" s="89"/>
      <c r="C64" s="40" t="s">
        <v>124</v>
      </c>
      <c r="D64" s="41">
        <v>31</v>
      </c>
      <c r="E64" s="42">
        <v>1.2999999999999999E-2</v>
      </c>
      <c r="F64" s="30"/>
    </row>
    <row r="65" spans="1:6" s="13" customFormat="1" ht="14.45" customHeight="1" x14ac:dyDescent="0.3">
      <c r="A65" s="30"/>
      <c r="B65" s="90"/>
      <c r="C65" s="43" t="s">
        <v>318</v>
      </c>
      <c r="D65" s="44">
        <v>56</v>
      </c>
      <c r="E65" s="46">
        <v>2.3E-2</v>
      </c>
      <c r="F65" s="30"/>
    </row>
    <row r="66" spans="1:6" s="13" customFormat="1" ht="14.45" customHeight="1" x14ac:dyDescent="0.3">
      <c r="A66" s="30"/>
      <c r="B66" s="88" t="s">
        <v>53</v>
      </c>
      <c r="C66" s="40" t="s">
        <v>123</v>
      </c>
      <c r="D66" s="41">
        <v>8</v>
      </c>
      <c r="E66" s="42">
        <v>3.0000000000000001E-3</v>
      </c>
      <c r="F66" s="30"/>
    </row>
    <row r="67" spans="1:6" s="13" customFormat="1" ht="14.45" customHeight="1" x14ac:dyDescent="0.3">
      <c r="A67" s="30"/>
      <c r="B67" s="89"/>
      <c r="C67" s="40" t="s">
        <v>124</v>
      </c>
      <c r="D67" s="41">
        <v>32</v>
      </c>
      <c r="E67" s="42">
        <v>1.2999999999999999E-2</v>
      </c>
      <c r="F67" s="30"/>
    </row>
    <row r="68" spans="1:6" s="13" customFormat="1" ht="14.45" customHeight="1" x14ac:dyDescent="0.3">
      <c r="A68" s="30"/>
      <c r="B68" s="90"/>
      <c r="C68" s="43" t="s">
        <v>318</v>
      </c>
      <c r="D68" s="44">
        <v>40</v>
      </c>
      <c r="E68" s="45">
        <v>1.7000000000000001E-2</v>
      </c>
      <c r="F68" s="30"/>
    </row>
    <row r="69" spans="1:6" s="13" customFormat="1" ht="14.45" customHeight="1" x14ac:dyDescent="0.3">
      <c r="A69" s="30"/>
      <c r="B69" s="88" t="s">
        <v>42</v>
      </c>
      <c r="C69" s="40" t="s">
        <v>123</v>
      </c>
      <c r="D69" s="41">
        <v>144</v>
      </c>
      <c r="E69" s="42">
        <v>0.06</v>
      </c>
      <c r="F69" s="30"/>
    </row>
    <row r="70" spans="1:6" s="13" customFormat="1" ht="14.45" customHeight="1" x14ac:dyDescent="0.3">
      <c r="A70" s="30"/>
      <c r="B70" s="89"/>
      <c r="C70" s="40" t="s">
        <v>124</v>
      </c>
      <c r="D70" s="41">
        <v>206</v>
      </c>
      <c r="E70" s="42">
        <v>8.5999999999999993E-2</v>
      </c>
      <c r="F70" s="30"/>
    </row>
    <row r="71" spans="1:6" s="13" customFormat="1" ht="14.45" customHeight="1" x14ac:dyDescent="0.3">
      <c r="A71" s="30"/>
      <c r="B71" s="90"/>
      <c r="C71" s="43" t="s">
        <v>318</v>
      </c>
      <c r="D71" s="44">
        <v>350</v>
      </c>
      <c r="E71" s="45">
        <v>0.14599999999999999</v>
      </c>
      <c r="F71" s="30"/>
    </row>
    <row r="72" spans="1:6" s="13" customFormat="1" ht="14.45" customHeight="1" x14ac:dyDescent="0.3">
      <c r="A72" s="30"/>
      <c r="B72" s="88" t="s">
        <v>61</v>
      </c>
      <c r="C72" s="40" t="s">
        <v>123</v>
      </c>
      <c r="D72" s="41">
        <v>3</v>
      </c>
      <c r="E72" s="42">
        <v>1E-3</v>
      </c>
      <c r="F72" s="30"/>
    </row>
    <row r="73" spans="1:6" s="13" customFormat="1" ht="14.45" customHeight="1" x14ac:dyDescent="0.3">
      <c r="A73" s="30"/>
      <c r="B73" s="89"/>
      <c r="C73" s="40" t="s">
        <v>124</v>
      </c>
      <c r="D73" s="41">
        <v>5</v>
      </c>
      <c r="E73" s="42">
        <v>2E-3</v>
      </c>
      <c r="F73" s="30"/>
    </row>
    <row r="74" spans="1:6" s="13" customFormat="1" ht="14.45" customHeight="1" x14ac:dyDescent="0.3">
      <c r="A74" s="30"/>
      <c r="B74" s="90"/>
      <c r="C74" s="43" t="s">
        <v>318</v>
      </c>
      <c r="D74" s="44">
        <v>8</v>
      </c>
      <c r="E74" s="45">
        <v>3.0000000000000001E-3</v>
      </c>
      <c r="F74" s="30"/>
    </row>
    <row r="75" spans="1:6" s="13" customFormat="1" ht="14.45" customHeight="1" x14ac:dyDescent="0.3">
      <c r="A75" s="30"/>
      <c r="B75" s="88" t="s">
        <v>57</v>
      </c>
      <c r="C75" s="40" t="s">
        <v>123</v>
      </c>
      <c r="D75" s="41">
        <v>6</v>
      </c>
      <c r="E75" s="42">
        <v>2E-3</v>
      </c>
      <c r="F75" s="30"/>
    </row>
    <row r="76" spans="1:6" s="13" customFormat="1" ht="14.45" customHeight="1" x14ac:dyDescent="0.3">
      <c r="A76" s="30"/>
      <c r="B76" s="89"/>
      <c r="C76" s="40" t="s">
        <v>124</v>
      </c>
      <c r="D76" s="41">
        <v>9</v>
      </c>
      <c r="E76" s="42">
        <v>4.0000000000000001E-3</v>
      </c>
      <c r="F76" s="30"/>
    </row>
    <row r="77" spans="1:6" s="13" customFormat="1" ht="14.45" customHeight="1" x14ac:dyDescent="0.3">
      <c r="A77" s="30"/>
      <c r="B77" s="90"/>
      <c r="C77" s="43" t="s">
        <v>318</v>
      </c>
      <c r="D77" s="44">
        <v>15</v>
      </c>
      <c r="E77" s="45">
        <v>6.0000000000000001E-3</v>
      </c>
      <c r="F77" s="30"/>
    </row>
    <row r="78" spans="1:6" s="13" customFormat="1" ht="14.45" customHeight="1" x14ac:dyDescent="0.3">
      <c r="A78" s="30"/>
      <c r="B78" s="88" t="s">
        <v>73</v>
      </c>
      <c r="C78" s="40" t="s">
        <v>123</v>
      </c>
      <c r="D78" s="41">
        <v>1</v>
      </c>
      <c r="E78" s="42">
        <v>0</v>
      </c>
      <c r="F78" s="30"/>
    </row>
    <row r="79" spans="1:6" s="13" customFormat="1" ht="14.45" customHeight="1" x14ac:dyDescent="0.3">
      <c r="A79" s="30"/>
      <c r="B79" s="89"/>
      <c r="C79" s="40" t="s">
        <v>124</v>
      </c>
      <c r="D79" s="41">
        <v>1</v>
      </c>
      <c r="E79" s="42">
        <v>0</v>
      </c>
      <c r="F79" s="30"/>
    </row>
    <row r="80" spans="1:6" s="13" customFormat="1" ht="14.45" customHeight="1" x14ac:dyDescent="0.3">
      <c r="A80" s="30"/>
      <c r="B80" s="90"/>
      <c r="C80" s="43" t="s">
        <v>318</v>
      </c>
      <c r="D80" s="44">
        <v>2</v>
      </c>
      <c r="E80" s="45">
        <v>1E-3</v>
      </c>
      <c r="F80" s="30"/>
    </row>
    <row r="81" spans="1:6" s="13" customFormat="1" ht="14.45" customHeight="1" x14ac:dyDescent="0.3">
      <c r="A81" s="30"/>
      <c r="B81" s="88" t="s">
        <v>83</v>
      </c>
      <c r="C81" s="40" t="s">
        <v>123</v>
      </c>
      <c r="D81" s="41">
        <v>2</v>
      </c>
      <c r="E81" s="42">
        <v>1E-3</v>
      </c>
      <c r="F81" s="30"/>
    </row>
    <row r="82" spans="1:6" s="13" customFormat="1" ht="14.45" customHeight="1" x14ac:dyDescent="0.3">
      <c r="A82" s="30"/>
      <c r="B82" s="89"/>
      <c r="C82" s="40" t="s">
        <v>124</v>
      </c>
      <c r="D82" s="41">
        <v>1</v>
      </c>
      <c r="E82" s="42">
        <v>0</v>
      </c>
      <c r="F82" s="30"/>
    </row>
    <row r="83" spans="1:6" s="13" customFormat="1" ht="14.45" customHeight="1" x14ac:dyDescent="0.3">
      <c r="A83" s="30"/>
      <c r="B83" s="90"/>
      <c r="C83" s="43" t="s">
        <v>318</v>
      </c>
      <c r="D83" s="44">
        <v>3</v>
      </c>
      <c r="E83" s="45">
        <v>1E-3</v>
      </c>
      <c r="F83" s="30"/>
    </row>
    <row r="84" spans="1:6" s="13" customFormat="1" ht="14.45" customHeight="1" x14ac:dyDescent="0.3">
      <c r="A84" s="30"/>
      <c r="B84" s="88" t="s">
        <v>63</v>
      </c>
      <c r="C84" s="40" t="s">
        <v>123</v>
      </c>
      <c r="D84" s="41">
        <v>2</v>
      </c>
      <c r="E84" s="42">
        <v>1E-3</v>
      </c>
      <c r="F84" s="30"/>
    </row>
    <row r="85" spans="1:6" s="13" customFormat="1" ht="14.45" customHeight="1" x14ac:dyDescent="0.3">
      <c r="A85" s="30"/>
      <c r="B85" s="89"/>
      <c r="C85" s="40" t="s">
        <v>124</v>
      </c>
      <c r="D85" s="41">
        <v>7</v>
      </c>
      <c r="E85" s="42">
        <v>3.0000000000000001E-3</v>
      </c>
      <c r="F85" s="30"/>
    </row>
    <row r="86" spans="1:6" s="13" customFormat="1" ht="14.45" customHeight="1" x14ac:dyDescent="0.3">
      <c r="A86" s="30"/>
      <c r="B86" s="90"/>
      <c r="C86" s="43" t="s">
        <v>318</v>
      </c>
      <c r="D86" s="44">
        <v>9</v>
      </c>
      <c r="E86" s="45">
        <v>4.0000000000000001E-3</v>
      </c>
      <c r="F86" s="30"/>
    </row>
    <row r="87" spans="1:6" s="13" customFormat="1" ht="14.45" customHeight="1" x14ac:dyDescent="0.3">
      <c r="A87" s="30"/>
      <c r="B87" s="88" t="s">
        <v>68</v>
      </c>
      <c r="C87" s="40" t="s">
        <v>123</v>
      </c>
      <c r="D87" s="41">
        <v>2</v>
      </c>
      <c r="E87" s="42">
        <v>1E-3</v>
      </c>
      <c r="F87" s="30"/>
    </row>
    <row r="88" spans="1:6" s="13" customFormat="1" ht="14.45" customHeight="1" x14ac:dyDescent="0.3">
      <c r="A88" s="30"/>
      <c r="B88" s="89"/>
      <c r="C88" s="40" t="s">
        <v>124</v>
      </c>
      <c r="D88" s="41">
        <v>6</v>
      </c>
      <c r="E88" s="42">
        <v>2E-3</v>
      </c>
      <c r="F88" s="30"/>
    </row>
    <row r="89" spans="1:6" s="13" customFormat="1" ht="14.45" customHeight="1" x14ac:dyDescent="0.3">
      <c r="A89" s="30"/>
      <c r="B89" s="90"/>
      <c r="C89" s="43" t="s">
        <v>318</v>
      </c>
      <c r="D89" s="44">
        <v>8</v>
      </c>
      <c r="E89" s="45">
        <v>3.0000000000000001E-3</v>
      </c>
      <c r="F89" s="30"/>
    </row>
    <row r="90" spans="1:6" s="13" customFormat="1" ht="14.45" customHeight="1" x14ac:dyDescent="0.3">
      <c r="A90" s="30"/>
      <c r="B90" s="88" t="s">
        <v>66</v>
      </c>
      <c r="C90" s="40" t="s">
        <v>123</v>
      </c>
      <c r="D90" s="41">
        <v>4</v>
      </c>
      <c r="E90" s="42">
        <v>2E-3</v>
      </c>
      <c r="F90" s="30"/>
    </row>
    <row r="91" spans="1:6" s="13" customFormat="1" ht="14.45" customHeight="1" x14ac:dyDescent="0.3">
      <c r="A91" s="30"/>
      <c r="B91" s="89"/>
      <c r="C91" s="40" t="s">
        <v>124</v>
      </c>
      <c r="D91" s="41">
        <v>13</v>
      </c>
      <c r="E91" s="42">
        <v>5.0000000000000001E-3</v>
      </c>
      <c r="F91" s="30"/>
    </row>
    <row r="92" spans="1:6" s="13" customFormat="1" ht="14.45" customHeight="1" x14ac:dyDescent="0.3">
      <c r="A92" s="30"/>
      <c r="B92" s="90"/>
      <c r="C92" s="43" t="s">
        <v>318</v>
      </c>
      <c r="D92" s="44">
        <v>17</v>
      </c>
      <c r="E92" s="45">
        <v>7.0000000000000001E-3</v>
      </c>
      <c r="F92" s="30"/>
    </row>
    <row r="93" spans="1:6" s="13" customFormat="1" ht="14.45" customHeight="1" x14ac:dyDescent="0.3">
      <c r="A93" s="30"/>
      <c r="B93" s="88" t="s">
        <v>79</v>
      </c>
      <c r="C93" s="40" t="s">
        <v>123</v>
      </c>
      <c r="D93" s="41">
        <v>4</v>
      </c>
      <c r="E93" s="42">
        <v>2E-3</v>
      </c>
      <c r="F93" s="30"/>
    </row>
    <row r="94" spans="1:6" s="13" customFormat="1" ht="14.45" customHeight="1" x14ac:dyDescent="0.3">
      <c r="A94" s="30"/>
      <c r="B94" s="89"/>
      <c r="C94" s="40" t="s">
        <v>124</v>
      </c>
      <c r="D94" s="41">
        <v>7</v>
      </c>
      <c r="E94" s="42">
        <v>3.0000000000000001E-3</v>
      </c>
      <c r="F94" s="30"/>
    </row>
    <row r="95" spans="1:6" s="13" customFormat="1" ht="14.45" customHeight="1" x14ac:dyDescent="0.3">
      <c r="A95" s="30"/>
      <c r="B95" s="90"/>
      <c r="C95" s="43" t="s">
        <v>318</v>
      </c>
      <c r="D95" s="44">
        <v>11</v>
      </c>
      <c r="E95" s="45">
        <v>5.0000000000000001E-3</v>
      </c>
      <c r="F95" s="30"/>
    </row>
    <row r="96" spans="1:6" s="13" customFormat="1" ht="14.45" customHeight="1" x14ac:dyDescent="0.3">
      <c r="A96" s="30"/>
      <c r="B96" s="88" t="s">
        <v>64</v>
      </c>
      <c r="C96" s="40" t="s">
        <v>123</v>
      </c>
      <c r="D96" s="41">
        <v>3</v>
      </c>
      <c r="E96" s="42">
        <v>1E-3</v>
      </c>
      <c r="F96" s="30"/>
    </row>
    <row r="97" spans="1:6" s="13" customFormat="1" ht="14.45" customHeight="1" x14ac:dyDescent="0.3">
      <c r="A97" s="30"/>
      <c r="B97" s="89"/>
      <c r="C97" s="40" t="s">
        <v>124</v>
      </c>
      <c r="D97" s="41">
        <v>7</v>
      </c>
      <c r="E97" s="42">
        <v>3.0000000000000001E-3</v>
      </c>
      <c r="F97" s="30"/>
    </row>
    <row r="98" spans="1:6" s="13" customFormat="1" ht="14.45" customHeight="1" x14ac:dyDescent="0.3">
      <c r="A98" s="30"/>
      <c r="B98" s="90"/>
      <c r="C98" s="43" t="s">
        <v>318</v>
      </c>
      <c r="D98" s="44">
        <v>10</v>
      </c>
      <c r="E98" s="45">
        <v>4.0000000000000001E-3</v>
      </c>
      <c r="F98" s="30"/>
    </row>
    <row r="99" spans="1:6" s="13" customFormat="1" ht="14.45" customHeight="1" x14ac:dyDescent="0.3">
      <c r="A99" s="30"/>
      <c r="B99" s="88" t="s">
        <v>47</v>
      </c>
      <c r="C99" s="40" t="s">
        <v>123</v>
      </c>
      <c r="D99" s="41">
        <v>28</v>
      </c>
      <c r="E99" s="42">
        <v>1.2E-2</v>
      </c>
      <c r="F99" s="30"/>
    </row>
    <row r="100" spans="1:6" s="13" customFormat="1" ht="14.45" customHeight="1" x14ac:dyDescent="0.3">
      <c r="A100" s="30"/>
      <c r="B100" s="89"/>
      <c r="C100" s="40" t="s">
        <v>124</v>
      </c>
      <c r="D100" s="41">
        <v>79</v>
      </c>
      <c r="E100" s="42">
        <v>3.3000000000000002E-2</v>
      </c>
      <c r="F100" s="30"/>
    </row>
    <row r="101" spans="1:6" s="13" customFormat="1" ht="14.45" customHeight="1" x14ac:dyDescent="0.3">
      <c r="A101" s="30"/>
      <c r="B101" s="90"/>
      <c r="C101" s="43" t="s">
        <v>318</v>
      </c>
      <c r="D101" s="44">
        <v>107</v>
      </c>
      <c r="E101" s="45">
        <v>4.4999999999999998E-2</v>
      </c>
      <c r="F101" s="30"/>
    </row>
    <row r="102" spans="1:6" s="13" customFormat="1" ht="14.45" customHeight="1" x14ac:dyDescent="0.3">
      <c r="A102" s="30"/>
      <c r="B102" s="88" t="s">
        <v>69</v>
      </c>
      <c r="C102" s="40" t="s">
        <v>123</v>
      </c>
      <c r="D102" s="41">
        <v>3</v>
      </c>
      <c r="E102" s="42">
        <v>1E-3</v>
      </c>
      <c r="F102" s="30"/>
    </row>
    <row r="103" spans="1:6" s="13" customFormat="1" ht="14.45" customHeight="1" x14ac:dyDescent="0.3">
      <c r="A103" s="30"/>
      <c r="B103" s="89"/>
      <c r="C103" s="40" t="s">
        <v>124</v>
      </c>
      <c r="D103" s="41">
        <v>3</v>
      </c>
      <c r="E103" s="42">
        <v>1E-3</v>
      </c>
      <c r="F103" s="30"/>
    </row>
    <row r="104" spans="1:6" s="13" customFormat="1" ht="14.45" customHeight="1" x14ac:dyDescent="0.3">
      <c r="A104" s="30"/>
      <c r="B104" s="90"/>
      <c r="C104" s="43" t="s">
        <v>318</v>
      </c>
      <c r="D104" s="44">
        <v>6</v>
      </c>
      <c r="E104" s="45">
        <v>2E-3</v>
      </c>
      <c r="F104" s="30"/>
    </row>
    <row r="105" spans="1:6" s="13" customFormat="1" ht="14.45" customHeight="1" x14ac:dyDescent="0.3">
      <c r="A105" s="30"/>
      <c r="B105" s="88" t="s">
        <v>45</v>
      </c>
      <c r="C105" s="40" t="s">
        <v>123</v>
      </c>
      <c r="D105" s="41">
        <v>21</v>
      </c>
      <c r="E105" s="42">
        <v>8.9999999999999993E-3</v>
      </c>
      <c r="F105" s="30"/>
    </row>
    <row r="106" spans="1:6" s="13" customFormat="1" ht="14.45" customHeight="1" x14ac:dyDescent="0.3">
      <c r="A106" s="30"/>
      <c r="B106" s="89"/>
      <c r="C106" s="40" t="s">
        <v>124</v>
      </c>
      <c r="D106" s="41">
        <v>72</v>
      </c>
      <c r="E106" s="42">
        <v>0.03</v>
      </c>
      <c r="F106" s="30"/>
    </row>
    <row r="107" spans="1:6" s="13" customFormat="1" ht="14.45" customHeight="1" x14ac:dyDescent="0.3">
      <c r="A107" s="30"/>
      <c r="B107" s="90"/>
      <c r="C107" s="43" t="s">
        <v>318</v>
      </c>
      <c r="D107" s="44">
        <v>93</v>
      </c>
      <c r="E107" s="45">
        <v>3.9E-2</v>
      </c>
      <c r="F107" s="30"/>
    </row>
    <row r="108" spans="1:6" s="13" customFormat="1" ht="14.45" customHeight="1" x14ac:dyDescent="0.3">
      <c r="A108" s="30"/>
      <c r="B108" s="88" t="s">
        <v>84</v>
      </c>
      <c r="C108" s="40" t="s">
        <v>124</v>
      </c>
      <c r="D108" s="41">
        <v>1</v>
      </c>
      <c r="E108" s="42">
        <v>0</v>
      </c>
      <c r="F108" s="30"/>
    </row>
    <row r="109" spans="1:6" s="13" customFormat="1" ht="14.45" customHeight="1" x14ac:dyDescent="0.3">
      <c r="A109" s="30"/>
      <c r="B109" s="90"/>
      <c r="C109" s="43" t="s">
        <v>318</v>
      </c>
      <c r="D109" s="44">
        <v>1</v>
      </c>
      <c r="E109" s="45">
        <v>0</v>
      </c>
      <c r="F109" s="30"/>
    </row>
    <row r="110" spans="1:6" s="13" customFormat="1" ht="14.45" customHeight="1" x14ac:dyDescent="0.3">
      <c r="A110" s="30"/>
      <c r="B110" s="88" t="s">
        <v>56</v>
      </c>
      <c r="C110" s="40" t="s">
        <v>123</v>
      </c>
      <c r="D110" s="41">
        <v>10</v>
      </c>
      <c r="E110" s="42">
        <v>4.0000000000000001E-3</v>
      </c>
      <c r="F110" s="30"/>
    </row>
    <row r="111" spans="1:6" s="13" customFormat="1" ht="14.45" customHeight="1" x14ac:dyDescent="0.3">
      <c r="A111" s="30"/>
      <c r="B111" s="89"/>
      <c r="C111" s="40" t="s">
        <v>124</v>
      </c>
      <c r="D111" s="41">
        <v>17</v>
      </c>
      <c r="E111" s="42">
        <v>7.0000000000000001E-3</v>
      </c>
      <c r="F111" s="30"/>
    </row>
    <row r="112" spans="1:6" s="13" customFormat="1" ht="14.45" customHeight="1" x14ac:dyDescent="0.3">
      <c r="A112" s="30"/>
      <c r="B112" s="90"/>
      <c r="C112" s="43" t="s">
        <v>318</v>
      </c>
      <c r="D112" s="44">
        <v>27</v>
      </c>
      <c r="E112" s="45">
        <v>1.0999999999999999E-2</v>
      </c>
      <c r="F112" s="30"/>
    </row>
    <row r="113" spans="1:6" s="13" customFormat="1" ht="14.45" customHeight="1" x14ac:dyDescent="0.3">
      <c r="A113" s="30"/>
      <c r="B113" s="88" t="s">
        <v>50</v>
      </c>
      <c r="C113" s="40" t="s">
        <v>123</v>
      </c>
      <c r="D113" s="41">
        <v>12</v>
      </c>
      <c r="E113" s="42">
        <v>5.0000000000000001E-3</v>
      </c>
      <c r="F113" s="30"/>
    </row>
    <row r="114" spans="1:6" s="13" customFormat="1" ht="14.45" customHeight="1" x14ac:dyDescent="0.3">
      <c r="A114" s="30"/>
      <c r="B114" s="89"/>
      <c r="C114" s="40" t="s">
        <v>124</v>
      </c>
      <c r="D114" s="41">
        <v>20</v>
      </c>
      <c r="E114" s="42">
        <v>8.0000000000000002E-3</v>
      </c>
      <c r="F114" s="30"/>
    </row>
    <row r="115" spans="1:6" s="13" customFormat="1" ht="14.45" customHeight="1" x14ac:dyDescent="0.3">
      <c r="A115" s="30"/>
      <c r="B115" s="90"/>
      <c r="C115" s="43" t="s">
        <v>318</v>
      </c>
      <c r="D115" s="44">
        <v>32</v>
      </c>
      <c r="E115" s="45">
        <v>1.2999999999999999E-2</v>
      </c>
      <c r="F115" s="30"/>
    </row>
    <row r="116" spans="1:6" s="13" customFormat="1" ht="14.45" customHeight="1" x14ac:dyDescent="0.3">
      <c r="A116" s="30"/>
      <c r="B116" s="88" t="s">
        <v>70</v>
      </c>
      <c r="C116" s="40" t="s">
        <v>123</v>
      </c>
      <c r="D116" s="41">
        <v>5</v>
      </c>
      <c r="E116" s="42">
        <v>2E-3</v>
      </c>
      <c r="F116" s="30"/>
    </row>
    <row r="117" spans="1:6" s="13" customFormat="1" ht="14.45" customHeight="1" x14ac:dyDescent="0.3">
      <c r="A117" s="30"/>
      <c r="B117" s="89"/>
      <c r="C117" s="40" t="s">
        <v>124</v>
      </c>
      <c r="D117" s="41">
        <v>3</v>
      </c>
      <c r="E117" s="42">
        <v>1E-3</v>
      </c>
      <c r="F117" s="30"/>
    </row>
    <row r="118" spans="1:6" s="13" customFormat="1" ht="14.45" customHeight="1" x14ac:dyDescent="0.3">
      <c r="A118" s="30"/>
      <c r="B118" s="90"/>
      <c r="C118" s="43" t="s">
        <v>318</v>
      </c>
      <c r="D118" s="44">
        <v>8</v>
      </c>
      <c r="E118" s="45">
        <v>3.0000000000000001E-3</v>
      </c>
      <c r="F118" s="30"/>
    </row>
    <row r="119" spans="1:6" s="13" customFormat="1" ht="14.45" customHeight="1" x14ac:dyDescent="0.3">
      <c r="A119" s="30"/>
      <c r="B119" s="88" t="s">
        <v>60</v>
      </c>
      <c r="C119" s="40" t="s">
        <v>123</v>
      </c>
      <c r="D119" s="41">
        <v>9</v>
      </c>
      <c r="E119" s="42">
        <v>4.0000000000000001E-3</v>
      </c>
      <c r="F119" s="30"/>
    </row>
    <row r="120" spans="1:6" s="13" customFormat="1" ht="14.45" customHeight="1" x14ac:dyDescent="0.3">
      <c r="A120" s="30"/>
      <c r="B120" s="89"/>
      <c r="C120" s="40" t="s">
        <v>124</v>
      </c>
      <c r="D120" s="41">
        <v>12</v>
      </c>
      <c r="E120" s="42">
        <v>5.0000000000000001E-3</v>
      </c>
      <c r="F120" s="30"/>
    </row>
    <row r="121" spans="1:6" s="13" customFormat="1" ht="14.45" customHeight="1" x14ac:dyDescent="0.3">
      <c r="A121" s="30"/>
      <c r="B121" s="90"/>
      <c r="C121" s="43" t="s">
        <v>318</v>
      </c>
      <c r="D121" s="44">
        <v>21</v>
      </c>
      <c r="E121" s="45">
        <v>8.9999999999999993E-3</v>
      </c>
      <c r="F121" s="30"/>
    </row>
    <row r="122" spans="1:6" s="13" customFormat="1" ht="14.45" customHeight="1" x14ac:dyDescent="0.3">
      <c r="A122" s="30"/>
      <c r="B122" s="88" t="s">
        <v>76</v>
      </c>
      <c r="C122" s="40" t="s">
        <v>123</v>
      </c>
      <c r="D122" s="41">
        <v>5</v>
      </c>
      <c r="E122" s="42">
        <v>2E-3</v>
      </c>
      <c r="F122" s="30"/>
    </row>
    <row r="123" spans="1:6" s="13" customFormat="1" ht="14.45" customHeight="1" x14ac:dyDescent="0.3">
      <c r="A123" s="30"/>
      <c r="B123" s="89"/>
      <c r="C123" s="40" t="s">
        <v>124</v>
      </c>
      <c r="D123" s="41">
        <v>4</v>
      </c>
      <c r="E123" s="42">
        <v>2E-3</v>
      </c>
      <c r="F123" s="30"/>
    </row>
    <row r="124" spans="1:6" s="13" customFormat="1" ht="14.45" customHeight="1" x14ac:dyDescent="0.3">
      <c r="A124" s="30"/>
      <c r="B124" s="90" t="s">
        <v>307</v>
      </c>
      <c r="C124" s="43" t="s">
        <v>318</v>
      </c>
      <c r="D124" s="44">
        <v>9</v>
      </c>
      <c r="E124" s="45">
        <v>4.0000000000000001E-3</v>
      </c>
      <c r="F124" s="30"/>
    </row>
    <row r="125" spans="1:6" s="13" customFormat="1" ht="14.45" customHeight="1" x14ac:dyDescent="0.3">
      <c r="A125" s="30"/>
      <c r="B125" s="88" t="s">
        <v>51</v>
      </c>
      <c r="C125" s="40" t="s">
        <v>123</v>
      </c>
      <c r="D125" s="41">
        <v>24</v>
      </c>
      <c r="E125" s="42">
        <v>0.01</v>
      </c>
      <c r="F125" s="30"/>
    </row>
    <row r="126" spans="1:6" s="13" customFormat="1" ht="14.45" customHeight="1" x14ac:dyDescent="0.3">
      <c r="A126" s="30"/>
      <c r="B126" s="89"/>
      <c r="C126" s="40" t="s">
        <v>124</v>
      </c>
      <c r="D126" s="41">
        <v>26</v>
      </c>
      <c r="E126" s="42">
        <v>1.0999999999999999E-2</v>
      </c>
      <c r="F126" s="30"/>
    </row>
    <row r="127" spans="1:6" s="13" customFormat="1" ht="14.45" customHeight="1" x14ac:dyDescent="0.3">
      <c r="A127" s="30"/>
      <c r="B127" s="90" t="s">
        <v>308</v>
      </c>
      <c r="C127" s="43" t="s">
        <v>318</v>
      </c>
      <c r="D127" s="44">
        <v>50</v>
      </c>
      <c r="E127" s="45">
        <v>2.1000000000000001E-2</v>
      </c>
      <c r="F127" s="30"/>
    </row>
    <row r="128" spans="1:6" s="13" customFormat="1" ht="14.45" customHeight="1" x14ac:dyDescent="0.3">
      <c r="A128" s="30"/>
      <c r="B128" s="88" t="s">
        <v>71</v>
      </c>
      <c r="C128" s="40" t="s">
        <v>123</v>
      </c>
      <c r="D128" s="41">
        <v>5</v>
      </c>
      <c r="E128" s="42">
        <v>2E-3</v>
      </c>
      <c r="F128" s="30"/>
    </row>
    <row r="129" spans="1:6" s="13" customFormat="1" ht="14.45" customHeight="1" x14ac:dyDescent="0.3">
      <c r="A129" s="30"/>
      <c r="B129" s="89"/>
      <c r="C129" s="40" t="s">
        <v>124</v>
      </c>
      <c r="D129" s="41">
        <v>3</v>
      </c>
      <c r="E129" s="42">
        <v>1E-3</v>
      </c>
      <c r="F129" s="30"/>
    </row>
    <row r="130" spans="1:6" s="13" customFormat="1" ht="14.45" customHeight="1" x14ac:dyDescent="0.3">
      <c r="A130" s="30"/>
      <c r="B130" s="90" t="s">
        <v>309</v>
      </c>
      <c r="C130" s="43" t="s">
        <v>318</v>
      </c>
      <c r="D130" s="44">
        <v>8</v>
      </c>
      <c r="E130" s="45">
        <v>3.0000000000000001E-3</v>
      </c>
      <c r="F130" s="30"/>
    </row>
    <row r="131" spans="1:6" s="13" customFormat="1" ht="14.45" customHeight="1" x14ac:dyDescent="0.3">
      <c r="A131" s="30"/>
      <c r="B131" s="88" t="s">
        <v>41</v>
      </c>
      <c r="C131" s="40" t="s">
        <v>123</v>
      </c>
      <c r="D131" s="41">
        <v>160</v>
      </c>
      <c r="E131" s="42">
        <v>6.7000000000000004E-2</v>
      </c>
      <c r="F131" s="30"/>
    </row>
    <row r="132" spans="1:6" s="13" customFormat="1" ht="14.45" customHeight="1" x14ac:dyDescent="0.3">
      <c r="A132" s="30"/>
      <c r="B132" s="89"/>
      <c r="C132" s="40" t="s">
        <v>124</v>
      </c>
      <c r="D132" s="41">
        <v>766</v>
      </c>
      <c r="E132" s="42">
        <v>0.31900000000000001</v>
      </c>
      <c r="F132" s="30"/>
    </row>
    <row r="133" spans="1:6" s="13" customFormat="1" ht="14.45" customHeight="1" x14ac:dyDescent="0.3">
      <c r="A133" s="30"/>
      <c r="B133" s="90" t="s">
        <v>310</v>
      </c>
      <c r="C133" s="43" t="s">
        <v>318</v>
      </c>
      <c r="D133" s="44">
        <v>926</v>
      </c>
      <c r="E133" s="45">
        <v>0.38600000000000001</v>
      </c>
      <c r="F133" s="30"/>
    </row>
    <row r="134" spans="1:6" s="13" customFormat="1" ht="14.45" customHeight="1" x14ac:dyDescent="0.3">
      <c r="A134" s="30"/>
      <c r="B134" s="88" t="s">
        <v>44</v>
      </c>
      <c r="C134" s="40" t="s">
        <v>123</v>
      </c>
      <c r="D134" s="41">
        <v>37</v>
      </c>
      <c r="E134" s="42">
        <v>1.4999999999999999E-2</v>
      </c>
      <c r="F134" s="30"/>
    </row>
    <row r="135" spans="1:6" s="13" customFormat="1" ht="14.45" customHeight="1" x14ac:dyDescent="0.3">
      <c r="A135" s="30"/>
      <c r="B135" s="89"/>
      <c r="C135" s="40" t="s">
        <v>124</v>
      </c>
      <c r="D135" s="41">
        <v>110</v>
      </c>
      <c r="E135" s="42">
        <v>4.5999999999999999E-2</v>
      </c>
      <c r="F135" s="30"/>
    </row>
    <row r="136" spans="1:6" s="13" customFormat="1" ht="14.45" customHeight="1" x14ac:dyDescent="0.3">
      <c r="A136" s="30"/>
      <c r="B136" s="90" t="s">
        <v>311</v>
      </c>
      <c r="C136" s="43" t="s">
        <v>318</v>
      </c>
      <c r="D136" s="44">
        <v>147</v>
      </c>
      <c r="E136" s="45">
        <v>6.0999999999999999E-2</v>
      </c>
      <c r="F136" s="30"/>
    </row>
    <row r="137" spans="1:6" s="13" customFormat="1" ht="14.45" customHeight="1" x14ac:dyDescent="0.3">
      <c r="A137" s="30"/>
      <c r="B137" s="88" t="s">
        <v>48</v>
      </c>
      <c r="C137" s="40" t="s">
        <v>123</v>
      </c>
      <c r="D137" s="41">
        <v>16</v>
      </c>
      <c r="E137" s="42">
        <v>7.0000000000000001E-3</v>
      </c>
      <c r="F137" s="30"/>
    </row>
    <row r="138" spans="1:6" s="13" customFormat="1" ht="14.45" customHeight="1" x14ac:dyDescent="0.3">
      <c r="A138" s="30"/>
      <c r="B138" s="89"/>
      <c r="C138" s="40" t="s">
        <v>124</v>
      </c>
      <c r="D138" s="41">
        <v>30</v>
      </c>
      <c r="E138" s="42">
        <v>1.2E-2</v>
      </c>
      <c r="F138" s="30"/>
    </row>
    <row r="139" spans="1:6" s="13" customFormat="1" ht="14.45" customHeight="1" x14ac:dyDescent="0.3">
      <c r="A139" s="30"/>
      <c r="B139" s="90" t="s">
        <v>312</v>
      </c>
      <c r="C139" s="43" t="s">
        <v>318</v>
      </c>
      <c r="D139" s="44">
        <v>46</v>
      </c>
      <c r="E139" s="45">
        <v>1.9E-2</v>
      </c>
      <c r="F139" s="30"/>
    </row>
    <row r="140" spans="1:6" s="13" customFormat="1" ht="14.45" customHeight="1" x14ac:dyDescent="0.3">
      <c r="A140" s="30"/>
      <c r="B140" s="88" t="s">
        <v>58</v>
      </c>
      <c r="C140" s="40" t="s">
        <v>123</v>
      </c>
      <c r="D140" s="41">
        <v>6</v>
      </c>
      <c r="E140" s="42">
        <v>2E-3</v>
      </c>
      <c r="F140" s="30"/>
    </row>
    <row r="141" spans="1:6" s="13" customFormat="1" ht="14.45" customHeight="1" x14ac:dyDescent="0.3">
      <c r="A141" s="30"/>
      <c r="B141" s="89"/>
      <c r="C141" s="40" t="s">
        <v>124</v>
      </c>
      <c r="D141" s="41">
        <v>7</v>
      </c>
      <c r="E141" s="42">
        <v>3.0000000000000001E-3</v>
      </c>
      <c r="F141" s="30"/>
    </row>
    <row r="142" spans="1:6" ht="16.5" x14ac:dyDescent="0.3">
      <c r="A142" s="14"/>
      <c r="B142" s="90" t="s">
        <v>313</v>
      </c>
      <c r="C142" s="43" t="s">
        <v>318</v>
      </c>
      <c r="D142" s="44">
        <v>13</v>
      </c>
      <c r="E142" s="45">
        <v>5.0000000000000001E-3</v>
      </c>
      <c r="F142" s="14"/>
    </row>
    <row r="143" spans="1:6" ht="16.5" x14ac:dyDescent="0.3">
      <c r="A143" s="14"/>
      <c r="B143" s="88" t="s">
        <v>263</v>
      </c>
      <c r="C143" s="40" t="s">
        <v>123</v>
      </c>
      <c r="D143" s="41">
        <v>1</v>
      </c>
      <c r="E143" s="42">
        <v>0</v>
      </c>
      <c r="F143" s="14"/>
    </row>
    <row r="144" spans="1:6" ht="16.5" x14ac:dyDescent="0.3">
      <c r="A144" s="14"/>
      <c r="B144" s="89"/>
      <c r="C144" s="40" t="s">
        <v>124</v>
      </c>
      <c r="D144" s="41">
        <v>1</v>
      </c>
      <c r="E144" s="42">
        <v>0</v>
      </c>
      <c r="F144" s="14"/>
    </row>
    <row r="145" spans="1:6" ht="16.5" x14ac:dyDescent="0.3">
      <c r="A145" s="14"/>
      <c r="B145" s="90" t="s">
        <v>314</v>
      </c>
      <c r="C145" s="43" t="s">
        <v>318</v>
      </c>
      <c r="D145" s="44">
        <v>2</v>
      </c>
      <c r="E145" s="45">
        <v>1E-3</v>
      </c>
      <c r="F145" s="14"/>
    </row>
    <row r="146" spans="1:6" ht="16.5" x14ac:dyDescent="0.3">
      <c r="A146" s="14"/>
      <c r="B146" s="88" t="s">
        <v>80</v>
      </c>
      <c r="C146" s="40" t="s">
        <v>123</v>
      </c>
      <c r="D146" s="41">
        <v>4</v>
      </c>
      <c r="E146" s="42">
        <v>2E-3</v>
      </c>
      <c r="F146" s="14"/>
    </row>
    <row r="147" spans="1:6" ht="16.5" x14ac:dyDescent="0.3">
      <c r="A147" s="14"/>
      <c r="B147" s="89"/>
      <c r="C147" s="40" t="s">
        <v>124</v>
      </c>
      <c r="D147" s="41">
        <v>2</v>
      </c>
      <c r="E147" s="42">
        <v>1E-3</v>
      </c>
      <c r="F147" s="14"/>
    </row>
    <row r="148" spans="1:6" ht="16.5" x14ac:dyDescent="0.3">
      <c r="A148" s="14"/>
      <c r="B148" s="90"/>
      <c r="C148" s="43" t="s">
        <v>318</v>
      </c>
      <c r="D148" s="44">
        <v>6</v>
      </c>
      <c r="E148" s="45">
        <v>2E-3</v>
      </c>
      <c r="F148" s="14"/>
    </row>
    <row r="149" spans="1:6" ht="16.5" x14ac:dyDescent="0.3">
      <c r="A149" s="14"/>
      <c r="B149" s="87" t="s">
        <v>318</v>
      </c>
      <c r="C149" s="87"/>
      <c r="D149" s="26">
        <v>2401</v>
      </c>
      <c r="E149" s="50">
        <v>1</v>
      </c>
      <c r="F149" s="14"/>
    </row>
    <row r="150" spans="1:6" ht="16.5" x14ac:dyDescent="0.3">
      <c r="A150" s="14"/>
      <c r="B150" s="14"/>
      <c r="C150" s="14"/>
      <c r="D150" s="14"/>
      <c r="E150" s="14"/>
      <c r="F150" s="14"/>
    </row>
    <row r="151" spans="1:6" ht="16.5" x14ac:dyDescent="0.3">
      <c r="A151" s="14"/>
      <c r="B151" s="18" t="s">
        <v>260</v>
      </c>
      <c r="C151" s="14"/>
      <c r="D151" s="14"/>
      <c r="E151" s="14"/>
      <c r="F151" s="14"/>
    </row>
    <row r="152" spans="1:6" ht="16.5" x14ac:dyDescent="0.3">
      <c r="A152" s="14"/>
      <c r="B152" s="19" t="s">
        <v>21</v>
      </c>
      <c r="C152" s="14"/>
      <c r="D152" s="14"/>
      <c r="E152" s="14"/>
      <c r="F152" s="14"/>
    </row>
    <row r="153" spans="1:6" ht="16.5" x14ac:dyDescent="0.3">
      <c r="A153" s="14"/>
      <c r="B153" s="17" t="s">
        <v>122</v>
      </c>
      <c r="C153" s="14"/>
      <c r="D153" s="14"/>
      <c r="E153" s="14"/>
      <c r="F153" s="14"/>
    </row>
    <row r="154" spans="1:6" ht="16.5" x14ac:dyDescent="0.3">
      <c r="A154" s="14"/>
      <c r="B154" s="18" t="s">
        <v>22</v>
      </c>
      <c r="C154" s="14"/>
      <c r="D154" s="14"/>
      <c r="E154" s="14"/>
      <c r="F154" s="14"/>
    </row>
    <row r="155" spans="1:6" ht="16.5" x14ac:dyDescent="0.3">
      <c r="A155" s="14"/>
      <c r="B155" s="18" t="s">
        <v>319</v>
      </c>
      <c r="C155" s="14"/>
      <c r="D155" s="14"/>
      <c r="E155" s="14"/>
      <c r="F155" s="14"/>
    </row>
  </sheetData>
  <mergeCells count="49">
    <mergeCell ref="B42:B44"/>
    <mergeCell ref="B45:B47"/>
    <mergeCell ref="B40:B41"/>
    <mergeCell ref="B8:E10"/>
    <mergeCell ref="B72:B74"/>
    <mergeCell ref="B13:B14"/>
    <mergeCell ref="B21:B23"/>
    <mergeCell ref="B24:B25"/>
    <mergeCell ref="B26:B28"/>
    <mergeCell ref="B29:B30"/>
    <mergeCell ref="B15:B17"/>
    <mergeCell ref="B18:B20"/>
    <mergeCell ref="B31:B33"/>
    <mergeCell ref="B34:B36"/>
    <mergeCell ref="B37:B39"/>
    <mergeCell ref="B75:B77"/>
    <mergeCell ref="B78:B80"/>
    <mergeCell ref="B48:B50"/>
    <mergeCell ref="B51:B53"/>
    <mergeCell ref="B54:B56"/>
    <mergeCell ref="B57:B59"/>
    <mergeCell ref="B60:B62"/>
    <mergeCell ref="B63:B65"/>
    <mergeCell ref="B66:B68"/>
    <mergeCell ref="B69:B71"/>
    <mergeCell ref="B87:B89"/>
    <mergeCell ref="B90:B92"/>
    <mergeCell ref="B93:B95"/>
    <mergeCell ref="B81:B83"/>
    <mergeCell ref="B84:B86"/>
    <mergeCell ref="B116:B118"/>
    <mergeCell ref="B119:B121"/>
    <mergeCell ref="B122:B124"/>
    <mergeCell ref="B96:B98"/>
    <mergeCell ref="B99:B101"/>
    <mergeCell ref="B102:B104"/>
    <mergeCell ref="B105:B107"/>
    <mergeCell ref="B108:B109"/>
    <mergeCell ref="B110:B112"/>
    <mergeCell ref="B113:B115"/>
    <mergeCell ref="B149:C149"/>
    <mergeCell ref="B125:B127"/>
    <mergeCell ref="B128:B130"/>
    <mergeCell ref="B131:B133"/>
    <mergeCell ref="B134:B136"/>
    <mergeCell ref="B137:B139"/>
    <mergeCell ref="B140:B142"/>
    <mergeCell ref="B143:B145"/>
    <mergeCell ref="B146:B148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4F7EA-C0B1-44DA-81DB-5FCA2212BEFE}">
  <sheetPr>
    <tabColor rgb="FF00B050"/>
  </sheetPr>
  <dimension ref="A8:F130"/>
  <sheetViews>
    <sheetView showGridLines="0" view="pageBreakPreview" zoomScale="90" zoomScaleNormal="100" zoomScaleSheetLayoutView="90" workbookViewId="0">
      <selection activeCell="I12" sqref="I12"/>
    </sheetView>
  </sheetViews>
  <sheetFormatPr baseColWidth="10" defaultRowHeight="15" x14ac:dyDescent="0.25"/>
  <cols>
    <col min="1" max="1" width="11.7109375" customWidth="1"/>
    <col min="2" max="2" width="24.5703125" customWidth="1"/>
    <col min="3" max="3" width="17.28515625" customWidth="1"/>
    <col min="4" max="4" width="17.42578125" customWidth="1"/>
    <col min="5" max="5" width="12.85546875" customWidth="1"/>
    <col min="6" max="6" width="9.85546875" customWidth="1"/>
  </cols>
  <sheetData>
    <row r="8" spans="1:6" ht="16.5" x14ac:dyDescent="0.3">
      <c r="A8" s="14"/>
      <c r="B8" s="83" t="s">
        <v>256</v>
      </c>
      <c r="C8" s="83"/>
      <c r="D8" s="83"/>
      <c r="E8" s="83"/>
      <c r="F8" s="14"/>
    </row>
    <row r="9" spans="1:6" ht="16.5" x14ac:dyDescent="0.3">
      <c r="A9" s="14"/>
      <c r="B9" s="83"/>
      <c r="C9" s="83"/>
      <c r="D9" s="83"/>
      <c r="E9" s="83"/>
      <c r="F9" s="14"/>
    </row>
    <row r="10" spans="1:6" ht="16.5" x14ac:dyDescent="0.3">
      <c r="A10" s="14"/>
      <c r="B10" s="83"/>
      <c r="C10" s="83"/>
      <c r="D10" s="83"/>
      <c r="E10" s="83"/>
      <c r="F10" s="14"/>
    </row>
    <row r="11" spans="1:6" ht="16.5" x14ac:dyDescent="0.3">
      <c r="A11" s="14"/>
      <c r="B11" s="14"/>
      <c r="C11" s="14"/>
      <c r="D11" s="14"/>
      <c r="E11" s="14"/>
      <c r="F11" s="14"/>
    </row>
    <row r="12" spans="1:6" ht="28.5" x14ac:dyDescent="0.3">
      <c r="A12" s="14"/>
      <c r="B12" s="27" t="s">
        <v>26</v>
      </c>
      <c r="C12" s="27" t="s">
        <v>33</v>
      </c>
      <c r="D12" s="27" t="s">
        <v>19</v>
      </c>
      <c r="E12" s="27" t="s">
        <v>20</v>
      </c>
      <c r="F12" s="14"/>
    </row>
    <row r="13" spans="1:6" ht="14.45" customHeight="1" x14ac:dyDescent="0.3">
      <c r="A13" s="14"/>
      <c r="B13" s="88" t="s">
        <v>85</v>
      </c>
      <c r="C13" s="40" t="s">
        <v>123</v>
      </c>
      <c r="D13" s="41">
        <v>1</v>
      </c>
      <c r="E13" s="42">
        <v>0</v>
      </c>
      <c r="F13" s="14"/>
    </row>
    <row r="14" spans="1:6" ht="14.45" customHeight="1" x14ac:dyDescent="0.3">
      <c r="A14" s="14"/>
      <c r="B14" s="89"/>
      <c r="C14" s="40" t="s">
        <v>124</v>
      </c>
      <c r="D14" s="41">
        <v>5</v>
      </c>
      <c r="E14" s="42">
        <v>2E-3</v>
      </c>
      <c r="F14" s="14"/>
    </row>
    <row r="15" spans="1:6" ht="14.45" customHeight="1" x14ac:dyDescent="0.3">
      <c r="A15" s="14"/>
      <c r="B15" s="90"/>
      <c r="C15" s="69" t="s">
        <v>318</v>
      </c>
      <c r="D15" s="66">
        <v>6</v>
      </c>
      <c r="E15" s="67">
        <v>2E-3</v>
      </c>
      <c r="F15" s="14"/>
    </row>
    <row r="16" spans="1:6" ht="14.45" customHeight="1" x14ac:dyDescent="0.3">
      <c r="A16" s="14"/>
      <c r="B16" s="88" t="s">
        <v>86</v>
      </c>
      <c r="C16" s="40" t="s">
        <v>123</v>
      </c>
      <c r="D16" s="41">
        <v>3</v>
      </c>
      <c r="E16" s="42">
        <v>1E-3</v>
      </c>
      <c r="F16" s="14"/>
    </row>
    <row r="17" spans="1:6" ht="14.45" customHeight="1" x14ac:dyDescent="0.3">
      <c r="A17" s="14"/>
      <c r="B17" s="89"/>
      <c r="C17" s="40" t="s">
        <v>124</v>
      </c>
      <c r="D17" s="41">
        <v>3</v>
      </c>
      <c r="E17" s="42">
        <v>1E-3</v>
      </c>
      <c r="F17" s="14"/>
    </row>
    <row r="18" spans="1:6" ht="14.45" customHeight="1" x14ac:dyDescent="0.3">
      <c r="A18" s="14"/>
      <c r="B18" s="90"/>
      <c r="C18" s="69" t="s">
        <v>318</v>
      </c>
      <c r="D18" s="66">
        <v>6</v>
      </c>
      <c r="E18" s="67">
        <v>2E-3</v>
      </c>
      <c r="F18" s="14"/>
    </row>
    <row r="19" spans="1:6" ht="14.45" customHeight="1" x14ac:dyDescent="0.3">
      <c r="A19" s="14"/>
      <c r="B19" s="88" t="s">
        <v>87</v>
      </c>
      <c r="C19" s="40" t="s">
        <v>123</v>
      </c>
      <c r="D19" s="41">
        <v>3</v>
      </c>
      <c r="E19" s="42">
        <v>1E-3</v>
      </c>
      <c r="F19" s="14"/>
    </row>
    <row r="20" spans="1:6" ht="14.45" customHeight="1" x14ac:dyDescent="0.3">
      <c r="A20" s="14"/>
      <c r="B20" s="89"/>
      <c r="C20" s="40" t="s">
        <v>124</v>
      </c>
      <c r="D20" s="41">
        <v>29</v>
      </c>
      <c r="E20" s="42">
        <v>1.2E-2</v>
      </c>
      <c r="F20" s="14"/>
    </row>
    <row r="21" spans="1:6" ht="14.45" customHeight="1" x14ac:dyDescent="0.3">
      <c r="A21" s="14"/>
      <c r="B21" s="90"/>
      <c r="C21" s="69" t="s">
        <v>318</v>
      </c>
      <c r="D21" s="66">
        <v>32</v>
      </c>
      <c r="E21" s="67">
        <v>1.2999999999999999E-2</v>
      </c>
      <c r="F21" s="14"/>
    </row>
    <row r="22" spans="1:6" ht="14.45" customHeight="1" x14ac:dyDescent="0.3">
      <c r="A22" s="14"/>
      <c r="B22" s="88" t="s">
        <v>88</v>
      </c>
      <c r="C22" s="40" t="s">
        <v>123</v>
      </c>
      <c r="D22" s="41">
        <v>439</v>
      </c>
      <c r="E22" s="42">
        <v>0.183</v>
      </c>
      <c r="F22" s="14"/>
    </row>
    <row r="23" spans="1:6" ht="14.45" customHeight="1" x14ac:dyDescent="0.3">
      <c r="A23" s="14"/>
      <c r="B23" s="89"/>
      <c r="C23" s="40" t="s">
        <v>124</v>
      </c>
      <c r="D23" s="62">
        <v>1253</v>
      </c>
      <c r="E23" s="42">
        <v>0.52200000000000002</v>
      </c>
      <c r="F23" s="14"/>
    </row>
    <row r="24" spans="1:6" ht="14.45" customHeight="1" x14ac:dyDescent="0.3">
      <c r="A24" s="14"/>
      <c r="B24" s="90"/>
      <c r="C24" s="69" t="s">
        <v>318</v>
      </c>
      <c r="D24" s="66">
        <v>1692</v>
      </c>
      <c r="E24" s="67">
        <v>0.70499999999999996</v>
      </c>
      <c r="F24" s="14"/>
    </row>
    <row r="25" spans="1:6" ht="14.45" customHeight="1" x14ac:dyDescent="0.3">
      <c r="A25" s="14"/>
      <c r="B25" s="88" t="s">
        <v>89</v>
      </c>
      <c r="C25" s="40" t="s">
        <v>123</v>
      </c>
      <c r="D25" s="41">
        <v>16</v>
      </c>
      <c r="E25" s="42">
        <v>7.0000000000000001E-3</v>
      </c>
      <c r="F25" s="14"/>
    </row>
    <row r="26" spans="1:6" ht="14.45" customHeight="1" x14ac:dyDescent="0.3">
      <c r="A26" s="14"/>
      <c r="B26" s="89"/>
      <c r="C26" s="40" t="s">
        <v>124</v>
      </c>
      <c r="D26" s="41">
        <v>63</v>
      </c>
      <c r="E26" s="42">
        <v>2.5999999999999999E-2</v>
      </c>
      <c r="F26" s="14"/>
    </row>
    <row r="27" spans="1:6" ht="14.45" customHeight="1" x14ac:dyDescent="0.3">
      <c r="A27" s="14"/>
      <c r="B27" s="90"/>
      <c r="C27" s="69" t="s">
        <v>318</v>
      </c>
      <c r="D27" s="66">
        <v>79</v>
      </c>
      <c r="E27" s="67">
        <v>3.3000000000000002E-2</v>
      </c>
      <c r="F27" s="14"/>
    </row>
    <row r="28" spans="1:6" ht="14.45" customHeight="1" x14ac:dyDescent="0.3">
      <c r="A28" s="14"/>
      <c r="B28" s="88" t="s">
        <v>90</v>
      </c>
      <c r="C28" s="40" t="s">
        <v>123</v>
      </c>
      <c r="D28" s="41">
        <v>1</v>
      </c>
      <c r="E28" s="42">
        <v>0</v>
      </c>
      <c r="F28" s="14"/>
    </row>
    <row r="29" spans="1:6" ht="14.45" customHeight="1" x14ac:dyDescent="0.3">
      <c r="A29" s="14"/>
      <c r="B29" s="90"/>
      <c r="C29" s="69" t="s">
        <v>318</v>
      </c>
      <c r="D29" s="66">
        <v>1</v>
      </c>
      <c r="E29" s="67">
        <v>0</v>
      </c>
      <c r="F29" s="14"/>
    </row>
    <row r="30" spans="1:6" ht="14.45" customHeight="1" x14ac:dyDescent="0.3">
      <c r="A30" s="14"/>
      <c r="B30" s="88" t="s">
        <v>91</v>
      </c>
      <c r="C30" s="40" t="s">
        <v>123</v>
      </c>
      <c r="D30" s="41">
        <v>9</v>
      </c>
      <c r="E30" s="42">
        <v>4.0000000000000001E-3</v>
      </c>
      <c r="F30" s="14"/>
    </row>
    <row r="31" spans="1:6" ht="14.45" customHeight="1" x14ac:dyDescent="0.3">
      <c r="A31" s="14"/>
      <c r="B31" s="89"/>
      <c r="C31" s="40" t="s">
        <v>124</v>
      </c>
      <c r="D31" s="41">
        <v>15</v>
      </c>
      <c r="E31" s="42">
        <v>6.0000000000000001E-3</v>
      </c>
      <c r="F31" s="14"/>
    </row>
    <row r="32" spans="1:6" ht="14.45" customHeight="1" x14ac:dyDescent="0.3">
      <c r="A32" s="14"/>
      <c r="B32" s="90"/>
      <c r="C32" s="69" t="s">
        <v>318</v>
      </c>
      <c r="D32" s="66">
        <v>24</v>
      </c>
      <c r="E32" s="67">
        <v>0.01</v>
      </c>
      <c r="F32" s="14"/>
    </row>
    <row r="33" spans="1:6" ht="14.45" customHeight="1" x14ac:dyDescent="0.3">
      <c r="A33" s="14"/>
      <c r="B33" s="88" t="s">
        <v>92</v>
      </c>
      <c r="C33" s="40" t="s">
        <v>123</v>
      </c>
      <c r="D33" s="41">
        <v>6</v>
      </c>
      <c r="E33" s="42">
        <v>2E-3</v>
      </c>
      <c r="F33" s="14"/>
    </row>
    <row r="34" spans="1:6" ht="14.45" customHeight="1" x14ac:dyDescent="0.3">
      <c r="A34" s="14"/>
      <c r="B34" s="89"/>
      <c r="C34" s="40" t="s">
        <v>124</v>
      </c>
      <c r="D34" s="41">
        <v>14</v>
      </c>
      <c r="E34" s="42">
        <v>6.0000000000000001E-3</v>
      </c>
      <c r="F34" s="14"/>
    </row>
    <row r="35" spans="1:6" ht="14.45" customHeight="1" x14ac:dyDescent="0.3">
      <c r="A35" s="14"/>
      <c r="B35" s="90"/>
      <c r="C35" s="69" t="s">
        <v>318</v>
      </c>
      <c r="D35" s="66">
        <v>20</v>
      </c>
      <c r="E35" s="67">
        <v>8.0000000000000002E-3</v>
      </c>
      <c r="F35" s="14"/>
    </row>
    <row r="36" spans="1:6" ht="14.45" customHeight="1" x14ac:dyDescent="0.3">
      <c r="A36" s="14"/>
      <c r="B36" s="88" t="s">
        <v>264</v>
      </c>
      <c r="C36" s="40" t="s">
        <v>124</v>
      </c>
      <c r="D36" s="41">
        <v>1</v>
      </c>
      <c r="E36" s="42">
        <v>0</v>
      </c>
      <c r="F36" s="14"/>
    </row>
    <row r="37" spans="1:6" ht="14.45" customHeight="1" x14ac:dyDescent="0.3">
      <c r="A37" s="14"/>
      <c r="B37" s="90"/>
      <c r="C37" s="69" t="s">
        <v>318</v>
      </c>
      <c r="D37" s="66">
        <v>1</v>
      </c>
      <c r="E37" s="67">
        <v>0</v>
      </c>
      <c r="F37" s="14"/>
    </row>
    <row r="38" spans="1:6" ht="14.45" customHeight="1" x14ac:dyDescent="0.3">
      <c r="A38" s="14"/>
      <c r="B38" s="88" t="s">
        <v>93</v>
      </c>
      <c r="C38" s="40" t="s">
        <v>123</v>
      </c>
      <c r="D38" s="41">
        <v>1</v>
      </c>
      <c r="E38" s="42">
        <v>0</v>
      </c>
      <c r="F38" s="14"/>
    </row>
    <row r="39" spans="1:6" ht="14.45" customHeight="1" x14ac:dyDescent="0.3">
      <c r="A39" s="14"/>
      <c r="B39" s="90"/>
      <c r="C39" s="69" t="s">
        <v>318</v>
      </c>
      <c r="D39" s="66">
        <v>1</v>
      </c>
      <c r="E39" s="67">
        <v>0</v>
      </c>
      <c r="F39" s="14"/>
    </row>
    <row r="40" spans="1:6" ht="14.45" customHeight="1" x14ac:dyDescent="0.3">
      <c r="A40" s="14"/>
      <c r="B40" s="88" t="s">
        <v>94</v>
      </c>
      <c r="C40" s="40" t="s">
        <v>123</v>
      </c>
      <c r="D40" s="41">
        <v>7</v>
      </c>
      <c r="E40" s="42">
        <v>3.0000000000000001E-3</v>
      </c>
      <c r="F40" s="14"/>
    </row>
    <row r="41" spans="1:6" ht="14.45" customHeight="1" x14ac:dyDescent="0.3">
      <c r="A41" s="14"/>
      <c r="B41" s="89"/>
      <c r="C41" s="40" t="s">
        <v>124</v>
      </c>
      <c r="D41" s="41">
        <v>20</v>
      </c>
      <c r="E41" s="42">
        <v>8.0000000000000002E-3</v>
      </c>
      <c r="F41" s="14"/>
    </row>
    <row r="42" spans="1:6" ht="14.45" customHeight="1" x14ac:dyDescent="0.3">
      <c r="A42" s="14"/>
      <c r="B42" s="90"/>
      <c r="C42" s="69" t="s">
        <v>318</v>
      </c>
      <c r="D42" s="66">
        <v>27</v>
      </c>
      <c r="E42" s="67">
        <v>1.0999999999999999E-2</v>
      </c>
      <c r="F42" s="14"/>
    </row>
    <row r="43" spans="1:6" ht="14.45" customHeight="1" x14ac:dyDescent="0.3">
      <c r="A43" s="14"/>
      <c r="B43" s="88" t="s">
        <v>95</v>
      </c>
      <c r="C43" s="40" t="s">
        <v>123</v>
      </c>
      <c r="D43" s="41">
        <v>2</v>
      </c>
      <c r="E43" s="42">
        <v>1E-3</v>
      </c>
      <c r="F43" s="14"/>
    </row>
    <row r="44" spans="1:6" ht="14.45" customHeight="1" x14ac:dyDescent="0.3">
      <c r="A44" s="14"/>
      <c r="B44" s="89"/>
      <c r="C44" s="40" t="s">
        <v>124</v>
      </c>
      <c r="D44" s="41">
        <v>8</v>
      </c>
      <c r="E44" s="42">
        <v>3.0000000000000001E-3</v>
      </c>
      <c r="F44" s="14"/>
    </row>
    <row r="45" spans="1:6" ht="14.45" customHeight="1" x14ac:dyDescent="0.3">
      <c r="A45" s="14"/>
      <c r="B45" s="90"/>
      <c r="C45" s="69" t="s">
        <v>318</v>
      </c>
      <c r="D45" s="66">
        <v>10</v>
      </c>
      <c r="E45" s="67">
        <v>4.0000000000000001E-3</v>
      </c>
      <c r="F45" s="14"/>
    </row>
    <row r="46" spans="1:6" ht="14.45" customHeight="1" x14ac:dyDescent="0.3">
      <c r="A46" s="14"/>
      <c r="B46" s="88" t="s">
        <v>96</v>
      </c>
      <c r="C46" s="40" t="s">
        <v>123</v>
      </c>
      <c r="D46" s="41">
        <v>2</v>
      </c>
      <c r="E46" s="42">
        <v>1E-3</v>
      </c>
      <c r="F46" s="14"/>
    </row>
    <row r="47" spans="1:6" ht="14.45" customHeight="1" x14ac:dyDescent="0.3">
      <c r="A47" s="14"/>
      <c r="B47" s="89"/>
      <c r="C47" s="40" t="s">
        <v>124</v>
      </c>
      <c r="D47" s="41">
        <v>5</v>
      </c>
      <c r="E47" s="42">
        <v>2E-3</v>
      </c>
      <c r="F47" s="14"/>
    </row>
    <row r="48" spans="1:6" ht="14.45" customHeight="1" x14ac:dyDescent="0.3">
      <c r="A48" s="14"/>
      <c r="B48" s="90"/>
      <c r="C48" s="69" t="s">
        <v>318</v>
      </c>
      <c r="D48" s="66">
        <v>7</v>
      </c>
      <c r="E48" s="67">
        <v>3.0000000000000001E-3</v>
      </c>
      <c r="F48" s="14"/>
    </row>
    <row r="49" spans="1:6" ht="14.45" customHeight="1" x14ac:dyDescent="0.3">
      <c r="A49" s="14"/>
      <c r="B49" s="88" t="s">
        <v>97</v>
      </c>
      <c r="C49" s="40" t="s">
        <v>123</v>
      </c>
      <c r="D49" s="41">
        <v>3</v>
      </c>
      <c r="E49" s="42">
        <v>1E-3</v>
      </c>
      <c r="F49" s="14"/>
    </row>
    <row r="50" spans="1:6" ht="14.45" customHeight="1" x14ac:dyDescent="0.3">
      <c r="A50" s="14"/>
      <c r="B50" s="89"/>
      <c r="C50" s="40" t="s">
        <v>124</v>
      </c>
      <c r="D50" s="41">
        <v>4</v>
      </c>
      <c r="E50" s="42">
        <v>2E-3</v>
      </c>
      <c r="F50" s="14"/>
    </row>
    <row r="51" spans="1:6" ht="14.45" customHeight="1" x14ac:dyDescent="0.3">
      <c r="A51" s="14"/>
      <c r="B51" s="90"/>
      <c r="C51" s="69" t="s">
        <v>318</v>
      </c>
      <c r="D51" s="66">
        <v>7</v>
      </c>
      <c r="E51" s="67">
        <v>3.0000000000000001E-3</v>
      </c>
      <c r="F51" s="14"/>
    </row>
    <row r="52" spans="1:6" ht="14.45" customHeight="1" x14ac:dyDescent="0.3">
      <c r="A52" s="14"/>
      <c r="B52" s="88" t="s">
        <v>98</v>
      </c>
      <c r="C52" s="40" t="s">
        <v>123</v>
      </c>
      <c r="D52" s="41">
        <v>1</v>
      </c>
      <c r="E52" s="42">
        <v>0</v>
      </c>
      <c r="F52" s="14"/>
    </row>
    <row r="53" spans="1:6" ht="14.45" customHeight="1" x14ac:dyDescent="0.3">
      <c r="A53" s="14"/>
      <c r="B53" s="89"/>
      <c r="C53" s="40" t="s">
        <v>124</v>
      </c>
      <c r="D53" s="41">
        <v>4</v>
      </c>
      <c r="E53" s="42">
        <v>2E-3</v>
      </c>
      <c r="F53" s="14"/>
    </row>
    <row r="54" spans="1:6" ht="14.45" customHeight="1" x14ac:dyDescent="0.3">
      <c r="A54" s="14"/>
      <c r="B54" s="90"/>
      <c r="C54" s="69" t="s">
        <v>318</v>
      </c>
      <c r="D54" s="66">
        <v>5</v>
      </c>
      <c r="E54" s="67">
        <v>2E-3</v>
      </c>
      <c r="F54" s="14"/>
    </row>
    <row r="55" spans="1:6" ht="14.45" customHeight="1" x14ac:dyDescent="0.3">
      <c r="A55" s="14"/>
      <c r="B55" s="88" t="s">
        <v>99</v>
      </c>
      <c r="C55" s="40" t="s">
        <v>123</v>
      </c>
      <c r="D55" s="41">
        <v>1</v>
      </c>
      <c r="E55" s="42">
        <v>0</v>
      </c>
      <c r="F55" s="14"/>
    </row>
    <row r="56" spans="1:6" ht="14.45" customHeight="1" x14ac:dyDescent="0.3">
      <c r="A56" s="14"/>
      <c r="B56" s="89"/>
      <c r="C56" s="40" t="s">
        <v>124</v>
      </c>
      <c r="D56" s="41">
        <v>2</v>
      </c>
      <c r="E56" s="42">
        <v>1E-3</v>
      </c>
      <c r="F56" s="14"/>
    </row>
    <row r="57" spans="1:6" ht="14.45" customHeight="1" x14ac:dyDescent="0.3">
      <c r="A57" s="14"/>
      <c r="B57" s="90"/>
      <c r="C57" s="69" t="s">
        <v>318</v>
      </c>
      <c r="D57" s="66">
        <v>3</v>
      </c>
      <c r="E57" s="67">
        <v>1E-3</v>
      </c>
      <c r="F57" s="14"/>
    </row>
    <row r="58" spans="1:6" ht="14.45" customHeight="1" x14ac:dyDescent="0.3">
      <c r="A58" s="14"/>
      <c r="B58" s="88" t="s">
        <v>100</v>
      </c>
      <c r="C58" s="40" t="s">
        <v>123</v>
      </c>
      <c r="D58" s="41">
        <v>2</v>
      </c>
      <c r="E58" s="42">
        <v>1E-3</v>
      </c>
      <c r="F58" s="14"/>
    </row>
    <row r="59" spans="1:6" ht="14.45" customHeight="1" x14ac:dyDescent="0.3">
      <c r="A59" s="14"/>
      <c r="B59" s="89"/>
      <c r="C59" s="40" t="s">
        <v>124</v>
      </c>
      <c r="D59" s="41">
        <v>1</v>
      </c>
      <c r="E59" s="42">
        <v>0</v>
      </c>
      <c r="F59" s="14"/>
    </row>
    <row r="60" spans="1:6" ht="14.45" customHeight="1" x14ac:dyDescent="0.3">
      <c r="A60" s="14"/>
      <c r="B60" s="90"/>
      <c r="C60" s="69" t="s">
        <v>318</v>
      </c>
      <c r="D60" s="66">
        <v>3</v>
      </c>
      <c r="E60" s="67">
        <v>1E-3</v>
      </c>
      <c r="F60" s="14"/>
    </row>
    <row r="61" spans="1:6" ht="14.45" customHeight="1" x14ac:dyDescent="0.3">
      <c r="A61" s="14"/>
      <c r="B61" s="88" t="s">
        <v>101</v>
      </c>
      <c r="C61" s="40" t="s">
        <v>124</v>
      </c>
      <c r="D61" s="41">
        <v>1</v>
      </c>
      <c r="E61" s="42">
        <v>0</v>
      </c>
      <c r="F61" s="14"/>
    </row>
    <row r="62" spans="1:6" ht="14.45" customHeight="1" x14ac:dyDescent="0.3">
      <c r="A62" s="14"/>
      <c r="B62" s="90"/>
      <c r="C62" s="69" t="s">
        <v>318</v>
      </c>
      <c r="D62" s="66">
        <v>1</v>
      </c>
      <c r="E62" s="67">
        <v>0</v>
      </c>
      <c r="F62" s="14"/>
    </row>
    <row r="63" spans="1:6" ht="14.45" customHeight="1" x14ac:dyDescent="0.3">
      <c r="A63" s="14"/>
      <c r="B63" s="88" t="s">
        <v>102</v>
      </c>
      <c r="C63" s="40" t="s">
        <v>124</v>
      </c>
      <c r="D63" s="41">
        <v>2</v>
      </c>
      <c r="E63" s="42">
        <v>1E-3</v>
      </c>
      <c r="F63" s="14"/>
    </row>
    <row r="64" spans="1:6" ht="14.45" customHeight="1" x14ac:dyDescent="0.3">
      <c r="A64" s="14"/>
      <c r="B64" s="90"/>
      <c r="C64" s="69" t="s">
        <v>318</v>
      </c>
      <c r="D64" s="66">
        <v>2</v>
      </c>
      <c r="E64" s="67">
        <v>1E-3</v>
      </c>
      <c r="F64" s="14"/>
    </row>
    <row r="65" spans="1:6" ht="14.45" customHeight="1" x14ac:dyDescent="0.3">
      <c r="A65" s="14"/>
      <c r="B65" s="88" t="s">
        <v>103</v>
      </c>
      <c r="C65" s="40" t="s">
        <v>123</v>
      </c>
      <c r="D65" s="41">
        <v>4</v>
      </c>
      <c r="E65" s="42">
        <v>2E-3</v>
      </c>
      <c r="F65" s="14"/>
    </row>
    <row r="66" spans="1:6" ht="14.45" customHeight="1" x14ac:dyDescent="0.3">
      <c r="A66" s="14"/>
      <c r="B66" s="89"/>
      <c r="C66" s="40" t="s">
        <v>124</v>
      </c>
      <c r="D66" s="41">
        <v>3</v>
      </c>
      <c r="E66" s="42">
        <v>1E-3</v>
      </c>
      <c r="F66" s="14"/>
    </row>
    <row r="67" spans="1:6" ht="14.45" customHeight="1" x14ac:dyDescent="0.3">
      <c r="A67" s="14"/>
      <c r="B67" s="90"/>
      <c r="C67" s="69" t="s">
        <v>318</v>
      </c>
      <c r="D67" s="66">
        <v>7</v>
      </c>
      <c r="E67" s="67">
        <v>3.0000000000000001E-3</v>
      </c>
      <c r="F67" s="14"/>
    </row>
    <row r="68" spans="1:6" ht="14.45" customHeight="1" x14ac:dyDescent="0.3">
      <c r="A68" s="14"/>
      <c r="B68" s="88" t="s">
        <v>104</v>
      </c>
      <c r="C68" s="40" t="s">
        <v>123</v>
      </c>
      <c r="D68" s="41">
        <v>1</v>
      </c>
      <c r="E68" s="42">
        <v>0</v>
      </c>
      <c r="F68" s="14"/>
    </row>
    <row r="69" spans="1:6" ht="14.45" customHeight="1" x14ac:dyDescent="0.3">
      <c r="A69" s="14"/>
      <c r="B69" s="89"/>
      <c r="C69" s="40" t="s">
        <v>124</v>
      </c>
      <c r="D69" s="41">
        <v>4</v>
      </c>
      <c r="E69" s="42">
        <v>2E-3</v>
      </c>
      <c r="F69" s="14"/>
    </row>
    <row r="70" spans="1:6" ht="14.45" customHeight="1" x14ac:dyDescent="0.3">
      <c r="A70" s="14"/>
      <c r="B70" s="90"/>
      <c r="C70" s="69" t="s">
        <v>318</v>
      </c>
      <c r="D70" s="66">
        <v>5</v>
      </c>
      <c r="E70" s="67">
        <v>2E-3</v>
      </c>
      <c r="F70" s="14"/>
    </row>
    <row r="71" spans="1:6" ht="14.45" customHeight="1" x14ac:dyDescent="0.3">
      <c r="A71" s="14"/>
      <c r="B71" s="88" t="s">
        <v>105</v>
      </c>
      <c r="C71" s="40" t="s">
        <v>123</v>
      </c>
      <c r="D71" s="41">
        <v>6</v>
      </c>
      <c r="E71" s="42">
        <v>2E-3</v>
      </c>
      <c r="F71" s="14"/>
    </row>
    <row r="72" spans="1:6" ht="14.45" customHeight="1" x14ac:dyDescent="0.3">
      <c r="A72" s="14"/>
      <c r="B72" s="89"/>
      <c r="C72" s="40" t="s">
        <v>124</v>
      </c>
      <c r="D72" s="41">
        <v>17</v>
      </c>
      <c r="E72" s="42">
        <v>7.0000000000000001E-3</v>
      </c>
      <c r="F72" s="14"/>
    </row>
    <row r="73" spans="1:6" ht="14.45" customHeight="1" x14ac:dyDescent="0.3">
      <c r="A73" s="14"/>
      <c r="B73" s="90"/>
      <c r="C73" s="69" t="s">
        <v>318</v>
      </c>
      <c r="D73" s="66">
        <v>23</v>
      </c>
      <c r="E73" s="67">
        <v>0.01</v>
      </c>
      <c r="F73" s="14"/>
    </row>
    <row r="74" spans="1:6" ht="14.45" customHeight="1" x14ac:dyDescent="0.3">
      <c r="A74" s="14"/>
      <c r="B74" s="88" t="s">
        <v>106</v>
      </c>
      <c r="C74" s="40" t="s">
        <v>123</v>
      </c>
      <c r="D74" s="41">
        <v>2</v>
      </c>
      <c r="E74" s="42">
        <v>1E-3</v>
      </c>
      <c r="F74" s="14"/>
    </row>
    <row r="75" spans="1:6" ht="14.45" customHeight="1" x14ac:dyDescent="0.3">
      <c r="A75" s="14"/>
      <c r="B75" s="89"/>
      <c r="C75" s="40" t="s">
        <v>124</v>
      </c>
      <c r="D75" s="41">
        <v>2</v>
      </c>
      <c r="E75" s="42">
        <v>1E-3</v>
      </c>
      <c r="F75" s="14"/>
    </row>
    <row r="76" spans="1:6" ht="14.45" customHeight="1" x14ac:dyDescent="0.3">
      <c r="A76" s="14"/>
      <c r="B76" s="90"/>
      <c r="C76" s="69" t="s">
        <v>318</v>
      </c>
      <c r="D76" s="66">
        <v>4</v>
      </c>
      <c r="E76" s="67">
        <v>2E-3</v>
      </c>
      <c r="F76" s="14"/>
    </row>
    <row r="77" spans="1:6" ht="14.45" customHeight="1" x14ac:dyDescent="0.3">
      <c r="A77" s="14"/>
      <c r="B77" s="88" t="s">
        <v>107</v>
      </c>
      <c r="C77" s="40" t="s">
        <v>123</v>
      </c>
      <c r="D77" s="41">
        <v>26</v>
      </c>
      <c r="E77" s="42">
        <v>1.0999999999999999E-2</v>
      </c>
      <c r="F77" s="14"/>
    </row>
    <row r="78" spans="1:6" ht="14.45" customHeight="1" x14ac:dyDescent="0.3">
      <c r="A78" s="14"/>
      <c r="B78" s="89"/>
      <c r="C78" s="40" t="s">
        <v>124</v>
      </c>
      <c r="D78" s="41">
        <v>34</v>
      </c>
      <c r="E78" s="42">
        <v>1.4E-2</v>
      </c>
      <c r="F78" s="14"/>
    </row>
    <row r="79" spans="1:6" ht="14.45" customHeight="1" x14ac:dyDescent="0.3">
      <c r="A79" s="14"/>
      <c r="B79" s="90"/>
      <c r="C79" s="69" t="s">
        <v>318</v>
      </c>
      <c r="D79" s="66">
        <v>60</v>
      </c>
      <c r="E79" s="67">
        <v>2.5000000000000001E-2</v>
      </c>
      <c r="F79" s="14"/>
    </row>
    <row r="80" spans="1:6" ht="14.45" customHeight="1" x14ac:dyDescent="0.3">
      <c r="A80" s="14"/>
      <c r="B80" s="88" t="s">
        <v>108</v>
      </c>
      <c r="C80" s="40" t="s">
        <v>123</v>
      </c>
      <c r="D80" s="41">
        <v>2</v>
      </c>
      <c r="E80" s="42">
        <v>1E-3</v>
      </c>
      <c r="F80" s="14"/>
    </row>
    <row r="81" spans="1:6" ht="14.45" customHeight="1" x14ac:dyDescent="0.3">
      <c r="A81" s="14"/>
      <c r="B81" s="89"/>
      <c r="C81" s="40" t="s">
        <v>124</v>
      </c>
      <c r="D81" s="41">
        <v>3</v>
      </c>
      <c r="E81" s="42">
        <v>1E-3</v>
      </c>
      <c r="F81" s="14"/>
    </row>
    <row r="82" spans="1:6" ht="14.45" customHeight="1" x14ac:dyDescent="0.3">
      <c r="A82" s="14"/>
      <c r="B82" s="90"/>
      <c r="C82" s="69" t="s">
        <v>318</v>
      </c>
      <c r="D82" s="66">
        <v>5</v>
      </c>
      <c r="E82" s="67">
        <v>2E-3</v>
      </c>
      <c r="F82" s="14"/>
    </row>
    <row r="83" spans="1:6" ht="14.45" customHeight="1" x14ac:dyDescent="0.3">
      <c r="A83" s="14"/>
      <c r="B83" s="88" t="s">
        <v>109</v>
      </c>
      <c r="C83" s="40" t="s">
        <v>124</v>
      </c>
      <c r="D83" s="41">
        <v>1</v>
      </c>
      <c r="E83" s="42">
        <v>0</v>
      </c>
      <c r="F83" s="14"/>
    </row>
    <row r="84" spans="1:6" ht="14.45" customHeight="1" x14ac:dyDescent="0.3">
      <c r="A84" s="14"/>
      <c r="B84" s="90"/>
      <c r="C84" s="69" t="s">
        <v>318</v>
      </c>
      <c r="D84" s="66">
        <v>1</v>
      </c>
      <c r="E84" s="67">
        <v>0</v>
      </c>
      <c r="F84" s="14"/>
    </row>
    <row r="85" spans="1:6" ht="14.45" customHeight="1" x14ac:dyDescent="0.3">
      <c r="A85" s="14"/>
      <c r="B85" s="88" t="s">
        <v>110</v>
      </c>
      <c r="C85" s="40" t="s">
        <v>123</v>
      </c>
      <c r="D85" s="41">
        <v>1</v>
      </c>
      <c r="E85" s="42">
        <v>0</v>
      </c>
      <c r="F85" s="14"/>
    </row>
    <row r="86" spans="1:6" ht="14.45" customHeight="1" x14ac:dyDescent="0.3">
      <c r="A86" s="14"/>
      <c r="B86" s="89"/>
      <c r="C86" s="40" t="s">
        <v>124</v>
      </c>
      <c r="D86" s="41">
        <v>4</v>
      </c>
      <c r="E86" s="42">
        <v>2E-3</v>
      </c>
      <c r="F86" s="14"/>
    </row>
    <row r="87" spans="1:6" ht="14.45" customHeight="1" x14ac:dyDescent="0.3">
      <c r="A87" s="14"/>
      <c r="B87" s="90"/>
      <c r="C87" s="69" t="s">
        <v>318</v>
      </c>
      <c r="D87" s="66">
        <v>5</v>
      </c>
      <c r="E87" s="67">
        <v>2E-3</v>
      </c>
      <c r="F87" s="14"/>
    </row>
    <row r="88" spans="1:6" ht="14.45" customHeight="1" x14ac:dyDescent="0.3">
      <c r="A88" s="14"/>
      <c r="B88" s="88" t="s">
        <v>111</v>
      </c>
      <c r="C88" s="40" t="s">
        <v>123</v>
      </c>
      <c r="D88" s="41">
        <v>6</v>
      </c>
      <c r="E88" s="42">
        <v>2E-3</v>
      </c>
      <c r="F88" s="14"/>
    </row>
    <row r="89" spans="1:6" ht="14.45" customHeight="1" x14ac:dyDescent="0.3">
      <c r="A89" s="14"/>
      <c r="B89" s="89"/>
      <c r="C89" s="40" t="s">
        <v>124</v>
      </c>
      <c r="D89" s="41">
        <v>9</v>
      </c>
      <c r="E89" s="42">
        <v>4.0000000000000001E-3</v>
      </c>
      <c r="F89" s="14"/>
    </row>
    <row r="90" spans="1:6" ht="14.45" customHeight="1" x14ac:dyDescent="0.3">
      <c r="A90" s="14"/>
      <c r="B90" s="90"/>
      <c r="C90" s="69" t="s">
        <v>318</v>
      </c>
      <c r="D90" s="66">
        <v>15</v>
      </c>
      <c r="E90" s="67">
        <v>6.0000000000000001E-3</v>
      </c>
      <c r="F90" s="14"/>
    </row>
    <row r="91" spans="1:6" ht="14.45" customHeight="1" x14ac:dyDescent="0.3">
      <c r="A91" s="14"/>
      <c r="B91" s="88" t="s">
        <v>112</v>
      </c>
      <c r="C91" s="40" t="s">
        <v>123</v>
      </c>
      <c r="D91" s="41">
        <v>1</v>
      </c>
      <c r="E91" s="42">
        <v>0</v>
      </c>
      <c r="F91" s="14"/>
    </row>
    <row r="92" spans="1:6" ht="14.45" customHeight="1" x14ac:dyDescent="0.3">
      <c r="A92" s="14"/>
      <c r="B92" s="89"/>
      <c r="C92" s="40" t="s">
        <v>124</v>
      </c>
      <c r="D92" s="41">
        <v>1</v>
      </c>
      <c r="E92" s="42">
        <v>0</v>
      </c>
      <c r="F92" s="14"/>
    </row>
    <row r="93" spans="1:6" ht="14.45" customHeight="1" x14ac:dyDescent="0.3">
      <c r="A93" s="14"/>
      <c r="B93" s="90"/>
      <c r="C93" s="69" t="s">
        <v>318</v>
      </c>
      <c r="D93" s="66">
        <v>2</v>
      </c>
      <c r="E93" s="67">
        <v>1E-3</v>
      </c>
      <c r="F93" s="14"/>
    </row>
    <row r="94" spans="1:6" ht="14.45" customHeight="1" x14ac:dyDescent="0.3">
      <c r="A94" s="14"/>
      <c r="B94" s="88" t="s">
        <v>113</v>
      </c>
      <c r="C94" s="40" t="s">
        <v>123</v>
      </c>
      <c r="D94" s="41">
        <v>3</v>
      </c>
      <c r="E94" s="42">
        <v>1E-3</v>
      </c>
      <c r="F94" s="14"/>
    </row>
    <row r="95" spans="1:6" ht="14.45" customHeight="1" x14ac:dyDescent="0.3">
      <c r="A95" s="14"/>
      <c r="B95" s="89"/>
      <c r="C95" s="40" t="s">
        <v>124</v>
      </c>
      <c r="D95" s="41">
        <v>13</v>
      </c>
      <c r="E95" s="42">
        <v>5.0000000000000001E-3</v>
      </c>
      <c r="F95" s="14"/>
    </row>
    <row r="96" spans="1:6" ht="14.45" customHeight="1" x14ac:dyDescent="0.3">
      <c r="A96" s="14"/>
      <c r="B96" s="90"/>
      <c r="C96" s="69" t="s">
        <v>318</v>
      </c>
      <c r="D96" s="66">
        <v>16</v>
      </c>
      <c r="E96" s="67">
        <v>7.0000000000000001E-3</v>
      </c>
      <c r="F96" s="14"/>
    </row>
    <row r="97" spans="1:6" ht="14.45" customHeight="1" x14ac:dyDescent="0.3">
      <c r="A97" s="14"/>
      <c r="B97" s="88" t="s">
        <v>114</v>
      </c>
      <c r="C97" s="40" t="s">
        <v>123</v>
      </c>
      <c r="D97" s="41">
        <v>19</v>
      </c>
      <c r="E97" s="42">
        <v>8.0000000000000002E-3</v>
      </c>
      <c r="F97" s="14"/>
    </row>
    <row r="98" spans="1:6" ht="14.45" customHeight="1" x14ac:dyDescent="0.3">
      <c r="A98" s="14"/>
      <c r="B98" s="89"/>
      <c r="C98" s="40" t="s">
        <v>124</v>
      </c>
      <c r="D98" s="41">
        <v>60</v>
      </c>
      <c r="E98" s="42">
        <v>2.5000000000000001E-2</v>
      </c>
      <c r="F98" s="14"/>
    </row>
    <row r="99" spans="1:6" ht="14.45" customHeight="1" x14ac:dyDescent="0.3">
      <c r="A99" s="14"/>
      <c r="B99" s="90"/>
      <c r="C99" s="69" t="s">
        <v>318</v>
      </c>
      <c r="D99" s="66">
        <v>79</v>
      </c>
      <c r="E99" s="67">
        <v>3.3000000000000002E-2</v>
      </c>
      <c r="F99" s="14"/>
    </row>
    <row r="100" spans="1:6" ht="14.45" customHeight="1" x14ac:dyDescent="0.3">
      <c r="A100" s="14"/>
      <c r="B100" s="88" t="s">
        <v>115</v>
      </c>
      <c r="C100" s="40" t="s">
        <v>123</v>
      </c>
      <c r="D100" s="41">
        <v>3</v>
      </c>
      <c r="E100" s="42">
        <v>1E-3</v>
      </c>
      <c r="F100" s="14"/>
    </row>
    <row r="101" spans="1:6" ht="14.45" customHeight="1" x14ac:dyDescent="0.3">
      <c r="A101" s="14"/>
      <c r="B101" s="89"/>
      <c r="C101" s="40" t="s">
        <v>124</v>
      </c>
      <c r="D101" s="41">
        <v>1</v>
      </c>
      <c r="E101" s="42">
        <v>0</v>
      </c>
      <c r="F101" s="14"/>
    </row>
    <row r="102" spans="1:6" ht="14.45" customHeight="1" x14ac:dyDescent="0.3">
      <c r="A102" s="14"/>
      <c r="B102" s="90"/>
      <c r="C102" s="69" t="s">
        <v>318</v>
      </c>
      <c r="D102" s="66">
        <v>4</v>
      </c>
      <c r="E102" s="67">
        <v>2E-3</v>
      </c>
      <c r="F102" s="14"/>
    </row>
    <row r="103" spans="1:6" ht="14.45" customHeight="1" x14ac:dyDescent="0.3">
      <c r="A103" s="14"/>
      <c r="B103" s="88" t="s">
        <v>116</v>
      </c>
      <c r="C103" s="40" t="s">
        <v>123</v>
      </c>
      <c r="D103" s="41">
        <v>3</v>
      </c>
      <c r="E103" s="42">
        <v>1E-3</v>
      </c>
      <c r="F103" s="14"/>
    </row>
    <row r="104" spans="1:6" ht="14.45" customHeight="1" x14ac:dyDescent="0.3">
      <c r="A104" s="14"/>
      <c r="B104" s="89"/>
      <c r="C104" s="40" t="s">
        <v>124</v>
      </c>
      <c r="D104" s="41">
        <v>3</v>
      </c>
      <c r="E104" s="42">
        <v>1E-3</v>
      </c>
      <c r="F104" s="14"/>
    </row>
    <row r="105" spans="1:6" ht="14.45" customHeight="1" x14ac:dyDescent="0.3">
      <c r="A105" s="14"/>
      <c r="B105" s="90"/>
      <c r="C105" s="69" t="s">
        <v>318</v>
      </c>
      <c r="D105" s="66">
        <v>6</v>
      </c>
      <c r="E105" s="67">
        <v>2E-3</v>
      </c>
      <c r="F105" s="14"/>
    </row>
    <row r="106" spans="1:6" ht="14.45" customHeight="1" x14ac:dyDescent="0.3">
      <c r="A106" s="14"/>
      <c r="B106" s="88" t="s">
        <v>117</v>
      </c>
      <c r="C106" s="40" t="s">
        <v>123</v>
      </c>
      <c r="D106" s="41">
        <v>5</v>
      </c>
      <c r="E106" s="42">
        <v>2E-3</v>
      </c>
      <c r="F106" s="14"/>
    </row>
    <row r="107" spans="1:6" ht="14.45" customHeight="1" x14ac:dyDescent="0.3">
      <c r="A107" s="14"/>
      <c r="B107" s="89"/>
      <c r="C107" s="40" t="s">
        <v>124</v>
      </c>
      <c r="D107" s="41">
        <v>6</v>
      </c>
      <c r="E107" s="42">
        <v>2E-3</v>
      </c>
      <c r="F107" s="14"/>
    </row>
    <row r="108" spans="1:6" ht="14.45" customHeight="1" x14ac:dyDescent="0.3">
      <c r="A108" s="14"/>
      <c r="B108" s="90"/>
      <c r="C108" s="69" t="s">
        <v>318</v>
      </c>
      <c r="D108" s="66">
        <v>11</v>
      </c>
      <c r="E108" s="67">
        <v>5.0000000000000001E-3</v>
      </c>
      <c r="F108" s="14"/>
    </row>
    <row r="109" spans="1:6" ht="14.45" customHeight="1" x14ac:dyDescent="0.3">
      <c r="A109" s="14"/>
      <c r="B109" s="88" t="s">
        <v>118</v>
      </c>
      <c r="C109" s="40" t="s">
        <v>123</v>
      </c>
      <c r="D109" s="41">
        <v>77</v>
      </c>
      <c r="E109" s="42">
        <v>3.2000000000000001E-2</v>
      </c>
      <c r="F109" s="14"/>
    </row>
    <row r="110" spans="1:6" ht="14.45" customHeight="1" x14ac:dyDescent="0.3">
      <c r="A110" s="14"/>
      <c r="B110" s="89"/>
      <c r="C110" s="40" t="s">
        <v>124</v>
      </c>
      <c r="D110" s="41">
        <v>94</v>
      </c>
      <c r="E110" s="42">
        <v>3.9E-2</v>
      </c>
      <c r="F110" s="14"/>
    </row>
    <row r="111" spans="1:6" ht="14.45" customHeight="1" x14ac:dyDescent="0.3">
      <c r="A111" s="14"/>
      <c r="B111" s="90"/>
      <c r="C111" s="69" t="s">
        <v>318</v>
      </c>
      <c r="D111" s="66">
        <v>171</v>
      </c>
      <c r="E111" s="67">
        <v>7.0999999999999994E-2</v>
      </c>
      <c r="F111" s="14"/>
    </row>
    <row r="112" spans="1:6" ht="14.45" customHeight="1" x14ac:dyDescent="0.3">
      <c r="A112" s="14"/>
      <c r="B112" s="88" t="s">
        <v>119</v>
      </c>
      <c r="C112" s="40" t="s">
        <v>123</v>
      </c>
      <c r="D112" s="41">
        <v>9</v>
      </c>
      <c r="E112" s="42">
        <v>4.0000000000000001E-3</v>
      </c>
      <c r="F112" s="14"/>
    </row>
    <row r="113" spans="1:6" ht="14.45" customHeight="1" x14ac:dyDescent="0.3">
      <c r="A113" s="14"/>
      <c r="B113" s="89"/>
      <c r="C113" s="40" t="s">
        <v>124</v>
      </c>
      <c r="D113" s="41">
        <v>15</v>
      </c>
      <c r="E113" s="42">
        <v>6.0000000000000001E-3</v>
      </c>
      <c r="F113" s="14"/>
    </row>
    <row r="114" spans="1:6" ht="14.45" customHeight="1" x14ac:dyDescent="0.3">
      <c r="A114" s="14"/>
      <c r="B114" s="90"/>
      <c r="C114" s="69" t="s">
        <v>318</v>
      </c>
      <c r="D114" s="66">
        <v>24</v>
      </c>
      <c r="E114" s="67">
        <v>0.01</v>
      </c>
      <c r="F114" s="14"/>
    </row>
    <row r="115" spans="1:6" ht="14.45" customHeight="1" x14ac:dyDescent="0.3">
      <c r="A115" s="14"/>
      <c r="B115" s="88" t="s">
        <v>120</v>
      </c>
      <c r="C115" s="40" t="s">
        <v>123</v>
      </c>
      <c r="D115" s="41">
        <v>2</v>
      </c>
      <c r="E115" s="42">
        <v>1E-3</v>
      </c>
      <c r="F115" s="14"/>
    </row>
    <row r="116" spans="1:6" ht="14.45" customHeight="1" x14ac:dyDescent="0.3">
      <c r="A116" s="14"/>
      <c r="B116" s="89"/>
      <c r="C116" s="40" t="s">
        <v>124</v>
      </c>
      <c r="D116" s="41">
        <v>1</v>
      </c>
      <c r="E116" s="42">
        <v>0</v>
      </c>
      <c r="F116" s="14"/>
    </row>
    <row r="117" spans="1:6" ht="14.45" customHeight="1" x14ac:dyDescent="0.3">
      <c r="A117" s="14"/>
      <c r="B117" s="90"/>
      <c r="C117" s="69" t="s">
        <v>318</v>
      </c>
      <c r="D117" s="66">
        <v>3</v>
      </c>
      <c r="E117" s="67">
        <v>1E-3</v>
      </c>
      <c r="F117" s="14"/>
    </row>
    <row r="118" spans="1:6" ht="14.45" customHeight="1" x14ac:dyDescent="0.3">
      <c r="A118" s="14"/>
      <c r="B118" s="88" t="s">
        <v>80</v>
      </c>
      <c r="C118" s="40" t="s">
        <v>123</v>
      </c>
      <c r="D118" s="41">
        <v>9</v>
      </c>
      <c r="E118" s="42">
        <v>4.0000000000000001E-3</v>
      </c>
      <c r="F118" s="14"/>
    </row>
    <row r="119" spans="1:6" ht="14.45" customHeight="1" x14ac:dyDescent="0.3">
      <c r="A119" s="14"/>
      <c r="B119" s="89"/>
      <c r="C119" s="40" t="s">
        <v>124</v>
      </c>
      <c r="D119" s="41">
        <v>21</v>
      </c>
      <c r="E119" s="42">
        <v>8.9999999999999993E-3</v>
      </c>
      <c r="F119" s="14"/>
    </row>
    <row r="120" spans="1:6" ht="14.45" customHeight="1" x14ac:dyDescent="0.3">
      <c r="A120" s="14"/>
      <c r="B120" s="90"/>
      <c r="C120" s="69" t="s">
        <v>318</v>
      </c>
      <c r="D120" s="66">
        <v>30</v>
      </c>
      <c r="E120" s="67">
        <v>1.2E-2</v>
      </c>
      <c r="F120" s="14"/>
    </row>
    <row r="121" spans="1:6" ht="14.45" customHeight="1" x14ac:dyDescent="0.3">
      <c r="A121" s="14"/>
      <c r="B121" s="88" t="s">
        <v>121</v>
      </c>
      <c r="C121" s="40" t="s">
        <v>123</v>
      </c>
      <c r="D121" s="41">
        <v>1</v>
      </c>
      <c r="E121" s="42">
        <v>0</v>
      </c>
      <c r="F121" s="14"/>
    </row>
    <row r="122" spans="1:6" ht="14.45" customHeight="1" x14ac:dyDescent="0.3">
      <c r="A122" s="14"/>
      <c r="B122" s="89"/>
      <c r="C122" s="40" t="s">
        <v>124</v>
      </c>
      <c r="D122" s="41">
        <v>2</v>
      </c>
      <c r="E122" s="42">
        <v>1E-3</v>
      </c>
      <c r="F122" s="14"/>
    </row>
    <row r="123" spans="1:6" ht="14.45" customHeight="1" x14ac:dyDescent="0.3">
      <c r="A123" s="14"/>
      <c r="B123" s="90"/>
      <c r="C123" s="69" t="s">
        <v>318</v>
      </c>
      <c r="D123" s="66">
        <v>3</v>
      </c>
      <c r="E123" s="67">
        <v>1E-3</v>
      </c>
      <c r="F123" s="14"/>
    </row>
    <row r="124" spans="1:6" ht="14.45" customHeight="1" x14ac:dyDescent="0.3">
      <c r="A124" s="14"/>
      <c r="B124" s="99" t="s">
        <v>318</v>
      </c>
      <c r="C124" s="99"/>
      <c r="D124" s="105">
        <v>2401</v>
      </c>
      <c r="E124" s="68">
        <v>1</v>
      </c>
      <c r="F124" s="14"/>
    </row>
    <row r="125" spans="1:6" ht="14.45" customHeight="1" x14ac:dyDescent="0.3">
      <c r="A125" s="14"/>
      <c r="B125" s="17"/>
      <c r="C125" s="14"/>
      <c r="D125" s="14"/>
      <c r="E125" s="14"/>
      <c r="F125" s="14"/>
    </row>
    <row r="126" spans="1:6" ht="14.45" customHeight="1" x14ac:dyDescent="0.3">
      <c r="A126" s="14"/>
      <c r="B126" s="18" t="s">
        <v>260</v>
      </c>
      <c r="C126" s="21"/>
      <c r="D126" s="14"/>
      <c r="E126" s="14"/>
      <c r="F126" s="14"/>
    </row>
    <row r="127" spans="1:6" ht="14.45" customHeight="1" x14ac:dyDescent="0.3">
      <c r="A127" s="14"/>
      <c r="B127" s="19" t="s">
        <v>21</v>
      </c>
      <c r="C127" s="21"/>
      <c r="D127" s="14"/>
      <c r="E127" s="14"/>
      <c r="F127" s="14"/>
    </row>
    <row r="128" spans="1:6" ht="14.45" customHeight="1" x14ac:dyDescent="0.3">
      <c r="A128" s="14"/>
      <c r="B128" s="17" t="s">
        <v>122</v>
      </c>
      <c r="C128" s="21"/>
      <c r="D128" s="14"/>
      <c r="E128" s="14"/>
      <c r="F128" s="14"/>
    </row>
    <row r="129" spans="1:6" ht="14.45" customHeight="1" x14ac:dyDescent="0.3">
      <c r="A129" s="14"/>
      <c r="B129" s="18" t="s">
        <v>22</v>
      </c>
      <c r="C129" s="21"/>
      <c r="D129" s="14"/>
      <c r="E129" s="14"/>
      <c r="F129" s="14"/>
    </row>
    <row r="130" spans="1:6" ht="14.45" customHeight="1" x14ac:dyDescent="0.3">
      <c r="A130" s="14"/>
      <c r="B130" s="18" t="s">
        <v>319</v>
      </c>
      <c r="C130" s="21"/>
      <c r="D130" s="14"/>
      <c r="E130" s="14"/>
      <c r="F130" s="14"/>
    </row>
  </sheetData>
  <mergeCells count="41">
    <mergeCell ref="B25:B27"/>
    <mergeCell ref="B8:E10"/>
    <mergeCell ref="B13:B15"/>
    <mergeCell ref="B16:B18"/>
    <mergeCell ref="B19:B21"/>
    <mergeCell ref="B22:B24"/>
    <mergeCell ref="B124:C124"/>
    <mergeCell ref="B61:B62"/>
    <mergeCell ref="B63:B64"/>
    <mergeCell ref="B65:B67"/>
    <mergeCell ref="B28:B29"/>
    <mergeCell ref="B30:B32"/>
    <mergeCell ref="B33:B35"/>
    <mergeCell ref="B43:B45"/>
    <mergeCell ref="B46:B48"/>
    <mergeCell ref="B49:B51"/>
    <mergeCell ref="B36:B37"/>
    <mergeCell ref="B38:B39"/>
    <mergeCell ref="B40:B42"/>
    <mergeCell ref="B68:B70"/>
    <mergeCell ref="B71:B73"/>
    <mergeCell ref="B74:B76"/>
    <mergeCell ref="B52:B54"/>
    <mergeCell ref="B55:B57"/>
    <mergeCell ref="B58:B60"/>
    <mergeCell ref="B85:B87"/>
    <mergeCell ref="B88:B90"/>
    <mergeCell ref="B91:B93"/>
    <mergeCell ref="B77:B79"/>
    <mergeCell ref="B80:B82"/>
    <mergeCell ref="B83:B84"/>
    <mergeCell ref="B94:B96"/>
    <mergeCell ref="B112:B114"/>
    <mergeCell ref="B115:B117"/>
    <mergeCell ref="B118:B120"/>
    <mergeCell ref="B121:B123"/>
    <mergeCell ref="B97:B99"/>
    <mergeCell ref="B100:B102"/>
    <mergeCell ref="B103:B105"/>
    <mergeCell ref="B106:B108"/>
    <mergeCell ref="B109:B111"/>
  </mergeCells>
  <pageMargins left="0.7" right="0.7" top="0.75" bottom="0.75" header="0.3" footer="0.3"/>
  <pageSetup scale="96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4:F36"/>
  <sheetViews>
    <sheetView showGridLines="0" view="pageBreakPreview" zoomScaleNormal="100" zoomScaleSheetLayoutView="100" workbookViewId="0">
      <selection activeCell="H9" sqref="H9"/>
    </sheetView>
  </sheetViews>
  <sheetFormatPr baseColWidth="10" defaultRowHeight="15" x14ac:dyDescent="0.25"/>
  <cols>
    <col min="1" max="1" width="2.5703125" customWidth="1"/>
    <col min="2" max="2" width="16.7109375" customWidth="1"/>
    <col min="3" max="3" width="21.42578125" customWidth="1"/>
    <col min="4" max="4" width="16.5703125" customWidth="1"/>
    <col min="5" max="6" width="15.42578125" customWidth="1"/>
  </cols>
  <sheetData>
    <row r="4" spans="1:6" ht="38.1" customHeight="1" x14ac:dyDescent="0.25"/>
    <row r="7" spans="1:6" ht="8.4499999999999993" customHeight="1" x14ac:dyDescent="0.3">
      <c r="A7" s="14"/>
      <c r="B7" s="14"/>
      <c r="C7" s="14"/>
      <c r="D7" s="14"/>
      <c r="E7" s="14"/>
      <c r="F7" s="14"/>
    </row>
    <row r="8" spans="1:6" ht="16.5" x14ac:dyDescent="0.3">
      <c r="A8" s="14"/>
      <c r="B8" s="83" t="s">
        <v>258</v>
      </c>
      <c r="C8" s="83"/>
      <c r="D8" s="83"/>
      <c r="E8" s="83"/>
      <c r="F8" s="83"/>
    </row>
    <row r="9" spans="1:6" ht="16.5" x14ac:dyDescent="0.3">
      <c r="A9" s="14"/>
      <c r="B9" s="83"/>
      <c r="C9" s="83"/>
      <c r="D9" s="83"/>
      <c r="E9" s="83"/>
      <c r="F9" s="83"/>
    </row>
    <row r="10" spans="1:6" ht="16.5" x14ac:dyDescent="0.3">
      <c r="A10" s="14"/>
      <c r="B10" s="83"/>
      <c r="C10" s="83"/>
      <c r="D10" s="83"/>
      <c r="E10" s="83"/>
      <c r="F10" s="83"/>
    </row>
    <row r="11" spans="1:6" ht="21.6" customHeight="1" x14ac:dyDescent="0.3">
      <c r="A11" s="14"/>
      <c r="B11" s="14"/>
      <c r="C11" s="14"/>
      <c r="D11" s="14"/>
      <c r="E11" s="14"/>
      <c r="F11" s="14"/>
    </row>
    <row r="12" spans="1:6" ht="45.6" customHeight="1" x14ac:dyDescent="0.3">
      <c r="A12" s="14"/>
      <c r="B12" s="27" t="s">
        <v>33</v>
      </c>
      <c r="C12" s="27" t="s">
        <v>35</v>
      </c>
      <c r="D12" s="27" t="s">
        <v>19</v>
      </c>
      <c r="E12" s="27" t="s">
        <v>36</v>
      </c>
      <c r="F12" s="27" t="s">
        <v>37</v>
      </c>
    </row>
    <row r="13" spans="1:6" ht="14.45" customHeight="1" x14ac:dyDescent="0.3">
      <c r="A13" s="14"/>
      <c r="B13" s="100" t="s">
        <v>293</v>
      </c>
      <c r="C13" s="51" t="s">
        <v>290</v>
      </c>
      <c r="D13" s="52">
        <v>1</v>
      </c>
      <c r="E13" s="53">
        <f>D13/$D$21</f>
        <v>1.4771048744460858E-3</v>
      </c>
      <c r="F13" s="70">
        <f>D13/$D$30</f>
        <v>4.1649312786339027E-4</v>
      </c>
    </row>
    <row r="14" spans="1:6" ht="14.45" customHeight="1" x14ac:dyDescent="0.3">
      <c r="A14" s="14"/>
      <c r="B14" s="101"/>
      <c r="C14" s="51" t="s">
        <v>291</v>
      </c>
      <c r="D14" s="52">
        <v>2</v>
      </c>
      <c r="E14" s="53">
        <f t="shared" ref="E14:E20" si="0">D14/$D$21</f>
        <v>2.9542097488921715E-3</v>
      </c>
      <c r="F14" s="70">
        <f t="shared" ref="F14:F20" si="1">D14/$D$30</f>
        <v>8.3298625572678054E-4</v>
      </c>
    </row>
    <row r="15" spans="1:6" ht="14.45" customHeight="1" x14ac:dyDescent="0.3">
      <c r="A15" s="14"/>
      <c r="B15" s="101"/>
      <c r="C15" s="51" t="s">
        <v>225</v>
      </c>
      <c r="D15" s="52">
        <v>82</v>
      </c>
      <c r="E15" s="53">
        <f t="shared" si="0"/>
        <v>0.12112259970457903</v>
      </c>
      <c r="F15" s="70">
        <f t="shared" si="1"/>
        <v>3.4152436484798002E-2</v>
      </c>
    </row>
    <row r="16" spans="1:6" ht="14.45" customHeight="1" x14ac:dyDescent="0.3">
      <c r="A16" s="14"/>
      <c r="B16" s="101"/>
      <c r="C16" s="51" t="s">
        <v>226</v>
      </c>
      <c r="D16" s="52">
        <v>129</v>
      </c>
      <c r="E16" s="53">
        <f>D16/$D$21</f>
        <v>0.19054652880354506</v>
      </c>
      <c r="F16" s="70">
        <f t="shared" si="1"/>
        <v>5.3727613494377345E-2</v>
      </c>
    </row>
    <row r="17" spans="1:6" ht="14.45" customHeight="1" x14ac:dyDescent="0.3">
      <c r="A17" s="14"/>
      <c r="B17" s="101"/>
      <c r="C17" s="51" t="s">
        <v>227</v>
      </c>
      <c r="D17" s="52">
        <v>212</v>
      </c>
      <c r="E17" s="53">
        <f t="shared" si="0"/>
        <v>0.31314623338257014</v>
      </c>
      <c r="F17" s="70">
        <f t="shared" si="1"/>
        <v>8.829654310703873E-2</v>
      </c>
    </row>
    <row r="18" spans="1:6" ht="14.45" customHeight="1" x14ac:dyDescent="0.3">
      <c r="A18" s="14"/>
      <c r="B18" s="101"/>
      <c r="C18" s="51" t="s">
        <v>228</v>
      </c>
      <c r="D18" s="52">
        <v>219</v>
      </c>
      <c r="E18" s="53">
        <f t="shared" si="0"/>
        <v>0.32348596750369274</v>
      </c>
      <c r="F18" s="70">
        <f t="shared" si="1"/>
        <v>9.1211995002082463E-2</v>
      </c>
    </row>
    <row r="19" spans="1:6" ht="14.45" customHeight="1" x14ac:dyDescent="0.3">
      <c r="A19" s="14"/>
      <c r="B19" s="101"/>
      <c r="C19" s="51" t="s">
        <v>229</v>
      </c>
      <c r="D19" s="52">
        <v>27</v>
      </c>
      <c r="E19" s="53">
        <f t="shared" si="0"/>
        <v>3.9881831610044313E-2</v>
      </c>
      <c r="F19" s="70">
        <f t="shared" si="1"/>
        <v>1.1245314452311536E-2</v>
      </c>
    </row>
    <row r="20" spans="1:6" ht="14.45" customHeight="1" x14ac:dyDescent="0.3">
      <c r="A20" s="14"/>
      <c r="B20" s="101"/>
      <c r="C20" s="51" t="s">
        <v>230</v>
      </c>
      <c r="D20" s="52">
        <v>5</v>
      </c>
      <c r="E20" s="53">
        <f t="shared" si="0"/>
        <v>7.385524372230428E-3</v>
      </c>
      <c r="F20" s="70">
        <f t="shared" si="1"/>
        <v>2.0824656393169513E-3</v>
      </c>
    </row>
    <row r="21" spans="1:6" ht="14.45" customHeight="1" x14ac:dyDescent="0.3">
      <c r="A21" s="14"/>
      <c r="B21" s="102"/>
      <c r="C21" s="59" t="s">
        <v>318</v>
      </c>
      <c r="D21" s="60">
        <v>677</v>
      </c>
      <c r="E21" s="61"/>
      <c r="F21" s="71">
        <f>D21/D30</f>
        <v>0.28196584756351523</v>
      </c>
    </row>
    <row r="22" spans="1:6" ht="14.45" customHeight="1" x14ac:dyDescent="0.3">
      <c r="A22" s="14"/>
      <c r="B22" s="100" t="s">
        <v>292</v>
      </c>
      <c r="C22" s="51" t="s">
        <v>290</v>
      </c>
      <c r="D22" s="52">
        <v>1</v>
      </c>
      <c r="E22" s="53">
        <f>D22/$D$29</f>
        <v>5.8004640371229696E-4</v>
      </c>
      <c r="F22" s="70">
        <f>D22/$D$30</f>
        <v>4.1649312786339027E-4</v>
      </c>
    </row>
    <row r="23" spans="1:6" ht="14.45" customHeight="1" x14ac:dyDescent="0.3">
      <c r="A23" s="14"/>
      <c r="B23" s="101"/>
      <c r="C23" s="51" t="s">
        <v>225</v>
      </c>
      <c r="D23" s="52">
        <v>377</v>
      </c>
      <c r="E23" s="53">
        <f t="shared" ref="E23:E28" si="2">D23/$D$29</f>
        <v>0.21867749419953597</v>
      </c>
      <c r="F23" s="70">
        <f>D23/$D$30</f>
        <v>0.15701790920449812</v>
      </c>
    </row>
    <row r="24" spans="1:6" ht="14.45" customHeight="1" x14ac:dyDescent="0.3">
      <c r="A24" s="14"/>
      <c r="B24" s="101"/>
      <c r="C24" s="51" t="s">
        <v>226</v>
      </c>
      <c r="D24" s="52">
        <v>505</v>
      </c>
      <c r="E24" s="53">
        <f t="shared" si="2"/>
        <v>0.29292343387470998</v>
      </c>
      <c r="F24" s="70">
        <f t="shared" ref="F23:F28" si="3">D24/$D$30</f>
        <v>0.21032902957101207</v>
      </c>
    </row>
    <row r="25" spans="1:6" ht="14.45" customHeight="1" x14ac:dyDescent="0.3">
      <c r="A25" s="14"/>
      <c r="B25" s="101"/>
      <c r="C25" s="51" t="s">
        <v>227</v>
      </c>
      <c r="D25" s="52">
        <v>467</v>
      </c>
      <c r="E25" s="53">
        <f t="shared" si="2"/>
        <v>0.2708816705336427</v>
      </c>
      <c r="F25" s="70">
        <f t="shared" si="3"/>
        <v>0.19450229071220324</v>
      </c>
    </row>
    <row r="26" spans="1:6" ht="14.45" customHeight="1" x14ac:dyDescent="0.3">
      <c r="A26" s="14"/>
      <c r="B26" s="101"/>
      <c r="C26" s="51" t="s">
        <v>228</v>
      </c>
      <c r="D26" s="52">
        <v>331</v>
      </c>
      <c r="E26" s="53">
        <f t="shared" si="2"/>
        <v>0.19199535962877029</v>
      </c>
      <c r="F26" s="70">
        <f t="shared" si="3"/>
        <v>0.13785922532278216</v>
      </c>
    </row>
    <row r="27" spans="1:6" ht="14.45" customHeight="1" x14ac:dyDescent="0.3">
      <c r="A27" s="14"/>
      <c r="B27" s="101"/>
      <c r="C27" s="51" t="s">
        <v>229</v>
      </c>
      <c r="D27" s="52">
        <v>33</v>
      </c>
      <c r="E27" s="53">
        <f>D27/$D$29</f>
        <v>1.91415313225058E-2</v>
      </c>
      <c r="F27" s="70">
        <f t="shared" si="3"/>
        <v>1.3744273219491879E-2</v>
      </c>
    </row>
    <row r="28" spans="1:6" ht="14.45" customHeight="1" x14ac:dyDescent="0.3">
      <c r="A28" s="14"/>
      <c r="B28" s="101"/>
      <c r="C28" s="51" t="s">
        <v>230</v>
      </c>
      <c r="D28" s="52">
        <v>10</v>
      </c>
      <c r="E28" s="53">
        <f t="shared" si="2"/>
        <v>5.8004640371229696E-3</v>
      </c>
      <c r="F28" s="70">
        <f t="shared" si="3"/>
        <v>4.1649312786339026E-3</v>
      </c>
    </row>
    <row r="29" spans="1:6" ht="14.45" customHeight="1" x14ac:dyDescent="0.3">
      <c r="A29" s="14"/>
      <c r="B29" s="102"/>
      <c r="C29" s="59" t="s">
        <v>318</v>
      </c>
      <c r="D29" s="60">
        <v>1724</v>
      </c>
      <c r="E29" s="61"/>
      <c r="F29" s="72">
        <f>D29/$D$30</f>
        <v>0.71803415243648483</v>
      </c>
    </row>
    <row r="30" spans="1:6" ht="14.45" customHeight="1" x14ac:dyDescent="0.3">
      <c r="A30" s="14"/>
      <c r="B30" s="103" t="s">
        <v>315</v>
      </c>
      <c r="C30" s="104"/>
      <c r="D30" s="55">
        <v>2401</v>
      </c>
      <c r="E30" s="56"/>
      <c r="F30" s="73">
        <f>SUM(F21,F29)</f>
        <v>1</v>
      </c>
    </row>
    <row r="31" spans="1:6" ht="14.45" customHeight="1" x14ac:dyDescent="0.3">
      <c r="A31" s="14"/>
      <c r="B31" s="18"/>
      <c r="C31" s="14"/>
      <c r="D31" s="14"/>
      <c r="E31" s="14"/>
      <c r="F31" s="14"/>
    </row>
    <row r="32" spans="1:6" ht="16.5" x14ac:dyDescent="0.3">
      <c r="A32" s="14"/>
      <c r="B32" s="18" t="s">
        <v>260</v>
      </c>
      <c r="C32" s="14"/>
      <c r="D32" s="14"/>
      <c r="E32" s="14"/>
      <c r="F32" s="14"/>
    </row>
    <row r="33" spans="1:6" ht="16.5" x14ac:dyDescent="0.3">
      <c r="A33" s="14"/>
      <c r="B33" s="19" t="s">
        <v>21</v>
      </c>
      <c r="C33" s="14"/>
      <c r="D33" s="14"/>
      <c r="E33" s="14"/>
      <c r="F33" s="14"/>
    </row>
    <row r="34" spans="1:6" ht="16.5" x14ac:dyDescent="0.3">
      <c r="A34" s="14"/>
      <c r="B34" s="17" t="s">
        <v>122</v>
      </c>
      <c r="C34" s="14"/>
      <c r="D34" s="14"/>
      <c r="E34" s="14"/>
      <c r="F34" s="14"/>
    </row>
    <row r="35" spans="1:6" ht="16.5" x14ac:dyDescent="0.3">
      <c r="A35" s="14"/>
      <c r="B35" s="18" t="s">
        <v>22</v>
      </c>
      <c r="C35" s="14"/>
      <c r="D35" s="14"/>
      <c r="E35" s="14"/>
      <c r="F35" s="14"/>
    </row>
    <row r="36" spans="1:6" ht="16.5" x14ac:dyDescent="0.3">
      <c r="A36" s="14"/>
      <c r="B36" s="18" t="s">
        <v>319</v>
      </c>
      <c r="C36" s="14"/>
      <c r="D36" s="14"/>
      <c r="E36" s="14"/>
      <c r="F36" s="14"/>
    </row>
  </sheetData>
  <mergeCells count="4">
    <mergeCell ref="B8:F10"/>
    <mergeCell ref="B13:B21"/>
    <mergeCell ref="B22:B29"/>
    <mergeCell ref="B30:C30"/>
  </mergeCells>
  <pageMargins left="0.7" right="0.7" top="0.75" bottom="0.75" header="0.3" footer="0.3"/>
  <pageSetup orientation="portrait" r:id="rId1"/>
  <ignoredErrors>
    <ignoredError sqref="F21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4:D54"/>
  <sheetViews>
    <sheetView showGridLines="0" tabSelected="1" view="pageBreakPreview" zoomScaleNormal="100" zoomScaleSheetLayoutView="100" workbookViewId="0">
      <selection activeCell="F8" sqref="F8"/>
    </sheetView>
  </sheetViews>
  <sheetFormatPr baseColWidth="10" defaultRowHeight="15" x14ac:dyDescent="0.25"/>
  <cols>
    <col min="1" max="1" width="3.42578125" customWidth="1"/>
    <col min="2" max="2" width="41.140625" customWidth="1"/>
    <col min="3" max="3" width="19" customWidth="1"/>
    <col min="4" max="4" width="16.7109375" customWidth="1"/>
    <col min="5" max="5" width="8.85546875" customWidth="1"/>
  </cols>
  <sheetData>
    <row r="4" spans="1:4" ht="32.1" customHeight="1" x14ac:dyDescent="0.25"/>
    <row r="6" spans="1:4" ht="12.95" customHeight="1" x14ac:dyDescent="0.25"/>
    <row r="7" spans="1:4" ht="9.9499999999999993" customHeight="1" x14ac:dyDescent="0.3">
      <c r="A7" s="14"/>
      <c r="B7" s="83" t="s">
        <v>259</v>
      </c>
      <c r="C7" s="83"/>
      <c r="D7" s="83"/>
    </row>
    <row r="8" spans="1:4" ht="16.5" x14ac:dyDescent="0.3">
      <c r="A8" s="14"/>
      <c r="B8" s="83"/>
      <c r="C8" s="83"/>
      <c r="D8" s="83"/>
    </row>
    <row r="9" spans="1:4" ht="30" customHeight="1" x14ac:dyDescent="0.3">
      <c r="A9" s="14"/>
      <c r="B9" s="83"/>
      <c r="C9" s="83"/>
      <c r="D9" s="83"/>
    </row>
    <row r="10" spans="1:4" ht="9" customHeight="1" x14ac:dyDescent="0.3">
      <c r="A10" s="14"/>
      <c r="B10" s="14"/>
      <c r="C10" s="14"/>
      <c r="D10" s="14"/>
    </row>
    <row r="11" spans="1:4" ht="28.5" x14ac:dyDescent="0.3">
      <c r="A11" s="14"/>
      <c r="B11" s="22" t="s">
        <v>38</v>
      </c>
      <c r="C11" s="23" t="s">
        <v>19</v>
      </c>
      <c r="D11" s="24" t="s">
        <v>20</v>
      </c>
    </row>
    <row r="12" spans="1:4" ht="16.5" x14ac:dyDescent="0.3">
      <c r="A12" s="14"/>
      <c r="B12" s="40" t="s">
        <v>231</v>
      </c>
      <c r="C12" s="62">
        <v>1595</v>
      </c>
      <c r="D12" s="42">
        <v>0.66400000000000003</v>
      </c>
    </row>
    <row r="13" spans="1:4" ht="16.5" x14ac:dyDescent="0.3">
      <c r="A13" s="14"/>
      <c r="B13" s="40" t="s">
        <v>232</v>
      </c>
      <c r="C13" s="41">
        <v>297</v>
      </c>
      <c r="D13" s="42">
        <v>0.124</v>
      </c>
    </row>
    <row r="14" spans="1:4" ht="28.5" x14ac:dyDescent="0.3">
      <c r="A14" s="14"/>
      <c r="B14" s="40" t="s">
        <v>233</v>
      </c>
      <c r="C14" s="41">
        <v>240</v>
      </c>
      <c r="D14" s="42">
        <v>0.1</v>
      </c>
    </row>
    <row r="15" spans="1:4" ht="14.45" customHeight="1" x14ac:dyDescent="0.3">
      <c r="A15" s="14"/>
      <c r="B15" s="40" t="s">
        <v>234</v>
      </c>
      <c r="C15" s="41">
        <v>53</v>
      </c>
      <c r="D15" s="42">
        <v>2.1999999999999999E-2</v>
      </c>
    </row>
    <row r="16" spans="1:4" ht="14.45" customHeight="1" x14ac:dyDescent="0.3">
      <c r="A16" s="14"/>
      <c r="B16" s="40" t="s">
        <v>235</v>
      </c>
      <c r="C16" s="41">
        <v>44</v>
      </c>
      <c r="D16" s="42">
        <v>1.7999999999999999E-2</v>
      </c>
    </row>
    <row r="17" spans="1:4" ht="14.45" customHeight="1" x14ac:dyDescent="0.3">
      <c r="A17" s="14"/>
      <c r="B17" s="40" t="s">
        <v>236</v>
      </c>
      <c r="C17" s="41">
        <v>28</v>
      </c>
      <c r="D17" s="42">
        <v>1.2E-2</v>
      </c>
    </row>
    <row r="18" spans="1:4" ht="14.45" customHeight="1" x14ac:dyDescent="0.3">
      <c r="A18" s="14"/>
      <c r="B18" s="40" t="s">
        <v>237</v>
      </c>
      <c r="C18" s="41">
        <v>16</v>
      </c>
      <c r="D18" s="42">
        <v>7.0000000000000001E-3</v>
      </c>
    </row>
    <row r="19" spans="1:4" ht="14.45" customHeight="1" x14ac:dyDescent="0.3">
      <c r="A19" s="14"/>
      <c r="B19" s="40" t="s">
        <v>238</v>
      </c>
      <c r="C19" s="41">
        <v>14</v>
      </c>
      <c r="D19" s="42">
        <v>6.0000000000000001E-3</v>
      </c>
    </row>
    <row r="20" spans="1:4" ht="14.45" customHeight="1" x14ac:dyDescent="0.3">
      <c r="A20" s="14"/>
      <c r="B20" s="40" t="s">
        <v>242</v>
      </c>
      <c r="C20" s="41">
        <v>12</v>
      </c>
      <c r="D20" s="42">
        <v>5.0000000000000001E-3</v>
      </c>
    </row>
    <row r="21" spans="1:4" ht="14.45" customHeight="1" x14ac:dyDescent="0.3">
      <c r="A21" s="14"/>
      <c r="B21" s="40" t="s">
        <v>239</v>
      </c>
      <c r="C21" s="41">
        <v>11</v>
      </c>
      <c r="D21" s="42">
        <v>5.0000000000000001E-3</v>
      </c>
    </row>
    <row r="22" spans="1:4" ht="14.45" customHeight="1" x14ac:dyDescent="0.3">
      <c r="A22" s="14"/>
      <c r="B22" s="40" t="s">
        <v>241</v>
      </c>
      <c r="C22" s="41">
        <v>9</v>
      </c>
      <c r="D22" s="42">
        <v>4.0000000000000001E-3</v>
      </c>
    </row>
    <row r="23" spans="1:4" ht="14.45" customHeight="1" x14ac:dyDescent="0.3">
      <c r="A23" s="14"/>
      <c r="B23" s="40" t="s">
        <v>243</v>
      </c>
      <c r="C23" s="41">
        <v>8</v>
      </c>
      <c r="D23" s="42">
        <v>3.0000000000000001E-3</v>
      </c>
    </row>
    <row r="24" spans="1:4" ht="14.45" customHeight="1" x14ac:dyDescent="0.3">
      <c r="A24" s="14"/>
      <c r="B24" s="40" t="s">
        <v>240</v>
      </c>
      <c r="C24" s="41">
        <v>8</v>
      </c>
      <c r="D24" s="42">
        <v>3.0000000000000001E-3</v>
      </c>
    </row>
    <row r="25" spans="1:4" ht="14.45" customHeight="1" x14ac:dyDescent="0.3">
      <c r="A25" s="14"/>
      <c r="B25" s="40" t="s">
        <v>249</v>
      </c>
      <c r="C25" s="41">
        <v>7</v>
      </c>
      <c r="D25" s="42">
        <v>3.0000000000000001E-3</v>
      </c>
    </row>
    <row r="26" spans="1:4" ht="14.45" customHeight="1" x14ac:dyDescent="0.3">
      <c r="A26" s="14"/>
      <c r="B26" s="40" t="s">
        <v>244</v>
      </c>
      <c r="C26" s="41">
        <v>7</v>
      </c>
      <c r="D26" s="42">
        <v>3.0000000000000001E-3</v>
      </c>
    </row>
    <row r="27" spans="1:4" ht="14.45" customHeight="1" x14ac:dyDescent="0.3">
      <c r="A27" s="14"/>
      <c r="B27" s="40" t="s">
        <v>248</v>
      </c>
      <c r="C27" s="41">
        <v>7</v>
      </c>
      <c r="D27" s="42">
        <v>3.0000000000000001E-3</v>
      </c>
    </row>
    <row r="28" spans="1:4" ht="14.45" customHeight="1" x14ac:dyDescent="0.3">
      <c r="A28" s="14"/>
      <c r="B28" s="40" t="s">
        <v>294</v>
      </c>
      <c r="C28" s="41">
        <v>6</v>
      </c>
      <c r="D28" s="42">
        <v>2E-3</v>
      </c>
    </row>
    <row r="29" spans="1:4" ht="14.45" customHeight="1" x14ac:dyDescent="0.3">
      <c r="A29" s="14"/>
      <c r="B29" s="40" t="s">
        <v>246</v>
      </c>
      <c r="C29" s="41">
        <v>4</v>
      </c>
      <c r="D29" s="42">
        <v>2E-3</v>
      </c>
    </row>
    <row r="30" spans="1:4" ht="14.45" customHeight="1" x14ac:dyDescent="0.3">
      <c r="A30" s="14"/>
      <c r="B30" s="40" t="s">
        <v>252</v>
      </c>
      <c r="C30" s="41">
        <v>3</v>
      </c>
      <c r="D30" s="42">
        <v>1E-3</v>
      </c>
    </row>
    <row r="31" spans="1:4" ht="14.45" customHeight="1" x14ac:dyDescent="0.3">
      <c r="A31" s="14"/>
      <c r="B31" s="40" t="s">
        <v>295</v>
      </c>
      <c r="C31" s="41">
        <v>3</v>
      </c>
      <c r="D31" s="42">
        <v>1E-3</v>
      </c>
    </row>
    <row r="32" spans="1:4" ht="14.45" customHeight="1" x14ac:dyDescent="0.3">
      <c r="A32" s="14"/>
      <c r="B32" s="40" t="s">
        <v>247</v>
      </c>
      <c r="C32" s="41">
        <v>3</v>
      </c>
      <c r="D32" s="42">
        <v>1E-3</v>
      </c>
    </row>
    <row r="33" spans="1:4" ht="14.45" customHeight="1" x14ac:dyDescent="0.3">
      <c r="A33" s="14"/>
      <c r="B33" s="40" t="s">
        <v>250</v>
      </c>
      <c r="C33" s="41">
        <v>3</v>
      </c>
      <c r="D33" s="42">
        <v>1E-3</v>
      </c>
    </row>
    <row r="34" spans="1:4" ht="14.45" customHeight="1" x14ac:dyDescent="0.3">
      <c r="A34" s="14"/>
      <c r="B34" s="40" t="s">
        <v>255</v>
      </c>
      <c r="C34" s="41">
        <v>3</v>
      </c>
      <c r="D34" s="42">
        <v>1E-3</v>
      </c>
    </row>
    <row r="35" spans="1:4" ht="14.45" customHeight="1" x14ac:dyDescent="0.3">
      <c r="A35" s="14"/>
      <c r="B35" s="40" t="s">
        <v>251</v>
      </c>
      <c r="C35" s="41">
        <v>3</v>
      </c>
      <c r="D35" s="42">
        <v>1E-3</v>
      </c>
    </row>
    <row r="36" spans="1:4" ht="14.45" customHeight="1" x14ac:dyDescent="0.3">
      <c r="A36" s="14"/>
      <c r="B36" s="40" t="s">
        <v>296</v>
      </c>
      <c r="C36" s="41">
        <v>2</v>
      </c>
      <c r="D36" s="42">
        <v>1E-3</v>
      </c>
    </row>
    <row r="37" spans="1:4" ht="14.45" customHeight="1" x14ac:dyDescent="0.3">
      <c r="A37" s="14"/>
      <c r="B37" s="40" t="s">
        <v>245</v>
      </c>
      <c r="C37" s="41">
        <v>2</v>
      </c>
      <c r="D37" s="42">
        <v>1E-3</v>
      </c>
    </row>
    <row r="38" spans="1:4" ht="14.45" customHeight="1" x14ac:dyDescent="0.3">
      <c r="A38" s="14"/>
      <c r="B38" s="40" t="s">
        <v>297</v>
      </c>
      <c r="C38" s="41">
        <v>2</v>
      </c>
      <c r="D38" s="42">
        <v>1E-3</v>
      </c>
    </row>
    <row r="39" spans="1:4" ht="14.45" customHeight="1" x14ac:dyDescent="0.3">
      <c r="A39" s="14"/>
      <c r="B39" s="40" t="s">
        <v>298</v>
      </c>
      <c r="C39" s="41">
        <v>2</v>
      </c>
      <c r="D39" s="42">
        <v>1E-3</v>
      </c>
    </row>
    <row r="40" spans="1:4" ht="14.45" customHeight="1" x14ac:dyDescent="0.3">
      <c r="A40" s="14"/>
      <c r="B40" s="40" t="s">
        <v>299</v>
      </c>
      <c r="C40" s="41">
        <v>2</v>
      </c>
      <c r="D40" s="42">
        <v>1E-3</v>
      </c>
    </row>
    <row r="41" spans="1:4" ht="14.45" customHeight="1" x14ac:dyDescent="0.3">
      <c r="A41" s="14"/>
      <c r="B41" s="40" t="s">
        <v>300</v>
      </c>
      <c r="C41" s="41">
        <v>1</v>
      </c>
      <c r="D41" s="42">
        <v>0</v>
      </c>
    </row>
    <row r="42" spans="1:4" ht="14.45" customHeight="1" x14ac:dyDescent="0.3">
      <c r="A42" s="14"/>
      <c r="B42" s="40" t="s">
        <v>253</v>
      </c>
      <c r="C42" s="41">
        <v>1</v>
      </c>
      <c r="D42" s="42">
        <v>0</v>
      </c>
    </row>
    <row r="43" spans="1:4" ht="14.45" customHeight="1" x14ac:dyDescent="0.3">
      <c r="A43" s="14"/>
      <c r="B43" s="40" t="s">
        <v>301</v>
      </c>
      <c r="C43" s="41">
        <v>1</v>
      </c>
      <c r="D43" s="42">
        <v>0</v>
      </c>
    </row>
    <row r="44" spans="1:4" ht="16.5" x14ac:dyDescent="0.3">
      <c r="A44" s="14"/>
      <c r="B44" s="40" t="s">
        <v>302</v>
      </c>
      <c r="C44" s="41">
        <v>1</v>
      </c>
      <c r="D44" s="42">
        <v>0</v>
      </c>
    </row>
    <row r="45" spans="1:4" ht="16.5" x14ac:dyDescent="0.3">
      <c r="A45" s="14"/>
      <c r="B45" s="40" t="s">
        <v>254</v>
      </c>
      <c r="C45" s="41">
        <v>1</v>
      </c>
      <c r="D45" s="42">
        <v>0</v>
      </c>
    </row>
    <row r="46" spans="1:4" ht="16.5" x14ac:dyDescent="0.3">
      <c r="A46" s="14"/>
      <c r="B46" s="40" t="s">
        <v>289</v>
      </c>
      <c r="C46" s="41">
        <v>1</v>
      </c>
      <c r="D46" s="42">
        <v>0</v>
      </c>
    </row>
    <row r="47" spans="1:4" ht="16.5" x14ac:dyDescent="0.3">
      <c r="A47" s="14"/>
      <c r="B47" s="40" t="s">
        <v>303</v>
      </c>
      <c r="C47" s="41">
        <v>1</v>
      </c>
      <c r="D47" s="42">
        <v>0</v>
      </c>
    </row>
    <row r="48" spans="1:4" ht="16.5" x14ac:dyDescent="0.3">
      <c r="A48" s="14"/>
      <c r="B48" s="49" t="s">
        <v>318</v>
      </c>
      <c r="C48" s="26">
        <v>2401</v>
      </c>
      <c r="D48" s="50">
        <v>1</v>
      </c>
    </row>
    <row r="49" spans="1:4" ht="16.5" x14ac:dyDescent="0.3">
      <c r="A49" s="14"/>
      <c r="B49" s="18"/>
      <c r="C49" s="14"/>
      <c r="D49" s="14"/>
    </row>
    <row r="50" spans="1:4" ht="16.5" x14ac:dyDescent="0.3">
      <c r="A50" s="14"/>
      <c r="B50" s="18" t="s">
        <v>260</v>
      </c>
      <c r="C50" s="14"/>
      <c r="D50" s="14"/>
    </row>
    <row r="51" spans="1:4" ht="16.5" x14ac:dyDescent="0.3">
      <c r="A51" s="14"/>
      <c r="B51" s="19" t="s">
        <v>21</v>
      </c>
      <c r="C51" s="14"/>
      <c r="D51" s="14"/>
    </row>
    <row r="52" spans="1:4" ht="16.5" x14ac:dyDescent="0.3">
      <c r="A52" s="14"/>
      <c r="B52" s="17" t="s">
        <v>122</v>
      </c>
      <c r="C52" s="14"/>
      <c r="D52" s="14"/>
    </row>
    <row r="53" spans="1:4" ht="16.5" x14ac:dyDescent="0.3">
      <c r="A53" s="14"/>
      <c r="B53" s="18" t="s">
        <v>22</v>
      </c>
      <c r="C53" s="14"/>
      <c r="D53" s="14"/>
    </row>
    <row r="54" spans="1:4" ht="16.5" x14ac:dyDescent="0.3">
      <c r="A54" s="14"/>
      <c r="B54" s="18" t="s">
        <v>319</v>
      </c>
      <c r="C54" s="14"/>
      <c r="D54" s="14"/>
    </row>
  </sheetData>
  <mergeCells count="1">
    <mergeCell ref="B7:D9"/>
  </mergeCells>
  <pageMargins left="0.7" right="0.7" top="0.75" bottom="0.75" header="0.3" footer="0.3"/>
  <pageSetup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9</vt:i4>
      </vt:variant>
    </vt:vector>
  </HeadingPairs>
  <TitlesOfParts>
    <vt:vector size="25" baseType="lpstr">
      <vt:lpstr>Índice</vt:lpstr>
      <vt:lpstr>Yucatán_EdoUSA</vt:lpstr>
      <vt:lpstr>Yucatán_Cons</vt:lpstr>
      <vt:lpstr>YucatánXCons</vt:lpstr>
      <vt:lpstr>Yucatán_EdoMun</vt:lpstr>
      <vt:lpstr>Yucatán_USAMuni</vt:lpstr>
      <vt:lpstr>Yucatán_MUNICIPIO</vt:lpstr>
      <vt:lpstr>Yucatán_educ_gral</vt:lpstr>
      <vt:lpstr>Yucatán_NivelE_Cons</vt:lpstr>
      <vt:lpstr>Yucatán_EducCons</vt:lpstr>
      <vt:lpstr>Yucatán_GenGral</vt:lpstr>
      <vt:lpstr>Hoja1</vt:lpstr>
      <vt:lpstr>Yucatán_GENERO</vt:lpstr>
      <vt:lpstr>Yucatán_GENERO_EUA</vt:lpstr>
      <vt:lpstr>Yucatán_Gen_Edad</vt:lpstr>
      <vt:lpstr>Yucatán_ocup_gral</vt:lpstr>
      <vt:lpstr>Yucatán_Cons!Área_de_impresión</vt:lpstr>
      <vt:lpstr>Yucatán_EdoMun!Área_de_impresión</vt:lpstr>
      <vt:lpstr>Yucatán_EducCons!Área_de_impresión</vt:lpstr>
      <vt:lpstr>Yucatán_Gen_Edad!Área_de_impresión</vt:lpstr>
      <vt:lpstr>Yucatán_GENERO!Área_de_impresión</vt:lpstr>
      <vt:lpstr>Yucatán_MUNICIPIO!Área_de_impresión</vt:lpstr>
      <vt:lpstr>Yucatán_NivelE_Cons!Área_de_impresión</vt:lpstr>
      <vt:lpstr>Yucatán_ocup_gral!Área_de_impresión</vt:lpstr>
      <vt:lpstr>Yucatán_USAMuni!Área_de_impresión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</dc:creator>
  <cp:lastModifiedBy>García Ayala, Miguel Ángel</cp:lastModifiedBy>
  <cp:lastPrinted>2025-02-19T16:59:40Z</cp:lastPrinted>
  <dcterms:created xsi:type="dcterms:W3CDTF">2023-11-03T14:59:42Z</dcterms:created>
  <dcterms:modified xsi:type="dcterms:W3CDTF">2025-08-23T04:05:11Z</dcterms:modified>
</cp:coreProperties>
</file>