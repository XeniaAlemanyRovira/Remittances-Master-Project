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B6F8460E-31DE-48D4-AD11-928FDE2B0293}" xr6:coauthVersionLast="47" xr6:coauthVersionMax="47" xr10:uidLastSave="{00000000-0000-0000-0000-000000000000}"/>
  <bookViews>
    <workbookView xWindow="-120" yWindow="-120" windowWidth="29040" windowHeight="15840" tabRatio="797" firstSheet="7" activeTab="14" xr2:uid="{00000000-000D-0000-FFFF-FFFF00000000}"/>
  </bookViews>
  <sheets>
    <sheet name="Índice" sheetId="1" r:id="rId1"/>
    <sheet name="Campeche_EdoUsa" sheetId="2" r:id="rId2"/>
    <sheet name="Campeche_Cons" sheetId="15" r:id="rId3"/>
    <sheet name="CampecheXCons" sheetId="16" r:id="rId4"/>
    <sheet name="Campeche_EdoMun" sheetId="5" r:id="rId5"/>
    <sheet name="Campeche_USAMuni" sheetId="6" r:id="rId6"/>
    <sheet name="Campeche_MUNICIPIO" sheetId="7" r:id="rId7"/>
    <sheet name="Campeche_educ_gral" sheetId="8" r:id="rId8"/>
    <sheet name="Campeche_NivelE_Cons" sheetId="9" r:id="rId9"/>
    <sheet name="Campeche_EducCons" sheetId="10" r:id="rId10"/>
    <sheet name="Campeche_GenGral" sheetId="11" r:id="rId11"/>
    <sheet name="Campeche_GENERO" sheetId="12" r:id="rId12"/>
    <sheet name="Campeche_GENERO_EUA" sheetId="17" r:id="rId13"/>
    <sheet name="Campeche_Gen_Edad" sheetId="13" r:id="rId14"/>
    <sheet name="Campeche_ocup_gral" sheetId="14" r:id="rId15"/>
  </sheets>
  <definedNames>
    <definedName name="_xlnm._FilterDatabase" localSheetId="2" hidden="1">Campeche_Cons!$B$11:$D$11</definedName>
    <definedName name="_xlnm._FilterDatabase" localSheetId="4" hidden="1">Campeche_EdoMun!$B$11:$D$11</definedName>
    <definedName name="_xlnm._FilterDatabase" localSheetId="1" hidden="1">Campeche_EdoUsa!$B$11:$D$11</definedName>
    <definedName name="_xlnm._FilterDatabase" localSheetId="7" hidden="1">Campeche_educ_gral!$B$11:$D$11</definedName>
    <definedName name="_xlnm._FilterDatabase" localSheetId="9" hidden="1">Campeche_EducCons!$B$9:$E$460</definedName>
    <definedName name="_xlnm._FilterDatabase" localSheetId="13" hidden="1">Campeche_Gen_Edad!$B$12:$F$29</definedName>
    <definedName name="_xlnm._FilterDatabase" localSheetId="11" hidden="1">Campeche_GENERO!$B$12:$E$152</definedName>
    <definedName name="_xlnm._FilterDatabase" localSheetId="12" hidden="1">Campeche_GENERO_EUA!$B$12:$E$137</definedName>
    <definedName name="_xlnm._FilterDatabase" localSheetId="10" hidden="1">Campeche_GenGral!$B$11:$D$11</definedName>
    <definedName name="_xlnm._FilterDatabase" localSheetId="6" hidden="1">Campeche_MUNICIPIO!$B$9:$E$342</definedName>
    <definedName name="_xlnm._FilterDatabase" localSheetId="8" hidden="1">Campeche_NivelE_Cons!$B$9:$E$358</definedName>
    <definedName name="_xlnm._FilterDatabase" localSheetId="14" hidden="1">Campeche_ocup_gral!$B$11:$D$11</definedName>
    <definedName name="_xlnm._FilterDatabase" localSheetId="5" hidden="1">Campeche_USAMuni!$B$9:$E$298</definedName>
    <definedName name="_xlnm._FilterDatabase" localSheetId="3" hidden="1">CampecheXCons!$B$11:$D$11</definedName>
    <definedName name="_xlnm.Print_Area" localSheetId="2">Campeche_Cons!$A$1:$F$65</definedName>
    <definedName name="_xlnm.Print_Area" localSheetId="4">Campeche_EdoMun!$A$1:$F$30</definedName>
    <definedName name="_xlnm.Print_Area" localSheetId="7">Campeche_educ_gral!$A$1:$F$42</definedName>
    <definedName name="_xlnm.Print_Area" localSheetId="9">Campeche_EducCons!$A$1:$E$467</definedName>
    <definedName name="_xlnm.Print_Area" localSheetId="13">Campeche_Gen_Edad!$A$1:$G$35</definedName>
    <definedName name="_xlnm.Print_Area" localSheetId="11">Campeche_GENERO!$A$1:$G$159</definedName>
    <definedName name="_xlnm.Print_Area" localSheetId="6">Campeche_MUNICIPIO!$A$1:$E$349</definedName>
    <definedName name="_xlnm.Print_Area" localSheetId="8">Campeche_NivelE_Cons!$A$1:$E$364</definedName>
    <definedName name="_xlnm.Print_Area" localSheetId="14">Campeche_ocup_gral!$A$1:$F$54</definedName>
    <definedName name="_xlnm.Print_Area" localSheetId="5">Campeche_USAMuni!$A$1:$E$305</definedName>
    <definedName name="_xlnm.Print_Titles" localSheetId="2">Campeche_Cons!$1:$11</definedName>
    <definedName name="_xlnm.Print_Titles" localSheetId="4">Campeche_EdoMun!$1:$11</definedName>
    <definedName name="_xlnm.Print_Titles" localSheetId="1">Campeche_EdoUsa!$1:$11</definedName>
    <definedName name="_xlnm.Print_Titles" localSheetId="7">Campeche_educ_gral!$1:$11</definedName>
    <definedName name="_xlnm.Print_Titles" localSheetId="9">Campeche_EducCons!$1:$9</definedName>
    <definedName name="_xlnm.Print_Titles" localSheetId="13">Campeche_Gen_Edad!$1:$12</definedName>
    <definedName name="_xlnm.Print_Titles" localSheetId="11">Campeche_GENERO!$1:$12</definedName>
    <definedName name="_xlnm.Print_Titles" localSheetId="12">Campeche_GENERO_EUA!$1:$12</definedName>
    <definedName name="_xlnm.Print_Titles" localSheetId="10">Campeche_GenGral!$1:$11</definedName>
    <definedName name="_xlnm.Print_Titles" localSheetId="6">Campeche_MUNICIPIO!$1:$9</definedName>
    <definedName name="_xlnm.Print_Titles" localSheetId="8">Campeche_NivelE_Cons!$1:$9</definedName>
    <definedName name="_xlnm.Print_Titles" localSheetId="14">Campeche_ocup_gral!$1:$11</definedName>
    <definedName name="_xlnm.Print_Titles" localSheetId="5">Campeche_USAMuni!$1:$9</definedName>
    <definedName name="_xlnm.Print_Titles" localSheetId="3">CampecheXCons!$1:$11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3" l="1"/>
  <c r="E26" i="13"/>
  <c r="E25" i="13"/>
  <c r="E24" i="13"/>
  <c r="E23" i="13"/>
  <c r="E22" i="13"/>
  <c r="E21" i="13"/>
  <c r="E19" i="13"/>
  <c r="E18" i="13"/>
  <c r="E17" i="13"/>
  <c r="E16" i="13"/>
  <c r="E15" i="13"/>
  <c r="E14" i="13"/>
  <c r="E13" i="13"/>
  <c r="F20" i="13"/>
  <c r="F29" i="13"/>
  <c r="F28" i="13"/>
  <c r="F27" i="13"/>
  <c r="F26" i="13"/>
  <c r="F25" i="13"/>
  <c r="F24" i="13"/>
  <c r="F23" i="13"/>
  <c r="F22" i="13"/>
  <c r="F21" i="13"/>
  <c r="F19" i="13"/>
  <c r="F18" i="13"/>
  <c r="F17" i="13"/>
  <c r="F16" i="13"/>
  <c r="F15" i="13"/>
  <c r="F14" i="13"/>
  <c r="F13" i="13"/>
  <c r="D21" i="16"/>
  <c r="D20" i="16"/>
  <c r="D19" i="16"/>
  <c r="D18" i="16"/>
  <c r="D17" i="16"/>
  <c r="D16" i="16"/>
  <c r="D15" i="16"/>
  <c r="D14" i="16"/>
  <c r="D13" i="16"/>
  <c r="D12" i="16"/>
  <c r="C22" i="16"/>
  <c r="D22" i="16" s="1"/>
</calcChain>
</file>

<file path=xl/sharedStrings.xml><?xml version="1.0" encoding="utf-8"?>
<sst xmlns="http://schemas.openxmlformats.org/spreadsheetml/2006/main" count="2289" uniqueCount="239">
  <si>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</si>
  <si>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</si>
  <si>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</si>
  <si>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</si>
  <si>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</si>
  <si>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</si>
  <si>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</si>
  <si>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</si>
  <si>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</si>
  <si>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</si>
  <si>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</si>
  <si>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</si>
  <si>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</si>
  <si>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</si>
  <si>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</si>
  <si>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</si>
  <si>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</si>
  <si>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</si>
  <si>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</si>
  <si>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</si>
  <si>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</si>
  <si>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</si>
  <si>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</si>
  <si>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</si>
  <si>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</si>
  <si>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</si>
  <si>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</si>
  <si>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</si>
  <si>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</si>
  <si>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</si>
  <si>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</si>
  <si>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</si>
  <si>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Ocupación</t>
  </si>
  <si>
    <t>5.2 Por Circunscripción Consular</t>
  </si>
  <si>
    <t>MATRÍCULAS CONSULARES DE ALTA SEGURIDAD EXPEDIDAS A ORIGINARIOS DE CAMPECHE EN LOS CONSULADOS DE MÉXICO EN EE.UU.</t>
  </si>
  <si>
    <t xml:space="preserve">MATRÍCULAS CONSULARES EXPEDIDAS A ORIGINARIOS DE CAMPECHE POR GÉNERO EN EE.UU </t>
  </si>
  <si>
    <t>MATRÍCULAS CONSULARES EXPEDIDAS EN EE.UU. A ORIGINARIOS DE CAMPECHE POR NIVEL DE EDUCACIÓN</t>
  </si>
  <si>
    <t xml:space="preserve"> </t>
  </si>
  <si>
    <t>MATRÍCULAS CONSULARES DE ALTA SEGURIDAD EXPEDIDAS POR MUNICIPIO A ORIGINARIOS DEL ESTADO DE CAMPECHE EN LOS CONSULADOS DE MÉXICO EN EE.UU.</t>
  </si>
  <si>
    <t>MATRÍCULAS CONSULARES DE ALTA SEGURIDAD EXPEDIDAS A ORIGINARIOS DE CAMPECHE POR ESTADO DE LA UNIÓN AMERICANA.</t>
  </si>
  <si>
    <t>MATRÍCULAS CONSULARES EXPEDIDAS A ORIGINARIOS DE CAMPECHE POR GÉNERO Y CONSULADO</t>
  </si>
  <si>
    <t>5.3 Por Estado de la Unión Americana</t>
  </si>
  <si>
    <t>MATRÍCULAS CONSULARES EXPEDIDAS A ORIGINARIOS DE CAMPECHE POR GÉNERO Y POR ESTADO DE LA UNIÓN AMERICANA</t>
  </si>
  <si>
    <t>LOS 10 CONSULADOS  DE MÉXICO EN EE.UU., CON MAYOR NÚMERO DE EXPEDICIÓN DE  MATRÍCULAS CONSULARES DE ALTA SEGURIDAD A ORIGINARIOS DE CAMPECHE</t>
  </si>
  <si>
    <t>TOTAL TOP 10</t>
  </si>
  <si>
    <t xml:space="preserve">TOTAL GENERAL </t>
  </si>
  <si>
    <t>ATLANTA</t>
  </si>
  <si>
    <t>OMAHA</t>
  </si>
  <si>
    <t>RALEIGH</t>
  </si>
  <si>
    <t>DALLAS</t>
  </si>
  <si>
    <t>ORLANDO</t>
  </si>
  <si>
    <t>CHICAGO</t>
  </si>
  <si>
    <t>HOUSTON</t>
  </si>
  <si>
    <t>LOS ANGELES</t>
  </si>
  <si>
    <t>SACRAMENTO</t>
  </si>
  <si>
    <t>AUSTIN</t>
  </si>
  <si>
    <t>LITTLE ROCK</t>
  </si>
  <si>
    <t>SAN JOSE</t>
  </si>
  <si>
    <t>SAN ANTONIO</t>
  </si>
  <si>
    <t>KANSAS CITY</t>
  </si>
  <si>
    <t>MCALLEN</t>
  </si>
  <si>
    <t>DENVER</t>
  </si>
  <si>
    <t>MIAMI</t>
  </si>
  <si>
    <t>INDIANAPOLIS</t>
  </si>
  <si>
    <t>SAN FRANCISCO</t>
  </si>
  <si>
    <t>LAS VEGAS</t>
  </si>
  <si>
    <t>NUEVA ORLEANS</t>
  </si>
  <si>
    <t>DETROIT</t>
  </si>
  <si>
    <t>SAINT PAUL</t>
  </si>
  <si>
    <t>OKLAHOMA CITY</t>
  </si>
  <si>
    <t>WASHINGTON</t>
  </si>
  <si>
    <t>FRESNO</t>
  </si>
  <si>
    <t>PHOENIX</t>
  </si>
  <si>
    <t>SAN BERNARDINO</t>
  </si>
  <si>
    <t>SANTA ANA</t>
  </si>
  <si>
    <t>NUEVA YORK</t>
  </si>
  <si>
    <t>OXNARD</t>
  </si>
  <si>
    <t>LAREDO</t>
  </si>
  <si>
    <t>BROWNSVILLE</t>
  </si>
  <si>
    <t>FILADELFIA</t>
  </si>
  <si>
    <t>MILWAUKEE</t>
  </si>
  <si>
    <t>BOISE</t>
  </si>
  <si>
    <t>PORTLAND</t>
  </si>
  <si>
    <t>SEATTLE</t>
  </si>
  <si>
    <t>BOSTON</t>
  </si>
  <si>
    <t>SAN DIEGO</t>
  </si>
  <si>
    <t>ALBUQUERQUE</t>
  </si>
  <si>
    <t>EL PASO</t>
  </si>
  <si>
    <t>SALT LAKE CITY</t>
  </si>
  <si>
    <t>PRESIDIO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</si>
  <si>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</si>
  <si>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</si>
  <si>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</si>
  <si>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</si>
  <si>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</si>
  <si>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</si>
  <si>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</si>
  <si>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</si>
  <si>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</si>
  <si>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</si>
  <si>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</si>
  <si>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</si>
  <si>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</si>
  <si>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</si>
  <si>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</si>
  <si>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</si>
  <si>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</si>
  <si>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4o. AÑO DE PROFESIONAL</t>
  </si>
  <si>
    <t>PROFESIONAL PASANTE</t>
  </si>
  <si>
    <t>PROFESIONAL TITULADO</t>
  </si>
  <si>
    <t>POSGRADO [MAESTRIA]</t>
  </si>
  <si>
    <t>ENTRE 18 Y 28 AÑOS</t>
  </si>
  <si>
    <t>ENTRE 29 Y 39 AÑOS</t>
  </si>
  <si>
    <t>ENTRE 40 Y 49 AÑOS</t>
  </si>
  <si>
    <t>ENTRE 50 Y 65 AÑOS</t>
  </si>
  <si>
    <t>ENTRE 66 Y 75 AÑOS</t>
  </si>
  <si>
    <t>ENTRE 11 Y 17 AÑOS</t>
  </si>
  <si>
    <t>Elaborado por: Análisis de Información, Instituto de Mexicanas y Mexicanos en el Exterior</t>
  </si>
  <si>
    <t>MATRÍCULAS CONSULARES EXPEDIDAS A ORIGINARIOS DE CAMPECHE POR GÉNERO Y 
EDAD EN EE.UU.</t>
  </si>
  <si>
    <t>MATRÍCULAS CONSULARES EXPEDIDAS EN EE.UU.  ORIGINARIOS DE CAMPECHE POR PERFIL OCUPACIONAL.</t>
  </si>
  <si>
    <t>Tamaño de la muestra: 808,027</t>
  </si>
  <si>
    <t>KINDERGARTEN</t>
  </si>
  <si>
    <t>MENORES DE EDAD</t>
  </si>
  <si>
    <t>POSGRADO [DOCTORADO]</t>
  </si>
  <si>
    <t>ENTRE 00 Y 10 AÑOS</t>
  </si>
  <si>
    <t>NEW BRUNSWICK</t>
  </si>
  <si>
    <t>DEL RIO</t>
  </si>
  <si>
    <t>YUMA</t>
  </si>
  <si>
    <t>CALIFORNIA</t>
  </si>
  <si>
    <t>TEXAS</t>
  </si>
  <si>
    <t>NEBRASKA</t>
  </si>
  <si>
    <t>FLORIDA</t>
  </si>
  <si>
    <t>GEORGIA</t>
  </si>
  <si>
    <t>ALABAMA</t>
  </si>
  <si>
    <t>NORTH CAROLINA</t>
  </si>
  <si>
    <t>TENNESSEE</t>
  </si>
  <si>
    <t>COLORADO</t>
  </si>
  <si>
    <t>OKLAHOMA</t>
  </si>
  <si>
    <t>VIRGINIA</t>
  </si>
  <si>
    <t>KANSAS</t>
  </si>
  <si>
    <t>NEVADA</t>
  </si>
  <si>
    <t>ARKANSAS</t>
  </si>
  <si>
    <t>OHIO</t>
  </si>
  <si>
    <t>ILLINOIS</t>
  </si>
  <si>
    <t>MINNESOTA</t>
  </si>
  <si>
    <t>SOUTH CAROLINA</t>
  </si>
  <si>
    <t>IOWA</t>
  </si>
  <si>
    <t>MISSOURI</t>
  </si>
  <si>
    <t>MISSISSIPPI</t>
  </si>
  <si>
    <t>INDIANA</t>
  </si>
  <si>
    <t>MICHIGAN</t>
  </si>
  <si>
    <t>ARIZONA</t>
  </si>
  <si>
    <t>NEW YORK</t>
  </si>
  <si>
    <t>LOUISIANA</t>
  </si>
  <si>
    <t>IDAHO</t>
  </si>
  <si>
    <t>NEW JERSEY</t>
  </si>
  <si>
    <t>SOUTH DAKOTA</t>
  </si>
  <si>
    <t>WISCONSIN</t>
  </si>
  <si>
    <t>KENTUCKY</t>
  </si>
  <si>
    <t>UTAH</t>
  </si>
  <si>
    <t>NEW MEXICO</t>
  </si>
  <si>
    <t>OREGON</t>
  </si>
  <si>
    <t>PENNSYLVANIA</t>
  </si>
  <si>
    <t>CONNECTICUT</t>
  </si>
  <si>
    <t>MARYLAND</t>
  </si>
  <si>
    <t>WEST VIRGINIA</t>
  </si>
  <si>
    <t>DELAWARE</t>
  </si>
  <si>
    <t>DISTRICT OF COLUMBIA</t>
  </si>
  <si>
    <t>MONTANA</t>
  </si>
  <si>
    <t>VERMONT</t>
  </si>
  <si>
    <t>CARMEN</t>
  </si>
  <si>
    <t>CHAMPOTÓN</t>
  </si>
  <si>
    <t>CAMPECHE</t>
  </si>
  <si>
    <t>ESCÁRCEGA</t>
  </si>
  <si>
    <t>CANDELARIA</t>
  </si>
  <si>
    <t>HOPELCHÉN</t>
  </si>
  <si>
    <t>CALAKMUL</t>
  </si>
  <si>
    <t>HECELCHAKÁN</t>
  </si>
  <si>
    <t>CALKINÍ</t>
  </si>
  <si>
    <t>DESCONOCIDO</t>
  </si>
  <si>
    <t>PALIZADA</t>
  </si>
  <si>
    <t>TENABO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</si>
  <si>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</si>
  <si>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</si>
  <si>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</si>
  <si>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</si>
  <si>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</si>
  <si>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</si>
  <si>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</si>
  <si>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</si>
  <si>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</si>
  <si>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</si>
  <si>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</si>
  <si>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4O. AÑO DE PROFESIONAL</t>
  </si>
  <si>
    <t>FEMENINO</t>
  </si>
  <si>
    <t>MASCULINO</t>
  </si>
  <si>
    <t xml:space="preserve">FEMENINO  </t>
  </si>
  <si>
    <t xml:space="preserve">MASCULINO  </t>
  </si>
  <si>
    <t>EMPLEADO(A)</t>
  </si>
  <si>
    <t>HOGAR</t>
  </si>
  <si>
    <t>CONSTRUCCIÓN, TRAB. DE LA IND. DE LA</t>
  </si>
  <si>
    <t>OBRERO(A)</t>
  </si>
  <si>
    <t>ALIMENTOS Y BEBIDAS, ESP. EN PREPARACIÓN DE</t>
  </si>
  <si>
    <t>ESTUDIANTE</t>
  </si>
  <si>
    <t>JARDINERO(A)</t>
  </si>
  <si>
    <t>AGROPECUARIA, TRAB. DE LA INDUSTRIA</t>
  </si>
  <si>
    <t>PINTOR(A)</t>
  </si>
  <si>
    <t>LIMPIEZA, EMPLEADO DE</t>
  </si>
  <si>
    <t>CARPINTERO/TAPICERO</t>
  </si>
  <si>
    <t>DESEMPLEADO</t>
  </si>
  <si>
    <t>PROFESIONISTA</t>
  </si>
  <si>
    <t>MECÁNICO(A)</t>
  </si>
  <si>
    <t>SIN ESPECIFICAR</t>
  </si>
  <si>
    <t>EMPRESARIO(A)</t>
  </si>
  <si>
    <t>ENFERMERO(A)/TRAB. DE APOYO EN SALUD</t>
  </si>
  <si>
    <t>OPERARIO(A)</t>
  </si>
  <si>
    <t>OTRO</t>
  </si>
  <si>
    <t>BELLEZA, PROFESIONAL DE SERVICIOS DE</t>
  </si>
  <si>
    <t>CARNICERO(A)</t>
  </si>
  <si>
    <t>JUBILADO(A)/PENSIONADO(A)</t>
  </si>
  <si>
    <t>SOLDADOR</t>
  </si>
  <si>
    <t>TÉCNICO(A) EN MANTENIMIENTO</t>
  </si>
  <si>
    <t>ADMINISTRADOR(A)/CONTADOR(A)</t>
  </si>
  <si>
    <t>BANQUERO/INVERSIONISTA</t>
  </si>
  <si>
    <t>CAJERO(A)/COBRADOR(A)</t>
  </si>
  <si>
    <t>DISCAPACITADO</t>
  </si>
  <si>
    <t>EXTRACCIÓN, TRAB. DE LA INDUSTRIA DE LA</t>
  </si>
  <si>
    <t>HERRERO(A)/CERRAJERO(A)/JOYERO(A)</t>
  </si>
  <si>
    <t>HOJALATERO</t>
  </si>
  <si>
    <t>INGENIERO(A)</t>
  </si>
  <si>
    <t>MESERO(A)</t>
  </si>
  <si>
    <t>MODISTA/SASTRE</t>
  </si>
  <si>
    <t>VENDEDOR(A)</t>
  </si>
  <si>
    <t>TOTAL</t>
  </si>
  <si>
    <t>Junio de 2025</t>
  </si>
  <si>
    <t xml:space="preserve"> TOTAL </t>
  </si>
  <si>
    <t xml:space="preserve"> TOTAL</t>
  </si>
  <si>
    <t xml:space="preserve">TOTAL </t>
  </si>
  <si>
    <t>Matrículas consulares expedidas a originarios de Campeche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</si>
</sst>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9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10"/>
      <color theme="1"/>
      <name val="Noto Sans"/>
      <family val="2"/>
    </font>
    <font>
      <sz val="8"/>
      <color theme="1"/>
      <name val="Noto Sans"/>
      <family val="2"/>
    </font>
    <font>
      <b/>
      <sz val="9"/>
      <color theme="0"/>
      <name val="Noto Sans"/>
      <family val="2"/>
    </font>
    <font>
      <sz val="11"/>
      <color theme="1"/>
      <name val="Noto Sans"/>
      <family val="2"/>
    </font>
    <font>
      <sz val="8"/>
      <color rgb="FF000000"/>
      <name val="Noto Sans"/>
      <family val="2"/>
    </font>
    <font>
      <sz val="7"/>
      <color indexed="8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b/>
      <sz val="11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  <font>
      <b/>
      <sz val="8"/>
      <color theme="0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11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0" borderId="0" xfId="0" applyFont="1"/>
    <xf numFmtId="0" fontId="6" fillId="0" borderId="0" xfId="0" applyFont="1" applyAlignment="1">
      <alignment horizontal="center" vertical="center" wrapText="1"/>
    </xf>
    <xf numFmtId="3" fontId="5" fillId="0" borderId="0" xfId="0" applyNumberFormat="1" applyFont="1"/>
    <xf numFmtId="1" fontId="5" fillId="0" borderId="0" xfId="0" applyNumberFormat="1" applyFont="1"/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5" fillId="3" borderId="0" xfId="0" applyFont="1" applyFill="1"/>
    <xf numFmtId="0" fontId="10" fillId="3" borderId="0" xfId="0" applyFont="1" applyFill="1"/>
    <xf numFmtId="0" fontId="9" fillId="3" borderId="0" xfId="0" applyFont="1" applyFill="1" applyAlignment="1">
      <alignment vertical="center"/>
    </xf>
    <xf numFmtId="3" fontId="5" fillId="3" borderId="0" xfId="0" applyNumberFormat="1" applyFont="1" applyFill="1"/>
    <xf numFmtId="1" fontId="5" fillId="3" borderId="0" xfId="0" applyNumberFormat="1" applyFont="1" applyFill="1"/>
    <xf numFmtId="0" fontId="5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15" fillId="0" borderId="0" xfId="0" applyFont="1"/>
    <xf numFmtId="0" fontId="16" fillId="2" borderId="11" xfId="0" applyFont="1" applyFill="1" applyBorder="1" applyAlignment="1">
      <alignment horizontal="center" vertical="center" wrapText="1"/>
    </xf>
    <xf numFmtId="1" fontId="16" fillId="2" borderId="10" xfId="0" applyNumberFormat="1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7" fillId="3" borderId="0" xfId="0" applyFont="1" applyFill="1"/>
    <xf numFmtId="3" fontId="17" fillId="3" borderId="0" xfId="0" applyNumberFormat="1" applyFont="1" applyFill="1"/>
    <xf numFmtId="0" fontId="19" fillId="3" borderId="0" xfId="0" applyFont="1" applyFill="1"/>
    <xf numFmtId="0" fontId="19" fillId="3" borderId="0" xfId="0" applyFont="1" applyFill="1" applyAlignment="1">
      <alignment vertical="center"/>
    </xf>
    <xf numFmtId="0" fontId="19" fillId="3" borderId="0" xfId="0" applyFont="1" applyFill="1" applyAlignment="1">
      <alignment vertical="top"/>
    </xf>
    <xf numFmtId="49" fontId="16" fillId="4" borderId="9" xfId="0" applyNumberFormat="1" applyFont="1" applyFill="1" applyBorder="1" applyAlignment="1">
      <alignment vertical="center" wrapText="1"/>
    </xf>
    <xf numFmtId="3" fontId="16" fillId="4" borderId="9" xfId="0" applyNumberFormat="1" applyFont="1" applyFill="1" applyBorder="1" applyAlignment="1">
      <alignment horizontal="right" vertical="center" wrapText="1"/>
    </xf>
    <xf numFmtId="0" fontId="17" fillId="0" borderId="0" xfId="0" applyFont="1" applyAlignment="1">
      <alignment horizontal="center" vertical="center" wrapText="1"/>
    </xf>
    <xf numFmtId="3" fontId="15" fillId="3" borderId="0" xfId="0" applyNumberFormat="1" applyFont="1" applyFill="1"/>
    <xf numFmtId="0" fontId="15" fillId="3" borderId="0" xfId="0" applyFont="1" applyFill="1" applyAlignment="1">
      <alignment vertical="center"/>
    </xf>
    <xf numFmtId="0" fontId="15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0" fontId="16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horizontal="justify" vertical="center"/>
    </xf>
    <xf numFmtId="0" fontId="23" fillId="0" borderId="0" xfId="0" applyFont="1" applyAlignment="1">
      <alignment vertical="top"/>
    </xf>
    <xf numFmtId="0" fontId="24" fillId="3" borderId="0" xfId="0" applyFont="1" applyFill="1"/>
    <xf numFmtId="0" fontId="24" fillId="3" borderId="12" xfId="0" applyFont="1" applyFill="1" applyBorder="1" applyAlignment="1">
      <alignment horizontal="center" vertical="distributed"/>
    </xf>
    <xf numFmtId="0" fontId="25" fillId="5" borderId="10" xfId="3" applyFont="1" applyFill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165" fontId="26" fillId="6" borderId="9" xfId="0" applyNumberFormat="1" applyFont="1" applyFill="1" applyBorder="1" applyAlignment="1">
      <alignment horizontal="right" vertical="top" wrapText="1"/>
    </xf>
    <xf numFmtId="164" fontId="26" fillId="6" borderId="9" xfId="0" applyNumberFormat="1" applyFont="1" applyFill="1" applyBorder="1" applyAlignment="1">
      <alignment horizontal="right" vertical="top" wrapText="1"/>
    </xf>
    <xf numFmtId="0" fontId="16" fillId="4" borderId="9" xfId="0" applyFont="1" applyFill="1" applyBorder="1" applyAlignment="1">
      <alignment vertical="center" wrapText="1"/>
    </xf>
    <xf numFmtId="165" fontId="16" fillId="4" borderId="9" xfId="0" applyNumberFormat="1" applyFont="1" applyFill="1" applyBorder="1" applyAlignment="1">
      <alignment horizontal="right" vertical="top" wrapText="1"/>
    </xf>
    <xf numFmtId="164" fontId="16" fillId="4" borderId="9" xfId="0" applyNumberFormat="1" applyFont="1" applyFill="1" applyBorder="1" applyAlignment="1">
      <alignment horizontal="right" vertical="top" wrapText="1"/>
    </xf>
    <xf numFmtId="49" fontId="27" fillId="0" borderId="9" xfId="0" applyNumberFormat="1" applyFont="1" applyBorder="1" applyAlignment="1">
      <alignment vertical="top" wrapText="1"/>
    </xf>
    <xf numFmtId="165" fontId="16" fillId="4" borderId="9" xfId="0" applyNumberFormat="1" applyFont="1" applyFill="1" applyBorder="1" applyAlignment="1">
      <alignment horizontal="left" vertical="top" wrapText="1"/>
    </xf>
    <xf numFmtId="0" fontId="27" fillId="3" borderId="9" xfId="0" applyFont="1" applyFill="1" applyBorder="1"/>
    <xf numFmtId="49" fontId="16" fillId="7" borderId="9" xfId="0" applyNumberFormat="1" applyFont="1" applyFill="1" applyBorder="1" applyAlignment="1">
      <alignment vertical="center" wrapText="1"/>
    </xf>
    <xf numFmtId="3" fontId="16" fillId="7" borderId="9" xfId="0" applyNumberFormat="1" applyFont="1" applyFill="1" applyBorder="1" applyAlignment="1">
      <alignment horizontal="right" vertical="center" wrapText="1"/>
    </xf>
    <xf numFmtId="164" fontId="16" fillId="7" borderId="9" xfId="0" applyNumberFormat="1" applyFont="1" applyFill="1" applyBorder="1" applyAlignment="1">
      <alignment horizontal="right" vertical="center" wrapText="1"/>
    </xf>
    <xf numFmtId="165" fontId="16" fillId="7" borderId="9" xfId="0" applyNumberFormat="1" applyFont="1" applyFill="1" applyBorder="1" applyAlignment="1">
      <alignment horizontal="right" vertical="top" wrapText="1"/>
    </xf>
    <xf numFmtId="0" fontId="16" fillId="7" borderId="9" xfId="0" applyFont="1" applyFill="1" applyBorder="1" applyAlignment="1">
      <alignment vertical="center" wrapText="1"/>
    </xf>
    <xf numFmtId="164" fontId="16" fillId="7" borderId="9" xfId="0" applyNumberFormat="1" applyFont="1" applyFill="1" applyBorder="1" applyAlignment="1">
      <alignment horizontal="right" vertical="top" wrapText="1"/>
    </xf>
    <xf numFmtId="49" fontId="16" fillId="4" borderId="9" xfId="0" applyNumberFormat="1" applyFont="1" applyFill="1" applyBorder="1" applyAlignment="1">
      <alignment vertical="top" wrapText="1"/>
    </xf>
    <xf numFmtId="49" fontId="16" fillId="7" borderId="9" xfId="0" applyNumberFormat="1" applyFont="1" applyFill="1" applyBorder="1" applyAlignment="1">
      <alignment vertical="top" wrapText="1"/>
    </xf>
    <xf numFmtId="0" fontId="20" fillId="2" borderId="9" xfId="3" applyFont="1" applyFill="1" applyBorder="1" applyAlignment="1">
      <alignment horizontal="center" vertical="center" wrapText="1"/>
    </xf>
    <xf numFmtId="0" fontId="16" fillId="2" borderId="9" xfId="3" applyFont="1" applyFill="1" applyBorder="1" applyAlignment="1">
      <alignment horizontal="center" vertical="center" wrapText="1"/>
    </xf>
    <xf numFmtId="1" fontId="20" fillId="2" borderId="9" xfId="3" applyNumberFormat="1" applyFont="1" applyFill="1" applyBorder="1" applyAlignment="1">
      <alignment horizontal="center" vertical="center" wrapText="1"/>
    </xf>
    <xf numFmtId="49" fontId="15" fillId="0" borderId="9" xfId="0" applyNumberFormat="1" applyFont="1" applyBorder="1" applyAlignment="1">
      <alignment vertical="top" wrapText="1"/>
    </xf>
    <xf numFmtId="165" fontId="18" fillId="6" borderId="9" xfId="0" applyNumberFormat="1" applyFont="1" applyFill="1" applyBorder="1" applyAlignment="1">
      <alignment horizontal="right" vertical="top" wrapText="1"/>
    </xf>
    <xf numFmtId="164" fontId="18" fillId="6" borderId="9" xfId="0" applyNumberFormat="1" applyFont="1" applyFill="1" applyBorder="1" applyAlignment="1">
      <alignment horizontal="right" vertical="top" wrapText="1"/>
    </xf>
    <xf numFmtId="49" fontId="28" fillId="7" borderId="9" xfId="0" applyNumberFormat="1" applyFont="1" applyFill="1" applyBorder="1" applyAlignment="1">
      <alignment horizontal="left" vertical="top" wrapText="1"/>
    </xf>
    <xf numFmtId="165" fontId="28" fillId="7" borderId="9" xfId="0" applyNumberFormat="1" applyFont="1" applyFill="1" applyBorder="1" applyAlignment="1">
      <alignment horizontal="right" vertical="top" wrapText="1"/>
    </xf>
    <xf numFmtId="164" fontId="28" fillId="7" borderId="9" xfId="0" applyNumberFormat="1" applyFont="1" applyFill="1" applyBorder="1" applyAlignment="1">
      <alignment horizontal="right" vertical="top" wrapText="1"/>
    </xf>
    <xf numFmtId="165" fontId="28" fillId="4" borderId="9" xfId="0" applyNumberFormat="1" applyFont="1" applyFill="1" applyBorder="1" applyAlignment="1">
      <alignment horizontal="right" vertical="top" wrapText="1"/>
    </xf>
    <xf numFmtId="164" fontId="28" fillId="4" borderId="9" xfId="0" applyNumberFormat="1" applyFont="1" applyFill="1" applyBorder="1" applyAlignment="1">
      <alignment horizontal="right" vertical="top" wrapText="1"/>
    </xf>
    <xf numFmtId="0" fontId="25" fillId="5" borderId="9" xfId="3" applyFont="1" applyFill="1" applyBorder="1" applyAlignment="1">
      <alignment horizontal="center" vertical="center" wrapText="1"/>
    </xf>
    <xf numFmtId="0" fontId="13" fillId="0" borderId="4" xfId="1" applyFont="1" applyBorder="1" applyAlignment="1">
      <alignment horizontal="left"/>
    </xf>
    <xf numFmtId="0" fontId="13" fillId="0" borderId="0" xfId="1" applyFont="1" applyBorder="1" applyAlignment="1">
      <alignment horizontal="left"/>
    </xf>
    <xf numFmtId="0" fontId="11" fillId="2" borderId="1" xfId="0" applyFont="1" applyFill="1" applyBorder="1" applyAlignment="1">
      <alignment horizontal="center" wrapText="1"/>
    </xf>
    <xf numFmtId="0" fontId="11" fillId="2" borderId="2" xfId="0" applyFont="1" applyFill="1" applyBorder="1" applyAlignment="1">
      <alignment horizontal="center" wrapText="1"/>
    </xf>
    <xf numFmtId="0" fontId="11" fillId="2" borderId="3" xfId="0" applyFont="1" applyFill="1" applyBorder="1" applyAlignment="1">
      <alignment horizontal="center" wrapText="1"/>
    </xf>
    <xf numFmtId="0" fontId="12" fillId="0" borderId="4" xfId="0" applyFont="1" applyBorder="1" applyAlignment="1">
      <alignment horizontal="left" wrapText="1"/>
    </xf>
    <xf numFmtId="0" fontId="12" fillId="0" borderId="0" xfId="0" applyFont="1" applyAlignment="1">
      <alignment horizontal="left" wrapText="1"/>
    </xf>
    <xf numFmtId="0" fontId="12" fillId="0" borderId="5" xfId="0" applyFont="1" applyBorder="1" applyAlignment="1">
      <alignment horizontal="left" wrapText="1"/>
    </xf>
    <xf numFmtId="0" fontId="13" fillId="0" borderId="5" xfId="1" applyFont="1" applyBorder="1" applyAlignment="1">
      <alignment horizontal="left"/>
    </xf>
    <xf numFmtId="0" fontId="14" fillId="0" borderId="0" xfId="0" applyFont="1" applyAlignment="1">
      <alignment horizontal="center" vertical="center" wrapText="1"/>
    </xf>
    <xf numFmtId="0" fontId="16" fillId="4" borderId="15" xfId="0" applyFont="1" applyFill="1" applyBorder="1" applyAlignment="1">
      <alignment horizontal="center" vertical="center" wrapText="1"/>
    </xf>
    <xf numFmtId="0" fontId="16" fillId="4" borderId="16" xfId="0" applyFont="1" applyFill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6" fillId="0" borderId="13" xfId="0" applyFont="1" applyBorder="1" applyAlignment="1">
      <alignment horizontal="center" vertical="center" wrapText="1"/>
    </xf>
    <xf numFmtId="0" fontId="26" fillId="0" borderId="14" xfId="0" applyFont="1" applyBorder="1" applyAlignment="1">
      <alignment horizontal="center" vertical="center" wrapText="1"/>
    </xf>
    <xf numFmtId="0" fontId="17" fillId="3" borderId="0" xfId="0" applyFont="1" applyFill="1" applyAlignment="1">
      <alignment horizontal="center" wrapText="1"/>
    </xf>
    <xf numFmtId="0" fontId="28" fillId="4" borderId="15" xfId="0" applyFont="1" applyFill="1" applyBorder="1" applyAlignment="1">
      <alignment horizontal="center" vertical="center" wrapText="1"/>
    </xf>
    <xf numFmtId="0" fontId="28" fillId="4" borderId="16" xfId="0" applyFont="1" applyFill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6" fillId="4" borderId="9" xfId="0" applyFont="1" applyFill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 wrapText="1"/>
    </xf>
    <xf numFmtId="0" fontId="16" fillId="4" borderId="15" xfId="0" applyFont="1" applyFill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49" fontId="27" fillId="0" borderId="10" xfId="0" applyNumberFormat="1" applyFont="1" applyBorder="1" applyAlignment="1">
      <alignment horizontal="center" vertical="center" wrapText="1"/>
    </xf>
    <xf numFmtId="49" fontId="27" fillId="0" borderId="13" xfId="0" applyNumberFormat="1" applyFont="1" applyBorder="1" applyAlignment="1">
      <alignment horizontal="center" vertical="center" wrapText="1"/>
    </xf>
    <xf numFmtId="49" fontId="27" fillId="0" borderId="14" xfId="0" applyNumberFormat="1" applyFont="1" applyBorder="1" applyAlignment="1">
      <alignment horizontal="center" vertical="center" wrapText="1"/>
    </xf>
    <xf numFmtId="49" fontId="16" fillId="4" borderId="15" xfId="0" applyNumberFormat="1" applyFont="1" applyFill="1" applyBorder="1" applyAlignment="1">
      <alignment horizontal="center" vertical="top" wrapText="1"/>
    </xf>
    <xf numFmtId="49" fontId="16" fillId="4" borderId="16" xfId="0" applyNumberFormat="1" applyFont="1" applyFill="1" applyBorder="1" applyAlignment="1">
      <alignment horizontal="center" vertical="top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365841</xdr:colOff>
      <xdr:row>1</xdr:row>
      <xdr:rowOff>209242</xdr:rowOff>
    </xdr:from>
    <xdr:to>
      <xdr:col>3</xdr:col>
      <xdr:colOff>877938</xdr:colOff>
      <xdr:row>2</xdr:row>
      <xdr:rowOff>209242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51991" y="742642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182219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2" y="193261"/>
          <a:ext cx="568545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CAMPECHE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123825</xdr:colOff>
      <xdr:row>7</xdr:row>
      <xdr:rowOff>76200</xdr:rowOff>
    </xdr:from>
    <xdr:to>
      <xdr:col>5</xdr:col>
      <xdr:colOff>16797</xdr:colOff>
      <xdr:row>8</xdr:row>
      <xdr:rowOff>76200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552950" y="16002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115133</xdr:colOff>
      <xdr:row>1</xdr:row>
      <xdr:rowOff>151435</xdr:rowOff>
    </xdr:from>
    <xdr:to>
      <xdr:col>1</xdr:col>
      <xdr:colOff>1115258</xdr:colOff>
      <xdr:row>2</xdr:row>
      <xdr:rowOff>182812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5122D4C-7A1C-438D-B998-B6241C265A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33" y="341935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214521</xdr:colOff>
      <xdr:row>1</xdr:row>
      <xdr:rowOff>44174</xdr:rowOff>
    </xdr:from>
    <xdr:to>
      <xdr:col>5</xdr:col>
      <xdr:colOff>33546</xdr:colOff>
      <xdr:row>3</xdr:row>
      <xdr:rowOff>131609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5DCF222-6772-43B3-81BC-D41A199210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9043" y="23467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CAMPECHE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131698</xdr:colOff>
      <xdr:row>1</xdr:row>
      <xdr:rowOff>57981</xdr:rowOff>
    </xdr:from>
    <xdr:to>
      <xdr:col>1</xdr:col>
      <xdr:colOff>1131823</xdr:colOff>
      <xdr:row>2</xdr:row>
      <xdr:rowOff>89358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FC2629C-F994-4472-9921-3906A8149C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698" y="248481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405021</xdr:colOff>
      <xdr:row>1</xdr:row>
      <xdr:rowOff>24848</xdr:rowOff>
    </xdr:from>
    <xdr:to>
      <xdr:col>5</xdr:col>
      <xdr:colOff>224045</xdr:colOff>
      <xdr:row>3</xdr:row>
      <xdr:rowOff>112283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3098800-02EC-4BD9-B651-19238EA22F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44499" y="21534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CAMPECHE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266700</xdr:colOff>
      <xdr:row>8</xdr:row>
      <xdr:rowOff>0</xdr:rowOff>
    </xdr:from>
    <xdr:to>
      <xdr:col>5</xdr:col>
      <xdr:colOff>180975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314700" y="1524000"/>
          <a:ext cx="67627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148264</xdr:colOff>
      <xdr:row>1</xdr:row>
      <xdr:rowOff>41415</xdr:rowOff>
    </xdr:from>
    <xdr:to>
      <xdr:col>1</xdr:col>
      <xdr:colOff>1148389</xdr:colOff>
      <xdr:row>2</xdr:row>
      <xdr:rowOff>72792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10EB284-C210-4776-BBFB-AED77FBE16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64" y="23191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405021</xdr:colOff>
      <xdr:row>1</xdr:row>
      <xdr:rowOff>24848</xdr:rowOff>
    </xdr:from>
    <xdr:to>
      <xdr:col>5</xdr:col>
      <xdr:colOff>224045</xdr:colOff>
      <xdr:row>3</xdr:row>
      <xdr:rowOff>112283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7843C6F-A0A5-47BB-92A6-068BF4C57F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44499" y="21534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CAMPECHE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276225</xdr:colOff>
      <xdr:row>7</xdr:row>
      <xdr:rowOff>85725</xdr:rowOff>
    </xdr:from>
    <xdr:to>
      <xdr:col>5</xdr:col>
      <xdr:colOff>169197</xdr:colOff>
      <xdr:row>8</xdr:row>
      <xdr:rowOff>85725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3324225" y="141922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119732</xdr:colOff>
      <xdr:row>1</xdr:row>
      <xdr:rowOff>149549</xdr:rowOff>
    </xdr:from>
    <xdr:to>
      <xdr:col>1</xdr:col>
      <xdr:colOff>1119857</xdr:colOff>
      <xdr:row>2</xdr:row>
      <xdr:rowOff>180926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7689E5C-C4A9-4C2E-98E5-A1C35936C2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732" y="340049"/>
          <a:ext cx="1624542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330477</xdr:colOff>
      <xdr:row>1</xdr:row>
      <xdr:rowOff>33130</xdr:rowOff>
    </xdr:from>
    <xdr:to>
      <xdr:col>5</xdr:col>
      <xdr:colOff>149502</xdr:colOff>
      <xdr:row>3</xdr:row>
      <xdr:rowOff>120565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FBF7A73-7CB2-4831-A8FF-7728FEDC4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66912" y="22363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CAMPECHE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CAMPECHE POR ESTADO EN EE.UU.</a:t>
          </a:r>
        </a:p>
      </xdr:txBody>
    </xdr:sp>
    <xdr:clientData/>
  </xdr:twoCellAnchor>
  <xdr:twoCellAnchor>
    <xdr:from>
      <xdr:col>4</xdr:col>
      <xdr:colOff>504498</xdr:colOff>
      <xdr:row>7</xdr:row>
      <xdr:rowOff>58597</xdr:rowOff>
    </xdr:from>
    <xdr:to>
      <xdr:col>4</xdr:col>
      <xdr:colOff>1068306</xdr:colOff>
      <xdr:row>7</xdr:row>
      <xdr:rowOff>238474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352910" y="1806715"/>
          <a:ext cx="563808" cy="17987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66114</xdr:colOff>
      <xdr:row>1</xdr:row>
      <xdr:rowOff>130872</xdr:rowOff>
    </xdr:from>
    <xdr:to>
      <xdr:col>2</xdr:col>
      <xdr:colOff>163435</xdr:colOff>
      <xdr:row>2</xdr:row>
      <xdr:rowOff>162249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7C43544-AC84-430D-9882-8BB4D77E6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789" y="283272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514349</xdr:colOff>
      <xdr:row>1</xdr:row>
      <xdr:rowOff>13210</xdr:rowOff>
    </xdr:from>
    <xdr:to>
      <xdr:col>4</xdr:col>
      <xdr:colOff>954569</xdr:colOff>
      <xdr:row>3</xdr:row>
      <xdr:rowOff>100645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819C776-79F9-4C24-833B-805E837AE1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53584" y="17009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CAMPECHE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CAMPECHE EN LOS CONSULADOS DE MÉXICO EN EE.UU.</a:t>
          </a:r>
        </a:p>
      </xdr:txBody>
    </xdr:sp>
    <xdr:clientData/>
  </xdr:twoCellAnchor>
  <xdr:twoCellAnchor>
    <xdr:from>
      <xdr:col>4</xdr:col>
      <xdr:colOff>476623</xdr:colOff>
      <xdr:row>7</xdr:row>
      <xdr:rowOff>109070</xdr:rowOff>
    </xdr:from>
    <xdr:to>
      <xdr:col>4</xdr:col>
      <xdr:colOff>1037652</xdr:colOff>
      <xdr:row>7</xdr:row>
      <xdr:rowOff>294901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325035" y="1857188"/>
          <a:ext cx="561029" cy="18583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99732</xdr:colOff>
      <xdr:row>1</xdr:row>
      <xdr:rowOff>175265</xdr:rowOff>
    </xdr:from>
    <xdr:to>
      <xdr:col>2</xdr:col>
      <xdr:colOff>197053</xdr:colOff>
      <xdr:row>3</xdr:row>
      <xdr:rowOff>16142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A7E78D4-C7FC-4F4C-AEA7-BCA5E7AFE3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674" y="32913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498402</xdr:colOff>
      <xdr:row>1</xdr:row>
      <xdr:rowOff>94668</xdr:rowOff>
    </xdr:from>
    <xdr:to>
      <xdr:col>4</xdr:col>
      <xdr:colOff>938622</xdr:colOff>
      <xdr:row>3</xdr:row>
      <xdr:rowOff>182103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AA80C76-6772-47E9-A1B1-66DA9BCF90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36344" y="248533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CAMPECHE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0</xdr:colOff>
      <xdr:row>7</xdr:row>
      <xdr:rowOff>0</xdr:rowOff>
    </xdr:from>
    <xdr:to>
      <xdr:col>4</xdr:col>
      <xdr:colOff>512097</xdr:colOff>
      <xdr:row>8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429125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156545</xdr:colOff>
      <xdr:row>1</xdr:row>
      <xdr:rowOff>0</xdr:rowOff>
    </xdr:from>
    <xdr:to>
      <xdr:col>1</xdr:col>
      <xdr:colOff>1156670</xdr:colOff>
      <xdr:row>2</xdr:row>
      <xdr:rowOff>31377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3740A17-D946-4C51-AE35-310171170D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545" y="19050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338760</xdr:colOff>
      <xdr:row>0</xdr:row>
      <xdr:rowOff>165649</xdr:rowOff>
    </xdr:from>
    <xdr:to>
      <xdr:col>5</xdr:col>
      <xdr:colOff>157784</xdr:colOff>
      <xdr:row>3</xdr:row>
      <xdr:rowOff>62584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C0DC178-5BA3-428B-B534-567B0BAA3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82260" y="16564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CAMPECHE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CAMPECHE POR NIVEL DE EDUCACIÓN Y ESTADO EN EE.UU. </a:t>
          </a:r>
        </a:p>
      </xdr:txBody>
    </xdr:sp>
    <xdr:clientData/>
  </xdr:twoCellAnchor>
  <xdr:twoCellAnchor>
    <xdr:from>
      <xdr:col>4</xdr:col>
      <xdr:colOff>493058</xdr:colOff>
      <xdr:row>7</xdr:row>
      <xdr:rowOff>89647</xdr:rowOff>
    </xdr:from>
    <xdr:to>
      <xdr:col>4</xdr:col>
      <xdr:colOff>1005155</xdr:colOff>
      <xdr:row>7</xdr:row>
      <xdr:rowOff>280147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341470" y="183776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110938</xdr:colOff>
      <xdr:row>1</xdr:row>
      <xdr:rowOff>80446</xdr:rowOff>
    </xdr:from>
    <xdr:to>
      <xdr:col>2</xdr:col>
      <xdr:colOff>208259</xdr:colOff>
      <xdr:row>2</xdr:row>
      <xdr:rowOff>111823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73877D9-0C97-4040-994F-38300B7BA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8173" y="23732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402291</xdr:colOff>
      <xdr:row>1</xdr:row>
      <xdr:rowOff>80446</xdr:rowOff>
    </xdr:from>
    <xdr:to>
      <xdr:col>4</xdr:col>
      <xdr:colOff>842511</xdr:colOff>
      <xdr:row>3</xdr:row>
      <xdr:rowOff>167881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0C49DEE-D349-4ECB-9945-5E5E2B8869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41526" y="23732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CAMPECHE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CAMPECHE POR CONSULADO Y NIVEL DE EDUCACIÓN EN EE.UU.</a:t>
          </a:r>
        </a:p>
      </xdr:txBody>
    </xdr:sp>
    <xdr:clientData/>
  </xdr:twoCellAnchor>
  <xdr:twoCellAnchor>
    <xdr:from>
      <xdr:col>4</xdr:col>
      <xdr:colOff>557122</xdr:colOff>
      <xdr:row>7</xdr:row>
      <xdr:rowOff>152758</xdr:rowOff>
    </xdr:from>
    <xdr:to>
      <xdr:col>4</xdr:col>
      <xdr:colOff>1069219</xdr:colOff>
      <xdr:row>7</xdr:row>
      <xdr:rowOff>341461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9891622" y="1486258"/>
          <a:ext cx="512097" cy="363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99732</xdr:colOff>
      <xdr:row>1</xdr:row>
      <xdr:rowOff>58034</xdr:rowOff>
    </xdr:from>
    <xdr:to>
      <xdr:col>2</xdr:col>
      <xdr:colOff>197053</xdr:colOff>
      <xdr:row>2</xdr:row>
      <xdr:rowOff>89411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7833C0C-DE1F-48C9-AC72-E057A2950F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967" y="21491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402291</xdr:colOff>
      <xdr:row>1</xdr:row>
      <xdr:rowOff>69240</xdr:rowOff>
    </xdr:from>
    <xdr:to>
      <xdr:col>4</xdr:col>
      <xdr:colOff>842511</xdr:colOff>
      <xdr:row>3</xdr:row>
      <xdr:rowOff>156675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094952A-35D2-4DEA-BAFD-58377AF598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3379" y="22612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CAMPECHE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133350</xdr:colOff>
      <xdr:row>7</xdr:row>
      <xdr:rowOff>152400</xdr:rowOff>
    </xdr:from>
    <xdr:to>
      <xdr:col>5</xdr:col>
      <xdr:colOff>26322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3181350" y="14859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190501</xdr:colOff>
      <xdr:row>1</xdr:row>
      <xdr:rowOff>161925</xdr:rowOff>
    </xdr:from>
    <xdr:to>
      <xdr:col>1</xdr:col>
      <xdr:colOff>1190626</xdr:colOff>
      <xdr:row>3</xdr:row>
      <xdr:rowOff>2802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EE87E85-2938-4560-B9AF-F6897EB76F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1" y="352425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405021</xdr:colOff>
      <xdr:row>1</xdr:row>
      <xdr:rowOff>82826</xdr:rowOff>
    </xdr:from>
    <xdr:to>
      <xdr:col>5</xdr:col>
      <xdr:colOff>224045</xdr:colOff>
      <xdr:row>3</xdr:row>
      <xdr:rowOff>170261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C73F588-C061-474E-94F7-9C9E80E334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44499" y="27332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CAMPECHE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26957</xdr:colOff>
      <xdr:row>7</xdr:row>
      <xdr:rowOff>161746</xdr:rowOff>
    </xdr:from>
    <xdr:to>
      <xdr:col>6</xdr:col>
      <xdr:colOff>161649</xdr:colOff>
      <xdr:row>8</xdr:row>
      <xdr:rowOff>161746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3836957" y="1495246"/>
          <a:ext cx="89669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178076</xdr:colOff>
      <xdr:row>1</xdr:row>
      <xdr:rowOff>110506</xdr:rowOff>
    </xdr:from>
    <xdr:to>
      <xdr:col>2</xdr:col>
      <xdr:colOff>366920</xdr:colOff>
      <xdr:row>2</xdr:row>
      <xdr:rowOff>189508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859CF8-BCA8-4B48-91C0-F52694E976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9076" y="301006"/>
          <a:ext cx="1621735" cy="2198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457200</xdr:colOff>
      <xdr:row>0</xdr:row>
      <xdr:rowOff>163929</xdr:rowOff>
    </xdr:from>
    <xdr:to>
      <xdr:col>4</xdr:col>
      <xdr:colOff>897420</xdr:colOff>
      <xdr:row>3</xdr:row>
      <xdr:rowOff>108489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2B66116-7A66-4607-BFF5-60B0F389DD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57725" y="16392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CAMPECHE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909606</xdr:colOff>
      <xdr:row>8</xdr:row>
      <xdr:rowOff>187146</xdr:rowOff>
    </xdr:from>
    <xdr:to>
      <xdr:col>6</xdr:col>
      <xdr:colOff>43960</xdr:colOff>
      <xdr:row>9</xdr:row>
      <xdr:rowOff>187146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085952" y="1769761"/>
          <a:ext cx="58508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175114</xdr:colOff>
      <xdr:row>1</xdr:row>
      <xdr:rowOff>119968</xdr:rowOff>
    </xdr:from>
    <xdr:to>
      <xdr:col>2</xdr:col>
      <xdr:colOff>529610</xdr:colOff>
      <xdr:row>3</xdr:row>
      <xdr:rowOff>8470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C22FEAF-1B2B-470A-BF3F-6385564E3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6114" y="310468"/>
          <a:ext cx="1622054" cy="225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428625</xdr:colOff>
      <xdr:row>0</xdr:row>
      <xdr:rowOff>144879</xdr:rowOff>
    </xdr:from>
    <xdr:to>
      <xdr:col>4</xdr:col>
      <xdr:colOff>868845</xdr:colOff>
      <xdr:row>3</xdr:row>
      <xdr:rowOff>89439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F0F533F-4836-4BFD-AAB1-7F893CE4B8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00575" y="14487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CAMPECHE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856020</xdr:colOff>
      <xdr:row>8</xdr:row>
      <xdr:rowOff>190296</xdr:rowOff>
    </xdr:from>
    <xdr:to>
      <xdr:col>6</xdr:col>
      <xdr:colOff>235290</xdr:colOff>
      <xdr:row>9</xdr:row>
      <xdr:rowOff>190296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672620" y="1714296"/>
          <a:ext cx="534970" cy="190500"/>
        </a:xfrm>
        <a:prstGeom prst="roundRect">
          <a:avLst>
            <a:gd name="adj" fmla="val 0"/>
          </a:avLst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114300</xdr:colOff>
      <xdr:row>1</xdr:row>
      <xdr:rowOff>2004</xdr:rowOff>
    </xdr:from>
    <xdr:to>
      <xdr:col>2</xdr:col>
      <xdr:colOff>468796</xdr:colOff>
      <xdr:row>2</xdr:row>
      <xdr:rowOff>81006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3F2D402-B12E-4FD3-BAE0-898AA1A231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300" y="19250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495300</xdr:colOff>
      <xdr:row>0</xdr:row>
      <xdr:rowOff>163929</xdr:rowOff>
    </xdr:from>
    <xdr:to>
      <xdr:col>5</xdr:col>
      <xdr:colOff>935520</xdr:colOff>
      <xdr:row>3</xdr:row>
      <xdr:rowOff>108489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95D8C66-EABA-4EB9-9AD0-30946FC5A8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8375" y="16392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CAMPECHE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187739</xdr:colOff>
      <xdr:row>8</xdr:row>
      <xdr:rowOff>22087</xdr:rowOff>
    </xdr:from>
    <xdr:to>
      <xdr:col>5</xdr:col>
      <xdr:colOff>168519</xdr:colOff>
      <xdr:row>8</xdr:row>
      <xdr:rowOff>212587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027297" y="1736587"/>
          <a:ext cx="603568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98566</xdr:colOff>
      <xdr:row>1</xdr:row>
      <xdr:rowOff>41415</xdr:rowOff>
    </xdr:from>
    <xdr:to>
      <xdr:col>1</xdr:col>
      <xdr:colOff>1098691</xdr:colOff>
      <xdr:row>2</xdr:row>
      <xdr:rowOff>72792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918CC67-9FBC-4F85-95BB-B4F5361603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6" y="23191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322194</xdr:colOff>
      <xdr:row>1</xdr:row>
      <xdr:rowOff>41413</xdr:rowOff>
    </xdr:from>
    <xdr:to>
      <xdr:col>5</xdr:col>
      <xdr:colOff>141219</xdr:colOff>
      <xdr:row>3</xdr:row>
      <xdr:rowOff>128848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08771C8-66C0-462C-B195-25377BE95F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85303" y="231913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D29"/>
  <sheetViews>
    <sheetView showGridLines="0" view="pageBreakPreview" zoomScaleNormal="100" zoomScaleSheetLayoutView="100" workbookViewId="0">
      <selection activeCell="A2" sqref="A2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5" t="s">
        <v>238</v>
      </c>
      <c r="B1" s="86"/>
      <c r="C1" s="86"/>
      <c r="D1" s="87"/>
    </row>
    <row r="2" spans="1:4">
      <c r="A2" s="2"/>
      <c r="B2" s="3"/>
      <c r="C2" s="3"/>
      <c r="D2" s="4"/>
    </row>
    <row r="3" spans="1:4">
      <c r="A3" s="88" t="s">
        <v>0</v>
      </c>
      <c r="B3" s="89"/>
      <c r="C3" s="89"/>
      <c r="D3" s="90"/>
    </row>
    <row r="4" spans="1:4">
      <c r="A4" s="88"/>
      <c r="B4" s="89"/>
      <c r="C4" s="89"/>
      <c r="D4" s="90"/>
    </row>
    <row r="5" spans="1:4">
      <c r="A5" s="5"/>
      <c r="B5" s="6"/>
      <c r="C5" s="6"/>
      <c r="D5" s="7"/>
    </row>
    <row r="6" spans="1:4" ht="18.75">
      <c r="A6" s="83" t="s">
        <v>1</v>
      </c>
      <c r="B6" s="84"/>
      <c r="C6" s="84"/>
      <c r="D6" s="91"/>
    </row>
    <row r="7" spans="1:4">
      <c r="A7" s="8"/>
      <c r="D7" s="9"/>
    </row>
    <row r="8" spans="1:4" ht="18.75">
      <c r="A8" s="83" t="s">
        <v>2</v>
      </c>
      <c r="B8" s="84"/>
      <c r="C8" s="84"/>
      <c r="D8" s="91"/>
    </row>
    <row r="9" spans="1:4" ht="18.75">
      <c r="A9" s="8"/>
      <c r="B9" s="83" t="s">
        <v>3</v>
      </c>
      <c r="C9" s="84"/>
      <c r="D9" s="84"/>
    </row>
    <row r="10" spans="1:4">
      <c r="A10" s="8"/>
      <c r="D10" s="9"/>
    </row>
    <row r="11" spans="1:4">
      <c r="A11" s="8" t="s">
        <v>4</v>
      </c>
      <c r="D11" s="9"/>
    </row>
    <row r="12" spans="1:4" ht="18.75">
      <c r="A12" s="8"/>
      <c r="B12" s="83" t="s">
        <v>5</v>
      </c>
      <c r="C12" s="84"/>
      <c r="D12" s="84"/>
    </row>
    <row r="13" spans="1:4" ht="18.75">
      <c r="A13" s="8"/>
      <c r="B13" s="83" t="s">
        <v>6</v>
      </c>
      <c r="C13" s="84"/>
      <c r="D13" s="84"/>
    </row>
    <row r="14" spans="1:4" ht="18.75">
      <c r="A14" s="8"/>
      <c r="B14" s="83" t="s">
        <v>7</v>
      </c>
      <c r="C14" s="84"/>
      <c r="D14" s="84"/>
    </row>
    <row r="15" spans="1:4">
      <c r="A15" s="8"/>
      <c r="D15" s="9"/>
    </row>
    <row r="16" spans="1:4">
      <c r="A16" s="8" t="s">
        <v>8</v>
      </c>
      <c r="D16" s="9"/>
    </row>
    <row r="17" spans="1:4" ht="18.75">
      <c r="A17" s="8"/>
      <c r="B17" s="83" t="s">
        <v>9</v>
      </c>
      <c r="C17" s="84"/>
      <c r="D17" s="84"/>
    </row>
    <row r="18" spans="1:4" ht="18.75">
      <c r="A18" s="8"/>
      <c r="B18" s="83" t="s">
        <v>10</v>
      </c>
      <c r="C18" s="84"/>
      <c r="D18" s="84"/>
    </row>
    <row r="19" spans="1:4" ht="18.75">
      <c r="A19" s="8"/>
      <c r="B19" s="83" t="s">
        <v>11</v>
      </c>
      <c r="C19" s="84"/>
      <c r="D19" s="84"/>
    </row>
    <row r="20" spans="1:4">
      <c r="A20" s="8"/>
      <c r="D20" s="9"/>
    </row>
    <row r="21" spans="1:4">
      <c r="A21" s="8" t="s">
        <v>12</v>
      </c>
      <c r="D21" s="9"/>
    </row>
    <row r="22" spans="1:4" ht="18.75">
      <c r="A22" s="8"/>
      <c r="B22" s="83" t="s">
        <v>13</v>
      </c>
      <c r="C22" s="84"/>
      <c r="D22" s="84"/>
    </row>
    <row r="23" spans="1:4" ht="18.75">
      <c r="A23" s="8"/>
      <c r="B23" s="83" t="s">
        <v>33</v>
      </c>
      <c r="C23" s="84"/>
      <c r="D23" s="84"/>
    </row>
    <row r="24" spans="1:4" ht="18.75">
      <c r="A24" s="8"/>
      <c r="B24" s="83" t="s">
        <v>41</v>
      </c>
      <c r="C24" s="84"/>
      <c r="D24" s="84"/>
    </row>
    <row r="25" spans="1:4">
      <c r="A25" s="8"/>
      <c r="D25" s="9"/>
    </row>
    <row r="26" spans="1:4" ht="18.75">
      <c r="A26" s="83" t="s">
        <v>14</v>
      </c>
      <c r="B26" s="84"/>
      <c r="C26" s="84"/>
      <c r="D26" s="91"/>
    </row>
    <row r="27" spans="1:4">
      <c r="A27" s="8"/>
      <c r="D27" s="9"/>
    </row>
    <row r="28" spans="1:4" ht="18.75">
      <c r="A28" s="83" t="s">
        <v>15</v>
      </c>
      <c r="B28" s="84"/>
      <c r="C28" s="84"/>
      <c r="D28" s="91"/>
    </row>
    <row r="29" spans="1:4" ht="18.75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Campeche_USAMuni!A1" display="3.2 Por Estado de USA" xr:uid="{00000000-0004-0000-0000-00000D000000}"/>
    <hyperlink ref="A8:D8" location="Campeche_Cons!A1" display="2. Por Circunscripción Consular" xr:uid="{00000000-0004-0000-0000-00000E000000}"/>
    <hyperlink ref="B9:D9" location="CampecheXCons!A1" display="2.1 Top ten por circunscripción consular" xr:uid="{00000000-0004-0000-0000-00000F000000}"/>
    <hyperlink ref="A6:D6" location="Campeche_EdoUsa!A1" display="1. Por Estados de USA" xr:uid="{00000000-0004-0000-0000-000010000000}"/>
    <hyperlink ref="B12:D12" location="Campeche_EdoMun!A1" display="3.1 Municipio general" xr:uid="{00000000-0004-0000-0000-000011000000}"/>
    <hyperlink ref="B14:D14" location="Campeche_MUNICIPIO!A1" display="3.3 Por Circunscripción Consular" xr:uid="{00000000-0004-0000-0000-000012000000}"/>
    <hyperlink ref="B17:D17" location="Campeche_educ_gral!A1" display="4.1 Educación general" xr:uid="{00000000-0004-0000-0000-000013000000}"/>
    <hyperlink ref="B18:D18" location="Campeche_NivelE_Cons!A1" display="4.2 Por Estado de USA" xr:uid="{00000000-0004-0000-0000-000014000000}"/>
    <hyperlink ref="B19:D19" location="Campeche_EducCons!A1" display="4.3 Por Circunscripción Consular" xr:uid="{00000000-0004-0000-0000-000015000000}"/>
    <hyperlink ref="B22:D22" location="Campeche_GenGral!A1" display="5.1 Género General" xr:uid="{00000000-0004-0000-0000-000016000000}"/>
    <hyperlink ref="B23:D23" location="Campeche_GENERO!A1" display="5.2 Por Circunscripción Consular" xr:uid="{00000000-0004-0000-0000-000017000000}"/>
    <hyperlink ref="A26:D26" location="Campeche_Gen_Edad!A1" display="6. Por estructura de Edad" xr:uid="{00000000-0004-0000-0000-000018000000}"/>
    <hyperlink ref="A28:D28" location="Campeche_ocup_gral!A1" display="7. Por Ocupación" xr:uid="{00000000-0004-0000-0000-000019000000}"/>
    <hyperlink ref="B24" location="Campeche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tilla_PorMunicipio1">
    <tabColor rgb="FFFF0000"/>
  </sheetPr>
  <dimension ref="A1:F61"/>
  <sheetViews>
    <sheetView showGridLines="0" view="pageBreakPreview" zoomScaleNormal="100" zoomScaleSheetLayoutView="100" workbookViewId="0">
      <selection activeCell="B11" sqref="B11"/>
    </sheetView>
  </sheetViews>
  <sheetFormatPr baseColWidth="10" defaultColWidth="11.42578125" defaultRowHeight="15"/>
  <cols>
    <col min="1" max="1" width="9.28515625" style="13" customWidth="1"/>
    <col min="2" max="2" width="25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7109375" style="13" customWidth="1"/>
    <col min="7" max="16384" width="11.42578125" style="13"/>
  </cols>
  <sheetData>
    <row r="1" spans="1:6" s="15" customFormat="1" ht="15" customHeight="1">
      <c r="C1" s="18"/>
    </row>
    <row r="2" spans="1:6" s="15" customFormat="1" ht="15" customHeight="1">
      <c r="C2" s="18"/>
    </row>
    <row r="3" spans="1:6" s="15" customFormat="1" ht="15" customHeight="1">
      <c r="C3" s="18"/>
    </row>
    <row r="4" spans="1:6" s="15" customFormat="1" ht="30" customHeight="1">
      <c r="C4" s="18"/>
      <c r="D4" s="17"/>
    </row>
    <row r="5" spans="1:6" s="15" customFormat="1" ht="15" customHeight="1">
      <c r="C5" s="18"/>
      <c r="D5" s="17"/>
    </row>
    <row r="6" spans="1:6" s="15" customFormat="1" ht="15" customHeight="1">
      <c r="C6" s="18"/>
      <c r="D6" s="17"/>
    </row>
    <row r="7" spans="1:6" s="15" customFormat="1" ht="15" customHeight="1">
      <c r="B7" s="92" t="s">
        <v>39</v>
      </c>
      <c r="C7" s="92"/>
      <c r="D7" s="92"/>
    </row>
    <row r="8" spans="1:6" s="15" customFormat="1" ht="15" customHeight="1">
      <c r="B8" s="92"/>
      <c r="C8" s="92"/>
      <c r="D8" s="92"/>
    </row>
    <row r="9" spans="1:6" s="15" customFormat="1" ht="33" customHeight="1">
      <c r="B9" s="92"/>
      <c r="C9" s="92"/>
      <c r="D9" s="92"/>
    </row>
    <row r="10" spans="1:6" s="15" customFormat="1" ht="4.5" customHeight="1">
      <c r="B10" s="16"/>
      <c r="C10" s="16"/>
      <c r="D10" s="16"/>
    </row>
    <row r="11" spans="1:6" s="15" customFormat="1" ht="30" customHeight="1">
      <c r="A11" s="29"/>
      <c r="B11" s="30" t="s">
        <v>20</v>
      </c>
      <c r="C11" s="31" t="s">
        <v>19</v>
      </c>
      <c r="D11" s="32" t="s">
        <v>18</v>
      </c>
      <c r="E11" s="29"/>
      <c r="F11" s="29"/>
    </row>
    <row r="12" spans="1:6" ht="16.5">
      <c r="A12" s="33"/>
      <c r="B12" s="54" t="s">
        <v>128</v>
      </c>
      <c r="C12" s="55">
        <v>341</v>
      </c>
      <c r="D12" s="56">
        <v>0.18293991416308999</v>
      </c>
      <c r="E12" s="33"/>
      <c r="F12" s="33"/>
    </row>
    <row r="13" spans="1:6" ht="16.5">
      <c r="A13" s="33"/>
      <c r="B13" s="54" t="s">
        <v>129</v>
      </c>
      <c r="C13" s="55">
        <v>338</v>
      </c>
      <c r="D13" s="56">
        <v>0.18133047210300399</v>
      </c>
      <c r="E13" s="33"/>
      <c r="F13" s="33"/>
    </row>
    <row r="14" spans="1:6" ht="16.5">
      <c r="A14" s="33"/>
      <c r="B14" s="54" t="s">
        <v>130</v>
      </c>
      <c r="C14" s="55">
        <v>135</v>
      </c>
      <c r="D14" s="56">
        <v>7.2424892703863E-2</v>
      </c>
      <c r="E14" s="33"/>
      <c r="F14" s="33"/>
    </row>
    <row r="15" spans="1:6" ht="16.5">
      <c r="A15" s="33"/>
      <c r="B15" s="54" t="s">
        <v>131</v>
      </c>
      <c r="C15" s="55">
        <v>113</v>
      </c>
      <c r="D15" s="56">
        <v>6.0622317596566999E-2</v>
      </c>
      <c r="E15" s="33"/>
      <c r="F15" s="33"/>
    </row>
    <row r="16" spans="1:6" ht="16.5">
      <c r="A16" s="33"/>
      <c r="B16" s="54" t="s">
        <v>132</v>
      </c>
      <c r="C16" s="55">
        <v>80</v>
      </c>
      <c r="D16" s="56">
        <v>4.2918454935621998E-2</v>
      </c>
      <c r="E16" s="33"/>
      <c r="F16" s="33"/>
    </row>
    <row r="17" spans="1:6" ht="16.5">
      <c r="A17" s="33"/>
      <c r="B17" s="54" t="s">
        <v>133</v>
      </c>
      <c r="C17" s="55">
        <v>64</v>
      </c>
      <c r="D17" s="56">
        <v>3.4334763948498E-2</v>
      </c>
      <c r="E17" s="33"/>
      <c r="F17" s="33"/>
    </row>
    <row r="18" spans="1:6" ht="16.5">
      <c r="A18" s="33"/>
      <c r="B18" s="54" t="s">
        <v>134</v>
      </c>
      <c r="C18" s="55">
        <v>63</v>
      </c>
      <c r="D18" s="56">
        <v>3.3798283261803001E-2</v>
      </c>
      <c r="E18" s="33"/>
      <c r="F18" s="33"/>
    </row>
    <row r="19" spans="1:6" ht="16.5">
      <c r="A19" s="33"/>
      <c r="B19" s="54" t="s">
        <v>135</v>
      </c>
      <c r="C19" s="55">
        <v>52</v>
      </c>
      <c r="D19" s="56">
        <v>2.7896995708155001E-2</v>
      </c>
      <c r="E19" s="33"/>
      <c r="F19" s="33"/>
    </row>
    <row r="20" spans="1:6" ht="16.5">
      <c r="A20" s="33"/>
      <c r="B20" s="54" t="s">
        <v>136</v>
      </c>
      <c r="C20" s="55">
        <v>51</v>
      </c>
      <c r="D20" s="56">
        <v>2.7360515021459E-2</v>
      </c>
      <c r="E20" s="33"/>
      <c r="F20" s="33"/>
    </row>
    <row r="21" spans="1:6" ht="16.5">
      <c r="A21" s="33"/>
      <c r="B21" s="54" t="s">
        <v>137</v>
      </c>
      <c r="C21" s="55">
        <v>48</v>
      </c>
      <c r="D21" s="56">
        <v>2.5751072961372998E-2</v>
      </c>
      <c r="E21" s="33"/>
      <c r="F21" s="33"/>
    </row>
    <row r="22" spans="1:6" ht="16.5">
      <c r="A22" s="33"/>
      <c r="B22" s="54" t="s">
        <v>138</v>
      </c>
      <c r="C22" s="55">
        <v>40</v>
      </c>
      <c r="D22" s="56">
        <v>2.1459227467810999E-2</v>
      </c>
      <c r="E22" s="33"/>
      <c r="F22" s="33"/>
    </row>
    <row r="23" spans="1:6" ht="16.5">
      <c r="A23" s="33"/>
      <c r="B23" s="54" t="s">
        <v>139</v>
      </c>
      <c r="C23" s="55">
        <v>39</v>
      </c>
      <c r="D23" s="56">
        <v>2.0922746781116001E-2</v>
      </c>
      <c r="E23" s="33"/>
      <c r="F23" s="33"/>
    </row>
    <row r="24" spans="1:6" ht="16.5">
      <c r="A24" s="33"/>
      <c r="B24" s="54" t="s">
        <v>140</v>
      </c>
      <c r="C24" s="55">
        <v>37</v>
      </c>
      <c r="D24" s="56">
        <v>1.9849785407725001E-2</v>
      </c>
      <c r="E24" s="33"/>
      <c r="F24" s="33"/>
    </row>
    <row r="25" spans="1:6" ht="16.5">
      <c r="A25" s="33"/>
      <c r="B25" s="54" t="s">
        <v>141</v>
      </c>
      <c r="C25" s="55">
        <v>34</v>
      </c>
      <c r="D25" s="56">
        <v>1.8240343347639E-2</v>
      </c>
      <c r="E25" s="33"/>
      <c r="F25" s="33"/>
    </row>
    <row r="26" spans="1:6" ht="16.5">
      <c r="A26" s="33"/>
      <c r="B26" s="54" t="s">
        <v>142</v>
      </c>
      <c r="C26" s="55">
        <v>34</v>
      </c>
      <c r="D26" s="56">
        <v>1.8240343347639E-2</v>
      </c>
      <c r="E26" s="33"/>
      <c r="F26" s="33"/>
    </row>
    <row r="27" spans="1:6" ht="16.5">
      <c r="A27" s="33"/>
      <c r="B27" s="54" t="s">
        <v>143</v>
      </c>
      <c r="C27" s="55">
        <v>33</v>
      </c>
      <c r="D27" s="56">
        <v>1.7703862660944002E-2</v>
      </c>
      <c r="E27" s="33"/>
      <c r="F27" s="33"/>
    </row>
    <row r="28" spans="1:6" ht="16.5">
      <c r="A28" s="33"/>
      <c r="B28" s="54" t="s">
        <v>144</v>
      </c>
      <c r="C28" s="55">
        <v>33</v>
      </c>
      <c r="D28" s="56">
        <v>1.7703862660944002E-2</v>
      </c>
      <c r="E28" s="33"/>
      <c r="F28" s="33"/>
    </row>
    <row r="29" spans="1:6" ht="16.5">
      <c r="A29" s="33"/>
      <c r="B29" s="54" t="s">
        <v>145</v>
      </c>
      <c r="C29" s="55">
        <v>31</v>
      </c>
      <c r="D29" s="56">
        <v>1.6630901287554001E-2</v>
      </c>
      <c r="E29" s="33"/>
      <c r="F29" s="33"/>
    </row>
    <row r="30" spans="1:6" ht="16.5">
      <c r="A30" s="33"/>
      <c r="B30" s="54" t="s">
        <v>146</v>
      </c>
      <c r="C30" s="55">
        <v>30</v>
      </c>
      <c r="D30" s="56">
        <v>1.6094420600858E-2</v>
      </c>
      <c r="E30" s="33"/>
      <c r="F30" s="33"/>
    </row>
    <row r="31" spans="1:6" ht="16.5">
      <c r="A31" s="33"/>
      <c r="B31" s="54" t="s">
        <v>147</v>
      </c>
      <c r="C31" s="55">
        <v>29</v>
      </c>
      <c r="D31" s="56">
        <v>1.5557939914163E-2</v>
      </c>
      <c r="E31" s="33"/>
      <c r="F31" s="33"/>
    </row>
    <row r="32" spans="1:6" ht="16.5">
      <c r="A32" s="33"/>
      <c r="B32" s="54" t="s">
        <v>148</v>
      </c>
      <c r="C32" s="55">
        <v>24</v>
      </c>
      <c r="D32" s="56">
        <v>1.2875536480687001E-2</v>
      </c>
      <c r="E32" s="33"/>
      <c r="F32" s="33"/>
    </row>
    <row r="33" spans="1:6" ht="16.5">
      <c r="A33" s="33"/>
      <c r="B33" s="54" t="s">
        <v>149</v>
      </c>
      <c r="C33" s="55">
        <v>23</v>
      </c>
      <c r="D33" s="56">
        <v>1.2339055793990999E-2</v>
      </c>
      <c r="E33" s="33"/>
      <c r="F33" s="33"/>
    </row>
    <row r="34" spans="1:6" ht="16.5">
      <c r="A34" s="33"/>
      <c r="B34" s="54" t="s">
        <v>150</v>
      </c>
      <c r="C34" s="55">
        <v>23</v>
      </c>
      <c r="D34" s="56">
        <v>1.2339055793990999E-2</v>
      </c>
      <c r="E34" s="33"/>
      <c r="F34" s="33"/>
    </row>
    <row r="35" spans="1:6" ht="16.5">
      <c r="A35" s="33"/>
      <c r="B35" s="54" t="s">
        <v>151</v>
      </c>
      <c r="C35" s="55">
        <v>22</v>
      </c>
      <c r="D35" s="56">
        <v>1.1802575107295999E-2</v>
      </c>
      <c r="E35" s="33"/>
      <c r="F35" s="33"/>
    </row>
    <row r="36" spans="1:6" ht="16.5">
      <c r="A36" s="33"/>
      <c r="B36" s="54" t="s">
        <v>152</v>
      </c>
      <c r="C36" s="55">
        <v>19</v>
      </c>
      <c r="D36" s="56">
        <v>1.019313304721E-2</v>
      </c>
      <c r="E36" s="33"/>
      <c r="F36" s="33"/>
    </row>
    <row r="37" spans="1:6" ht="16.5">
      <c r="A37" s="33"/>
      <c r="B37" s="54" t="s">
        <v>153</v>
      </c>
      <c r="C37" s="55">
        <v>18</v>
      </c>
      <c r="D37" s="56">
        <v>9.6566523605149997E-3</v>
      </c>
      <c r="E37" s="33"/>
      <c r="F37" s="33"/>
    </row>
    <row r="38" spans="1:6" ht="16.5">
      <c r="A38" s="33"/>
      <c r="B38" s="54" t="s">
        <v>154</v>
      </c>
      <c r="C38" s="55">
        <v>15</v>
      </c>
      <c r="D38" s="56">
        <v>8.0472103004290002E-3</v>
      </c>
      <c r="E38" s="33"/>
      <c r="F38" s="33"/>
    </row>
    <row r="39" spans="1:6" ht="16.5">
      <c r="A39" s="33"/>
      <c r="B39" s="54" t="s">
        <v>155</v>
      </c>
      <c r="C39" s="55">
        <v>15</v>
      </c>
      <c r="D39" s="56">
        <v>8.0472103004290002E-3</v>
      </c>
      <c r="E39" s="33"/>
      <c r="F39" s="33"/>
    </row>
    <row r="40" spans="1:6" ht="16.5">
      <c r="A40" s="33"/>
      <c r="B40" s="54" t="s">
        <v>156</v>
      </c>
      <c r="C40" s="55">
        <v>13</v>
      </c>
      <c r="D40" s="56">
        <v>6.974248927039E-3</v>
      </c>
      <c r="E40" s="33"/>
      <c r="F40" s="33"/>
    </row>
    <row r="41" spans="1:6" ht="16.5">
      <c r="A41" s="33"/>
      <c r="B41" s="54" t="s">
        <v>70</v>
      </c>
      <c r="C41" s="55">
        <v>11</v>
      </c>
      <c r="D41" s="56">
        <v>5.9012875536479997E-3</v>
      </c>
      <c r="E41" s="33"/>
      <c r="F41" s="33"/>
    </row>
    <row r="42" spans="1:6" ht="16.5">
      <c r="A42" s="33"/>
      <c r="B42" s="54" t="s">
        <v>157</v>
      </c>
      <c r="C42" s="55">
        <v>11</v>
      </c>
      <c r="D42" s="56">
        <v>5.9012875536479997E-3</v>
      </c>
      <c r="E42" s="33"/>
      <c r="F42" s="33"/>
    </row>
    <row r="43" spans="1:6" ht="16.5">
      <c r="A43" s="33"/>
      <c r="B43" s="54" t="s">
        <v>158</v>
      </c>
      <c r="C43" s="55">
        <v>9</v>
      </c>
      <c r="D43" s="56">
        <v>4.8283261802580003E-3</v>
      </c>
      <c r="E43" s="33"/>
      <c r="F43" s="33"/>
    </row>
    <row r="44" spans="1:6" ht="16.5">
      <c r="A44" s="33"/>
      <c r="B44" s="54" t="s">
        <v>159</v>
      </c>
      <c r="C44" s="55">
        <v>6</v>
      </c>
      <c r="D44" s="56">
        <v>3.2188841201719999E-3</v>
      </c>
      <c r="E44" s="33"/>
      <c r="F44" s="33"/>
    </row>
    <row r="45" spans="1:6" ht="16.5">
      <c r="A45" s="33"/>
      <c r="B45" s="54" t="s">
        <v>160</v>
      </c>
      <c r="C45" s="55">
        <v>5</v>
      </c>
      <c r="D45" s="56">
        <v>2.6824034334760002E-3</v>
      </c>
      <c r="E45" s="33"/>
      <c r="F45" s="33"/>
    </row>
    <row r="46" spans="1:6" ht="16.5">
      <c r="A46" s="33"/>
      <c r="B46" s="54" t="s">
        <v>161</v>
      </c>
      <c r="C46" s="55">
        <v>5</v>
      </c>
      <c r="D46" s="56">
        <v>2.6824034334760002E-3</v>
      </c>
      <c r="E46" s="33"/>
      <c r="F46" s="33"/>
    </row>
    <row r="47" spans="1:6" ht="16.5">
      <c r="A47" s="33"/>
      <c r="B47" s="54" t="s">
        <v>162</v>
      </c>
      <c r="C47" s="55">
        <v>4</v>
      </c>
      <c r="D47" s="56">
        <v>2.1459227467810001E-3</v>
      </c>
      <c r="E47" s="33"/>
      <c r="F47" s="33"/>
    </row>
    <row r="48" spans="1:6" ht="16.5">
      <c r="A48" s="33"/>
      <c r="B48" s="54" t="s">
        <v>163</v>
      </c>
      <c r="C48" s="55">
        <v>3</v>
      </c>
      <c r="D48" s="56">
        <v>1.609442060086E-3</v>
      </c>
      <c r="E48" s="33"/>
      <c r="F48" s="33"/>
    </row>
    <row r="49" spans="1:6" ht="16.5">
      <c r="A49" s="33"/>
      <c r="B49" s="54" t="s">
        <v>164</v>
      </c>
      <c r="C49" s="55">
        <v>3</v>
      </c>
      <c r="D49" s="56">
        <v>1.609442060086E-3</v>
      </c>
      <c r="E49" s="33"/>
      <c r="F49" s="33"/>
    </row>
    <row r="50" spans="1:6" ht="16.5">
      <c r="A50" s="33"/>
      <c r="B50" s="54" t="s">
        <v>165</v>
      </c>
      <c r="C50" s="55">
        <v>3</v>
      </c>
      <c r="D50" s="56">
        <v>1.609442060086E-3</v>
      </c>
      <c r="E50" s="33"/>
      <c r="F50" s="33"/>
    </row>
    <row r="51" spans="1:6" ht="16.5">
      <c r="A51" s="33"/>
      <c r="B51" s="54" t="s">
        <v>166</v>
      </c>
      <c r="C51" s="55">
        <v>2</v>
      </c>
      <c r="D51" s="56">
        <v>1.0729613733910001E-3</v>
      </c>
      <c r="E51" s="33"/>
      <c r="F51" s="33"/>
    </row>
    <row r="52" spans="1:6" ht="16.5">
      <c r="A52" s="33"/>
      <c r="B52" s="54" t="s">
        <v>167</v>
      </c>
      <c r="C52" s="55">
        <v>2</v>
      </c>
      <c r="D52" s="56">
        <v>1.0729613733910001E-3</v>
      </c>
      <c r="E52" s="33"/>
      <c r="F52" s="33"/>
    </row>
    <row r="53" spans="1:6" ht="16.5">
      <c r="A53" s="33"/>
      <c r="B53" s="54" t="s">
        <v>168</v>
      </c>
      <c r="C53" s="55">
        <v>2</v>
      </c>
      <c r="D53" s="56">
        <v>1.0729613733910001E-3</v>
      </c>
      <c r="E53" s="33"/>
      <c r="F53" s="33"/>
    </row>
    <row r="54" spans="1:6" ht="16.5">
      <c r="A54" s="33"/>
      <c r="B54" s="54" t="s">
        <v>169</v>
      </c>
      <c r="C54" s="55">
        <v>1</v>
      </c>
      <c r="D54" s="56">
        <v>5.36480686695E-4</v>
      </c>
      <c r="E54" s="33"/>
      <c r="F54" s="33"/>
    </row>
    <row r="55" spans="1:6" ht="16.5">
      <c r="A55" s="33"/>
      <c r="B55" s="57" t="s">
        <v>233</v>
      </c>
      <c r="C55" s="58">
        <v>1864</v>
      </c>
      <c r="D55" s="59">
        <v>1</v>
      </c>
      <c r="E55" s="33"/>
      <c r="F55" s="33"/>
    </row>
    <row r="56" spans="1:6" ht="16.5">
      <c r="A56" s="33"/>
      <c r="B56" s="33"/>
      <c r="C56" s="34"/>
      <c r="D56" s="33"/>
      <c r="E56" s="33"/>
      <c r="F56" s="33"/>
    </row>
    <row r="57" spans="1:6" ht="16.5">
      <c r="A57" s="33"/>
      <c r="B57" s="35" t="s">
        <v>120</v>
      </c>
      <c r="C57" s="34"/>
      <c r="D57" s="33"/>
      <c r="E57" s="33"/>
      <c r="F57" s="33"/>
    </row>
    <row r="58" spans="1:6" ht="16.5">
      <c r="A58" s="33"/>
      <c r="B58" s="36" t="s">
        <v>17</v>
      </c>
      <c r="C58" s="34"/>
      <c r="D58" s="33"/>
      <c r="E58" s="33"/>
      <c r="F58" s="33"/>
    </row>
    <row r="59" spans="1:6" ht="16.5">
      <c r="A59" s="33"/>
      <c r="B59" s="37" t="s">
        <v>117</v>
      </c>
      <c r="C59" s="34"/>
      <c r="D59" s="33"/>
      <c r="E59" s="33"/>
      <c r="F59" s="33"/>
    </row>
    <row r="60" spans="1:6" ht="16.5">
      <c r="A60" s="33"/>
      <c r="B60" s="35" t="s">
        <v>16</v>
      </c>
      <c r="C60" s="34"/>
      <c r="D60" s="33"/>
      <c r="E60" s="33"/>
      <c r="F60" s="33"/>
    </row>
    <row r="61" spans="1:6" ht="16.5">
      <c r="A61" s="33"/>
      <c r="B61" s="35" t="s">
        <v>234</v>
      </c>
      <c r="C61" s="34"/>
      <c r="D61" s="33"/>
      <c r="E61" s="33"/>
      <c r="F61" s="3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5"/>
  <sheetViews>
    <sheetView showGridLines="0" view="pageBreakPreview" topLeftCell="A32" zoomScaleNormal="100" zoomScaleSheetLayoutView="100" workbookViewId="0">
      <selection activeCell="B61" sqref="B6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8"/>
    </row>
    <row r="2" spans="1:6" s="15" customFormat="1" ht="15" customHeight="1">
      <c r="C2" s="18"/>
    </row>
    <row r="3" spans="1:6" s="15" customFormat="1" ht="15" customHeight="1">
      <c r="C3" s="18"/>
    </row>
    <row r="4" spans="1:6" s="15" customFormat="1" ht="30" customHeight="1">
      <c r="C4" s="18"/>
      <c r="D4" s="17"/>
    </row>
    <row r="5" spans="1:6" s="15" customFormat="1" ht="15" customHeight="1">
      <c r="C5" s="18"/>
      <c r="D5" s="17"/>
    </row>
    <row r="6" spans="1:6" s="15" customFormat="1" ht="15" customHeight="1">
      <c r="C6" s="18"/>
      <c r="D6" s="17"/>
    </row>
    <row r="7" spans="1:6" s="15" customFormat="1" ht="15" customHeight="1">
      <c r="B7" s="92" t="s">
        <v>34</v>
      </c>
      <c r="C7" s="92"/>
      <c r="D7" s="92"/>
    </row>
    <row r="8" spans="1:6" s="15" customFormat="1" ht="15" customHeight="1">
      <c r="B8" s="92"/>
      <c r="C8" s="92"/>
      <c r="D8" s="92"/>
    </row>
    <row r="9" spans="1:6" s="15" customFormat="1" ht="33" customHeight="1">
      <c r="B9" s="92"/>
      <c r="C9" s="92"/>
      <c r="D9" s="92"/>
    </row>
    <row r="10" spans="1:6" s="15" customFormat="1" ht="4.5" customHeight="1">
      <c r="B10" s="16"/>
      <c r="C10" s="16"/>
      <c r="D10" s="16"/>
    </row>
    <row r="11" spans="1:6" s="15" customFormat="1" ht="33" customHeight="1">
      <c r="A11" s="29"/>
      <c r="B11" s="30" t="s">
        <v>21</v>
      </c>
      <c r="C11" s="31" t="s">
        <v>19</v>
      </c>
      <c r="D11" s="32" t="s">
        <v>18</v>
      </c>
      <c r="E11" s="29"/>
      <c r="F11" s="29"/>
    </row>
    <row r="12" spans="1:6" ht="16.5">
      <c r="A12" s="33"/>
      <c r="B12" s="60" t="s">
        <v>47</v>
      </c>
      <c r="C12" s="55">
        <v>160</v>
      </c>
      <c r="D12" s="56">
        <v>8.5836909871244996E-2</v>
      </c>
      <c r="E12" s="33"/>
      <c r="F12" s="33"/>
    </row>
    <row r="13" spans="1:6" ht="16.5">
      <c r="A13" s="33"/>
      <c r="B13" s="60" t="s">
        <v>48</v>
      </c>
      <c r="C13" s="55">
        <v>130</v>
      </c>
      <c r="D13" s="56">
        <v>6.9742489270385996E-2</v>
      </c>
      <c r="E13" s="33"/>
      <c r="F13" s="33"/>
    </row>
    <row r="14" spans="1:6" ht="16.5">
      <c r="A14" s="33"/>
      <c r="B14" s="60" t="s">
        <v>46</v>
      </c>
      <c r="C14" s="55">
        <v>120</v>
      </c>
      <c r="D14" s="56">
        <v>6.4377682403433001E-2</v>
      </c>
      <c r="E14" s="33"/>
      <c r="F14" s="33"/>
    </row>
    <row r="15" spans="1:6" ht="16.5">
      <c r="A15" s="33"/>
      <c r="B15" s="60" t="s">
        <v>49</v>
      </c>
      <c r="C15" s="55">
        <v>88</v>
      </c>
      <c r="D15" s="56">
        <v>4.7210300429184997E-2</v>
      </c>
      <c r="E15" s="33"/>
      <c r="F15" s="33"/>
    </row>
    <row r="16" spans="1:6" ht="16.5">
      <c r="A16" s="33"/>
      <c r="B16" s="60" t="s">
        <v>57</v>
      </c>
      <c r="C16" s="55">
        <v>79</v>
      </c>
      <c r="D16" s="56">
        <v>4.2381974248927E-2</v>
      </c>
      <c r="E16" s="33"/>
      <c r="F16" s="33"/>
    </row>
    <row r="17" spans="1:6" ht="16.5">
      <c r="A17" s="33"/>
      <c r="B17" s="60" t="s">
        <v>56</v>
      </c>
      <c r="C17" s="55">
        <v>76</v>
      </c>
      <c r="D17" s="56">
        <v>4.0772532188840999E-2</v>
      </c>
      <c r="E17" s="33"/>
      <c r="F17" s="33"/>
    </row>
    <row r="18" spans="1:6" ht="16.5">
      <c r="A18" s="33"/>
      <c r="B18" s="60" t="s">
        <v>59</v>
      </c>
      <c r="C18" s="55">
        <v>69</v>
      </c>
      <c r="D18" s="56">
        <v>3.7017167381973998E-2</v>
      </c>
      <c r="E18" s="33"/>
      <c r="F18" s="33"/>
    </row>
    <row r="19" spans="1:6" ht="16.5">
      <c r="A19" s="33"/>
      <c r="B19" s="60" t="s">
        <v>53</v>
      </c>
      <c r="C19" s="55">
        <v>69</v>
      </c>
      <c r="D19" s="56">
        <v>3.7017167381973998E-2</v>
      </c>
      <c r="E19" s="33"/>
      <c r="F19" s="33"/>
    </row>
    <row r="20" spans="1:6" ht="16.5">
      <c r="A20" s="33"/>
      <c r="B20" s="60" t="s">
        <v>50</v>
      </c>
      <c r="C20" s="55">
        <v>69</v>
      </c>
      <c r="D20" s="56">
        <v>3.7017167381973998E-2</v>
      </c>
      <c r="E20" s="33"/>
      <c r="F20" s="33"/>
    </row>
    <row r="21" spans="1:6" ht="16.5">
      <c r="A21" s="33"/>
      <c r="B21" s="60" t="s">
        <v>52</v>
      </c>
      <c r="C21" s="55">
        <v>65</v>
      </c>
      <c r="D21" s="56">
        <v>3.4871244635192998E-2</v>
      </c>
      <c r="E21" s="33"/>
      <c r="F21" s="33"/>
    </row>
    <row r="22" spans="1:6" ht="16.5">
      <c r="A22" s="33"/>
      <c r="B22" s="60" t="s">
        <v>55</v>
      </c>
      <c r="C22" s="55">
        <v>61</v>
      </c>
      <c r="D22" s="56">
        <v>3.2725321888411998E-2</v>
      </c>
      <c r="E22" s="33"/>
      <c r="F22" s="33"/>
    </row>
    <row r="23" spans="1:6" ht="16.5">
      <c r="A23" s="33"/>
      <c r="B23" s="60" t="s">
        <v>54</v>
      </c>
      <c r="C23" s="55">
        <v>58</v>
      </c>
      <c r="D23" s="56">
        <v>3.1115879828326001E-2</v>
      </c>
      <c r="E23" s="33"/>
      <c r="F23" s="33"/>
    </row>
    <row r="24" spans="1:6" ht="16.5">
      <c r="A24" s="33"/>
      <c r="B24" s="60" t="s">
        <v>62</v>
      </c>
      <c r="C24" s="55">
        <v>55</v>
      </c>
      <c r="D24" s="56">
        <v>2.9506437768239999E-2</v>
      </c>
      <c r="E24" s="33"/>
      <c r="F24" s="33"/>
    </row>
    <row r="25" spans="1:6" ht="16.5">
      <c r="A25" s="33"/>
      <c r="B25" s="60" t="s">
        <v>51</v>
      </c>
      <c r="C25" s="55">
        <v>53</v>
      </c>
      <c r="D25" s="56">
        <v>2.8433476394849999E-2</v>
      </c>
      <c r="E25" s="33"/>
      <c r="F25" s="33"/>
    </row>
    <row r="26" spans="1:6" ht="16.5">
      <c r="A26" s="33"/>
      <c r="B26" s="60" t="s">
        <v>61</v>
      </c>
      <c r="C26" s="55">
        <v>53</v>
      </c>
      <c r="D26" s="56">
        <v>2.8433476394849999E-2</v>
      </c>
      <c r="E26" s="33"/>
      <c r="F26" s="33"/>
    </row>
    <row r="27" spans="1:6" ht="16.5">
      <c r="A27" s="33"/>
      <c r="B27" s="60" t="s">
        <v>69</v>
      </c>
      <c r="C27" s="55">
        <v>52</v>
      </c>
      <c r="D27" s="56">
        <v>2.7896995708155001E-2</v>
      </c>
      <c r="E27" s="33"/>
      <c r="F27" s="33"/>
    </row>
    <row r="28" spans="1:6" ht="16.5">
      <c r="A28" s="33"/>
      <c r="B28" s="60" t="s">
        <v>58</v>
      </c>
      <c r="C28" s="55">
        <v>52</v>
      </c>
      <c r="D28" s="56">
        <v>2.7896995708155001E-2</v>
      </c>
      <c r="E28" s="33"/>
      <c r="F28" s="33"/>
    </row>
    <row r="29" spans="1:6" ht="16.5">
      <c r="A29" s="33"/>
      <c r="B29" s="60" t="s">
        <v>66</v>
      </c>
      <c r="C29" s="55">
        <v>47</v>
      </c>
      <c r="D29" s="56">
        <v>2.5214592274678E-2</v>
      </c>
      <c r="E29" s="33"/>
      <c r="F29" s="33"/>
    </row>
    <row r="30" spans="1:6" ht="16.5">
      <c r="A30" s="33"/>
      <c r="B30" s="60" t="s">
        <v>68</v>
      </c>
      <c r="C30" s="55">
        <v>44</v>
      </c>
      <c r="D30" s="56">
        <v>2.3605150214591999E-2</v>
      </c>
      <c r="E30" s="33"/>
      <c r="F30" s="33"/>
    </row>
    <row r="31" spans="1:6" ht="16.5">
      <c r="A31" s="33"/>
      <c r="B31" s="60" t="s">
        <v>67</v>
      </c>
      <c r="C31" s="55">
        <v>43</v>
      </c>
      <c r="D31" s="56">
        <v>2.3068669527897E-2</v>
      </c>
      <c r="E31" s="33"/>
      <c r="F31" s="33"/>
    </row>
    <row r="32" spans="1:6" ht="16.5">
      <c r="A32" s="33"/>
      <c r="B32" s="60" t="s">
        <v>64</v>
      </c>
      <c r="C32" s="55">
        <v>42</v>
      </c>
      <c r="D32" s="56">
        <v>2.2532188841201999E-2</v>
      </c>
      <c r="E32" s="33"/>
      <c r="F32" s="33"/>
    </row>
    <row r="33" spans="1:6" ht="16.5">
      <c r="A33" s="33"/>
      <c r="B33" s="60" t="s">
        <v>65</v>
      </c>
      <c r="C33" s="55">
        <v>37</v>
      </c>
      <c r="D33" s="56">
        <v>1.9849785407725001E-2</v>
      </c>
      <c r="E33" s="33"/>
      <c r="F33" s="33"/>
    </row>
    <row r="34" spans="1:6" ht="16.5">
      <c r="A34" s="33"/>
      <c r="B34" s="60" t="s">
        <v>70</v>
      </c>
      <c r="C34" s="55">
        <v>35</v>
      </c>
      <c r="D34" s="56">
        <v>1.8776824034335001E-2</v>
      </c>
      <c r="E34" s="33"/>
      <c r="F34" s="33"/>
    </row>
    <row r="35" spans="1:6" ht="16.5">
      <c r="A35" s="33"/>
      <c r="B35" s="60" t="s">
        <v>63</v>
      </c>
      <c r="C35" s="55">
        <v>30</v>
      </c>
      <c r="D35" s="56">
        <v>1.6094420600858E-2</v>
      </c>
      <c r="E35" s="33"/>
      <c r="F35" s="33"/>
    </row>
    <row r="36" spans="1:6" ht="16.5">
      <c r="A36" s="33"/>
      <c r="B36" s="60" t="s">
        <v>60</v>
      </c>
      <c r="C36" s="55">
        <v>27</v>
      </c>
      <c r="D36" s="56">
        <v>1.4484978540773E-2</v>
      </c>
      <c r="E36" s="33"/>
      <c r="F36" s="33"/>
    </row>
    <row r="37" spans="1:6" ht="16.5">
      <c r="A37" s="33"/>
      <c r="B37" s="60" t="s">
        <v>74</v>
      </c>
      <c r="C37" s="55">
        <v>27</v>
      </c>
      <c r="D37" s="56">
        <v>1.4484978540773E-2</v>
      </c>
      <c r="E37" s="33"/>
      <c r="F37" s="33"/>
    </row>
    <row r="38" spans="1:6" ht="16.5">
      <c r="A38" s="33"/>
      <c r="B38" s="60" t="s">
        <v>75</v>
      </c>
      <c r="C38" s="55">
        <v>21</v>
      </c>
      <c r="D38" s="56">
        <v>1.1266094420600999E-2</v>
      </c>
      <c r="E38" s="33"/>
      <c r="F38" s="33"/>
    </row>
    <row r="39" spans="1:6" ht="16.5">
      <c r="A39" s="33"/>
      <c r="B39" s="60" t="s">
        <v>72</v>
      </c>
      <c r="C39" s="55">
        <v>21</v>
      </c>
      <c r="D39" s="56">
        <v>1.1266094420600999E-2</v>
      </c>
      <c r="E39" s="33"/>
      <c r="F39" s="33"/>
    </row>
    <row r="40" spans="1:6" ht="16.5">
      <c r="A40" s="33"/>
      <c r="B40" s="60" t="s">
        <v>71</v>
      </c>
      <c r="C40" s="55">
        <v>19</v>
      </c>
      <c r="D40" s="56">
        <v>1.019313304721E-2</v>
      </c>
      <c r="E40" s="33"/>
      <c r="F40" s="33"/>
    </row>
    <row r="41" spans="1:6" ht="16.5">
      <c r="A41" s="33"/>
      <c r="B41" s="60" t="s">
        <v>73</v>
      </c>
      <c r="C41" s="55">
        <v>19</v>
      </c>
      <c r="D41" s="56">
        <v>1.019313304721E-2</v>
      </c>
      <c r="E41" s="33"/>
      <c r="F41" s="33"/>
    </row>
    <row r="42" spans="1:6" ht="16.5">
      <c r="A42" s="33"/>
      <c r="B42" s="60" t="s">
        <v>81</v>
      </c>
      <c r="C42" s="55">
        <v>16</v>
      </c>
      <c r="D42" s="56">
        <v>8.5836909871240003E-3</v>
      </c>
      <c r="E42" s="33"/>
      <c r="F42" s="33"/>
    </row>
    <row r="43" spans="1:6" ht="16.5">
      <c r="A43" s="33"/>
      <c r="B43" s="60" t="s">
        <v>79</v>
      </c>
      <c r="C43" s="55">
        <v>15</v>
      </c>
      <c r="D43" s="56">
        <v>8.0472103004290002E-3</v>
      </c>
      <c r="E43" s="33"/>
      <c r="F43" s="33"/>
    </row>
    <row r="44" spans="1:6" ht="16.5">
      <c r="A44" s="33"/>
      <c r="B44" s="60" t="s">
        <v>85</v>
      </c>
      <c r="C44" s="55">
        <v>15</v>
      </c>
      <c r="D44" s="56">
        <v>8.0472103004290002E-3</v>
      </c>
      <c r="E44" s="33"/>
      <c r="F44" s="33"/>
    </row>
    <row r="45" spans="1:6" ht="16.5">
      <c r="A45" s="33"/>
      <c r="B45" s="60" t="s">
        <v>76</v>
      </c>
      <c r="C45" s="55">
        <v>13</v>
      </c>
      <c r="D45" s="56">
        <v>6.974248927039E-3</v>
      </c>
      <c r="E45" s="33"/>
      <c r="F45" s="33"/>
    </row>
    <row r="46" spans="1:6" ht="16.5">
      <c r="A46" s="33"/>
      <c r="B46" s="60" t="s">
        <v>86</v>
      </c>
      <c r="C46" s="55">
        <v>11</v>
      </c>
      <c r="D46" s="56">
        <v>5.9012875536479997E-3</v>
      </c>
      <c r="E46" s="33"/>
      <c r="F46" s="33"/>
    </row>
    <row r="47" spans="1:6" ht="16.5">
      <c r="A47" s="33"/>
      <c r="B47" s="60" t="s">
        <v>78</v>
      </c>
      <c r="C47" s="55">
        <v>11</v>
      </c>
      <c r="D47" s="56">
        <v>5.9012875536479997E-3</v>
      </c>
      <c r="E47" s="33"/>
      <c r="F47" s="33"/>
    </row>
    <row r="48" spans="1:6" ht="16.5">
      <c r="A48" s="33"/>
      <c r="B48" s="60" t="s">
        <v>77</v>
      </c>
      <c r="C48" s="55">
        <v>9</v>
      </c>
      <c r="D48" s="56">
        <v>4.8283261802580003E-3</v>
      </c>
      <c r="E48" s="33"/>
      <c r="F48" s="33"/>
    </row>
    <row r="49" spans="1:6" ht="16.5">
      <c r="A49" s="33"/>
      <c r="B49" s="60" t="s">
        <v>82</v>
      </c>
      <c r="C49" s="55">
        <v>9</v>
      </c>
      <c r="D49" s="56">
        <v>4.8283261802580003E-3</v>
      </c>
      <c r="E49" s="33"/>
      <c r="F49" s="33"/>
    </row>
    <row r="50" spans="1:6" ht="16.5">
      <c r="A50" s="33"/>
      <c r="B50" s="60" t="s">
        <v>89</v>
      </c>
      <c r="C50" s="55">
        <v>9</v>
      </c>
      <c r="D50" s="56">
        <v>4.8283261802580003E-3</v>
      </c>
      <c r="E50" s="33"/>
      <c r="F50" s="33"/>
    </row>
    <row r="51" spans="1:6" ht="16.5">
      <c r="A51" s="33"/>
      <c r="B51" s="60" t="s">
        <v>83</v>
      </c>
      <c r="C51" s="55">
        <v>7</v>
      </c>
      <c r="D51" s="56">
        <v>3.755364806867E-3</v>
      </c>
      <c r="E51" s="33"/>
      <c r="F51" s="33"/>
    </row>
    <row r="52" spans="1:6" ht="16.5">
      <c r="A52" s="33"/>
      <c r="B52" s="60" t="s">
        <v>80</v>
      </c>
      <c r="C52" s="55">
        <v>6</v>
      </c>
      <c r="D52" s="56">
        <v>3.2188841201719999E-3</v>
      </c>
      <c r="E52" s="33"/>
      <c r="F52" s="33"/>
    </row>
    <row r="53" spans="1:6" ht="16.5">
      <c r="A53" s="33"/>
      <c r="B53" s="60" t="s">
        <v>125</v>
      </c>
      <c r="C53" s="55">
        <v>6</v>
      </c>
      <c r="D53" s="56">
        <v>3.2188841201719999E-3</v>
      </c>
      <c r="E53" s="33"/>
      <c r="F53" s="33"/>
    </row>
    <row r="54" spans="1:6" ht="16.5">
      <c r="A54" s="33"/>
      <c r="B54" s="60" t="s">
        <v>88</v>
      </c>
      <c r="C54" s="55">
        <v>6</v>
      </c>
      <c r="D54" s="56">
        <v>3.2188841201719999E-3</v>
      </c>
      <c r="E54" s="33"/>
      <c r="F54" s="33"/>
    </row>
    <row r="55" spans="1:6" ht="16.5">
      <c r="A55" s="33"/>
      <c r="B55" s="60" t="s">
        <v>87</v>
      </c>
      <c r="C55" s="55">
        <v>5</v>
      </c>
      <c r="D55" s="56">
        <v>2.6824034334760002E-3</v>
      </c>
      <c r="E55" s="33"/>
      <c r="F55" s="33"/>
    </row>
    <row r="56" spans="1:6" ht="16.5">
      <c r="A56" s="33"/>
      <c r="B56" s="60" t="s">
        <v>84</v>
      </c>
      <c r="C56" s="55">
        <v>2</v>
      </c>
      <c r="D56" s="56">
        <v>1.0729613733910001E-3</v>
      </c>
      <c r="E56" s="33"/>
      <c r="F56" s="33"/>
    </row>
    <row r="57" spans="1:6" ht="16.5">
      <c r="A57" s="33"/>
      <c r="B57" s="60" t="s">
        <v>126</v>
      </c>
      <c r="C57" s="55">
        <v>2</v>
      </c>
      <c r="D57" s="56">
        <v>1.0729613733910001E-3</v>
      </c>
      <c r="E57" s="33"/>
      <c r="F57" s="33"/>
    </row>
    <row r="58" spans="1:6" ht="16.5">
      <c r="A58" s="33"/>
      <c r="B58" s="60" t="s">
        <v>127</v>
      </c>
      <c r="C58" s="55">
        <v>1</v>
      </c>
      <c r="D58" s="56">
        <v>5.36480686695E-4</v>
      </c>
      <c r="E58" s="33"/>
      <c r="F58" s="33"/>
    </row>
    <row r="59" spans="1:6" ht="16.5">
      <c r="A59" s="33"/>
      <c r="B59" s="61" t="s">
        <v>235</v>
      </c>
      <c r="C59" s="58">
        <v>1864</v>
      </c>
      <c r="D59" s="59">
        <v>1</v>
      </c>
      <c r="E59" s="33"/>
      <c r="F59" s="33"/>
    </row>
    <row r="60" spans="1:6" ht="16.5">
      <c r="A60" s="33"/>
      <c r="B60" s="35"/>
      <c r="C60" s="34"/>
      <c r="D60" s="33"/>
      <c r="E60" s="33"/>
      <c r="F60" s="33"/>
    </row>
    <row r="61" spans="1:6" ht="16.5">
      <c r="A61" s="33"/>
      <c r="B61" s="35" t="s">
        <v>120</v>
      </c>
      <c r="C61" s="34"/>
      <c r="D61" s="33"/>
      <c r="E61" s="33"/>
      <c r="F61" s="33"/>
    </row>
    <row r="62" spans="1:6" ht="16.5">
      <c r="A62" s="33"/>
      <c r="B62" s="36" t="s">
        <v>17</v>
      </c>
      <c r="C62" s="34"/>
      <c r="D62" s="33"/>
      <c r="E62" s="33"/>
      <c r="F62" s="33"/>
    </row>
    <row r="63" spans="1:6" ht="16.5">
      <c r="A63" s="33"/>
      <c r="B63" s="37" t="s">
        <v>117</v>
      </c>
      <c r="C63" s="34"/>
      <c r="D63" s="33"/>
      <c r="E63" s="33"/>
      <c r="F63" s="33"/>
    </row>
    <row r="64" spans="1:6" ht="16.5">
      <c r="A64" s="33"/>
      <c r="B64" s="35" t="s">
        <v>16</v>
      </c>
      <c r="C64" s="34"/>
      <c r="D64" s="33"/>
      <c r="E64" s="33"/>
      <c r="F64" s="33"/>
    </row>
    <row r="65" spans="2:2">
      <c r="B65" s="35" t="s">
        <v>234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topLeftCell="A4" zoomScale="115" zoomScaleNormal="100" zoomScaleSheetLayoutView="115" workbookViewId="0">
      <selection activeCell="D22" sqref="D22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8"/>
    </row>
    <row r="2" spans="1:6" s="15" customFormat="1" ht="15" customHeight="1">
      <c r="C2" s="18"/>
    </row>
    <row r="3" spans="1:6" s="15" customFormat="1" ht="15" customHeight="1">
      <c r="C3" s="18"/>
    </row>
    <row r="4" spans="1:6" s="15" customFormat="1" ht="30" customHeight="1">
      <c r="C4" s="18"/>
      <c r="D4" s="17"/>
    </row>
    <row r="5" spans="1:6" s="15" customFormat="1" ht="15" customHeight="1">
      <c r="C5" s="18"/>
      <c r="D5" s="17"/>
    </row>
    <row r="6" spans="1:6" s="15" customFormat="1" ht="15" customHeight="1">
      <c r="C6" s="18"/>
      <c r="D6" s="17"/>
    </row>
    <row r="7" spans="1:6" s="15" customFormat="1" ht="15" customHeight="1">
      <c r="A7" s="29"/>
      <c r="B7" s="92" t="s">
        <v>43</v>
      </c>
      <c r="C7" s="92"/>
      <c r="D7" s="92"/>
      <c r="E7" s="29"/>
      <c r="F7" s="29"/>
    </row>
    <row r="8" spans="1:6" s="15" customFormat="1" ht="15" customHeight="1">
      <c r="A8" s="29"/>
      <c r="B8" s="92"/>
      <c r="C8" s="92"/>
      <c r="D8" s="92"/>
      <c r="E8" s="29"/>
      <c r="F8" s="29"/>
    </row>
    <row r="9" spans="1:6" s="15" customFormat="1" ht="33" customHeight="1">
      <c r="A9" s="29"/>
      <c r="B9" s="92"/>
      <c r="C9" s="92"/>
      <c r="D9" s="92"/>
      <c r="E9" s="29"/>
      <c r="F9" s="29"/>
    </row>
    <row r="10" spans="1:6" s="15" customFormat="1" ht="4.5" customHeight="1">
      <c r="B10" s="16"/>
      <c r="C10" s="16"/>
      <c r="D10" s="16"/>
    </row>
    <row r="11" spans="1:6" s="15" customFormat="1" ht="33" customHeight="1">
      <c r="A11" s="29"/>
      <c r="B11" s="30" t="s">
        <v>21</v>
      </c>
      <c r="C11" s="31" t="s">
        <v>19</v>
      </c>
      <c r="D11" s="32" t="s">
        <v>18</v>
      </c>
      <c r="E11" s="29"/>
      <c r="F11" s="29"/>
    </row>
    <row r="12" spans="1:6" ht="16.5">
      <c r="A12" s="33"/>
      <c r="B12" s="60" t="s">
        <v>47</v>
      </c>
      <c r="C12" s="55">
        <v>160</v>
      </c>
      <c r="D12" s="56">
        <f>C12/$C$22</f>
        <v>0.17297297297297298</v>
      </c>
      <c r="E12" s="33"/>
      <c r="F12" s="33"/>
    </row>
    <row r="13" spans="1:6" ht="16.5">
      <c r="A13" s="33"/>
      <c r="B13" s="60" t="s">
        <v>48</v>
      </c>
      <c r="C13" s="55">
        <v>130</v>
      </c>
      <c r="D13" s="56">
        <f t="shared" ref="D13:D20" si="0">C13/$C$22</f>
        <v>0.14054054054054055</v>
      </c>
      <c r="E13" s="33"/>
      <c r="F13" s="33"/>
    </row>
    <row r="14" spans="1:6" ht="16.5">
      <c r="A14" s="33"/>
      <c r="B14" s="60" t="s">
        <v>46</v>
      </c>
      <c r="C14" s="55">
        <v>120</v>
      </c>
      <c r="D14" s="56">
        <f t="shared" si="0"/>
        <v>0.12972972972972974</v>
      </c>
      <c r="E14" s="33"/>
      <c r="F14" s="33"/>
    </row>
    <row r="15" spans="1:6" ht="16.5">
      <c r="A15" s="33"/>
      <c r="B15" s="60" t="s">
        <v>49</v>
      </c>
      <c r="C15" s="55">
        <v>88</v>
      </c>
      <c r="D15" s="56">
        <f t="shared" si="0"/>
        <v>9.5135135135135135E-2</v>
      </c>
      <c r="E15" s="33"/>
      <c r="F15" s="33"/>
    </row>
    <row r="16" spans="1:6" ht="16.5">
      <c r="A16" s="33"/>
      <c r="B16" s="60" t="s">
        <v>57</v>
      </c>
      <c r="C16" s="55">
        <v>79</v>
      </c>
      <c r="D16" s="56">
        <f t="shared" si="0"/>
        <v>8.5405405405405407E-2</v>
      </c>
      <c r="E16" s="33"/>
      <c r="F16" s="33"/>
    </row>
    <row r="17" spans="1:6" ht="16.5">
      <c r="A17" s="33"/>
      <c r="B17" s="60" t="s">
        <v>56</v>
      </c>
      <c r="C17" s="55">
        <v>76</v>
      </c>
      <c r="D17" s="56">
        <f t="shared" si="0"/>
        <v>8.2162162162162156E-2</v>
      </c>
      <c r="E17" s="33"/>
      <c r="F17" s="33"/>
    </row>
    <row r="18" spans="1:6" ht="16.5">
      <c r="A18" s="33"/>
      <c r="B18" s="60" t="s">
        <v>59</v>
      </c>
      <c r="C18" s="55">
        <v>69</v>
      </c>
      <c r="D18" s="56">
        <f t="shared" si="0"/>
        <v>7.4594594594594596E-2</v>
      </c>
      <c r="E18" s="33"/>
      <c r="F18" s="33"/>
    </row>
    <row r="19" spans="1:6" ht="16.5">
      <c r="A19" s="33"/>
      <c r="B19" s="60" t="s">
        <v>53</v>
      </c>
      <c r="C19" s="55">
        <v>69</v>
      </c>
      <c r="D19" s="56">
        <f t="shared" si="0"/>
        <v>7.4594594594594596E-2</v>
      </c>
      <c r="E19" s="33"/>
      <c r="F19" s="33"/>
    </row>
    <row r="20" spans="1:6" ht="16.5">
      <c r="A20" s="33"/>
      <c r="B20" s="60" t="s">
        <v>50</v>
      </c>
      <c r="C20" s="55">
        <v>69</v>
      </c>
      <c r="D20" s="56">
        <f t="shared" si="0"/>
        <v>7.4594594594594596E-2</v>
      </c>
      <c r="E20" s="33"/>
      <c r="F20" s="33"/>
    </row>
    <row r="21" spans="1:6" ht="16.5">
      <c r="A21" s="33"/>
      <c r="B21" s="60" t="s">
        <v>52</v>
      </c>
      <c r="C21" s="55">
        <v>65</v>
      </c>
      <c r="D21" s="56">
        <f>C21/$C$22</f>
        <v>7.0270270270270274E-2</v>
      </c>
      <c r="E21" s="33"/>
      <c r="F21" s="33"/>
    </row>
    <row r="22" spans="1:6" ht="16.5">
      <c r="A22" s="33"/>
      <c r="B22" s="63" t="s">
        <v>44</v>
      </c>
      <c r="C22" s="64">
        <f>SUM(C12:C21)</f>
        <v>925</v>
      </c>
      <c r="D22" s="65">
        <f>C22/$C$22</f>
        <v>1</v>
      </c>
      <c r="E22" s="33"/>
      <c r="F22" s="33"/>
    </row>
    <row r="23" spans="1:6" ht="16.5">
      <c r="A23" s="33"/>
      <c r="B23" s="38" t="s">
        <v>45</v>
      </c>
      <c r="C23" s="39">
        <v>1864</v>
      </c>
      <c r="D23" s="62"/>
      <c r="E23" s="33"/>
      <c r="F23" s="33"/>
    </row>
    <row r="24" spans="1:6" ht="16.5">
      <c r="A24" s="33"/>
      <c r="B24" s="35"/>
      <c r="C24" s="33"/>
      <c r="D24" s="33"/>
      <c r="E24" s="33"/>
      <c r="F24" s="33"/>
    </row>
    <row r="25" spans="1:6" ht="16.5">
      <c r="A25" s="33"/>
      <c r="B25" s="35" t="s">
        <v>120</v>
      </c>
      <c r="C25" s="33"/>
      <c r="D25" s="33"/>
      <c r="E25" s="33"/>
      <c r="F25" s="33"/>
    </row>
    <row r="26" spans="1:6" ht="16.5">
      <c r="A26" s="33"/>
      <c r="B26" s="36" t="s">
        <v>17</v>
      </c>
      <c r="C26" s="33"/>
      <c r="D26" s="33"/>
      <c r="E26" s="33"/>
      <c r="F26" s="33"/>
    </row>
    <row r="27" spans="1:6" ht="16.5">
      <c r="A27" s="33"/>
      <c r="B27" s="37" t="s">
        <v>117</v>
      </c>
      <c r="C27" s="33"/>
      <c r="D27" s="33"/>
      <c r="E27" s="33"/>
      <c r="F27" s="33"/>
    </row>
    <row r="28" spans="1:6" ht="16.5">
      <c r="A28" s="33"/>
      <c r="B28" s="35" t="s">
        <v>16</v>
      </c>
      <c r="C28" s="33"/>
      <c r="D28" s="33"/>
      <c r="E28" s="33"/>
      <c r="F28" s="33"/>
    </row>
    <row r="29" spans="1:6" ht="16.5">
      <c r="A29" s="33"/>
      <c r="B29" s="35" t="s">
        <v>234</v>
      </c>
      <c r="C29" s="33"/>
      <c r="D29" s="33"/>
      <c r="E29" s="33"/>
      <c r="F29" s="3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>
    <tabColor rgb="FFFFFF00"/>
  </sheetPr>
  <dimension ref="A1:F32"/>
  <sheetViews>
    <sheetView showGridLines="0" view="pageBreakPreview" zoomScaleNormal="85" zoomScaleSheetLayoutView="100" workbookViewId="0">
      <selection activeCell="N11" sqref="N11"/>
    </sheetView>
  </sheetViews>
  <sheetFormatPr baseColWidth="10" defaultColWidth="11.42578125" defaultRowHeight="15"/>
  <cols>
    <col min="1" max="1" width="9.28515625" style="13" customWidth="1"/>
    <col min="2" max="2" width="29.140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8"/>
    </row>
    <row r="2" spans="1:6" s="15" customFormat="1" ht="15" customHeight="1">
      <c r="C2" s="18"/>
    </row>
    <row r="3" spans="1:6" s="15" customFormat="1" ht="15" customHeight="1">
      <c r="C3" s="18"/>
    </row>
    <row r="4" spans="1:6" s="15" customFormat="1" ht="30" customHeight="1">
      <c r="C4" s="18"/>
      <c r="D4" s="17"/>
    </row>
    <row r="5" spans="1:6" s="15" customFormat="1" ht="15" customHeight="1">
      <c r="C5" s="18"/>
      <c r="D5" s="17"/>
    </row>
    <row r="6" spans="1:6" s="15" customFormat="1" ht="15" customHeight="1">
      <c r="C6" s="18"/>
      <c r="D6" s="17"/>
    </row>
    <row r="7" spans="1:6" s="15" customFormat="1" ht="15" customHeight="1">
      <c r="A7" s="29"/>
      <c r="B7" s="92" t="s">
        <v>38</v>
      </c>
      <c r="C7" s="92"/>
      <c r="D7" s="92"/>
      <c r="E7" s="29"/>
      <c r="F7" s="29"/>
    </row>
    <row r="8" spans="1:6" s="15" customFormat="1" ht="15" customHeight="1">
      <c r="A8" s="29"/>
      <c r="B8" s="92"/>
      <c r="C8" s="92"/>
      <c r="D8" s="92"/>
      <c r="E8" s="29"/>
      <c r="F8" s="29"/>
    </row>
    <row r="9" spans="1:6" s="15" customFormat="1" ht="33" customHeight="1">
      <c r="A9" s="29"/>
      <c r="B9" s="92"/>
      <c r="C9" s="92"/>
      <c r="D9" s="92"/>
      <c r="E9" s="29"/>
      <c r="F9" s="29"/>
    </row>
    <row r="10" spans="1:6" s="15" customFormat="1" ht="4.5" customHeight="1">
      <c r="A10" s="29"/>
      <c r="B10" s="40"/>
      <c r="C10" s="40"/>
      <c r="D10" s="40"/>
      <c r="E10" s="29"/>
      <c r="F10" s="29"/>
    </row>
    <row r="11" spans="1:6" s="15" customFormat="1" ht="33" customHeight="1">
      <c r="A11" s="29"/>
      <c r="B11" s="30" t="s">
        <v>22</v>
      </c>
      <c r="C11" s="31" t="s">
        <v>19</v>
      </c>
      <c r="D11" s="32" t="s">
        <v>18</v>
      </c>
      <c r="E11" s="29"/>
      <c r="F11" s="29"/>
    </row>
    <row r="12" spans="1:6" ht="16.5">
      <c r="A12" s="33"/>
      <c r="B12" s="54" t="s">
        <v>170</v>
      </c>
      <c r="C12" s="55">
        <v>485</v>
      </c>
      <c r="D12" s="56">
        <v>0.26019313304720998</v>
      </c>
      <c r="E12" s="33"/>
      <c r="F12" s="33"/>
    </row>
    <row r="13" spans="1:6" ht="16.5">
      <c r="A13" s="33"/>
      <c r="B13" s="54" t="s">
        <v>171</v>
      </c>
      <c r="C13" s="55">
        <v>446</v>
      </c>
      <c r="D13" s="56">
        <v>0.23927038626609401</v>
      </c>
      <c r="E13" s="33"/>
      <c r="F13" s="33"/>
    </row>
    <row r="14" spans="1:6" ht="16.5">
      <c r="A14" s="33"/>
      <c r="B14" s="54" t="s">
        <v>172</v>
      </c>
      <c r="C14" s="55">
        <v>384</v>
      </c>
      <c r="D14" s="56">
        <v>0.20600858369098701</v>
      </c>
      <c r="E14" s="33"/>
      <c r="F14" s="33"/>
    </row>
    <row r="15" spans="1:6" ht="16.5">
      <c r="A15" s="33"/>
      <c r="B15" s="54" t="s">
        <v>173</v>
      </c>
      <c r="C15" s="55">
        <v>270</v>
      </c>
      <c r="D15" s="56">
        <v>0.144849785407725</v>
      </c>
      <c r="E15" s="33"/>
      <c r="F15" s="33"/>
    </row>
    <row r="16" spans="1:6" ht="16.5">
      <c r="A16" s="33"/>
      <c r="B16" s="54" t="s">
        <v>174</v>
      </c>
      <c r="C16" s="55">
        <v>93</v>
      </c>
      <c r="D16" s="56">
        <v>4.9892703862661002E-2</v>
      </c>
      <c r="E16" s="33"/>
      <c r="F16" s="33"/>
    </row>
    <row r="17" spans="1:6" ht="16.5">
      <c r="A17" s="33"/>
      <c r="B17" s="54" t="s">
        <v>175</v>
      </c>
      <c r="C17" s="55">
        <v>65</v>
      </c>
      <c r="D17" s="56">
        <v>3.4871244635192998E-2</v>
      </c>
      <c r="E17" s="33"/>
      <c r="F17" s="33"/>
    </row>
    <row r="18" spans="1:6" ht="16.5">
      <c r="A18" s="33"/>
      <c r="B18" s="54" t="s">
        <v>176</v>
      </c>
      <c r="C18" s="55">
        <v>55</v>
      </c>
      <c r="D18" s="56">
        <v>2.9506437768239999E-2</v>
      </c>
      <c r="E18" s="33"/>
      <c r="F18" s="33"/>
    </row>
    <row r="19" spans="1:6" ht="16.5">
      <c r="A19" s="33"/>
      <c r="B19" s="54" t="s">
        <v>177</v>
      </c>
      <c r="C19" s="55">
        <v>21</v>
      </c>
      <c r="D19" s="56">
        <v>1.1266094420600999E-2</v>
      </c>
      <c r="E19" s="33"/>
      <c r="F19" s="33"/>
    </row>
    <row r="20" spans="1:6" ht="16.5">
      <c r="A20" s="33"/>
      <c r="B20" s="54" t="s">
        <v>178</v>
      </c>
      <c r="C20" s="55">
        <v>18</v>
      </c>
      <c r="D20" s="56">
        <v>9.6566523605149997E-3</v>
      </c>
      <c r="E20" s="33"/>
      <c r="F20" s="33"/>
    </row>
    <row r="21" spans="1:6" ht="16.5">
      <c r="A21" s="33"/>
      <c r="B21" s="54" t="s">
        <v>179</v>
      </c>
      <c r="C21" s="55">
        <v>18</v>
      </c>
      <c r="D21" s="56">
        <v>9.6566523605149997E-3</v>
      </c>
      <c r="E21" s="33"/>
      <c r="F21" s="33"/>
    </row>
    <row r="22" spans="1:6" ht="16.5">
      <c r="A22" s="33"/>
      <c r="B22" s="54" t="s">
        <v>180</v>
      </c>
      <c r="C22" s="55">
        <v>7</v>
      </c>
      <c r="D22" s="56">
        <v>3.755364806867E-3</v>
      </c>
      <c r="E22" s="33"/>
      <c r="F22" s="33"/>
    </row>
    <row r="23" spans="1:6" ht="16.5">
      <c r="A23" s="33"/>
      <c r="B23" s="54" t="s">
        <v>181</v>
      </c>
      <c r="C23" s="55">
        <v>2</v>
      </c>
      <c r="D23" s="56">
        <v>1.0729613733910001E-3</v>
      </c>
      <c r="E23" s="33"/>
      <c r="F23" s="33"/>
    </row>
    <row r="24" spans="1:6" ht="16.5">
      <c r="A24" s="33"/>
      <c r="B24" s="57" t="s">
        <v>233</v>
      </c>
      <c r="C24" s="58">
        <v>1864</v>
      </c>
      <c r="D24" s="59">
        <v>1</v>
      </c>
      <c r="E24" s="33"/>
      <c r="F24" s="33"/>
    </row>
    <row r="25" spans="1:6" ht="16.5">
      <c r="A25" s="33"/>
      <c r="B25" s="33"/>
      <c r="C25" s="34"/>
      <c r="D25" s="33"/>
      <c r="E25" s="33"/>
      <c r="F25" s="33"/>
    </row>
    <row r="26" spans="1:6" ht="16.5">
      <c r="B26" s="35" t="s">
        <v>120</v>
      </c>
      <c r="C26" s="34"/>
      <c r="D26" s="33"/>
      <c r="E26" s="33"/>
      <c r="F26" s="33"/>
    </row>
    <row r="27" spans="1:6" ht="16.5">
      <c r="B27" s="36" t="s">
        <v>17</v>
      </c>
      <c r="C27" s="34"/>
      <c r="D27" s="33"/>
      <c r="E27" s="33"/>
      <c r="F27" s="33"/>
    </row>
    <row r="28" spans="1:6" ht="16.5">
      <c r="B28" s="37" t="s">
        <v>117</v>
      </c>
      <c r="C28" s="34"/>
      <c r="D28" s="33"/>
      <c r="E28" s="33"/>
      <c r="F28" s="33"/>
    </row>
    <row r="29" spans="1:6" ht="16.5">
      <c r="B29" s="35" t="s">
        <v>16</v>
      </c>
      <c r="C29" s="34"/>
      <c r="D29" s="33"/>
      <c r="E29" s="33"/>
      <c r="F29" s="33"/>
    </row>
    <row r="30" spans="1:6" ht="16.5">
      <c r="B30" s="35" t="s">
        <v>234</v>
      </c>
      <c r="C30" s="34"/>
      <c r="D30" s="33"/>
      <c r="E30" s="33"/>
      <c r="F30" s="33"/>
    </row>
    <row r="31" spans="1:6">
      <c r="C31" s="13"/>
    </row>
    <row r="32" spans="1:6">
      <c r="C32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7">
    <tabColor rgb="FFFFFF00"/>
  </sheetPr>
  <dimension ref="A1:F305"/>
  <sheetViews>
    <sheetView showGridLines="0" view="pageBreakPreview" zoomScaleNormal="100" zoomScaleSheetLayoutView="100" workbookViewId="0">
      <selection activeCell="E1" sqref="E1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1.425781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6" s="22" customFormat="1" ht="12" customHeight="1">
      <c r="B1" s="24"/>
      <c r="C1" s="21"/>
      <c r="D1" s="21"/>
      <c r="E1" s="21"/>
    </row>
    <row r="2" spans="1:6" s="22" customFormat="1" ht="15" customHeight="1">
      <c r="C2" s="26"/>
    </row>
    <row r="3" spans="1:6" s="22" customFormat="1" ht="15" customHeight="1">
      <c r="C3" s="26"/>
    </row>
    <row r="4" spans="1:6" s="22" customFormat="1" ht="30" customHeight="1">
      <c r="C4" s="26"/>
      <c r="D4" s="25"/>
    </row>
    <row r="5" spans="1:6" s="22" customFormat="1" ht="15" customHeight="1">
      <c r="C5" s="26"/>
      <c r="D5" s="25"/>
    </row>
    <row r="6" spans="1:6" s="22" customFormat="1" ht="24" customHeight="1">
      <c r="B6" s="42"/>
      <c r="C6" s="43"/>
      <c r="D6" s="43"/>
      <c r="E6" s="43"/>
    </row>
    <row r="7" spans="1:6" s="22" customFormat="1" ht="26.25" customHeight="1">
      <c r="A7" s="23"/>
      <c r="B7" s="98"/>
      <c r="C7" s="98"/>
      <c r="D7" s="98"/>
      <c r="E7" s="98"/>
      <c r="F7" s="22" t="s">
        <v>37</v>
      </c>
    </row>
    <row r="8" spans="1:6" s="22" customFormat="1" ht="33" customHeight="1">
      <c r="A8" s="23"/>
      <c r="B8" s="98"/>
      <c r="C8" s="98"/>
      <c r="D8" s="98"/>
      <c r="E8" s="98"/>
    </row>
    <row r="9" spans="1:6" s="15" customFormat="1" ht="40.5" customHeight="1">
      <c r="B9" s="44" t="s">
        <v>24</v>
      </c>
      <c r="C9" s="45" t="s">
        <v>23</v>
      </c>
      <c r="D9" s="46" t="s">
        <v>19</v>
      </c>
      <c r="E9" s="44" t="s">
        <v>18</v>
      </c>
    </row>
    <row r="10" spans="1:6" ht="15" customHeight="1">
      <c r="B10" s="95" t="s">
        <v>128</v>
      </c>
      <c r="C10" s="54" t="s">
        <v>172</v>
      </c>
      <c r="D10" s="55">
        <v>93</v>
      </c>
      <c r="E10" s="56">
        <v>4.9892703862661002E-2</v>
      </c>
    </row>
    <row r="11" spans="1:6" ht="15" customHeight="1">
      <c r="B11" s="96"/>
      <c r="C11" s="54" t="s">
        <v>171</v>
      </c>
      <c r="D11" s="55">
        <v>85</v>
      </c>
      <c r="E11" s="56">
        <v>4.5600858369099002E-2</v>
      </c>
    </row>
    <row r="12" spans="1:6" ht="15" customHeight="1">
      <c r="B12" s="96"/>
      <c r="C12" s="54" t="s">
        <v>170</v>
      </c>
      <c r="D12" s="55">
        <v>64</v>
      </c>
      <c r="E12" s="56">
        <v>3.4334763948498E-2</v>
      </c>
    </row>
    <row r="13" spans="1:6" ht="15" customHeight="1">
      <c r="B13" s="96"/>
      <c r="C13" s="54" t="s">
        <v>173</v>
      </c>
      <c r="D13" s="55">
        <v>50</v>
      </c>
      <c r="E13" s="56">
        <v>2.6824034334764001E-2</v>
      </c>
    </row>
    <row r="14" spans="1:6" ht="15" customHeight="1">
      <c r="B14" s="96"/>
      <c r="C14" s="54" t="s">
        <v>175</v>
      </c>
      <c r="D14" s="55">
        <v>20</v>
      </c>
      <c r="E14" s="56">
        <v>1.0729613733905999E-2</v>
      </c>
    </row>
    <row r="15" spans="1:6" ht="15" customHeight="1">
      <c r="B15" s="96"/>
      <c r="C15" s="54" t="s">
        <v>174</v>
      </c>
      <c r="D15" s="55">
        <v>8</v>
      </c>
      <c r="E15" s="56">
        <v>4.2918454935620002E-3</v>
      </c>
    </row>
    <row r="16" spans="1:6" ht="15" customHeight="1">
      <c r="B16" s="96"/>
      <c r="C16" s="54" t="s">
        <v>179</v>
      </c>
      <c r="D16" s="55">
        <v>6</v>
      </c>
      <c r="E16" s="56">
        <v>3.2188841201719999E-3</v>
      </c>
    </row>
    <row r="17" spans="2:5" ht="15" customHeight="1">
      <c r="B17" s="96"/>
      <c r="C17" s="54" t="s">
        <v>177</v>
      </c>
      <c r="D17" s="55">
        <v>6</v>
      </c>
      <c r="E17" s="56">
        <v>3.2188841201719999E-3</v>
      </c>
    </row>
    <row r="18" spans="2:5" ht="15" customHeight="1">
      <c r="B18" s="96"/>
      <c r="C18" s="54" t="s">
        <v>178</v>
      </c>
      <c r="D18" s="55">
        <v>5</v>
      </c>
      <c r="E18" s="56">
        <v>2.6824034334760002E-3</v>
      </c>
    </row>
    <row r="19" spans="2:5" ht="15" customHeight="1">
      <c r="B19" s="96"/>
      <c r="C19" s="54" t="s">
        <v>176</v>
      </c>
      <c r="D19" s="55">
        <v>4</v>
      </c>
      <c r="E19" s="56">
        <v>2.1459227467810001E-3</v>
      </c>
    </row>
    <row r="20" spans="2:5" ht="15" customHeight="1">
      <c r="B20" s="97"/>
      <c r="C20" s="67" t="s">
        <v>233</v>
      </c>
      <c r="D20" s="66">
        <v>341</v>
      </c>
      <c r="E20" s="68">
        <v>0.18293991416308999</v>
      </c>
    </row>
    <row r="21" spans="2:5" ht="15" customHeight="1">
      <c r="B21" s="95" t="s">
        <v>129</v>
      </c>
      <c r="C21" s="54" t="s">
        <v>170</v>
      </c>
      <c r="D21" s="55">
        <v>101</v>
      </c>
      <c r="E21" s="56">
        <v>5.4184549356223001E-2</v>
      </c>
    </row>
    <row r="22" spans="2:5" ht="15" customHeight="1">
      <c r="B22" s="96"/>
      <c r="C22" s="54" t="s">
        <v>172</v>
      </c>
      <c r="D22" s="55">
        <v>95</v>
      </c>
      <c r="E22" s="56">
        <v>5.0965665236051998E-2</v>
      </c>
    </row>
    <row r="23" spans="2:5" ht="15" customHeight="1">
      <c r="B23" s="96"/>
      <c r="C23" s="54" t="s">
        <v>171</v>
      </c>
      <c r="D23" s="55">
        <v>55</v>
      </c>
      <c r="E23" s="56">
        <v>2.9506437768239999E-2</v>
      </c>
    </row>
    <row r="24" spans="2:5" ht="15" customHeight="1">
      <c r="B24" s="96"/>
      <c r="C24" s="54" t="s">
        <v>173</v>
      </c>
      <c r="D24" s="55">
        <v>38</v>
      </c>
      <c r="E24" s="56">
        <v>2.0386266094420999E-2</v>
      </c>
    </row>
    <row r="25" spans="2:5" ht="15" customHeight="1">
      <c r="B25" s="96"/>
      <c r="C25" s="54" t="s">
        <v>174</v>
      </c>
      <c r="D25" s="55">
        <v>27</v>
      </c>
      <c r="E25" s="56">
        <v>1.4484978540773E-2</v>
      </c>
    </row>
    <row r="26" spans="2:5" ht="15" customHeight="1">
      <c r="B26" s="96"/>
      <c r="C26" s="54" t="s">
        <v>175</v>
      </c>
      <c r="D26" s="55">
        <v>14</v>
      </c>
      <c r="E26" s="56">
        <v>7.5107296137340001E-3</v>
      </c>
    </row>
    <row r="27" spans="2:5" ht="15" customHeight="1">
      <c r="B27" s="96"/>
      <c r="C27" s="54" t="s">
        <v>176</v>
      </c>
      <c r="D27" s="55">
        <v>4</v>
      </c>
      <c r="E27" s="56">
        <v>2.1459227467810001E-3</v>
      </c>
    </row>
    <row r="28" spans="2:5" ht="15" customHeight="1">
      <c r="B28" s="96"/>
      <c r="C28" s="54" t="s">
        <v>178</v>
      </c>
      <c r="D28" s="55">
        <v>1</v>
      </c>
      <c r="E28" s="56">
        <v>5.36480686695E-4</v>
      </c>
    </row>
    <row r="29" spans="2:5" ht="15" customHeight="1">
      <c r="B29" s="96"/>
      <c r="C29" s="54" t="s">
        <v>179</v>
      </c>
      <c r="D29" s="55">
        <v>1</v>
      </c>
      <c r="E29" s="56">
        <v>5.36480686695E-4</v>
      </c>
    </row>
    <row r="30" spans="2:5" ht="15" customHeight="1">
      <c r="B30" s="96"/>
      <c r="C30" s="54" t="s">
        <v>180</v>
      </c>
      <c r="D30" s="55">
        <v>1</v>
      </c>
      <c r="E30" s="56">
        <v>5.36480686695E-4</v>
      </c>
    </row>
    <row r="31" spans="2:5" ht="15" customHeight="1">
      <c r="B31" s="96"/>
      <c r="C31" s="54" t="s">
        <v>181</v>
      </c>
      <c r="D31" s="55">
        <v>1</v>
      </c>
      <c r="E31" s="56">
        <v>5.36480686695E-4</v>
      </c>
    </row>
    <row r="32" spans="2:5" ht="15" customHeight="1">
      <c r="B32" s="97"/>
      <c r="C32" s="67" t="s">
        <v>233</v>
      </c>
      <c r="D32" s="66">
        <v>338</v>
      </c>
      <c r="E32" s="68">
        <v>0.18133047210300399</v>
      </c>
    </row>
    <row r="33" spans="2:5" ht="15" customHeight="1">
      <c r="B33" s="95" t="s">
        <v>130</v>
      </c>
      <c r="C33" s="54" t="s">
        <v>173</v>
      </c>
      <c r="D33" s="55">
        <v>58</v>
      </c>
      <c r="E33" s="56">
        <v>3.1115879828326001E-2</v>
      </c>
    </row>
    <row r="34" spans="2:5" ht="15" customHeight="1">
      <c r="B34" s="96"/>
      <c r="C34" s="54" t="s">
        <v>170</v>
      </c>
      <c r="D34" s="55">
        <v>30</v>
      </c>
      <c r="E34" s="56">
        <v>1.6094420600858E-2</v>
      </c>
    </row>
    <row r="35" spans="2:5" ht="15" customHeight="1">
      <c r="B35" s="96"/>
      <c r="C35" s="54" t="s">
        <v>171</v>
      </c>
      <c r="D35" s="55">
        <v>19</v>
      </c>
      <c r="E35" s="56">
        <v>1.019313304721E-2</v>
      </c>
    </row>
    <row r="36" spans="2:5" ht="15" customHeight="1">
      <c r="B36" s="96"/>
      <c r="C36" s="54" t="s">
        <v>172</v>
      </c>
      <c r="D36" s="55">
        <v>17</v>
      </c>
      <c r="E36" s="56">
        <v>9.1201716738199996E-3</v>
      </c>
    </row>
    <row r="37" spans="2:5" ht="15" customHeight="1">
      <c r="B37" s="96"/>
      <c r="C37" s="54" t="s">
        <v>176</v>
      </c>
      <c r="D37" s="55">
        <v>5</v>
      </c>
      <c r="E37" s="56">
        <v>2.6824034334760002E-3</v>
      </c>
    </row>
    <row r="38" spans="2:5" ht="15" customHeight="1">
      <c r="B38" s="96"/>
      <c r="C38" s="54" t="s">
        <v>174</v>
      </c>
      <c r="D38" s="55">
        <v>3</v>
      </c>
      <c r="E38" s="56">
        <v>1.609442060086E-3</v>
      </c>
    </row>
    <row r="39" spans="2:5" ht="15" customHeight="1">
      <c r="B39" s="96"/>
      <c r="C39" s="54" t="s">
        <v>177</v>
      </c>
      <c r="D39" s="55">
        <v>2</v>
      </c>
      <c r="E39" s="56">
        <v>1.0729613733910001E-3</v>
      </c>
    </row>
    <row r="40" spans="2:5" ht="15" customHeight="1">
      <c r="B40" s="96"/>
      <c r="C40" s="54" t="s">
        <v>179</v>
      </c>
      <c r="D40" s="55">
        <v>1</v>
      </c>
      <c r="E40" s="56">
        <v>5.36480686695E-4</v>
      </c>
    </row>
    <row r="41" spans="2:5" ht="15" customHeight="1">
      <c r="B41" s="97"/>
      <c r="C41" s="67" t="s">
        <v>233</v>
      </c>
      <c r="D41" s="66">
        <v>135</v>
      </c>
      <c r="E41" s="68">
        <v>7.2424892703863E-2</v>
      </c>
    </row>
    <row r="42" spans="2:5" ht="15" customHeight="1">
      <c r="B42" s="95" t="s">
        <v>131</v>
      </c>
      <c r="C42" s="54" t="s">
        <v>171</v>
      </c>
      <c r="D42" s="55">
        <v>39</v>
      </c>
      <c r="E42" s="56">
        <v>2.0922746781116001E-2</v>
      </c>
    </row>
    <row r="43" spans="2:5" ht="15" customHeight="1">
      <c r="B43" s="96"/>
      <c r="C43" s="54" t="s">
        <v>170</v>
      </c>
      <c r="D43" s="55">
        <v>36</v>
      </c>
      <c r="E43" s="56">
        <v>1.9313304721029999E-2</v>
      </c>
    </row>
    <row r="44" spans="2:5" ht="15" customHeight="1">
      <c r="B44" s="96"/>
      <c r="C44" s="54" t="s">
        <v>172</v>
      </c>
      <c r="D44" s="55">
        <v>11</v>
      </c>
      <c r="E44" s="56">
        <v>5.9012875536479997E-3</v>
      </c>
    </row>
    <row r="45" spans="2:5" ht="15" customHeight="1">
      <c r="B45" s="96"/>
      <c r="C45" s="54" t="s">
        <v>173</v>
      </c>
      <c r="D45" s="55">
        <v>11</v>
      </c>
      <c r="E45" s="56">
        <v>5.9012875536479997E-3</v>
      </c>
    </row>
    <row r="46" spans="2:5" ht="15" customHeight="1">
      <c r="B46" s="96"/>
      <c r="C46" s="54" t="s">
        <v>176</v>
      </c>
      <c r="D46" s="55">
        <v>6</v>
      </c>
      <c r="E46" s="56">
        <v>3.2188841201719999E-3</v>
      </c>
    </row>
    <row r="47" spans="2:5" ht="15" customHeight="1">
      <c r="B47" s="96"/>
      <c r="C47" s="54" t="s">
        <v>174</v>
      </c>
      <c r="D47" s="55">
        <v>5</v>
      </c>
      <c r="E47" s="56">
        <v>2.6824034334760002E-3</v>
      </c>
    </row>
    <row r="48" spans="2:5" ht="15" customHeight="1">
      <c r="B48" s="96"/>
      <c r="C48" s="54" t="s">
        <v>180</v>
      </c>
      <c r="D48" s="55">
        <v>3</v>
      </c>
      <c r="E48" s="56">
        <v>1.609442060086E-3</v>
      </c>
    </row>
    <row r="49" spans="2:5" ht="15" customHeight="1">
      <c r="B49" s="96"/>
      <c r="C49" s="54" t="s">
        <v>179</v>
      </c>
      <c r="D49" s="55">
        <v>1</v>
      </c>
      <c r="E49" s="56">
        <v>5.36480686695E-4</v>
      </c>
    </row>
    <row r="50" spans="2:5" ht="15" customHeight="1">
      <c r="B50" s="96"/>
      <c r="C50" s="54" t="s">
        <v>175</v>
      </c>
      <c r="D50" s="55">
        <v>1</v>
      </c>
      <c r="E50" s="56">
        <v>5.36480686695E-4</v>
      </c>
    </row>
    <row r="51" spans="2:5" ht="15" customHeight="1">
      <c r="B51" s="97"/>
      <c r="C51" s="67" t="s">
        <v>233</v>
      </c>
      <c r="D51" s="66">
        <v>113</v>
      </c>
      <c r="E51" s="68">
        <v>6.0622317596566999E-2</v>
      </c>
    </row>
    <row r="52" spans="2:5" ht="15" customHeight="1">
      <c r="B52" s="95" t="s">
        <v>132</v>
      </c>
      <c r="C52" s="54" t="s">
        <v>171</v>
      </c>
      <c r="D52" s="55">
        <v>37</v>
      </c>
      <c r="E52" s="56">
        <v>1.9849785407725001E-2</v>
      </c>
    </row>
    <row r="53" spans="2:5" ht="15" customHeight="1">
      <c r="B53" s="96"/>
      <c r="C53" s="54" t="s">
        <v>172</v>
      </c>
      <c r="D53" s="55">
        <v>13</v>
      </c>
      <c r="E53" s="56">
        <v>6.974248927039E-3</v>
      </c>
    </row>
    <row r="54" spans="2:5" ht="15" customHeight="1">
      <c r="B54" s="96"/>
      <c r="C54" s="54" t="s">
        <v>170</v>
      </c>
      <c r="D54" s="55">
        <v>13</v>
      </c>
      <c r="E54" s="56">
        <v>6.974248927039E-3</v>
      </c>
    </row>
    <row r="55" spans="2:5" ht="15" customHeight="1">
      <c r="B55" s="96"/>
      <c r="C55" s="54" t="s">
        <v>176</v>
      </c>
      <c r="D55" s="55">
        <v>5</v>
      </c>
      <c r="E55" s="56">
        <v>2.6824034334760002E-3</v>
      </c>
    </row>
    <row r="56" spans="2:5" ht="15" customHeight="1">
      <c r="B56" s="96"/>
      <c r="C56" s="54" t="s">
        <v>173</v>
      </c>
      <c r="D56" s="55">
        <v>4</v>
      </c>
      <c r="E56" s="56">
        <v>2.1459227467810001E-3</v>
      </c>
    </row>
    <row r="57" spans="2:5" ht="15" customHeight="1">
      <c r="B57" s="96"/>
      <c r="C57" s="54" t="s">
        <v>177</v>
      </c>
      <c r="D57" s="55">
        <v>4</v>
      </c>
      <c r="E57" s="56">
        <v>2.1459227467810001E-3</v>
      </c>
    </row>
    <row r="58" spans="2:5" ht="15" customHeight="1">
      <c r="B58" s="96"/>
      <c r="C58" s="54" t="s">
        <v>178</v>
      </c>
      <c r="D58" s="55">
        <v>2</v>
      </c>
      <c r="E58" s="56">
        <v>1.0729613733910001E-3</v>
      </c>
    </row>
    <row r="59" spans="2:5" ht="15" customHeight="1">
      <c r="B59" s="96"/>
      <c r="C59" s="54" t="s">
        <v>175</v>
      </c>
      <c r="D59" s="55">
        <v>2</v>
      </c>
      <c r="E59" s="56">
        <v>1.0729613733910001E-3</v>
      </c>
    </row>
    <row r="60" spans="2:5" ht="15" customHeight="1">
      <c r="B60" s="97"/>
      <c r="C60" s="67" t="s">
        <v>233</v>
      </c>
      <c r="D60" s="66">
        <v>80</v>
      </c>
      <c r="E60" s="68">
        <v>4.2918454935621998E-2</v>
      </c>
    </row>
    <row r="61" spans="2:5" ht="15" customHeight="1">
      <c r="B61" s="95" t="s">
        <v>133</v>
      </c>
      <c r="C61" s="54" t="s">
        <v>170</v>
      </c>
      <c r="D61" s="55">
        <v>23</v>
      </c>
      <c r="E61" s="56">
        <v>1.2339055793990999E-2</v>
      </c>
    </row>
    <row r="62" spans="2:5" ht="15" customHeight="1">
      <c r="B62" s="96"/>
      <c r="C62" s="54" t="s">
        <v>176</v>
      </c>
      <c r="D62" s="55">
        <v>10</v>
      </c>
      <c r="E62" s="56">
        <v>5.3648068669529996E-3</v>
      </c>
    </row>
    <row r="63" spans="2:5" ht="15" customHeight="1">
      <c r="B63" s="96"/>
      <c r="C63" s="54" t="s">
        <v>171</v>
      </c>
      <c r="D63" s="55">
        <v>9</v>
      </c>
      <c r="E63" s="56">
        <v>4.8283261802580003E-3</v>
      </c>
    </row>
    <row r="64" spans="2:5" ht="15" customHeight="1">
      <c r="B64" s="96"/>
      <c r="C64" s="54" t="s">
        <v>175</v>
      </c>
      <c r="D64" s="55">
        <v>8</v>
      </c>
      <c r="E64" s="56">
        <v>4.2918454935620002E-3</v>
      </c>
    </row>
    <row r="65" spans="2:5" ht="15" customHeight="1">
      <c r="B65" s="96"/>
      <c r="C65" s="54" t="s">
        <v>172</v>
      </c>
      <c r="D65" s="55">
        <v>6</v>
      </c>
      <c r="E65" s="56">
        <v>3.2188841201719999E-3</v>
      </c>
    </row>
    <row r="66" spans="2:5" ht="15" customHeight="1">
      <c r="B66" s="96"/>
      <c r="C66" s="54" t="s">
        <v>174</v>
      </c>
      <c r="D66" s="55">
        <v>3</v>
      </c>
      <c r="E66" s="56">
        <v>1.609442060086E-3</v>
      </c>
    </row>
    <row r="67" spans="2:5" ht="15" customHeight="1">
      <c r="B67" s="96"/>
      <c r="C67" s="54" t="s">
        <v>173</v>
      </c>
      <c r="D67" s="55">
        <v>2</v>
      </c>
      <c r="E67" s="56">
        <v>1.0729613733910001E-3</v>
      </c>
    </row>
    <row r="68" spans="2:5" ht="15" customHeight="1">
      <c r="B68" s="96"/>
      <c r="C68" s="54" t="s">
        <v>178</v>
      </c>
      <c r="D68" s="55">
        <v>1</v>
      </c>
      <c r="E68" s="56">
        <v>5.36480686695E-4</v>
      </c>
    </row>
    <row r="69" spans="2:5" ht="15" customHeight="1">
      <c r="B69" s="96"/>
      <c r="C69" s="54" t="s">
        <v>177</v>
      </c>
      <c r="D69" s="55">
        <v>1</v>
      </c>
      <c r="E69" s="56">
        <v>5.36480686695E-4</v>
      </c>
    </row>
    <row r="70" spans="2:5" ht="15" customHeight="1">
      <c r="B70" s="96"/>
      <c r="C70" s="54" t="s">
        <v>181</v>
      </c>
      <c r="D70" s="55">
        <v>1</v>
      </c>
      <c r="E70" s="56">
        <v>5.36480686695E-4</v>
      </c>
    </row>
    <row r="71" spans="2:5" ht="15" customHeight="1">
      <c r="B71" s="97"/>
      <c r="C71" s="67" t="s">
        <v>233</v>
      </c>
      <c r="D71" s="66">
        <v>64</v>
      </c>
      <c r="E71" s="68">
        <v>3.4334763948498E-2</v>
      </c>
    </row>
    <row r="72" spans="2:5" ht="15" customHeight="1">
      <c r="B72" s="95" t="s">
        <v>134</v>
      </c>
      <c r="C72" s="54" t="s">
        <v>170</v>
      </c>
      <c r="D72" s="55">
        <v>20</v>
      </c>
      <c r="E72" s="56">
        <v>1.0729613733905999E-2</v>
      </c>
    </row>
    <row r="73" spans="2:5" ht="15" customHeight="1">
      <c r="B73" s="96"/>
      <c r="C73" s="54" t="s">
        <v>171</v>
      </c>
      <c r="D73" s="55">
        <v>17</v>
      </c>
      <c r="E73" s="56">
        <v>9.1201716738199996E-3</v>
      </c>
    </row>
    <row r="74" spans="2:5" ht="15" customHeight="1">
      <c r="B74" s="96"/>
      <c r="C74" s="54" t="s">
        <v>172</v>
      </c>
      <c r="D74" s="55">
        <v>10</v>
      </c>
      <c r="E74" s="56">
        <v>5.3648068669529996E-3</v>
      </c>
    </row>
    <row r="75" spans="2:5" ht="15" customHeight="1">
      <c r="B75" s="96"/>
      <c r="C75" s="54" t="s">
        <v>173</v>
      </c>
      <c r="D75" s="55">
        <v>5</v>
      </c>
      <c r="E75" s="56">
        <v>2.6824034334760002E-3</v>
      </c>
    </row>
    <row r="76" spans="2:5" ht="15" customHeight="1">
      <c r="B76" s="96"/>
      <c r="C76" s="54" t="s">
        <v>175</v>
      </c>
      <c r="D76" s="55">
        <v>4</v>
      </c>
      <c r="E76" s="56">
        <v>2.1459227467810001E-3</v>
      </c>
    </row>
    <row r="77" spans="2:5" ht="15" customHeight="1">
      <c r="B77" s="96"/>
      <c r="C77" s="54" t="s">
        <v>176</v>
      </c>
      <c r="D77" s="55">
        <v>3</v>
      </c>
      <c r="E77" s="56">
        <v>1.609442060086E-3</v>
      </c>
    </row>
    <row r="78" spans="2:5" ht="15" customHeight="1">
      <c r="B78" s="96"/>
      <c r="C78" s="54" t="s">
        <v>174</v>
      </c>
      <c r="D78" s="55">
        <v>3</v>
      </c>
      <c r="E78" s="56">
        <v>1.609442060086E-3</v>
      </c>
    </row>
    <row r="79" spans="2:5" ht="15" customHeight="1">
      <c r="B79" s="96"/>
      <c r="C79" s="54" t="s">
        <v>178</v>
      </c>
      <c r="D79" s="55">
        <v>1</v>
      </c>
      <c r="E79" s="56">
        <v>5.36480686695E-4</v>
      </c>
    </row>
    <row r="80" spans="2:5" ht="15" customHeight="1">
      <c r="B80" s="97"/>
      <c r="C80" s="67" t="s">
        <v>233</v>
      </c>
      <c r="D80" s="66">
        <v>63</v>
      </c>
      <c r="E80" s="68">
        <v>3.3798283261803001E-2</v>
      </c>
    </row>
    <row r="81" spans="2:5" ht="15" customHeight="1">
      <c r="B81" s="95" t="s">
        <v>135</v>
      </c>
      <c r="C81" s="54" t="s">
        <v>170</v>
      </c>
      <c r="D81" s="55">
        <v>15</v>
      </c>
      <c r="E81" s="56">
        <v>8.0472103004290002E-3</v>
      </c>
    </row>
    <row r="82" spans="2:5" ht="15" customHeight="1">
      <c r="B82" s="96"/>
      <c r="C82" s="54" t="s">
        <v>171</v>
      </c>
      <c r="D82" s="55">
        <v>15</v>
      </c>
      <c r="E82" s="56">
        <v>8.0472103004290002E-3</v>
      </c>
    </row>
    <row r="83" spans="2:5" ht="15" customHeight="1">
      <c r="B83" s="96"/>
      <c r="C83" s="54" t="s">
        <v>173</v>
      </c>
      <c r="D83" s="55">
        <v>15</v>
      </c>
      <c r="E83" s="56">
        <v>8.0472103004290002E-3</v>
      </c>
    </row>
    <row r="84" spans="2:5" ht="15" customHeight="1">
      <c r="B84" s="96"/>
      <c r="C84" s="54" t="s">
        <v>172</v>
      </c>
      <c r="D84" s="55">
        <v>5</v>
      </c>
      <c r="E84" s="56">
        <v>2.6824034334760002E-3</v>
      </c>
    </row>
    <row r="85" spans="2:5" ht="15" customHeight="1">
      <c r="B85" s="96"/>
      <c r="C85" s="54" t="s">
        <v>174</v>
      </c>
      <c r="D85" s="55">
        <v>2</v>
      </c>
      <c r="E85" s="56">
        <v>1.0729613733910001E-3</v>
      </c>
    </row>
    <row r="86" spans="2:5" ht="15" customHeight="1">
      <c r="B86" s="97"/>
      <c r="C86" s="67" t="s">
        <v>233</v>
      </c>
      <c r="D86" s="66">
        <v>52</v>
      </c>
      <c r="E86" s="68">
        <v>2.7896995708155001E-2</v>
      </c>
    </row>
    <row r="87" spans="2:5" ht="15" customHeight="1">
      <c r="B87" s="95" t="s">
        <v>136</v>
      </c>
      <c r="C87" s="54" t="s">
        <v>170</v>
      </c>
      <c r="D87" s="55">
        <v>25</v>
      </c>
      <c r="E87" s="56">
        <v>1.3412017167382001E-2</v>
      </c>
    </row>
    <row r="88" spans="2:5" ht="15" customHeight="1">
      <c r="B88" s="96"/>
      <c r="C88" s="54" t="s">
        <v>174</v>
      </c>
      <c r="D88" s="55">
        <v>13</v>
      </c>
      <c r="E88" s="56">
        <v>6.974248927039E-3</v>
      </c>
    </row>
    <row r="89" spans="2:5" ht="15" customHeight="1">
      <c r="B89" s="96"/>
      <c r="C89" s="54" t="s">
        <v>172</v>
      </c>
      <c r="D89" s="55">
        <v>7</v>
      </c>
      <c r="E89" s="56">
        <v>3.755364806867E-3</v>
      </c>
    </row>
    <row r="90" spans="2:5" ht="15" customHeight="1">
      <c r="B90" s="96"/>
      <c r="C90" s="54" t="s">
        <v>171</v>
      </c>
      <c r="D90" s="55">
        <v>3</v>
      </c>
      <c r="E90" s="56">
        <v>1.609442060086E-3</v>
      </c>
    </row>
    <row r="91" spans="2:5" ht="15" customHeight="1">
      <c r="B91" s="96"/>
      <c r="C91" s="54" t="s">
        <v>179</v>
      </c>
      <c r="D91" s="55">
        <v>2</v>
      </c>
      <c r="E91" s="56">
        <v>1.0729613733910001E-3</v>
      </c>
    </row>
    <row r="92" spans="2:5" ht="15" customHeight="1">
      <c r="B92" s="96"/>
      <c r="C92" s="54" t="s">
        <v>175</v>
      </c>
      <c r="D92" s="55">
        <v>1</v>
      </c>
      <c r="E92" s="56">
        <v>5.36480686695E-4</v>
      </c>
    </row>
    <row r="93" spans="2:5" ht="15" customHeight="1">
      <c r="B93" s="97"/>
      <c r="C93" s="67" t="s">
        <v>233</v>
      </c>
      <c r="D93" s="66">
        <v>51</v>
      </c>
      <c r="E93" s="68">
        <v>2.7360515021459E-2</v>
      </c>
    </row>
    <row r="94" spans="2:5" ht="15" customHeight="1">
      <c r="B94" s="95" t="s">
        <v>137</v>
      </c>
      <c r="C94" s="54" t="s">
        <v>170</v>
      </c>
      <c r="D94" s="55">
        <v>18</v>
      </c>
      <c r="E94" s="56">
        <v>9.6566523605149997E-3</v>
      </c>
    </row>
    <row r="95" spans="2:5" ht="15" customHeight="1">
      <c r="B95" s="96"/>
      <c r="C95" s="54" t="s">
        <v>173</v>
      </c>
      <c r="D95" s="55">
        <v>15</v>
      </c>
      <c r="E95" s="56">
        <v>8.0472103004290002E-3</v>
      </c>
    </row>
    <row r="96" spans="2:5" ht="15" customHeight="1">
      <c r="B96" s="96"/>
      <c r="C96" s="54" t="s">
        <v>171</v>
      </c>
      <c r="D96" s="55">
        <v>7</v>
      </c>
      <c r="E96" s="56">
        <v>3.755364806867E-3</v>
      </c>
    </row>
    <row r="97" spans="2:5" ht="15" customHeight="1">
      <c r="B97" s="96"/>
      <c r="C97" s="54" t="s">
        <v>172</v>
      </c>
      <c r="D97" s="55">
        <v>4</v>
      </c>
      <c r="E97" s="56">
        <v>2.1459227467810001E-3</v>
      </c>
    </row>
    <row r="98" spans="2:5" ht="15" customHeight="1">
      <c r="B98" s="96"/>
      <c r="C98" s="54" t="s">
        <v>174</v>
      </c>
      <c r="D98" s="55">
        <v>2</v>
      </c>
      <c r="E98" s="56">
        <v>1.0729613733910001E-3</v>
      </c>
    </row>
    <row r="99" spans="2:5" ht="15" customHeight="1">
      <c r="B99" s="96"/>
      <c r="C99" s="54" t="s">
        <v>178</v>
      </c>
      <c r="D99" s="55">
        <v>1</v>
      </c>
      <c r="E99" s="56">
        <v>5.36480686695E-4</v>
      </c>
    </row>
    <row r="100" spans="2:5" ht="15" customHeight="1">
      <c r="B100" s="96"/>
      <c r="C100" s="54" t="s">
        <v>175</v>
      </c>
      <c r="D100" s="55">
        <v>1</v>
      </c>
      <c r="E100" s="56">
        <v>5.36480686695E-4</v>
      </c>
    </row>
    <row r="101" spans="2:5" ht="15" customHeight="1">
      <c r="B101" s="97"/>
      <c r="C101" s="67" t="s">
        <v>233</v>
      </c>
      <c r="D101" s="66">
        <v>48</v>
      </c>
      <c r="E101" s="68">
        <v>2.5751072961372998E-2</v>
      </c>
    </row>
    <row r="102" spans="2:5" ht="15" customHeight="1">
      <c r="B102" s="95" t="s">
        <v>138</v>
      </c>
      <c r="C102" s="54" t="s">
        <v>171</v>
      </c>
      <c r="D102" s="55">
        <v>14</v>
      </c>
      <c r="E102" s="56">
        <v>7.5107296137340001E-3</v>
      </c>
    </row>
    <row r="103" spans="2:5" ht="15" customHeight="1">
      <c r="B103" s="96"/>
      <c r="C103" s="54" t="s">
        <v>172</v>
      </c>
      <c r="D103" s="55">
        <v>8</v>
      </c>
      <c r="E103" s="56">
        <v>4.2918454935620002E-3</v>
      </c>
    </row>
    <row r="104" spans="2:5" ht="15" customHeight="1">
      <c r="B104" s="96"/>
      <c r="C104" s="54" t="s">
        <v>170</v>
      </c>
      <c r="D104" s="55">
        <v>6</v>
      </c>
      <c r="E104" s="56">
        <v>3.2188841201719999E-3</v>
      </c>
    </row>
    <row r="105" spans="2:5" ht="15" customHeight="1">
      <c r="B105" s="96"/>
      <c r="C105" s="54" t="s">
        <v>176</v>
      </c>
      <c r="D105" s="55">
        <v>4</v>
      </c>
      <c r="E105" s="56">
        <v>2.1459227467810001E-3</v>
      </c>
    </row>
    <row r="106" spans="2:5" ht="15" customHeight="1">
      <c r="B106" s="96"/>
      <c r="C106" s="54" t="s">
        <v>173</v>
      </c>
      <c r="D106" s="55">
        <v>3</v>
      </c>
      <c r="E106" s="56">
        <v>1.609442060086E-3</v>
      </c>
    </row>
    <row r="107" spans="2:5" ht="15" customHeight="1">
      <c r="B107" s="96"/>
      <c r="C107" s="54" t="s">
        <v>175</v>
      </c>
      <c r="D107" s="55">
        <v>2</v>
      </c>
      <c r="E107" s="56">
        <v>1.0729613733910001E-3</v>
      </c>
    </row>
    <row r="108" spans="2:5" ht="15" customHeight="1">
      <c r="B108" s="96"/>
      <c r="C108" s="54" t="s">
        <v>178</v>
      </c>
      <c r="D108" s="55">
        <v>1</v>
      </c>
      <c r="E108" s="56">
        <v>5.36480686695E-4</v>
      </c>
    </row>
    <row r="109" spans="2:5" ht="15" customHeight="1">
      <c r="B109" s="96"/>
      <c r="C109" s="54" t="s">
        <v>174</v>
      </c>
      <c r="D109" s="55">
        <v>1</v>
      </c>
      <c r="E109" s="56">
        <v>5.36480686695E-4</v>
      </c>
    </row>
    <row r="110" spans="2:5" ht="15" customHeight="1">
      <c r="B110" s="96"/>
      <c r="C110" s="54" t="s">
        <v>179</v>
      </c>
      <c r="D110" s="55">
        <v>1</v>
      </c>
      <c r="E110" s="56">
        <v>5.36480686695E-4</v>
      </c>
    </row>
    <row r="111" spans="2:5" ht="15" customHeight="1">
      <c r="B111" s="97"/>
      <c r="C111" s="67" t="s">
        <v>233</v>
      </c>
      <c r="D111" s="66">
        <v>40</v>
      </c>
      <c r="E111" s="68">
        <v>2.1459227467810999E-2</v>
      </c>
    </row>
    <row r="112" spans="2:5" ht="15" customHeight="1">
      <c r="B112" s="95" t="s">
        <v>139</v>
      </c>
      <c r="C112" s="54" t="s">
        <v>171</v>
      </c>
      <c r="D112" s="55">
        <v>12</v>
      </c>
      <c r="E112" s="56">
        <v>6.4377682403429998E-3</v>
      </c>
    </row>
    <row r="113" spans="2:5" ht="15" customHeight="1">
      <c r="B113" s="96"/>
      <c r="C113" s="54" t="s">
        <v>170</v>
      </c>
      <c r="D113" s="55">
        <v>9</v>
      </c>
      <c r="E113" s="56">
        <v>4.8283261802580003E-3</v>
      </c>
    </row>
    <row r="114" spans="2:5" ht="15" customHeight="1">
      <c r="B114" s="96"/>
      <c r="C114" s="54" t="s">
        <v>173</v>
      </c>
      <c r="D114" s="55">
        <v>9</v>
      </c>
      <c r="E114" s="56">
        <v>4.8283261802580003E-3</v>
      </c>
    </row>
    <row r="115" spans="2:5" ht="15" customHeight="1">
      <c r="B115" s="96"/>
      <c r="C115" s="54" t="s">
        <v>172</v>
      </c>
      <c r="D115" s="55">
        <v>4</v>
      </c>
      <c r="E115" s="56">
        <v>2.1459227467810001E-3</v>
      </c>
    </row>
    <row r="116" spans="2:5" ht="15" customHeight="1">
      <c r="B116" s="96"/>
      <c r="C116" s="54" t="s">
        <v>174</v>
      </c>
      <c r="D116" s="55">
        <v>3</v>
      </c>
      <c r="E116" s="56">
        <v>1.609442060086E-3</v>
      </c>
    </row>
    <row r="117" spans="2:5" ht="15" customHeight="1">
      <c r="B117" s="96"/>
      <c r="C117" s="54" t="s">
        <v>179</v>
      </c>
      <c r="D117" s="55">
        <v>1</v>
      </c>
      <c r="E117" s="56">
        <v>5.36480686695E-4</v>
      </c>
    </row>
    <row r="118" spans="2:5" ht="15" customHeight="1">
      <c r="B118" s="96"/>
      <c r="C118" s="54" t="s">
        <v>175</v>
      </c>
      <c r="D118" s="55">
        <v>1</v>
      </c>
      <c r="E118" s="56">
        <v>5.36480686695E-4</v>
      </c>
    </row>
    <row r="119" spans="2:5" ht="15" customHeight="1">
      <c r="B119" s="97"/>
      <c r="C119" s="67" t="s">
        <v>233</v>
      </c>
      <c r="D119" s="66">
        <v>39</v>
      </c>
      <c r="E119" s="68">
        <v>2.0922746781116001E-2</v>
      </c>
    </row>
    <row r="120" spans="2:5" ht="15" customHeight="1">
      <c r="B120" s="95" t="s">
        <v>140</v>
      </c>
      <c r="C120" s="54" t="s">
        <v>172</v>
      </c>
      <c r="D120" s="55">
        <v>23</v>
      </c>
      <c r="E120" s="56">
        <v>1.2339055793990999E-2</v>
      </c>
    </row>
    <row r="121" spans="2:5" ht="15" customHeight="1">
      <c r="B121" s="96"/>
      <c r="C121" s="54" t="s">
        <v>170</v>
      </c>
      <c r="D121" s="55">
        <v>6</v>
      </c>
      <c r="E121" s="56">
        <v>3.2188841201719999E-3</v>
      </c>
    </row>
    <row r="122" spans="2:5" ht="15" customHeight="1">
      <c r="B122" s="96"/>
      <c r="C122" s="54" t="s">
        <v>171</v>
      </c>
      <c r="D122" s="55">
        <v>5</v>
      </c>
      <c r="E122" s="56">
        <v>2.6824034334760002E-3</v>
      </c>
    </row>
    <row r="123" spans="2:5" ht="15" customHeight="1">
      <c r="B123" s="96"/>
      <c r="C123" s="54" t="s">
        <v>178</v>
      </c>
      <c r="D123" s="55">
        <v>2</v>
      </c>
      <c r="E123" s="56">
        <v>1.0729613733910001E-3</v>
      </c>
    </row>
    <row r="124" spans="2:5" ht="15" customHeight="1">
      <c r="B124" s="96"/>
      <c r="C124" s="54" t="s">
        <v>179</v>
      </c>
      <c r="D124" s="55">
        <v>1</v>
      </c>
      <c r="E124" s="56">
        <v>5.36480686695E-4</v>
      </c>
    </row>
    <row r="125" spans="2:5" ht="15" customHeight="1">
      <c r="B125" s="97"/>
      <c r="C125" s="67" t="s">
        <v>233</v>
      </c>
      <c r="D125" s="66">
        <v>37</v>
      </c>
      <c r="E125" s="68">
        <v>1.9849785407725001E-2</v>
      </c>
    </row>
    <row r="126" spans="2:5" ht="15" customHeight="1">
      <c r="B126" s="95" t="s">
        <v>141</v>
      </c>
      <c r="C126" s="54" t="s">
        <v>170</v>
      </c>
      <c r="D126" s="55">
        <v>9</v>
      </c>
      <c r="E126" s="56">
        <v>4.8283261802580003E-3</v>
      </c>
    </row>
    <row r="127" spans="2:5" ht="15" customHeight="1">
      <c r="B127" s="96"/>
      <c r="C127" s="54" t="s">
        <v>172</v>
      </c>
      <c r="D127" s="55">
        <v>8</v>
      </c>
      <c r="E127" s="56">
        <v>4.2918454935620002E-3</v>
      </c>
    </row>
    <row r="128" spans="2:5" ht="15" customHeight="1">
      <c r="B128" s="96"/>
      <c r="C128" s="54" t="s">
        <v>171</v>
      </c>
      <c r="D128" s="55">
        <v>8</v>
      </c>
      <c r="E128" s="56">
        <v>4.2918454935620002E-3</v>
      </c>
    </row>
    <row r="129" spans="2:5" ht="15" customHeight="1">
      <c r="B129" s="96"/>
      <c r="C129" s="54" t="s">
        <v>173</v>
      </c>
      <c r="D129" s="55">
        <v>7</v>
      </c>
      <c r="E129" s="56">
        <v>3.755364806867E-3</v>
      </c>
    </row>
    <row r="130" spans="2:5" ht="15" customHeight="1">
      <c r="B130" s="96"/>
      <c r="C130" s="54" t="s">
        <v>176</v>
      </c>
      <c r="D130" s="55">
        <v>1</v>
      </c>
      <c r="E130" s="56">
        <v>5.36480686695E-4</v>
      </c>
    </row>
    <row r="131" spans="2:5" ht="15" customHeight="1">
      <c r="B131" s="96"/>
      <c r="C131" s="54" t="s">
        <v>177</v>
      </c>
      <c r="D131" s="55">
        <v>1</v>
      </c>
      <c r="E131" s="56">
        <v>5.36480686695E-4</v>
      </c>
    </row>
    <row r="132" spans="2:5" ht="15" customHeight="1">
      <c r="B132" s="97"/>
      <c r="C132" s="67" t="s">
        <v>233</v>
      </c>
      <c r="D132" s="66">
        <v>34</v>
      </c>
      <c r="E132" s="68">
        <v>1.8240343347639E-2</v>
      </c>
    </row>
    <row r="133" spans="2:5" ht="15" customHeight="1">
      <c r="B133" s="95" t="s">
        <v>142</v>
      </c>
      <c r="C133" s="54" t="s">
        <v>170</v>
      </c>
      <c r="D133" s="55">
        <v>11</v>
      </c>
      <c r="E133" s="56">
        <v>5.9012875536479997E-3</v>
      </c>
    </row>
    <row r="134" spans="2:5" ht="15" customHeight="1">
      <c r="B134" s="96"/>
      <c r="C134" s="54" t="s">
        <v>171</v>
      </c>
      <c r="D134" s="55">
        <v>7</v>
      </c>
      <c r="E134" s="56">
        <v>3.755364806867E-3</v>
      </c>
    </row>
    <row r="135" spans="2:5" ht="15" customHeight="1">
      <c r="B135" s="96"/>
      <c r="C135" s="54" t="s">
        <v>174</v>
      </c>
      <c r="D135" s="55">
        <v>6</v>
      </c>
      <c r="E135" s="56">
        <v>3.2188841201719999E-3</v>
      </c>
    </row>
    <row r="136" spans="2:5" ht="15" customHeight="1">
      <c r="B136" s="96"/>
      <c r="C136" s="54" t="s">
        <v>176</v>
      </c>
      <c r="D136" s="55">
        <v>5</v>
      </c>
      <c r="E136" s="56">
        <v>2.6824034334760002E-3</v>
      </c>
    </row>
    <row r="137" spans="2:5" ht="15" customHeight="1">
      <c r="B137" s="96"/>
      <c r="C137" s="54" t="s">
        <v>172</v>
      </c>
      <c r="D137" s="55">
        <v>2</v>
      </c>
      <c r="E137" s="56">
        <v>1.0729613733910001E-3</v>
      </c>
    </row>
    <row r="138" spans="2:5" ht="15" customHeight="1">
      <c r="B138" s="96"/>
      <c r="C138" s="54" t="s">
        <v>179</v>
      </c>
      <c r="D138" s="55">
        <v>2</v>
      </c>
      <c r="E138" s="56">
        <v>1.0729613733910001E-3</v>
      </c>
    </row>
    <row r="139" spans="2:5" ht="15" customHeight="1">
      <c r="B139" s="96"/>
      <c r="C139" s="54" t="s">
        <v>175</v>
      </c>
      <c r="D139" s="55">
        <v>1</v>
      </c>
      <c r="E139" s="56">
        <v>5.36480686695E-4</v>
      </c>
    </row>
    <row r="140" spans="2:5" ht="15" customHeight="1">
      <c r="B140" s="97"/>
      <c r="C140" s="67" t="s">
        <v>233</v>
      </c>
      <c r="D140" s="66">
        <v>34</v>
      </c>
      <c r="E140" s="68">
        <v>1.8240343347639E-2</v>
      </c>
    </row>
    <row r="141" spans="2:5" ht="15" customHeight="1">
      <c r="B141" s="95" t="s">
        <v>143</v>
      </c>
      <c r="C141" s="54" t="s">
        <v>171</v>
      </c>
      <c r="D141" s="55">
        <v>11</v>
      </c>
      <c r="E141" s="56">
        <v>5.9012875536479997E-3</v>
      </c>
    </row>
    <row r="142" spans="2:5" ht="15" customHeight="1">
      <c r="B142" s="96"/>
      <c r="C142" s="54" t="s">
        <v>172</v>
      </c>
      <c r="D142" s="55">
        <v>10</v>
      </c>
      <c r="E142" s="56">
        <v>5.3648068669529996E-3</v>
      </c>
    </row>
    <row r="143" spans="2:5" ht="15" customHeight="1">
      <c r="B143" s="96"/>
      <c r="C143" s="54" t="s">
        <v>173</v>
      </c>
      <c r="D143" s="55">
        <v>4</v>
      </c>
      <c r="E143" s="56">
        <v>2.1459227467810001E-3</v>
      </c>
    </row>
    <row r="144" spans="2:5" ht="15" customHeight="1">
      <c r="B144" s="96"/>
      <c r="C144" s="54" t="s">
        <v>174</v>
      </c>
      <c r="D144" s="55">
        <v>3</v>
      </c>
      <c r="E144" s="56">
        <v>1.609442060086E-3</v>
      </c>
    </row>
    <row r="145" spans="2:5" ht="15" customHeight="1">
      <c r="B145" s="96"/>
      <c r="C145" s="54" t="s">
        <v>170</v>
      </c>
      <c r="D145" s="55">
        <v>3</v>
      </c>
      <c r="E145" s="56">
        <v>1.609442060086E-3</v>
      </c>
    </row>
    <row r="146" spans="2:5" ht="15" customHeight="1">
      <c r="B146" s="96"/>
      <c r="C146" s="54" t="s">
        <v>177</v>
      </c>
      <c r="D146" s="55">
        <v>1</v>
      </c>
      <c r="E146" s="56">
        <v>5.36480686695E-4</v>
      </c>
    </row>
    <row r="147" spans="2:5" ht="15" customHeight="1">
      <c r="B147" s="96"/>
      <c r="C147" s="54" t="s">
        <v>175</v>
      </c>
      <c r="D147" s="55">
        <v>1</v>
      </c>
      <c r="E147" s="56">
        <v>5.36480686695E-4</v>
      </c>
    </row>
    <row r="148" spans="2:5" ht="15" customHeight="1">
      <c r="B148" s="97"/>
      <c r="C148" s="67" t="s">
        <v>233</v>
      </c>
      <c r="D148" s="66">
        <v>33</v>
      </c>
      <c r="E148" s="68">
        <v>1.7703862660944002E-2</v>
      </c>
    </row>
    <row r="149" spans="2:5" ht="15" customHeight="1">
      <c r="B149" s="95" t="s">
        <v>144</v>
      </c>
      <c r="C149" s="54" t="s">
        <v>172</v>
      </c>
      <c r="D149" s="55">
        <v>9</v>
      </c>
      <c r="E149" s="56">
        <v>4.8283261802580003E-3</v>
      </c>
    </row>
    <row r="150" spans="2:5" ht="15" customHeight="1">
      <c r="B150" s="96"/>
      <c r="C150" s="54" t="s">
        <v>171</v>
      </c>
      <c r="D150" s="55">
        <v>8</v>
      </c>
      <c r="E150" s="56">
        <v>4.2918454935620002E-3</v>
      </c>
    </row>
    <row r="151" spans="2:5" ht="15" customHeight="1">
      <c r="B151" s="96"/>
      <c r="C151" s="54" t="s">
        <v>173</v>
      </c>
      <c r="D151" s="55">
        <v>6</v>
      </c>
      <c r="E151" s="56">
        <v>3.2188841201719999E-3</v>
      </c>
    </row>
    <row r="152" spans="2:5" ht="15" customHeight="1">
      <c r="B152" s="96"/>
      <c r="C152" s="54" t="s">
        <v>170</v>
      </c>
      <c r="D152" s="55">
        <v>5</v>
      </c>
      <c r="E152" s="56">
        <v>2.6824034334760002E-3</v>
      </c>
    </row>
    <row r="153" spans="2:5" ht="15" customHeight="1">
      <c r="B153" s="96"/>
      <c r="C153" s="54" t="s">
        <v>174</v>
      </c>
      <c r="D153" s="55">
        <v>2</v>
      </c>
      <c r="E153" s="56">
        <v>1.0729613733910001E-3</v>
      </c>
    </row>
    <row r="154" spans="2:5" ht="15" customHeight="1">
      <c r="B154" s="96"/>
      <c r="C154" s="54" t="s">
        <v>175</v>
      </c>
      <c r="D154" s="55">
        <v>2</v>
      </c>
      <c r="E154" s="56">
        <v>1.0729613733910001E-3</v>
      </c>
    </row>
    <row r="155" spans="2:5" ht="15" customHeight="1">
      <c r="B155" s="96"/>
      <c r="C155" s="54" t="s">
        <v>176</v>
      </c>
      <c r="D155" s="55">
        <v>1</v>
      </c>
      <c r="E155" s="56">
        <v>5.36480686695E-4</v>
      </c>
    </row>
    <row r="156" spans="2:5" ht="15" customHeight="1">
      <c r="B156" s="97"/>
      <c r="C156" s="67" t="s">
        <v>233</v>
      </c>
      <c r="D156" s="66">
        <v>33</v>
      </c>
      <c r="E156" s="68">
        <v>1.7703862660944002E-2</v>
      </c>
    </row>
    <row r="157" spans="2:5" ht="15" customHeight="1">
      <c r="B157" s="95" t="s">
        <v>145</v>
      </c>
      <c r="C157" s="54" t="s">
        <v>171</v>
      </c>
      <c r="D157" s="55">
        <v>10</v>
      </c>
      <c r="E157" s="56">
        <v>5.3648068669529996E-3</v>
      </c>
    </row>
    <row r="158" spans="2:5" ht="15" customHeight="1">
      <c r="B158" s="96"/>
      <c r="C158" s="54" t="s">
        <v>172</v>
      </c>
      <c r="D158" s="55">
        <v>6</v>
      </c>
      <c r="E158" s="56">
        <v>3.2188841201719999E-3</v>
      </c>
    </row>
    <row r="159" spans="2:5" ht="15" customHeight="1">
      <c r="B159" s="96"/>
      <c r="C159" s="54" t="s">
        <v>170</v>
      </c>
      <c r="D159" s="55">
        <v>5</v>
      </c>
      <c r="E159" s="56">
        <v>2.6824034334760002E-3</v>
      </c>
    </row>
    <row r="160" spans="2:5" ht="15" customHeight="1">
      <c r="B160" s="96"/>
      <c r="C160" s="54" t="s">
        <v>173</v>
      </c>
      <c r="D160" s="55">
        <v>5</v>
      </c>
      <c r="E160" s="56">
        <v>2.6824034334760002E-3</v>
      </c>
    </row>
    <row r="161" spans="2:5" ht="15" customHeight="1">
      <c r="B161" s="96"/>
      <c r="C161" s="54" t="s">
        <v>174</v>
      </c>
      <c r="D161" s="55">
        <v>2</v>
      </c>
      <c r="E161" s="56">
        <v>1.0729613733910001E-3</v>
      </c>
    </row>
    <row r="162" spans="2:5" ht="15" customHeight="1">
      <c r="B162" s="96"/>
      <c r="C162" s="54" t="s">
        <v>176</v>
      </c>
      <c r="D162" s="55">
        <v>1</v>
      </c>
      <c r="E162" s="56">
        <v>5.36480686695E-4</v>
      </c>
    </row>
    <row r="163" spans="2:5" ht="15" customHeight="1">
      <c r="B163" s="96"/>
      <c r="C163" s="54" t="s">
        <v>175</v>
      </c>
      <c r="D163" s="55">
        <v>1</v>
      </c>
      <c r="E163" s="56">
        <v>5.36480686695E-4</v>
      </c>
    </row>
    <row r="164" spans="2:5" ht="15" customHeight="1">
      <c r="B164" s="96"/>
      <c r="C164" s="54" t="s">
        <v>180</v>
      </c>
      <c r="D164" s="55">
        <v>1</v>
      </c>
      <c r="E164" s="56">
        <v>5.36480686695E-4</v>
      </c>
    </row>
    <row r="165" spans="2:5" ht="15" customHeight="1">
      <c r="B165" s="97"/>
      <c r="C165" s="67" t="s">
        <v>233</v>
      </c>
      <c r="D165" s="66">
        <v>31</v>
      </c>
      <c r="E165" s="68">
        <v>1.6630901287554001E-2</v>
      </c>
    </row>
    <row r="166" spans="2:5" ht="15" customHeight="1">
      <c r="B166" s="95" t="s">
        <v>146</v>
      </c>
      <c r="C166" s="54" t="s">
        <v>172</v>
      </c>
      <c r="D166" s="55">
        <v>10</v>
      </c>
      <c r="E166" s="56">
        <v>5.3648068669529996E-3</v>
      </c>
    </row>
    <row r="167" spans="2:5" ht="15" customHeight="1">
      <c r="B167" s="96"/>
      <c r="C167" s="54" t="s">
        <v>171</v>
      </c>
      <c r="D167" s="55">
        <v>7</v>
      </c>
      <c r="E167" s="56">
        <v>3.755364806867E-3</v>
      </c>
    </row>
    <row r="168" spans="2:5" ht="15" customHeight="1">
      <c r="B168" s="96"/>
      <c r="C168" s="54" t="s">
        <v>173</v>
      </c>
      <c r="D168" s="55">
        <v>7</v>
      </c>
      <c r="E168" s="56">
        <v>3.755364806867E-3</v>
      </c>
    </row>
    <row r="169" spans="2:5" ht="15" customHeight="1">
      <c r="B169" s="96"/>
      <c r="C169" s="54" t="s">
        <v>170</v>
      </c>
      <c r="D169" s="55">
        <v>6</v>
      </c>
      <c r="E169" s="56">
        <v>3.2188841201719999E-3</v>
      </c>
    </row>
    <row r="170" spans="2:5" ht="15" customHeight="1">
      <c r="B170" s="97"/>
      <c r="C170" s="67" t="s">
        <v>233</v>
      </c>
      <c r="D170" s="66">
        <v>30</v>
      </c>
      <c r="E170" s="68">
        <v>1.6094420600858E-2</v>
      </c>
    </row>
    <row r="171" spans="2:5" ht="15" customHeight="1">
      <c r="B171" s="95" t="s">
        <v>147</v>
      </c>
      <c r="C171" s="54" t="s">
        <v>172</v>
      </c>
      <c r="D171" s="55">
        <v>11</v>
      </c>
      <c r="E171" s="56">
        <v>5.9012875536479997E-3</v>
      </c>
    </row>
    <row r="172" spans="2:5" ht="15" customHeight="1">
      <c r="B172" s="96"/>
      <c r="C172" s="54" t="s">
        <v>170</v>
      </c>
      <c r="D172" s="55">
        <v>6</v>
      </c>
      <c r="E172" s="56">
        <v>3.2188841201719999E-3</v>
      </c>
    </row>
    <row r="173" spans="2:5" ht="15" customHeight="1">
      <c r="B173" s="96"/>
      <c r="C173" s="54" t="s">
        <v>173</v>
      </c>
      <c r="D173" s="55">
        <v>6</v>
      </c>
      <c r="E173" s="56">
        <v>3.2188841201719999E-3</v>
      </c>
    </row>
    <row r="174" spans="2:5" ht="15" customHeight="1">
      <c r="B174" s="96"/>
      <c r="C174" s="54" t="s">
        <v>171</v>
      </c>
      <c r="D174" s="55">
        <v>3</v>
      </c>
      <c r="E174" s="56">
        <v>1.609442060086E-3</v>
      </c>
    </row>
    <row r="175" spans="2:5" ht="15" customHeight="1">
      <c r="B175" s="96"/>
      <c r="C175" s="54" t="s">
        <v>178</v>
      </c>
      <c r="D175" s="55">
        <v>1</v>
      </c>
      <c r="E175" s="56">
        <v>5.36480686695E-4</v>
      </c>
    </row>
    <row r="176" spans="2:5" ht="15" customHeight="1">
      <c r="B176" s="96"/>
      <c r="C176" s="54" t="s">
        <v>179</v>
      </c>
      <c r="D176" s="55">
        <v>1</v>
      </c>
      <c r="E176" s="56">
        <v>5.36480686695E-4</v>
      </c>
    </row>
    <row r="177" spans="2:5" ht="15" customHeight="1">
      <c r="B177" s="96"/>
      <c r="C177" s="54" t="s">
        <v>175</v>
      </c>
      <c r="D177" s="55">
        <v>1</v>
      </c>
      <c r="E177" s="56">
        <v>5.36480686695E-4</v>
      </c>
    </row>
    <row r="178" spans="2:5" ht="15" customHeight="1">
      <c r="B178" s="97"/>
      <c r="C178" s="67" t="s">
        <v>233</v>
      </c>
      <c r="D178" s="66">
        <v>29</v>
      </c>
      <c r="E178" s="68">
        <v>1.5557939914163E-2</v>
      </c>
    </row>
    <row r="179" spans="2:5" ht="15" customHeight="1">
      <c r="B179" s="95" t="s">
        <v>148</v>
      </c>
      <c r="C179" s="54" t="s">
        <v>171</v>
      </c>
      <c r="D179" s="55">
        <v>14</v>
      </c>
      <c r="E179" s="56">
        <v>7.5107296137340001E-3</v>
      </c>
    </row>
    <row r="180" spans="2:5" ht="15" customHeight="1">
      <c r="B180" s="96"/>
      <c r="C180" s="54" t="s">
        <v>172</v>
      </c>
      <c r="D180" s="55">
        <v>4</v>
      </c>
      <c r="E180" s="56">
        <v>2.1459227467810001E-3</v>
      </c>
    </row>
    <row r="181" spans="2:5" ht="15" customHeight="1">
      <c r="B181" s="96"/>
      <c r="C181" s="54" t="s">
        <v>170</v>
      </c>
      <c r="D181" s="55">
        <v>3</v>
      </c>
      <c r="E181" s="56">
        <v>1.609442060086E-3</v>
      </c>
    </row>
    <row r="182" spans="2:5" ht="15" customHeight="1">
      <c r="B182" s="96"/>
      <c r="C182" s="54" t="s">
        <v>174</v>
      </c>
      <c r="D182" s="55">
        <v>1</v>
      </c>
      <c r="E182" s="56">
        <v>5.36480686695E-4</v>
      </c>
    </row>
    <row r="183" spans="2:5" ht="15" customHeight="1">
      <c r="B183" s="96"/>
      <c r="C183" s="54" t="s">
        <v>177</v>
      </c>
      <c r="D183" s="55">
        <v>1</v>
      </c>
      <c r="E183" s="56">
        <v>5.36480686695E-4</v>
      </c>
    </row>
    <row r="184" spans="2:5" ht="15" customHeight="1">
      <c r="B184" s="96"/>
      <c r="C184" s="54" t="s">
        <v>175</v>
      </c>
      <c r="D184" s="55">
        <v>1</v>
      </c>
      <c r="E184" s="56">
        <v>5.36480686695E-4</v>
      </c>
    </row>
    <row r="185" spans="2:5" ht="15" customHeight="1">
      <c r="B185" s="97"/>
      <c r="C185" s="67" t="s">
        <v>233</v>
      </c>
      <c r="D185" s="66">
        <v>24</v>
      </c>
      <c r="E185" s="68">
        <v>1.2875536480687001E-2</v>
      </c>
    </row>
    <row r="186" spans="2:5" ht="15" customHeight="1">
      <c r="B186" s="95" t="s">
        <v>149</v>
      </c>
      <c r="C186" s="54" t="s">
        <v>170</v>
      </c>
      <c r="D186" s="55">
        <v>11</v>
      </c>
      <c r="E186" s="56">
        <v>5.9012875536479997E-3</v>
      </c>
    </row>
    <row r="187" spans="2:5" ht="15" customHeight="1">
      <c r="B187" s="96"/>
      <c r="C187" s="54" t="s">
        <v>171</v>
      </c>
      <c r="D187" s="55">
        <v>6</v>
      </c>
      <c r="E187" s="56">
        <v>3.2188841201719999E-3</v>
      </c>
    </row>
    <row r="188" spans="2:5" ht="15" customHeight="1">
      <c r="B188" s="96"/>
      <c r="C188" s="54" t="s">
        <v>172</v>
      </c>
      <c r="D188" s="55">
        <v>4</v>
      </c>
      <c r="E188" s="56">
        <v>2.1459227467810001E-3</v>
      </c>
    </row>
    <row r="189" spans="2:5" ht="15" customHeight="1">
      <c r="B189" s="96"/>
      <c r="C189" s="54" t="s">
        <v>176</v>
      </c>
      <c r="D189" s="55">
        <v>1</v>
      </c>
      <c r="E189" s="56">
        <v>5.36480686695E-4</v>
      </c>
    </row>
    <row r="190" spans="2:5" ht="15" customHeight="1">
      <c r="B190" s="96"/>
      <c r="C190" s="54" t="s">
        <v>173</v>
      </c>
      <c r="D190" s="55">
        <v>1</v>
      </c>
      <c r="E190" s="56">
        <v>5.36480686695E-4</v>
      </c>
    </row>
    <row r="191" spans="2:5" ht="15" customHeight="1">
      <c r="B191" s="97"/>
      <c r="C191" s="67" t="s">
        <v>233</v>
      </c>
      <c r="D191" s="66">
        <v>23</v>
      </c>
      <c r="E191" s="68">
        <v>1.2339055793990999E-2</v>
      </c>
    </row>
    <row r="192" spans="2:5" ht="15" customHeight="1">
      <c r="B192" s="95" t="s">
        <v>150</v>
      </c>
      <c r="C192" s="54" t="s">
        <v>171</v>
      </c>
      <c r="D192" s="55">
        <v>9</v>
      </c>
      <c r="E192" s="56">
        <v>4.8283261802580003E-3</v>
      </c>
    </row>
    <row r="193" spans="2:5" ht="15" customHeight="1">
      <c r="B193" s="96"/>
      <c r="C193" s="54" t="s">
        <v>172</v>
      </c>
      <c r="D193" s="55">
        <v>7</v>
      </c>
      <c r="E193" s="56">
        <v>3.755364806867E-3</v>
      </c>
    </row>
    <row r="194" spans="2:5" ht="15" customHeight="1">
      <c r="B194" s="96"/>
      <c r="C194" s="54" t="s">
        <v>173</v>
      </c>
      <c r="D194" s="55">
        <v>4</v>
      </c>
      <c r="E194" s="56">
        <v>2.1459227467810001E-3</v>
      </c>
    </row>
    <row r="195" spans="2:5" ht="15" customHeight="1">
      <c r="B195" s="96"/>
      <c r="C195" s="54" t="s">
        <v>170</v>
      </c>
      <c r="D195" s="55">
        <v>2</v>
      </c>
      <c r="E195" s="56">
        <v>1.0729613733910001E-3</v>
      </c>
    </row>
    <row r="196" spans="2:5" ht="15" customHeight="1">
      <c r="B196" s="96"/>
      <c r="C196" s="54" t="s">
        <v>180</v>
      </c>
      <c r="D196" s="55">
        <v>1</v>
      </c>
      <c r="E196" s="56">
        <v>5.36480686695E-4</v>
      </c>
    </row>
    <row r="197" spans="2:5" ht="15" customHeight="1">
      <c r="B197" s="97"/>
      <c r="C197" s="67" t="s">
        <v>233</v>
      </c>
      <c r="D197" s="66">
        <v>23</v>
      </c>
      <c r="E197" s="68">
        <v>1.2339055793990999E-2</v>
      </c>
    </row>
    <row r="198" spans="2:5" ht="15" customHeight="1">
      <c r="B198" s="95" t="s">
        <v>151</v>
      </c>
      <c r="C198" s="54" t="s">
        <v>170</v>
      </c>
      <c r="D198" s="55">
        <v>9</v>
      </c>
      <c r="E198" s="56">
        <v>4.8283261802580003E-3</v>
      </c>
    </row>
    <row r="199" spans="2:5" ht="15" customHeight="1">
      <c r="B199" s="96"/>
      <c r="C199" s="54" t="s">
        <v>171</v>
      </c>
      <c r="D199" s="55">
        <v>6</v>
      </c>
      <c r="E199" s="56">
        <v>3.2188841201719999E-3</v>
      </c>
    </row>
    <row r="200" spans="2:5" ht="15" customHeight="1">
      <c r="B200" s="96"/>
      <c r="C200" s="54" t="s">
        <v>173</v>
      </c>
      <c r="D200" s="55">
        <v>4</v>
      </c>
      <c r="E200" s="56">
        <v>2.1459227467810001E-3</v>
      </c>
    </row>
    <row r="201" spans="2:5" ht="15" customHeight="1">
      <c r="B201" s="96"/>
      <c r="C201" s="54" t="s">
        <v>176</v>
      </c>
      <c r="D201" s="55">
        <v>1</v>
      </c>
      <c r="E201" s="56">
        <v>5.36480686695E-4</v>
      </c>
    </row>
    <row r="202" spans="2:5" ht="15" customHeight="1">
      <c r="B202" s="96"/>
      <c r="C202" s="54" t="s">
        <v>178</v>
      </c>
      <c r="D202" s="55">
        <v>1</v>
      </c>
      <c r="E202" s="56">
        <v>5.36480686695E-4</v>
      </c>
    </row>
    <row r="203" spans="2:5" ht="15" customHeight="1">
      <c r="B203" s="96"/>
      <c r="C203" s="54" t="s">
        <v>172</v>
      </c>
      <c r="D203" s="55">
        <v>1</v>
      </c>
      <c r="E203" s="56">
        <v>5.36480686695E-4</v>
      </c>
    </row>
    <row r="204" spans="2:5" ht="15" customHeight="1">
      <c r="B204" s="97"/>
      <c r="C204" s="67" t="s">
        <v>233</v>
      </c>
      <c r="D204" s="66">
        <v>22</v>
      </c>
      <c r="E204" s="68">
        <v>1.1802575107295999E-2</v>
      </c>
    </row>
    <row r="205" spans="2:5" ht="15" customHeight="1">
      <c r="B205" s="95" t="s">
        <v>152</v>
      </c>
      <c r="C205" s="54" t="s">
        <v>170</v>
      </c>
      <c r="D205" s="55">
        <v>6</v>
      </c>
      <c r="E205" s="56">
        <v>3.2188841201719999E-3</v>
      </c>
    </row>
    <row r="206" spans="2:5" ht="15" customHeight="1">
      <c r="B206" s="96"/>
      <c r="C206" s="54" t="s">
        <v>171</v>
      </c>
      <c r="D206" s="55">
        <v>4</v>
      </c>
      <c r="E206" s="56">
        <v>2.1459227467810001E-3</v>
      </c>
    </row>
    <row r="207" spans="2:5" ht="15" customHeight="1">
      <c r="B207" s="96"/>
      <c r="C207" s="54" t="s">
        <v>172</v>
      </c>
      <c r="D207" s="55">
        <v>2</v>
      </c>
      <c r="E207" s="56">
        <v>1.0729613733910001E-3</v>
      </c>
    </row>
    <row r="208" spans="2:5" ht="15" customHeight="1">
      <c r="B208" s="96"/>
      <c r="C208" s="54" t="s">
        <v>173</v>
      </c>
      <c r="D208" s="55">
        <v>2</v>
      </c>
      <c r="E208" s="56">
        <v>1.0729613733910001E-3</v>
      </c>
    </row>
    <row r="209" spans="2:5" ht="15" customHeight="1">
      <c r="B209" s="96"/>
      <c r="C209" s="54" t="s">
        <v>176</v>
      </c>
      <c r="D209" s="55">
        <v>1</v>
      </c>
      <c r="E209" s="56">
        <v>5.36480686695E-4</v>
      </c>
    </row>
    <row r="210" spans="2:5" ht="15" customHeight="1">
      <c r="B210" s="96"/>
      <c r="C210" s="54" t="s">
        <v>178</v>
      </c>
      <c r="D210" s="55">
        <v>1</v>
      </c>
      <c r="E210" s="56">
        <v>5.36480686695E-4</v>
      </c>
    </row>
    <row r="211" spans="2:5" ht="15" customHeight="1">
      <c r="B211" s="96"/>
      <c r="C211" s="54" t="s">
        <v>174</v>
      </c>
      <c r="D211" s="55">
        <v>1</v>
      </c>
      <c r="E211" s="56">
        <v>5.36480686695E-4</v>
      </c>
    </row>
    <row r="212" spans="2:5" ht="15" customHeight="1">
      <c r="B212" s="96"/>
      <c r="C212" s="54" t="s">
        <v>177</v>
      </c>
      <c r="D212" s="55">
        <v>1</v>
      </c>
      <c r="E212" s="56">
        <v>5.36480686695E-4</v>
      </c>
    </row>
    <row r="213" spans="2:5" ht="15" customHeight="1">
      <c r="B213" s="96"/>
      <c r="C213" s="54" t="s">
        <v>175</v>
      </c>
      <c r="D213" s="55">
        <v>1</v>
      </c>
      <c r="E213" s="56">
        <v>5.36480686695E-4</v>
      </c>
    </row>
    <row r="214" spans="2:5" ht="15" customHeight="1">
      <c r="B214" s="97"/>
      <c r="C214" s="67" t="s">
        <v>233</v>
      </c>
      <c r="D214" s="66">
        <v>19</v>
      </c>
      <c r="E214" s="68">
        <v>1.019313304721E-2</v>
      </c>
    </row>
    <row r="215" spans="2:5" ht="15" customHeight="1">
      <c r="B215" s="95" t="s">
        <v>153</v>
      </c>
      <c r="C215" s="54" t="s">
        <v>170</v>
      </c>
      <c r="D215" s="55">
        <v>12</v>
      </c>
      <c r="E215" s="56">
        <v>6.4377682403429998E-3</v>
      </c>
    </row>
    <row r="216" spans="2:5" ht="15" customHeight="1">
      <c r="B216" s="96"/>
      <c r="C216" s="54" t="s">
        <v>172</v>
      </c>
      <c r="D216" s="55">
        <v>1</v>
      </c>
      <c r="E216" s="56">
        <v>5.36480686695E-4</v>
      </c>
    </row>
    <row r="217" spans="2:5" ht="15" customHeight="1">
      <c r="B217" s="96"/>
      <c r="C217" s="54" t="s">
        <v>171</v>
      </c>
      <c r="D217" s="55">
        <v>1</v>
      </c>
      <c r="E217" s="56">
        <v>5.36480686695E-4</v>
      </c>
    </row>
    <row r="218" spans="2:5" ht="15" customHeight="1">
      <c r="B218" s="96"/>
      <c r="C218" s="54" t="s">
        <v>179</v>
      </c>
      <c r="D218" s="55">
        <v>1</v>
      </c>
      <c r="E218" s="56">
        <v>5.36480686695E-4</v>
      </c>
    </row>
    <row r="219" spans="2:5" ht="15" customHeight="1">
      <c r="B219" s="96"/>
      <c r="C219" s="54" t="s">
        <v>173</v>
      </c>
      <c r="D219" s="55">
        <v>1</v>
      </c>
      <c r="E219" s="56">
        <v>5.36480686695E-4</v>
      </c>
    </row>
    <row r="220" spans="2:5" ht="15" customHeight="1">
      <c r="B220" s="96"/>
      <c r="C220" s="54" t="s">
        <v>175</v>
      </c>
      <c r="D220" s="55">
        <v>1</v>
      </c>
      <c r="E220" s="56">
        <v>5.36480686695E-4</v>
      </c>
    </row>
    <row r="221" spans="2:5" ht="15" customHeight="1">
      <c r="B221" s="96"/>
      <c r="C221" s="54" t="s">
        <v>180</v>
      </c>
      <c r="D221" s="55">
        <v>1</v>
      </c>
      <c r="E221" s="56">
        <v>5.36480686695E-4</v>
      </c>
    </row>
    <row r="222" spans="2:5" ht="15" customHeight="1">
      <c r="B222" s="97"/>
      <c r="C222" s="67" t="s">
        <v>233</v>
      </c>
      <c r="D222" s="66">
        <v>18</v>
      </c>
      <c r="E222" s="68">
        <v>9.6566523605149997E-3</v>
      </c>
    </row>
    <row r="223" spans="2:5" ht="15" customHeight="1">
      <c r="B223" s="95" t="s">
        <v>154</v>
      </c>
      <c r="C223" s="54" t="s">
        <v>170</v>
      </c>
      <c r="D223" s="55">
        <v>5</v>
      </c>
      <c r="E223" s="56">
        <v>2.6824034334760002E-3</v>
      </c>
    </row>
    <row r="224" spans="2:5" ht="15" customHeight="1">
      <c r="B224" s="96"/>
      <c r="C224" s="54" t="s">
        <v>173</v>
      </c>
      <c r="D224" s="55">
        <v>5</v>
      </c>
      <c r="E224" s="56">
        <v>2.6824034334760002E-3</v>
      </c>
    </row>
    <row r="225" spans="2:5" ht="15" customHeight="1">
      <c r="B225" s="96"/>
      <c r="C225" s="54" t="s">
        <v>174</v>
      </c>
      <c r="D225" s="55">
        <v>2</v>
      </c>
      <c r="E225" s="56">
        <v>1.0729613733910001E-3</v>
      </c>
    </row>
    <row r="226" spans="2:5" ht="15" customHeight="1">
      <c r="B226" s="96"/>
      <c r="C226" s="54" t="s">
        <v>171</v>
      </c>
      <c r="D226" s="55">
        <v>2</v>
      </c>
      <c r="E226" s="56">
        <v>1.0729613733910001E-3</v>
      </c>
    </row>
    <row r="227" spans="2:5" ht="15" customHeight="1">
      <c r="B227" s="96"/>
      <c r="C227" s="54" t="s">
        <v>172</v>
      </c>
      <c r="D227" s="55">
        <v>1</v>
      </c>
      <c r="E227" s="56">
        <v>5.36480686695E-4</v>
      </c>
    </row>
    <row r="228" spans="2:5" ht="15" customHeight="1">
      <c r="B228" s="97"/>
      <c r="C228" s="67" t="s">
        <v>233</v>
      </c>
      <c r="D228" s="66">
        <v>15</v>
      </c>
      <c r="E228" s="68">
        <v>8.0472103004290002E-3</v>
      </c>
    </row>
    <row r="229" spans="2:5" ht="15" customHeight="1">
      <c r="B229" s="95" t="s">
        <v>155</v>
      </c>
      <c r="C229" s="54" t="s">
        <v>171</v>
      </c>
      <c r="D229" s="55">
        <v>8</v>
      </c>
      <c r="E229" s="56">
        <v>4.2918454935620002E-3</v>
      </c>
    </row>
    <row r="230" spans="2:5" ht="15" customHeight="1">
      <c r="B230" s="96"/>
      <c r="C230" s="54" t="s">
        <v>172</v>
      </c>
      <c r="D230" s="55">
        <v>3</v>
      </c>
      <c r="E230" s="56">
        <v>1.609442060086E-3</v>
      </c>
    </row>
    <row r="231" spans="2:5" ht="15" customHeight="1">
      <c r="B231" s="96"/>
      <c r="C231" s="54" t="s">
        <v>170</v>
      </c>
      <c r="D231" s="55">
        <v>2</v>
      </c>
      <c r="E231" s="56">
        <v>1.0729613733910001E-3</v>
      </c>
    </row>
    <row r="232" spans="2:5" ht="15" customHeight="1">
      <c r="B232" s="96"/>
      <c r="C232" s="54" t="s">
        <v>173</v>
      </c>
      <c r="D232" s="55">
        <v>1</v>
      </c>
      <c r="E232" s="56">
        <v>5.36480686695E-4</v>
      </c>
    </row>
    <row r="233" spans="2:5" ht="15" customHeight="1">
      <c r="B233" s="96"/>
      <c r="C233" s="54" t="s">
        <v>177</v>
      </c>
      <c r="D233" s="55">
        <v>1</v>
      </c>
      <c r="E233" s="56">
        <v>5.36480686695E-4</v>
      </c>
    </row>
    <row r="234" spans="2:5" ht="15" customHeight="1">
      <c r="B234" s="97"/>
      <c r="C234" s="67" t="s">
        <v>233</v>
      </c>
      <c r="D234" s="66">
        <v>15</v>
      </c>
      <c r="E234" s="68">
        <v>8.0472103004290002E-3</v>
      </c>
    </row>
    <row r="235" spans="2:5" ht="15" customHeight="1">
      <c r="B235" s="95" t="s">
        <v>156</v>
      </c>
      <c r="C235" s="54" t="s">
        <v>171</v>
      </c>
      <c r="D235" s="55">
        <v>9</v>
      </c>
      <c r="E235" s="56">
        <v>4.8283261802580003E-3</v>
      </c>
    </row>
    <row r="236" spans="2:5" ht="15" customHeight="1">
      <c r="B236" s="96"/>
      <c r="C236" s="54" t="s">
        <v>170</v>
      </c>
      <c r="D236" s="55">
        <v>2</v>
      </c>
      <c r="E236" s="56">
        <v>1.0729613733910001E-3</v>
      </c>
    </row>
    <row r="237" spans="2:5" ht="15" customHeight="1">
      <c r="B237" s="96"/>
      <c r="C237" s="54" t="s">
        <v>172</v>
      </c>
      <c r="D237" s="55">
        <v>1</v>
      </c>
      <c r="E237" s="56">
        <v>5.36480686695E-4</v>
      </c>
    </row>
    <row r="238" spans="2:5" ht="15" customHeight="1">
      <c r="B238" s="96"/>
      <c r="C238" s="54" t="s">
        <v>174</v>
      </c>
      <c r="D238" s="55">
        <v>1</v>
      </c>
      <c r="E238" s="56">
        <v>5.36480686695E-4</v>
      </c>
    </row>
    <row r="239" spans="2:5" ht="15" customHeight="1">
      <c r="B239" s="97"/>
      <c r="C239" s="67" t="s">
        <v>233</v>
      </c>
      <c r="D239" s="66">
        <v>13</v>
      </c>
      <c r="E239" s="68">
        <v>6.974248927039E-3</v>
      </c>
    </row>
    <row r="240" spans="2:5" ht="15" customHeight="1">
      <c r="B240" s="95" t="s">
        <v>70</v>
      </c>
      <c r="C240" s="54" t="s">
        <v>170</v>
      </c>
      <c r="D240" s="55">
        <v>4</v>
      </c>
      <c r="E240" s="56">
        <v>2.1459227467810001E-3</v>
      </c>
    </row>
    <row r="241" spans="2:5" ht="15" customHeight="1">
      <c r="B241" s="96"/>
      <c r="C241" s="54" t="s">
        <v>173</v>
      </c>
      <c r="D241" s="55">
        <v>3</v>
      </c>
      <c r="E241" s="56">
        <v>1.609442060086E-3</v>
      </c>
    </row>
    <row r="242" spans="2:5" ht="15" customHeight="1">
      <c r="B242" s="96"/>
      <c r="C242" s="54" t="s">
        <v>171</v>
      </c>
      <c r="D242" s="55">
        <v>2</v>
      </c>
      <c r="E242" s="56">
        <v>1.0729613733910001E-3</v>
      </c>
    </row>
    <row r="243" spans="2:5" ht="15" customHeight="1">
      <c r="B243" s="96"/>
      <c r="C243" s="54" t="s">
        <v>172</v>
      </c>
      <c r="D243" s="55">
        <v>1</v>
      </c>
      <c r="E243" s="56">
        <v>5.36480686695E-4</v>
      </c>
    </row>
    <row r="244" spans="2:5" ht="15" customHeight="1">
      <c r="B244" s="96"/>
      <c r="C244" s="54" t="s">
        <v>177</v>
      </c>
      <c r="D244" s="55">
        <v>1</v>
      </c>
      <c r="E244" s="56">
        <v>5.36480686695E-4</v>
      </c>
    </row>
    <row r="245" spans="2:5" ht="15" customHeight="1">
      <c r="B245" s="97"/>
      <c r="C245" s="67" t="s">
        <v>233</v>
      </c>
      <c r="D245" s="66">
        <v>11</v>
      </c>
      <c r="E245" s="68">
        <v>5.9012875536479997E-3</v>
      </c>
    </row>
    <row r="246" spans="2:5" ht="15" customHeight="1">
      <c r="B246" s="95" t="s">
        <v>157</v>
      </c>
      <c r="C246" s="54" t="s">
        <v>170</v>
      </c>
      <c r="D246" s="55">
        <v>4</v>
      </c>
      <c r="E246" s="56">
        <v>2.1459227467810001E-3</v>
      </c>
    </row>
    <row r="247" spans="2:5" ht="15" customHeight="1">
      <c r="B247" s="96"/>
      <c r="C247" s="54" t="s">
        <v>172</v>
      </c>
      <c r="D247" s="55">
        <v>2</v>
      </c>
      <c r="E247" s="56">
        <v>1.0729613733910001E-3</v>
      </c>
    </row>
    <row r="248" spans="2:5" ht="15" customHeight="1">
      <c r="B248" s="96"/>
      <c r="C248" s="54" t="s">
        <v>173</v>
      </c>
      <c r="D248" s="55">
        <v>2</v>
      </c>
      <c r="E248" s="56">
        <v>1.0729613733910001E-3</v>
      </c>
    </row>
    <row r="249" spans="2:5" ht="15" customHeight="1">
      <c r="B249" s="96"/>
      <c r="C249" s="54" t="s">
        <v>174</v>
      </c>
      <c r="D249" s="55">
        <v>1</v>
      </c>
      <c r="E249" s="56">
        <v>5.36480686695E-4</v>
      </c>
    </row>
    <row r="250" spans="2:5" ht="15" customHeight="1">
      <c r="B250" s="96"/>
      <c r="C250" s="54" t="s">
        <v>171</v>
      </c>
      <c r="D250" s="55">
        <v>1</v>
      </c>
      <c r="E250" s="56">
        <v>5.36480686695E-4</v>
      </c>
    </row>
    <row r="251" spans="2:5" ht="15" customHeight="1">
      <c r="B251" s="96"/>
      <c r="C251" s="54" t="s">
        <v>175</v>
      </c>
      <c r="D251" s="55">
        <v>1</v>
      </c>
      <c r="E251" s="56">
        <v>5.36480686695E-4</v>
      </c>
    </row>
    <row r="252" spans="2:5" ht="15" customHeight="1">
      <c r="B252" s="97"/>
      <c r="C252" s="67" t="s">
        <v>233</v>
      </c>
      <c r="D252" s="66">
        <v>11</v>
      </c>
      <c r="E252" s="68">
        <v>5.9012875536479997E-3</v>
      </c>
    </row>
    <row r="253" spans="2:5" ht="15" customHeight="1">
      <c r="B253" s="95" t="s">
        <v>158</v>
      </c>
      <c r="C253" s="54" t="s">
        <v>170</v>
      </c>
      <c r="D253" s="55">
        <v>4</v>
      </c>
      <c r="E253" s="56">
        <v>2.1459227467810001E-3</v>
      </c>
    </row>
    <row r="254" spans="2:5" ht="15" customHeight="1">
      <c r="B254" s="96"/>
      <c r="C254" s="54" t="s">
        <v>171</v>
      </c>
      <c r="D254" s="55">
        <v>4</v>
      </c>
      <c r="E254" s="56">
        <v>2.1459227467810001E-3</v>
      </c>
    </row>
    <row r="255" spans="2:5" ht="15" customHeight="1">
      <c r="B255" s="96"/>
      <c r="C255" s="54" t="s">
        <v>176</v>
      </c>
      <c r="D255" s="55">
        <v>1</v>
      </c>
      <c r="E255" s="56">
        <v>5.36480686695E-4</v>
      </c>
    </row>
    <row r="256" spans="2:5" ht="15" customHeight="1">
      <c r="B256" s="97"/>
      <c r="C256" s="67" t="s">
        <v>233</v>
      </c>
      <c r="D256" s="66">
        <v>9</v>
      </c>
      <c r="E256" s="68">
        <v>4.8283261802580003E-3</v>
      </c>
    </row>
    <row r="257" spans="2:5" ht="15" customHeight="1">
      <c r="B257" s="95" t="s">
        <v>159</v>
      </c>
      <c r="C257" s="54" t="s">
        <v>171</v>
      </c>
      <c r="D257" s="55">
        <v>2</v>
      </c>
      <c r="E257" s="56">
        <v>1.0729613733910001E-3</v>
      </c>
    </row>
    <row r="258" spans="2:5" ht="15" customHeight="1">
      <c r="B258" s="96"/>
      <c r="C258" s="54" t="s">
        <v>172</v>
      </c>
      <c r="D258" s="55">
        <v>1</v>
      </c>
      <c r="E258" s="56">
        <v>5.36480686695E-4</v>
      </c>
    </row>
    <row r="259" spans="2:5" ht="15" customHeight="1">
      <c r="B259" s="96"/>
      <c r="C259" s="54" t="s">
        <v>174</v>
      </c>
      <c r="D259" s="55">
        <v>1</v>
      </c>
      <c r="E259" s="56">
        <v>5.36480686695E-4</v>
      </c>
    </row>
    <row r="260" spans="2:5" ht="15" customHeight="1">
      <c r="B260" s="96"/>
      <c r="C260" s="54" t="s">
        <v>170</v>
      </c>
      <c r="D260" s="55">
        <v>1</v>
      </c>
      <c r="E260" s="56">
        <v>5.36480686695E-4</v>
      </c>
    </row>
    <row r="261" spans="2:5" ht="15" customHeight="1">
      <c r="B261" s="96"/>
      <c r="C261" s="54" t="s">
        <v>173</v>
      </c>
      <c r="D261" s="55">
        <v>1</v>
      </c>
      <c r="E261" s="56">
        <v>5.36480686695E-4</v>
      </c>
    </row>
    <row r="262" spans="2:5" ht="15" customHeight="1">
      <c r="B262" s="97"/>
      <c r="C262" s="67" t="s">
        <v>233</v>
      </c>
      <c r="D262" s="66">
        <v>6</v>
      </c>
      <c r="E262" s="68">
        <v>3.2188841201719999E-3</v>
      </c>
    </row>
    <row r="263" spans="2:5" ht="15" customHeight="1">
      <c r="B263" s="95" t="s">
        <v>160</v>
      </c>
      <c r="C263" s="54" t="s">
        <v>174</v>
      </c>
      <c r="D263" s="55">
        <v>2</v>
      </c>
      <c r="E263" s="56">
        <v>1.0729613733910001E-3</v>
      </c>
    </row>
    <row r="264" spans="2:5" ht="15" customHeight="1">
      <c r="B264" s="96"/>
      <c r="C264" s="54" t="s">
        <v>176</v>
      </c>
      <c r="D264" s="55">
        <v>1</v>
      </c>
      <c r="E264" s="56">
        <v>5.36480686695E-4</v>
      </c>
    </row>
    <row r="265" spans="2:5" ht="15" customHeight="1">
      <c r="B265" s="96"/>
      <c r="C265" s="54" t="s">
        <v>170</v>
      </c>
      <c r="D265" s="55">
        <v>1</v>
      </c>
      <c r="E265" s="56">
        <v>5.36480686695E-4</v>
      </c>
    </row>
    <row r="266" spans="2:5" ht="15" customHeight="1">
      <c r="B266" s="96"/>
      <c r="C266" s="54" t="s">
        <v>171</v>
      </c>
      <c r="D266" s="55">
        <v>1</v>
      </c>
      <c r="E266" s="56">
        <v>5.36480686695E-4</v>
      </c>
    </row>
    <row r="267" spans="2:5" ht="15" customHeight="1">
      <c r="B267" s="97"/>
      <c r="C267" s="67" t="s">
        <v>233</v>
      </c>
      <c r="D267" s="66">
        <v>5</v>
      </c>
      <c r="E267" s="68">
        <v>2.6824034334760002E-3</v>
      </c>
    </row>
    <row r="268" spans="2:5" ht="15" customHeight="1">
      <c r="B268" s="95" t="s">
        <v>161</v>
      </c>
      <c r="C268" s="54" t="s">
        <v>171</v>
      </c>
      <c r="D268" s="55">
        <v>2</v>
      </c>
      <c r="E268" s="56">
        <v>1.0729613733910001E-3</v>
      </c>
    </row>
    <row r="269" spans="2:5" ht="15" customHeight="1">
      <c r="B269" s="96"/>
      <c r="C269" s="54" t="s">
        <v>178</v>
      </c>
      <c r="D269" s="55">
        <v>1</v>
      </c>
      <c r="E269" s="56">
        <v>5.36480686695E-4</v>
      </c>
    </row>
    <row r="270" spans="2:5" ht="15" customHeight="1">
      <c r="B270" s="96"/>
      <c r="C270" s="54" t="s">
        <v>174</v>
      </c>
      <c r="D270" s="55">
        <v>1</v>
      </c>
      <c r="E270" s="56">
        <v>5.36480686695E-4</v>
      </c>
    </row>
    <row r="271" spans="2:5" ht="15" customHeight="1">
      <c r="B271" s="96"/>
      <c r="C271" s="54" t="s">
        <v>175</v>
      </c>
      <c r="D271" s="55">
        <v>1</v>
      </c>
      <c r="E271" s="56">
        <v>5.36480686695E-4</v>
      </c>
    </row>
    <row r="272" spans="2:5" ht="15" customHeight="1">
      <c r="B272" s="97"/>
      <c r="C272" s="67" t="s">
        <v>233</v>
      </c>
      <c r="D272" s="66">
        <v>5</v>
      </c>
      <c r="E272" s="68">
        <v>2.6824034334760002E-3</v>
      </c>
    </row>
    <row r="273" spans="2:5" ht="15" customHeight="1">
      <c r="B273" s="95" t="s">
        <v>162</v>
      </c>
      <c r="C273" s="54" t="s">
        <v>172</v>
      </c>
      <c r="D273" s="55">
        <v>1</v>
      </c>
      <c r="E273" s="56">
        <v>5.36480686695E-4</v>
      </c>
    </row>
    <row r="274" spans="2:5" ht="15" customHeight="1">
      <c r="B274" s="96"/>
      <c r="C274" s="54" t="s">
        <v>171</v>
      </c>
      <c r="D274" s="55">
        <v>1</v>
      </c>
      <c r="E274" s="56">
        <v>5.36480686695E-4</v>
      </c>
    </row>
    <row r="275" spans="2:5" ht="15" customHeight="1">
      <c r="B275" s="96"/>
      <c r="C275" s="54" t="s">
        <v>173</v>
      </c>
      <c r="D275" s="55">
        <v>1</v>
      </c>
      <c r="E275" s="56">
        <v>5.36480686695E-4</v>
      </c>
    </row>
    <row r="276" spans="2:5" ht="15" customHeight="1">
      <c r="B276" s="96"/>
      <c r="C276" s="54" t="s">
        <v>177</v>
      </c>
      <c r="D276" s="55">
        <v>1</v>
      </c>
      <c r="E276" s="56">
        <v>5.36480686695E-4</v>
      </c>
    </row>
    <row r="277" spans="2:5" ht="15" customHeight="1">
      <c r="B277" s="97"/>
      <c r="C277" s="67" t="s">
        <v>233</v>
      </c>
      <c r="D277" s="66">
        <v>4</v>
      </c>
      <c r="E277" s="68">
        <v>2.1459227467810001E-3</v>
      </c>
    </row>
    <row r="278" spans="2:5" ht="15" customHeight="1">
      <c r="B278" s="95" t="s">
        <v>163</v>
      </c>
      <c r="C278" s="54" t="s">
        <v>170</v>
      </c>
      <c r="D278" s="55">
        <v>3</v>
      </c>
      <c r="E278" s="56">
        <v>1.609442060086E-3</v>
      </c>
    </row>
    <row r="279" spans="2:5" ht="15" customHeight="1">
      <c r="B279" s="97"/>
      <c r="C279" s="67" t="s">
        <v>233</v>
      </c>
      <c r="D279" s="66">
        <v>3</v>
      </c>
      <c r="E279" s="68">
        <v>1.609442060086E-3</v>
      </c>
    </row>
    <row r="280" spans="2:5" ht="15" customHeight="1">
      <c r="B280" s="95" t="s">
        <v>164</v>
      </c>
      <c r="C280" s="54" t="s">
        <v>170</v>
      </c>
      <c r="D280" s="55">
        <v>2</v>
      </c>
      <c r="E280" s="56">
        <v>1.0729613733910001E-3</v>
      </c>
    </row>
    <row r="281" spans="2:5" ht="15" customHeight="1">
      <c r="B281" s="96"/>
      <c r="C281" s="54" t="s">
        <v>172</v>
      </c>
      <c r="D281" s="55">
        <v>1</v>
      </c>
      <c r="E281" s="56">
        <v>5.36480686695E-4</v>
      </c>
    </row>
    <row r="282" spans="2:5" ht="15" customHeight="1">
      <c r="B282" s="97"/>
      <c r="C282" s="67" t="s">
        <v>233</v>
      </c>
      <c r="D282" s="66">
        <v>3</v>
      </c>
      <c r="E282" s="68">
        <v>1.609442060086E-3</v>
      </c>
    </row>
    <row r="283" spans="2:5" ht="15" customHeight="1">
      <c r="B283" s="95" t="s">
        <v>165</v>
      </c>
      <c r="C283" s="54" t="s">
        <v>176</v>
      </c>
      <c r="D283" s="55">
        <v>1</v>
      </c>
      <c r="E283" s="56">
        <v>5.36480686695E-4</v>
      </c>
    </row>
    <row r="284" spans="2:5" ht="15" customHeight="1">
      <c r="B284" s="96"/>
      <c r="C284" s="54" t="s">
        <v>170</v>
      </c>
      <c r="D284" s="55">
        <v>1</v>
      </c>
      <c r="E284" s="56">
        <v>5.36480686695E-4</v>
      </c>
    </row>
    <row r="285" spans="2:5" ht="15" customHeight="1">
      <c r="B285" s="96"/>
      <c r="C285" s="54" t="s">
        <v>171</v>
      </c>
      <c r="D285" s="55">
        <v>1</v>
      </c>
      <c r="E285" s="56">
        <v>5.36480686695E-4</v>
      </c>
    </row>
    <row r="286" spans="2:5" ht="15" customHeight="1">
      <c r="B286" s="97"/>
      <c r="C286" s="67" t="s">
        <v>233</v>
      </c>
      <c r="D286" s="66">
        <v>3</v>
      </c>
      <c r="E286" s="68">
        <v>1.609442060086E-3</v>
      </c>
    </row>
    <row r="287" spans="2:5" ht="15" customHeight="1">
      <c r="B287" s="95" t="s">
        <v>166</v>
      </c>
      <c r="C287" s="54" t="s">
        <v>172</v>
      </c>
      <c r="D287" s="55">
        <v>1</v>
      </c>
      <c r="E287" s="56">
        <v>5.36480686695E-4</v>
      </c>
    </row>
    <row r="288" spans="2:5" ht="15" customHeight="1">
      <c r="B288" s="96"/>
      <c r="C288" s="54" t="s">
        <v>171</v>
      </c>
      <c r="D288" s="55">
        <v>1</v>
      </c>
      <c r="E288" s="56">
        <v>5.36480686695E-4</v>
      </c>
    </row>
    <row r="289" spans="2:5" ht="15" customHeight="1">
      <c r="B289" s="97"/>
      <c r="C289" s="67" t="s">
        <v>233</v>
      </c>
      <c r="D289" s="66">
        <v>2</v>
      </c>
      <c r="E289" s="68">
        <v>1.0729613733910001E-3</v>
      </c>
    </row>
    <row r="290" spans="2:5" ht="15" customHeight="1">
      <c r="B290" s="95" t="s">
        <v>167</v>
      </c>
      <c r="C290" s="54" t="s">
        <v>170</v>
      </c>
      <c r="D290" s="55">
        <v>1</v>
      </c>
      <c r="E290" s="56">
        <v>5.36480686695E-4</v>
      </c>
    </row>
    <row r="291" spans="2:5" ht="15" customHeight="1">
      <c r="B291" s="96"/>
      <c r="C291" s="54" t="s">
        <v>171</v>
      </c>
      <c r="D291" s="55">
        <v>1</v>
      </c>
      <c r="E291" s="56">
        <v>5.36480686695E-4</v>
      </c>
    </row>
    <row r="292" spans="2:5" ht="15" customHeight="1">
      <c r="B292" s="97"/>
      <c r="C292" s="67" t="s">
        <v>233</v>
      </c>
      <c r="D292" s="66">
        <v>2</v>
      </c>
      <c r="E292" s="68">
        <v>1.0729613733910001E-3</v>
      </c>
    </row>
    <row r="293" spans="2:5" ht="15" customHeight="1">
      <c r="B293" s="95" t="s">
        <v>168</v>
      </c>
      <c r="C293" s="54" t="s">
        <v>170</v>
      </c>
      <c r="D293" s="55">
        <v>1</v>
      </c>
      <c r="E293" s="56">
        <v>5.36480686695E-4</v>
      </c>
    </row>
    <row r="294" spans="2:5" ht="15" customHeight="1">
      <c r="B294" s="96"/>
      <c r="C294" s="54" t="s">
        <v>177</v>
      </c>
      <c r="D294" s="55">
        <v>1</v>
      </c>
      <c r="E294" s="56">
        <v>5.36480686695E-4</v>
      </c>
    </row>
    <row r="295" spans="2:5" ht="15" customHeight="1">
      <c r="B295" s="97"/>
      <c r="C295" s="67" t="s">
        <v>233</v>
      </c>
      <c r="D295" s="66">
        <v>2</v>
      </c>
      <c r="E295" s="68">
        <v>1.0729613733910001E-3</v>
      </c>
    </row>
    <row r="296" spans="2:5" ht="15" customHeight="1">
      <c r="B296" s="95" t="s">
        <v>169</v>
      </c>
      <c r="C296" s="54" t="s">
        <v>172</v>
      </c>
      <c r="D296" s="55">
        <v>1</v>
      </c>
      <c r="E296" s="56">
        <v>5.36480686695E-4</v>
      </c>
    </row>
    <row r="297" spans="2:5" ht="15" customHeight="1">
      <c r="B297" s="97"/>
      <c r="C297" s="67" t="s">
        <v>233</v>
      </c>
      <c r="D297" s="66">
        <v>1</v>
      </c>
      <c r="E297" s="68">
        <v>5.36480686695E-4</v>
      </c>
    </row>
    <row r="298" spans="2:5" ht="15" customHeight="1">
      <c r="B298" s="93" t="s">
        <v>233</v>
      </c>
      <c r="C298" s="94"/>
      <c r="D298" s="58">
        <v>1864</v>
      </c>
      <c r="E298" s="59">
        <v>1</v>
      </c>
    </row>
    <row r="299" spans="2:5" ht="15" customHeight="1">
      <c r="B299" s="47"/>
      <c r="C299" s="47"/>
      <c r="D299" s="47"/>
      <c r="E299" s="47"/>
    </row>
    <row r="300" spans="2:5" ht="15" customHeight="1">
      <c r="B300" s="35" t="s">
        <v>120</v>
      </c>
      <c r="C300" s="47"/>
      <c r="D300" s="47"/>
      <c r="E300" s="47"/>
    </row>
    <row r="301" spans="2:5" ht="15" customHeight="1">
      <c r="B301" s="36" t="s">
        <v>17</v>
      </c>
      <c r="C301" s="41"/>
      <c r="D301" s="47"/>
      <c r="E301" s="47"/>
    </row>
    <row r="302" spans="2:5" ht="15" customHeight="1">
      <c r="B302" s="37" t="s">
        <v>117</v>
      </c>
      <c r="C302" s="41"/>
      <c r="D302" s="47"/>
      <c r="E302" s="47"/>
    </row>
    <row r="303" spans="2:5" ht="15" customHeight="1">
      <c r="B303" s="35" t="s">
        <v>16</v>
      </c>
      <c r="C303" s="41"/>
      <c r="D303" s="47"/>
      <c r="E303" s="47"/>
    </row>
    <row r="304" spans="2:5" ht="15" customHeight="1">
      <c r="B304" s="35" t="s">
        <v>234</v>
      </c>
      <c r="C304" s="41"/>
      <c r="D304" s="47"/>
      <c r="E304" s="47"/>
    </row>
    <row r="305" spans="3:5" ht="15" customHeight="1">
      <c r="C305" s="41"/>
      <c r="D305" s="47"/>
      <c r="E305" s="47"/>
    </row>
  </sheetData>
  <mergeCells count="45">
    <mergeCell ref="B7:E8"/>
    <mergeCell ref="B10:B20"/>
    <mergeCell ref="B21:B32"/>
    <mergeCell ref="B33:B41"/>
    <mergeCell ref="B42:B51"/>
    <mergeCell ref="B52:B60"/>
    <mergeCell ref="B61:B71"/>
    <mergeCell ref="B72:B80"/>
    <mergeCell ref="B81:B86"/>
    <mergeCell ref="B87:B93"/>
    <mergeCell ref="B94:B101"/>
    <mergeCell ref="B102:B111"/>
    <mergeCell ref="B112:B119"/>
    <mergeCell ref="B120:B125"/>
    <mergeCell ref="B126:B132"/>
    <mergeCell ref="B133:B140"/>
    <mergeCell ref="B141:B148"/>
    <mergeCell ref="B149:B156"/>
    <mergeCell ref="B157:B165"/>
    <mergeCell ref="B166:B170"/>
    <mergeCell ref="B171:B178"/>
    <mergeCell ref="B179:B185"/>
    <mergeCell ref="B186:B191"/>
    <mergeCell ref="B192:B197"/>
    <mergeCell ref="B198:B204"/>
    <mergeCell ref="B205:B214"/>
    <mergeCell ref="B215:B222"/>
    <mergeCell ref="B223:B228"/>
    <mergeCell ref="B229:B234"/>
    <mergeCell ref="B235:B239"/>
    <mergeCell ref="B268:B272"/>
    <mergeCell ref="B273:B277"/>
    <mergeCell ref="B278:B279"/>
    <mergeCell ref="B280:B282"/>
    <mergeCell ref="B240:B245"/>
    <mergeCell ref="B246:B252"/>
    <mergeCell ref="B253:B256"/>
    <mergeCell ref="B257:B262"/>
    <mergeCell ref="B263:B267"/>
    <mergeCell ref="B298:C298"/>
    <mergeCell ref="B283:B286"/>
    <mergeCell ref="B287:B289"/>
    <mergeCell ref="B290:B292"/>
    <mergeCell ref="B293:B295"/>
    <mergeCell ref="B296:B29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3" orientation="portrait" r:id="rId1"/>
  <rowBreaks count="5" manualBreakCount="5">
    <brk id="54" max="4" man="1"/>
    <brk id="98" max="4" man="1"/>
    <brk id="141" max="4" man="1"/>
    <brk id="187" max="4" man="1"/>
    <brk id="234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349"/>
  <sheetViews>
    <sheetView showGridLines="0" view="pageBreakPreview" zoomScale="115" zoomScaleNormal="100" zoomScaleSheetLayoutView="115" workbookViewId="0">
      <selection activeCell="F13" sqref="F13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1.425781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2"/>
      <c r="C6" s="43"/>
      <c r="D6" s="43"/>
      <c r="E6" s="43"/>
    </row>
    <row r="7" spans="1:5" s="22" customFormat="1" ht="26.25" customHeight="1">
      <c r="A7" s="23"/>
      <c r="B7" s="98"/>
      <c r="C7" s="98"/>
      <c r="D7" s="98"/>
      <c r="E7" s="98"/>
    </row>
    <row r="8" spans="1:5" s="22" customFormat="1" ht="33" customHeight="1">
      <c r="A8" s="23"/>
      <c r="B8" s="98"/>
      <c r="C8" s="98"/>
      <c r="D8" s="98"/>
      <c r="E8" s="98"/>
    </row>
    <row r="9" spans="1:5" s="15" customFormat="1" ht="40.5" customHeight="1">
      <c r="B9" s="44" t="s">
        <v>21</v>
      </c>
      <c r="C9" s="45" t="s">
        <v>23</v>
      </c>
      <c r="D9" s="46" t="s">
        <v>19</v>
      </c>
      <c r="E9" s="44" t="s">
        <v>18</v>
      </c>
    </row>
    <row r="10" spans="1:5" ht="15" customHeight="1">
      <c r="B10" s="95" t="s">
        <v>86</v>
      </c>
      <c r="C10" s="54" t="s">
        <v>176</v>
      </c>
      <c r="D10" s="55">
        <v>1</v>
      </c>
      <c r="E10" s="56">
        <v>5.36480686695E-4</v>
      </c>
    </row>
    <row r="11" spans="1:5" ht="15" customHeight="1">
      <c r="B11" s="96"/>
      <c r="C11" s="54" t="s">
        <v>172</v>
      </c>
      <c r="D11" s="55">
        <v>2</v>
      </c>
      <c r="E11" s="56">
        <v>1.0729613733910001E-3</v>
      </c>
    </row>
    <row r="12" spans="1:5" ht="15" customHeight="1">
      <c r="B12" s="96"/>
      <c r="C12" s="54" t="s">
        <v>174</v>
      </c>
      <c r="D12" s="55">
        <v>4</v>
      </c>
      <c r="E12" s="56">
        <v>2.1459227467810001E-3</v>
      </c>
    </row>
    <row r="13" spans="1:5" ht="15" customHeight="1">
      <c r="B13" s="96"/>
      <c r="C13" s="54" t="s">
        <v>170</v>
      </c>
      <c r="D13" s="55">
        <v>3</v>
      </c>
      <c r="E13" s="56">
        <v>1.609442060086E-3</v>
      </c>
    </row>
    <row r="14" spans="1:5" ht="15" customHeight="1">
      <c r="B14" s="96"/>
      <c r="C14" s="54" t="s">
        <v>171</v>
      </c>
      <c r="D14" s="55">
        <v>1</v>
      </c>
      <c r="E14" s="56">
        <v>5.36480686695E-4</v>
      </c>
    </row>
    <row r="15" spans="1:5" ht="15" customHeight="1">
      <c r="B15" s="97"/>
      <c r="C15" s="67" t="s">
        <v>233</v>
      </c>
      <c r="D15" s="66">
        <v>11</v>
      </c>
      <c r="E15" s="68">
        <v>5.9012875536479997E-3</v>
      </c>
    </row>
    <row r="16" spans="1:5" ht="15" customHeight="1">
      <c r="B16" s="95" t="s">
        <v>46</v>
      </c>
      <c r="C16" s="54" t="s">
        <v>176</v>
      </c>
      <c r="D16" s="55">
        <v>10</v>
      </c>
      <c r="E16" s="56">
        <v>5.3648068669529996E-3</v>
      </c>
    </row>
    <row r="17" spans="2:5" ht="15" customHeight="1">
      <c r="B17" s="96"/>
      <c r="C17" s="54" t="s">
        <v>178</v>
      </c>
      <c r="D17" s="55">
        <v>1</v>
      </c>
      <c r="E17" s="56">
        <v>5.36480686695E-4</v>
      </c>
    </row>
    <row r="18" spans="2:5" ht="15" customHeight="1">
      <c r="B18" s="96"/>
      <c r="C18" s="54" t="s">
        <v>172</v>
      </c>
      <c r="D18" s="55">
        <v>12</v>
      </c>
      <c r="E18" s="56">
        <v>6.4377682403429998E-3</v>
      </c>
    </row>
    <row r="19" spans="2:5" ht="15" customHeight="1">
      <c r="B19" s="96"/>
      <c r="C19" s="54" t="s">
        <v>174</v>
      </c>
      <c r="D19" s="55">
        <v>2</v>
      </c>
      <c r="E19" s="56">
        <v>1.0729613733910001E-3</v>
      </c>
    </row>
    <row r="20" spans="2:5" ht="15" customHeight="1">
      <c r="B20" s="96"/>
      <c r="C20" s="54" t="s">
        <v>170</v>
      </c>
      <c r="D20" s="55">
        <v>31</v>
      </c>
      <c r="E20" s="56">
        <v>1.6630901287554001E-2</v>
      </c>
    </row>
    <row r="21" spans="2:5" ht="15" customHeight="1">
      <c r="B21" s="96"/>
      <c r="C21" s="54" t="s">
        <v>171</v>
      </c>
      <c r="D21" s="55">
        <v>43</v>
      </c>
      <c r="E21" s="56">
        <v>2.3068669527897E-2</v>
      </c>
    </row>
    <row r="22" spans="2:5" ht="15" customHeight="1">
      <c r="B22" s="96"/>
      <c r="C22" s="54" t="s">
        <v>173</v>
      </c>
      <c r="D22" s="55">
        <v>11</v>
      </c>
      <c r="E22" s="56">
        <v>5.9012875536479997E-3</v>
      </c>
    </row>
    <row r="23" spans="2:5" ht="15" customHeight="1">
      <c r="B23" s="96"/>
      <c r="C23" s="54" t="s">
        <v>177</v>
      </c>
      <c r="D23" s="55">
        <v>2</v>
      </c>
      <c r="E23" s="56">
        <v>1.0729613733910001E-3</v>
      </c>
    </row>
    <row r="24" spans="2:5" ht="15" customHeight="1">
      <c r="B24" s="96"/>
      <c r="C24" s="54" t="s">
        <v>175</v>
      </c>
      <c r="D24" s="55">
        <v>7</v>
      </c>
      <c r="E24" s="56">
        <v>3.755364806867E-3</v>
      </c>
    </row>
    <row r="25" spans="2:5" ht="15" customHeight="1">
      <c r="B25" s="96"/>
      <c r="C25" s="54" t="s">
        <v>181</v>
      </c>
      <c r="D25" s="55">
        <v>1</v>
      </c>
      <c r="E25" s="56">
        <v>5.36480686695E-4</v>
      </c>
    </row>
    <row r="26" spans="2:5" ht="15" customHeight="1">
      <c r="B26" s="97"/>
      <c r="C26" s="67" t="s">
        <v>233</v>
      </c>
      <c r="D26" s="66">
        <v>120</v>
      </c>
      <c r="E26" s="68">
        <v>6.4377682403433001E-2</v>
      </c>
    </row>
    <row r="27" spans="2:5" ht="15" customHeight="1">
      <c r="B27" s="95" t="s">
        <v>55</v>
      </c>
      <c r="C27" s="54" t="s">
        <v>172</v>
      </c>
      <c r="D27" s="55">
        <v>13</v>
      </c>
      <c r="E27" s="56">
        <v>6.974248927039E-3</v>
      </c>
    </row>
    <row r="28" spans="2:5" ht="15" customHeight="1">
      <c r="B28" s="96"/>
      <c r="C28" s="54" t="s">
        <v>174</v>
      </c>
      <c r="D28" s="55">
        <v>13</v>
      </c>
      <c r="E28" s="56">
        <v>6.974248927039E-3</v>
      </c>
    </row>
    <row r="29" spans="2:5" ht="15" customHeight="1">
      <c r="B29" s="96"/>
      <c r="C29" s="54" t="s">
        <v>170</v>
      </c>
      <c r="D29" s="55">
        <v>24</v>
      </c>
      <c r="E29" s="56">
        <v>1.2875536480687001E-2</v>
      </c>
    </row>
    <row r="30" spans="2:5" ht="15" customHeight="1">
      <c r="B30" s="96"/>
      <c r="C30" s="54" t="s">
        <v>171</v>
      </c>
      <c r="D30" s="55">
        <v>5</v>
      </c>
      <c r="E30" s="56">
        <v>2.6824034334760002E-3</v>
      </c>
    </row>
    <row r="31" spans="2:5" ht="15" customHeight="1">
      <c r="B31" s="96"/>
      <c r="C31" s="54" t="s">
        <v>179</v>
      </c>
      <c r="D31" s="55">
        <v>1</v>
      </c>
      <c r="E31" s="56">
        <v>5.36480686695E-4</v>
      </c>
    </row>
    <row r="32" spans="2:5" ht="15" customHeight="1">
      <c r="B32" s="96"/>
      <c r="C32" s="54" t="s">
        <v>173</v>
      </c>
      <c r="D32" s="55">
        <v>5</v>
      </c>
      <c r="E32" s="56">
        <v>2.6824034334760002E-3</v>
      </c>
    </row>
    <row r="33" spans="2:5" ht="15" customHeight="1">
      <c r="B33" s="97"/>
      <c r="C33" s="67" t="s">
        <v>233</v>
      </c>
      <c r="D33" s="66">
        <v>61</v>
      </c>
      <c r="E33" s="68">
        <v>3.2725321888411998E-2</v>
      </c>
    </row>
    <row r="34" spans="2:5" ht="15" customHeight="1">
      <c r="B34" s="95" t="s">
        <v>81</v>
      </c>
      <c r="C34" s="54" t="s">
        <v>172</v>
      </c>
      <c r="D34" s="55">
        <v>1</v>
      </c>
      <c r="E34" s="56">
        <v>5.36480686695E-4</v>
      </c>
    </row>
    <row r="35" spans="2:5" ht="15" customHeight="1">
      <c r="B35" s="96"/>
      <c r="C35" s="54" t="s">
        <v>174</v>
      </c>
      <c r="D35" s="55">
        <v>2</v>
      </c>
      <c r="E35" s="56">
        <v>1.0729613733910001E-3</v>
      </c>
    </row>
    <row r="36" spans="2:5" ht="15" customHeight="1">
      <c r="B36" s="96"/>
      <c r="C36" s="54" t="s">
        <v>170</v>
      </c>
      <c r="D36" s="55">
        <v>5</v>
      </c>
      <c r="E36" s="56">
        <v>2.6824034334760002E-3</v>
      </c>
    </row>
    <row r="37" spans="2:5" ht="15" customHeight="1">
      <c r="B37" s="96"/>
      <c r="C37" s="54" t="s">
        <v>171</v>
      </c>
      <c r="D37" s="55">
        <v>2</v>
      </c>
      <c r="E37" s="56">
        <v>1.0729613733910001E-3</v>
      </c>
    </row>
    <row r="38" spans="2:5" ht="15" customHeight="1">
      <c r="B38" s="96"/>
      <c r="C38" s="54" t="s">
        <v>173</v>
      </c>
      <c r="D38" s="55">
        <v>5</v>
      </c>
      <c r="E38" s="56">
        <v>2.6824034334760002E-3</v>
      </c>
    </row>
    <row r="39" spans="2:5" ht="15" customHeight="1">
      <c r="B39" s="96"/>
      <c r="C39" s="54" t="s">
        <v>177</v>
      </c>
      <c r="D39" s="55">
        <v>1</v>
      </c>
      <c r="E39" s="56">
        <v>5.36480686695E-4</v>
      </c>
    </row>
    <row r="40" spans="2:5" ht="15" customHeight="1">
      <c r="B40" s="97"/>
      <c r="C40" s="67" t="s">
        <v>233</v>
      </c>
      <c r="D40" s="66">
        <v>16</v>
      </c>
      <c r="E40" s="68">
        <v>8.5836909871240003E-3</v>
      </c>
    </row>
    <row r="41" spans="2:5" ht="15" customHeight="1">
      <c r="B41" s="95" t="s">
        <v>84</v>
      </c>
      <c r="C41" s="54" t="s">
        <v>172</v>
      </c>
      <c r="D41" s="55">
        <v>1</v>
      </c>
      <c r="E41" s="56">
        <v>5.36480686695E-4</v>
      </c>
    </row>
    <row r="42" spans="2:5" ht="15" customHeight="1">
      <c r="B42" s="96"/>
      <c r="C42" s="54" t="s">
        <v>170</v>
      </c>
      <c r="D42" s="55">
        <v>1</v>
      </c>
      <c r="E42" s="56">
        <v>5.36480686695E-4</v>
      </c>
    </row>
    <row r="43" spans="2:5" ht="15" customHeight="1">
      <c r="B43" s="97"/>
      <c r="C43" s="67" t="s">
        <v>233</v>
      </c>
      <c r="D43" s="66">
        <v>2</v>
      </c>
      <c r="E43" s="68">
        <v>1.0729613733910001E-3</v>
      </c>
    </row>
    <row r="44" spans="2:5" ht="15" customHeight="1">
      <c r="B44" s="95" t="s">
        <v>78</v>
      </c>
      <c r="C44" s="54" t="s">
        <v>172</v>
      </c>
      <c r="D44" s="55">
        <v>2</v>
      </c>
      <c r="E44" s="56">
        <v>1.0729613733910001E-3</v>
      </c>
    </row>
    <row r="45" spans="2:5" ht="15" customHeight="1">
      <c r="B45" s="96"/>
      <c r="C45" s="54" t="s">
        <v>170</v>
      </c>
      <c r="D45" s="55">
        <v>5</v>
      </c>
      <c r="E45" s="56">
        <v>2.6824034334760002E-3</v>
      </c>
    </row>
    <row r="46" spans="2:5" ht="15" customHeight="1">
      <c r="B46" s="96"/>
      <c r="C46" s="54" t="s">
        <v>171</v>
      </c>
      <c r="D46" s="55">
        <v>1</v>
      </c>
      <c r="E46" s="56">
        <v>5.36480686695E-4</v>
      </c>
    </row>
    <row r="47" spans="2:5" ht="15" customHeight="1">
      <c r="B47" s="96"/>
      <c r="C47" s="54" t="s">
        <v>173</v>
      </c>
      <c r="D47" s="55">
        <v>2</v>
      </c>
      <c r="E47" s="56">
        <v>1.0729613733910001E-3</v>
      </c>
    </row>
    <row r="48" spans="2:5" ht="15" customHeight="1">
      <c r="B48" s="96"/>
      <c r="C48" s="54" t="s">
        <v>181</v>
      </c>
      <c r="D48" s="55">
        <v>1</v>
      </c>
      <c r="E48" s="56">
        <v>5.36480686695E-4</v>
      </c>
    </row>
    <row r="49" spans="2:5" ht="15" customHeight="1">
      <c r="B49" s="97"/>
      <c r="C49" s="67" t="s">
        <v>233</v>
      </c>
      <c r="D49" s="66">
        <v>11</v>
      </c>
      <c r="E49" s="68">
        <v>5.9012875536479997E-3</v>
      </c>
    </row>
    <row r="50" spans="2:5" ht="15" customHeight="1">
      <c r="B50" s="95" t="s">
        <v>51</v>
      </c>
      <c r="C50" s="54" t="s">
        <v>176</v>
      </c>
      <c r="D50" s="55">
        <v>1</v>
      </c>
      <c r="E50" s="56">
        <v>5.36480686695E-4</v>
      </c>
    </row>
    <row r="51" spans="2:5" ht="15" customHeight="1">
      <c r="B51" s="96"/>
      <c r="C51" s="54" t="s">
        <v>172</v>
      </c>
      <c r="D51" s="55">
        <v>12</v>
      </c>
      <c r="E51" s="56">
        <v>6.4377682403429998E-3</v>
      </c>
    </row>
    <row r="52" spans="2:5" ht="15" customHeight="1">
      <c r="B52" s="96"/>
      <c r="C52" s="54" t="s">
        <v>174</v>
      </c>
      <c r="D52" s="55">
        <v>3</v>
      </c>
      <c r="E52" s="56">
        <v>1.609442060086E-3</v>
      </c>
    </row>
    <row r="53" spans="2:5" ht="15" customHeight="1">
      <c r="B53" s="96"/>
      <c r="C53" s="54" t="s">
        <v>170</v>
      </c>
      <c r="D53" s="55">
        <v>13</v>
      </c>
      <c r="E53" s="56">
        <v>6.974248927039E-3</v>
      </c>
    </row>
    <row r="54" spans="2:5" ht="15" customHeight="1">
      <c r="B54" s="96"/>
      <c r="C54" s="54" t="s">
        <v>171</v>
      </c>
      <c r="D54" s="55">
        <v>16</v>
      </c>
      <c r="E54" s="56">
        <v>8.5836909871240003E-3</v>
      </c>
    </row>
    <row r="55" spans="2:5" ht="15" customHeight="1">
      <c r="B55" s="96"/>
      <c r="C55" s="54" t="s">
        <v>173</v>
      </c>
      <c r="D55" s="55">
        <v>6</v>
      </c>
      <c r="E55" s="56">
        <v>3.2188841201719999E-3</v>
      </c>
    </row>
    <row r="56" spans="2:5" ht="15" customHeight="1">
      <c r="B56" s="96"/>
      <c r="C56" s="54" t="s">
        <v>177</v>
      </c>
      <c r="D56" s="55">
        <v>1</v>
      </c>
      <c r="E56" s="56">
        <v>5.36480686695E-4</v>
      </c>
    </row>
    <row r="57" spans="2:5" ht="15" customHeight="1">
      <c r="B57" s="96"/>
      <c r="C57" s="54" t="s">
        <v>175</v>
      </c>
      <c r="D57" s="55">
        <v>1</v>
      </c>
      <c r="E57" s="56">
        <v>5.36480686695E-4</v>
      </c>
    </row>
    <row r="58" spans="2:5" ht="15" customHeight="1">
      <c r="B58" s="97"/>
      <c r="C58" s="67" t="s">
        <v>233</v>
      </c>
      <c r="D58" s="66">
        <v>53</v>
      </c>
      <c r="E58" s="68">
        <v>2.8433476394849999E-2</v>
      </c>
    </row>
    <row r="59" spans="2:5" ht="15" customHeight="1">
      <c r="B59" s="95" t="s">
        <v>49</v>
      </c>
      <c r="C59" s="54" t="s">
        <v>176</v>
      </c>
      <c r="D59" s="55">
        <v>3</v>
      </c>
      <c r="E59" s="56">
        <v>1.609442060086E-3</v>
      </c>
    </row>
    <row r="60" spans="2:5" ht="15" customHeight="1">
      <c r="B60" s="96"/>
      <c r="C60" s="54" t="s">
        <v>178</v>
      </c>
      <c r="D60" s="55">
        <v>1</v>
      </c>
      <c r="E60" s="56">
        <v>5.36480686695E-4</v>
      </c>
    </row>
    <row r="61" spans="2:5" ht="15" customHeight="1">
      <c r="B61" s="96"/>
      <c r="C61" s="54" t="s">
        <v>172</v>
      </c>
      <c r="D61" s="55">
        <v>21</v>
      </c>
      <c r="E61" s="56">
        <v>1.1266094420600999E-2</v>
      </c>
    </row>
    <row r="62" spans="2:5" ht="15" customHeight="1">
      <c r="B62" s="96"/>
      <c r="C62" s="54" t="s">
        <v>174</v>
      </c>
      <c r="D62" s="55">
        <v>5</v>
      </c>
      <c r="E62" s="56">
        <v>2.6824034334760002E-3</v>
      </c>
    </row>
    <row r="63" spans="2:5" ht="15" customHeight="1">
      <c r="B63" s="96"/>
      <c r="C63" s="54" t="s">
        <v>170</v>
      </c>
      <c r="D63" s="55">
        <v>29</v>
      </c>
      <c r="E63" s="56">
        <v>1.5557939914163E-2</v>
      </c>
    </row>
    <row r="64" spans="2:5" ht="15" customHeight="1">
      <c r="B64" s="96"/>
      <c r="C64" s="54" t="s">
        <v>171</v>
      </c>
      <c r="D64" s="55">
        <v>13</v>
      </c>
      <c r="E64" s="56">
        <v>6.974248927039E-3</v>
      </c>
    </row>
    <row r="65" spans="2:5" ht="15" customHeight="1">
      <c r="B65" s="96"/>
      <c r="C65" s="54" t="s">
        <v>173</v>
      </c>
      <c r="D65" s="55">
        <v>10</v>
      </c>
      <c r="E65" s="56">
        <v>5.3648068669529996E-3</v>
      </c>
    </row>
    <row r="66" spans="2:5" ht="15" customHeight="1">
      <c r="B66" s="96"/>
      <c r="C66" s="54" t="s">
        <v>175</v>
      </c>
      <c r="D66" s="55">
        <v>6</v>
      </c>
      <c r="E66" s="56">
        <v>3.2188841201719999E-3</v>
      </c>
    </row>
    <row r="67" spans="2:5" ht="15" customHeight="1">
      <c r="B67" s="97"/>
      <c r="C67" s="67" t="s">
        <v>233</v>
      </c>
      <c r="D67" s="66">
        <v>88</v>
      </c>
      <c r="E67" s="68">
        <v>4.7210300429184997E-2</v>
      </c>
    </row>
    <row r="68" spans="2:5" ht="15" customHeight="1">
      <c r="B68" s="95" t="s">
        <v>126</v>
      </c>
      <c r="C68" s="54" t="s">
        <v>172</v>
      </c>
      <c r="D68" s="55">
        <v>1</v>
      </c>
      <c r="E68" s="56">
        <v>5.36480686695E-4</v>
      </c>
    </row>
    <row r="69" spans="2:5" ht="15" customHeight="1">
      <c r="B69" s="96"/>
      <c r="C69" s="54" t="s">
        <v>175</v>
      </c>
      <c r="D69" s="55">
        <v>1</v>
      </c>
      <c r="E69" s="56">
        <v>5.36480686695E-4</v>
      </c>
    </row>
    <row r="70" spans="2:5" ht="15" customHeight="1">
      <c r="B70" s="97"/>
      <c r="C70" s="67" t="s">
        <v>233</v>
      </c>
      <c r="D70" s="66">
        <v>2</v>
      </c>
      <c r="E70" s="68">
        <v>1.0729613733910001E-3</v>
      </c>
    </row>
    <row r="71" spans="2:5" ht="15" customHeight="1">
      <c r="B71" s="95" t="s">
        <v>61</v>
      </c>
      <c r="C71" s="54" t="s">
        <v>172</v>
      </c>
      <c r="D71" s="55">
        <v>7</v>
      </c>
      <c r="E71" s="56">
        <v>3.755364806867E-3</v>
      </c>
    </row>
    <row r="72" spans="2:5" ht="15" customHeight="1">
      <c r="B72" s="96"/>
      <c r="C72" s="54" t="s">
        <v>174</v>
      </c>
      <c r="D72" s="55">
        <v>13</v>
      </c>
      <c r="E72" s="56">
        <v>6.974248927039E-3</v>
      </c>
    </row>
    <row r="73" spans="2:5" ht="15" customHeight="1">
      <c r="B73" s="96"/>
      <c r="C73" s="54" t="s">
        <v>170</v>
      </c>
      <c r="D73" s="55">
        <v>27</v>
      </c>
      <c r="E73" s="56">
        <v>1.4484978540773E-2</v>
      </c>
    </row>
    <row r="74" spans="2:5" ht="15" customHeight="1">
      <c r="B74" s="96"/>
      <c r="C74" s="54" t="s">
        <v>171</v>
      </c>
      <c r="D74" s="55">
        <v>3</v>
      </c>
      <c r="E74" s="56">
        <v>1.609442060086E-3</v>
      </c>
    </row>
    <row r="75" spans="2:5" ht="15" customHeight="1">
      <c r="B75" s="96"/>
      <c r="C75" s="54" t="s">
        <v>179</v>
      </c>
      <c r="D75" s="55">
        <v>2</v>
      </c>
      <c r="E75" s="56">
        <v>1.0729613733910001E-3</v>
      </c>
    </row>
    <row r="76" spans="2:5" ht="15" customHeight="1">
      <c r="B76" s="96"/>
      <c r="C76" s="54" t="s">
        <v>175</v>
      </c>
      <c r="D76" s="55">
        <v>1</v>
      </c>
      <c r="E76" s="56">
        <v>5.36480686695E-4</v>
      </c>
    </row>
    <row r="77" spans="2:5" ht="15" customHeight="1">
      <c r="B77" s="97"/>
      <c r="C77" s="67" t="s">
        <v>233</v>
      </c>
      <c r="D77" s="66">
        <v>53</v>
      </c>
      <c r="E77" s="68">
        <v>2.8433476394849999E-2</v>
      </c>
    </row>
    <row r="78" spans="2:5" ht="15" customHeight="1">
      <c r="B78" s="95" t="s">
        <v>67</v>
      </c>
      <c r="C78" s="54" t="s">
        <v>176</v>
      </c>
      <c r="D78" s="55">
        <v>4</v>
      </c>
      <c r="E78" s="56">
        <v>2.1459227467810001E-3</v>
      </c>
    </row>
    <row r="79" spans="2:5" ht="15" customHeight="1">
      <c r="B79" s="96"/>
      <c r="C79" s="54" t="s">
        <v>172</v>
      </c>
      <c r="D79" s="55">
        <v>7</v>
      </c>
      <c r="E79" s="56">
        <v>3.755364806867E-3</v>
      </c>
    </row>
    <row r="80" spans="2:5" ht="15" customHeight="1">
      <c r="B80" s="96"/>
      <c r="C80" s="54" t="s">
        <v>174</v>
      </c>
      <c r="D80" s="55">
        <v>5</v>
      </c>
      <c r="E80" s="56">
        <v>2.6824034334760002E-3</v>
      </c>
    </row>
    <row r="81" spans="2:5" ht="15" customHeight="1">
      <c r="B81" s="96"/>
      <c r="C81" s="54" t="s">
        <v>170</v>
      </c>
      <c r="D81" s="55">
        <v>7</v>
      </c>
      <c r="E81" s="56">
        <v>3.755364806867E-3</v>
      </c>
    </row>
    <row r="82" spans="2:5" ht="15" customHeight="1">
      <c r="B82" s="96"/>
      <c r="C82" s="54" t="s">
        <v>171</v>
      </c>
      <c r="D82" s="55">
        <v>13</v>
      </c>
      <c r="E82" s="56">
        <v>6.974248927039E-3</v>
      </c>
    </row>
    <row r="83" spans="2:5" ht="15" customHeight="1">
      <c r="B83" s="96"/>
      <c r="C83" s="54" t="s">
        <v>179</v>
      </c>
      <c r="D83" s="55">
        <v>2</v>
      </c>
      <c r="E83" s="56">
        <v>1.0729613733910001E-3</v>
      </c>
    </row>
    <row r="84" spans="2:5" ht="15" customHeight="1">
      <c r="B84" s="96"/>
      <c r="C84" s="54" t="s">
        <v>173</v>
      </c>
      <c r="D84" s="55">
        <v>4</v>
      </c>
      <c r="E84" s="56">
        <v>2.1459227467810001E-3</v>
      </c>
    </row>
    <row r="85" spans="2:5" ht="15" customHeight="1">
      <c r="B85" s="96"/>
      <c r="C85" s="54" t="s">
        <v>180</v>
      </c>
      <c r="D85" s="55">
        <v>1</v>
      </c>
      <c r="E85" s="56">
        <v>5.36480686695E-4</v>
      </c>
    </row>
    <row r="86" spans="2:5" ht="15" customHeight="1">
      <c r="B86" s="97"/>
      <c r="C86" s="67" t="s">
        <v>233</v>
      </c>
      <c r="D86" s="66">
        <v>43</v>
      </c>
      <c r="E86" s="68">
        <v>2.3068669527897E-2</v>
      </c>
    </row>
    <row r="87" spans="2:5" ht="15" customHeight="1">
      <c r="B87" s="95" t="s">
        <v>87</v>
      </c>
      <c r="C87" s="54" t="s">
        <v>171</v>
      </c>
      <c r="D87" s="55">
        <v>1</v>
      </c>
      <c r="E87" s="56">
        <v>5.36480686695E-4</v>
      </c>
    </row>
    <row r="88" spans="2:5" ht="15" customHeight="1">
      <c r="B88" s="96"/>
      <c r="C88" s="54" t="s">
        <v>175</v>
      </c>
      <c r="D88" s="55">
        <v>4</v>
      </c>
      <c r="E88" s="56">
        <v>2.1459227467810001E-3</v>
      </c>
    </row>
    <row r="89" spans="2:5" ht="15" customHeight="1">
      <c r="B89" s="97"/>
      <c r="C89" s="67" t="s">
        <v>233</v>
      </c>
      <c r="D89" s="66">
        <v>5</v>
      </c>
      <c r="E89" s="68">
        <v>2.6824034334760002E-3</v>
      </c>
    </row>
    <row r="90" spans="2:5" ht="15" customHeight="1">
      <c r="B90" s="95" t="s">
        <v>79</v>
      </c>
      <c r="C90" s="54" t="s">
        <v>172</v>
      </c>
      <c r="D90" s="55">
        <v>4</v>
      </c>
      <c r="E90" s="56">
        <v>2.1459227467810001E-3</v>
      </c>
    </row>
    <row r="91" spans="2:5" ht="15" customHeight="1">
      <c r="B91" s="96"/>
      <c r="C91" s="54" t="s">
        <v>170</v>
      </c>
      <c r="D91" s="55">
        <v>1</v>
      </c>
      <c r="E91" s="56">
        <v>5.36480686695E-4</v>
      </c>
    </row>
    <row r="92" spans="2:5" ht="15" customHeight="1">
      <c r="B92" s="96"/>
      <c r="C92" s="54" t="s">
        <v>171</v>
      </c>
      <c r="D92" s="55">
        <v>7</v>
      </c>
      <c r="E92" s="56">
        <v>3.755364806867E-3</v>
      </c>
    </row>
    <row r="93" spans="2:5" ht="15" customHeight="1">
      <c r="B93" s="96"/>
      <c r="C93" s="54" t="s">
        <v>173</v>
      </c>
      <c r="D93" s="55">
        <v>2</v>
      </c>
      <c r="E93" s="56">
        <v>1.0729613733910001E-3</v>
      </c>
    </row>
    <row r="94" spans="2:5" ht="15" customHeight="1">
      <c r="B94" s="96"/>
      <c r="C94" s="54" t="s">
        <v>177</v>
      </c>
      <c r="D94" s="55">
        <v>1</v>
      </c>
      <c r="E94" s="56">
        <v>5.36480686695E-4</v>
      </c>
    </row>
    <row r="95" spans="2:5" ht="15" customHeight="1">
      <c r="B95" s="97"/>
      <c r="C95" s="67" t="s">
        <v>233</v>
      </c>
      <c r="D95" s="66">
        <v>15</v>
      </c>
      <c r="E95" s="68">
        <v>8.0472103004290002E-3</v>
      </c>
    </row>
    <row r="96" spans="2:5" ht="15" customHeight="1">
      <c r="B96" s="95" t="s">
        <v>71</v>
      </c>
      <c r="C96" s="54" t="s">
        <v>176</v>
      </c>
      <c r="D96" s="55">
        <v>1</v>
      </c>
      <c r="E96" s="56">
        <v>5.36480686695E-4</v>
      </c>
    </row>
    <row r="97" spans="2:5" ht="15" customHeight="1">
      <c r="B97" s="96"/>
      <c r="C97" s="54" t="s">
        <v>178</v>
      </c>
      <c r="D97" s="55">
        <v>1</v>
      </c>
      <c r="E97" s="56">
        <v>5.36480686695E-4</v>
      </c>
    </row>
    <row r="98" spans="2:5" ht="15" customHeight="1">
      <c r="B98" s="96"/>
      <c r="C98" s="54" t="s">
        <v>172</v>
      </c>
      <c r="D98" s="55">
        <v>4</v>
      </c>
      <c r="E98" s="56">
        <v>2.1459227467810001E-3</v>
      </c>
    </row>
    <row r="99" spans="2:5" ht="15" customHeight="1">
      <c r="B99" s="96"/>
      <c r="C99" s="54" t="s">
        <v>174</v>
      </c>
      <c r="D99" s="55">
        <v>1</v>
      </c>
      <c r="E99" s="56">
        <v>5.36480686695E-4</v>
      </c>
    </row>
    <row r="100" spans="2:5" ht="15" customHeight="1">
      <c r="B100" s="96"/>
      <c r="C100" s="54" t="s">
        <v>170</v>
      </c>
      <c r="D100" s="55">
        <v>2</v>
      </c>
      <c r="E100" s="56">
        <v>1.0729613733910001E-3</v>
      </c>
    </row>
    <row r="101" spans="2:5" ht="15" customHeight="1">
      <c r="B101" s="96"/>
      <c r="C101" s="54" t="s">
        <v>171</v>
      </c>
      <c r="D101" s="55">
        <v>4</v>
      </c>
      <c r="E101" s="56">
        <v>2.1459227467810001E-3</v>
      </c>
    </row>
    <row r="102" spans="2:5" ht="15" customHeight="1">
      <c r="B102" s="96"/>
      <c r="C102" s="54" t="s">
        <v>173</v>
      </c>
      <c r="D102" s="55">
        <v>4</v>
      </c>
      <c r="E102" s="56">
        <v>2.1459227467810001E-3</v>
      </c>
    </row>
    <row r="103" spans="2:5" ht="15" customHeight="1">
      <c r="B103" s="96"/>
      <c r="C103" s="54" t="s">
        <v>177</v>
      </c>
      <c r="D103" s="55">
        <v>1</v>
      </c>
      <c r="E103" s="56">
        <v>5.36480686695E-4</v>
      </c>
    </row>
    <row r="104" spans="2:5" ht="15" customHeight="1">
      <c r="B104" s="96"/>
      <c r="C104" s="54" t="s">
        <v>175</v>
      </c>
      <c r="D104" s="55">
        <v>1</v>
      </c>
      <c r="E104" s="56">
        <v>5.36480686695E-4</v>
      </c>
    </row>
    <row r="105" spans="2:5" ht="15" customHeight="1">
      <c r="B105" s="97"/>
      <c r="C105" s="67" t="s">
        <v>233</v>
      </c>
      <c r="D105" s="66">
        <v>19</v>
      </c>
      <c r="E105" s="68">
        <v>1.019313304721E-2</v>
      </c>
    </row>
    <row r="106" spans="2:5" ht="15" customHeight="1">
      <c r="B106" s="95" t="s">
        <v>52</v>
      </c>
      <c r="C106" s="54" t="s">
        <v>172</v>
      </c>
      <c r="D106" s="55">
        <v>20</v>
      </c>
      <c r="E106" s="56">
        <v>1.0729613733905999E-2</v>
      </c>
    </row>
    <row r="107" spans="2:5" ht="15" customHeight="1">
      <c r="B107" s="96"/>
      <c r="C107" s="54" t="s">
        <v>174</v>
      </c>
      <c r="D107" s="55">
        <v>5</v>
      </c>
      <c r="E107" s="56">
        <v>2.6824034334760002E-3</v>
      </c>
    </row>
    <row r="108" spans="2:5" ht="15" customHeight="1">
      <c r="B108" s="96"/>
      <c r="C108" s="54" t="s">
        <v>170</v>
      </c>
      <c r="D108" s="55">
        <v>19</v>
      </c>
      <c r="E108" s="56">
        <v>1.019313304721E-2</v>
      </c>
    </row>
    <row r="109" spans="2:5" ht="15" customHeight="1">
      <c r="B109" s="96"/>
      <c r="C109" s="54" t="s">
        <v>171</v>
      </c>
      <c r="D109" s="55">
        <v>14</v>
      </c>
      <c r="E109" s="56">
        <v>7.5107296137340001E-3</v>
      </c>
    </row>
    <row r="110" spans="2:5" ht="15" customHeight="1">
      <c r="B110" s="96"/>
      <c r="C110" s="54" t="s">
        <v>173</v>
      </c>
      <c r="D110" s="55">
        <v>5</v>
      </c>
      <c r="E110" s="56">
        <v>2.6824034334760002E-3</v>
      </c>
    </row>
    <row r="111" spans="2:5" ht="15" customHeight="1">
      <c r="B111" s="96"/>
      <c r="C111" s="54" t="s">
        <v>175</v>
      </c>
      <c r="D111" s="55">
        <v>2</v>
      </c>
      <c r="E111" s="56">
        <v>1.0729613733910001E-3</v>
      </c>
    </row>
    <row r="112" spans="2:5" ht="15" customHeight="1">
      <c r="B112" s="97"/>
      <c r="C112" s="67" t="s">
        <v>233</v>
      </c>
      <c r="D112" s="66">
        <v>65</v>
      </c>
      <c r="E112" s="68">
        <v>3.4871244635192998E-2</v>
      </c>
    </row>
    <row r="113" spans="2:5" ht="15" customHeight="1">
      <c r="B113" s="95" t="s">
        <v>63</v>
      </c>
      <c r="C113" s="54" t="s">
        <v>176</v>
      </c>
      <c r="D113" s="55">
        <v>2</v>
      </c>
      <c r="E113" s="56">
        <v>1.0729613733910001E-3</v>
      </c>
    </row>
    <row r="114" spans="2:5" ht="15" customHeight="1">
      <c r="B114" s="96"/>
      <c r="C114" s="54" t="s">
        <v>172</v>
      </c>
      <c r="D114" s="55">
        <v>5</v>
      </c>
      <c r="E114" s="56">
        <v>2.6824034334760002E-3</v>
      </c>
    </row>
    <row r="115" spans="2:5" ht="15" customHeight="1">
      <c r="B115" s="96"/>
      <c r="C115" s="54" t="s">
        <v>174</v>
      </c>
      <c r="D115" s="55">
        <v>1</v>
      </c>
      <c r="E115" s="56">
        <v>5.36480686695E-4</v>
      </c>
    </row>
    <row r="116" spans="2:5" ht="15" customHeight="1">
      <c r="B116" s="96"/>
      <c r="C116" s="54" t="s">
        <v>170</v>
      </c>
      <c r="D116" s="55">
        <v>13</v>
      </c>
      <c r="E116" s="56">
        <v>6.974248927039E-3</v>
      </c>
    </row>
    <row r="117" spans="2:5" ht="15" customHeight="1">
      <c r="B117" s="96"/>
      <c r="C117" s="54" t="s">
        <v>171</v>
      </c>
      <c r="D117" s="55">
        <v>8</v>
      </c>
      <c r="E117" s="56">
        <v>4.2918454935620002E-3</v>
      </c>
    </row>
    <row r="118" spans="2:5" ht="15" customHeight="1">
      <c r="B118" s="96"/>
      <c r="C118" s="54" t="s">
        <v>175</v>
      </c>
      <c r="D118" s="55">
        <v>1</v>
      </c>
      <c r="E118" s="56">
        <v>5.36480686695E-4</v>
      </c>
    </row>
    <row r="119" spans="2:5" ht="15" customHeight="1">
      <c r="B119" s="97"/>
      <c r="C119" s="67" t="s">
        <v>233</v>
      </c>
      <c r="D119" s="66">
        <v>30</v>
      </c>
      <c r="E119" s="68">
        <v>1.6094420600858E-2</v>
      </c>
    </row>
    <row r="120" spans="2:5" ht="15" customHeight="1">
      <c r="B120" s="95" t="s">
        <v>59</v>
      </c>
      <c r="C120" s="54" t="s">
        <v>178</v>
      </c>
      <c r="D120" s="55">
        <v>1</v>
      </c>
      <c r="E120" s="56">
        <v>5.36480686695E-4</v>
      </c>
    </row>
    <row r="121" spans="2:5" ht="15" customHeight="1">
      <c r="B121" s="96"/>
      <c r="C121" s="54" t="s">
        <v>172</v>
      </c>
      <c r="D121" s="55">
        <v>14</v>
      </c>
      <c r="E121" s="56">
        <v>7.5107296137340001E-3</v>
      </c>
    </row>
    <row r="122" spans="2:5" ht="15" customHeight="1">
      <c r="B122" s="96"/>
      <c r="C122" s="54" t="s">
        <v>174</v>
      </c>
      <c r="D122" s="55">
        <v>3</v>
      </c>
      <c r="E122" s="56">
        <v>1.609442060086E-3</v>
      </c>
    </row>
    <row r="123" spans="2:5" ht="15" customHeight="1">
      <c r="B123" s="96"/>
      <c r="C123" s="54" t="s">
        <v>170</v>
      </c>
      <c r="D123" s="55">
        <v>16</v>
      </c>
      <c r="E123" s="56">
        <v>8.5836909871240003E-3</v>
      </c>
    </row>
    <row r="124" spans="2:5" ht="15" customHeight="1">
      <c r="B124" s="96"/>
      <c r="C124" s="54" t="s">
        <v>171</v>
      </c>
      <c r="D124" s="55">
        <v>15</v>
      </c>
      <c r="E124" s="56">
        <v>8.0472103004290002E-3</v>
      </c>
    </row>
    <row r="125" spans="2:5" ht="15" customHeight="1">
      <c r="B125" s="96"/>
      <c r="C125" s="54" t="s">
        <v>179</v>
      </c>
      <c r="D125" s="55">
        <v>2</v>
      </c>
      <c r="E125" s="56">
        <v>1.0729613733910001E-3</v>
      </c>
    </row>
    <row r="126" spans="2:5" ht="15" customHeight="1">
      <c r="B126" s="96"/>
      <c r="C126" s="54" t="s">
        <v>173</v>
      </c>
      <c r="D126" s="55">
        <v>16</v>
      </c>
      <c r="E126" s="56">
        <v>8.5836909871240003E-3</v>
      </c>
    </row>
    <row r="127" spans="2:5" ht="15" customHeight="1">
      <c r="B127" s="96"/>
      <c r="C127" s="54" t="s">
        <v>175</v>
      </c>
      <c r="D127" s="55">
        <v>2</v>
      </c>
      <c r="E127" s="56">
        <v>1.0729613733910001E-3</v>
      </c>
    </row>
    <row r="128" spans="2:5" ht="15" customHeight="1">
      <c r="B128" s="97"/>
      <c r="C128" s="67" t="s">
        <v>233</v>
      </c>
      <c r="D128" s="66">
        <v>69</v>
      </c>
      <c r="E128" s="68">
        <v>3.7017167381973998E-2</v>
      </c>
    </row>
    <row r="129" spans="2:5" ht="15" customHeight="1">
      <c r="B129" s="95" t="s">
        <v>77</v>
      </c>
      <c r="C129" s="54" t="s">
        <v>172</v>
      </c>
      <c r="D129" s="55">
        <v>1</v>
      </c>
      <c r="E129" s="56">
        <v>5.36480686695E-4</v>
      </c>
    </row>
    <row r="130" spans="2:5" ht="15" customHeight="1">
      <c r="B130" s="96"/>
      <c r="C130" s="54" t="s">
        <v>170</v>
      </c>
      <c r="D130" s="55">
        <v>1</v>
      </c>
      <c r="E130" s="56">
        <v>5.36480686695E-4</v>
      </c>
    </row>
    <row r="131" spans="2:5" ht="15" customHeight="1">
      <c r="B131" s="96"/>
      <c r="C131" s="54" t="s">
        <v>171</v>
      </c>
      <c r="D131" s="55">
        <v>7</v>
      </c>
      <c r="E131" s="56">
        <v>3.755364806867E-3</v>
      </c>
    </row>
    <row r="132" spans="2:5" ht="15" customHeight="1">
      <c r="B132" s="97"/>
      <c r="C132" s="67" t="s">
        <v>233</v>
      </c>
      <c r="D132" s="66">
        <v>9</v>
      </c>
      <c r="E132" s="68">
        <v>4.8283261802580003E-3</v>
      </c>
    </row>
    <row r="133" spans="2:5" ht="15" customHeight="1">
      <c r="B133" s="95" t="s">
        <v>65</v>
      </c>
      <c r="C133" s="54" t="s">
        <v>178</v>
      </c>
      <c r="D133" s="55">
        <v>2</v>
      </c>
      <c r="E133" s="56">
        <v>1.0729613733910001E-3</v>
      </c>
    </row>
    <row r="134" spans="2:5" ht="15" customHeight="1">
      <c r="B134" s="96"/>
      <c r="C134" s="54" t="s">
        <v>172</v>
      </c>
      <c r="D134" s="55">
        <v>22</v>
      </c>
      <c r="E134" s="56">
        <v>1.1802575107295999E-2</v>
      </c>
    </row>
    <row r="135" spans="2:5" ht="15" customHeight="1">
      <c r="B135" s="96"/>
      <c r="C135" s="54" t="s">
        <v>170</v>
      </c>
      <c r="D135" s="55">
        <v>6</v>
      </c>
      <c r="E135" s="56">
        <v>3.2188841201719999E-3</v>
      </c>
    </row>
    <row r="136" spans="2:5" ht="15" customHeight="1">
      <c r="B136" s="96"/>
      <c r="C136" s="54" t="s">
        <v>171</v>
      </c>
      <c r="D136" s="55">
        <v>5</v>
      </c>
      <c r="E136" s="56">
        <v>2.6824034334760002E-3</v>
      </c>
    </row>
    <row r="137" spans="2:5" ht="15" customHeight="1">
      <c r="B137" s="96"/>
      <c r="C137" s="54" t="s">
        <v>179</v>
      </c>
      <c r="D137" s="55">
        <v>2</v>
      </c>
      <c r="E137" s="56">
        <v>1.0729613733910001E-3</v>
      </c>
    </row>
    <row r="138" spans="2:5" ht="15" customHeight="1">
      <c r="B138" s="97"/>
      <c r="C138" s="67" t="s">
        <v>233</v>
      </c>
      <c r="D138" s="66">
        <v>37</v>
      </c>
      <c r="E138" s="68">
        <v>1.9849785407725001E-2</v>
      </c>
    </row>
    <row r="139" spans="2:5" ht="15" customHeight="1">
      <c r="B139" s="95" t="s">
        <v>56</v>
      </c>
      <c r="C139" s="54" t="s">
        <v>176</v>
      </c>
      <c r="D139" s="55">
        <v>3</v>
      </c>
      <c r="E139" s="56">
        <v>1.609442060086E-3</v>
      </c>
    </row>
    <row r="140" spans="2:5" ht="15" customHeight="1">
      <c r="B140" s="96"/>
      <c r="C140" s="54" t="s">
        <v>178</v>
      </c>
      <c r="D140" s="55">
        <v>1</v>
      </c>
      <c r="E140" s="56">
        <v>5.36480686695E-4</v>
      </c>
    </row>
    <row r="141" spans="2:5" ht="15" customHeight="1">
      <c r="B141" s="96"/>
      <c r="C141" s="54" t="s">
        <v>172</v>
      </c>
      <c r="D141" s="55">
        <v>14</v>
      </c>
      <c r="E141" s="56">
        <v>7.5107296137340001E-3</v>
      </c>
    </row>
    <row r="142" spans="2:5" ht="15" customHeight="1">
      <c r="B142" s="96"/>
      <c r="C142" s="54" t="s">
        <v>174</v>
      </c>
      <c r="D142" s="55">
        <v>4</v>
      </c>
      <c r="E142" s="56">
        <v>2.1459227467810001E-3</v>
      </c>
    </row>
    <row r="143" spans="2:5" ht="15" customHeight="1">
      <c r="B143" s="96"/>
      <c r="C143" s="54" t="s">
        <v>170</v>
      </c>
      <c r="D143" s="55">
        <v>23</v>
      </c>
      <c r="E143" s="56">
        <v>1.2339055793990999E-2</v>
      </c>
    </row>
    <row r="144" spans="2:5" ht="15" customHeight="1">
      <c r="B144" s="96"/>
      <c r="C144" s="54" t="s">
        <v>171</v>
      </c>
      <c r="D144" s="55">
        <v>17</v>
      </c>
      <c r="E144" s="56">
        <v>9.1201716738199996E-3</v>
      </c>
    </row>
    <row r="145" spans="2:5" ht="15" customHeight="1">
      <c r="B145" s="96"/>
      <c r="C145" s="54" t="s">
        <v>173</v>
      </c>
      <c r="D145" s="55">
        <v>9</v>
      </c>
      <c r="E145" s="56">
        <v>4.8283261802580003E-3</v>
      </c>
    </row>
    <row r="146" spans="2:5" ht="15" customHeight="1">
      <c r="B146" s="96"/>
      <c r="C146" s="54" t="s">
        <v>177</v>
      </c>
      <c r="D146" s="55">
        <v>3</v>
      </c>
      <c r="E146" s="56">
        <v>1.609442060086E-3</v>
      </c>
    </row>
    <row r="147" spans="2:5" ht="15" customHeight="1">
      <c r="B147" s="96"/>
      <c r="C147" s="54" t="s">
        <v>175</v>
      </c>
      <c r="D147" s="55">
        <v>2</v>
      </c>
      <c r="E147" s="56">
        <v>1.0729613733910001E-3</v>
      </c>
    </row>
    <row r="148" spans="2:5" ht="15" customHeight="1">
      <c r="B148" s="97"/>
      <c r="C148" s="67" t="s">
        <v>233</v>
      </c>
      <c r="D148" s="66">
        <v>76</v>
      </c>
      <c r="E148" s="68">
        <v>4.0772532188840999E-2</v>
      </c>
    </row>
    <row r="149" spans="2:5" ht="15" customHeight="1">
      <c r="B149" s="95" t="s">
        <v>53</v>
      </c>
      <c r="C149" s="54" t="s">
        <v>178</v>
      </c>
      <c r="D149" s="55">
        <v>1</v>
      </c>
      <c r="E149" s="56">
        <v>5.36480686695E-4</v>
      </c>
    </row>
    <row r="150" spans="2:5" ht="15" customHeight="1">
      <c r="B150" s="96"/>
      <c r="C150" s="54" t="s">
        <v>172</v>
      </c>
      <c r="D150" s="55">
        <v>32</v>
      </c>
      <c r="E150" s="56">
        <v>1.7167381974249E-2</v>
      </c>
    </row>
    <row r="151" spans="2:5" ht="15" customHeight="1">
      <c r="B151" s="96"/>
      <c r="C151" s="54" t="s">
        <v>174</v>
      </c>
      <c r="D151" s="55">
        <v>1</v>
      </c>
      <c r="E151" s="56">
        <v>5.36480686695E-4</v>
      </c>
    </row>
    <row r="152" spans="2:5" ht="15" customHeight="1">
      <c r="B152" s="96"/>
      <c r="C152" s="54" t="s">
        <v>170</v>
      </c>
      <c r="D152" s="55">
        <v>14</v>
      </c>
      <c r="E152" s="56">
        <v>7.5107296137340001E-3</v>
      </c>
    </row>
    <row r="153" spans="2:5" ht="15" customHeight="1">
      <c r="B153" s="96"/>
      <c r="C153" s="54" t="s">
        <v>171</v>
      </c>
      <c r="D153" s="55">
        <v>13</v>
      </c>
      <c r="E153" s="56">
        <v>6.974248927039E-3</v>
      </c>
    </row>
    <row r="154" spans="2:5" ht="15" customHeight="1">
      <c r="B154" s="96"/>
      <c r="C154" s="54" t="s">
        <v>173</v>
      </c>
      <c r="D154" s="55">
        <v>5</v>
      </c>
      <c r="E154" s="56">
        <v>2.6824034334760002E-3</v>
      </c>
    </row>
    <row r="155" spans="2:5" ht="15" customHeight="1">
      <c r="B155" s="96"/>
      <c r="C155" s="54" t="s">
        <v>177</v>
      </c>
      <c r="D155" s="55">
        <v>1</v>
      </c>
      <c r="E155" s="56">
        <v>5.36480686695E-4</v>
      </c>
    </row>
    <row r="156" spans="2:5" ht="15" customHeight="1">
      <c r="B156" s="96"/>
      <c r="C156" s="54" t="s">
        <v>175</v>
      </c>
      <c r="D156" s="55">
        <v>2</v>
      </c>
      <c r="E156" s="56">
        <v>1.0729613733910001E-3</v>
      </c>
    </row>
    <row r="157" spans="2:5" ht="15" customHeight="1">
      <c r="B157" s="97"/>
      <c r="C157" s="67" t="s">
        <v>233</v>
      </c>
      <c r="D157" s="66">
        <v>69</v>
      </c>
      <c r="E157" s="68">
        <v>3.7017167381973998E-2</v>
      </c>
    </row>
    <row r="158" spans="2:5" ht="15" customHeight="1">
      <c r="B158" s="95" t="s">
        <v>60</v>
      </c>
      <c r="C158" s="54" t="s">
        <v>172</v>
      </c>
      <c r="D158" s="55">
        <v>5</v>
      </c>
      <c r="E158" s="56">
        <v>2.6824034334760002E-3</v>
      </c>
    </row>
    <row r="159" spans="2:5" ht="15" customHeight="1">
      <c r="B159" s="96"/>
      <c r="C159" s="54" t="s">
        <v>174</v>
      </c>
      <c r="D159" s="55">
        <v>1</v>
      </c>
      <c r="E159" s="56">
        <v>5.36480686695E-4</v>
      </c>
    </row>
    <row r="160" spans="2:5" ht="15" customHeight="1">
      <c r="B160" s="96"/>
      <c r="C160" s="54" t="s">
        <v>170</v>
      </c>
      <c r="D160" s="55">
        <v>11</v>
      </c>
      <c r="E160" s="56">
        <v>5.9012875536479997E-3</v>
      </c>
    </row>
    <row r="161" spans="2:5" ht="15" customHeight="1">
      <c r="B161" s="96"/>
      <c r="C161" s="54" t="s">
        <v>171</v>
      </c>
      <c r="D161" s="55">
        <v>6</v>
      </c>
      <c r="E161" s="56">
        <v>3.2188841201719999E-3</v>
      </c>
    </row>
    <row r="162" spans="2:5" ht="15" customHeight="1">
      <c r="B162" s="96"/>
      <c r="C162" s="54" t="s">
        <v>173</v>
      </c>
      <c r="D162" s="55">
        <v>4</v>
      </c>
      <c r="E162" s="56">
        <v>2.1459227467810001E-3</v>
      </c>
    </row>
    <row r="163" spans="2:5" ht="15" customHeight="1">
      <c r="B163" s="97"/>
      <c r="C163" s="67" t="s">
        <v>233</v>
      </c>
      <c r="D163" s="66">
        <v>27</v>
      </c>
      <c r="E163" s="68">
        <v>1.4484978540773E-2</v>
      </c>
    </row>
    <row r="164" spans="2:5" ht="15" customHeight="1">
      <c r="B164" s="95" t="s">
        <v>62</v>
      </c>
      <c r="C164" s="54" t="s">
        <v>176</v>
      </c>
      <c r="D164" s="55">
        <v>3</v>
      </c>
      <c r="E164" s="56">
        <v>1.609442060086E-3</v>
      </c>
    </row>
    <row r="165" spans="2:5" ht="15" customHeight="1">
      <c r="B165" s="96"/>
      <c r="C165" s="54" t="s">
        <v>172</v>
      </c>
      <c r="D165" s="55">
        <v>9</v>
      </c>
      <c r="E165" s="56">
        <v>4.8283261802580003E-3</v>
      </c>
    </row>
    <row r="166" spans="2:5" ht="15" customHeight="1">
      <c r="B166" s="96"/>
      <c r="C166" s="54" t="s">
        <v>170</v>
      </c>
      <c r="D166" s="55">
        <v>6</v>
      </c>
      <c r="E166" s="56">
        <v>3.2188841201719999E-3</v>
      </c>
    </row>
    <row r="167" spans="2:5" ht="15" customHeight="1">
      <c r="B167" s="96"/>
      <c r="C167" s="54" t="s">
        <v>171</v>
      </c>
      <c r="D167" s="55">
        <v>34</v>
      </c>
      <c r="E167" s="56">
        <v>1.8240343347639E-2</v>
      </c>
    </row>
    <row r="168" spans="2:5" ht="15" customHeight="1">
      <c r="B168" s="96"/>
      <c r="C168" s="54" t="s">
        <v>179</v>
      </c>
      <c r="D168" s="55">
        <v>1</v>
      </c>
      <c r="E168" s="56">
        <v>5.36480686695E-4</v>
      </c>
    </row>
    <row r="169" spans="2:5" ht="15" customHeight="1">
      <c r="B169" s="96"/>
      <c r="C169" s="54" t="s">
        <v>173</v>
      </c>
      <c r="D169" s="55">
        <v>1</v>
      </c>
      <c r="E169" s="56">
        <v>5.36480686695E-4</v>
      </c>
    </row>
    <row r="170" spans="2:5" ht="15" customHeight="1">
      <c r="B170" s="96"/>
      <c r="C170" s="54" t="s">
        <v>180</v>
      </c>
      <c r="D170" s="55">
        <v>1</v>
      </c>
      <c r="E170" s="56">
        <v>5.36480686695E-4</v>
      </c>
    </row>
    <row r="171" spans="2:5" ht="15" customHeight="1">
      <c r="B171" s="97"/>
      <c r="C171" s="67" t="s">
        <v>233</v>
      </c>
      <c r="D171" s="66">
        <v>55</v>
      </c>
      <c r="E171" s="68">
        <v>2.9506437768239999E-2</v>
      </c>
    </row>
    <row r="172" spans="2:5" ht="15" customHeight="1">
      <c r="B172" s="95" t="s">
        <v>80</v>
      </c>
      <c r="C172" s="54" t="s">
        <v>174</v>
      </c>
      <c r="D172" s="55">
        <v>1</v>
      </c>
      <c r="E172" s="56">
        <v>5.36480686695E-4</v>
      </c>
    </row>
    <row r="173" spans="2:5" ht="15" customHeight="1">
      <c r="B173" s="96"/>
      <c r="C173" s="54" t="s">
        <v>170</v>
      </c>
      <c r="D173" s="55">
        <v>3</v>
      </c>
      <c r="E173" s="56">
        <v>1.609442060086E-3</v>
      </c>
    </row>
    <row r="174" spans="2:5" ht="15" customHeight="1">
      <c r="B174" s="96"/>
      <c r="C174" s="54" t="s">
        <v>173</v>
      </c>
      <c r="D174" s="55">
        <v>1</v>
      </c>
      <c r="E174" s="56">
        <v>5.36480686695E-4</v>
      </c>
    </row>
    <row r="175" spans="2:5" ht="15" customHeight="1">
      <c r="B175" s="96"/>
      <c r="C175" s="54" t="s">
        <v>175</v>
      </c>
      <c r="D175" s="55">
        <v>1</v>
      </c>
      <c r="E175" s="56">
        <v>5.36480686695E-4</v>
      </c>
    </row>
    <row r="176" spans="2:5" ht="15" customHeight="1">
      <c r="B176" s="97"/>
      <c r="C176" s="67" t="s">
        <v>233</v>
      </c>
      <c r="D176" s="66">
        <v>6</v>
      </c>
      <c r="E176" s="68">
        <v>3.2188841201719999E-3</v>
      </c>
    </row>
    <row r="177" spans="2:5" ht="15" customHeight="1">
      <c r="B177" s="95" t="s">
        <v>125</v>
      </c>
      <c r="C177" s="54" t="s">
        <v>170</v>
      </c>
      <c r="D177" s="55">
        <v>1</v>
      </c>
      <c r="E177" s="56">
        <v>5.36480686695E-4</v>
      </c>
    </row>
    <row r="178" spans="2:5" ht="15" customHeight="1">
      <c r="B178" s="96"/>
      <c r="C178" s="54" t="s">
        <v>171</v>
      </c>
      <c r="D178" s="55">
        <v>4</v>
      </c>
      <c r="E178" s="56">
        <v>2.1459227467810001E-3</v>
      </c>
    </row>
    <row r="179" spans="2:5" ht="15" customHeight="1">
      <c r="B179" s="96"/>
      <c r="C179" s="54" t="s">
        <v>177</v>
      </c>
      <c r="D179" s="55">
        <v>1</v>
      </c>
      <c r="E179" s="56">
        <v>5.36480686695E-4</v>
      </c>
    </row>
    <row r="180" spans="2:5" ht="15" customHeight="1">
      <c r="B180" s="97"/>
      <c r="C180" s="67" t="s">
        <v>233</v>
      </c>
      <c r="D180" s="66">
        <v>6</v>
      </c>
      <c r="E180" s="68">
        <v>3.2188841201719999E-3</v>
      </c>
    </row>
    <row r="181" spans="2:5" ht="15" customHeight="1">
      <c r="B181" s="95" t="s">
        <v>66</v>
      </c>
      <c r="C181" s="54" t="s">
        <v>176</v>
      </c>
      <c r="D181" s="55">
        <v>1</v>
      </c>
      <c r="E181" s="56">
        <v>5.36480686695E-4</v>
      </c>
    </row>
    <row r="182" spans="2:5" ht="15" customHeight="1">
      <c r="B182" s="96"/>
      <c r="C182" s="54" t="s">
        <v>172</v>
      </c>
      <c r="D182" s="55">
        <v>5</v>
      </c>
      <c r="E182" s="56">
        <v>2.6824034334760002E-3</v>
      </c>
    </row>
    <row r="183" spans="2:5" ht="15" customHeight="1">
      <c r="B183" s="96"/>
      <c r="C183" s="54" t="s">
        <v>170</v>
      </c>
      <c r="D183" s="55">
        <v>18</v>
      </c>
      <c r="E183" s="56">
        <v>9.6566523605149997E-3</v>
      </c>
    </row>
    <row r="184" spans="2:5" ht="15" customHeight="1">
      <c r="B184" s="96"/>
      <c r="C184" s="54" t="s">
        <v>171</v>
      </c>
      <c r="D184" s="55">
        <v>17</v>
      </c>
      <c r="E184" s="56">
        <v>9.1201716738199996E-3</v>
      </c>
    </row>
    <row r="185" spans="2:5" ht="15" customHeight="1">
      <c r="B185" s="96"/>
      <c r="C185" s="54" t="s">
        <v>173</v>
      </c>
      <c r="D185" s="55">
        <v>1</v>
      </c>
      <c r="E185" s="56">
        <v>5.36480686695E-4</v>
      </c>
    </row>
    <row r="186" spans="2:5" ht="15" customHeight="1">
      <c r="B186" s="96"/>
      <c r="C186" s="54" t="s">
        <v>177</v>
      </c>
      <c r="D186" s="55">
        <v>1</v>
      </c>
      <c r="E186" s="56">
        <v>5.36480686695E-4</v>
      </c>
    </row>
    <row r="187" spans="2:5" ht="15" customHeight="1">
      <c r="B187" s="96"/>
      <c r="C187" s="54" t="s">
        <v>175</v>
      </c>
      <c r="D187" s="55">
        <v>3</v>
      </c>
      <c r="E187" s="56">
        <v>1.609442060086E-3</v>
      </c>
    </row>
    <row r="188" spans="2:5" ht="15" customHeight="1">
      <c r="B188" s="96"/>
      <c r="C188" s="54" t="s">
        <v>180</v>
      </c>
      <c r="D188" s="55">
        <v>1</v>
      </c>
      <c r="E188" s="56">
        <v>5.36480686695E-4</v>
      </c>
    </row>
    <row r="189" spans="2:5" ht="15" customHeight="1">
      <c r="B189" s="97"/>
      <c r="C189" s="67" t="s">
        <v>233</v>
      </c>
      <c r="D189" s="66">
        <v>47</v>
      </c>
      <c r="E189" s="68">
        <v>2.5214592274678E-2</v>
      </c>
    </row>
    <row r="190" spans="2:5" ht="15" customHeight="1">
      <c r="B190" s="95" t="s">
        <v>75</v>
      </c>
      <c r="C190" s="54" t="s">
        <v>176</v>
      </c>
      <c r="D190" s="55">
        <v>1</v>
      </c>
      <c r="E190" s="56">
        <v>5.36480686695E-4</v>
      </c>
    </row>
    <row r="191" spans="2:5" ht="15" customHeight="1">
      <c r="B191" s="96"/>
      <c r="C191" s="54" t="s">
        <v>178</v>
      </c>
      <c r="D191" s="55">
        <v>1</v>
      </c>
      <c r="E191" s="56">
        <v>5.36480686695E-4</v>
      </c>
    </row>
    <row r="192" spans="2:5" ht="15" customHeight="1">
      <c r="B192" s="96"/>
      <c r="C192" s="54" t="s">
        <v>172</v>
      </c>
      <c r="D192" s="55">
        <v>2</v>
      </c>
      <c r="E192" s="56">
        <v>1.0729613733910001E-3</v>
      </c>
    </row>
    <row r="193" spans="2:5" ht="15" customHeight="1">
      <c r="B193" s="96"/>
      <c r="C193" s="54" t="s">
        <v>174</v>
      </c>
      <c r="D193" s="55">
        <v>1</v>
      </c>
      <c r="E193" s="56">
        <v>5.36480686695E-4</v>
      </c>
    </row>
    <row r="194" spans="2:5" ht="15" customHeight="1">
      <c r="B194" s="96"/>
      <c r="C194" s="54" t="s">
        <v>170</v>
      </c>
      <c r="D194" s="55">
        <v>8</v>
      </c>
      <c r="E194" s="56">
        <v>4.2918454935620002E-3</v>
      </c>
    </row>
    <row r="195" spans="2:5" ht="15" customHeight="1">
      <c r="B195" s="96"/>
      <c r="C195" s="54" t="s">
        <v>171</v>
      </c>
      <c r="D195" s="55">
        <v>4</v>
      </c>
      <c r="E195" s="56">
        <v>2.1459227467810001E-3</v>
      </c>
    </row>
    <row r="196" spans="2:5" ht="15" customHeight="1">
      <c r="B196" s="96"/>
      <c r="C196" s="54" t="s">
        <v>173</v>
      </c>
      <c r="D196" s="55">
        <v>2</v>
      </c>
      <c r="E196" s="56">
        <v>1.0729613733910001E-3</v>
      </c>
    </row>
    <row r="197" spans="2:5" ht="15" customHeight="1">
      <c r="B197" s="96"/>
      <c r="C197" s="54" t="s">
        <v>177</v>
      </c>
      <c r="D197" s="55">
        <v>1</v>
      </c>
      <c r="E197" s="56">
        <v>5.36480686695E-4</v>
      </c>
    </row>
    <row r="198" spans="2:5" ht="15" customHeight="1">
      <c r="B198" s="96"/>
      <c r="C198" s="54" t="s">
        <v>175</v>
      </c>
      <c r="D198" s="55">
        <v>1</v>
      </c>
      <c r="E198" s="56">
        <v>5.36480686695E-4</v>
      </c>
    </row>
    <row r="199" spans="2:5" ht="15" customHeight="1">
      <c r="B199" s="97"/>
      <c r="C199" s="67" t="s">
        <v>233</v>
      </c>
      <c r="D199" s="66">
        <v>21</v>
      </c>
      <c r="E199" s="68">
        <v>1.1266094420600999E-2</v>
      </c>
    </row>
    <row r="200" spans="2:5" ht="15" customHeight="1">
      <c r="B200" s="95" t="s">
        <v>69</v>
      </c>
      <c r="C200" s="54" t="s">
        <v>178</v>
      </c>
      <c r="D200" s="55">
        <v>1</v>
      </c>
      <c r="E200" s="56">
        <v>5.36480686695E-4</v>
      </c>
    </row>
    <row r="201" spans="2:5" ht="15" customHeight="1">
      <c r="B201" s="96"/>
      <c r="C201" s="54" t="s">
        <v>172</v>
      </c>
      <c r="D201" s="55">
        <v>6</v>
      </c>
      <c r="E201" s="56">
        <v>3.2188841201719999E-3</v>
      </c>
    </row>
    <row r="202" spans="2:5" ht="15" customHeight="1">
      <c r="B202" s="96"/>
      <c r="C202" s="54" t="s">
        <v>174</v>
      </c>
      <c r="D202" s="55">
        <v>2</v>
      </c>
      <c r="E202" s="56">
        <v>1.0729613733910001E-3</v>
      </c>
    </row>
    <row r="203" spans="2:5" ht="15" customHeight="1">
      <c r="B203" s="96"/>
      <c r="C203" s="54" t="s">
        <v>170</v>
      </c>
      <c r="D203" s="55">
        <v>18</v>
      </c>
      <c r="E203" s="56">
        <v>9.6566523605149997E-3</v>
      </c>
    </row>
    <row r="204" spans="2:5" ht="15" customHeight="1">
      <c r="B204" s="96"/>
      <c r="C204" s="54" t="s">
        <v>171</v>
      </c>
      <c r="D204" s="55">
        <v>8</v>
      </c>
      <c r="E204" s="56">
        <v>4.2918454935620002E-3</v>
      </c>
    </row>
    <row r="205" spans="2:5" ht="15" customHeight="1">
      <c r="B205" s="96"/>
      <c r="C205" s="54" t="s">
        <v>173</v>
      </c>
      <c r="D205" s="55">
        <v>16</v>
      </c>
      <c r="E205" s="56">
        <v>8.5836909871240003E-3</v>
      </c>
    </row>
    <row r="206" spans="2:5" ht="15" customHeight="1">
      <c r="B206" s="96"/>
      <c r="C206" s="54" t="s">
        <v>175</v>
      </c>
      <c r="D206" s="55">
        <v>1</v>
      </c>
      <c r="E206" s="56">
        <v>5.36480686695E-4</v>
      </c>
    </row>
    <row r="207" spans="2:5" ht="15" customHeight="1">
      <c r="B207" s="97"/>
      <c r="C207" s="67" t="s">
        <v>233</v>
      </c>
      <c r="D207" s="66">
        <v>52</v>
      </c>
      <c r="E207" s="68">
        <v>2.7896995708155001E-2</v>
      </c>
    </row>
    <row r="208" spans="2:5" ht="15" customHeight="1">
      <c r="B208" s="95" t="s">
        <v>47</v>
      </c>
      <c r="C208" s="54" t="s">
        <v>176</v>
      </c>
      <c r="D208" s="55">
        <v>5</v>
      </c>
      <c r="E208" s="56">
        <v>2.6824034334760002E-3</v>
      </c>
    </row>
    <row r="209" spans="2:5" ht="15" customHeight="1">
      <c r="B209" s="96"/>
      <c r="C209" s="54" t="s">
        <v>172</v>
      </c>
      <c r="D209" s="55">
        <v>26</v>
      </c>
      <c r="E209" s="56">
        <v>1.3948497854077001E-2</v>
      </c>
    </row>
    <row r="210" spans="2:5" ht="15" customHeight="1">
      <c r="B210" s="96"/>
      <c r="C210" s="54" t="s">
        <v>174</v>
      </c>
      <c r="D210" s="55">
        <v>4</v>
      </c>
      <c r="E210" s="56">
        <v>2.1459227467810001E-3</v>
      </c>
    </row>
    <row r="211" spans="2:5" ht="15" customHeight="1">
      <c r="B211" s="96"/>
      <c r="C211" s="54" t="s">
        <v>170</v>
      </c>
      <c r="D211" s="55">
        <v>32</v>
      </c>
      <c r="E211" s="56">
        <v>1.7167381974249E-2</v>
      </c>
    </row>
    <row r="212" spans="2:5" ht="15" customHeight="1">
      <c r="B212" s="96"/>
      <c r="C212" s="54" t="s">
        <v>171</v>
      </c>
      <c r="D212" s="55">
        <v>27</v>
      </c>
      <c r="E212" s="56">
        <v>1.4484978540773E-2</v>
      </c>
    </row>
    <row r="213" spans="2:5" ht="15" customHeight="1">
      <c r="B213" s="96"/>
      <c r="C213" s="54" t="s">
        <v>179</v>
      </c>
      <c r="D213" s="55">
        <v>1</v>
      </c>
      <c r="E213" s="56">
        <v>5.36480686695E-4</v>
      </c>
    </row>
    <row r="214" spans="2:5" ht="15" customHeight="1">
      <c r="B214" s="96"/>
      <c r="C214" s="54" t="s">
        <v>173</v>
      </c>
      <c r="D214" s="55">
        <v>64</v>
      </c>
      <c r="E214" s="56">
        <v>3.4334763948498E-2</v>
      </c>
    </row>
    <row r="215" spans="2:5" ht="15" customHeight="1">
      <c r="B215" s="96"/>
      <c r="C215" s="54" t="s">
        <v>177</v>
      </c>
      <c r="D215" s="55">
        <v>1</v>
      </c>
      <c r="E215" s="56">
        <v>5.36480686695E-4</v>
      </c>
    </row>
    <row r="216" spans="2:5" ht="15" customHeight="1">
      <c r="B216" s="97"/>
      <c r="C216" s="67" t="s">
        <v>233</v>
      </c>
      <c r="D216" s="66">
        <v>160</v>
      </c>
      <c r="E216" s="68">
        <v>8.5836909871244996E-2</v>
      </c>
    </row>
    <row r="217" spans="2:5" ht="15" customHeight="1">
      <c r="B217" s="95" t="s">
        <v>50</v>
      </c>
      <c r="C217" s="54" t="s">
        <v>176</v>
      </c>
      <c r="D217" s="55">
        <v>4</v>
      </c>
      <c r="E217" s="56">
        <v>2.1459227467810001E-3</v>
      </c>
    </row>
    <row r="218" spans="2:5" ht="15" customHeight="1">
      <c r="B218" s="96"/>
      <c r="C218" s="54" t="s">
        <v>172</v>
      </c>
      <c r="D218" s="55">
        <v>5</v>
      </c>
      <c r="E218" s="56">
        <v>2.6824034334760002E-3</v>
      </c>
    </row>
    <row r="219" spans="2:5" ht="15" customHeight="1">
      <c r="B219" s="96"/>
      <c r="C219" s="54" t="s">
        <v>174</v>
      </c>
      <c r="D219" s="55">
        <v>5</v>
      </c>
      <c r="E219" s="56">
        <v>2.6824034334760002E-3</v>
      </c>
    </row>
    <row r="220" spans="2:5" ht="15" customHeight="1">
      <c r="B220" s="96"/>
      <c r="C220" s="54" t="s">
        <v>170</v>
      </c>
      <c r="D220" s="55">
        <v>30</v>
      </c>
      <c r="E220" s="56">
        <v>1.6094420600858E-2</v>
      </c>
    </row>
    <row r="221" spans="2:5" ht="15" customHeight="1">
      <c r="B221" s="96"/>
      <c r="C221" s="54" t="s">
        <v>171</v>
      </c>
      <c r="D221" s="55">
        <v>10</v>
      </c>
      <c r="E221" s="56">
        <v>5.3648068669529996E-3</v>
      </c>
    </row>
    <row r="222" spans="2:5" ht="15" customHeight="1">
      <c r="B222" s="96"/>
      <c r="C222" s="54" t="s">
        <v>173</v>
      </c>
      <c r="D222" s="55">
        <v>12</v>
      </c>
      <c r="E222" s="56">
        <v>6.4377682403429998E-3</v>
      </c>
    </row>
    <row r="223" spans="2:5" ht="15" customHeight="1">
      <c r="B223" s="96"/>
      <c r="C223" s="54" t="s">
        <v>175</v>
      </c>
      <c r="D223" s="55">
        <v>1</v>
      </c>
      <c r="E223" s="56">
        <v>5.36480686695E-4</v>
      </c>
    </row>
    <row r="224" spans="2:5" ht="15" customHeight="1">
      <c r="B224" s="96"/>
      <c r="C224" s="54" t="s">
        <v>180</v>
      </c>
      <c r="D224" s="55">
        <v>2</v>
      </c>
      <c r="E224" s="56">
        <v>1.0729613733910001E-3</v>
      </c>
    </row>
    <row r="225" spans="2:5" ht="15" customHeight="1">
      <c r="B225" s="97"/>
      <c r="C225" s="67" t="s">
        <v>233</v>
      </c>
      <c r="D225" s="66">
        <v>69</v>
      </c>
      <c r="E225" s="68">
        <v>3.7017167381973998E-2</v>
      </c>
    </row>
    <row r="226" spans="2:5" ht="15" customHeight="1">
      <c r="B226" s="95" t="s">
        <v>76</v>
      </c>
      <c r="C226" s="54" t="s">
        <v>170</v>
      </c>
      <c r="D226" s="55">
        <v>7</v>
      </c>
      <c r="E226" s="56">
        <v>3.755364806867E-3</v>
      </c>
    </row>
    <row r="227" spans="2:5" ht="15" customHeight="1">
      <c r="B227" s="96"/>
      <c r="C227" s="54" t="s">
        <v>171</v>
      </c>
      <c r="D227" s="55">
        <v>4</v>
      </c>
      <c r="E227" s="56">
        <v>2.1459227467810001E-3</v>
      </c>
    </row>
    <row r="228" spans="2:5" ht="15" customHeight="1">
      <c r="B228" s="96"/>
      <c r="C228" s="54" t="s">
        <v>173</v>
      </c>
      <c r="D228" s="55">
        <v>1</v>
      </c>
      <c r="E228" s="56">
        <v>5.36480686695E-4</v>
      </c>
    </row>
    <row r="229" spans="2:5" ht="15" customHeight="1">
      <c r="B229" s="96"/>
      <c r="C229" s="54" t="s">
        <v>175</v>
      </c>
      <c r="D229" s="55">
        <v>1</v>
      </c>
      <c r="E229" s="56">
        <v>5.36480686695E-4</v>
      </c>
    </row>
    <row r="230" spans="2:5" ht="15" customHeight="1">
      <c r="B230" s="97"/>
      <c r="C230" s="67" t="s">
        <v>233</v>
      </c>
      <c r="D230" s="66">
        <v>13</v>
      </c>
      <c r="E230" s="68">
        <v>6.974248927039E-3</v>
      </c>
    </row>
    <row r="231" spans="2:5" ht="15" customHeight="1">
      <c r="B231" s="95" t="s">
        <v>72</v>
      </c>
      <c r="C231" s="54" t="s">
        <v>176</v>
      </c>
      <c r="D231" s="55">
        <v>1</v>
      </c>
      <c r="E231" s="56">
        <v>5.36480686695E-4</v>
      </c>
    </row>
    <row r="232" spans="2:5" ht="15" customHeight="1">
      <c r="B232" s="96"/>
      <c r="C232" s="54" t="s">
        <v>178</v>
      </c>
      <c r="D232" s="55">
        <v>1</v>
      </c>
      <c r="E232" s="56">
        <v>5.36480686695E-4</v>
      </c>
    </row>
    <row r="233" spans="2:5" ht="15" customHeight="1">
      <c r="B233" s="96"/>
      <c r="C233" s="54" t="s">
        <v>172</v>
      </c>
      <c r="D233" s="55">
        <v>1</v>
      </c>
      <c r="E233" s="56">
        <v>5.36480686695E-4</v>
      </c>
    </row>
    <row r="234" spans="2:5" ht="15" customHeight="1">
      <c r="B234" s="96"/>
      <c r="C234" s="54" t="s">
        <v>170</v>
      </c>
      <c r="D234" s="55">
        <v>9</v>
      </c>
      <c r="E234" s="56">
        <v>4.8283261802580003E-3</v>
      </c>
    </row>
    <row r="235" spans="2:5" ht="15" customHeight="1">
      <c r="B235" s="96"/>
      <c r="C235" s="54" t="s">
        <v>171</v>
      </c>
      <c r="D235" s="55">
        <v>5</v>
      </c>
      <c r="E235" s="56">
        <v>2.6824034334760002E-3</v>
      </c>
    </row>
    <row r="236" spans="2:5" ht="15" customHeight="1">
      <c r="B236" s="96"/>
      <c r="C236" s="54" t="s">
        <v>173</v>
      </c>
      <c r="D236" s="55">
        <v>4</v>
      </c>
      <c r="E236" s="56">
        <v>2.1459227467810001E-3</v>
      </c>
    </row>
    <row r="237" spans="2:5" ht="15" customHeight="1">
      <c r="B237" s="97"/>
      <c r="C237" s="67" t="s">
        <v>233</v>
      </c>
      <c r="D237" s="66">
        <v>21</v>
      </c>
      <c r="E237" s="68">
        <v>1.1266094420600999E-2</v>
      </c>
    </row>
    <row r="238" spans="2:5" ht="15" customHeight="1">
      <c r="B238" s="95" t="s">
        <v>82</v>
      </c>
      <c r="C238" s="54" t="s">
        <v>178</v>
      </c>
      <c r="D238" s="55">
        <v>1</v>
      </c>
      <c r="E238" s="56">
        <v>5.36480686695E-4</v>
      </c>
    </row>
    <row r="239" spans="2:5" ht="15" customHeight="1">
      <c r="B239" s="96"/>
      <c r="C239" s="54" t="s">
        <v>172</v>
      </c>
      <c r="D239" s="55">
        <v>1</v>
      </c>
      <c r="E239" s="56">
        <v>5.36480686695E-4</v>
      </c>
    </row>
    <row r="240" spans="2:5" ht="15" customHeight="1">
      <c r="B240" s="96"/>
      <c r="C240" s="54" t="s">
        <v>174</v>
      </c>
      <c r="D240" s="55">
        <v>1</v>
      </c>
      <c r="E240" s="56">
        <v>5.36480686695E-4</v>
      </c>
    </row>
    <row r="241" spans="2:5" ht="15" customHeight="1">
      <c r="B241" s="96"/>
      <c r="C241" s="54" t="s">
        <v>170</v>
      </c>
      <c r="D241" s="55">
        <v>1</v>
      </c>
      <c r="E241" s="56">
        <v>5.36480686695E-4</v>
      </c>
    </row>
    <row r="242" spans="2:5" ht="15" customHeight="1">
      <c r="B242" s="96"/>
      <c r="C242" s="54" t="s">
        <v>171</v>
      </c>
      <c r="D242" s="55">
        <v>2</v>
      </c>
      <c r="E242" s="56">
        <v>1.0729613733910001E-3</v>
      </c>
    </row>
    <row r="243" spans="2:5" ht="15" customHeight="1">
      <c r="B243" s="96"/>
      <c r="C243" s="54" t="s">
        <v>173</v>
      </c>
      <c r="D243" s="55">
        <v>1</v>
      </c>
      <c r="E243" s="56">
        <v>5.36480686695E-4</v>
      </c>
    </row>
    <row r="244" spans="2:5" ht="15" customHeight="1">
      <c r="B244" s="96"/>
      <c r="C244" s="54" t="s">
        <v>177</v>
      </c>
      <c r="D244" s="55">
        <v>1</v>
      </c>
      <c r="E244" s="56">
        <v>5.36480686695E-4</v>
      </c>
    </row>
    <row r="245" spans="2:5" ht="15" customHeight="1">
      <c r="B245" s="96"/>
      <c r="C245" s="54" t="s">
        <v>175</v>
      </c>
      <c r="D245" s="55">
        <v>1</v>
      </c>
      <c r="E245" s="56">
        <v>5.36480686695E-4</v>
      </c>
    </row>
    <row r="246" spans="2:5" ht="15" customHeight="1">
      <c r="B246" s="97"/>
      <c r="C246" s="67" t="s">
        <v>233</v>
      </c>
      <c r="D246" s="66">
        <v>9</v>
      </c>
      <c r="E246" s="68">
        <v>4.8283261802580003E-3</v>
      </c>
    </row>
    <row r="247" spans="2:5" ht="15" customHeight="1">
      <c r="B247" s="95" t="s">
        <v>89</v>
      </c>
      <c r="C247" s="54" t="s">
        <v>176</v>
      </c>
      <c r="D247" s="55">
        <v>1</v>
      </c>
      <c r="E247" s="56">
        <v>5.36480686695E-4</v>
      </c>
    </row>
    <row r="248" spans="2:5" ht="15" customHeight="1">
      <c r="B248" s="96"/>
      <c r="C248" s="54" t="s">
        <v>172</v>
      </c>
      <c r="D248" s="55">
        <v>1</v>
      </c>
      <c r="E248" s="56">
        <v>5.36480686695E-4</v>
      </c>
    </row>
    <row r="249" spans="2:5" ht="15" customHeight="1">
      <c r="B249" s="96"/>
      <c r="C249" s="54" t="s">
        <v>170</v>
      </c>
      <c r="D249" s="55">
        <v>3</v>
      </c>
      <c r="E249" s="56">
        <v>1.609442060086E-3</v>
      </c>
    </row>
    <row r="250" spans="2:5" ht="15" customHeight="1">
      <c r="B250" s="96"/>
      <c r="C250" s="54" t="s">
        <v>173</v>
      </c>
      <c r="D250" s="55">
        <v>4</v>
      </c>
      <c r="E250" s="56">
        <v>2.1459227467810001E-3</v>
      </c>
    </row>
    <row r="251" spans="2:5" ht="15" customHeight="1">
      <c r="B251" s="97"/>
      <c r="C251" s="67" t="s">
        <v>233</v>
      </c>
      <c r="D251" s="66">
        <v>9</v>
      </c>
      <c r="E251" s="68">
        <v>4.8283261802580003E-3</v>
      </c>
    </row>
    <row r="252" spans="2:5" ht="15" customHeight="1">
      <c r="B252" s="95" t="s">
        <v>48</v>
      </c>
      <c r="C252" s="54" t="s">
        <v>176</v>
      </c>
      <c r="D252" s="55">
        <v>6</v>
      </c>
      <c r="E252" s="56">
        <v>3.2188841201719999E-3</v>
      </c>
    </row>
    <row r="253" spans="2:5" ht="15" customHeight="1">
      <c r="B253" s="96"/>
      <c r="C253" s="54" t="s">
        <v>178</v>
      </c>
      <c r="D253" s="55">
        <v>2</v>
      </c>
      <c r="E253" s="56">
        <v>1.0729613733910001E-3</v>
      </c>
    </row>
    <row r="254" spans="2:5" ht="15" customHeight="1">
      <c r="B254" s="96"/>
      <c r="C254" s="54" t="s">
        <v>172</v>
      </c>
      <c r="D254" s="55">
        <v>21</v>
      </c>
      <c r="E254" s="56">
        <v>1.1266094420600999E-2</v>
      </c>
    </row>
    <row r="255" spans="2:5" ht="15" customHeight="1">
      <c r="B255" s="96"/>
      <c r="C255" s="54" t="s">
        <v>174</v>
      </c>
      <c r="D255" s="55">
        <v>6</v>
      </c>
      <c r="E255" s="56">
        <v>3.2188841201719999E-3</v>
      </c>
    </row>
    <row r="256" spans="2:5" ht="15" customHeight="1">
      <c r="B256" s="96"/>
      <c r="C256" s="54" t="s">
        <v>170</v>
      </c>
      <c r="D256" s="55">
        <v>32</v>
      </c>
      <c r="E256" s="56">
        <v>1.7167381974249E-2</v>
      </c>
    </row>
    <row r="257" spans="2:5" ht="15" customHeight="1">
      <c r="B257" s="96"/>
      <c r="C257" s="54" t="s">
        <v>171</v>
      </c>
      <c r="D257" s="55">
        <v>36</v>
      </c>
      <c r="E257" s="56">
        <v>1.9313304721029999E-2</v>
      </c>
    </row>
    <row r="258" spans="2:5" ht="15" customHeight="1">
      <c r="B258" s="96"/>
      <c r="C258" s="54" t="s">
        <v>173</v>
      </c>
      <c r="D258" s="55">
        <v>18</v>
      </c>
      <c r="E258" s="56">
        <v>9.6566523605149997E-3</v>
      </c>
    </row>
    <row r="259" spans="2:5" ht="15" customHeight="1">
      <c r="B259" s="96"/>
      <c r="C259" s="54" t="s">
        <v>177</v>
      </c>
      <c r="D259" s="55">
        <v>2</v>
      </c>
      <c r="E259" s="56">
        <v>1.0729613733910001E-3</v>
      </c>
    </row>
    <row r="260" spans="2:5" ht="15" customHeight="1">
      <c r="B260" s="96"/>
      <c r="C260" s="54" t="s">
        <v>175</v>
      </c>
      <c r="D260" s="55">
        <v>6</v>
      </c>
      <c r="E260" s="56">
        <v>3.2188841201719999E-3</v>
      </c>
    </row>
    <row r="261" spans="2:5" ht="15" customHeight="1">
      <c r="B261" s="96"/>
      <c r="C261" s="54" t="s">
        <v>180</v>
      </c>
      <c r="D261" s="55">
        <v>1</v>
      </c>
      <c r="E261" s="56">
        <v>5.36480686695E-4</v>
      </c>
    </row>
    <row r="262" spans="2:5" ht="15" customHeight="1">
      <c r="B262" s="97"/>
      <c r="C262" s="67" t="s">
        <v>233</v>
      </c>
      <c r="D262" s="66">
        <v>130</v>
      </c>
      <c r="E262" s="68">
        <v>6.9742489270385996E-2</v>
      </c>
    </row>
    <row r="263" spans="2:5" ht="15" customHeight="1">
      <c r="B263" s="95" t="s">
        <v>54</v>
      </c>
      <c r="C263" s="54" t="s">
        <v>172</v>
      </c>
      <c r="D263" s="55">
        <v>33</v>
      </c>
      <c r="E263" s="56">
        <v>1.7703862660944002E-2</v>
      </c>
    </row>
    <row r="264" spans="2:5" ht="15" customHeight="1">
      <c r="B264" s="96"/>
      <c r="C264" s="54" t="s">
        <v>170</v>
      </c>
      <c r="D264" s="55">
        <v>3</v>
      </c>
      <c r="E264" s="56">
        <v>1.609442060086E-3</v>
      </c>
    </row>
    <row r="265" spans="2:5" ht="15" customHeight="1">
      <c r="B265" s="96"/>
      <c r="C265" s="54" t="s">
        <v>171</v>
      </c>
      <c r="D265" s="55">
        <v>19</v>
      </c>
      <c r="E265" s="56">
        <v>1.019313304721E-2</v>
      </c>
    </row>
    <row r="266" spans="2:5" ht="15" customHeight="1">
      <c r="B266" s="96"/>
      <c r="C266" s="54" t="s">
        <v>173</v>
      </c>
      <c r="D266" s="55">
        <v>2</v>
      </c>
      <c r="E266" s="56">
        <v>1.0729613733910001E-3</v>
      </c>
    </row>
    <row r="267" spans="2:5" ht="15" customHeight="1">
      <c r="B267" s="96"/>
      <c r="C267" s="54" t="s">
        <v>177</v>
      </c>
      <c r="D267" s="55">
        <v>1</v>
      </c>
      <c r="E267" s="56">
        <v>5.36480686695E-4</v>
      </c>
    </row>
    <row r="268" spans="2:5" ht="15" customHeight="1">
      <c r="B268" s="97"/>
      <c r="C268" s="67" t="s">
        <v>233</v>
      </c>
      <c r="D268" s="66">
        <v>58</v>
      </c>
      <c r="E268" s="68">
        <v>3.1115879828326001E-2</v>
      </c>
    </row>
    <row r="269" spans="2:5" ht="15" customHeight="1">
      <c r="B269" s="95" t="s">
        <v>68</v>
      </c>
      <c r="C269" s="54" t="s">
        <v>176</v>
      </c>
      <c r="D269" s="55">
        <v>1</v>
      </c>
      <c r="E269" s="56">
        <v>5.36480686695E-4</v>
      </c>
    </row>
    <row r="270" spans="2:5" ht="15" customHeight="1">
      <c r="B270" s="96"/>
      <c r="C270" s="54" t="s">
        <v>172</v>
      </c>
      <c r="D270" s="55">
        <v>10</v>
      </c>
      <c r="E270" s="56">
        <v>5.3648068669529996E-3</v>
      </c>
    </row>
    <row r="271" spans="2:5" ht="15" customHeight="1">
      <c r="B271" s="96"/>
      <c r="C271" s="54" t="s">
        <v>174</v>
      </c>
      <c r="D271" s="55">
        <v>2</v>
      </c>
      <c r="E271" s="56">
        <v>1.0729613733910001E-3</v>
      </c>
    </row>
    <row r="272" spans="2:5" ht="15" customHeight="1">
      <c r="B272" s="96"/>
      <c r="C272" s="54" t="s">
        <v>170</v>
      </c>
      <c r="D272" s="55">
        <v>7</v>
      </c>
      <c r="E272" s="56">
        <v>3.755364806867E-3</v>
      </c>
    </row>
    <row r="273" spans="2:5" ht="15" customHeight="1">
      <c r="B273" s="96"/>
      <c r="C273" s="54" t="s">
        <v>171</v>
      </c>
      <c r="D273" s="55">
        <v>15</v>
      </c>
      <c r="E273" s="56">
        <v>8.0472103004290002E-3</v>
      </c>
    </row>
    <row r="274" spans="2:5" ht="15" customHeight="1">
      <c r="B274" s="96"/>
      <c r="C274" s="54" t="s">
        <v>173</v>
      </c>
      <c r="D274" s="55">
        <v>7</v>
      </c>
      <c r="E274" s="56">
        <v>3.755364806867E-3</v>
      </c>
    </row>
    <row r="275" spans="2:5" ht="15" customHeight="1">
      <c r="B275" s="96"/>
      <c r="C275" s="54" t="s">
        <v>175</v>
      </c>
      <c r="D275" s="55">
        <v>2</v>
      </c>
      <c r="E275" s="56">
        <v>1.0729613733910001E-3</v>
      </c>
    </row>
    <row r="276" spans="2:5" ht="15" customHeight="1">
      <c r="B276" s="97"/>
      <c r="C276" s="67" t="s">
        <v>233</v>
      </c>
      <c r="D276" s="66">
        <v>44</v>
      </c>
      <c r="E276" s="68">
        <v>2.3605150214591999E-2</v>
      </c>
    </row>
    <row r="277" spans="2:5" ht="15" customHeight="1">
      <c r="B277" s="95" t="s">
        <v>88</v>
      </c>
      <c r="C277" s="54" t="s">
        <v>172</v>
      </c>
      <c r="D277" s="55">
        <v>1</v>
      </c>
      <c r="E277" s="56">
        <v>5.36480686695E-4</v>
      </c>
    </row>
    <row r="278" spans="2:5" ht="15" customHeight="1">
      <c r="B278" s="96"/>
      <c r="C278" s="54" t="s">
        <v>174</v>
      </c>
      <c r="D278" s="55">
        <v>1</v>
      </c>
      <c r="E278" s="56">
        <v>5.36480686695E-4</v>
      </c>
    </row>
    <row r="279" spans="2:5" ht="15" customHeight="1">
      <c r="B279" s="96"/>
      <c r="C279" s="54" t="s">
        <v>170</v>
      </c>
      <c r="D279" s="55">
        <v>1</v>
      </c>
      <c r="E279" s="56">
        <v>5.36480686695E-4</v>
      </c>
    </row>
    <row r="280" spans="2:5" ht="15" customHeight="1">
      <c r="B280" s="96"/>
      <c r="C280" s="54" t="s">
        <v>171</v>
      </c>
      <c r="D280" s="55">
        <v>2</v>
      </c>
      <c r="E280" s="56">
        <v>1.0729613733910001E-3</v>
      </c>
    </row>
    <row r="281" spans="2:5" ht="15" customHeight="1">
      <c r="B281" s="96"/>
      <c r="C281" s="54" t="s">
        <v>173</v>
      </c>
      <c r="D281" s="55">
        <v>1</v>
      </c>
      <c r="E281" s="56">
        <v>5.36480686695E-4</v>
      </c>
    </row>
    <row r="282" spans="2:5" ht="15" customHeight="1">
      <c r="B282" s="97"/>
      <c r="C282" s="67" t="s">
        <v>233</v>
      </c>
      <c r="D282" s="66">
        <v>6</v>
      </c>
      <c r="E282" s="68">
        <v>3.2188841201719999E-3</v>
      </c>
    </row>
    <row r="283" spans="2:5" ht="15" customHeight="1">
      <c r="B283" s="95" t="s">
        <v>58</v>
      </c>
      <c r="C283" s="54" t="s">
        <v>172</v>
      </c>
      <c r="D283" s="55">
        <v>29</v>
      </c>
      <c r="E283" s="56">
        <v>1.5557939914163E-2</v>
      </c>
    </row>
    <row r="284" spans="2:5" ht="15" customHeight="1">
      <c r="B284" s="96"/>
      <c r="C284" s="54" t="s">
        <v>174</v>
      </c>
      <c r="D284" s="55">
        <v>1</v>
      </c>
      <c r="E284" s="56">
        <v>5.36480686695E-4</v>
      </c>
    </row>
    <row r="285" spans="2:5" ht="15" customHeight="1">
      <c r="B285" s="96"/>
      <c r="C285" s="54" t="s">
        <v>170</v>
      </c>
      <c r="D285" s="55">
        <v>7</v>
      </c>
      <c r="E285" s="56">
        <v>3.755364806867E-3</v>
      </c>
    </row>
    <row r="286" spans="2:5" ht="15" customHeight="1">
      <c r="B286" s="96"/>
      <c r="C286" s="54" t="s">
        <v>171</v>
      </c>
      <c r="D286" s="55">
        <v>8</v>
      </c>
      <c r="E286" s="56">
        <v>4.2918454935620002E-3</v>
      </c>
    </row>
    <row r="287" spans="2:5" ht="15" customHeight="1">
      <c r="B287" s="96"/>
      <c r="C287" s="54" t="s">
        <v>173</v>
      </c>
      <c r="D287" s="55">
        <v>6</v>
      </c>
      <c r="E287" s="56">
        <v>3.2188841201719999E-3</v>
      </c>
    </row>
    <row r="288" spans="2:5" ht="15" customHeight="1">
      <c r="B288" s="96"/>
      <c r="C288" s="54" t="s">
        <v>180</v>
      </c>
      <c r="D288" s="55">
        <v>1</v>
      </c>
      <c r="E288" s="56">
        <v>5.36480686695E-4</v>
      </c>
    </row>
    <row r="289" spans="2:5" ht="15" customHeight="1">
      <c r="B289" s="97"/>
      <c r="C289" s="67" t="s">
        <v>233</v>
      </c>
      <c r="D289" s="66">
        <v>52</v>
      </c>
      <c r="E289" s="68">
        <v>2.7896995708155001E-2</v>
      </c>
    </row>
    <row r="290" spans="2:5" ht="15" customHeight="1">
      <c r="B290" s="95" t="s">
        <v>73</v>
      </c>
      <c r="C290" s="54" t="s">
        <v>176</v>
      </c>
      <c r="D290" s="55">
        <v>2</v>
      </c>
      <c r="E290" s="56">
        <v>1.0729613733910001E-3</v>
      </c>
    </row>
    <row r="291" spans="2:5" ht="15" customHeight="1">
      <c r="B291" s="96"/>
      <c r="C291" s="54" t="s">
        <v>172</v>
      </c>
      <c r="D291" s="55">
        <v>5</v>
      </c>
      <c r="E291" s="56">
        <v>2.6824034334760002E-3</v>
      </c>
    </row>
    <row r="292" spans="2:5" ht="15" customHeight="1">
      <c r="B292" s="96"/>
      <c r="C292" s="54" t="s">
        <v>174</v>
      </c>
      <c r="D292" s="55">
        <v>2</v>
      </c>
      <c r="E292" s="56">
        <v>1.0729613733910001E-3</v>
      </c>
    </row>
    <row r="293" spans="2:5" ht="15" customHeight="1">
      <c r="B293" s="96"/>
      <c r="C293" s="54" t="s">
        <v>170</v>
      </c>
      <c r="D293" s="55">
        <v>3</v>
      </c>
      <c r="E293" s="56">
        <v>1.609442060086E-3</v>
      </c>
    </row>
    <row r="294" spans="2:5" ht="15" customHeight="1">
      <c r="B294" s="96"/>
      <c r="C294" s="54" t="s">
        <v>171</v>
      </c>
      <c r="D294" s="55">
        <v>5</v>
      </c>
      <c r="E294" s="56">
        <v>2.6824034334760002E-3</v>
      </c>
    </row>
    <row r="295" spans="2:5" ht="15" customHeight="1">
      <c r="B295" s="96"/>
      <c r="C295" s="54" t="s">
        <v>173</v>
      </c>
      <c r="D295" s="55">
        <v>2</v>
      </c>
      <c r="E295" s="56">
        <v>1.0729613733910001E-3</v>
      </c>
    </row>
    <row r="296" spans="2:5" ht="15" customHeight="1">
      <c r="B296" s="97"/>
      <c r="C296" s="67" t="s">
        <v>233</v>
      </c>
      <c r="D296" s="66">
        <v>19</v>
      </c>
      <c r="E296" s="68">
        <v>1.019313304721E-2</v>
      </c>
    </row>
    <row r="297" spans="2:5" ht="15" customHeight="1">
      <c r="B297" s="95" t="s">
        <v>85</v>
      </c>
      <c r="C297" s="54" t="s">
        <v>172</v>
      </c>
      <c r="D297" s="55">
        <v>4</v>
      </c>
      <c r="E297" s="56">
        <v>2.1459227467810001E-3</v>
      </c>
    </row>
    <row r="298" spans="2:5" ht="15" customHeight="1">
      <c r="B298" s="96"/>
      <c r="C298" s="54" t="s">
        <v>170</v>
      </c>
      <c r="D298" s="55">
        <v>1</v>
      </c>
      <c r="E298" s="56">
        <v>5.36480686695E-4</v>
      </c>
    </row>
    <row r="299" spans="2:5" ht="15" customHeight="1">
      <c r="B299" s="96"/>
      <c r="C299" s="54" t="s">
        <v>171</v>
      </c>
      <c r="D299" s="55">
        <v>10</v>
      </c>
      <c r="E299" s="56">
        <v>5.3648068669529996E-3</v>
      </c>
    </row>
    <row r="300" spans="2:5" ht="15" customHeight="1">
      <c r="B300" s="97"/>
      <c r="C300" s="67" t="s">
        <v>233</v>
      </c>
      <c r="D300" s="66">
        <v>15</v>
      </c>
      <c r="E300" s="68">
        <v>8.0472103004290002E-3</v>
      </c>
    </row>
    <row r="301" spans="2:5" ht="15" customHeight="1">
      <c r="B301" s="95" t="s">
        <v>64</v>
      </c>
      <c r="C301" s="54" t="s">
        <v>176</v>
      </c>
      <c r="D301" s="55">
        <v>1</v>
      </c>
      <c r="E301" s="56">
        <v>5.36480686695E-4</v>
      </c>
    </row>
    <row r="302" spans="2:5" ht="15" customHeight="1">
      <c r="B302" s="96"/>
      <c r="C302" s="54" t="s">
        <v>178</v>
      </c>
      <c r="D302" s="55">
        <v>3</v>
      </c>
      <c r="E302" s="56">
        <v>1.609442060086E-3</v>
      </c>
    </row>
    <row r="303" spans="2:5" ht="15" customHeight="1">
      <c r="B303" s="96"/>
      <c r="C303" s="54" t="s">
        <v>172</v>
      </c>
      <c r="D303" s="55">
        <v>6</v>
      </c>
      <c r="E303" s="56">
        <v>3.2188841201719999E-3</v>
      </c>
    </row>
    <row r="304" spans="2:5" ht="15" customHeight="1">
      <c r="B304" s="96"/>
      <c r="C304" s="54" t="s">
        <v>170</v>
      </c>
      <c r="D304" s="55">
        <v>3</v>
      </c>
      <c r="E304" s="56">
        <v>1.609442060086E-3</v>
      </c>
    </row>
    <row r="305" spans="2:5" ht="15" customHeight="1">
      <c r="B305" s="96"/>
      <c r="C305" s="54" t="s">
        <v>171</v>
      </c>
      <c r="D305" s="55">
        <v>11</v>
      </c>
      <c r="E305" s="56">
        <v>5.9012875536479997E-3</v>
      </c>
    </row>
    <row r="306" spans="2:5" ht="15" customHeight="1">
      <c r="B306" s="96"/>
      <c r="C306" s="54" t="s">
        <v>179</v>
      </c>
      <c r="D306" s="55">
        <v>4</v>
      </c>
      <c r="E306" s="56">
        <v>2.1459227467810001E-3</v>
      </c>
    </row>
    <row r="307" spans="2:5" ht="15" customHeight="1">
      <c r="B307" s="96"/>
      <c r="C307" s="54" t="s">
        <v>173</v>
      </c>
      <c r="D307" s="55">
        <v>3</v>
      </c>
      <c r="E307" s="56">
        <v>1.609442060086E-3</v>
      </c>
    </row>
    <row r="308" spans="2:5" ht="15" customHeight="1">
      <c r="B308" s="96"/>
      <c r="C308" s="54" t="s">
        <v>177</v>
      </c>
      <c r="D308" s="55">
        <v>3</v>
      </c>
      <c r="E308" s="56">
        <v>1.609442060086E-3</v>
      </c>
    </row>
    <row r="309" spans="2:5" ht="15" customHeight="1">
      <c r="B309" s="96"/>
      <c r="C309" s="54" t="s">
        <v>175</v>
      </c>
      <c r="D309" s="55">
        <v>8</v>
      </c>
      <c r="E309" s="56">
        <v>4.2918454935620002E-3</v>
      </c>
    </row>
    <row r="310" spans="2:5" ht="15" customHeight="1">
      <c r="B310" s="97"/>
      <c r="C310" s="67" t="s">
        <v>233</v>
      </c>
      <c r="D310" s="66">
        <v>42</v>
      </c>
      <c r="E310" s="68">
        <v>2.2532188841201999E-2</v>
      </c>
    </row>
    <row r="311" spans="2:5" ht="15" customHeight="1">
      <c r="B311" s="95" t="s">
        <v>57</v>
      </c>
      <c r="C311" s="54" t="s">
        <v>172</v>
      </c>
      <c r="D311" s="55">
        <v>6</v>
      </c>
      <c r="E311" s="56">
        <v>3.2188841201719999E-3</v>
      </c>
    </row>
    <row r="312" spans="2:5" ht="15" customHeight="1">
      <c r="B312" s="96"/>
      <c r="C312" s="54" t="s">
        <v>174</v>
      </c>
      <c r="D312" s="55">
        <v>2</v>
      </c>
      <c r="E312" s="56">
        <v>1.0729613733910001E-3</v>
      </c>
    </row>
    <row r="313" spans="2:5" ht="15" customHeight="1">
      <c r="B313" s="96"/>
      <c r="C313" s="54" t="s">
        <v>170</v>
      </c>
      <c r="D313" s="55">
        <v>21</v>
      </c>
      <c r="E313" s="56">
        <v>1.1266094420600999E-2</v>
      </c>
    </row>
    <row r="314" spans="2:5" ht="15" customHeight="1">
      <c r="B314" s="96"/>
      <c r="C314" s="54" t="s">
        <v>171</v>
      </c>
      <c r="D314" s="55">
        <v>14</v>
      </c>
      <c r="E314" s="56">
        <v>7.5107296137340001E-3</v>
      </c>
    </row>
    <row r="315" spans="2:5" ht="15" customHeight="1">
      <c r="B315" s="96"/>
      <c r="C315" s="54" t="s">
        <v>179</v>
      </c>
      <c r="D315" s="55">
        <v>1</v>
      </c>
      <c r="E315" s="56">
        <v>5.36480686695E-4</v>
      </c>
    </row>
    <row r="316" spans="2:5" ht="15" customHeight="1">
      <c r="B316" s="96"/>
      <c r="C316" s="54" t="s">
        <v>173</v>
      </c>
      <c r="D316" s="55">
        <v>28</v>
      </c>
      <c r="E316" s="56">
        <v>1.5021459227468E-2</v>
      </c>
    </row>
    <row r="317" spans="2:5" ht="15" customHeight="1">
      <c r="B317" s="96"/>
      <c r="C317" s="54" t="s">
        <v>175</v>
      </c>
      <c r="D317" s="55">
        <v>7</v>
      </c>
      <c r="E317" s="56">
        <v>3.755364806867E-3</v>
      </c>
    </row>
    <row r="318" spans="2:5" ht="15" customHeight="1">
      <c r="B318" s="97"/>
      <c r="C318" s="67" t="s">
        <v>233</v>
      </c>
      <c r="D318" s="66">
        <v>79</v>
      </c>
      <c r="E318" s="68">
        <v>4.2381974248927E-2</v>
      </c>
    </row>
    <row r="319" spans="2:5" ht="15" customHeight="1">
      <c r="B319" s="95" t="s">
        <v>74</v>
      </c>
      <c r="C319" s="54" t="s">
        <v>172</v>
      </c>
      <c r="D319" s="55">
        <v>4</v>
      </c>
      <c r="E319" s="56">
        <v>2.1459227467810001E-3</v>
      </c>
    </row>
    <row r="320" spans="2:5" ht="15" customHeight="1">
      <c r="B320" s="96"/>
      <c r="C320" s="54" t="s">
        <v>174</v>
      </c>
      <c r="D320" s="55">
        <v>2</v>
      </c>
      <c r="E320" s="56">
        <v>1.0729613733910001E-3</v>
      </c>
    </row>
    <row r="321" spans="2:5" ht="15" customHeight="1">
      <c r="B321" s="96"/>
      <c r="C321" s="54" t="s">
        <v>170</v>
      </c>
      <c r="D321" s="55">
        <v>10</v>
      </c>
      <c r="E321" s="56">
        <v>5.3648068669529996E-3</v>
      </c>
    </row>
    <row r="322" spans="2:5" ht="15" customHeight="1">
      <c r="B322" s="96"/>
      <c r="C322" s="54" t="s">
        <v>171</v>
      </c>
      <c r="D322" s="55">
        <v>5</v>
      </c>
      <c r="E322" s="56">
        <v>2.6824034334760002E-3</v>
      </c>
    </row>
    <row r="323" spans="2:5" ht="15" customHeight="1">
      <c r="B323" s="96"/>
      <c r="C323" s="54" t="s">
        <v>179</v>
      </c>
      <c r="D323" s="55">
        <v>1</v>
      </c>
      <c r="E323" s="56">
        <v>5.36480686695E-4</v>
      </c>
    </row>
    <row r="324" spans="2:5" ht="15" customHeight="1">
      <c r="B324" s="96"/>
      <c r="C324" s="54" t="s">
        <v>173</v>
      </c>
      <c r="D324" s="55">
        <v>4</v>
      </c>
      <c r="E324" s="56">
        <v>2.1459227467810001E-3</v>
      </c>
    </row>
    <row r="325" spans="2:5" ht="15" customHeight="1">
      <c r="B325" s="96"/>
      <c r="C325" s="54" t="s">
        <v>175</v>
      </c>
      <c r="D325" s="55">
        <v>1</v>
      </c>
      <c r="E325" s="56">
        <v>5.36480686695E-4</v>
      </c>
    </row>
    <row r="326" spans="2:5" ht="15" customHeight="1">
      <c r="B326" s="97"/>
      <c r="C326" s="67" t="s">
        <v>233</v>
      </c>
      <c r="D326" s="66">
        <v>27</v>
      </c>
      <c r="E326" s="68">
        <v>1.4484978540773E-2</v>
      </c>
    </row>
    <row r="327" spans="2:5" ht="15" customHeight="1">
      <c r="B327" s="95" t="s">
        <v>83</v>
      </c>
      <c r="C327" s="54" t="s">
        <v>170</v>
      </c>
      <c r="D327" s="55">
        <v>3</v>
      </c>
      <c r="E327" s="56">
        <v>1.609442060086E-3</v>
      </c>
    </row>
    <row r="328" spans="2:5" ht="15" customHeight="1">
      <c r="B328" s="96"/>
      <c r="C328" s="54" t="s">
        <v>171</v>
      </c>
      <c r="D328" s="55">
        <v>2</v>
      </c>
      <c r="E328" s="56">
        <v>1.0729613733910001E-3</v>
      </c>
    </row>
    <row r="329" spans="2:5" ht="15" customHeight="1">
      <c r="B329" s="96"/>
      <c r="C329" s="54" t="s">
        <v>173</v>
      </c>
      <c r="D329" s="55">
        <v>2</v>
      </c>
      <c r="E329" s="56">
        <v>1.0729613733910001E-3</v>
      </c>
    </row>
    <row r="330" spans="2:5" ht="15" customHeight="1">
      <c r="B330" s="97"/>
      <c r="C330" s="67" t="s">
        <v>233</v>
      </c>
      <c r="D330" s="66">
        <v>7</v>
      </c>
      <c r="E330" s="68">
        <v>3.755364806867E-3</v>
      </c>
    </row>
    <row r="331" spans="2:5" ht="15" customHeight="1">
      <c r="B331" s="95" t="s">
        <v>70</v>
      </c>
      <c r="C331" s="54" t="s">
        <v>176</v>
      </c>
      <c r="D331" s="55">
        <v>4</v>
      </c>
      <c r="E331" s="56">
        <v>2.1459227467810001E-3</v>
      </c>
    </row>
    <row r="332" spans="2:5" ht="15" customHeight="1">
      <c r="B332" s="96"/>
      <c r="C332" s="54" t="s">
        <v>178</v>
      </c>
      <c r="D332" s="55">
        <v>1</v>
      </c>
      <c r="E332" s="56">
        <v>5.36480686695E-4</v>
      </c>
    </row>
    <row r="333" spans="2:5" ht="15" customHeight="1">
      <c r="B333" s="96"/>
      <c r="C333" s="54" t="s">
        <v>172</v>
      </c>
      <c r="D333" s="55">
        <v>9</v>
      </c>
      <c r="E333" s="56">
        <v>4.8283261802580003E-3</v>
      </c>
    </row>
    <row r="334" spans="2:5" ht="15" customHeight="1">
      <c r="B334" s="96"/>
      <c r="C334" s="54" t="s">
        <v>170</v>
      </c>
      <c r="D334" s="55">
        <v>7</v>
      </c>
      <c r="E334" s="56">
        <v>3.755364806867E-3</v>
      </c>
    </row>
    <row r="335" spans="2:5" ht="15" customHeight="1">
      <c r="B335" s="96"/>
      <c r="C335" s="54" t="s">
        <v>171</v>
      </c>
      <c r="D335" s="55">
        <v>9</v>
      </c>
      <c r="E335" s="56">
        <v>4.8283261802580003E-3</v>
      </c>
    </row>
    <row r="336" spans="2:5" ht="15" customHeight="1">
      <c r="B336" s="96"/>
      <c r="C336" s="54" t="s">
        <v>179</v>
      </c>
      <c r="D336" s="55">
        <v>1</v>
      </c>
      <c r="E336" s="56">
        <v>5.36480686695E-4</v>
      </c>
    </row>
    <row r="337" spans="2:5" ht="15" customHeight="1">
      <c r="B337" s="96"/>
      <c r="C337" s="54" t="s">
        <v>173</v>
      </c>
      <c r="D337" s="55">
        <v>2</v>
      </c>
      <c r="E337" s="56">
        <v>1.0729613733910001E-3</v>
      </c>
    </row>
    <row r="338" spans="2:5" ht="15" customHeight="1">
      <c r="B338" s="96"/>
      <c r="C338" s="54" t="s">
        <v>175</v>
      </c>
      <c r="D338" s="55">
        <v>2</v>
      </c>
      <c r="E338" s="56">
        <v>1.0729613733910001E-3</v>
      </c>
    </row>
    <row r="339" spans="2:5" ht="15" customHeight="1">
      <c r="B339" s="97"/>
      <c r="C339" s="67" t="s">
        <v>233</v>
      </c>
      <c r="D339" s="66">
        <v>35</v>
      </c>
      <c r="E339" s="68">
        <v>1.8776824034335001E-2</v>
      </c>
    </row>
    <row r="340" spans="2:5" ht="15" customHeight="1">
      <c r="B340" s="95" t="s">
        <v>127</v>
      </c>
      <c r="C340" s="54" t="s">
        <v>171</v>
      </c>
      <c r="D340" s="55">
        <v>1</v>
      </c>
      <c r="E340" s="56">
        <v>5.36480686695E-4</v>
      </c>
    </row>
    <row r="341" spans="2:5" ht="15" customHeight="1">
      <c r="B341" s="97"/>
      <c r="C341" s="67" t="s">
        <v>233</v>
      </c>
      <c r="D341" s="66">
        <v>1</v>
      </c>
      <c r="E341" s="68">
        <v>5.36480686695E-4</v>
      </c>
    </row>
    <row r="342" spans="2:5" ht="15" customHeight="1">
      <c r="B342" s="93" t="s">
        <v>236</v>
      </c>
      <c r="C342" s="94"/>
      <c r="D342" s="58">
        <v>1864</v>
      </c>
      <c r="E342" s="59">
        <v>1</v>
      </c>
    </row>
    <row r="343" spans="2:5" ht="15" customHeight="1">
      <c r="B343" s="47"/>
      <c r="C343" s="47"/>
      <c r="D343" s="47"/>
      <c r="E343" s="47"/>
    </row>
    <row r="344" spans="2:5" ht="15" customHeight="1">
      <c r="B344" s="35" t="s">
        <v>120</v>
      </c>
      <c r="C344" s="47"/>
      <c r="D344" s="47"/>
      <c r="E344" s="47"/>
    </row>
    <row r="345" spans="2:5" ht="15" customHeight="1">
      <c r="B345" s="36" t="s">
        <v>17</v>
      </c>
      <c r="C345" s="41"/>
      <c r="D345" s="47"/>
      <c r="E345" s="47"/>
    </row>
    <row r="346" spans="2:5" ht="15" customHeight="1">
      <c r="B346" s="37" t="s">
        <v>117</v>
      </c>
      <c r="C346" s="41"/>
      <c r="D346" s="47"/>
      <c r="E346" s="47"/>
    </row>
    <row r="347" spans="2:5" ht="15" customHeight="1">
      <c r="B347" s="35" t="s">
        <v>16</v>
      </c>
      <c r="C347" s="41"/>
      <c r="D347" s="47"/>
      <c r="E347" s="47"/>
    </row>
    <row r="348" spans="2:5" ht="15" customHeight="1">
      <c r="B348" s="35" t="s">
        <v>234</v>
      </c>
      <c r="C348" s="41"/>
      <c r="D348" s="47"/>
      <c r="E348" s="47"/>
    </row>
    <row r="349" spans="2:5" ht="15" customHeight="1">
      <c r="C349" s="41"/>
      <c r="D349" s="47"/>
      <c r="E349" s="47"/>
    </row>
  </sheetData>
  <mergeCells count="49">
    <mergeCell ref="B7:E8"/>
    <mergeCell ref="B10:B15"/>
    <mergeCell ref="B16:B26"/>
    <mergeCell ref="B27:B33"/>
    <mergeCell ref="B34:B40"/>
    <mergeCell ref="B41:B43"/>
    <mergeCell ref="B44:B49"/>
    <mergeCell ref="B50:B58"/>
    <mergeCell ref="B59:B67"/>
    <mergeCell ref="B68:B70"/>
    <mergeCell ref="B71:B77"/>
    <mergeCell ref="B78:B86"/>
    <mergeCell ref="B87:B89"/>
    <mergeCell ref="B90:B95"/>
    <mergeCell ref="B96:B105"/>
    <mergeCell ref="B106:B112"/>
    <mergeCell ref="B113:B119"/>
    <mergeCell ref="B120:B128"/>
    <mergeCell ref="B129:B132"/>
    <mergeCell ref="B133:B138"/>
    <mergeCell ref="B139:B148"/>
    <mergeCell ref="B149:B157"/>
    <mergeCell ref="B158:B163"/>
    <mergeCell ref="B164:B171"/>
    <mergeCell ref="B172:B176"/>
    <mergeCell ref="B177:B180"/>
    <mergeCell ref="B181:B189"/>
    <mergeCell ref="B190:B199"/>
    <mergeCell ref="B200:B207"/>
    <mergeCell ref="B208:B216"/>
    <mergeCell ref="B217:B225"/>
    <mergeCell ref="B226:B230"/>
    <mergeCell ref="B231:B237"/>
    <mergeCell ref="B238:B246"/>
    <mergeCell ref="B247:B251"/>
    <mergeCell ref="B252:B262"/>
    <mergeCell ref="B263:B268"/>
    <mergeCell ref="B269:B276"/>
    <mergeCell ref="B277:B282"/>
    <mergeCell ref="B283:B289"/>
    <mergeCell ref="B342:C342"/>
    <mergeCell ref="B327:B330"/>
    <mergeCell ref="B331:B339"/>
    <mergeCell ref="B340:B341"/>
    <mergeCell ref="B290:B296"/>
    <mergeCell ref="B297:B300"/>
    <mergeCell ref="B301:B310"/>
    <mergeCell ref="B311:B318"/>
    <mergeCell ref="B319:B32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58" orientation="portrait" r:id="rId1"/>
  <rowBreaks count="4" manualBreakCount="4">
    <brk id="57" max="4" man="1"/>
    <brk id="118" max="4" man="1"/>
    <brk id="183" max="4" man="1"/>
    <brk id="250" max="4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68"/>
  <sheetViews>
    <sheetView showGridLines="0" view="pageBreakPreview" zoomScale="115" zoomScaleNormal="85" zoomScaleSheetLayoutView="115" workbookViewId="0">
      <selection activeCell="B11" sqref="B11"/>
    </sheetView>
  </sheetViews>
  <sheetFormatPr baseColWidth="10" defaultColWidth="11.42578125" defaultRowHeight="15"/>
  <cols>
    <col min="1" max="1" width="9.28515625" style="13" customWidth="1"/>
    <col min="2" max="2" width="32.28515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8"/>
    </row>
    <row r="2" spans="1:6" s="15" customFormat="1" ht="15" customHeight="1">
      <c r="C2" s="18"/>
    </row>
    <row r="3" spans="1:6" s="15" customFormat="1" ht="15" customHeight="1">
      <c r="C3" s="18"/>
    </row>
    <row r="4" spans="1:6" s="15" customFormat="1" ht="30" customHeight="1">
      <c r="C4" s="18"/>
      <c r="D4" s="17"/>
    </row>
    <row r="5" spans="1:6" s="15" customFormat="1" ht="15" customHeight="1">
      <c r="C5" s="18"/>
      <c r="D5" s="17"/>
    </row>
    <row r="6" spans="1:6" s="15" customFormat="1" ht="15" customHeight="1">
      <c r="C6" s="18"/>
      <c r="D6" s="17"/>
    </row>
    <row r="7" spans="1:6" s="15" customFormat="1" ht="15" customHeight="1">
      <c r="A7" s="29"/>
      <c r="B7" s="92" t="s">
        <v>36</v>
      </c>
      <c r="C7" s="92"/>
      <c r="D7" s="92"/>
      <c r="E7" s="29"/>
      <c r="F7" s="29"/>
    </row>
    <row r="8" spans="1:6" s="15" customFormat="1" ht="15" customHeight="1">
      <c r="A8" s="29"/>
      <c r="B8" s="92"/>
      <c r="C8" s="92"/>
      <c r="D8" s="92"/>
      <c r="E8" s="29"/>
      <c r="F8" s="29"/>
    </row>
    <row r="9" spans="1:6" s="15" customFormat="1" ht="33" customHeight="1">
      <c r="A9" s="29"/>
      <c r="B9" s="92"/>
      <c r="C9" s="92"/>
      <c r="D9" s="92"/>
      <c r="E9" s="29"/>
      <c r="F9" s="29"/>
    </row>
    <row r="10" spans="1:6" s="15" customFormat="1" ht="4.5" customHeight="1">
      <c r="A10" s="29"/>
      <c r="B10" s="40"/>
      <c r="C10" s="40"/>
      <c r="D10" s="40"/>
      <c r="E10" s="29"/>
      <c r="F10" s="29"/>
    </row>
    <row r="11" spans="1:6" s="15" customFormat="1" ht="33" customHeight="1">
      <c r="A11" s="29"/>
      <c r="B11" s="30" t="s">
        <v>26</v>
      </c>
      <c r="C11" s="31" t="s">
        <v>25</v>
      </c>
      <c r="D11" s="32" t="s">
        <v>18</v>
      </c>
      <c r="E11" s="29"/>
      <c r="F11" s="29"/>
    </row>
    <row r="12" spans="1:6" ht="16.5">
      <c r="A12" s="33"/>
      <c r="B12" s="60" t="s">
        <v>90</v>
      </c>
      <c r="C12" s="55">
        <v>26</v>
      </c>
      <c r="D12" s="56">
        <v>1.3948497854077001E-2</v>
      </c>
      <c r="E12" s="33"/>
      <c r="F12" s="33"/>
    </row>
    <row r="13" spans="1:6" ht="16.5">
      <c r="A13" s="33"/>
      <c r="B13" s="60" t="s">
        <v>121</v>
      </c>
      <c r="C13" s="55">
        <v>1</v>
      </c>
      <c r="D13" s="56">
        <v>5.36480686695E-4</v>
      </c>
      <c r="E13" s="33"/>
      <c r="F13" s="33"/>
    </row>
    <row r="14" spans="1:6" ht="16.5">
      <c r="A14" s="33"/>
      <c r="B14" s="60" t="s">
        <v>91</v>
      </c>
      <c r="C14" s="55">
        <v>8</v>
      </c>
      <c r="D14" s="56">
        <v>4.2918454935620002E-3</v>
      </c>
      <c r="E14" s="33"/>
      <c r="F14" s="33"/>
    </row>
    <row r="15" spans="1:6" ht="16.5">
      <c r="A15" s="33"/>
      <c r="B15" s="60" t="s">
        <v>92</v>
      </c>
      <c r="C15" s="55">
        <v>7</v>
      </c>
      <c r="D15" s="56">
        <v>3.755364806867E-3</v>
      </c>
      <c r="E15" s="33"/>
      <c r="F15" s="33"/>
    </row>
    <row r="16" spans="1:6" ht="16.5">
      <c r="A16" s="33"/>
      <c r="B16" s="60" t="s">
        <v>93</v>
      </c>
      <c r="C16" s="55">
        <v>23</v>
      </c>
      <c r="D16" s="56">
        <v>1.2339055793990999E-2</v>
      </c>
      <c r="E16" s="33"/>
      <c r="F16" s="33"/>
    </row>
    <row r="17" spans="1:6" ht="16.5">
      <c r="A17" s="33"/>
      <c r="B17" s="60" t="s">
        <v>94</v>
      </c>
      <c r="C17" s="55">
        <v>21</v>
      </c>
      <c r="D17" s="56">
        <v>1.1266094420600999E-2</v>
      </c>
      <c r="E17" s="33"/>
      <c r="F17" s="33"/>
    </row>
    <row r="18" spans="1:6" ht="16.5">
      <c r="A18" s="33"/>
      <c r="B18" s="60" t="s">
        <v>95</v>
      </c>
      <c r="C18" s="55">
        <v>18</v>
      </c>
      <c r="D18" s="56">
        <v>9.6566523605149997E-3</v>
      </c>
      <c r="E18" s="33"/>
      <c r="F18" s="33"/>
    </row>
    <row r="19" spans="1:6" ht="16.5">
      <c r="A19" s="33"/>
      <c r="B19" s="60" t="s">
        <v>96</v>
      </c>
      <c r="C19" s="55">
        <v>80</v>
      </c>
      <c r="D19" s="56">
        <v>4.2918454935621998E-2</v>
      </c>
      <c r="E19" s="33"/>
      <c r="F19" s="33"/>
    </row>
    <row r="20" spans="1:6" ht="16.5">
      <c r="A20" s="33"/>
      <c r="B20" s="60" t="s">
        <v>97</v>
      </c>
      <c r="C20" s="55">
        <v>211</v>
      </c>
      <c r="D20" s="56">
        <v>0.113197424892704</v>
      </c>
      <c r="E20" s="33"/>
      <c r="F20" s="33"/>
    </row>
    <row r="21" spans="1:6" ht="16.5">
      <c r="A21" s="33"/>
      <c r="B21" s="60" t="s">
        <v>98</v>
      </c>
      <c r="C21" s="55">
        <v>28</v>
      </c>
      <c r="D21" s="56">
        <v>1.5021459227468E-2</v>
      </c>
      <c r="E21" s="33"/>
      <c r="F21" s="33"/>
    </row>
    <row r="22" spans="1:6" ht="16.5">
      <c r="A22" s="33"/>
      <c r="B22" s="60" t="s">
        <v>99</v>
      </c>
      <c r="C22" s="55">
        <v>33</v>
      </c>
      <c r="D22" s="56">
        <v>1.7703862660944002E-2</v>
      </c>
      <c r="E22" s="33"/>
      <c r="F22" s="33"/>
    </row>
    <row r="23" spans="1:6" ht="16.5">
      <c r="A23" s="33"/>
      <c r="B23" s="60" t="s">
        <v>100</v>
      </c>
      <c r="C23" s="55">
        <v>89</v>
      </c>
      <c r="D23" s="56">
        <v>4.7746781115880002E-2</v>
      </c>
      <c r="E23" s="33"/>
      <c r="F23" s="33"/>
    </row>
    <row r="24" spans="1:6" ht="16.5">
      <c r="A24" s="33"/>
      <c r="B24" s="60" t="s">
        <v>101</v>
      </c>
      <c r="C24" s="55">
        <v>684</v>
      </c>
      <c r="D24" s="56">
        <v>0.36695278969957101</v>
      </c>
      <c r="E24" s="33"/>
      <c r="F24" s="33"/>
    </row>
    <row r="25" spans="1:6" ht="16.5">
      <c r="A25" s="33"/>
      <c r="B25" s="60" t="s">
        <v>102</v>
      </c>
      <c r="C25" s="55">
        <v>14</v>
      </c>
      <c r="D25" s="56">
        <v>7.5107296137340001E-3</v>
      </c>
      <c r="E25" s="33"/>
      <c r="F25" s="33"/>
    </row>
    <row r="26" spans="1:6" ht="16.5">
      <c r="A26" s="33"/>
      <c r="B26" s="60" t="s">
        <v>103</v>
      </c>
      <c r="C26" s="55">
        <v>92</v>
      </c>
      <c r="D26" s="56">
        <v>4.9356223175966003E-2</v>
      </c>
      <c r="E26" s="33"/>
      <c r="F26" s="33"/>
    </row>
    <row r="27" spans="1:6" ht="16.5">
      <c r="A27" s="33"/>
      <c r="B27" s="60" t="s">
        <v>104</v>
      </c>
      <c r="C27" s="55">
        <v>416</v>
      </c>
      <c r="D27" s="56">
        <v>0.22317596566523601</v>
      </c>
      <c r="E27" s="33"/>
      <c r="F27" s="33"/>
    </row>
    <row r="28" spans="1:6" ht="16.5">
      <c r="A28" s="33"/>
      <c r="B28" s="60" t="s">
        <v>105</v>
      </c>
      <c r="C28" s="55">
        <v>2</v>
      </c>
      <c r="D28" s="56">
        <v>1.0729613733910001E-3</v>
      </c>
      <c r="E28" s="33"/>
      <c r="F28" s="33"/>
    </row>
    <row r="29" spans="1:6" ht="16.5">
      <c r="A29" s="33"/>
      <c r="B29" s="60" t="s">
        <v>106</v>
      </c>
      <c r="C29" s="55">
        <v>5</v>
      </c>
      <c r="D29" s="56">
        <v>2.6824034334760002E-3</v>
      </c>
      <c r="E29" s="33"/>
      <c r="F29" s="33"/>
    </row>
    <row r="30" spans="1:6" ht="16.5">
      <c r="A30" s="33"/>
      <c r="B30" s="60" t="s">
        <v>107</v>
      </c>
      <c r="C30" s="55">
        <v>1</v>
      </c>
      <c r="D30" s="56">
        <v>5.36480686695E-4</v>
      </c>
      <c r="E30" s="33"/>
      <c r="F30" s="33"/>
    </row>
    <row r="31" spans="1:6" ht="16.5">
      <c r="A31" s="33"/>
      <c r="B31" s="60" t="s">
        <v>108</v>
      </c>
      <c r="C31" s="55">
        <v>18</v>
      </c>
      <c r="D31" s="56">
        <v>9.6566523605149997E-3</v>
      </c>
      <c r="E31" s="33"/>
      <c r="F31" s="33"/>
    </row>
    <row r="32" spans="1:6" ht="16.5">
      <c r="A32" s="33"/>
      <c r="B32" s="60" t="s">
        <v>109</v>
      </c>
      <c r="C32" s="55">
        <v>78</v>
      </c>
      <c r="D32" s="56">
        <v>4.1845493562232002E-2</v>
      </c>
      <c r="E32" s="33"/>
      <c r="F32" s="33"/>
    </row>
    <row r="33" spans="1:6" ht="16.5">
      <c r="A33" s="33"/>
      <c r="B33" s="60" t="s">
        <v>122</v>
      </c>
      <c r="C33" s="55">
        <v>4</v>
      </c>
      <c r="D33" s="56">
        <v>2.1459227467810001E-3</v>
      </c>
      <c r="E33" s="33"/>
      <c r="F33" s="33"/>
    </row>
    <row r="34" spans="1:6" ht="16.5">
      <c r="A34" s="33"/>
      <c r="B34" s="60" t="s">
        <v>110</v>
      </c>
      <c r="C34" s="55">
        <v>3</v>
      </c>
      <c r="D34" s="56">
        <v>1.609442060086E-3</v>
      </c>
      <c r="E34" s="33"/>
      <c r="F34" s="33"/>
    </row>
    <row r="35" spans="1:6" ht="16.5">
      <c r="A35" s="33"/>
      <c r="B35" s="60" t="s">
        <v>123</v>
      </c>
      <c r="C35" s="55">
        <v>2</v>
      </c>
      <c r="D35" s="56">
        <v>1.0729613733910001E-3</v>
      </c>
      <c r="E35" s="33"/>
      <c r="F35" s="33"/>
    </row>
    <row r="36" spans="1:6" ht="16.5">
      <c r="A36" s="33"/>
      <c r="B36" s="69" t="s">
        <v>233</v>
      </c>
      <c r="C36" s="58">
        <v>1864</v>
      </c>
      <c r="D36" s="59">
        <v>1</v>
      </c>
      <c r="E36" s="33"/>
      <c r="F36" s="33"/>
    </row>
    <row r="37" spans="1:6" ht="16.5">
      <c r="A37" s="33"/>
      <c r="B37" s="36"/>
      <c r="C37" s="33"/>
      <c r="D37" s="33"/>
      <c r="E37" s="33"/>
      <c r="F37" s="33"/>
    </row>
    <row r="38" spans="1:6" ht="16.5">
      <c r="A38" s="33"/>
      <c r="B38" s="35" t="s">
        <v>120</v>
      </c>
      <c r="C38" s="41"/>
      <c r="D38" s="33"/>
      <c r="E38" s="33"/>
      <c r="F38" s="33"/>
    </row>
    <row r="39" spans="1:6" ht="16.5">
      <c r="A39" s="33"/>
      <c r="B39" s="36" t="s">
        <v>17</v>
      </c>
      <c r="C39" s="41"/>
      <c r="D39" s="33"/>
      <c r="E39" s="33"/>
      <c r="F39" s="33"/>
    </row>
    <row r="40" spans="1:6" ht="16.5">
      <c r="A40" s="33"/>
      <c r="B40" s="37" t="s">
        <v>117</v>
      </c>
      <c r="C40" s="41"/>
      <c r="D40" s="33"/>
      <c r="E40" s="33"/>
      <c r="F40" s="33"/>
    </row>
    <row r="41" spans="1:6" ht="16.5">
      <c r="A41" s="33"/>
      <c r="B41" s="35" t="s">
        <v>16</v>
      </c>
      <c r="C41" s="41"/>
      <c r="D41" s="33"/>
      <c r="E41" s="33"/>
      <c r="F41" s="33"/>
    </row>
    <row r="42" spans="1:6" ht="16.5">
      <c r="A42" s="33"/>
      <c r="B42" s="35" t="s">
        <v>234</v>
      </c>
      <c r="C42" s="41"/>
      <c r="D42" s="33"/>
      <c r="E42" s="33"/>
      <c r="F42" s="33"/>
    </row>
    <row r="45" spans="1:6">
      <c r="C45" s="13"/>
    </row>
    <row r="46" spans="1:6">
      <c r="C46" s="13"/>
    </row>
    <row r="47" spans="1:6">
      <c r="C47" s="13"/>
    </row>
    <row r="48" spans="1:6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364"/>
  <sheetViews>
    <sheetView showGridLines="0" view="pageBreakPreview" topLeftCell="A332" zoomScale="115" zoomScaleNormal="100" zoomScaleSheetLayoutView="115" workbookViewId="0">
      <selection activeCell="C354" sqref="C354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1.425781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A6" s="43"/>
      <c r="B6" s="42"/>
      <c r="C6" s="43"/>
      <c r="D6" s="43"/>
      <c r="E6" s="43"/>
    </row>
    <row r="7" spans="1:5" s="22" customFormat="1" ht="26.25" customHeight="1">
      <c r="A7" s="48"/>
      <c r="B7" s="98"/>
      <c r="C7" s="98"/>
      <c r="D7" s="98"/>
      <c r="E7" s="98"/>
    </row>
    <row r="8" spans="1:5" s="22" customFormat="1" ht="33" customHeight="1">
      <c r="A8" s="48"/>
      <c r="B8" s="98"/>
      <c r="C8" s="98"/>
      <c r="D8" s="98"/>
      <c r="E8" s="98"/>
    </row>
    <row r="9" spans="1:5" s="15" customFormat="1" ht="40.5" customHeight="1">
      <c r="A9" s="29"/>
      <c r="B9" s="44" t="s">
        <v>27</v>
      </c>
      <c r="C9" s="45" t="s">
        <v>24</v>
      </c>
      <c r="D9" s="46" t="s">
        <v>19</v>
      </c>
      <c r="E9" s="44" t="s">
        <v>18</v>
      </c>
    </row>
    <row r="10" spans="1:5" ht="15" customHeight="1">
      <c r="A10" s="47"/>
      <c r="B10" s="95" t="s">
        <v>90</v>
      </c>
      <c r="C10" s="54" t="s">
        <v>151</v>
      </c>
      <c r="D10" s="55">
        <v>1</v>
      </c>
      <c r="E10" s="56">
        <v>5.36480686695E-4</v>
      </c>
    </row>
    <row r="11" spans="1:5" ht="15" customHeight="1">
      <c r="A11" s="47"/>
      <c r="B11" s="96"/>
      <c r="C11" s="54" t="s">
        <v>141</v>
      </c>
      <c r="D11" s="55">
        <v>1</v>
      </c>
      <c r="E11" s="56">
        <v>5.36480686695E-4</v>
      </c>
    </row>
    <row r="12" spans="1:5" ht="15" customHeight="1">
      <c r="A12" s="47"/>
      <c r="B12" s="96"/>
      <c r="C12" s="54" t="s">
        <v>128</v>
      </c>
      <c r="D12" s="55">
        <v>2</v>
      </c>
      <c r="E12" s="56">
        <v>1.0729613733910001E-3</v>
      </c>
    </row>
    <row r="13" spans="1:5" ht="15" customHeight="1">
      <c r="A13" s="47"/>
      <c r="B13" s="96"/>
      <c r="C13" s="54" t="s">
        <v>136</v>
      </c>
      <c r="D13" s="55">
        <v>1</v>
      </c>
      <c r="E13" s="56">
        <v>5.36480686695E-4</v>
      </c>
    </row>
    <row r="14" spans="1:5" ht="15" customHeight="1">
      <c r="A14" s="47"/>
      <c r="B14" s="96"/>
      <c r="C14" s="54" t="s">
        <v>131</v>
      </c>
      <c r="D14" s="55">
        <v>4</v>
      </c>
      <c r="E14" s="56">
        <v>2.1459227467810001E-3</v>
      </c>
    </row>
    <row r="15" spans="1:5" ht="15" customHeight="1">
      <c r="A15" s="47"/>
      <c r="B15" s="96"/>
      <c r="C15" s="54" t="s">
        <v>143</v>
      </c>
      <c r="D15" s="55">
        <v>1</v>
      </c>
      <c r="E15" s="56">
        <v>5.36480686695E-4</v>
      </c>
    </row>
    <row r="16" spans="1:5" ht="15" customHeight="1">
      <c r="A16" s="47"/>
      <c r="B16" s="96"/>
      <c r="C16" s="54" t="s">
        <v>158</v>
      </c>
      <c r="D16" s="55">
        <v>1</v>
      </c>
      <c r="E16" s="56">
        <v>5.36480686695E-4</v>
      </c>
    </row>
    <row r="17" spans="1:5" ht="15" customHeight="1">
      <c r="A17" s="47"/>
      <c r="B17" s="96"/>
      <c r="C17" s="54" t="s">
        <v>130</v>
      </c>
      <c r="D17" s="55">
        <v>3</v>
      </c>
      <c r="E17" s="56">
        <v>1.609442060086E-3</v>
      </c>
    </row>
    <row r="18" spans="1:5" ht="15" customHeight="1">
      <c r="A18" s="47"/>
      <c r="B18" s="96"/>
      <c r="C18" s="54" t="s">
        <v>134</v>
      </c>
      <c r="D18" s="55">
        <v>1</v>
      </c>
      <c r="E18" s="56">
        <v>5.36480686695E-4</v>
      </c>
    </row>
    <row r="19" spans="1:5" ht="15" customHeight="1">
      <c r="A19" s="47"/>
      <c r="B19" s="96"/>
      <c r="C19" s="54" t="s">
        <v>142</v>
      </c>
      <c r="D19" s="55">
        <v>1</v>
      </c>
      <c r="E19" s="56">
        <v>5.36480686695E-4</v>
      </c>
    </row>
    <row r="20" spans="1:5" ht="15" customHeight="1">
      <c r="A20" s="47"/>
      <c r="B20" s="96"/>
      <c r="C20" s="54" t="s">
        <v>161</v>
      </c>
      <c r="D20" s="55">
        <v>1</v>
      </c>
      <c r="E20" s="56">
        <v>5.36480686695E-4</v>
      </c>
    </row>
    <row r="21" spans="1:5" ht="15" customHeight="1">
      <c r="A21" s="47"/>
      <c r="B21" s="96"/>
      <c r="C21" s="54" t="s">
        <v>145</v>
      </c>
      <c r="D21" s="55">
        <v>3</v>
      </c>
      <c r="E21" s="56">
        <v>1.609442060086E-3</v>
      </c>
    </row>
    <row r="22" spans="1:5" ht="15" customHeight="1">
      <c r="A22" s="47"/>
      <c r="B22" s="96"/>
      <c r="C22" s="54" t="s">
        <v>129</v>
      </c>
      <c r="D22" s="55">
        <v>6</v>
      </c>
      <c r="E22" s="56">
        <v>3.2188841201719999E-3</v>
      </c>
    </row>
    <row r="23" spans="1:5" ht="15" customHeight="1">
      <c r="A23" s="47"/>
      <c r="B23" s="97"/>
      <c r="C23" s="67" t="s">
        <v>233</v>
      </c>
      <c r="D23" s="66">
        <v>26</v>
      </c>
      <c r="E23" s="68">
        <v>1.3948497854077001E-2</v>
      </c>
    </row>
    <row r="24" spans="1:5" ht="15" customHeight="1">
      <c r="A24" s="47"/>
      <c r="B24" s="95" t="s">
        <v>121</v>
      </c>
      <c r="C24" s="54" t="s">
        <v>130</v>
      </c>
      <c r="D24" s="55">
        <v>1</v>
      </c>
      <c r="E24" s="56">
        <v>5.36480686695E-4</v>
      </c>
    </row>
    <row r="25" spans="1:5" ht="15" customHeight="1">
      <c r="A25" s="47"/>
      <c r="B25" s="97"/>
      <c r="C25" s="67" t="s">
        <v>233</v>
      </c>
      <c r="D25" s="66">
        <v>1</v>
      </c>
      <c r="E25" s="68">
        <v>5.36480686695E-4</v>
      </c>
    </row>
    <row r="26" spans="1:5" ht="15" customHeight="1">
      <c r="A26" s="47"/>
      <c r="B26" s="95" t="s">
        <v>182</v>
      </c>
      <c r="C26" s="54" t="s">
        <v>128</v>
      </c>
      <c r="D26" s="55">
        <v>1</v>
      </c>
      <c r="E26" s="56">
        <v>5.36480686695E-4</v>
      </c>
    </row>
    <row r="27" spans="1:5" ht="15" customHeight="1">
      <c r="A27" s="47"/>
      <c r="B27" s="96"/>
      <c r="C27" s="54" t="s">
        <v>166</v>
      </c>
      <c r="D27" s="55">
        <v>1</v>
      </c>
      <c r="E27" s="56">
        <v>5.36480686695E-4</v>
      </c>
    </row>
    <row r="28" spans="1:5" ht="15" customHeight="1">
      <c r="A28" s="47"/>
      <c r="B28" s="96"/>
      <c r="C28" s="54" t="s">
        <v>167</v>
      </c>
      <c r="D28" s="55">
        <v>1</v>
      </c>
      <c r="E28" s="56">
        <v>5.36480686695E-4</v>
      </c>
    </row>
    <row r="29" spans="1:5" ht="15" customHeight="1">
      <c r="A29" s="47"/>
      <c r="B29" s="96"/>
      <c r="C29" s="54" t="s">
        <v>131</v>
      </c>
      <c r="D29" s="55">
        <v>1</v>
      </c>
      <c r="E29" s="56">
        <v>5.36480686695E-4</v>
      </c>
    </row>
    <row r="30" spans="1:5" ht="15" customHeight="1">
      <c r="A30" s="47"/>
      <c r="B30" s="96"/>
      <c r="C30" s="54" t="s">
        <v>130</v>
      </c>
      <c r="D30" s="55">
        <v>1</v>
      </c>
      <c r="E30" s="56">
        <v>5.36480686695E-4</v>
      </c>
    </row>
    <row r="31" spans="1:5" ht="15" customHeight="1">
      <c r="A31" s="47"/>
      <c r="B31" s="96"/>
      <c r="C31" s="54" t="s">
        <v>129</v>
      </c>
      <c r="D31" s="55">
        <v>3</v>
      </c>
      <c r="E31" s="56">
        <v>1.609442060086E-3</v>
      </c>
    </row>
    <row r="32" spans="1:5" ht="15" customHeight="1">
      <c r="A32" s="47"/>
      <c r="B32" s="97"/>
      <c r="C32" s="67" t="s">
        <v>233</v>
      </c>
      <c r="D32" s="66">
        <v>8</v>
      </c>
      <c r="E32" s="68">
        <v>4.2918454935620002E-3</v>
      </c>
    </row>
    <row r="33" spans="1:5" ht="15" customHeight="1">
      <c r="A33" s="47"/>
      <c r="B33" s="95" t="s">
        <v>183</v>
      </c>
      <c r="C33" s="54" t="s">
        <v>131</v>
      </c>
      <c r="D33" s="55">
        <v>3</v>
      </c>
      <c r="E33" s="56">
        <v>1.609442060086E-3</v>
      </c>
    </row>
    <row r="34" spans="1:5" ht="15" customHeight="1">
      <c r="A34" s="47"/>
      <c r="B34" s="96"/>
      <c r="C34" s="54" t="s">
        <v>132</v>
      </c>
      <c r="D34" s="55">
        <v>2</v>
      </c>
      <c r="E34" s="56">
        <v>1.0729613733910001E-3</v>
      </c>
    </row>
    <row r="35" spans="1:5" ht="15" customHeight="1">
      <c r="A35" s="47"/>
      <c r="B35" s="96"/>
      <c r="C35" s="54" t="s">
        <v>130</v>
      </c>
      <c r="D35" s="55">
        <v>1</v>
      </c>
      <c r="E35" s="56">
        <v>5.36480686695E-4</v>
      </c>
    </row>
    <row r="36" spans="1:5" ht="15" customHeight="1">
      <c r="A36" s="47"/>
      <c r="B36" s="96"/>
      <c r="C36" s="54" t="s">
        <v>129</v>
      </c>
      <c r="D36" s="55">
        <v>1</v>
      </c>
      <c r="E36" s="56">
        <v>5.36480686695E-4</v>
      </c>
    </row>
    <row r="37" spans="1:5" ht="15" customHeight="1">
      <c r="A37" s="47"/>
      <c r="B37" s="97"/>
      <c r="C37" s="67" t="s">
        <v>233</v>
      </c>
      <c r="D37" s="66">
        <v>7</v>
      </c>
      <c r="E37" s="68">
        <v>3.755364806867E-3</v>
      </c>
    </row>
    <row r="38" spans="1:5" ht="15" customHeight="1">
      <c r="A38" s="47"/>
      <c r="B38" s="95" t="s">
        <v>184</v>
      </c>
      <c r="C38" s="54" t="s">
        <v>151</v>
      </c>
      <c r="D38" s="55">
        <v>1</v>
      </c>
      <c r="E38" s="56">
        <v>5.36480686695E-4</v>
      </c>
    </row>
    <row r="39" spans="1:5" ht="15" customHeight="1">
      <c r="A39" s="47"/>
      <c r="B39" s="96"/>
      <c r="C39" s="54" t="s">
        <v>141</v>
      </c>
      <c r="D39" s="55">
        <v>1</v>
      </c>
      <c r="E39" s="56">
        <v>5.36480686695E-4</v>
      </c>
    </row>
    <row r="40" spans="1:5" ht="15" customHeight="1">
      <c r="A40" s="47"/>
      <c r="B40" s="96"/>
      <c r="C40" s="54" t="s">
        <v>128</v>
      </c>
      <c r="D40" s="55">
        <v>4</v>
      </c>
      <c r="E40" s="56">
        <v>2.1459227467810001E-3</v>
      </c>
    </row>
    <row r="41" spans="1:5" ht="15" customHeight="1">
      <c r="A41" s="47"/>
      <c r="B41" s="96"/>
      <c r="C41" s="54" t="s">
        <v>131</v>
      </c>
      <c r="D41" s="55">
        <v>1</v>
      </c>
      <c r="E41" s="56">
        <v>5.36480686695E-4</v>
      </c>
    </row>
    <row r="42" spans="1:5" ht="15" customHeight="1">
      <c r="A42" s="47"/>
      <c r="B42" s="96"/>
      <c r="C42" s="54" t="s">
        <v>132</v>
      </c>
      <c r="D42" s="55">
        <v>1</v>
      </c>
      <c r="E42" s="56">
        <v>5.36480686695E-4</v>
      </c>
    </row>
    <row r="43" spans="1:5" ht="15" customHeight="1">
      <c r="A43" s="47"/>
      <c r="B43" s="96"/>
      <c r="C43" s="54" t="s">
        <v>154</v>
      </c>
      <c r="D43" s="55">
        <v>1</v>
      </c>
      <c r="E43" s="56">
        <v>5.36480686695E-4</v>
      </c>
    </row>
    <row r="44" spans="1:5" ht="15" customHeight="1">
      <c r="A44" s="47"/>
      <c r="B44" s="96"/>
      <c r="C44" s="54" t="s">
        <v>146</v>
      </c>
      <c r="D44" s="55">
        <v>1</v>
      </c>
      <c r="E44" s="56">
        <v>5.36480686695E-4</v>
      </c>
    </row>
    <row r="45" spans="1:5" ht="15" customHeight="1">
      <c r="A45" s="47"/>
      <c r="B45" s="96"/>
      <c r="C45" s="54" t="s">
        <v>139</v>
      </c>
      <c r="D45" s="55">
        <v>1</v>
      </c>
      <c r="E45" s="56">
        <v>5.36480686695E-4</v>
      </c>
    </row>
    <row r="46" spans="1:5" ht="15" customHeight="1">
      <c r="A46" s="47"/>
      <c r="B46" s="96"/>
      <c r="C46" s="54" t="s">
        <v>144</v>
      </c>
      <c r="D46" s="55">
        <v>2</v>
      </c>
      <c r="E46" s="56">
        <v>1.0729613733910001E-3</v>
      </c>
    </row>
    <row r="47" spans="1:5" ht="15" customHeight="1">
      <c r="A47" s="47"/>
      <c r="B47" s="96"/>
      <c r="C47" s="54" t="s">
        <v>130</v>
      </c>
      <c r="D47" s="55">
        <v>3</v>
      </c>
      <c r="E47" s="56">
        <v>1.609442060086E-3</v>
      </c>
    </row>
    <row r="48" spans="1:5" ht="15" customHeight="1">
      <c r="A48" s="47"/>
      <c r="B48" s="96"/>
      <c r="C48" s="54" t="s">
        <v>155</v>
      </c>
      <c r="D48" s="55">
        <v>1</v>
      </c>
      <c r="E48" s="56">
        <v>5.36480686695E-4</v>
      </c>
    </row>
    <row r="49" spans="1:5" ht="15" customHeight="1">
      <c r="A49" s="47"/>
      <c r="B49" s="96"/>
      <c r="C49" s="54" t="s">
        <v>134</v>
      </c>
      <c r="D49" s="55">
        <v>1</v>
      </c>
      <c r="E49" s="56">
        <v>5.36480686695E-4</v>
      </c>
    </row>
    <row r="50" spans="1:5" ht="15" customHeight="1">
      <c r="A50" s="47"/>
      <c r="B50" s="96"/>
      <c r="C50" s="54" t="s">
        <v>137</v>
      </c>
      <c r="D50" s="55">
        <v>1</v>
      </c>
      <c r="E50" s="56">
        <v>5.36480686695E-4</v>
      </c>
    </row>
    <row r="51" spans="1:5" ht="15" customHeight="1">
      <c r="A51" s="47"/>
      <c r="B51" s="96"/>
      <c r="C51" s="54" t="s">
        <v>161</v>
      </c>
      <c r="D51" s="55">
        <v>1</v>
      </c>
      <c r="E51" s="56">
        <v>5.36480686695E-4</v>
      </c>
    </row>
    <row r="52" spans="1:5" ht="15" customHeight="1">
      <c r="A52" s="47"/>
      <c r="B52" s="96"/>
      <c r="C52" s="54" t="s">
        <v>145</v>
      </c>
      <c r="D52" s="55">
        <v>2</v>
      </c>
      <c r="E52" s="56">
        <v>1.0729613733910001E-3</v>
      </c>
    </row>
    <row r="53" spans="1:5" ht="15" customHeight="1">
      <c r="A53" s="47"/>
      <c r="B53" s="96"/>
      <c r="C53" s="54" t="s">
        <v>135</v>
      </c>
      <c r="D53" s="55">
        <v>1</v>
      </c>
      <c r="E53" s="56">
        <v>5.36480686695E-4</v>
      </c>
    </row>
    <row r="54" spans="1:5" ht="15" customHeight="1">
      <c r="A54" s="47"/>
      <c r="B54" s="97"/>
      <c r="C54" s="67" t="s">
        <v>233</v>
      </c>
      <c r="D54" s="66">
        <v>23</v>
      </c>
      <c r="E54" s="68">
        <v>1.2339055793990999E-2</v>
      </c>
    </row>
    <row r="55" spans="1:5" ht="15" customHeight="1">
      <c r="A55" s="47"/>
      <c r="B55" s="95" t="s">
        <v>185</v>
      </c>
      <c r="C55" s="54" t="s">
        <v>128</v>
      </c>
      <c r="D55" s="55">
        <v>6</v>
      </c>
      <c r="E55" s="56">
        <v>3.2188841201719999E-3</v>
      </c>
    </row>
    <row r="56" spans="1:5" ht="15" customHeight="1">
      <c r="A56" s="47"/>
      <c r="B56" s="96"/>
      <c r="C56" s="54" t="s">
        <v>167</v>
      </c>
      <c r="D56" s="55">
        <v>1</v>
      </c>
      <c r="E56" s="56">
        <v>5.36480686695E-4</v>
      </c>
    </row>
    <row r="57" spans="1:5" ht="15" customHeight="1">
      <c r="A57" s="47"/>
      <c r="B57" s="96"/>
      <c r="C57" s="54" t="s">
        <v>131</v>
      </c>
      <c r="D57" s="55">
        <v>1</v>
      </c>
      <c r="E57" s="56">
        <v>5.36480686695E-4</v>
      </c>
    </row>
    <row r="58" spans="1:5" ht="15" customHeight="1">
      <c r="A58" s="47"/>
      <c r="B58" s="96"/>
      <c r="C58" s="54" t="s">
        <v>132</v>
      </c>
      <c r="D58" s="55">
        <v>1</v>
      </c>
      <c r="E58" s="56">
        <v>5.36480686695E-4</v>
      </c>
    </row>
    <row r="59" spans="1:5" ht="15" customHeight="1">
      <c r="A59" s="47"/>
      <c r="B59" s="96"/>
      <c r="C59" s="54" t="s">
        <v>153</v>
      </c>
      <c r="D59" s="55">
        <v>1</v>
      </c>
      <c r="E59" s="56">
        <v>5.36480686695E-4</v>
      </c>
    </row>
    <row r="60" spans="1:5" ht="15" customHeight="1">
      <c r="A60" s="47"/>
      <c r="B60" s="96"/>
      <c r="C60" s="54" t="s">
        <v>140</v>
      </c>
      <c r="D60" s="55">
        <v>2</v>
      </c>
      <c r="E60" s="56">
        <v>1.0729613733910001E-3</v>
      </c>
    </row>
    <row r="61" spans="1:5" ht="15" customHeight="1">
      <c r="A61" s="47"/>
      <c r="B61" s="96"/>
      <c r="C61" s="54" t="s">
        <v>142</v>
      </c>
      <c r="D61" s="55">
        <v>1</v>
      </c>
      <c r="E61" s="56">
        <v>5.36480686695E-4</v>
      </c>
    </row>
    <row r="62" spans="1:5" ht="15" customHeight="1">
      <c r="A62" s="47"/>
      <c r="B62" s="96"/>
      <c r="C62" s="54" t="s">
        <v>162</v>
      </c>
      <c r="D62" s="55">
        <v>1</v>
      </c>
      <c r="E62" s="56">
        <v>5.36480686695E-4</v>
      </c>
    </row>
    <row r="63" spans="1:5" ht="15" customHeight="1">
      <c r="A63" s="47"/>
      <c r="B63" s="96"/>
      <c r="C63" s="54" t="s">
        <v>135</v>
      </c>
      <c r="D63" s="55">
        <v>2</v>
      </c>
      <c r="E63" s="56">
        <v>1.0729613733910001E-3</v>
      </c>
    </row>
    <row r="64" spans="1:5" ht="15" customHeight="1">
      <c r="A64" s="47"/>
      <c r="B64" s="96"/>
      <c r="C64" s="54" t="s">
        <v>129</v>
      </c>
      <c r="D64" s="55">
        <v>5</v>
      </c>
      <c r="E64" s="56">
        <v>2.6824034334760002E-3</v>
      </c>
    </row>
    <row r="65" spans="1:5" ht="15" customHeight="1">
      <c r="A65" s="47"/>
      <c r="B65" s="97"/>
      <c r="C65" s="67" t="s">
        <v>233</v>
      </c>
      <c r="D65" s="66">
        <v>21</v>
      </c>
      <c r="E65" s="68">
        <v>1.1266094420600999E-2</v>
      </c>
    </row>
    <row r="66" spans="1:5" ht="15" customHeight="1">
      <c r="A66" s="47"/>
      <c r="B66" s="95" t="s">
        <v>186</v>
      </c>
      <c r="C66" s="54" t="s">
        <v>128</v>
      </c>
      <c r="D66" s="55">
        <v>7</v>
      </c>
      <c r="E66" s="56">
        <v>3.755364806867E-3</v>
      </c>
    </row>
    <row r="67" spans="1:5" ht="15" customHeight="1">
      <c r="A67" s="47"/>
      <c r="B67" s="96"/>
      <c r="C67" s="54" t="s">
        <v>131</v>
      </c>
      <c r="D67" s="55">
        <v>1</v>
      </c>
      <c r="E67" s="56">
        <v>5.36480686695E-4</v>
      </c>
    </row>
    <row r="68" spans="1:5" ht="15" customHeight="1">
      <c r="A68" s="47"/>
      <c r="B68" s="96"/>
      <c r="C68" s="54" t="s">
        <v>130</v>
      </c>
      <c r="D68" s="55">
        <v>2</v>
      </c>
      <c r="E68" s="56">
        <v>1.0729613733910001E-3</v>
      </c>
    </row>
    <row r="69" spans="1:5" ht="15" customHeight="1">
      <c r="A69" s="47"/>
      <c r="B69" s="96"/>
      <c r="C69" s="54" t="s">
        <v>137</v>
      </c>
      <c r="D69" s="55">
        <v>2</v>
      </c>
      <c r="E69" s="56">
        <v>1.0729613733910001E-3</v>
      </c>
    </row>
    <row r="70" spans="1:5" ht="15" customHeight="1">
      <c r="A70" s="47"/>
      <c r="B70" s="96"/>
      <c r="C70" s="54" t="s">
        <v>145</v>
      </c>
      <c r="D70" s="55">
        <v>1</v>
      </c>
      <c r="E70" s="56">
        <v>5.36480686695E-4</v>
      </c>
    </row>
    <row r="71" spans="1:5" ht="15" customHeight="1">
      <c r="A71" s="47"/>
      <c r="B71" s="96"/>
      <c r="C71" s="54" t="s">
        <v>135</v>
      </c>
      <c r="D71" s="55">
        <v>2</v>
      </c>
      <c r="E71" s="56">
        <v>1.0729613733910001E-3</v>
      </c>
    </row>
    <row r="72" spans="1:5" ht="15" customHeight="1">
      <c r="A72" s="47"/>
      <c r="B72" s="96"/>
      <c r="C72" s="54" t="s">
        <v>129</v>
      </c>
      <c r="D72" s="55">
        <v>3</v>
      </c>
      <c r="E72" s="56">
        <v>1.609442060086E-3</v>
      </c>
    </row>
    <row r="73" spans="1:5" ht="15" customHeight="1">
      <c r="A73" s="47"/>
      <c r="B73" s="97"/>
      <c r="C73" s="67" t="s">
        <v>233</v>
      </c>
      <c r="D73" s="66">
        <v>18</v>
      </c>
      <c r="E73" s="68">
        <v>9.6566523605149997E-3</v>
      </c>
    </row>
    <row r="74" spans="1:5" ht="15" customHeight="1">
      <c r="A74" s="47"/>
      <c r="B74" s="95" t="s">
        <v>187</v>
      </c>
      <c r="C74" s="54" t="s">
        <v>133</v>
      </c>
      <c r="D74" s="55">
        <v>1</v>
      </c>
      <c r="E74" s="56">
        <v>5.36480686695E-4</v>
      </c>
    </row>
    <row r="75" spans="1:5" ht="15" customHeight="1">
      <c r="A75" s="47"/>
      <c r="B75" s="96"/>
      <c r="C75" s="54" t="s">
        <v>141</v>
      </c>
      <c r="D75" s="55">
        <v>1</v>
      </c>
      <c r="E75" s="56">
        <v>5.36480686695E-4</v>
      </c>
    </row>
    <row r="76" spans="1:5" ht="15" customHeight="1">
      <c r="A76" s="47"/>
      <c r="B76" s="96"/>
      <c r="C76" s="54" t="s">
        <v>128</v>
      </c>
      <c r="D76" s="55">
        <v>25</v>
      </c>
      <c r="E76" s="56">
        <v>1.3412017167382001E-2</v>
      </c>
    </row>
    <row r="77" spans="1:5" ht="15" customHeight="1">
      <c r="A77" s="47"/>
      <c r="B77" s="96"/>
      <c r="C77" s="54" t="s">
        <v>136</v>
      </c>
      <c r="D77" s="55">
        <v>1</v>
      </c>
      <c r="E77" s="56">
        <v>5.36480686695E-4</v>
      </c>
    </row>
    <row r="78" spans="1:5" ht="15" customHeight="1">
      <c r="A78" s="47"/>
      <c r="B78" s="96"/>
      <c r="C78" s="54" t="s">
        <v>163</v>
      </c>
      <c r="D78" s="55">
        <v>1</v>
      </c>
      <c r="E78" s="56">
        <v>5.36480686695E-4</v>
      </c>
    </row>
    <row r="79" spans="1:5" ht="15" customHeight="1">
      <c r="A79" s="47"/>
      <c r="B79" s="96"/>
      <c r="C79" s="54" t="s">
        <v>131</v>
      </c>
      <c r="D79" s="55">
        <v>4</v>
      </c>
      <c r="E79" s="56">
        <v>2.1459227467810001E-3</v>
      </c>
    </row>
    <row r="80" spans="1:5" ht="15" customHeight="1">
      <c r="A80" s="47"/>
      <c r="B80" s="96"/>
      <c r="C80" s="54" t="s">
        <v>132</v>
      </c>
      <c r="D80" s="55">
        <v>5</v>
      </c>
      <c r="E80" s="56">
        <v>2.6824034334760002E-3</v>
      </c>
    </row>
    <row r="81" spans="1:5" ht="15" customHeight="1">
      <c r="A81" s="47"/>
      <c r="B81" s="96"/>
      <c r="C81" s="54" t="s">
        <v>154</v>
      </c>
      <c r="D81" s="55">
        <v>2</v>
      </c>
      <c r="E81" s="56">
        <v>1.0729613733910001E-3</v>
      </c>
    </row>
    <row r="82" spans="1:5" ht="15" customHeight="1">
      <c r="A82" s="47"/>
      <c r="B82" s="96"/>
      <c r="C82" s="54" t="s">
        <v>143</v>
      </c>
      <c r="D82" s="55">
        <v>1</v>
      </c>
      <c r="E82" s="56">
        <v>5.36480686695E-4</v>
      </c>
    </row>
    <row r="83" spans="1:5" ht="15" customHeight="1">
      <c r="A83" s="47"/>
      <c r="B83" s="96"/>
      <c r="C83" s="54" t="s">
        <v>149</v>
      </c>
      <c r="D83" s="55">
        <v>1</v>
      </c>
      <c r="E83" s="56">
        <v>5.36480686695E-4</v>
      </c>
    </row>
    <row r="84" spans="1:5" ht="15" customHeight="1">
      <c r="A84" s="47"/>
      <c r="B84" s="96"/>
      <c r="C84" s="54" t="s">
        <v>139</v>
      </c>
      <c r="D84" s="55">
        <v>3</v>
      </c>
      <c r="E84" s="56">
        <v>1.609442060086E-3</v>
      </c>
    </row>
    <row r="85" spans="1:5" ht="15" customHeight="1">
      <c r="A85" s="47"/>
      <c r="B85" s="96"/>
      <c r="C85" s="54" t="s">
        <v>153</v>
      </c>
      <c r="D85" s="55">
        <v>2</v>
      </c>
      <c r="E85" s="56">
        <v>1.0729613733910001E-3</v>
      </c>
    </row>
    <row r="86" spans="1:5" ht="15" customHeight="1">
      <c r="A86" s="47"/>
      <c r="B86" s="96"/>
      <c r="C86" s="54" t="s">
        <v>168</v>
      </c>
      <c r="D86" s="55">
        <v>1</v>
      </c>
      <c r="E86" s="56">
        <v>5.36480686695E-4</v>
      </c>
    </row>
    <row r="87" spans="1:5" ht="15" customHeight="1">
      <c r="A87" s="47"/>
      <c r="B87" s="96"/>
      <c r="C87" s="54" t="s">
        <v>130</v>
      </c>
      <c r="D87" s="55">
        <v>3</v>
      </c>
      <c r="E87" s="56">
        <v>1.609442060086E-3</v>
      </c>
    </row>
    <row r="88" spans="1:5" ht="15" customHeight="1">
      <c r="A88" s="47"/>
      <c r="B88" s="96"/>
      <c r="C88" s="54" t="s">
        <v>140</v>
      </c>
      <c r="D88" s="55">
        <v>1</v>
      </c>
      <c r="E88" s="56">
        <v>5.36480686695E-4</v>
      </c>
    </row>
    <row r="89" spans="1:5" ht="15" customHeight="1">
      <c r="A89" s="47"/>
      <c r="B89" s="96"/>
      <c r="C89" s="54" t="s">
        <v>155</v>
      </c>
      <c r="D89" s="55">
        <v>1</v>
      </c>
      <c r="E89" s="56">
        <v>5.36480686695E-4</v>
      </c>
    </row>
    <row r="90" spans="1:5" ht="15" customHeight="1">
      <c r="A90" s="47"/>
      <c r="B90" s="96"/>
      <c r="C90" s="54" t="s">
        <v>152</v>
      </c>
      <c r="D90" s="55">
        <v>1</v>
      </c>
      <c r="E90" s="56">
        <v>5.36480686695E-4</v>
      </c>
    </row>
    <row r="91" spans="1:5" ht="15" customHeight="1">
      <c r="A91" s="47"/>
      <c r="B91" s="96"/>
      <c r="C91" s="54" t="s">
        <v>134</v>
      </c>
      <c r="D91" s="55">
        <v>4</v>
      </c>
      <c r="E91" s="56">
        <v>2.1459227467810001E-3</v>
      </c>
    </row>
    <row r="92" spans="1:5" ht="15" customHeight="1">
      <c r="A92" s="47"/>
      <c r="B92" s="96"/>
      <c r="C92" s="54" t="s">
        <v>137</v>
      </c>
      <c r="D92" s="55">
        <v>1</v>
      </c>
      <c r="E92" s="56">
        <v>5.36480686695E-4</v>
      </c>
    </row>
    <row r="93" spans="1:5" ht="15" customHeight="1">
      <c r="A93" s="47"/>
      <c r="B93" s="96"/>
      <c r="C93" s="54" t="s">
        <v>135</v>
      </c>
      <c r="D93" s="55">
        <v>3</v>
      </c>
      <c r="E93" s="56">
        <v>1.609442060086E-3</v>
      </c>
    </row>
    <row r="94" spans="1:5" ht="15" customHeight="1">
      <c r="A94" s="47"/>
      <c r="B94" s="96"/>
      <c r="C94" s="54" t="s">
        <v>129</v>
      </c>
      <c r="D94" s="55">
        <v>14</v>
      </c>
      <c r="E94" s="56">
        <v>7.5107296137340001E-3</v>
      </c>
    </row>
    <row r="95" spans="1:5" ht="15" customHeight="1">
      <c r="A95" s="47"/>
      <c r="B95" s="96"/>
      <c r="C95" s="54" t="s">
        <v>138</v>
      </c>
      <c r="D95" s="55">
        <v>4</v>
      </c>
      <c r="E95" s="56">
        <v>2.1459227467810001E-3</v>
      </c>
    </row>
    <row r="96" spans="1:5" ht="15" customHeight="1">
      <c r="A96" s="47"/>
      <c r="B96" s="97"/>
      <c r="C96" s="67" t="s">
        <v>233</v>
      </c>
      <c r="D96" s="66">
        <v>80</v>
      </c>
      <c r="E96" s="68">
        <v>4.2918454935621998E-2</v>
      </c>
    </row>
    <row r="97" spans="1:5" ht="15" customHeight="1">
      <c r="A97" s="47"/>
      <c r="B97" s="95" t="s">
        <v>97</v>
      </c>
      <c r="C97" s="54" t="s">
        <v>133</v>
      </c>
      <c r="D97" s="55">
        <v>3</v>
      </c>
      <c r="E97" s="56">
        <v>1.609442060086E-3</v>
      </c>
    </row>
    <row r="98" spans="1:5" ht="15" customHeight="1">
      <c r="A98" s="47"/>
      <c r="B98" s="96"/>
      <c r="C98" s="54" t="s">
        <v>151</v>
      </c>
      <c r="D98" s="55">
        <v>3</v>
      </c>
      <c r="E98" s="56">
        <v>1.609442060086E-3</v>
      </c>
    </row>
    <row r="99" spans="1:5" ht="15" customHeight="1">
      <c r="A99" s="47"/>
      <c r="B99" s="96"/>
      <c r="C99" s="54" t="s">
        <v>141</v>
      </c>
      <c r="D99" s="55">
        <v>2</v>
      </c>
      <c r="E99" s="56">
        <v>1.0729613733910001E-3</v>
      </c>
    </row>
    <row r="100" spans="1:5" ht="15" customHeight="1">
      <c r="A100" s="47"/>
      <c r="B100" s="96"/>
      <c r="C100" s="54" t="s">
        <v>128</v>
      </c>
      <c r="D100" s="55">
        <v>32</v>
      </c>
      <c r="E100" s="56">
        <v>1.7167381974249E-2</v>
      </c>
    </row>
    <row r="101" spans="1:5" ht="15" customHeight="1">
      <c r="A101" s="47"/>
      <c r="B101" s="96"/>
      <c r="C101" s="54" t="s">
        <v>136</v>
      </c>
      <c r="D101" s="55">
        <v>8</v>
      </c>
      <c r="E101" s="56">
        <v>4.2918454935620002E-3</v>
      </c>
    </row>
    <row r="102" spans="1:5" ht="15" customHeight="1">
      <c r="A102" s="47"/>
      <c r="B102" s="96"/>
      <c r="C102" s="54" t="s">
        <v>131</v>
      </c>
      <c r="D102" s="55">
        <v>20</v>
      </c>
      <c r="E102" s="56">
        <v>1.0729613733905999E-2</v>
      </c>
    </row>
    <row r="103" spans="1:5" ht="15" customHeight="1">
      <c r="A103" s="47"/>
      <c r="B103" s="96"/>
      <c r="C103" s="54" t="s">
        <v>132</v>
      </c>
      <c r="D103" s="55">
        <v>10</v>
      </c>
      <c r="E103" s="56">
        <v>5.3648068669529996E-3</v>
      </c>
    </row>
    <row r="104" spans="1:5" ht="15" customHeight="1">
      <c r="A104" s="47"/>
      <c r="B104" s="96"/>
      <c r="C104" s="54" t="s">
        <v>143</v>
      </c>
      <c r="D104" s="55">
        <v>2</v>
      </c>
      <c r="E104" s="56">
        <v>1.0729613733910001E-3</v>
      </c>
    </row>
    <row r="105" spans="1:5" ht="15" customHeight="1">
      <c r="A105" s="47"/>
      <c r="B105" s="96"/>
      <c r="C105" s="54" t="s">
        <v>149</v>
      </c>
      <c r="D105" s="55">
        <v>1</v>
      </c>
      <c r="E105" s="56">
        <v>5.36480686695E-4</v>
      </c>
    </row>
    <row r="106" spans="1:5" ht="15" customHeight="1">
      <c r="A106" s="47"/>
      <c r="B106" s="96"/>
      <c r="C106" s="54" t="s">
        <v>146</v>
      </c>
      <c r="D106" s="55">
        <v>5</v>
      </c>
      <c r="E106" s="56">
        <v>2.6824034334760002E-3</v>
      </c>
    </row>
    <row r="107" spans="1:5" ht="15" customHeight="1">
      <c r="A107" s="47"/>
      <c r="B107" s="96"/>
      <c r="C107" s="54" t="s">
        <v>139</v>
      </c>
      <c r="D107" s="55">
        <v>3</v>
      </c>
      <c r="E107" s="56">
        <v>1.609442060086E-3</v>
      </c>
    </row>
    <row r="108" spans="1:5" ht="15" customHeight="1">
      <c r="A108" s="47"/>
      <c r="B108" s="96"/>
      <c r="C108" s="54" t="s">
        <v>158</v>
      </c>
      <c r="D108" s="55">
        <v>1</v>
      </c>
      <c r="E108" s="56">
        <v>5.36480686695E-4</v>
      </c>
    </row>
    <row r="109" spans="1:5" ht="15" customHeight="1">
      <c r="A109" s="47"/>
      <c r="B109" s="96"/>
      <c r="C109" s="54" t="s">
        <v>153</v>
      </c>
      <c r="D109" s="55">
        <v>1</v>
      </c>
      <c r="E109" s="56">
        <v>5.36480686695E-4</v>
      </c>
    </row>
    <row r="110" spans="1:5" ht="15" customHeight="1">
      <c r="A110" s="47"/>
      <c r="B110" s="96"/>
      <c r="C110" s="54" t="s">
        <v>150</v>
      </c>
      <c r="D110" s="55">
        <v>3</v>
      </c>
      <c r="E110" s="56">
        <v>1.609442060086E-3</v>
      </c>
    </row>
    <row r="111" spans="1:5" ht="15" customHeight="1">
      <c r="A111" s="47"/>
      <c r="B111" s="96"/>
      <c r="C111" s="54" t="s">
        <v>144</v>
      </c>
      <c r="D111" s="55">
        <v>3</v>
      </c>
      <c r="E111" s="56">
        <v>1.609442060086E-3</v>
      </c>
    </row>
    <row r="112" spans="1:5" ht="15" customHeight="1">
      <c r="A112" s="47"/>
      <c r="B112" s="96"/>
      <c r="C112" s="54" t="s">
        <v>148</v>
      </c>
      <c r="D112" s="55">
        <v>1</v>
      </c>
      <c r="E112" s="56">
        <v>5.36480686695E-4</v>
      </c>
    </row>
    <row r="113" spans="1:5" ht="15" customHeight="1">
      <c r="A113" s="47"/>
      <c r="B113" s="96"/>
      <c r="C113" s="54" t="s">
        <v>147</v>
      </c>
      <c r="D113" s="55">
        <v>6</v>
      </c>
      <c r="E113" s="56">
        <v>3.2188841201719999E-3</v>
      </c>
    </row>
    <row r="114" spans="1:5" ht="15" customHeight="1">
      <c r="A114" s="47"/>
      <c r="B114" s="96"/>
      <c r="C114" s="54" t="s">
        <v>130</v>
      </c>
      <c r="D114" s="55">
        <v>18</v>
      </c>
      <c r="E114" s="56">
        <v>9.6566523605149997E-3</v>
      </c>
    </row>
    <row r="115" spans="1:5" ht="15" customHeight="1">
      <c r="A115" s="47"/>
      <c r="B115" s="96"/>
      <c r="C115" s="54" t="s">
        <v>140</v>
      </c>
      <c r="D115" s="55">
        <v>6</v>
      </c>
      <c r="E115" s="56">
        <v>3.2188841201719999E-3</v>
      </c>
    </row>
    <row r="116" spans="1:5" ht="15" customHeight="1">
      <c r="A116" s="47"/>
      <c r="B116" s="96"/>
      <c r="C116" s="54" t="s">
        <v>155</v>
      </c>
      <c r="D116" s="55">
        <v>3</v>
      </c>
      <c r="E116" s="56">
        <v>1.609442060086E-3</v>
      </c>
    </row>
    <row r="117" spans="1:5" ht="15" customHeight="1">
      <c r="A117" s="47"/>
      <c r="B117" s="96"/>
      <c r="C117" s="54" t="s">
        <v>160</v>
      </c>
      <c r="D117" s="55">
        <v>1</v>
      </c>
      <c r="E117" s="56">
        <v>5.36480686695E-4</v>
      </c>
    </row>
    <row r="118" spans="1:5" ht="15" customHeight="1">
      <c r="A118" s="47"/>
      <c r="B118" s="96"/>
      <c r="C118" s="54" t="s">
        <v>152</v>
      </c>
      <c r="D118" s="55">
        <v>1</v>
      </c>
      <c r="E118" s="56">
        <v>5.36480686695E-4</v>
      </c>
    </row>
    <row r="119" spans="1:5" ht="15" customHeight="1">
      <c r="A119" s="47"/>
      <c r="B119" s="96"/>
      <c r="C119" s="54" t="s">
        <v>134</v>
      </c>
      <c r="D119" s="55">
        <v>7</v>
      </c>
      <c r="E119" s="56">
        <v>3.755364806867E-3</v>
      </c>
    </row>
    <row r="120" spans="1:5" ht="15" customHeight="1">
      <c r="A120" s="47"/>
      <c r="B120" s="96"/>
      <c r="C120" s="54" t="s">
        <v>142</v>
      </c>
      <c r="D120" s="55">
        <v>4</v>
      </c>
      <c r="E120" s="56">
        <v>2.1459227467810001E-3</v>
      </c>
    </row>
    <row r="121" spans="1:5" ht="15" customHeight="1">
      <c r="A121" s="47"/>
      <c r="B121" s="96"/>
      <c r="C121" s="54" t="s">
        <v>137</v>
      </c>
      <c r="D121" s="55">
        <v>6</v>
      </c>
      <c r="E121" s="56">
        <v>3.2188841201719999E-3</v>
      </c>
    </row>
    <row r="122" spans="1:5" ht="15" customHeight="1">
      <c r="A122" s="47"/>
      <c r="B122" s="96"/>
      <c r="C122" s="54" t="s">
        <v>161</v>
      </c>
      <c r="D122" s="55">
        <v>1</v>
      </c>
      <c r="E122" s="56">
        <v>5.36480686695E-4</v>
      </c>
    </row>
    <row r="123" spans="1:5" ht="15" customHeight="1">
      <c r="A123" s="47"/>
      <c r="B123" s="96"/>
      <c r="C123" s="54" t="s">
        <v>162</v>
      </c>
      <c r="D123" s="55">
        <v>1</v>
      </c>
      <c r="E123" s="56">
        <v>5.36480686695E-4</v>
      </c>
    </row>
    <row r="124" spans="1:5" ht="15" customHeight="1">
      <c r="A124" s="47"/>
      <c r="B124" s="96"/>
      <c r="C124" s="54" t="s">
        <v>145</v>
      </c>
      <c r="D124" s="55">
        <v>4</v>
      </c>
      <c r="E124" s="56">
        <v>2.1459227467810001E-3</v>
      </c>
    </row>
    <row r="125" spans="1:5" ht="15" customHeight="1">
      <c r="A125" s="47"/>
      <c r="B125" s="96"/>
      <c r="C125" s="54" t="s">
        <v>156</v>
      </c>
      <c r="D125" s="55">
        <v>1</v>
      </c>
      <c r="E125" s="56">
        <v>5.36480686695E-4</v>
      </c>
    </row>
    <row r="126" spans="1:5" ht="15" customHeight="1">
      <c r="A126" s="47"/>
      <c r="B126" s="96"/>
      <c r="C126" s="54" t="s">
        <v>135</v>
      </c>
      <c r="D126" s="55">
        <v>11</v>
      </c>
      <c r="E126" s="56">
        <v>5.9012875536479997E-3</v>
      </c>
    </row>
    <row r="127" spans="1:5" ht="15" customHeight="1">
      <c r="A127" s="47"/>
      <c r="B127" s="96"/>
      <c r="C127" s="54" t="s">
        <v>129</v>
      </c>
      <c r="D127" s="55">
        <v>32</v>
      </c>
      <c r="E127" s="56">
        <v>1.7167381974249E-2</v>
      </c>
    </row>
    <row r="128" spans="1:5" ht="15" customHeight="1">
      <c r="A128" s="47"/>
      <c r="B128" s="96"/>
      <c r="C128" s="54" t="s">
        <v>138</v>
      </c>
      <c r="D128" s="55">
        <v>8</v>
      </c>
      <c r="E128" s="56">
        <v>4.2918454935620002E-3</v>
      </c>
    </row>
    <row r="129" spans="1:5" ht="15" customHeight="1">
      <c r="A129" s="47"/>
      <c r="B129" s="96"/>
      <c r="C129" s="54" t="s">
        <v>165</v>
      </c>
      <c r="D129" s="55">
        <v>1</v>
      </c>
      <c r="E129" s="56">
        <v>5.36480686695E-4</v>
      </c>
    </row>
    <row r="130" spans="1:5" ht="15" customHeight="1">
      <c r="A130" s="47"/>
      <c r="B130" s="96"/>
      <c r="C130" s="54" t="s">
        <v>157</v>
      </c>
      <c r="D130" s="55">
        <v>2</v>
      </c>
      <c r="E130" s="56">
        <v>1.0729613733910001E-3</v>
      </c>
    </row>
    <row r="131" spans="1:5" ht="15" customHeight="1">
      <c r="A131" s="47"/>
      <c r="B131" s="97"/>
      <c r="C131" s="67" t="s">
        <v>233</v>
      </c>
      <c r="D131" s="66">
        <v>211</v>
      </c>
      <c r="E131" s="68">
        <v>0.113197424892704</v>
      </c>
    </row>
    <row r="132" spans="1:5" ht="15" customHeight="1">
      <c r="A132" s="47"/>
      <c r="B132" s="95" t="s">
        <v>188</v>
      </c>
      <c r="C132" s="54" t="s">
        <v>128</v>
      </c>
      <c r="D132" s="55">
        <v>4</v>
      </c>
      <c r="E132" s="56">
        <v>2.1459227467810001E-3</v>
      </c>
    </row>
    <row r="133" spans="1:5" ht="15" customHeight="1">
      <c r="A133" s="47"/>
      <c r="B133" s="96"/>
      <c r="C133" s="54" t="s">
        <v>136</v>
      </c>
      <c r="D133" s="55">
        <v>1</v>
      </c>
      <c r="E133" s="56">
        <v>5.36480686695E-4</v>
      </c>
    </row>
    <row r="134" spans="1:5" ht="15" customHeight="1">
      <c r="A134" s="47"/>
      <c r="B134" s="96"/>
      <c r="C134" s="54" t="s">
        <v>131</v>
      </c>
      <c r="D134" s="55">
        <v>1</v>
      </c>
      <c r="E134" s="56">
        <v>5.36480686695E-4</v>
      </c>
    </row>
    <row r="135" spans="1:5" ht="15" customHeight="1">
      <c r="A135" s="47"/>
      <c r="B135" s="96"/>
      <c r="C135" s="54" t="s">
        <v>132</v>
      </c>
      <c r="D135" s="55">
        <v>2</v>
      </c>
      <c r="E135" s="56">
        <v>1.0729613733910001E-3</v>
      </c>
    </row>
    <row r="136" spans="1:5" ht="15" customHeight="1">
      <c r="A136" s="47"/>
      <c r="B136" s="96"/>
      <c r="C136" s="54" t="s">
        <v>143</v>
      </c>
      <c r="D136" s="55">
        <v>1</v>
      </c>
      <c r="E136" s="56">
        <v>5.36480686695E-4</v>
      </c>
    </row>
    <row r="137" spans="1:5" ht="15" customHeight="1">
      <c r="A137" s="47"/>
      <c r="B137" s="96"/>
      <c r="C137" s="54" t="s">
        <v>164</v>
      </c>
      <c r="D137" s="55">
        <v>1</v>
      </c>
      <c r="E137" s="56">
        <v>5.36480686695E-4</v>
      </c>
    </row>
    <row r="138" spans="1:5" ht="15" customHeight="1">
      <c r="A138" s="47"/>
      <c r="B138" s="96"/>
      <c r="C138" s="54" t="s">
        <v>150</v>
      </c>
      <c r="D138" s="55">
        <v>1</v>
      </c>
      <c r="E138" s="56">
        <v>5.36480686695E-4</v>
      </c>
    </row>
    <row r="139" spans="1:5" ht="15" customHeight="1">
      <c r="A139" s="47"/>
      <c r="B139" s="96"/>
      <c r="C139" s="54" t="s">
        <v>147</v>
      </c>
      <c r="D139" s="55">
        <v>2</v>
      </c>
      <c r="E139" s="56">
        <v>1.0729613733910001E-3</v>
      </c>
    </row>
    <row r="140" spans="1:5" ht="15" customHeight="1">
      <c r="A140" s="47"/>
      <c r="B140" s="96"/>
      <c r="C140" s="54" t="s">
        <v>130</v>
      </c>
      <c r="D140" s="55">
        <v>5</v>
      </c>
      <c r="E140" s="56">
        <v>2.6824034334760002E-3</v>
      </c>
    </row>
    <row r="141" spans="1:5" ht="15" customHeight="1">
      <c r="A141" s="47"/>
      <c r="B141" s="96"/>
      <c r="C141" s="54" t="s">
        <v>140</v>
      </c>
      <c r="D141" s="55">
        <v>2</v>
      </c>
      <c r="E141" s="56">
        <v>1.0729613733910001E-3</v>
      </c>
    </row>
    <row r="142" spans="1:5" ht="15" customHeight="1">
      <c r="A142" s="47"/>
      <c r="B142" s="96"/>
      <c r="C142" s="54" t="s">
        <v>137</v>
      </c>
      <c r="D142" s="55">
        <v>1</v>
      </c>
      <c r="E142" s="56">
        <v>5.36480686695E-4</v>
      </c>
    </row>
    <row r="143" spans="1:5" ht="15" customHeight="1">
      <c r="A143" s="47"/>
      <c r="B143" s="96"/>
      <c r="C143" s="54" t="s">
        <v>135</v>
      </c>
      <c r="D143" s="55">
        <v>2</v>
      </c>
      <c r="E143" s="56">
        <v>1.0729613733910001E-3</v>
      </c>
    </row>
    <row r="144" spans="1:5" ht="15" customHeight="1">
      <c r="A144" s="47"/>
      <c r="B144" s="96"/>
      <c r="C144" s="54" t="s">
        <v>129</v>
      </c>
      <c r="D144" s="55">
        <v>4</v>
      </c>
      <c r="E144" s="56">
        <v>2.1459227467810001E-3</v>
      </c>
    </row>
    <row r="145" spans="1:5" ht="15" customHeight="1">
      <c r="A145" s="47"/>
      <c r="B145" s="96"/>
      <c r="C145" s="54" t="s">
        <v>70</v>
      </c>
      <c r="D145" s="55">
        <v>1</v>
      </c>
      <c r="E145" s="56">
        <v>5.36480686695E-4</v>
      </c>
    </row>
    <row r="146" spans="1:5" ht="15" customHeight="1">
      <c r="A146" s="47"/>
      <c r="B146" s="97"/>
      <c r="C146" s="67" t="s">
        <v>233</v>
      </c>
      <c r="D146" s="66">
        <v>28</v>
      </c>
      <c r="E146" s="68">
        <v>1.5021459227468E-2</v>
      </c>
    </row>
    <row r="147" spans="1:5" ht="15" customHeight="1">
      <c r="A147" s="47"/>
      <c r="B147" s="95" t="s">
        <v>189</v>
      </c>
      <c r="C147" s="54" t="s">
        <v>133</v>
      </c>
      <c r="D147" s="55">
        <v>3</v>
      </c>
      <c r="E147" s="56">
        <v>1.609442060086E-3</v>
      </c>
    </row>
    <row r="148" spans="1:5" ht="15" customHeight="1">
      <c r="A148" s="47"/>
      <c r="B148" s="96"/>
      <c r="C148" s="54" t="s">
        <v>141</v>
      </c>
      <c r="D148" s="55">
        <v>1</v>
      </c>
      <c r="E148" s="56">
        <v>5.36480686695E-4</v>
      </c>
    </row>
    <row r="149" spans="1:5" ht="15" customHeight="1">
      <c r="A149" s="47"/>
      <c r="B149" s="96"/>
      <c r="C149" s="54" t="s">
        <v>128</v>
      </c>
      <c r="D149" s="55">
        <v>2</v>
      </c>
      <c r="E149" s="56">
        <v>1.0729613733910001E-3</v>
      </c>
    </row>
    <row r="150" spans="1:5" ht="15" customHeight="1">
      <c r="A150" s="47"/>
      <c r="B150" s="96"/>
      <c r="C150" s="54" t="s">
        <v>136</v>
      </c>
      <c r="D150" s="55">
        <v>2</v>
      </c>
      <c r="E150" s="56">
        <v>1.0729613733910001E-3</v>
      </c>
    </row>
    <row r="151" spans="1:5" ht="15" customHeight="1">
      <c r="A151" s="47"/>
      <c r="B151" s="96"/>
      <c r="C151" s="54" t="s">
        <v>131</v>
      </c>
      <c r="D151" s="55">
        <v>2</v>
      </c>
      <c r="E151" s="56">
        <v>1.0729613733910001E-3</v>
      </c>
    </row>
    <row r="152" spans="1:5" ht="15" customHeight="1">
      <c r="A152" s="47"/>
      <c r="B152" s="96"/>
      <c r="C152" s="54" t="s">
        <v>132</v>
      </c>
      <c r="D152" s="55">
        <v>1</v>
      </c>
      <c r="E152" s="56">
        <v>5.36480686695E-4</v>
      </c>
    </row>
    <row r="153" spans="1:5" ht="15" customHeight="1">
      <c r="A153" s="47"/>
      <c r="B153" s="96"/>
      <c r="C153" s="54" t="s">
        <v>149</v>
      </c>
      <c r="D153" s="55">
        <v>1</v>
      </c>
      <c r="E153" s="56">
        <v>5.36480686695E-4</v>
      </c>
    </row>
    <row r="154" spans="1:5" ht="15" customHeight="1">
      <c r="A154" s="47"/>
      <c r="B154" s="96"/>
      <c r="C154" s="54" t="s">
        <v>146</v>
      </c>
      <c r="D154" s="55">
        <v>2</v>
      </c>
      <c r="E154" s="56">
        <v>1.0729613733910001E-3</v>
      </c>
    </row>
    <row r="155" spans="1:5" ht="15" customHeight="1">
      <c r="A155" s="47"/>
      <c r="B155" s="96"/>
      <c r="C155" s="54" t="s">
        <v>150</v>
      </c>
      <c r="D155" s="55">
        <v>1</v>
      </c>
      <c r="E155" s="56">
        <v>5.36480686695E-4</v>
      </c>
    </row>
    <row r="156" spans="1:5" ht="15" customHeight="1">
      <c r="A156" s="47"/>
      <c r="B156" s="96"/>
      <c r="C156" s="54" t="s">
        <v>148</v>
      </c>
      <c r="D156" s="55">
        <v>1</v>
      </c>
      <c r="E156" s="56">
        <v>5.36480686695E-4</v>
      </c>
    </row>
    <row r="157" spans="1:5" ht="15" customHeight="1">
      <c r="A157" s="47"/>
      <c r="B157" s="96"/>
      <c r="C157" s="54" t="s">
        <v>147</v>
      </c>
      <c r="D157" s="55">
        <v>1</v>
      </c>
      <c r="E157" s="56">
        <v>5.36480686695E-4</v>
      </c>
    </row>
    <row r="158" spans="1:5" ht="15" customHeight="1">
      <c r="A158" s="47"/>
      <c r="B158" s="96"/>
      <c r="C158" s="54" t="s">
        <v>130</v>
      </c>
      <c r="D158" s="55">
        <v>5</v>
      </c>
      <c r="E158" s="56">
        <v>2.6824034334760002E-3</v>
      </c>
    </row>
    <row r="159" spans="1:5" ht="15" customHeight="1">
      <c r="A159" s="47"/>
      <c r="B159" s="96"/>
      <c r="C159" s="54" t="s">
        <v>140</v>
      </c>
      <c r="D159" s="55">
        <v>1</v>
      </c>
      <c r="E159" s="56">
        <v>5.36480686695E-4</v>
      </c>
    </row>
    <row r="160" spans="1:5" ht="15" customHeight="1">
      <c r="A160" s="47"/>
      <c r="B160" s="96"/>
      <c r="C160" s="54" t="s">
        <v>155</v>
      </c>
      <c r="D160" s="55">
        <v>1</v>
      </c>
      <c r="E160" s="56">
        <v>5.36480686695E-4</v>
      </c>
    </row>
    <row r="161" spans="1:5" ht="15" customHeight="1">
      <c r="A161" s="47"/>
      <c r="B161" s="96"/>
      <c r="C161" s="54" t="s">
        <v>142</v>
      </c>
      <c r="D161" s="55">
        <v>2</v>
      </c>
      <c r="E161" s="56">
        <v>1.0729613733910001E-3</v>
      </c>
    </row>
    <row r="162" spans="1:5" ht="15" customHeight="1">
      <c r="A162" s="47"/>
      <c r="B162" s="96"/>
      <c r="C162" s="54" t="s">
        <v>137</v>
      </c>
      <c r="D162" s="55">
        <v>1</v>
      </c>
      <c r="E162" s="56">
        <v>5.36480686695E-4</v>
      </c>
    </row>
    <row r="163" spans="1:5" ht="15" customHeight="1">
      <c r="A163" s="47"/>
      <c r="B163" s="96"/>
      <c r="C163" s="54" t="s">
        <v>156</v>
      </c>
      <c r="D163" s="55">
        <v>1</v>
      </c>
      <c r="E163" s="56">
        <v>5.36480686695E-4</v>
      </c>
    </row>
    <row r="164" spans="1:5" ht="15" customHeight="1">
      <c r="A164" s="47"/>
      <c r="B164" s="96"/>
      <c r="C164" s="54" t="s">
        <v>129</v>
      </c>
      <c r="D164" s="55">
        <v>4</v>
      </c>
      <c r="E164" s="56">
        <v>2.1459227467810001E-3</v>
      </c>
    </row>
    <row r="165" spans="1:5" ht="15" customHeight="1">
      <c r="A165" s="47"/>
      <c r="B165" s="96"/>
      <c r="C165" s="54" t="s">
        <v>138</v>
      </c>
      <c r="D165" s="55">
        <v>1</v>
      </c>
      <c r="E165" s="56">
        <v>5.36480686695E-4</v>
      </c>
    </row>
    <row r="166" spans="1:5" ht="15" customHeight="1">
      <c r="A166" s="47"/>
      <c r="B166" s="97"/>
      <c r="C166" s="67" t="s">
        <v>233</v>
      </c>
      <c r="D166" s="66">
        <v>33</v>
      </c>
      <c r="E166" s="68">
        <v>1.7703862660944002E-2</v>
      </c>
    </row>
    <row r="167" spans="1:5" ht="15" customHeight="1">
      <c r="A167" s="47"/>
      <c r="B167" s="95" t="s">
        <v>190</v>
      </c>
      <c r="C167" s="54" t="s">
        <v>133</v>
      </c>
      <c r="D167" s="55">
        <v>1</v>
      </c>
      <c r="E167" s="56">
        <v>5.36480686695E-4</v>
      </c>
    </row>
    <row r="168" spans="1:5" ht="15" customHeight="1">
      <c r="A168" s="47"/>
      <c r="B168" s="96"/>
      <c r="C168" s="54" t="s">
        <v>151</v>
      </c>
      <c r="D168" s="55">
        <v>1</v>
      </c>
      <c r="E168" s="56">
        <v>5.36480686695E-4</v>
      </c>
    </row>
    <row r="169" spans="1:5" ht="15" customHeight="1">
      <c r="A169" s="47"/>
      <c r="B169" s="96"/>
      <c r="C169" s="54" t="s">
        <v>141</v>
      </c>
      <c r="D169" s="55">
        <v>2</v>
      </c>
      <c r="E169" s="56">
        <v>1.0729613733910001E-3</v>
      </c>
    </row>
    <row r="170" spans="1:5" ht="15" customHeight="1">
      <c r="A170" s="47"/>
      <c r="B170" s="96"/>
      <c r="C170" s="54" t="s">
        <v>128</v>
      </c>
      <c r="D170" s="55">
        <v>20</v>
      </c>
      <c r="E170" s="56">
        <v>1.0729613733905999E-2</v>
      </c>
    </row>
    <row r="171" spans="1:5" ht="15" customHeight="1">
      <c r="A171" s="47"/>
      <c r="B171" s="96"/>
      <c r="C171" s="54" t="s">
        <v>136</v>
      </c>
      <c r="D171" s="55">
        <v>3</v>
      </c>
      <c r="E171" s="56">
        <v>1.609442060086E-3</v>
      </c>
    </row>
    <row r="172" spans="1:5" ht="15" customHeight="1">
      <c r="A172" s="47"/>
      <c r="B172" s="96"/>
      <c r="C172" s="54" t="s">
        <v>131</v>
      </c>
      <c r="D172" s="55">
        <v>8</v>
      </c>
      <c r="E172" s="56">
        <v>4.2918454935620002E-3</v>
      </c>
    </row>
    <row r="173" spans="1:5" ht="15" customHeight="1">
      <c r="A173" s="47"/>
      <c r="B173" s="96"/>
      <c r="C173" s="54" t="s">
        <v>132</v>
      </c>
      <c r="D173" s="55">
        <v>7</v>
      </c>
      <c r="E173" s="56">
        <v>3.755364806867E-3</v>
      </c>
    </row>
    <row r="174" spans="1:5" ht="15" customHeight="1">
      <c r="A174" s="47"/>
      <c r="B174" s="96"/>
      <c r="C174" s="54" t="s">
        <v>154</v>
      </c>
      <c r="D174" s="55">
        <v>1</v>
      </c>
      <c r="E174" s="56">
        <v>5.36480686695E-4</v>
      </c>
    </row>
    <row r="175" spans="1:5" ht="15" customHeight="1">
      <c r="A175" s="47"/>
      <c r="B175" s="96"/>
      <c r="C175" s="54" t="s">
        <v>149</v>
      </c>
      <c r="D175" s="55">
        <v>2</v>
      </c>
      <c r="E175" s="56">
        <v>1.0729613733910001E-3</v>
      </c>
    </row>
    <row r="176" spans="1:5" ht="15" customHeight="1">
      <c r="A176" s="47"/>
      <c r="B176" s="96"/>
      <c r="C176" s="54" t="s">
        <v>146</v>
      </c>
      <c r="D176" s="55">
        <v>1</v>
      </c>
      <c r="E176" s="56">
        <v>5.36480686695E-4</v>
      </c>
    </row>
    <row r="177" spans="1:5" ht="15" customHeight="1">
      <c r="A177" s="47"/>
      <c r="B177" s="96"/>
      <c r="C177" s="54" t="s">
        <v>139</v>
      </c>
      <c r="D177" s="55">
        <v>2</v>
      </c>
      <c r="E177" s="56">
        <v>1.0729613733910001E-3</v>
      </c>
    </row>
    <row r="178" spans="1:5" ht="15" customHeight="1">
      <c r="A178" s="47"/>
      <c r="B178" s="96"/>
      <c r="C178" s="54" t="s">
        <v>153</v>
      </c>
      <c r="D178" s="55">
        <v>1</v>
      </c>
      <c r="E178" s="56">
        <v>5.36480686695E-4</v>
      </c>
    </row>
    <row r="179" spans="1:5" ht="15" customHeight="1">
      <c r="A179" s="47"/>
      <c r="B179" s="96"/>
      <c r="C179" s="54" t="s">
        <v>150</v>
      </c>
      <c r="D179" s="55">
        <v>1</v>
      </c>
      <c r="E179" s="56">
        <v>5.36480686695E-4</v>
      </c>
    </row>
    <row r="180" spans="1:5" ht="15" customHeight="1">
      <c r="A180" s="47"/>
      <c r="B180" s="96"/>
      <c r="C180" s="54" t="s">
        <v>148</v>
      </c>
      <c r="D180" s="55">
        <v>2</v>
      </c>
      <c r="E180" s="56">
        <v>1.0729613733910001E-3</v>
      </c>
    </row>
    <row r="181" spans="1:5" ht="15" customHeight="1">
      <c r="A181" s="47"/>
      <c r="B181" s="96"/>
      <c r="C181" s="54" t="s">
        <v>147</v>
      </c>
      <c r="D181" s="55">
        <v>1</v>
      </c>
      <c r="E181" s="56">
        <v>5.36480686695E-4</v>
      </c>
    </row>
    <row r="182" spans="1:5" ht="15" customHeight="1">
      <c r="A182" s="47"/>
      <c r="B182" s="96"/>
      <c r="C182" s="54" t="s">
        <v>130</v>
      </c>
      <c r="D182" s="55">
        <v>2</v>
      </c>
      <c r="E182" s="56">
        <v>1.0729613733910001E-3</v>
      </c>
    </row>
    <row r="183" spans="1:5" ht="15" customHeight="1">
      <c r="A183" s="47"/>
      <c r="B183" s="96"/>
      <c r="C183" s="54" t="s">
        <v>140</v>
      </c>
      <c r="D183" s="55">
        <v>1</v>
      </c>
      <c r="E183" s="56">
        <v>5.36480686695E-4</v>
      </c>
    </row>
    <row r="184" spans="1:5" ht="15" customHeight="1">
      <c r="A184" s="47"/>
      <c r="B184" s="96"/>
      <c r="C184" s="54" t="s">
        <v>152</v>
      </c>
      <c r="D184" s="55">
        <v>1</v>
      </c>
      <c r="E184" s="56">
        <v>5.36480686695E-4</v>
      </c>
    </row>
    <row r="185" spans="1:5" ht="15" customHeight="1">
      <c r="A185" s="47"/>
      <c r="B185" s="96"/>
      <c r="C185" s="54" t="s">
        <v>134</v>
      </c>
      <c r="D185" s="55">
        <v>3</v>
      </c>
      <c r="E185" s="56">
        <v>1.609442060086E-3</v>
      </c>
    </row>
    <row r="186" spans="1:5" ht="15" customHeight="1">
      <c r="A186" s="47"/>
      <c r="B186" s="96"/>
      <c r="C186" s="54" t="s">
        <v>142</v>
      </c>
      <c r="D186" s="55">
        <v>2</v>
      </c>
      <c r="E186" s="56">
        <v>1.0729613733910001E-3</v>
      </c>
    </row>
    <row r="187" spans="1:5" ht="15" customHeight="1">
      <c r="A187" s="47"/>
      <c r="B187" s="96"/>
      <c r="C187" s="54" t="s">
        <v>137</v>
      </c>
      <c r="D187" s="55">
        <v>1</v>
      </c>
      <c r="E187" s="56">
        <v>5.36480686695E-4</v>
      </c>
    </row>
    <row r="188" spans="1:5" ht="15" customHeight="1">
      <c r="A188" s="47"/>
      <c r="B188" s="96"/>
      <c r="C188" s="54" t="s">
        <v>161</v>
      </c>
      <c r="D188" s="55">
        <v>1</v>
      </c>
      <c r="E188" s="56">
        <v>5.36480686695E-4</v>
      </c>
    </row>
    <row r="189" spans="1:5" ht="15" customHeight="1">
      <c r="A189" s="47"/>
      <c r="B189" s="96"/>
      <c r="C189" s="54" t="s">
        <v>135</v>
      </c>
      <c r="D189" s="55">
        <v>2</v>
      </c>
      <c r="E189" s="56">
        <v>1.0729613733910001E-3</v>
      </c>
    </row>
    <row r="190" spans="1:5" ht="15" customHeight="1">
      <c r="A190" s="47"/>
      <c r="B190" s="96"/>
      <c r="C190" s="54" t="s">
        <v>129</v>
      </c>
      <c r="D190" s="55">
        <v>18</v>
      </c>
      <c r="E190" s="56">
        <v>9.6566523605149997E-3</v>
      </c>
    </row>
    <row r="191" spans="1:5" ht="15" customHeight="1">
      <c r="A191" s="47"/>
      <c r="B191" s="96"/>
      <c r="C191" s="54" t="s">
        <v>138</v>
      </c>
      <c r="D191" s="55">
        <v>4</v>
      </c>
      <c r="E191" s="56">
        <v>2.1459227467810001E-3</v>
      </c>
    </row>
    <row r="192" spans="1:5" ht="15" customHeight="1">
      <c r="A192" s="47"/>
      <c r="B192" s="96"/>
      <c r="C192" s="54" t="s">
        <v>157</v>
      </c>
      <c r="D192" s="55">
        <v>1</v>
      </c>
      <c r="E192" s="56">
        <v>5.36480686695E-4</v>
      </c>
    </row>
    <row r="193" spans="1:5" ht="15" customHeight="1">
      <c r="A193" s="47"/>
      <c r="B193" s="97"/>
      <c r="C193" s="67" t="s">
        <v>233</v>
      </c>
      <c r="D193" s="66">
        <v>89</v>
      </c>
      <c r="E193" s="68">
        <v>4.7746781115880002E-2</v>
      </c>
    </row>
    <row r="194" spans="1:5" ht="15" customHeight="1">
      <c r="A194" s="47"/>
      <c r="B194" s="95" t="s">
        <v>101</v>
      </c>
      <c r="C194" s="54" t="s">
        <v>133</v>
      </c>
      <c r="D194" s="55">
        <v>26</v>
      </c>
      <c r="E194" s="56">
        <v>1.3948497854077001E-2</v>
      </c>
    </row>
    <row r="195" spans="1:5" ht="15" customHeight="1">
      <c r="A195" s="47"/>
      <c r="B195" s="96"/>
      <c r="C195" s="54" t="s">
        <v>151</v>
      </c>
      <c r="D195" s="55">
        <v>7</v>
      </c>
      <c r="E195" s="56">
        <v>3.755364806867E-3</v>
      </c>
    </row>
    <row r="196" spans="1:5" ht="15" customHeight="1">
      <c r="A196" s="47"/>
      <c r="B196" s="96"/>
      <c r="C196" s="54" t="s">
        <v>141</v>
      </c>
      <c r="D196" s="55">
        <v>11</v>
      </c>
      <c r="E196" s="56">
        <v>5.9012875536479997E-3</v>
      </c>
    </row>
    <row r="197" spans="1:5" ht="15" customHeight="1">
      <c r="A197" s="47"/>
      <c r="B197" s="96"/>
      <c r="C197" s="54" t="s">
        <v>128</v>
      </c>
      <c r="D197" s="55">
        <v>120</v>
      </c>
      <c r="E197" s="56">
        <v>6.4377682403433001E-2</v>
      </c>
    </row>
    <row r="198" spans="1:5" ht="15" customHeight="1">
      <c r="A198" s="47"/>
      <c r="B198" s="96"/>
      <c r="C198" s="54" t="s">
        <v>136</v>
      </c>
      <c r="D198" s="55">
        <v>21</v>
      </c>
      <c r="E198" s="56">
        <v>1.1266094420600999E-2</v>
      </c>
    </row>
    <row r="199" spans="1:5" ht="15" customHeight="1">
      <c r="A199" s="47"/>
      <c r="B199" s="96"/>
      <c r="C199" s="54" t="s">
        <v>163</v>
      </c>
      <c r="D199" s="55">
        <v>1</v>
      </c>
      <c r="E199" s="56">
        <v>5.36480686695E-4</v>
      </c>
    </row>
    <row r="200" spans="1:5" ht="15" customHeight="1">
      <c r="A200" s="47"/>
      <c r="B200" s="96"/>
      <c r="C200" s="54" t="s">
        <v>131</v>
      </c>
      <c r="D200" s="55">
        <v>41</v>
      </c>
      <c r="E200" s="56">
        <v>2.1995708154506001E-2</v>
      </c>
    </row>
    <row r="201" spans="1:5" ht="15" customHeight="1">
      <c r="A201" s="47"/>
      <c r="B201" s="96"/>
      <c r="C201" s="54" t="s">
        <v>132</v>
      </c>
      <c r="D201" s="55">
        <v>32</v>
      </c>
      <c r="E201" s="56">
        <v>1.7167381974249E-2</v>
      </c>
    </row>
    <row r="202" spans="1:5" ht="15" customHeight="1">
      <c r="A202" s="47"/>
      <c r="B202" s="96"/>
      <c r="C202" s="54" t="s">
        <v>154</v>
      </c>
      <c r="D202" s="55">
        <v>5</v>
      </c>
      <c r="E202" s="56">
        <v>2.6824034334760002E-3</v>
      </c>
    </row>
    <row r="203" spans="1:5" ht="15" customHeight="1">
      <c r="A203" s="47"/>
      <c r="B203" s="96"/>
      <c r="C203" s="54" t="s">
        <v>143</v>
      </c>
      <c r="D203" s="55">
        <v>12</v>
      </c>
      <c r="E203" s="56">
        <v>6.4377682403429998E-3</v>
      </c>
    </row>
    <row r="204" spans="1:5" ht="15" customHeight="1">
      <c r="A204" s="47"/>
      <c r="B204" s="96"/>
      <c r="C204" s="54" t="s">
        <v>149</v>
      </c>
      <c r="D204" s="55">
        <v>10</v>
      </c>
      <c r="E204" s="56">
        <v>5.3648068669529996E-3</v>
      </c>
    </row>
    <row r="205" spans="1:5" ht="15" customHeight="1">
      <c r="A205" s="47"/>
      <c r="B205" s="96"/>
      <c r="C205" s="54" t="s">
        <v>146</v>
      </c>
      <c r="D205" s="55">
        <v>7</v>
      </c>
      <c r="E205" s="56">
        <v>3.755364806867E-3</v>
      </c>
    </row>
    <row r="206" spans="1:5" ht="15" customHeight="1">
      <c r="A206" s="47"/>
      <c r="B206" s="96"/>
      <c r="C206" s="54" t="s">
        <v>139</v>
      </c>
      <c r="D206" s="55">
        <v>11</v>
      </c>
      <c r="E206" s="56">
        <v>5.9012875536479997E-3</v>
      </c>
    </row>
    <row r="207" spans="1:5" ht="15" customHeight="1">
      <c r="A207" s="47"/>
      <c r="B207" s="96"/>
      <c r="C207" s="54" t="s">
        <v>158</v>
      </c>
      <c r="D207" s="55">
        <v>4</v>
      </c>
      <c r="E207" s="56">
        <v>2.1459227467810001E-3</v>
      </c>
    </row>
    <row r="208" spans="1:5" ht="15" customHeight="1">
      <c r="A208" s="47"/>
      <c r="B208" s="96"/>
      <c r="C208" s="54" t="s">
        <v>153</v>
      </c>
      <c r="D208" s="55">
        <v>8</v>
      </c>
      <c r="E208" s="56">
        <v>4.2918454935620002E-3</v>
      </c>
    </row>
    <row r="209" spans="1:5" ht="15" customHeight="1">
      <c r="A209" s="47"/>
      <c r="B209" s="96"/>
      <c r="C209" s="54" t="s">
        <v>164</v>
      </c>
      <c r="D209" s="55">
        <v>2</v>
      </c>
      <c r="E209" s="56">
        <v>1.0729613733910001E-3</v>
      </c>
    </row>
    <row r="210" spans="1:5" ht="15" customHeight="1">
      <c r="A210" s="47"/>
      <c r="B210" s="96"/>
      <c r="C210" s="54" t="s">
        <v>150</v>
      </c>
      <c r="D210" s="55">
        <v>10</v>
      </c>
      <c r="E210" s="56">
        <v>5.3648068669529996E-3</v>
      </c>
    </row>
    <row r="211" spans="1:5" ht="15" customHeight="1">
      <c r="A211" s="47"/>
      <c r="B211" s="96"/>
      <c r="C211" s="54" t="s">
        <v>144</v>
      </c>
      <c r="D211" s="55">
        <v>14</v>
      </c>
      <c r="E211" s="56">
        <v>7.5107296137340001E-3</v>
      </c>
    </row>
    <row r="212" spans="1:5" ht="15" customHeight="1">
      <c r="A212" s="47"/>
      <c r="B212" s="96"/>
      <c r="C212" s="54" t="s">
        <v>148</v>
      </c>
      <c r="D212" s="55">
        <v>14</v>
      </c>
      <c r="E212" s="56">
        <v>7.5107296137340001E-3</v>
      </c>
    </row>
    <row r="213" spans="1:5" ht="15" customHeight="1">
      <c r="A213" s="47"/>
      <c r="B213" s="96"/>
      <c r="C213" s="54" t="s">
        <v>147</v>
      </c>
      <c r="D213" s="55">
        <v>11</v>
      </c>
      <c r="E213" s="56">
        <v>5.9012875536479997E-3</v>
      </c>
    </row>
    <row r="214" spans="1:5" ht="15" customHeight="1">
      <c r="A214" s="47"/>
      <c r="B214" s="96"/>
      <c r="C214" s="54" t="s">
        <v>130</v>
      </c>
      <c r="D214" s="55">
        <v>56</v>
      </c>
      <c r="E214" s="56">
        <v>3.0042918454936E-2</v>
      </c>
    </row>
    <row r="215" spans="1:5" ht="15" customHeight="1">
      <c r="A215" s="47"/>
      <c r="B215" s="96"/>
      <c r="C215" s="54" t="s">
        <v>140</v>
      </c>
      <c r="D215" s="55">
        <v>13</v>
      </c>
      <c r="E215" s="56">
        <v>6.974248927039E-3</v>
      </c>
    </row>
    <row r="216" spans="1:5" ht="15" customHeight="1">
      <c r="A216" s="47"/>
      <c r="B216" s="96"/>
      <c r="C216" s="54" t="s">
        <v>155</v>
      </c>
      <c r="D216" s="55">
        <v>6</v>
      </c>
      <c r="E216" s="56">
        <v>3.2188841201719999E-3</v>
      </c>
    </row>
    <row r="217" spans="1:5" ht="15" customHeight="1">
      <c r="A217" s="47"/>
      <c r="B217" s="96"/>
      <c r="C217" s="54" t="s">
        <v>160</v>
      </c>
      <c r="D217" s="55">
        <v>3</v>
      </c>
      <c r="E217" s="56">
        <v>1.609442060086E-3</v>
      </c>
    </row>
    <row r="218" spans="1:5" ht="15" customHeight="1">
      <c r="A218" s="47"/>
      <c r="B218" s="96"/>
      <c r="C218" s="54" t="s">
        <v>152</v>
      </c>
      <c r="D218" s="55">
        <v>9</v>
      </c>
      <c r="E218" s="56">
        <v>4.8283261802580003E-3</v>
      </c>
    </row>
    <row r="219" spans="1:5" ht="15" customHeight="1">
      <c r="A219" s="47"/>
      <c r="B219" s="96"/>
      <c r="C219" s="54" t="s">
        <v>134</v>
      </c>
      <c r="D219" s="55">
        <v>29</v>
      </c>
      <c r="E219" s="56">
        <v>1.5557939914163E-2</v>
      </c>
    </row>
    <row r="220" spans="1:5" ht="15" customHeight="1">
      <c r="A220" s="47"/>
      <c r="B220" s="96"/>
      <c r="C220" s="54" t="s">
        <v>142</v>
      </c>
      <c r="D220" s="55">
        <v>10</v>
      </c>
      <c r="E220" s="56">
        <v>5.3648068669529996E-3</v>
      </c>
    </row>
    <row r="221" spans="1:5" ht="15" customHeight="1">
      <c r="A221" s="47"/>
      <c r="B221" s="96"/>
      <c r="C221" s="54" t="s">
        <v>137</v>
      </c>
      <c r="D221" s="55">
        <v>17</v>
      </c>
      <c r="E221" s="56">
        <v>9.1201716738199996E-3</v>
      </c>
    </row>
    <row r="222" spans="1:5" ht="15" customHeight="1">
      <c r="A222" s="47"/>
      <c r="B222" s="96"/>
      <c r="C222" s="54" t="s">
        <v>161</v>
      </c>
      <c r="D222" s="55">
        <v>1</v>
      </c>
      <c r="E222" s="56">
        <v>5.36480686695E-4</v>
      </c>
    </row>
    <row r="223" spans="1:5" ht="15" customHeight="1">
      <c r="A223" s="47"/>
      <c r="B223" s="96"/>
      <c r="C223" s="54" t="s">
        <v>162</v>
      </c>
      <c r="D223" s="55">
        <v>2</v>
      </c>
      <c r="E223" s="56">
        <v>1.0729613733910001E-3</v>
      </c>
    </row>
    <row r="224" spans="1:5" ht="15" customHeight="1">
      <c r="A224" s="47"/>
      <c r="B224" s="96"/>
      <c r="C224" s="54" t="s">
        <v>145</v>
      </c>
      <c r="D224" s="55">
        <v>12</v>
      </c>
      <c r="E224" s="56">
        <v>6.4377682403429998E-3</v>
      </c>
    </row>
    <row r="225" spans="1:5" ht="15" customHeight="1">
      <c r="A225" s="47"/>
      <c r="B225" s="96"/>
      <c r="C225" s="54" t="s">
        <v>156</v>
      </c>
      <c r="D225" s="55">
        <v>6</v>
      </c>
      <c r="E225" s="56">
        <v>3.2188841201719999E-3</v>
      </c>
    </row>
    <row r="226" spans="1:5" ht="15" customHeight="1">
      <c r="A226" s="47"/>
      <c r="B226" s="96"/>
      <c r="C226" s="54" t="s">
        <v>135</v>
      </c>
      <c r="D226" s="55">
        <v>18</v>
      </c>
      <c r="E226" s="56">
        <v>9.6566523605149997E-3</v>
      </c>
    </row>
    <row r="227" spans="1:5" ht="15" customHeight="1">
      <c r="A227" s="47"/>
      <c r="B227" s="96"/>
      <c r="C227" s="54" t="s">
        <v>129</v>
      </c>
      <c r="D227" s="55">
        <v>109</v>
      </c>
      <c r="E227" s="56">
        <v>5.8476394849785E-2</v>
      </c>
    </row>
    <row r="228" spans="1:5" ht="15" customHeight="1">
      <c r="A228" s="47"/>
      <c r="B228" s="96"/>
      <c r="C228" s="54" t="s">
        <v>159</v>
      </c>
      <c r="D228" s="55">
        <v>5</v>
      </c>
      <c r="E228" s="56">
        <v>2.6824034334760002E-3</v>
      </c>
    </row>
    <row r="229" spans="1:5" ht="15" customHeight="1">
      <c r="A229" s="47"/>
      <c r="B229" s="96"/>
      <c r="C229" s="54" t="s">
        <v>138</v>
      </c>
      <c r="D229" s="55">
        <v>11</v>
      </c>
      <c r="E229" s="56">
        <v>5.9012875536479997E-3</v>
      </c>
    </row>
    <row r="230" spans="1:5" ht="15" customHeight="1">
      <c r="A230" s="47"/>
      <c r="B230" s="96"/>
      <c r="C230" s="54" t="s">
        <v>70</v>
      </c>
      <c r="D230" s="55">
        <v>5</v>
      </c>
      <c r="E230" s="56">
        <v>2.6824034334760002E-3</v>
      </c>
    </row>
    <row r="231" spans="1:5" ht="15" customHeight="1">
      <c r="A231" s="47"/>
      <c r="B231" s="96"/>
      <c r="C231" s="54" t="s">
        <v>165</v>
      </c>
      <c r="D231" s="55">
        <v>1</v>
      </c>
      <c r="E231" s="56">
        <v>5.36480686695E-4</v>
      </c>
    </row>
    <row r="232" spans="1:5" ht="15" customHeight="1">
      <c r="A232" s="47"/>
      <c r="B232" s="96"/>
      <c r="C232" s="54" t="s">
        <v>157</v>
      </c>
      <c r="D232" s="55">
        <v>4</v>
      </c>
      <c r="E232" s="56">
        <v>2.1459227467810001E-3</v>
      </c>
    </row>
    <row r="233" spans="1:5" ht="15" customHeight="1">
      <c r="A233" s="47"/>
      <c r="B233" s="97"/>
      <c r="C233" s="67" t="s">
        <v>233</v>
      </c>
      <c r="D233" s="66">
        <v>684</v>
      </c>
      <c r="E233" s="68">
        <v>0.36695278969957101</v>
      </c>
    </row>
    <row r="234" spans="1:5" ht="15" customHeight="1">
      <c r="A234" s="47"/>
      <c r="B234" s="95" t="s">
        <v>102</v>
      </c>
      <c r="C234" s="54" t="s">
        <v>128</v>
      </c>
      <c r="D234" s="55">
        <v>6</v>
      </c>
      <c r="E234" s="56">
        <v>3.2188841201719999E-3</v>
      </c>
    </row>
    <row r="235" spans="1:5" ht="15" customHeight="1">
      <c r="A235" s="47"/>
      <c r="B235" s="96"/>
      <c r="C235" s="54" t="s">
        <v>132</v>
      </c>
      <c r="D235" s="55">
        <v>1</v>
      </c>
      <c r="E235" s="56">
        <v>5.36480686695E-4</v>
      </c>
    </row>
    <row r="236" spans="1:5" ht="15" customHeight="1">
      <c r="A236" s="47"/>
      <c r="B236" s="96"/>
      <c r="C236" s="54" t="s">
        <v>152</v>
      </c>
      <c r="D236" s="55">
        <v>1</v>
      </c>
      <c r="E236" s="56">
        <v>5.36480686695E-4</v>
      </c>
    </row>
    <row r="237" spans="1:5" ht="15" customHeight="1">
      <c r="A237" s="47"/>
      <c r="B237" s="96"/>
      <c r="C237" s="54" t="s">
        <v>134</v>
      </c>
      <c r="D237" s="55">
        <v>1</v>
      </c>
      <c r="E237" s="56">
        <v>5.36480686695E-4</v>
      </c>
    </row>
    <row r="238" spans="1:5" ht="15" customHeight="1">
      <c r="A238" s="47"/>
      <c r="B238" s="96"/>
      <c r="C238" s="54" t="s">
        <v>135</v>
      </c>
      <c r="D238" s="55">
        <v>1</v>
      </c>
      <c r="E238" s="56">
        <v>5.36480686695E-4</v>
      </c>
    </row>
    <row r="239" spans="1:5" ht="15" customHeight="1">
      <c r="A239" s="47"/>
      <c r="B239" s="96"/>
      <c r="C239" s="54" t="s">
        <v>129</v>
      </c>
      <c r="D239" s="55">
        <v>3</v>
      </c>
      <c r="E239" s="56">
        <v>1.609442060086E-3</v>
      </c>
    </row>
    <row r="240" spans="1:5" ht="15" customHeight="1">
      <c r="A240" s="47"/>
      <c r="B240" s="96"/>
      <c r="C240" s="54" t="s">
        <v>138</v>
      </c>
      <c r="D240" s="55">
        <v>1</v>
      </c>
      <c r="E240" s="56">
        <v>5.36480686695E-4</v>
      </c>
    </row>
    <row r="241" spans="1:5" ht="15" customHeight="1">
      <c r="A241" s="47"/>
      <c r="B241" s="97"/>
      <c r="C241" s="67" t="s">
        <v>233</v>
      </c>
      <c r="D241" s="66">
        <v>14</v>
      </c>
      <c r="E241" s="68">
        <v>7.5107296137340001E-3</v>
      </c>
    </row>
    <row r="242" spans="1:5" ht="15" customHeight="1">
      <c r="A242" s="47"/>
      <c r="B242" s="95" t="s">
        <v>103</v>
      </c>
      <c r="C242" s="54" t="s">
        <v>133</v>
      </c>
      <c r="D242" s="55">
        <v>6</v>
      </c>
      <c r="E242" s="56">
        <v>3.2188841201719999E-3</v>
      </c>
    </row>
    <row r="243" spans="1:5" ht="15" customHeight="1">
      <c r="A243" s="47"/>
      <c r="B243" s="96"/>
      <c r="C243" s="54" t="s">
        <v>151</v>
      </c>
      <c r="D243" s="55">
        <v>2</v>
      </c>
      <c r="E243" s="56">
        <v>1.0729613733910001E-3</v>
      </c>
    </row>
    <row r="244" spans="1:5" ht="15" customHeight="1">
      <c r="A244" s="47"/>
      <c r="B244" s="96"/>
      <c r="C244" s="54" t="s">
        <v>141</v>
      </c>
      <c r="D244" s="55">
        <v>3</v>
      </c>
      <c r="E244" s="56">
        <v>1.609442060086E-3</v>
      </c>
    </row>
    <row r="245" spans="1:5" ht="15" customHeight="1">
      <c r="A245" s="47"/>
      <c r="B245" s="96"/>
      <c r="C245" s="54" t="s">
        <v>128</v>
      </c>
      <c r="D245" s="55">
        <v>12</v>
      </c>
      <c r="E245" s="56">
        <v>6.4377682403429998E-3</v>
      </c>
    </row>
    <row r="246" spans="1:5" ht="15" customHeight="1">
      <c r="A246" s="47"/>
      <c r="B246" s="96"/>
      <c r="C246" s="54" t="s">
        <v>136</v>
      </c>
      <c r="D246" s="55">
        <v>2</v>
      </c>
      <c r="E246" s="56">
        <v>1.0729613733910001E-3</v>
      </c>
    </row>
    <row r="247" spans="1:5" ht="15" customHeight="1">
      <c r="A247" s="47"/>
      <c r="B247" s="96"/>
      <c r="C247" s="54" t="s">
        <v>163</v>
      </c>
      <c r="D247" s="55">
        <v>1</v>
      </c>
      <c r="E247" s="56">
        <v>5.36480686695E-4</v>
      </c>
    </row>
    <row r="248" spans="1:5" ht="15" customHeight="1">
      <c r="A248" s="47"/>
      <c r="B248" s="96"/>
      <c r="C248" s="54" t="s">
        <v>131</v>
      </c>
      <c r="D248" s="55">
        <v>8</v>
      </c>
      <c r="E248" s="56">
        <v>4.2918454935620002E-3</v>
      </c>
    </row>
    <row r="249" spans="1:5" ht="15" customHeight="1">
      <c r="A249" s="47"/>
      <c r="B249" s="96"/>
      <c r="C249" s="54" t="s">
        <v>154</v>
      </c>
      <c r="D249" s="55">
        <v>1</v>
      </c>
      <c r="E249" s="56">
        <v>5.36480686695E-4</v>
      </c>
    </row>
    <row r="250" spans="1:5" ht="15" customHeight="1">
      <c r="A250" s="47"/>
      <c r="B250" s="96"/>
      <c r="C250" s="54" t="s">
        <v>143</v>
      </c>
      <c r="D250" s="55">
        <v>3</v>
      </c>
      <c r="E250" s="56">
        <v>1.609442060086E-3</v>
      </c>
    </row>
    <row r="251" spans="1:5" ht="15" customHeight="1">
      <c r="A251" s="47"/>
      <c r="B251" s="96"/>
      <c r="C251" s="54" t="s">
        <v>146</v>
      </c>
      <c r="D251" s="55">
        <v>3</v>
      </c>
      <c r="E251" s="56">
        <v>1.609442060086E-3</v>
      </c>
    </row>
    <row r="252" spans="1:5" ht="15" customHeight="1">
      <c r="A252" s="47"/>
      <c r="B252" s="96"/>
      <c r="C252" s="54" t="s">
        <v>139</v>
      </c>
      <c r="D252" s="55">
        <v>4</v>
      </c>
      <c r="E252" s="56">
        <v>2.1459227467810001E-3</v>
      </c>
    </row>
    <row r="253" spans="1:5" ht="15" customHeight="1">
      <c r="A253" s="47"/>
      <c r="B253" s="96"/>
      <c r="C253" s="54" t="s">
        <v>153</v>
      </c>
      <c r="D253" s="55">
        <v>1</v>
      </c>
      <c r="E253" s="56">
        <v>5.36480686695E-4</v>
      </c>
    </row>
    <row r="254" spans="1:5" ht="15" customHeight="1">
      <c r="A254" s="47"/>
      <c r="B254" s="96"/>
      <c r="C254" s="54" t="s">
        <v>144</v>
      </c>
      <c r="D254" s="55">
        <v>3</v>
      </c>
      <c r="E254" s="56">
        <v>1.609442060086E-3</v>
      </c>
    </row>
    <row r="255" spans="1:5" ht="15" customHeight="1">
      <c r="A255" s="47"/>
      <c r="B255" s="96"/>
      <c r="C255" s="54" t="s">
        <v>130</v>
      </c>
      <c r="D255" s="55">
        <v>7</v>
      </c>
      <c r="E255" s="56">
        <v>3.755364806867E-3</v>
      </c>
    </row>
    <row r="256" spans="1:5" ht="15" customHeight="1">
      <c r="A256" s="47"/>
      <c r="B256" s="96"/>
      <c r="C256" s="54" t="s">
        <v>140</v>
      </c>
      <c r="D256" s="55">
        <v>2</v>
      </c>
      <c r="E256" s="56">
        <v>1.0729613733910001E-3</v>
      </c>
    </row>
    <row r="257" spans="1:5" ht="15" customHeight="1">
      <c r="A257" s="47"/>
      <c r="B257" s="96"/>
      <c r="C257" s="54" t="s">
        <v>160</v>
      </c>
      <c r="D257" s="55">
        <v>1</v>
      </c>
      <c r="E257" s="56">
        <v>5.36480686695E-4</v>
      </c>
    </row>
    <row r="258" spans="1:5" ht="15" customHeight="1">
      <c r="A258" s="47"/>
      <c r="B258" s="96"/>
      <c r="C258" s="54" t="s">
        <v>152</v>
      </c>
      <c r="D258" s="55">
        <v>4</v>
      </c>
      <c r="E258" s="56">
        <v>2.1459227467810001E-3</v>
      </c>
    </row>
    <row r="259" spans="1:5" ht="15" customHeight="1">
      <c r="A259" s="47"/>
      <c r="B259" s="96"/>
      <c r="C259" s="54" t="s">
        <v>134</v>
      </c>
      <c r="D259" s="55">
        <v>4</v>
      </c>
      <c r="E259" s="56">
        <v>2.1459227467810001E-3</v>
      </c>
    </row>
    <row r="260" spans="1:5" ht="15" customHeight="1">
      <c r="A260" s="47"/>
      <c r="B260" s="96"/>
      <c r="C260" s="54" t="s">
        <v>142</v>
      </c>
      <c r="D260" s="55">
        <v>1</v>
      </c>
      <c r="E260" s="56">
        <v>5.36480686695E-4</v>
      </c>
    </row>
    <row r="261" spans="1:5" ht="15" customHeight="1">
      <c r="A261" s="47"/>
      <c r="B261" s="96"/>
      <c r="C261" s="54" t="s">
        <v>137</v>
      </c>
      <c r="D261" s="55">
        <v>4</v>
      </c>
      <c r="E261" s="56">
        <v>2.1459227467810001E-3</v>
      </c>
    </row>
    <row r="262" spans="1:5" ht="15" customHeight="1">
      <c r="A262" s="47"/>
      <c r="B262" s="96"/>
      <c r="C262" s="54" t="s">
        <v>135</v>
      </c>
      <c r="D262" s="55">
        <v>3</v>
      </c>
      <c r="E262" s="56">
        <v>1.609442060086E-3</v>
      </c>
    </row>
    <row r="263" spans="1:5" ht="15" customHeight="1">
      <c r="A263" s="47"/>
      <c r="B263" s="96"/>
      <c r="C263" s="54" t="s">
        <v>129</v>
      </c>
      <c r="D263" s="55">
        <v>13</v>
      </c>
      <c r="E263" s="56">
        <v>6.974248927039E-3</v>
      </c>
    </row>
    <row r="264" spans="1:5" ht="15" customHeight="1">
      <c r="A264" s="47"/>
      <c r="B264" s="96"/>
      <c r="C264" s="54" t="s">
        <v>138</v>
      </c>
      <c r="D264" s="55">
        <v>2</v>
      </c>
      <c r="E264" s="56">
        <v>1.0729613733910001E-3</v>
      </c>
    </row>
    <row r="265" spans="1:5" ht="15" customHeight="1">
      <c r="A265" s="47"/>
      <c r="B265" s="96"/>
      <c r="C265" s="54" t="s">
        <v>70</v>
      </c>
      <c r="D265" s="55">
        <v>1</v>
      </c>
      <c r="E265" s="56">
        <v>5.36480686695E-4</v>
      </c>
    </row>
    <row r="266" spans="1:5" ht="15" customHeight="1">
      <c r="A266" s="47"/>
      <c r="B266" s="96"/>
      <c r="C266" s="54" t="s">
        <v>157</v>
      </c>
      <c r="D266" s="55">
        <v>1</v>
      </c>
      <c r="E266" s="56">
        <v>5.36480686695E-4</v>
      </c>
    </row>
    <row r="267" spans="1:5" ht="15" customHeight="1">
      <c r="A267" s="47"/>
      <c r="B267" s="97"/>
      <c r="C267" s="67" t="s">
        <v>233</v>
      </c>
      <c r="D267" s="66">
        <v>92</v>
      </c>
      <c r="E267" s="68">
        <v>4.9356223175966003E-2</v>
      </c>
    </row>
    <row r="268" spans="1:5" ht="15" customHeight="1">
      <c r="A268" s="47"/>
      <c r="B268" s="95" t="s">
        <v>104</v>
      </c>
      <c r="C268" s="54" t="s">
        <v>133</v>
      </c>
      <c r="D268" s="55">
        <v>20</v>
      </c>
      <c r="E268" s="56">
        <v>1.0729613733905999E-2</v>
      </c>
    </row>
    <row r="269" spans="1:5" ht="15" customHeight="1">
      <c r="A269" s="47"/>
      <c r="B269" s="96"/>
      <c r="C269" s="54" t="s">
        <v>151</v>
      </c>
      <c r="D269" s="55">
        <v>6</v>
      </c>
      <c r="E269" s="56">
        <v>3.2188841201719999E-3</v>
      </c>
    </row>
    <row r="270" spans="1:5" ht="15" customHeight="1">
      <c r="A270" s="47"/>
      <c r="B270" s="96"/>
      <c r="C270" s="54" t="s">
        <v>141</v>
      </c>
      <c r="D270" s="55">
        <v>8</v>
      </c>
      <c r="E270" s="56">
        <v>4.2918454935620002E-3</v>
      </c>
    </row>
    <row r="271" spans="1:5" ht="15" customHeight="1">
      <c r="A271" s="47"/>
      <c r="B271" s="96"/>
      <c r="C271" s="54" t="s">
        <v>128</v>
      </c>
      <c r="D271" s="55">
        <v>79</v>
      </c>
      <c r="E271" s="56">
        <v>4.2381974248927E-2</v>
      </c>
    </row>
    <row r="272" spans="1:5" ht="15" customHeight="1">
      <c r="A272" s="47"/>
      <c r="B272" s="96"/>
      <c r="C272" s="54" t="s">
        <v>136</v>
      </c>
      <c r="D272" s="55">
        <v>9</v>
      </c>
      <c r="E272" s="56">
        <v>4.8283261802580003E-3</v>
      </c>
    </row>
    <row r="273" spans="1:5" ht="15" customHeight="1">
      <c r="A273" s="47"/>
      <c r="B273" s="96"/>
      <c r="C273" s="54" t="s">
        <v>166</v>
      </c>
      <c r="D273" s="55">
        <v>1</v>
      </c>
      <c r="E273" s="56">
        <v>5.36480686695E-4</v>
      </c>
    </row>
    <row r="274" spans="1:5" ht="15" customHeight="1">
      <c r="A274" s="47"/>
      <c r="B274" s="96"/>
      <c r="C274" s="54" t="s">
        <v>131</v>
      </c>
      <c r="D274" s="55">
        <v>13</v>
      </c>
      <c r="E274" s="56">
        <v>6.974248927039E-3</v>
      </c>
    </row>
    <row r="275" spans="1:5" ht="15" customHeight="1">
      <c r="A275" s="47"/>
      <c r="B275" s="96"/>
      <c r="C275" s="54" t="s">
        <v>132</v>
      </c>
      <c r="D275" s="55">
        <v>16</v>
      </c>
      <c r="E275" s="56">
        <v>8.5836909871240003E-3</v>
      </c>
    </row>
    <row r="276" spans="1:5" ht="15" customHeight="1">
      <c r="A276" s="47"/>
      <c r="B276" s="96"/>
      <c r="C276" s="54" t="s">
        <v>154</v>
      </c>
      <c r="D276" s="55">
        <v>4</v>
      </c>
      <c r="E276" s="56">
        <v>2.1459227467810001E-3</v>
      </c>
    </row>
    <row r="277" spans="1:5" ht="15" customHeight="1">
      <c r="A277" s="47"/>
      <c r="B277" s="96"/>
      <c r="C277" s="54" t="s">
        <v>143</v>
      </c>
      <c r="D277" s="55">
        <v>10</v>
      </c>
      <c r="E277" s="56">
        <v>5.3648068669529996E-3</v>
      </c>
    </row>
    <row r="278" spans="1:5" ht="15" customHeight="1">
      <c r="A278" s="47"/>
      <c r="B278" s="96"/>
      <c r="C278" s="54" t="s">
        <v>149</v>
      </c>
      <c r="D278" s="55">
        <v>6</v>
      </c>
      <c r="E278" s="56">
        <v>3.2188841201719999E-3</v>
      </c>
    </row>
    <row r="279" spans="1:5" ht="15" customHeight="1">
      <c r="A279" s="47"/>
      <c r="B279" s="96"/>
      <c r="C279" s="54" t="s">
        <v>146</v>
      </c>
      <c r="D279" s="55">
        <v>8</v>
      </c>
      <c r="E279" s="56">
        <v>4.2918454935620002E-3</v>
      </c>
    </row>
    <row r="280" spans="1:5" ht="15" customHeight="1">
      <c r="A280" s="47"/>
      <c r="B280" s="96"/>
      <c r="C280" s="54" t="s">
        <v>139</v>
      </c>
      <c r="D280" s="55">
        <v>14</v>
      </c>
      <c r="E280" s="56">
        <v>7.5107296137340001E-3</v>
      </c>
    </row>
    <row r="281" spans="1:5" ht="15" customHeight="1">
      <c r="A281" s="47"/>
      <c r="B281" s="96"/>
      <c r="C281" s="54" t="s">
        <v>158</v>
      </c>
      <c r="D281" s="55">
        <v>2</v>
      </c>
      <c r="E281" s="56">
        <v>1.0729613733910001E-3</v>
      </c>
    </row>
    <row r="282" spans="1:5" ht="15" customHeight="1">
      <c r="A282" s="47"/>
      <c r="B282" s="96"/>
      <c r="C282" s="54" t="s">
        <v>153</v>
      </c>
      <c r="D282" s="55">
        <v>2</v>
      </c>
      <c r="E282" s="56">
        <v>1.0729613733910001E-3</v>
      </c>
    </row>
    <row r="283" spans="1:5" ht="15" customHeight="1">
      <c r="A283" s="47"/>
      <c r="B283" s="96"/>
      <c r="C283" s="54" t="s">
        <v>150</v>
      </c>
      <c r="D283" s="55">
        <v>7</v>
      </c>
      <c r="E283" s="56">
        <v>3.755364806867E-3</v>
      </c>
    </row>
    <row r="284" spans="1:5" ht="15" customHeight="1">
      <c r="A284" s="47"/>
      <c r="B284" s="96"/>
      <c r="C284" s="54" t="s">
        <v>144</v>
      </c>
      <c r="D284" s="55">
        <v>10</v>
      </c>
      <c r="E284" s="56">
        <v>5.3648068669529996E-3</v>
      </c>
    </row>
    <row r="285" spans="1:5" ht="15" customHeight="1">
      <c r="A285" s="47"/>
      <c r="B285" s="96"/>
      <c r="C285" s="54" t="s">
        <v>148</v>
      </c>
      <c r="D285" s="55">
        <v>3</v>
      </c>
      <c r="E285" s="56">
        <v>1.609442060086E-3</v>
      </c>
    </row>
    <row r="286" spans="1:5" ht="15" customHeight="1">
      <c r="A286" s="47"/>
      <c r="B286" s="96"/>
      <c r="C286" s="54" t="s">
        <v>147</v>
      </c>
      <c r="D286" s="55">
        <v>6</v>
      </c>
      <c r="E286" s="56">
        <v>3.2188841201719999E-3</v>
      </c>
    </row>
    <row r="287" spans="1:5" ht="15" customHeight="1">
      <c r="A287" s="47"/>
      <c r="B287" s="96"/>
      <c r="C287" s="54" t="s">
        <v>130</v>
      </c>
      <c r="D287" s="55">
        <v>19</v>
      </c>
      <c r="E287" s="56">
        <v>1.019313304721E-2</v>
      </c>
    </row>
    <row r="288" spans="1:5" ht="15" customHeight="1">
      <c r="A288" s="47"/>
      <c r="B288" s="96"/>
      <c r="C288" s="54" t="s">
        <v>140</v>
      </c>
      <c r="D288" s="55">
        <v>9</v>
      </c>
      <c r="E288" s="56">
        <v>4.8283261802580003E-3</v>
      </c>
    </row>
    <row r="289" spans="1:5" ht="15" customHeight="1">
      <c r="A289" s="47"/>
      <c r="B289" s="96"/>
      <c r="C289" s="54" t="s">
        <v>155</v>
      </c>
      <c r="D289" s="55">
        <v>2</v>
      </c>
      <c r="E289" s="56">
        <v>1.0729613733910001E-3</v>
      </c>
    </row>
    <row r="290" spans="1:5" ht="15" customHeight="1">
      <c r="A290" s="47"/>
      <c r="B290" s="96"/>
      <c r="C290" s="54" t="s">
        <v>152</v>
      </c>
      <c r="D290" s="55">
        <v>2</v>
      </c>
      <c r="E290" s="56">
        <v>1.0729613733910001E-3</v>
      </c>
    </row>
    <row r="291" spans="1:5" ht="15" customHeight="1">
      <c r="A291" s="47"/>
      <c r="B291" s="96"/>
      <c r="C291" s="54" t="s">
        <v>134</v>
      </c>
      <c r="D291" s="55">
        <v>10</v>
      </c>
      <c r="E291" s="56">
        <v>5.3648068669529996E-3</v>
      </c>
    </row>
    <row r="292" spans="1:5" ht="15" customHeight="1">
      <c r="A292" s="47"/>
      <c r="B292" s="96"/>
      <c r="C292" s="54" t="s">
        <v>142</v>
      </c>
      <c r="D292" s="55">
        <v>13</v>
      </c>
      <c r="E292" s="56">
        <v>6.974248927039E-3</v>
      </c>
    </row>
    <row r="293" spans="1:5" ht="15" customHeight="1">
      <c r="A293" s="47"/>
      <c r="B293" s="96"/>
      <c r="C293" s="54" t="s">
        <v>137</v>
      </c>
      <c r="D293" s="55">
        <v>13</v>
      </c>
      <c r="E293" s="56">
        <v>6.974248927039E-3</v>
      </c>
    </row>
    <row r="294" spans="1:5" ht="15" customHeight="1">
      <c r="A294" s="47"/>
      <c r="B294" s="96"/>
      <c r="C294" s="54" t="s">
        <v>145</v>
      </c>
      <c r="D294" s="55">
        <v>9</v>
      </c>
      <c r="E294" s="56">
        <v>4.8283261802580003E-3</v>
      </c>
    </row>
    <row r="295" spans="1:5" ht="15" customHeight="1">
      <c r="A295" s="47"/>
      <c r="B295" s="96"/>
      <c r="C295" s="54" t="s">
        <v>156</v>
      </c>
      <c r="D295" s="55">
        <v>5</v>
      </c>
      <c r="E295" s="56">
        <v>2.6824034334760002E-3</v>
      </c>
    </row>
    <row r="296" spans="1:5" ht="15" customHeight="1">
      <c r="A296" s="47"/>
      <c r="B296" s="96"/>
      <c r="C296" s="54" t="s">
        <v>135</v>
      </c>
      <c r="D296" s="55">
        <v>5</v>
      </c>
      <c r="E296" s="56">
        <v>2.6824034334760002E-3</v>
      </c>
    </row>
    <row r="297" spans="1:5" ht="15" customHeight="1">
      <c r="A297" s="47"/>
      <c r="B297" s="96"/>
      <c r="C297" s="54" t="s">
        <v>129</v>
      </c>
      <c r="D297" s="55">
        <v>91</v>
      </c>
      <c r="E297" s="56">
        <v>4.8819742489269999E-2</v>
      </c>
    </row>
    <row r="298" spans="1:5" ht="15" customHeight="1">
      <c r="A298" s="47"/>
      <c r="B298" s="96"/>
      <c r="C298" s="54" t="s">
        <v>138</v>
      </c>
      <c r="D298" s="55">
        <v>7</v>
      </c>
      <c r="E298" s="56">
        <v>3.755364806867E-3</v>
      </c>
    </row>
    <row r="299" spans="1:5" ht="15" customHeight="1">
      <c r="A299" s="47"/>
      <c r="B299" s="96"/>
      <c r="C299" s="54" t="s">
        <v>70</v>
      </c>
      <c r="D299" s="55">
        <v>3</v>
      </c>
      <c r="E299" s="56">
        <v>1.609442060086E-3</v>
      </c>
    </row>
    <row r="300" spans="1:5" ht="15" customHeight="1">
      <c r="A300" s="47"/>
      <c r="B300" s="96"/>
      <c r="C300" s="54" t="s">
        <v>165</v>
      </c>
      <c r="D300" s="55">
        <v>1</v>
      </c>
      <c r="E300" s="56">
        <v>5.36480686695E-4</v>
      </c>
    </row>
    <row r="301" spans="1:5" ht="15" customHeight="1">
      <c r="A301" s="47"/>
      <c r="B301" s="96"/>
      <c r="C301" s="54" t="s">
        <v>157</v>
      </c>
      <c r="D301" s="55">
        <v>3</v>
      </c>
      <c r="E301" s="56">
        <v>1.609442060086E-3</v>
      </c>
    </row>
    <row r="302" spans="1:5" ht="15" customHeight="1">
      <c r="A302" s="47"/>
      <c r="B302" s="97"/>
      <c r="C302" s="67" t="s">
        <v>233</v>
      </c>
      <c r="D302" s="66">
        <v>416</v>
      </c>
      <c r="E302" s="68">
        <v>0.22317596566523601</v>
      </c>
    </row>
    <row r="303" spans="1:5" ht="15" customHeight="1">
      <c r="A303" s="47"/>
      <c r="B303" s="95" t="s">
        <v>191</v>
      </c>
      <c r="C303" s="54" t="s">
        <v>128</v>
      </c>
      <c r="D303" s="55">
        <v>1</v>
      </c>
      <c r="E303" s="56">
        <v>5.36480686695E-4</v>
      </c>
    </row>
    <row r="304" spans="1:5" ht="15" customHeight="1">
      <c r="A304" s="47"/>
      <c r="B304" s="96"/>
      <c r="C304" s="54" t="s">
        <v>147</v>
      </c>
      <c r="D304" s="55">
        <v>1</v>
      </c>
      <c r="E304" s="56">
        <v>5.36480686695E-4</v>
      </c>
    </row>
    <row r="305" spans="1:5" ht="15" customHeight="1">
      <c r="A305" s="47"/>
      <c r="B305" s="97"/>
      <c r="C305" s="67" t="s">
        <v>233</v>
      </c>
      <c r="D305" s="66">
        <v>2</v>
      </c>
      <c r="E305" s="68">
        <v>1.0729613733910001E-3</v>
      </c>
    </row>
    <row r="306" spans="1:5" ht="15" customHeight="1">
      <c r="A306" s="47"/>
      <c r="B306" s="95" t="s">
        <v>192</v>
      </c>
      <c r="C306" s="54" t="s">
        <v>128</v>
      </c>
      <c r="D306" s="55">
        <v>1</v>
      </c>
      <c r="E306" s="56">
        <v>5.36480686695E-4</v>
      </c>
    </row>
    <row r="307" spans="1:5" ht="15" customHeight="1">
      <c r="A307" s="47"/>
      <c r="B307" s="96"/>
      <c r="C307" s="54" t="s">
        <v>131</v>
      </c>
      <c r="D307" s="55">
        <v>1</v>
      </c>
      <c r="E307" s="56">
        <v>5.36480686695E-4</v>
      </c>
    </row>
    <row r="308" spans="1:5" ht="15" customHeight="1">
      <c r="A308" s="47"/>
      <c r="B308" s="96"/>
      <c r="C308" s="54" t="s">
        <v>146</v>
      </c>
      <c r="D308" s="55">
        <v>1</v>
      </c>
      <c r="E308" s="56">
        <v>5.36480686695E-4</v>
      </c>
    </row>
    <row r="309" spans="1:5" ht="15" customHeight="1">
      <c r="A309" s="47"/>
      <c r="B309" s="96"/>
      <c r="C309" s="54" t="s">
        <v>144</v>
      </c>
      <c r="D309" s="55">
        <v>1</v>
      </c>
      <c r="E309" s="56">
        <v>5.36480686695E-4</v>
      </c>
    </row>
    <row r="310" spans="1:5" ht="15" customHeight="1">
      <c r="A310" s="47"/>
      <c r="B310" s="96"/>
      <c r="C310" s="54" t="s">
        <v>129</v>
      </c>
      <c r="D310" s="55">
        <v>1</v>
      </c>
      <c r="E310" s="56">
        <v>5.36480686695E-4</v>
      </c>
    </row>
    <row r="311" spans="1:5" ht="15" customHeight="1">
      <c r="A311" s="47"/>
      <c r="B311" s="97"/>
      <c r="C311" s="67" t="s">
        <v>233</v>
      </c>
      <c r="D311" s="66">
        <v>5</v>
      </c>
      <c r="E311" s="68">
        <v>2.6824034334760002E-3</v>
      </c>
    </row>
    <row r="312" spans="1:5" ht="15" customHeight="1">
      <c r="A312" s="47"/>
      <c r="B312" s="95" t="s">
        <v>193</v>
      </c>
      <c r="C312" s="54" t="s">
        <v>128</v>
      </c>
      <c r="D312" s="55">
        <v>1</v>
      </c>
      <c r="E312" s="56">
        <v>5.36480686695E-4</v>
      </c>
    </row>
    <row r="313" spans="1:5" ht="15" customHeight="1">
      <c r="A313" s="47"/>
      <c r="B313" s="97"/>
      <c r="C313" s="67" t="s">
        <v>233</v>
      </c>
      <c r="D313" s="66">
        <v>1</v>
      </c>
      <c r="E313" s="68">
        <v>5.36480686695E-4</v>
      </c>
    </row>
    <row r="314" spans="1:5" ht="15" customHeight="1">
      <c r="A314" s="47"/>
      <c r="B314" s="95" t="s">
        <v>108</v>
      </c>
      <c r="C314" s="54" t="s">
        <v>128</v>
      </c>
      <c r="D314" s="55">
        <v>1</v>
      </c>
      <c r="E314" s="56">
        <v>5.36480686695E-4</v>
      </c>
    </row>
    <row r="315" spans="1:5" ht="15" customHeight="1">
      <c r="A315" s="47"/>
      <c r="B315" s="96"/>
      <c r="C315" s="54" t="s">
        <v>131</v>
      </c>
      <c r="D315" s="55">
        <v>2</v>
      </c>
      <c r="E315" s="56">
        <v>1.0729613733910001E-3</v>
      </c>
    </row>
    <row r="316" spans="1:5" ht="15" customHeight="1">
      <c r="A316" s="47"/>
      <c r="B316" s="96"/>
      <c r="C316" s="54" t="s">
        <v>154</v>
      </c>
      <c r="D316" s="55">
        <v>1</v>
      </c>
      <c r="E316" s="56">
        <v>5.36480686695E-4</v>
      </c>
    </row>
    <row r="317" spans="1:5" ht="15" customHeight="1">
      <c r="A317" s="47"/>
      <c r="B317" s="96"/>
      <c r="C317" s="54" t="s">
        <v>143</v>
      </c>
      <c r="D317" s="55">
        <v>1</v>
      </c>
      <c r="E317" s="56">
        <v>5.36480686695E-4</v>
      </c>
    </row>
    <row r="318" spans="1:5" ht="15" customHeight="1">
      <c r="A318" s="47"/>
      <c r="B318" s="96"/>
      <c r="C318" s="54" t="s">
        <v>139</v>
      </c>
      <c r="D318" s="55">
        <v>1</v>
      </c>
      <c r="E318" s="56">
        <v>5.36480686695E-4</v>
      </c>
    </row>
    <row r="319" spans="1:5" ht="15" customHeight="1">
      <c r="A319" s="47"/>
      <c r="B319" s="96"/>
      <c r="C319" s="54" t="s">
        <v>148</v>
      </c>
      <c r="D319" s="55">
        <v>2</v>
      </c>
      <c r="E319" s="56">
        <v>1.0729613733910001E-3</v>
      </c>
    </row>
    <row r="320" spans="1:5" ht="15" customHeight="1">
      <c r="A320" s="47"/>
      <c r="B320" s="96"/>
      <c r="C320" s="54" t="s">
        <v>130</v>
      </c>
      <c r="D320" s="55">
        <v>2</v>
      </c>
      <c r="E320" s="56">
        <v>1.0729613733910001E-3</v>
      </c>
    </row>
    <row r="321" spans="1:5" ht="15" customHeight="1">
      <c r="A321" s="47"/>
      <c r="B321" s="96"/>
      <c r="C321" s="54" t="s">
        <v>134</v>
      </c>
      <c r="D321" s="55">
        <v>2</v>
      </c>
      <c r="E321" s="56">
        <v>1.0729613733910001E-3</v>
      </c>
    </row>
    <row r="322" spans="1:5" ht="15" customHeight="1">
      <c r="A322" s="47"/>
      <c r="B322" s="96"/>
      <c r="C322" s="54" t="s">
        <v>129</v>
      </c>
      <c r="D322" s="55">
        <v>6</v>
      </c>
      <c r="E322" s="56">
        <v>3.2188841201719999E-3</v>
      </c>
    </row>
    <row r="323" spans="1:5" ht="15" customHeight="1">
      <c r="A323" s="47"/>
      <c r="B323" s="97"/>
      <c r="C323" s="67" t="s">
        <v>233</v>
      </c>
      <c r="D323" s="66">
        <v>18</v>
      </c>
      <c r="E323" s="68">
        <v>9.6566523605149997E-3</v>
      </c>
    </row>
    <row r="324" spans="1:5" ht="15" customHeight="1">
      <c r="A324" s="47"/>
      <c r="B324" s="95" t="s">
        <v>109</v>
      </c>
      <c r="C324" s="54" t="s">
        <v>133</v>
      </c>
      <c r="D324" s="55">
        <v>4</v>
      </c>
      <c r="E324" s="56">
        <v>2.1459227467810001E-3</v>
      </c>
    </row>
    <row r="325" spans="1:5" ht="15" customHeight="1">
      <c r="A325" s="47"/>
      <c r="B325" s="96"/>
      <c r="C325" s="54" t="s">
        <v>151</v>
      </c>
      <c r="D325" s="55">
        <v>1</v>
      </c>
      <c r="E325" s="56">
        <v>5.36480686695E-4</v>
      </c>
    </row>
    <row r="326" spans="1:5" ht="15" customHeight="1">
      <c r="A326" s="47"/>
      <c r="B326" s="96"/>
      <c r="C326" s="54" t="s">
        <v>141</v>
      </c>
      <c r="D326" s="55">
        <v>4</v>
      </c>
      <c r="E326" s="56">
        <v>2.1459227467810001E-3</v>
      </c>
    </row>
    <row r="327" spans="1:5" ht="15" customHeight="1">
      <c r="A327" s="47"/>
      <c r="B327" s="96"/>
      <c r="C327" s="54" t="s">
        <v>128</v>
      </c>
      <c r="D327" s="55">
        <v>17</v>
      </c>
      <c r="E327" s="56">
        <v>9.1201716738199996E-3</v>
      </c>
    </row>
    <row r="328" spans="1:5" ht="15" customHeight="1">
      <c r="A328" s="47"/>
      <c r="B328" s="96"/>
      <c r="C328" s="54" t="s">
        <v>136</v>
      </c>
      <c r="D328" s="55">
        <v>3</v>
      </c>
      <c r="E328" s="56">
        <v>1.609442060086E-3</v>
      </c>
    </row>
    <row r="329" spans="1:5" ht="15" customHeight="1">
      <c r="A329" s="47"/>
      <c r="B329" s="96"/>
      <c r="C329" s="54" t="s">
        <v>131</v>
      </c>
      <c r="D329" s="55">
        <v>2</v>
      </c>
      <c r="E329" s="56">
        <v>1.0729613733910001E-3</v>
      </c>
    </row>
    <row r="330" spans="1:5" ht="15" customHeight="1">
      <c r="A330" s="47"/>
      <c r="B330" s="96"/>
      <c r="C330" s="54" t="s">
        <v>132</v>
      </c>
      <c r="D330" s="55">
        <v>2</v>
      </c>
      <c r="E330" s="56">
        <v>1.0729613733910001E-3</v>
      </c>
    </row>
    <row r="331" spans="1:5" ht="15" customHeight="1">
      <c r="A331" s="47"/>
      <c r="B331" s="96"/>
      <c r="C331" s="54" t="s">
        <v>143</v>
      </c>
      <c r="D331" s="55">
        <v>2</v>
      </c>
      <c r="E331" s="56">
        <v>1.0729613733910001E-3</v>
      </c>
    </row>
    <row r="332" spans="1:5" ht="15" customHeight="1">
      <c r="A332" s="47"/>
      <c r="B332" s="96"/>
      <c r="C332" s="54" t="s">
        <v>149</v>
      </c>
      <c r="D332" s="55">
        <v>1</v>
      </c>
      <c r="E332" s="56">
        <v>5.36480686695E-4</v>
      </c>
    </row>
    <row r="333" spans="1:5" ht="15" customHeight="1">
      <c r="A333" s="47"/>
      <c r="B333" s="96"/>
      <c r="C333" s="54" t="s">
        <v>146</v>
      </c>
      <c r="D333" s="55">
        <v>2</v>
      </c>
      <c r="E333" s="56">
        <v>1.0729613733910001E-3</v>
      </c>
    </row>
    <row r="334" spans="1:5" ht="15" customHeight="1">
      <c r="A334" s="47"/>
      <c r="B334" s="96"/>
      <c r="C334" s="54" t="s">
        <v>158</v>
      </c>
      <c r="D334" s="55">
        <v>1</v>
      </c>
      <c r="E334" s="56">
        <v>5.36480686695E-4</v>
      </c>
    </row>
    <row r="335" spans="1:5" ht="15" customHeight="1">
      <c r="A335" s="47"/>
      <c r="B335" s="96"/>
      <c r="C335" s="54" t="s">
        <v>153</v>
      </c>
      <c r="D335" s="55">
        <v>2</v>
      </c>
      <c r="E335" s="56">
        <v>1.0729613733910001E-3</v>
      </c>
    </row>
    <row r="336" spans="1:5" ht="15" customHeight="1">
      <c r="A336" s="47"/>
      <c r="B336" s="96"/>
      <c r="C336" s="54" t="s">
        <v>148</v>
      </c>
      <c r="D336" s="55">
        <v>1</v>
      </c>
      <c r="E336" s="56">
        <v>5.36480686695E-4</v>
      </c>
    </row>
    <row r="337" spans="1:5" ht="15" customHeight="1">
      <c r="A337" s="47"/>
      <c r="B337" s="96"/>
      <c r="C337" s="54" t="s">
        <v>168</v>
      </c>
      <c r="D337" s="55">
        <v>1</v>
      </c>
      <c r="E337" s="56">
        <v>5.36480686695E-4</v>
      </c>
    </row>
    <row r="338" spans="1:5" ht="15" customHeight="1">
      <c r="A338" s="47"/>
      <c r="B338" s="96"/>
      <c r="C338" s="54" t="s">
        <v>130</v>
      </c>
      <c r="D338" s="55">
        <v>7</v>
      </c>
      <c r="E338" s="56">
        <v>3.755364806867E-3</v>
      </c>
    </row>
    <row r="339" spans="1:5" ht="15" customHeight="1">
      <c r="A339" s="47"/>
      <c r="B339" s="96"/>
      <c r="C339" s="54" t="s">
        <v>155</v>
      </c>
      <c r="D339" s="55">
        <v>1</v>
      </c>
      <c r="E339" s="56">
        <v>5.36480686695E-4</v>
      </c>
    </row>
    <row r="340" spans="1:5" ht="15" customHeight="1">
      <c r="A340" s="47"/>
      <c r="B340" s="96"/>
      <c r="C340" s="54" t="s">
        <v>134</v>
      </c>
      <c r="D340" s="55">
        <v>1</v>
      </c>
      <c r="E340" s="56">
        <v>5.36480686695E-4</v>
      </c>
    </row>
    <row r="341" spans="1:5" ht="15" customHeight="1">
      <c r="A341" s="47"/>
      <c r="B341" s="96"/>
      <c r="C341" s="54" t="s">
        <v>137</v>
      </c>
      <c r="D341" s="55">
        <v>1</v>
      </c>
      <c r="E341" s="56">
        <v>5.36480686695E-4</v>
      </c>
    </row>
    <row r="342" spans="1:5" ht="15" customHeight="1">
      <c r="A342" s="47"/>
      <c r="B342" s="96"/>
      <c r="C342" s="54" t="s">
        <v>135</v>
      </c>
      <c r="D342" s="55">
        <v>1</v>
      </c>
      <c r="E342" s="56">
        <v>5.36480686695E-4</v>
      </c>
    </row>
    <row r="343" spans="1:5" ht="15" customHeight="1">
      <c r="A343" s="47"/>
      <c r="B343" s="96"/>
      <c r="C343" s="54" t="s">
        <v>129</v>
      </c>
      <c r="D343" s="55">
        <v>20</v>
      </c>
      <c r="E343" s="56">
        <v>1.0729613733905999E-2</v>
      </c>
    </row>
    <row r="344" spans="1:5" ht="15" customHeight="1">
      <c r="A344" s="47"/>
      <c r="B344" s="96"/>
      <c r="C344" s="54" t="s">
        <v>159</v>
      </c>
      <c r="D344" s="55">
        <v>1</v>
      </c>
      <c r="E344" s="56">
        <v>5.36480686695E-4</v>
      </c>
    </row>
    <row r="345" spans="1:5" ht="15" customHeight="1">
      <c r="A345" s="47"/>
      <c r="B345" s="96"/>
      <c r="C345" s="54" t="s">
        <v>138</v>
      </c>
      <c r="D345" s="55">
        <v>2</v>
      </c>
      <c r="E345" s="56">
        <v>1.0729613733910001E-3</v>
      </c>
    </row>
    <row r="346" spans="1:5" ht="15" customHeight="1">
      <c r="A346" s="47"/>
      <c r="B346" s="96"/>
      <c r="C346" s="54" t="s">
        <v>70</v>
      </c>
      <c r="D346" s="55">
        <v>1</v>
      </c>
      <c r="E346" s="56">
        <v>5.36480686695E-4</v>
      </c>
    </row>
    <row r="347" spans="1:5" ht="15" customHeight="1">
      <c r="A347" s="47"/>
      <c r="B347" s="97"/>
      <c r="C347" s="67" t="s">
        <v>233</v>
      </c>
      <c r="D347" s="66">
        <v>78</v>
      </c>
      <c r="E347" s="68">
        <v>4.1845493562232002E-2</v>
      </c>
    </row>
    <row r="348" spans="1:5" ht="15" customHeight="1">
      <c r="A348" s="47"/>
      <c r="B348" s="95" t="s">
        <v>122</v>
      </c>
      <c r="C348" s="54" t="s">
        <v>149</v>
      </c>
      <c r="D348" s="55">
        <v>1</v>
      </c>
      <c r="E348" s="56">
        <v>5.36480686695E-4</v>
      </c>
    </row>
    <row r="349" spans="1:5" ht="15" customHeight="1">
      <c r="A349" s="47"/>
      <c r="B349" s="96"/>
      <c r="C349" s="54" t="s">
        <v>135</v>
      </c>
      <c r="D349" s="55">
        <v>1</v>
      </c>
      <c r="E349" s="56">
        <v>5.36480686695E-4</v>
      </c>
    </row>
    <row r="350" spans="1:5" ht="15" customHeight="1">
      <c r="A350" s="47"/>
      <c r="B350" s="96"/>
      <c r="C350" s="54" t="s">
        <v>129</v>
      </c>
      <c r="D350" s="55">
        <v>2</v>
      </c>
      <c r="E350" s="56">
        <v>1.0729613733910001E-3</v>
      </c>
    </row>
    <row r="351" spans="1:5" ht="15" customHeight="1">
      <c r="A351" s="47"/>
      <c r="B351" s="97"/>
      <c r="C351" s="67" t="s">
        <v>233</v>
      </c>
      <c r="D351" s="66">
        <v>4</v>
      </c>
      <c r="E351" s="68">
        <v>2.1459227467810001E-3</v>
      </c>
    </row>
    <row r="352" spans="1:5" ht="15" customHeight="1">
      <c r="A352" s="47"/>
      <c r="B352" s="95" t="s">
        <v>110</v>
      </c>
      <c r="C352" s="54" t="s">
        <v>147</v>
      </c>
      <c r="D352" s="55">
        <v>1</v>
      </c>
      <c r="E352" s="56">
        <v>5.36480686695E-4</v>
      </c>
    </row>
    <row r="353" spans="1:5" ht="15" customHeight="1">
      <c r="A353" s="47"/>
      <c r="B353" s="96"/>
      <c r="C353" s="54" t="s">
        <v>129</v>
      </c>
      <c r="D353" s="55">
        <v>1</v>
      </c>
      <c r="E353" s="56">
        <v>5.36480686695E-4</v>
      </c>
    </row>
    <row r="354" spans="1:5" ht="15" customHeight="1">
      <c r="A354" s="47"/>
      <c r="B354" s="96"/>
      <c r="C354" s="54" t="s">
        <v>169</v>
      </c>
      <c r="D354" s="55">
        <v>1</v>
      </c>
      <c r="E354" s="56">
        <v>5.36480686695E-4</v>
      </c>
    </row>
    <row r="355" spans="1:5" ht="15" customHeight="1">
      <c r="A355" s="47"/>
      <c r="B355" s="97"/>
      <c r="C355" s="67" t="s">
        <v>233</v>
      </c>
      <c r="D355" s="66">
        <v>3</v>
      </c>
      <c r="E355" s="68">
        <v>1.609442060086E-3</v>
      </c>
    </row>
    <row r="356" spans="1:5" ht="15" customHeight="1">
      <c r="A356" s="47"/>
      <c r="B356" s="95" t="s">
        <v>123</v>
      </c>
      <c r="C356" s="54" t="s">
        <v>129</v>
      </c>
      <c r="D356" s="55">
        <v>2</v>
      </c>
      <c r="E356" s="56">
        <v>1.0729613733910001E-3</v>
      </c>
    </row>
    <row r="357" spans="1:5" ht="15" customHeight="1">
      <c r="A357" s="47"/>
      <c r="B357" s="97"/>
      <c r="C357" s="67" t="s">
        <v>233</v>
      </c>
      <c r="D357" s="66">
        <v>2</v>
      </c>
      <c r="E357" s="68">
        <v>1.0729613733910001E-3</v>
      </c>
    </row>
    <row r="358" spans="1:5" ht="15" customHeight="1">
      <c r="A358" s="47"/>
      <c r="B358" s="93" t="s">
        <v>233</v>
      </c>
      <c r="C358" s="94"/>
      <c r="D358" s="58">
        <v>1864</v>
      </c>
      <c r="E358" s="59">
        <v>1</v>
      </c>
    </row>
    <row r="359" spans="1:5" ht="15" customHeight="1">
      <c r="A359" s="47"/>
      <c r="B359" s="47"/>
      <c r="C359" s="47"/>
      <c r="D359" s="47"/>
      <c r="E359" s="47"/>
    </row>
    <row r="360" spans="1:5" ht="15" customHeight="1">
      <c r="A360" s="35" t="s">
        <v>120</v>
      </c>
      <c r="B360" s="33"/>
      <c r="C360" s="47"/>
      <c r="D360" s="34"/>
      <c r="E360" s="47"/>
    </row>
    <row r="361" spans="1:5" ht="15" customHeight="1">
      <c r="A361" s="36" t="s">
        <v>17</v>
      </c>
      <c r="B361" s="33"/>
      <c r="C361" s="47"/>
      <c r="D361" s="34"/>
      <c r="E361" s="47"/>
    </row>
    <row r="362" spans="1:5" ht="15" customHeight="1">
      <c r="A362" s="37" t="s">
        <v>117</v>
      </c>
      <c r="B362" s="33"/>
      <c r="C362" s="47"/>
      <c r="D362" s="34"/>
      <c r="E362" s="47"/>
    </row>
    <row r="363" spans="1:5" ht="15" customHeight="1">
      <c r="A363" s="35" t="s">
        <v>16</v>
      </c>
      <c r="B363" s="33"/>
      <c r="C363" s="47"/>
      <c r="D363" s="34"/>
      <c r="E363" s="47"/>
    </row>
    <row r="364" spans="1:5" ht="15" customHeight="1">
      <c r="A364" s="35" t="s">
        <v>234</v>
      </c>
      <c r="B364" s="33"/>
      <c r="C364" s="47"/>
      <c r="D364" s="34"/>
      <c r="E364" s="47"/>
    </row>
  </sheetData>
  <mergeCells count="26">
    <mergeCell ref="B7:E8"/>
    <mergeCell ref="B10:B23"/>
    <mergeCell ref="B24:B25"/>
    <mergeCell ref="B26:B32"/>
    <mergeCell ref="B33:B37"/>
    <mergeCell ref="B38:B54"/>
    <mergeCell ref="B55:B65"/>
    <mergeCell ref="B66:B73"/>
    <mergeCell ref="B74:B96"/>
    <mergeCell ref="B97:B131"/>
    <mergeCell ref="B132:B146"/>
    <mergeCell ref="B147:B166"/>
    <mergeCell ref="B167:B193"/>
    <mergeCell ref="B194:B233"/>
    <mergeCell ref="B234:B241"/>
    <mergeCell ref="B242:B267"/>
    <mergeCell ref="B268:B302"/>
    <mergeCell ref="B303:B305"/>
    <mergeCell ref="B306:B311"/>
    <mergeCell ref="B312:B313"/>
    <mergeCell ref="B358:C358"/>
    <mergeCell ref="B314:B323"/>
    <mergeCell ref="B324:B347"/>
    <mergeCell ref="B348:B351"/>
    <mergeCell ref="B352:B355"/>
    <mergeCell ref="B356:B35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rowBreaks count="3" manualBreakCount="3">
    <brk id="54" max="4" man="1"/>
    <brk id="94" max="4" man="1"/>
    <brk id="142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467"/>
  <sheetViews>
    <sheetView showGridLines="0" view="pageBreakPreview" topLeftCell="A445" zoomScale="115" zoomScaleNormal="100" zoomScaleSheetLayoutView="115" workbookViewId="0">
      <selection activeCell="D460" sqref="D460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8.710937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2"/>
      <c r="C6" s="43"/>
      <c r="D6" s="43"/>
      <c r="E6" s="43"/>
    </row>
    <row r="7" spans="1:5" s="22" customFormat="1" ht="26.25" customHeight="1">
      <c r="A7" s="23"/>
      <c r="B7" s="98"/>
      <c r="C7" s="98"/>
      <c r="D7" s="98"/>
      <c r="E7" s="98"/>
    </row>
    <row r="8" spans="1:5" s="22" customFormat="1" ht="33" customHeight="1">
      <c r="A8" s="23"/>
      <c r="B8" s="98"/>
      <c r="C8" s="98"/>
      <c r="D8" s="98"/>
      <c r="E8" s="98"/>
    </row>
    <row r="9" spans="1:5" s="15" customFormat="1" ht="40.5" customHeight="1">
      <c r="B9" s="71" t="s">
        <v>21</v>
      </c>
      <c r="C9" s="72" t="s">
        <v>26</v>
      </c>
      <c r="D9" s="73" t="s">
        <v>19</v>
      </c>
      <c r="E9" s="71" t="s">
        <v>18</v>
      </c>
    </row>
    <row r="10" spans="1:5" ht="15" customHeight="1">
      <c r="B10" s="101" t="s">
        <v>86</v>
      </c>
      <c r="C10" s="74" t="s">
        <v>90</v>
      </c>
      <c r="D10" s="75">
        <v>1</v>
      </c>
      <c r="E10" s="76">
        <v>5.36480686695E-4</v>
      </c>
    </row>
    <row r="11" spans="1:5" ht="15" customHeight="1">
      <c r="B11" s="101"/>
      <c r="C11" s="74" t="s">
        <v>94</v>
      </c>
      <c r="D11" s="75">
        <v>1</v>
      </c>
      <c r="E11" s="76">
        <v>5.36480686695E-4</v>
      </c>
    </row>
    <row r="12" spans="1:5" ht="15" customHeight="1">
      <c r="B12" s="101"/>
      <c r="C12" s="74" t="s">
        <v>97</v>
      </c>
      <c r="D12" s="75">
        <v>1</v>
      </c>
      <c r="E12" s="76">
        <v>5.36480686695E-4</v>
      </c>
    </row>
    <row r="13" spans="1:5" ht="15" customHeight="1">
      <c r="B13" s="101"/>
      <c r="C13" s="74" t="s">
        <v>101</v>
      </c>
      <c r="D13" s="75">
        <v>6</v>
      </c>
      <c r="E13" s="76">
        <v>3.2188841201719999E-3</v>
      </c>
    </row>
    <row r="14" spans="1:5" ht="15" customHeight="1">
      <c r="B14" s="101"/>
      <c r="C14" s="74" t="s">
        <v>103</v>
      </c>
      <c r="D14" s="75">
        <v>2</v>
      </c>
      <c r="E14" s="76">
        <v>1.0729613733910001E-3</v>
      </c>
    </row>
    <row r="15" spans="1:5" ht="15" customHeight="1">
      <c r="B15" s="101"/>
      <c r="C15" s="77" t="s">
        <v>233</v>
      </c>
      <c r="D15" s="78">
        <v>11</v>
      </c>
      <c r="E15" s="79">
        <v>5.9012875536479997E-3</v>
      </c>
    </row>
    <row r="16" spans="1:5" ht="15" customHeight="1">
      <c r="B16" s="101" t="s">
        <v>46</v>
      </c>
      <c r="C16" s="74" t="s">
        <v>92</v>
      </c>
      <c r="D16" s="75">
        <v>2</v>
      </c>
      <c r="E16" s="76">
        <v>1.0729613733910001E-3</v>
      </c>
    </row>
    <row r="17" spans="2:5" ht="15" customHeight="1">
      <c r="B17" s="101"/>
      <c r="C17" s="74" t="s">
        <v>93</v>
      </c>
      <c r="D17" s="75">
        <v>1</v>
      </c>
      <c r="E17" s="76">
        <v>5.36480686695E-4</v>
      </c>
    </row>
    <row r="18" spans="2:5" ht="15" customHeight="1">
      <c r="B18" s="101"/>
      <c r="C18" s="74" t="s">
        <v>94</v>
      </c>
      <c r="D18" s="75">
        <v>1</v>
      </c>
      <c r="E18" s="76">
        <v>5.36480686695E-4</v>
      </c>
    </row>
    <row r="19" spans="2:5" ht="15" customHeight="1">
      <c r="B19" s="101"/>
      <c r="C19" s="74" t="s">
        <v>95</v>
      </c>
      <c r="D19" s="75">
        <v>1</v>
      </c>
      <c r="E19" s="76">
        <v>5.36480686695E-4</v>
      </c>
    </row>
    <row r="20" spans="2:5" ht="15" customHeight="1">
      <c r="B20" s="101"/>
      <c r="C20" s="74" t="s">
        <v>96</v>
      </c>
      <c r="D20" s="75">
        <v>8</v>
      </c>
      <c r="E20" s="76">
        <v>4.2918454935620002E-3</v>
      </c>
    </row>
    <row r="21" spans="2:5" ht="15" customHeight="1">
      <c r="B21" s="101"/>
      <c r="C21" s="74" t="s">
        <v>97</v>
      </c>
      <c r="D21" s="75">
        <v>11</v>
      </c>
      <c r="E21" s="76">
        <v>5.9012875536479997E-3</v>
      </c>
    </row>
    <row r="22" spans="2:5" ht="15" customHeight="1">
      <c r="B22" s="101"/>
      <c r="C22" s="74" t="s">
        <v>98</v>
      </c>
      <c r="D22" s="75">
        <v>4</v>
      </c>
      <c r="E22" s="76">
        <v>2.1459227467810001E-3</v>
      </c>
    </row>
    <row r="23" spans="2:5" ht="15" customHeight="1">
      <c r="B23" s="101"/>
      <c r="C23" s="74" t="s">
        <v>99</v>
      </c>
      <c r="D23" s="75">
        <v>3</v>
      </c>
      <c r="E23" s="76">
        <v>1.609442060086E-3</v>
      </c>
    </row>
    <row r="24" spans="2:5" ht="15" customHeight="1">
      <c r="B24" s="101"/>
      <c r="C24" s="74" t="s">
        <v>100</v>
      </c>
      <c r="D24" s="75">
        <v>7</v>
      </c>
      <c r="E24" s="76">
        <v>3.755364806867E-3</v>
      </c>
    </row>
    <row r="25" spans="2:5" ht="15" customHeight="1">
      <c r="B25" s="101"/>
      <c r="C25" s="74" t="s">
        <v>101</v>
      </c>
      <c r="D25" s="75">
        <v>44</v>
      </c>
      <c r="E25" s="76">
        <v>2.3605150214591999E-2</v>
      </c>
    </row>
    <row r="26" spans="2:5" ht="15" customHeight="1">
      <c r="B26" s="101"/>
      <c r="C26" s="74" t="s">
        <v>102</v>
      </c>
      <c r="D26" s="75">
        <v>2</v>
      </c>
      <c r="E26" s="76">
        <v>1.0729613733910001E-3</v>
      </c>
    </row>
    <row r="27" spans="2:5" ht="15" customHeight="1">
      <c r="B27" s="101"/>
      <c r="C27" s="74" t="s">
        <v>103</v>
      </c>
      <c r="D27" s="75">
        <v>5</v>
      </c>
      <c r="E27" s="76">
        <v>2.6824034334760002E-3</v>
      </c>
    </row>
    <row r="28" spans="2:5" ht="15" customHeight="1">
      <c r="B28" s="101"/>
      <c r="C28" s="74" t="s">
        <v>104</v>
      </c>
      <c r="D28" s="75">
        <v>26</v>
      </c>
      <c r="E28" s="76">
        <v>1.3948497854077001E-2</v>
      </c>
    </row>
    <row r="29" spans="2:5" ht="15" customHeight="1">
      <c r="B29" s="101"/>
      <c r="C29" s="74" t="s">
        <v>109</v>
      </c>
      <c r="D29" s="75">
        <v>5</v>
      </c>
      <c r="E29" s="76">
        <v>2.6824034334760002E-3</v>
      </c>
    </row>
    <row r="30" spans="2:5" ht="15" customHeight="1">
      <c r="B30" s="101"/>
      <c r="C30" s="77" t="s">
        <v>233</v>
      </c>
      <c r="D30" s="78">
        <v>120</v>
      </c>
      <c r="E30" s="79">
        <v>6.4377682403433001E-2</v>
      </c>
    </row>
    <row r="31" spans="2:5" ht="15" customHeight="1">
      <c r="B31" s="101" t="s">
        <v>55</v>
      </c>
      <c r="C31" s="74" t="s">
        <v>91</v>
      </c>
      <c r="D31" s="75">
        <v>3</v>
      </c>
      <c r="E31" s="76">
        <v>1.609442060086E-3</v>
      </c>
    </row>
    <row r="32" spans="2:5" ht="15" customHeight="1">
      <c r="B32" s="101"/>
      <c r="C32" s="74" t="s">
        <v>96</v>
      </c>
      <c r="D32" s="75">
        <v>1</v>
      </c>
      <c r="E32" s="76">
        <v>5.36480686695E-4</v>
      </c>
    </row>
    <row r="33" spans="2:5" ht="15" customHeight="1">
      <c r="B33" s="101"/>
      <c r="C33" s="74" t="s">
        <v>97</v>
      </c>
      <c r="D33" s="75">
        <v>10</v>
      </c>
      <c r="E33" s="76">
        <v>5.3648068669529996E-3</v>
      </c>
    </row>
    <row r="34" spans="2:5" ht="15" customHeight="1">
      <c r="B34" s="101"/>
      <c r="C34" s="74" t="s">
        <v>99</v>
      </c>
      <c r="D34" s="75">
        <v>2</v>
      </c>
      <c r="E34" s="76">
        <v>1.0729613733910001E-3</v>
      </c>
    </row>
    <row r="35" spans="2:5" ht="15" customHeight="1">
      <c r="B35" s="101"/>
      <c r="C35" s="74" t="s">
        <v>100</v>
      </c>
      <c r="D35" s="75">
        <v>2</v>
      </c>
      <c r="E35" s="76">
        <v>1.0729613733910001E-3</v>
      </c>
    </row>
    <row r="36" spans="2:5" ht="15" customHeight="1">
      <c r="B36" s="101"/>
      <c r="C36" s="74" t="s">
        <v>101</v>
      </c>
      <c r="D36" s="75">
        <v>16</v>
      </c>
      <c r="E36" s="76">
        <v>8.5836909871240003E-3</v>
      </c>
    </row>
    <row r="37" spans="2:5" ht="15" customHeight="1">
      <c r="B37" s="101"/>
      <c r="C37" s="74" t="s">
        <v>103</v>
      </c>
      <c r="D37" s="75">
        <v>1</v>
      </c>
      <c r="E37" s="76">
        <v>5.36480686695E-4</v>
      </c>
    </row>
    <row r="38" spans="2:5" ht="15" customHeight="1">
      <c r="B38" s="101"/>
      <c r="C38" s="74" t="s">
        <v>104</v>
      </c>
      <c r="D38" s="75">
        <v>20</v>
      </c>
      <c r="E38" s="76">
        <v>1.0729613733905999E-2</v>
      </c>
    </row>
    <row r="39" spans="2:5" ht="15" customHeight="1">
      <c r="B39" s="101"/>
      <c r="C39" s="74" t="s">
        <v>108</v>
      </c>
      <c r="D39" s="75">
        <v>2</v>
      </c>
      <c r="E39" s="76">
        <v>1.0729613733910001E-3</v>
      </c>
    </row>
    <row r="40" spans="2:5" ht="15" customHeight="1">
      <c r="B40" s="101"/>
      <c r="C40" s="74" t="s">
        <v>109</v>
      </c>
      <c r="D40" s="75">
        <v>3</v>
      </c>
      <c r="E40" s="76">
        <v>1.609442060086E-3</v>
      </c>
    </row>
    <row r="41" spans="2:5" ht="15" customHeight="1">
      <c r="B41" s="101"/>
      <c r="C41" s="74" t="s">
        <v>110</v>
      </c>
      <c r="D41" s="75">
        <v>1</v>
      </c>
      <c r="E41" s="76">
        <v>5.36480686695E-4</v>
      </c>
    </row>
    <row r="42" spans="2:5" ht="15" customHeight="1">
      <c r="B42" s="101"/>
      <c r="C42" s="77" t="s">
        <v>233</v>
      </c>
      <c r="D42" s="78">
        <v>61</v>
      </c>
      <c r="E42" s="79">
        <v>3.2725321888411998E-2</v>
      </c>
    </row>
    <row r="43" spans="2:5" ht="15" customHeight="1">
      <c r="B43" s="101" t="s">
        <v>81</v>
      </c>
      <c r="C43" s="74" t="s">
        <v>93</v>
      </c>
      <c r="D43" s="75">
        <v>1</v>
      </c>
      <c r="E43" s="76">
        <v>5.36480686695E-4</v>
      </c>
    </row>
    <row r="44" spans="2:5" ht="15" customHeight="1">
      <c r="B44" s="101"/>
      <c r="C44" s="74" t="s">
        <v>96</v>
      </c>
      <c r="D44" s="75">
        <v>2</v>
      </c>
      <c r="E44" s="76">
        <v>1.0729613733910001E-3</v>
      </c>
    </row>
    <row r="45" spans="2:5" ht="15" customHeight="1">
      <c r="B45" s="101"/>
      <c r="C45" s="74" t="s">
        <v>100</v>
      </c>
      <c r="D45" s="75">
        <v>1</v>
      </c>
      <c r="E45" s="76">
        <v>5.36480686695E-4</v>
      </c>
    </row>
    <row r="46" spans="2:5" ht="15" customHeight="1">
      <c r="B46" s="101"/>
      <c r="C46" s="74" t="s">
        <v>101</v>
      </c>
      <c r="D46" s="75">
        <v>5</v>
      </c>
      <c r="E46" s="76">
        <v>2.6824034334760002E-3</v>
      </c>
    </row>
    <row r="47" spans="2:5" ht="15" customHeight="1">
      <c r="B47" s="101"/>
      <c r="C47" s="74" t="s">
        <v>103</v>
      </c>
      <c r="D47" s="75">
        <v>1</v>
      </c>
      <c r="E47" s="76">
        <v>5.36480686695E-4</v>
      </c>
    </row>
    <row r="48" spans="2:5" ht="15" customHeight="1">
      <c r="B48" s="101"/>
      <c r="C48" s="74" t="s">
        <v>104</v>
      </c>
      <c r="D48" s="75">
        <v>4</v>
      </c>
      <c r="E48" s="76">
        <v>2.1459227467810001E-3</v>
      </c>
    </row>
    <row r="49" spans="2:5" ht="15" customHeight="1">
      <c r="B49" s="101"/>
      <c r="C49" s="74" t="s">
        <v>108</v>
      </c>
      <c r="D49" s="75">
        <v>1</v>
      </c>
      <c r="E49" s="76">
        <v>5.36480686695E-4</v>
      </c>
    </row>
    <row r="50" spans="2:5" ht="15" customHeight="1">
      <c r="B50" s="101"/>
      <c r="C50" s="74" t="s">
        <v>109</v>
      </c>
      <c r="D50" s="75">
        <v>1</v>
      </c>
      <c r="E50" s="76">
        <v>5.36480686695E-4</v>
      </c>
    </row>
    <row r="51" spans="2:5" ht="15" customHeight="1">
      <c r="B51" s="101"/>
      <c r="C51" s="77" t="s">
        <v>233</v>
      </c>
      <c r="D51" s="78">
        <v>16</v>
      </c>
      <c r="E51" s="79">
        <v>8.5836909871240003E-3</v>
      </c>
    </row>
    <row r="52" spans="2:5" ht="15" customHeight="1">
      <c r="B52" s="101" t="s">
        <v>84</v>
      </c>
      <c r="C52" s="74" t="s">
        <v>101</v>
      </c>
      <c r="D52" s="75">
        <v>1</v>
      </c>
      <c r="E52" s="76">
        <v>5.36480686695E-4</v>
      </c>
    </row>
    <row r="53" spans="2:5" ht="15" customHeight="1">
      <c r="B53" s="101"/>
      <c r="C53" s="74" t="s">
        <v>110</v>
      </c>
      <c r="D53" s="75">
        <v>1</v>
      </c>
      <c r="E53" s="76">
        <v>5.36480686695E-4</v>
      </c>
    </row>
    <row r="54" spans="2:5" ht="15" customHeight="1">
      <c r="B54" s="101"/>
      <c r="C54" s="77" t="s">
        <v>233</v>
      </c>
      <c r="D54" s="78">
        <v>2</v>
      </c>
      <c r="E54" s="79">
        <v>1.0729613733910001E-3</v>
      </c>
    </row>
    <row r="55" spans="2:5" ht="15" customHeight="1">
      <c r="B55" s="101" t="s">
        <v>78</v>
      </c>
      <c r="C55" s="74" t="s">
        <v>94</v>
      </c>
      <c r="D55" s="75">
        <v>1</v>
      </c>
      <c r="E55" s="76">
        <v>5.36480686695E-4</v>
      </c>
    </row>
    <row r="56" spans="2:5" ht="15" customHeight="1">
      <c r="B56" s="101"/>
      <c r="C56" s="74" t="s">
        <v>96</v>
      </c>
      <c r="D56" s="75">
        <v>1</v>
      </c>
      <c r="E56" s="76">
        <v>5.36480686695E-4</v>
      </c>
    </row>
    <row r="57" spans="2:5" ht="15" customHeight="1">
      <c r="B57" s="101"/>
      <c r="C57" s="74" t="s">
        <v>97</v>
      </c>
      <c r="D57" s="75">
        <v>3</v>
      </c>
      <c r="E57" s="76">
        <v>1.609442060086E-3</v>
      </c>
    </row>
    <row r="58" spans="2:5" ht="15" customHeight="1">
      <c r="B58" s="101"/>
      <c r="C58" s="74" t="s">
        <v>101</v>
      </c>
      <c r="D58" s="75">
        <v>2</v>
      </c>
      <c r="E58" s="76">
        <v>1.0729613733910001E-3</v>
      </c>
    </row>
    <row r="59" spans="2:5" ht="15" customHeight="1">
      <c r="B59" s="101"/>
      <c r="C59" s="74" t="s">
        <v>104</v>
      </c>
      <c r="D59" s="75">
        <v>3</v>
      </c>
      <c r="E59" s="76">
        <v>1.609442060086E-3</v>
      </c>
    </row>
    <row r="60" spans="2:5" ht="15" customHeight="1">
      <c r="B60" s="101"/>
      <c r="C60" s="74" t="s">
        <v>109</v>
      </c>
      <c r="D60" s="75">
        <v>1</v>
      </c>
      <c r="E60" s="76">
        <v>5.36480686695E-4</v>
      </c>
    </row>
    <row r="61" spans="2:5" ht="15" customHeight="1">
      <c r="B61" s="101"/>
      <c r="C61" s="77" t="s">
        <v>233</v>
      </c>
      <c r="D61" s="78">
        <v>11</v>
      </c>
      <c r="E61" s="79">
        <v>5.9012875536479997E-3</v>
      </c>
    </row>
    <row r="62" spans="2:5" ht="15" customHeight="1">
      <c r="B62" s="101" t="s">
        <v>51</v>
      </c>
      <c r="C62" s="74" t="s">
        <v>90</v>
      </c>
      <c r="D62" s="75">
        <v>1</v>
      </c>
      <c r="E62" s="76">
        <v>5.36480686695E-4</v>
      </c>
    </row>
    <row r="63" spans="2:5" ht="15" customHeight="1">
      <c r="B63" s="101"/>
      <c r="C63" s="74" t="s">
        <v>96</v>
      </c>
      <c r="D63" s="75">
        <v>2</v>
      </c>
      <c r="E63" s="76">
        <v>1.0729613733910001E-3</v>
      </c>
    </row>
    <row r="64" spans="2:5" ht="15" customHeight="1">
      <c r="B64" s="101"/>
      <c r="C64" s="74" t="s">
        <v>97</v>
      </c>
      <c r="D64" s="75">
        <v>4</v>
      </c>
      <c r="E64" s="76">
        <v>2.1459227467810001E-3</v>
      </c>
    </row>
    <row r="65" spans="2:5" ht="15" customHeight="1">
      <c r="B65" s="101"/>
      <c r="C65" s="74" t="s">
        <v>98</v>
      </c>
      <c r="D65" s="75">
        <v>1</v>
      </c>
      <c r="E65" s="76">
        <v>5.36480686695E-4</v>
      </c>
    </row>
    <row r="66" spans="2:5" ht="15" customHeight="1">
      <c r="B66" s="101"/>
      <c r="C66" s="74" t="s">
        <v>101</v>
      </c>
      <c r="D66" s="75">
        <v>24</v>
      </c>
      <c r="E66" s="76">
        <v>1.2875536480687001E-2</v>
      </c>
    </row>
    <row r="67" spans="2:5" ht="15" customHeight="1">
      <c r="B67" s="101"/>
      <c r="C67" s="74" t="s">
        <v>103</v>
      </c>
      <c r="D67" s="75">
        <v>3</v>
      </c>
      <c r="E67" s="76">
        <v>1.609442060086E-3</v>
      </c>
    </row>
    <row r="68" spans="2:5" ht="15" customHeight="1">
      <c r="B68" s="101"/>
      <c r="C68" s="74" t="s">
        <v>104</v>
      </c>
      <c r="D68" s="75">
        <v>14</v>
      </c>
      <c r="E68" s="76">
        <v>7.5107296137340001E-3</v>
      </c>
    </row>
    <row r="69" spans="2:5" ht="15" customHeight="1">
      <c r="B69" s="101"/>
      <c r="C69" s="74" t="s">
        <v>108</v>
      </c>
      <c r="D69" s="75">
        <v>1</v>
      </c>
      <c r="E69" s="76">
        <v>5.36480686695E-4</v>
      </c>
    </row>
    <row r="70" spans="2:5" ht="15" customHeight="1">
      <c r="B70" s="101"/>
      <c r="C70" s="74" t="s">
        <v>109</v>
      </c>
      <c r="D70" s="75">
        <v>2</v>
      </c>
      <c r="E70" s="76">
        <v>1.0729613733910001E-3</v>
      </c>
    </row>
    <row r="71" spans="2:5" ht="15" customHeight="1">
      <c r="B71" s="101"/>
      <c r="C71" s="74" t="s">
        <v>122</v>
      </c>
      <c r="D71" s="75">
        <v>1</v>
      </c>
      <c r="E71" s="76">
        <v>5.36480686695E-4</v>
      </c>
    </row>
    <row r="72" spans="2:5" ht="15" customHeight="1">
      <c r="B72" s="101"/>
      <c r="C72" s="77" t="s">
        <v>233</v>
      </c>
      <c r="D72" s="78">
        <v>53</v>
      </c>
      <c r="E72" s="79">
        <v>2.8433476394849999E-2</v>
      </c>
    </row>
    <row r="73" spans="2:5" ht="15" customHeight="1">
      <c r="B73" s="101" t="s">
        <v>49</v>
      </c>
      <c r="C73" s="74" t="s">
        <v>90</v>
      </c>
      <c r="D73" s="75">
        <v>1</v>
      </c>
      <c r="E73" s="76">
        <v>5.36480686695E-4</v>
      </c>
    </row>
    <row r="74" spans="2:5" ht="15" customHeight="1">
      <c r="B74" s="101"/>
      <c r="C74" s="74" t="s">
        <v>92</v>
      </c>
      <c r="D74" s="75">
        <v>1</v>
      </c>
      <c r="E74" s="76">
        <v>5.36480686695E-4</v>
      </c>
    </row>
    <row r="75" spans="2:5" ht="15" customHeight="1">
      <c r="B75" s="101"/>
      <c r="C75" s="74" t="s">
        <v>96</v>
      </c>
      <c r="D75" s="75">
        <v>5</v>
      </c>
      <c r="E75" s="76">
        <v>2.6824034334760002E-3</v>
      </c>
    </row>
    <row r="76" spans="2:5" ht="15" customHeight="1">
      <c r="B76" s="101"/>
      <c r="C76" s="74" t="s">
        <v>97</v>
      </c>
      <c r="D76" s="75">
        <v>7</v>
      </c>
      <c r="E76" s="76">
        <v>3.755364806867E-3</v>
      </c>
    </row>
    <row r="77" spans="2:5" ht="15" customHeight="1">
      <c r="B77" s="101"/>
      <c r="C77" s="74" t="s">
        <v>99</v>
      </c>
      <c r="D77" s="75">
        <v>1</v>
      </c>
      <c r="E77" s="76">
        <v>5.36480686695E-4</v>
      </c>
    </row>
    <row r="78" spans="2:5" ht="15" customHeight="1">
      <c r="B78" s="101"/>
      <c r="C78" s="74" t="s">
        <v>100</v>
      </c>
      <c r="D78" s="75">
        <v>4</v>
      </c>
      <c r="E78" s="76">
        <v>2.1459227467810001E-3</v>
      </c>
    </row>
    <row r="79" spans="2:5" ht="15" customHeight="1">
      <c r="B79" s="101"/>
      <c r="C79" s="74" t="s">
        <v>101</v>
      </c>
      <c r="D79" s="75">
        <v>30</v>
      </c>
      <c r="E79" s="76">
        <v>1.6094420600858E-2</v>
      </c>
    </row>
    <row r="80" spans="2:5" ht="15" customHeight="1">
      <c r="B80" s="101"/>
      <c r="C80" s="74" t="s">
        <v>102</v>
      </c>
      <c r="D80" s="75">
        <v>1</v>
      </c>
      <c r="E80" s="76">
        <v>5.36480686695E-4</v>
      </c>
    </row>
    <row r="81" spans="2:5" ht="15" customHeight="1">
      <c r="B81" s="101"/>
      <c r="C81" s="74" t="s">
        <v>103</v>
      </c>
      <c r="D81" s="75">
        <v>5</v>
      </c>
      <c r="E81" s="76">
        <v>2.6824034334760002E-3</v>
      </c>
    </row>
    <row r="82" spans="2:5" ht="15" customHeight="1">
      <c r="B82" s="101"/>
      <c r="C82" s="74" t="s">
        <v>104</v>
      </c>
      <c r="D82" s="75">
        <v>23</v>
      </c>
      <c r="E82" s="76">
        <v>1.2339055793990999E-2</v>
      </c>
    </row>
    <row r="83" spans="2:5" ht="15" customHeight="1">
      <c r="B83" s="101"/>
      <c r="C83" s="74" t="s">
        <v>106</v>
      </c>
      <c r="D83" s="75">
        <v>1</v>
      </c>
      <c r="E83" s="76">
        <v>5.36480686695E-4</v>
      </c>
    </row>
    <row r="84" spans="2:5" ht="15" customHeight="1">
      <c r="B84" s="101"/>
      <c r="C84" s="74" t="s">
        <v>108</v>
      </c>
      <c r="D84" s="75">
        <v>3</v>
      </c>
      <c r="E84" s="76">
        <v>1.609442060086E-3</v>
      </c>
    </row>
    <row r="85" spans="2:5" ht="15" customHeight="1">
      <c r="B85" s="101"/>
      <c r="C85" s="74" t="s">
        <v>109</v>
      </c>
      <c r="D85" s="75">
        <v>4</v>
      </c>
      <c r="E85" s="76">
        <v>2.1459227467810001E-3</v>
      </c>
    </row>
    <row r="86" spans="2:5" ht="15" customHeight="1">
      <c r="B86" s="101"/>
      <c r="C86" s="74" t="s">
        <v>123</v>
      </c>
      <c r="D86" s="75">
        <v>2</v>
      </c>
      <c r="E86" s="76">
        <v>1.0729613733910001E-3</v>
      </c>
    </row>
    <row r="87" spans="2:5" ht="15" customHeight="1">
      <c r="B87" s="101"/>
      <c r="C87" s="77" t="s">
        <v>233</v>
      </c>
      <c r="D87" s="78">
        <v>88</v>
      </c>
      <c r="E87" s="79">
        <v>4.7210300429184997E-2</v>
      </c>
    </row>
    <row r="88" spans="2:5" ht="15" customHeight="1">
      <c r="B88" s="101" t="s">
        <v>126</v>
      </c>
      <c r="C88" s="74" t="s">
        <v>97</v>
      </c>
      <c r="D88" s="75">
        <v>1</v>
      </c>
      <c r="E88" s="76">
        <v>5.36480686695E-4</v>
      </c>
    </row>
    <row r="89" spans="2:5" ht="15" customHeight="1">
      <c r="B89" s="101"/>
      <c r="C89" s="74" t="s">
        <v>101</v>
      </c>
      <c r="D89" s="75">
        <v>1</v>
      </c>
      <c r="E89" s="76">
        <v>5.36480686695E-4</v>
      </c>
    </row>
    <row r="90" spans="2:5" ht="15" customHeight="1">
      <c r="B90" s="101"/>
      <c r="C90" s="77" t="s">
        <v>233</v>
      </c>
      <c r="D90" s="78">
        <v>2</v>
      </c>
      <c r="E90" s="79">
        <v>1.0729613733910001E-3</v>
      </c>
    </row>
    <row r="91" spans="2:5" ht="15" customHeight="1">
      <c r="B91" s="101" t="s">
        <v>61</v>
      </c>
      <c r="C91" s="74" t="s">
        <v>90</v>
      </c>
      <c r="D91" s="75">
        <v>1</v>
      </c>
      <c r="E91" s="76">
        <v>5.36480686695E-4</v>
      </c>
    </row>
    <row r="92" spans="2:5" ht="15" customHeight="1">
      <c r="B92" s="101"/>
      <c r="C92" s="74" t="s">
        <v>96</v>
      </c>
      <c r="D92" s="75">
        <v>2</v>
      </c>
      <c r="E92" s="76">
        <v>1.0729613733910001E-3</v>
      </c>
    </row>
    <row r="93" spans="2:5" ht="15" customHeight="1">
      <c r="B93" s="101"/>
      <c r="C93" s="74" t="s">
        <v>97</v>
      </c>
      <c r="D93" s="75">
        <v>8</v>
      </c>
      <c r="E93" s="76">
        <v>4.2918454935620002E-3</v>
      </c>
    </row>
    <row r="94" spans="2:5" ht="15" customHeight="1">
      <c r="B94" s="101"/>
      <c r="C94" s="74" t="s">
        <v>98</v>
      </c>
      <c r="D94" s="75">
        <v>1</v>
      </c>
      <c r="E94" s="76">
        <v>5.36480686695E-4</v>
      </c>
    </row>
    <row r="95" spans="2:5" ht="15" customHeight="1">
      <c r="B95" s="101"/>
      <c r="C95" s="74" t="s">
        <v>99</v>
      </c>
      <c r="D95" s="75">
        <v>2</v>
      </c>
      <c r="E95" s="76">
        <v>1.0729613733910001E-3</v>
      </c>
    </row>
    <row r="96" spans="2:5" ht="15" customHeight="1">
      <c r="B96" s="101"/>
      <c r="C96" s="74" t="s">
        <v>100</v>
      </c>
      <c r="D96" s="75">
        <v>3</v>
      </c>
      <c r="E96" s="76">
        <v>1.609442060086E-3</v>
      </c>
    </row>
    <row r="97" spans="2:5" ht="15" customHeight="1">
      <c r="B97" s="101"/>
      <c r="C97" s="74" t="s">
        <v>101</v>
      </c>
      <c r="D97" s="75">
        <v>22</v>
      </c>
      <c r="E97" s="76">
        <v>1.1802575107295999E-2</v>
      </c>
    </row>
    <row r="98" spans="2:5" ht="15" customHeight="1">
      <c r="B98" s="101"/>
      <c r="C98" s="74" t="s">
        <v>103</v>
      </c>
      <c r="D98" s="75">
        <v>2</v>
      </c>
      <c r="E98" s="76">
        <v>1.0729613733910001E-3</v>
      </c>
    </row>
    <row r="99" spans="2:5" ht="15" customHeight="1">
      <c r="B99" s="101"/>
      <c r="C99" s="74" t="s">
        <v>104</v>
      </c>
      <c r="D99" s="75">
        <v>9</v>
      </c>
      <c r="E99" s="76">
        <v>4.8283261802580003E-3</v>
      </c>
    </row>
    <row r="100" spans="2:5" ht="15" customHeight="1">
      <c r="B100" s="101"/>
      <c r="C100" s="74" t="s">
        <v>109</v>
      </c>
      <c r="D100" s="75">
        <v>3</v>
      </c>
      <c r="E100" s="76">
        <v>1.609442060086E-3</v>
      </c>
    </row>
    <row r="101" spans="2:5" ht="15" customHeight="1">
      <c r="B101" s="101"/>
      <c r="C101" s="77" t="s">
        <v>233</v>
      </c>
      <c r="D101" s="78">
        <v>53</v>
      </c>
      <c r="E101" s="79">
        <v>2.8433476394849999E-2</v>
      </c>
    </row>
    <row r="102" spans="2:5" ht="15" customHeight="1">
      <c r="B102" s="101" t="s">
        <v>67</v>
      </c>
      <c r="C102" s="74" t="s">
        <v>90</v>
      </c>
      <c r="D102" s="75">
        <v>1</v>
      </c>
      <c r="E102" s="76">
        <v>5.36480686695E-4</v>
      </c>
    </row>
    <row r="103" spans="2:5" ht="15" customHeight="1">
      <c r="B103" s="101"/>
      <c r="C103" s="74" t="s">
        <v>94</v>
      </c>
      <c r="D103" s="75">
        <v>1</v>
      </c>
      <c r="E103" s="76">
        <v>5.36480686695E-4</v>
      </c>
    </row>
    <row r="104" spans="2:5" ht="15" customHeight="1">
      <c r="B104" s="101"/>
      <c r="C104" s="74" t="s">
        <v>97</v>
      </c>
      <c r="D104" s="75">
        <v>6</v>
      </c>
      <c r="E104" s="76">
        <v>3.2188841201719999E-3</v>
      </c>
    </row>
    <row r="105" spans="2:5" ht="15" customHeight="1">
      <c r="B105" s="101"/>
      <c r="C105" s="74" t="s">
        <v>98</v>
      </c>
      <c r="D105" s="75">
        <v>1</v>
      </c>
      <c r="E105" s="76">
        <v>5.36480686695E-4</v>
      </c>
    </row>
    <row r="106" spans="2:5" ht="15" customHeight="1">
      <c r="B106" s="101"/>
      <c r="C106" s="74" t="s">
        <v>99</v>
      </c>
      <c r="D106" s="75">
        <v>3</v>
      </c>
      <c r="E106" s="76">
        <v>1.609442060086E-3</v>
      </c>
    </row>
    <row r="107" spans="2:5" ht="15" customHeight="1">
      <c r="B107" s="101"/>
      <c r="C107" s="74" t="s">
        <v>100</v>
      </c>
      <c r="D107" s="75">
        <v>3</v>
      </c>
      <c r="E107" s="76">
        <v>1.609442060086E-3</v>
      </c>
    </row>
    <row r="108" spans="2:5" ht="15" customHeight="1">
      <c r="B108" s="101"/>
      <c r="C108" s="74" t="s">
        <v>101</v>
      </c>
      <c r="D108" s="75">
        <v>15</v>
      </c>
      <c r="E108" s="76">
        <v>8.0472103004290002E-3</v>
      </c>
    </row>
    <row r="109" spans="2:5" ht="15" customHeight="1">
      <c r="B109" s="101"/>
      <c r="C109" s="74" t="s">
        <v>104</v>
      </c>
      <c r="D109" s="75">
        <v>13</v>
      </c>
      <c r="E109" s="76">
        <v>6.974248927039E-3</v>
      </c>
    </row>
    <row r="110" spans="2:5" ht="15" customHeight="1">
      <c r="B110" s="101"/>
      <c r="C110" s="77" t="s">
        <v>233</v>
      </c>
      <c r="D110" s="78">
        <v>43</v>
      </c>
      <c r="E110" s="79">
        <v>2.3068669527897E-2</v>
      </c>
    </row>
    <row r="111" spans="2:5" ht="15" customHeight="1">
      <c r="B111" s="101" t="s">
        <v>87</v>
      </c>
      <c r="C111" s="74" t="s">
        <v>90</v>
      </c>
      <c r="D111" s="75">
        <v>1</v>
      </c>
      <c r="E111" s="76">
        <v>5.36480686695E-4</v>
      </c>
    </row>
    <row r="112" spans="2:5" ht="15" customHeight="1">
      <c r="B112" s="101"/>
      <c r="C112" s="74" t="s">
        <v>95</v>
      </c>
      <c r="D112" s="75">
        <v>2</v>
      </c>
      <c r="E112" s="76">
        <v>1.0729613733910001E-3</v>
      </c>
    </row>
    <row r="113" spans="2:5" ht="15" customHeight="1">
      <c r="B113" s="101"/>
      <c r="C113" s="74" t="s">
        <v>101</v>
      </c>
      <c r="D113" s="75">
        <v>1</v>
      </c>
      <c r="E113" s="76">
        <v>5.36480686695E-4</v>
      </c>
    </row>
    <row r="114" spans="2:5" ht="15" customHeight="1">
      <c r="B114" s="101"/>
      <c r="C114" s="74" t="s">
        <v>104</v>
      </c>
      <c r="D114" s="75">
        <v>1</v>
      </c>
      <c r="E114" s="76">
        <v>5.36480686695E-4</v>
      </c>
    </row>
    <row r="115" spans="2:5" ht="15" customHeight="1">
      <c r="B115" s="101"/>
      <c r="C115" s="77" t="s">
        <v>233</v>
      </c>
      <c r="D115" s="78">
        <v>5</v>
      </c>
      <c r="E115" s="79">
        <v>2.6824034334760002E-3</v>
      </c>
    </row>
    <row r="116" spans="2:5" ht="15" customHeight="1">
      <c r="B116" s="101" t="s">
        <v>79</v>
      </c>
      <c r="C116" s="74" t="s">
        <v>94</v>
      </c>
      <c r="D116" s="75">
        <v>1</v>
      </c>
      <c r="E116" s="76">
        <v>5.36480686695E-4</v>
      </c>
    </row>
    <row r="117" spans="2:5" ht="15" customHeight="1">
      <c r="B117" s="101"/>
      <c r="C117" s="74" t="s">
        <v>96</v>
      </c>
      <c r="D117" s="75">
        <v>1</v>
      </c>
      <c r="E117" s="76">
        <v>5.36480686695E-4</v>
      </c>
    </row>
    <row r="118" spans="2:5" ht="15" customHeight="1">
      <c r="B118" s="101"/>
      <c r="C118" s="74" t="s">
        <v>97</v>
      </c>
      <c r="D118" s="75">
        <v>4</v>
      </c>
      <c r="E118" s="76">
        <v>2.1459227467810001E-3</v>
      </c>
    </row>
    <row r="119" spans="2:5" ht="15" customHeight="1">
      <c r="B119" s="101"/>
      <c r="C119" s="74" t="s">
        <v>99</v>
      </c>
      <c r="D119" s="75">
        <v>1</v>
      </c>
      <c r="E119" s="76">
        <v>5.36480686695E-4</v>
      </c>
    </row>
    <row r="120" spans="2:5" ht="15" customHeight="1">
      <c r="B120" s="101"/>
      <c r="C120" s="74" t="s">
        <v>101</v>
      </c>
      <c r="D120" s="75">
        <v>5</v>
      </c>
      <c r="E120" s="76">
        <v>2.6824034334760002E-3</v>
      </c>
    </row>
    <row r="121" spans="2:5" ht="15" customHeight="1">
      <c r="B121" s="101"/>
      <c r="C121" s="74" t="s">
        <v>103</v>
      </c>
      <c r="D121" s="75">
        <v>1</v>
      </c>
      <c r="E121" s="76">
        <v>5.36480686695E-4</v>
      </c>
    </row>
    <row r="122" spans="2:5" ht="15" customHeight="1">
      <c r="B122" s="101"/>
      <c r="C122" s="74" t="s">
        <v>104</v>
      </c>
      <c r="D122" s="75">
        <v>2</v>
      </c>
      <c r="E122" s="76">
        <v>1.0729613733910001E-3</v>
      </c>
    </row>
    <row r="123" spans="2:5" ht="15" customHeight="1">
      <c r="B123" s="101"/>
      <c r="C123" s="77" t="s">
        <v>233</v>
      </c>
      <c r="D123" s="78">
        <v>15</v>
      </c>
      <c r="E123" s="79">
        <v>8.0472103004290002E-3</v>
      </c>
    </row>
    <row r="124" spans="2:5" ht="15" customHeight="1">
      <c r="B124" s="101" t="s">
        <v>71</v>
      </c>
      <c r="C124" s="74" t="s">
        <v>93</v>
      </c>
      <c r="D124" s="75">
        <v>1</v>
      </c>
      <c r="E124" s="76">
        <v>5.36480686695E-4</v>
      </c>
    </row>
    <row r="125" spans="2:5" ht="15" customHeight="1">
      <c r="B125" s="101"/>
      <c r="C125" s="74" t="s">
        <v>94</v>
      </c>
      <c r="D125" s="75">
        <v>1</v>
      </c>
      <c r="E125" s="76">
        <v>5.36480686695E-4</v>
      </c>
    </row>
    <row r="126" spans="2:5" ht="15" customHeight="1">
      <c r="B126" s="101"/>
      <c r="C126" s="74" t="s">
        <v>95</v>
      </c>
      <c r="D126" s="75">
        <v>1</v>
      </c>
      <c r="E126" s="76">
        <v>5.36480686695E-4</v>
      </c>
    </row>
    <row r="127" spans="2:5" ht="15" customHeight="1">
      <c r="B127" s="101"/>
      <c r="C127" s="74" t="s">
        <v>96</v>
      </c>
      <c r="D127" s="75">
        <v>1</v>
      </c>
      <c r="E127" s="76">
        <v>5.36480686695E-4</v>
      </c>
    </row>
    <row r="128" spans="2:5" ht="15" customHeight="1">
      <c r="B128" s="101"/>
      <c r="C128" s="74" t="s">
        <v>97</v>
      </c>
      <c r="D128" s="75">
        <v>2</v>
      </c>
      <c r="E128" s="76">
        <v>1.0729613733910001E-3</v>
      </c>
    </row>
    <row r="129" spans="2:5" ht="15" customHeight="1">
      <c r="B129" s="101"/>
      <c r="C129" s="74" t="s">
        <v>98</v>
      </c>
      <c r="D129" s="75">
        <v>1</v>
      </c>
      <c r="E129" s="76">
        <v>5.36480686695E-4</v>
      </c>
    </row>
    <row r="130" spans="2:5" ht="15" customHeight="1">
      <c r="B130" s="101"/>
      <c r="C130" s="74" t="s">
        <v>99</v>
      </c>
      <c r="D130" s="75">
        <v>1</v>
      </c>
      <c r="E130" s="76">
        <v>5.36480686695E-4</v>
      </c>
    </row>
    <row r="131" spans="2:5" ht="15" customHeight="1">
      <c r="B131" s="101"/>
      <c r="C131" s="74" t="s">
        <v>101</v>
      </c>
      <c r="D131" s="75">
        <v>4</v>
      </c>
      <c r="E131" s="76">
        <v>2.1459227467810001E-3</v>
      </c>
    </row>
    <row r="132" spans="2:5" ht="15" customHeight="1">
      <c r="B132" s="101"/>
      <c r="C132" s="74" t="s">
        <v>103</v>
      </c>
      <c r="D132" s="75">
        <v>1</v>
      </c>
      <c r="E132" s="76">
        <v>5.36480686695E-4</v>
      </c>
    </row>
    <row r="133" spans="2:5" ht="15" customHeight="1">
      <c r="B133" s="101"/>
      <c r="C133" s="74" t="s">
        <v>104</v>
      </c>
      <c r="D133" s="75">
        <v>5</v>
      </c>
      <c r="E133" s="76">
        <v>2.6824034334760002E-3</v>
      </c>
    </row>
    <row r="134" spans="2:5" ht="15" customHeight="1">
      <c r="B134" s="101"/>
      <c r="C134" s="74" t="s">
        <v>109</v>
      </c>
      <c r="D134" s="75">
        <v>1</v>
      </c>
      <c r="E134" s="76">
        <v>5.36480686695E-4</v>
      </c>
    </row>
    <row r="135" spans="2:5" ht="15" customHeight="1">
      <c r="B135" s="101"/>
      <c r="C135" s="77" t="s">
        <v>233</v>
      </c>
      <c r="D135" s="78">
        <v>19</v>
      </c>
      <c r="E135" s="79">
        <v>1.019313304721E-2</v>
      </c>
    </row>
    <row r="136" spans="2:5" ht="15" customHeight="1">
      <c r="B136" s="101" t="s">
        <v>52</v>
      </c>
      <c r="C136" s="74" t="s">
        <v>90</v>
      </c>
      <c r="D136" s="75">
        <v>1</v>
      </c>
      <c r="E136" s="76">
        <v>5.36480686695E-4</v>
      </c>
    </row>
    <row r="137" spans="2:5" ht="15" customHeight="1">
      <c r="B137" s="101"/>
      <c r="C137" s="74" t="s">
        <v>94</v>
      </c>
      <c r="D137" s="75">
        <v>2</v>
      </c>
      <c r="E137" s="76">
        <v>1.0729613733910001E-3</v>
      </c>
    </row>
    <row r="138" spans="2:5" ht="15" customHeight="1">
      <c r="B138" s="101"/>
      <c r="C138" s="74" t="s">
        <v>96</v>
      </c>
      <c r="D138" s="75">
        <v>4</v>
      </c>
      <c r="E138" s="76">
        <v>2.1459227467810001E-3</v>
      </c>
    </row>
    <row r="139" spans="2:5" ht="15" customHeight="1">
      <c r="B139" s="101"/>
      <c r="C139" s="74" t="s">
        <v>97</v>
      </c>
      <c r="D139" s="75">
        <v>3</v>
      </c>
      <c r="E139" s="76">
        <v>1.609442060086E-3</v>
      </c>
    </row>
    <row r="140" spans="2:5" ht="15" customHeight="1">
      <c r="B140" s="101"/>
      <c r="C140" s="74" t="s">
        <v>98</v>
      </c>
      <c r="D140" s="75">
        <v>2</v>
      </c>
      <c r="E140" s="76">
        <v>1.0729613733910001E-3</v>
      </c>
    </row>
    <row r="141" spans="2:5" ht="15" customHeight="1">
      <c r="B141" s="101"/>
      <c r="C141" s="74" t="s">
        <v>99</v>
      </c>
      <c r="D141" s="75">
        <v>1</v>
      </c>
      <c r="E141" s="76">
        <v>5.36480686695E-4</v>
      </c>
    </row>
    <row r="142" spans="2:5" ht="15" customHeight="1">
      <c r="B142" s="101"/>
      <c r="C142" s="74" t="s">
        <v>100</v>
      </c>
      <c r="D142" s="75">
        <v>3</v>
      </c>
      <c r="E142" s="76">
        <v>1.609442060086E-3</v>
      </c>
    </row>
    <row r="143" spans="2:5" ht="15" customHeight="1">
      <c r="B143" s="101"/>
      <c r="C143" s="74" t="s">
        <v>101</v>
      </c>
      <c r="D143" s="75">
        <v>27</v>
      </c>
      <c r="E143" s="76">
        <v>1.4484978540773E-2</v>
      </c>
    </row>
    <row r="144" spans="2:5" ht="15" customHeight="1">
      <c r="B144" s="101"/>
      <c r="C144" s="74" t="s">
        <v>102</v>
      </c>
      <c r="D144" s="75">
        <v>1</v>
      </c>
      <c r="E144" s="76">
        <v>5.36480686695E-4</v>
      </c>
    </row>
    <row r="145" spans="2:5" ht="15" customHeight="1">
      <c r="B145" s="101"/>
      <c r="C145" s="74" t="s">
        <v>103</v>
      </c>
      <c r="D145" s="75">
        <v>1</v>
      </c>
      <c r="E145" s="76">
        <v>5.36480686695E-4</v>
      </c>
    </row>
    <row r="146" spans="2:5" ht="15" customHeight="1">
      <c r="B146" s="101"/>
      <c r="C146" s="74" t="s">
        <v>104</v>
      </c>
      <c r="D146" s="75">
        <v>13</v>
      </c>
      <c r="E146" s="76">
        <v>6.974248927039E-3</v>
      </c>
    </row>
    <row r="147" spans="2:5" ht="15" customHeight="1">
      <c r="B147" s="101"/>
      <c r="C147" s="74" t="s">
        <v>109</v>
      </c>
      <c r="D147" s="75">
        <v>5</v>
      </c>
      <c r="E147" s="76">
        <v>2.6824034334760002E-3</v>
      </c>
    </row>
    <row r="148" spans="2:5" ht="15" customHeight="1">
      <c r="B148" s="101"/>
      <c r="C148" s="74" t="s">
        <v>122</v>
      </c>
      <c r="D148" s="75">
        <v>2</v>
      </c>
      <c r="E148" s="76">
        <v>1.0729613733910001E-3</v>
      </c>
    </row>
    <row r="149" spans="2:5" ht="15" customHeight="1">
      <c r="B149" s="101"/>
      <c r="C149" s="77" t="s">
        <v>233</v>
      </c>
      <c r="D149" s="78">
        <v>65</v>
      </c>
      <c r="E149" s="79">
        <v>3.4871244635192998E-2</v>
      </c>
    </row>
    <row r="150" spans="2:5" ht="15" customHeight="1">
      <c r="B150" s="101" t="s">
        <v>63</v>
      </c>
      <c r="C150" s="74" t="s">
        <v>90</v>
      </c>
      <c r="D150" s="75">
        <v>1</v>
      </c>
      <c r="E150" s="76">
        <v>5.36480686695E-4</v>
      </c>
    </row>
    <row r="151" spans="2:5" ht="15" customHeight="1">
      <c r="B151" s="101"/>
      <c r="C151" s="74" t="s">
        <v>97</v>
      </c>
      <c r="D151" s="75">
        <v>2</v>
      </c>
      <c r="E151" s="76">
        <v>1.0729613733910001E-3</v>
      </c>
    </row>
    <row r="152" spans="2:5" ht="15" customHeight="1">
      <c r="B152" s="101"/>
      <c r="C152" s="74" t="s">
        <v>99</v>
      </c>
      <c r="D152" s="75">
        <v>1</v>
      </c>
      <c r="E152" s="76">
        <v>5.36480686695E-4</v>
      </c>
    </row>
    <row r="153" spans="2:5" ht="15" customHeight="1">
      <c r="B153" s="101"/>
      <c r="C153" s="74" t="s">
        <v>100</v>
      </c>
      <c r="D153" s="75">
        <v>2</v>
      </c>
      <c r="E153" s="76">
        <v>1.0729613733910001E-3</v>
      </c>
    </row>
    <row r="154" spans="2:5" ht="15" customHeight="1">
      <c r="B154" s="101"/>
      <c r="C154" s="74" t="s">
        <v>101</v>
      </c>
      <c r="D154" s="75">
        <v>12</v>
      </c>
      <c r="E154" s="76">
        <v>6.4377682403429998E-3</v>
      </c>
    </row>
    <row r="155" spans="2:5" ht="15" customHeight="1">
      <c r="B155" s="101"/>
      <c r="C155" s="74" t="s">
        <v>104</v>
      </c>
      <c r="D155" s="75">
        <v>10</v>
      </c>
      <c r="E155" s="76">
        <v>5.3648068669529996E-3</v>
      </c>
    </row>
    <row r="156" spans="2:5" ht="15" customHeight="1">
      <c r="B156" s="101"/>
      <c r="C156" s="74" t="s">
        <v>109</v>
      </c>
      <c r="D156" s="75">
        <v>2</v>
      </c>
      <c r="E156" s="76">
        <v>1.0729613733910001E-3</v>
      </c>
    </row>
    <row r="157" spans="2:5" ht="15" customHeight="1">
      <c r="B157" s="101"/>
      <c r="C157" s="77" t="s">
        <v>233</v>
      </c>
      <c r="D157" s="78">
        <v>30</v>
      </c>
      <c r="E157" s="79">
        <v>1.6094420600858E-2</v>
      </c>
    </row>
    <row r="158" spans="2:5" ht="15" customHeight="1">
      <c r="B158" s="101" t="s">
        <v>59</v>
      </c>
      <c r="C158" s="74" t="s">
        <v>93</v>
      </c>
      <c r="D158" s="75">
        <v>1</v>
      </c>
      <c r="E158" s="76">
        <v>5.36480686695E-4</v>
      </c>
    </row>
    <row r="159" spans="2:5" ht="15" customHeight="1">
      <c r="B159" s="101"/>
      <c r="C159" s="74" t="s">
        <v>96</v>
      </c>
      <c r="D159" s="75">
        <v>3</v>
      </c>
      <c r="E159" s="76">
        <v>1.609442060086E-3</v>
      </c>
    </row>
    <row r="160" spans="2:5" ht="15" customHeight="1">
      <c r="B160" s="101"/>
      <c r="C160" s="74" t="s">
        <v>97</v>
      </c>
      <c r="D160" s="75">
        <v>9</v>
      </c>
      <c r="E160" s="76">
        <v>4.8283261802580003E-3</v>
      </c>
    </row>
    <row r="161" spans="2:5" ht="15" customHeight="1">
      <c r="B161" s="101"/>
      <c r="C161" s="74" t="s">
        <v>98</v>
      </c>
      <c r="D161" s="75">
        <v>2</v>
      </c>
      <c r="E161" s="76">
        <v>1.0729613733910001E-3</v>
      </c>
    </row>
    <row r="162" spans="2:5" ht="15" customHeight="1">
      <c r="B162" s="101"/>
      <c r="C162" s="74" t="s">
        <v>99</v>
      </c>
      <c r="D162" s="75">
        <v>1</v>
      </c>
      <c r="E162" s="76">
        <v>5.36480686695E-4</v>
      </c>
    </row>
    <row r="163" spans="2:5" ht="15" customHeight="1">
      <c r="B163" s="101"/>
      <c r="C163" s="74" t="s">
        <v>100</v>
      </c>
      <c r="D163" s="75">
        <v>3</v>
      </c>
      <c r="E163" s="76">
        <v>1.609442060086E-3</v>
      </c>
    </row>
    <row r="164" spans="2:5" ht="15" customHeight="1">
      <c r="B164" s="101"/>
      <c r="C164" s="74" t="s">
        <v>101</v>
      </c>
      <c r="D164" s="75">
        <v>24</v>
      </c>
      <c r="E164" s="76">
        <v>1.2875536480687001E-2</v>
      </c>
    </row>
    <row r="165" spans="2:5" ht="15" customHeight="1">
      <c r="B165" s="101"/>
      <c r="C165" s="74" t="s">
        <v>103</v>
      </c>
      <c r="D165" s="75">
        <v>4</v>
      </c>
      <c r="E165" s="76">
        <v>2.1459227467810001E-3</v>
      </c>
    </row>
    <row r="166" spans="2:5" ht="15" customHeight="1">
      <c r="B166" s="101"/>
      <c r="C166" s="74" t="s">
        <v>104</v>
      </c>
      <c r="D166" s="75">
        <v>19</v>
      </c>
      <c r="E166" s="76">
        <v>1.019313304721E-2</v>
      </c>
    </row>
    <row r="167" spans="2:5" ht="15" customHeight="1">
      <c r="B167" s="101"/>
      <c r="C167" s="74" t="s">
        <v>105</v>
      </c>
      <c r="D167" s="75">
        <v>1</v>
      </c>
      <c r="E167" s="76">
        <v>5.36480686695E-4</v>
      </c>
    </row>
    <row r="168" spans="2:5" ht="15" customHeight="1">
      <c r="B168" s="101"/>
      <c r="C168" s="74" t="s">
        <v>108</v>
      </c>
      <c r="D168" s="75">
        <v>1</v>
      </c>
      <c r="E168" s="76">
        <v>5.36480686695E-4</v>
      </c>
    </row>
    <row r="169" spans="2:5" ht="15" customHeight="1">
      <c r="B169" s="101"/>
      <c r="C169" s="74" t="s">
        <v>110</v>
      </c>
      <c r="D169" s="75">
        <v>1</v>
      </c>
      <c r="E169" s="76">
        <v>5.36480686695E-4</v>
      </c>
    </row>
    <row r="170" spans="2:5" ht="15" customHeight="1">
      <c r="B170" s="101"/>
      <c r="C170" s="77" t="s">
        <v>233</v>
      </c>
      <c r="D170" s="78">
        <v>69</v>
      </c>
      <c r="E170" s="79">
        <v>3.7017167381973998E-2</v>
      </c>
    </row>
    <row r="171" spans="2:5" ht="15" customHeight="1">
      <c r="B171" s="101" t="s">
        <v>77</v>
      </c>
      <c r="C171" s="74" t="s">
        <v>94</v>
      </c>
      <c r="D171" s="75">
        <v>1</v>
      </c>
      <c r="E171" s="76">
        <v>5.36480686695E-4</v>
      </c>
    </row>
    <row r="172" spans="2:5" ht="15" customHeight="1">
      <c r="B172" s="101"/>
      <c r="C172" s="74" t="s">
        <v>97</v>
      </c>
      <c r="D172" s="75">
        <v>1</v>
      </c>
      <c r="E172" s="76">
        <v>5.36480686695E-4</v>
      </c>
    </row>
    <row r="173" spans="2:5" ht="15" customHeight="1">
      <c r="B173" s="101"/>
      <c r="C173" s="74" t="s">
        <v>100</v>
      </c>
      <c r="D173" s="75">
        <v>2</v>
      </c>
      <c r="E173" s="76">
        <v>1.0729613733910001E-3</v>
      </c>
    </row>
    <row r="174" spans="2:5" ht="15" customHeight="1">
      <c r="B174" s="101"/>
      <c r="C174" s="74" t="s">
        <v>101</v>
      </c>
      <c r="D174" s="75">
        <v>4</v>
      </c>
      <c r="E174" s="76">
        <v>2.1459227467810001E-3</v>
      </c>
    </row>
    <row r="175" spans="2:5" ht="15" customHeight="1">
      <c r="B175" s="101"/>
      <c r="C175" s="74" t="s">
        <v>104</v>
      </c>
      <c r="D175" s="75">
        <v>1</v>
      </c>
      <c r="E175" s="76">
        <v>5.36480686695E-4</v>
      </c>
    </row>
    <row r="176" spans="2:5" ht="15" customHeight="1">
      <c r="B176" s="101"/>
      <c r="C176" s="77" t="s">
        <v>233</v>
      </c>
      <c r="D176" s="78">
        <v>9</v>
      </c>
      <c r="E176" s="79">
        <v>4.8283261802580003E-3</v>
      </c>
    </row>
    <row r="177" spans="2:5" ht="15" customHeight="1">
      <c r="B177" s="101" t="s">
        <v>65</v>
      </c>
      <c r="C177" s="74" t="s">
        <v>94</v>
      </c>
      <c r="D177" s="75">
        <v>2</v>
      </c>
      <c r="E177" s="76">
        <v>1.0729613733910001E-3</v>
      </c>
    </row>
    <row r="178" spans="2:5" ht="15" customHeight="1">
      <c r="B178" s="101"/>
      <c r="C178" s="74" t="s">
        <v>96</v>
      </c>
      <c r="D178" s="75">
        <v>1</v>
      </c>
      <c r="E178" s="76">
        <v>5.36480686695E-4</v>
      </c>
    </row>
    <row r="179" spans="2:5" ht="15" customHeight="1">
      <c r="B179" s="101"/>
      <c r="C179" s="74" t="s">
        <v>97</v>
      </c>
      <c r="D179" s="75">
        <v>6</v>
      </c>
      <c r="E179" s="76">
        <v>3.2188841201719999E-3</v>
      </c>
    </row>
    <row r="180" spans="2:5" ht="15" customHeight="1">
      <c r="B180" s="101"/>
      <c r="C180" s="74" t="s">
        <v>98</v>
      </c>
      <c r="D180" s="75">
        <v>2</v>
      </c>
      <c r="E180" s="76">
        <v>1.0729613733910001E-3</v>
      </c>
    </row>
    <row r="181" spans="2:5" ht="15" customHeight="1">
      <c r="B181" s="101"/>
      <c r="C181" s="74" t="s">
        <v>99</v>
      </c>
      <c r="D181" s="75">
        <v>1</v>
      </c>
      <c r="E181" s="76">
        <v>5.36480686695E-4</v>
      </c>
    </row>
    <row r="182" spans="2:5" ht="15" customHeight="1">
      <c r="B182" s="101"/>
      <c r="C182" s="74" t="s">
        <v>100</v>
      </c>
      <c r="D182" s="75">
        <v>1</v>
      </c>
      <c r="E182" s="76">
        <v>5.36480686695E-4</v>
      </c>
    </row>
    <row r="183" spans="2:5" ht="15" customHeight="1">
      <c r="B183" s="101"/>
      <c r="C183" s="74" t="s">
        <v>101</v>
      </c>
      <c r="D183" s="75">
        <v>13</v>
      </c>
      <c r="E183" s="76">
        <v>6.974248927039E-3</v>
      </c>
    </row>
    <row r="184" spans="2:5" ht="15" customHeight="1">
      <c r="B184" s="101"/>
      <c r="C184" s="74" t="s">
        <v>103</v>
      </c>
      <c r="D184" s="75">
        <v>1</v>
      </c>
      <c r="E184" s="76">
        <v>5.36480686695E-4</v>
      </c>
    </row>
    <row r="185" spans="2:5" ht="15" customHeight="1">
      <c r="B185" s="101"/>
      <c r="C185" s="74" t="s">
        <v>104</v>
      </c>
      <c r="D185" s="75">
        <v>9</v>
      </c>
      <c r="E185" s="76">
        <v>4.8283261802580003E-3</v>
      </c>
    </row>
    <row r="186" spans="2:5" ht="15" customHeight="1">
      <c r="B186" s="101"/>
      <c r="C186" s="74" t="s">
        <v>109</v>
      </c>
      <c r="D186" s="75">
        <v>1</v>
      </c>
      <c r="E186" s="76">
        <v>5.36480686695E-4</v>
      </c>
    </row>
    <row r="187" spans="2:5" ht="15" customHeight="1">
      <c r="B187" s="101"/>
      <c r="C187" s="77" t="s">
        <v>233</v>
      </c>
      <c r="D187" s="78">
        <v>37</v>
      </c>
      <c r="E187" s="79">
        <v>1.9849785407725001E-2</v>
      </c>
    </row>
    <row r="188" spans="2:5" ht="15" customHeight="1">
      <c r="B188" s="101" t="s">
        <v>56</v>
      </c>
      <c r="C188" s="74" t="s">
        <v>90</v>
      </c>
      <c r="D188" s="75">
        <v>1</v>
      </c>
      <c r="E188" s="76">
        <v>5.36480686695E-4</v>
      </c>
    </row>
    <row r="189" spans="2:5" ht="15" customHeight="1">
      <c r="B189" s="101"/>
      <c r="C189" s="74" t="s">
        <v>93</v>
      </c>
      <c r="D189" s="75">
        <v>2</v>
      </c>
      <c r="E189" s="76">
        <v>1.0729613733910001E-3</v>
      </c>
    </row>
    <row r="190" spans="2:5" ht="15" customHeight="1">
      <c r="B190" s="101"/>
      <c r="C190" s="74" t="s">
        <v>94</v>
      </c>
      <c r="D190" s="75">
        <v>1</v>
      </c>
      <c r="E190" s="76">
        <v>5.36480686695E-4</v>
      </c>
    </row>
    <row r="191" spans="2:5" ht="15" customHeight="1">
      <c r="B191" s="101"/>
      <c r="C191" s="74" t="s">
        <v>96</v>
      </c>
      <c r="D191" s="75">
        <v>1</v>
      </c>
      <c r="E191" s="76">
        <v>5.36480686695E-4</v>
      </c>
    </row>
    <row r="192" spans="2:5" ht="15" customHeight="1">
      <c r="B192" s="101"/>
      <c r="C192" s="74" t="s">
        <v>97</v>
      </c>
      <c r="D192" s="75">
        <v>9</v>
      </c>
      <c r="E192" s="76">
        <v>4.8283261802580003E-3</v>
      </c>
    </row>
    <row r="193" spans="2:5" ht="15" customHeight="1">
      <c r="B193" s="101"/>
      <c r="C193" s="74" t="s">
        <v>99</v>
      </c>
      <c r="D193" s="75">
        <v>1</v>
      </c>
      <c r="E193" s="76">
        <v>5.36480686695E-4</v>
      </c>
    </row>
    <row r="194" spans="2:5" ht="15" customHeight="1">
      <c r="B194" s="101"/>
      <c r="C194" s="74" t="s">
        <v>100</v>
      </c>
      <c r="D194" s="75">
        <v>6</v>
      </c>
      <c r="E194" s="76">
        <v>3.2188841201719999E-3</v>
      </c>
    </row>
    <row r="195" spans="2:5" ht="15" customHeight="1">
      <c r="B195" s="101"/>
      <c r="C195" s="74" t="s">
        <v>101</v>
      </c>
      <c r="D195" s="75">
        <v>27</v>
      </c>
      <c r="E195" s="76">
        <v>1.4484978540773E-2</v>
      </c>
    </row>
    <row r="196" spans="2:5" ht="15" customHeight="1">
      <c r="B196" s="101"/>
      <c r="C196" s="74" t="s">
        <v>102</v>
      </c>
      <c r="D196" s="75">
        <v>1</v>
      </c>
      <c r="E196" s="76">
        <v>5.36480686695E-4</v>
      </c>
    </row>
    <row r="197" spans="2:5" ht="15" customHeight="1">
      <c r="B197" s="101"/>
      <c r="C197" s="74" t="s">
        <v>103</v>
      </c>
      <c r="D197" s="75">
        <v>4</v>
      </c>
      <c r="E197" s="76">
        <v>2.1459227467810001E-3</v>
      </c>
    </row>
    <row r="198" spans="2:5" ht="15" customHeight="1">
      <c r="B198" s="101"/>
      <c r="C198" s="74" t="s">
        <v>104</v>
      </c>
      <c r="D198" s="75">
        <v>18</v>
      </c>
      <c r="E198" s="76">
        <v>9.6566523605149997E-3</v>
      </c>
    </row>
    <row r="199" spans="2:5" ht="15" customHeight="1">
      <c r="B199" s="101"/>
      <c r="C199" s="74" t="s">
        <v>109</v>
      </c>
      <c r="D199" s="75">
        <v>5</v>
      </c>
      <c r="E199" s="76">
        <v>2.6824034334760002E-3</v>
      </c>
    </row>
    <row r="200" spans="2:5" ht="15" customHeight="1">
      <c r="B200" s="101"/>
      <c r="C200" s="77" t="s">
        <v>233</v>
      </c>
      <c r="D200" s="78">
        <v>76</v>
      </c>
      <c r="E200" s="79">
        <v>4.0772532188840999E-2</v>
      </c>
    </row>
    <row r="201" spans="2:5" ht="15" customHeight="1">
      <c r="B201" s="101" t="s">
        <v>53</v>
      </c>
      <c r="C201" s="74" t="s">
        <v>90</v>
      </c>
      <c r="D201" s="75">
        <v>1</v>
      </c>
      <c r="E201" s="76">
        <v>5.36480686695E-4</v>
      </c>
    </row>
    <row r="202" spans="2:5" ht="15" customHeight="1">
      <c r="B202" s="101"/>
      <c r="C202" s="74" t="s">
        <v>93</v>
      </c>
      <c r="D202" s="75">
        <v>1</v>
      </c>
      <c r="E202" s="76">
        <v>5.36480686695E-4</v>
      </c>
    </row>
    <row r="203" spans="2:5" ht="15" customHeight="1">
      <c r="B203" s="101"/>
      <c r="C203" s="74" t="s">
        <v>94</v>
      </c>
      <c r="D203" s="75">
        <v>2</v>
      </c>
      <c r="E203" s="76">
        <v>1.0729613733910001E-3</v>
      </c>
    </row>
    <row r="204" spans="2:5" ht="15" customHeight="1">
      <c r="B204" s="101"/>
      <c r="C204" s="74" t="s">
        <v>95</v>
      </c>
      <c r="D204" s="75">
        <v>1</v>
      </c>
      <c r="E204" s="76">
        <v>5.36480686695E-4</v>
      </c>
    </row>
    <row r="205" spans="2:5" ht="15" customHeight="1">
      <c r="B205" s="101"/>
      <c r="C205" s="74" t="s">
        <v>96</v>
      </c>
      <c r="D205" s="75">
        <v>5</v>
      </c>
      <c r="E205" s="76">
        <v>2.6824034334760002E-3</v>
      </c>
    </row>
    <row r="206" spans="2:5" ht="15" customHeight="1">
      <c r="B206" s="101"/>
      <c r="C206" s="74" t="s">
        <v>97</v>
      </c>
      <c r="D206" s="75">
        <v>8</v>
      </c>
      <c r="E206" s="76">
        <v>4.2918454935620002E-3</v>
      </c>
    </row>
    <row r="207" spans="2:5" ht="15" customHeight="1">
      <c r="B207" s="101"/>
      <c r="C207" s="74" t="s">
        <v>98</v>
      </c>
      <c r="D207" s="75">
        <v>2</v>
      </c>
      <c r="E207" s="76">
        <v>1.0729613733910001E-3</v>
      </c>
    </row>
    <row r="208" spans="2:5" ht="15" customHeight="1">
      <c r="B208" s="101"/>
      <c r="C208" s="74" t="s">
        <v>100</v>
      </c>
      <c r="D208" s="75">
        <v>3</v>
      </c>
      <c r="E208" s="76">
        <v>1.609442060086E-3</v>
      </c>
    </row>
    <row r="209" spans="2:5" ht="15" customHeight="1">
      <c r="B209" s="101"/>
      <c r="C209" s="74" t="s">
        <v>101</v>
      </c>
      <c r="D209" s="75">
        <v>20</v>
      </c>
      <c r="E209" s="76">
        <v>1.0729613733905999E-2</v>
      </c>
    </row>
    <row r="210" spans="2:5" ht="15" customHeight="1">
      <c r="B210" s="101"/>
      <c r="C210" s="74" t="s">
        <v>102</v>
      </c>
      <c r="D210" s="75">
        <v>1</v>
      </c>
      <c r="E210" s="76">
        <v>5.36480686695E-4</v>
      </c>
    </row>
    <row r="211" spans="2:5" ht="15" customHeight="1">
      <c r="B211" s="101"/>
      <c r="C211" s="74" t="s">
        <v>103</v>
      </c>
      <c r="D211" s="75">
        <v>1</v>
      </c>
      <c r="E211" s="76">
        <v>5.36480686695E-4</v>
      </c>
    </row>
    <row r="212" spans="2:5" ht="15" customHeight="1">
      <c r="B212" s="101"/>
      <c r="C212" s="74" t="s">
        <v>104</v>
      </c>
      <c r="D212" s="75">
        <v>20</v>
      </c>
      <c r="E212" s="76">
        <v>1.0729613733905999E-2</v>
      </c>
    </row>
    <row r="213" spans="2:5" ht="15" customHeight="1">
      <c r="B213" s="101"/>
      <c r="C213" s="74" t="s">
        <v>107</v>
      </c>
      <c r="D213" s="75">
        <v>1</v>
      </c>
      <c r="E213" s="76">
        <v>5.36480686695E-4</v>
      </c>
    </row>
    <row r="214" spans="2:5" ht="15" customHeight="1">
      <c r="B214" s="101"/>
      <c r="C214" s="74" t="s">
        <v>108</v>
      </c>
      <c r="D214" s="75">
        <v>1</v>
      </c>
      <c r="E214" s="76">
        <v>5.36480686695E-4</v>
      </c>
    </row>
    <row r="215" spans="2:5" ht="15" customHeight="1">
      <c r="B215" s="101"/>
      <c r="C215" s="74" t="s">
        <v>109</v>
      </c>
      <c r="D215" s="75">
        <v>2</v>
      </c>
      <c r="E215" s="76">
        <v>1.0729613733910001E-3</v>
      </c>
    </row>
    <row r="216" spans="2:5" ht="15" customHeight="1">
      <c r="B216" s="101"/>
      <c r="C216" s="77" t="s">
        <v>233</v>
      </c>
      <c r="D216" s="78">
        <v>69</v>
      </c>
      <c r="E216" s="79">
        <v>3.7017167381973998E-2</v>
      </c>
    </row>
    <row r="217" spans="2:5" ht="15" customHeight="1">
      <c r="B217" s="101" t="s">
        <v>60</v>
      </c>
      <c r="C217" s="74" t="s">
        <v>90</v>
      </c>
      <c r="D217" s="75">
        <v>1</v>
      </c>
      <c r="E217" s="76">
        <v>5.36480686695E-4</v>
      </c>
    </row>
    <row r="218" spans="2:5" ht="15" customHeight="1">
      <c r="B218" s="101"/>
      <c r="C218" s="74" t="s">
        <v>95</v>
      </c>
      <c r="D218" s="75">
        <v>1</v>
      </c>
      <c r="E218" s="76">
        <v>5.36480686695E-4</v>
      </c>
    </row>
    <row r="219" spans="2:5" ht="15" customHeight="1">
      <c r="B219" s="101"/>
      <c r="C219" s="74" t="s">
        <v>96</v>
      </c>
      <c r="D219" s="75">
        <v>1</v>
      </c>
      <c r="E219" s="76">
        <v>5.36480686695E-4</v>
      </c>
    </row>
    <row r="220" spans="2:5" ht="15" customHeight="1">
      <c r="B220" s="101"/>
      <c r="C220" s="74" t="s">
        <v>97</v>
      </c>
      <c r="D220" s="75">
        <v>6</v>
      </c>
      <c r="E220" s="76">
        <v>3.2188841201719999E-3</v>
      </c>
    </row>
    <row r="221" spans="2:5" ht="15" customHeight="1">
      <c r="B221" s="101"/>
      <c r="C221" s="74" t="s">
        <v>100</v>
      </c>
      <c r="D221" s="75">
        <v>1</v>
      </c>
      <c r="E221" s="76">
        <v>5.36480686695E-4</v>
      </c>
    </row>
    <row r="222" spans="2:5" ht="15" customHeight="1">
      <c r="B222" s="101"/>
      <c r="C222" s="74" t="s">
        <v>101</v>
      </c>
      <c r="D222" s="75">
        <v>3</v>
      </c>
      <c r="E222" s="76">
        <v>1.609442060086E-3</v>
      </c>
    </row>
    <row r="223" spans="2:5" ht="15" customHeight="1">
      <c r="B223" s="101"/>
      <c r="C223" s="74" t="s">
        <v>103</v>
      </c>
      <c r="D223" s="75">
        <v>3</v>
      </c>
      <c r="E223" s="76">
        <v>1.609442060086E-3</v>
      </c>
    </row>
    <row r="224" spans="2:5" ht="15" customHeight="1">
      <c r="B224" s="101"/>
      <c r="C224" s="74" t="s">
        <v>104</v>
      </c>
      <c r="D224" s="75">
        <v>9</v>
      </c>
      <c r="E224" s="76">
        <v>4.8283261802580003E-3</v>
      </c>
    </row>
    <row r="225" spans="2:5" ht="15" customHeight="1">
      <c r="B225" s="101"/>
      <c r="C225" s="74" t="s">
        <v>109</v>
      </c>
      <c r="D225" s="75">
        <v>2</v>
      </c>
      <c r="E225" s="76">
        <v>1.0729613733910001E-3</v>
      </c>
    </row>
    <row r="226" spans="2:5" ht="15" customHeight="1">
      <c r="B226" s="101"/>
      <c r="C226" s="77" t="s">
        <v>233</v>
      </c>
      <c r="D226" s="78">
        <v>27</v>
      </c>
      <c r="E226" s="79">
        <v>1.4484978540773E-2</v>
      </c>
    </row>
    <row r="227" spans="2:5" ht="15" customHeight="1">
      <c r="B227" s="101" t="s">
        <v>62</v>
      </c>
      <c r="C227" s="74" t="s">
        <v>90</v>
      </c>
      <c r="D227" s="75">
        <v>2</v>
      </c>
      <c r="E227" s="76">
        <v>1.0729613733910001E-3</v>
      </c>
    </row>
    <row r="228" spans="2:5" ht="15" customHeight="1">
      <c r="B228" s="101"/>
      <c r="C228" s="74" t="s">
        <v>91</v>
      </c>
      <c r="D228" s="75">
        <v>1</v>
      </c>
      <c r="E228" s="76">
        <v>5.36480686695E-4</v>
      </c>
    </row>
    <row r="229" spans="2:5" ht="15" customHeight="1">
      <c r="B229" s="101"/>
      <c r="C229" s="74" t="s">
        <v>93</v>
      </c>
      <c r="D229" s="75">
        <v>1</v>
      </c>
      <c r="E229" s="76">
        <v>5.36480686695E-4</v>
      </c>
    </row>
    <row r="230" spans="2:5" ht="15" customHeight="1">
      <c r="B230" s="101"/>
      <c r="C230" s="74" t="s">
        <v>94</v>
      </c>
      <c r="D230" s="75">
        <v>1</v>
      </c>
      <c r="E230" s="76">
        <v>5.36480686695E-4</v>
      </c>
    </row>
    <row r="231" spans="2:5" ht="15" customHeight="1">
      <c r="B231" s="101"/>
      <c r="C231" s="74" t="s">
        <v>95</v>
      </c>
      <c r="D231" s="75">
        <v>2</v>
      </c>
      <c r="E231" s="76">
        <v>1.0729613733910001E-3</v>
      </c>
    </row>
    <row r="232" spans="2:5" ht="15" customHeight="1">
      <c r="B232" s="101"/>
      <c r="C232" s="74" t="s">
        <v>96</v>
      </c>
      <c r="D232" s="75">
        <v>2</v>
      </c>
      <c r="E232" s="76">
        <v>1.0729613733910001E-3</v>
      </c>
    </row>
    <row r="233" spans="2:5" ht="15" customHeight="1">
      <c r="B233" s="101"/>
      <c r="C233" s="74" t="s">
        <v>97</v>
      </c>
      <c r="D233" s="75">
        <v>8</v>
      </c>
      <c r="E233" s="76">
        <v>4.2918454935620002E-3</v>
      </c>
    </row>
    <row r="234" spans="2:5" ht="15" customHeight="1">
      <c r="B234" s="101"/>
      <c r="C234" s="74" t="s">
        <v>98</v>
      </c>
      <c r="D234" s="75">
        <v>1</v>
      </c>
      <c r="E234" s="76">
        <v>5.36480686695E-4</v>
      </c>
    </row>
    <row r="235" spans="2:5" ht="15" customHeight="1">
      <c r="B235" s="101"/>
      <c r="C235" s="74" t="s">
        <v>99</v>
      </c>
      <c r="D235" s="75">
        <v>1</v>
      </c>
      <c r="E235" s="76">
        <v>5.36480686695E-4</v>
      </c>
    </row>
    <row r="236" spans="2:5" ht="15" customHeight="1">
      <c r="B236" s="101"/>
      <c r="C236" s="74" t="s">
        <v>100</v>
      </c>
      <c r="D236" s="75">
        <v>5</v>
      </c>
      <c r="E236" s="76">
        <v>2.6824034334760002E-3</v>
      </c>
    </row>
    <row r="237" spans="2:5" ht="15" customHeight="1">
      <c r="B237" s="101"/>
      <c r="C237" s="74" t="s">
        <v>101</v>
      </c>
      <c r="D237" s="75">
        <v>19</v>
      </c>
      <c r="E237" s="76">
        <v>1.019313304721E-2</v>
      </c>
    </row>
    <row r="238" spans="2:5" ht="15" customHeight="1">
      <c r="B238" s="101"/>
      <c r="C238" s="74" t="s">
        <v>103</v>
      </c>
      <c r="D238" s="75">
        <v>2</v>
      </c>
      <c r="E238" s="76">
        <v>1.0729613733910001E-3</v>
      </c>
    </row>
    <row r="239" spans="2:5" ht="15" customHeight="1">
      <c r="B239" s="101"/>
      <c r="C239" s="74" t="s">
        <v>104</v>
      </c>
      <c r="D239" s="75">
        <v>7</v>
      </c>
      <c r="E239" s="76">
        <v>3.755364806867E-3</v>
      </c>
    </row>
    <row r="240" spans="2:5" ht="15" customHeight="1">
      <c r="B240" s="101"/>
      <c r="C240" s="74" t="s">
        <v>108</v>
      </c>
      <c r="D240" s="75">
        <v>1</v>
      </c>
      <c r="E240" s="76">
        <v>5.36480686695E-4</v>
      </c>
    </row>
    <row r="241" spans="2:5" ht="15" customHeight="1">
      <c r="B241" s="101"/>
      <c r="C241" s="74" t="s">
        <v>109</v>
      </c>
      <c r="D241" s="75">
        <v>1</v>
      </c>
      <c r="E241" s="76">
        <v>5.36480686695E-4</v>
      </c>
    </row>
    <row r="242" spans="2:5" ht="15" customHeight="1">
      <c r="B242" s="101"/>
      <c r="C242" s="74" t="s">
        <v>122</v>
      </c>
      <c r="D242" s="75">
        <v>1</v>
      </c>
      <c r="E242" s="76">
        <v>5.36480686695E-4</v>
      </c>
    </row>
    <row r="243" spans="2:5" ht="15" customHeight="1">
      <c r="B243" s="101"/>
      <c r="C243" s="77" t="s">
        <v>233</v>
      </c>
      <c r="D243" s="78">
        <v>55</v>
      </c>
      <c r="E243" s="79">
        <v>2.9506437768239999E-2</v>
      </c>
    </row>
    <row r="244" spans="2:5" ht="15" customHeight="1">
      <c r="B244" s="101" t="s">
        <v>80</v>
      </c>
      <c r="C244" s="74" t="s">
        <v>97</v>
      </c>
      <c r="D244" s="75">
        <v>1</v>
      </c>
      <c r="E244" s="76">
        <v>5.36480686695E-4</v>
      </c>
    </row>
    <row r="245" spans="2:5" ht="15" customHeight="1">
      <c r="B245" s="101"/>
      <c r="C245" s="74" t="s">
        <v>100</v>
      </c>
      <c r="D245" s="75">
        <v>1</v>
      </c>
      <c r="E245" s="76">
        <v>5.36480686695E-4</v>
      </c>
    </row>
    <row r="246" spans="2:5" ht="15" customHeight="1">
      <c r="B246" s="101"/>
      <c r="C246" s="74" t="s">
        <v>101</v>
      </c>
      <c r="D246" s="75">
        <v>2</v>
      </c>
      <c r="E246" s="76">
        <v>1.0729613733910001E-3</v>
      </c>
    </row>
    <row r="247" spans="2:5" ht="15" customHeight="1">
      <c r="B247" s="101"/>
      <c r="C247" s="74" t="s">
        <v>104</v>
      </c>
      <c r="D247" s="75">
        <v>2</v>
      </c>
      <c r="E247" s="76">
        <v>1.0729613733910001E-3</v>
      </c>
    </row>
    <row r="248" spans="2:5" ht="15" customHeight="1">
      <c r="B248" s="101"/>
      <c r="C248" s="77" t="s">
        <v>233</v>
      </c>
      <c r="D248" s="78">
        <v>6</v>
      </c>
      <c r="E248" s="79">
        <v>3.2188841201719999E-3</v>
      </c>
    </row>
    <row r="249" spans="2:5" ht="15" customHeight="1">
      <c r="B249" s="101" t="s">
        <v>125</v>
      </c>
      <c r="C249" s="74" t="s">
        <v>93</v>
      </c>
      <c r="D249" s="75">
        <v>1</v>
      </c>
      <c r="E249" s="76">
        <v>5.36480686695E-4</v>
      </c>
    </row>
    <row r="250" spans="2:5" ht="15" customHeight="1">
      <c r="B250" s="101"/>
      <c r="C250" s="74" t="s">
        <v>101</v>
      </c>
      <c r="D250" s="75">
        <v>3</v>
      </c>
      <c r="E250" s="76">
        <v>1.609442060086E-3</v>
      </c>
    </row>
    <row r="251" spans="2:5" ht="15" customHeight="1">
      <c r="B251" s="101"/>
      <c r="C251" s="74" t="s">
        <v>104</v>
      </c>
      <c r="D251" s="75">
        <v>1</v>
      </c>
      <c r="E251" s="76">
        <v>5.36480686695E-4</v>
      </c>
    </row>
    <row r="252" spans="2:5" ht="15" customHeight="1">
      <c r="B252" s="101"/>
      <c r="C252" s="74" t="s">
        <v>109</v>
      </c>
      <c r="D252" s="75">
        <v>1</v>
      </c>
      <c r="E252" s="76">
        <v>5.36480686695E-4</v>
      </c>
    </row>
    <row r="253" spans="2:5" ht="15" customHeight="1">
      <c r="B253" s="101"/>
      <c r="C253" s="77" t="s">
        <v>233</v>
      </c>
      <c r="D253" s="78">
        <v>6</v>
      </c>
      <c r="E253" s="79">
        <v>3.2188841201719999E-3</v>
      </c>
    </row>
    <row r="254" spans="2:5" ht="15" customHeight="1">
      <c r="B254" s="101" t="s">
        <v>66</v>
      </c>
      <c r="C254" s="74" t="s">
        <v>94</v>
      </c>
      <c r="D254" s="75">
        <v>1</v>
      </c>
      <c r="E254" s="76">
        <v>5.36480686695E-4</v>
      </c>
    </row>
    <row r="255" spans="2:5" ht="15" customHeight="1">
      <c r="B255" s="101"/>
      <c r="C255" s="74" t="s">
        <v>96</v>
      </c>
      <c r="D255" s="75">
        <v>2</v>
      </c>
      <c r="E255" s="76">
        <v>1.0729613733910001E-3</v>
      </c>
    </row>
    <row r="256" spans="2:5" ht="15" customHeight="1">
      <c r="B256" s="101"/>
      <c r="C256" s="74" t="s">
        <v>97</v>
      </c>
      <c r="D256" s="75">
        <v>4</v>
      </c>
      <c r="E256" s="76">
        <v>2.1459227467810001E-3</v>
      </c>
    </row>
    <row r="257" spans="2:5" ht="15" customHeight="1">
      <c r="B257" s="101"/>
      <c r="C257" s="74" t="s">
        <v>99</v>
      </c>
      <c r="D257" s="75">
        <v>1</v>
      </c>
      <c r="E257" s="76">
        <v>5.36480686695E-4</v>
      </c>
    </row>
    <row r="258" spans="2:5" ht="15" customHeight="1">
      <c r="B258" s="101"/>
      <c r="C258" s="74" t="s">
        <v>100</v>
      </c>
      <c r="D258" s="75">
        <v>3</v>
      </c>
      <c r="E258" s="76">
        <v>1.609442060086E-3</v>
      </c>
    </row>
    <row r="259" spans="2:5" ht="15" customHeight="1">
      <c r="B259" s="101"/>
      <c r="C259" s="74" t="s">
        <v>101</v>
      </c>
      <c r="D259" s="75">
        <v>23</v>
      </c>
      <c r="E259" s="76">
        <v>1.2339055793990999E-2</v>
      </c>
    </row>
    <row r="260" spans="2:5" ht="15" customHeight="1">
      <c r="B260" s="101"/>
      <c r="C260" s="74" t="s">
        <v>103</v>
      </c>
      <c r="D260" s="75">
        <v>1</v>
      </c>
      <c r="E260" s="76">
        <v>5.36480686695E-4</v>
      </c>
    </row>
    <row r="261" spans="2:5" ht="15" customHeight="1">
      <c r="B261" s="101"/>
      <c r="C261" s="74" t="s">
        <v>104</v>
      </c>
      <c r="D261" s="75">
        <v>8</v>
      </c>
      <c r="E261" s="76">
        <v>4.2918454935620002E-3</v>
      </c>
    </row>
    <row r="262" spans="2:5" ht="15" customHeight="1">
      <c r="B262" s="101"/>
      <c r="C262" s="74" t="s">
        <v>108</v>
      </c>
      <c r="D262" s="75">
        <v>2</v>
      </c>
      <c r="E262" s="76">
        <v>1.0729613733910001E-3</v>
      </c>
    </row>
    <row r="263" spans="2:5" ht="15" customHeight="1">
      <c r="B263" s="101"/>
      <c r="C263" s="74" t="s">
        <v>109</v>
      </c>
      <c r="D263" s="75">
        <v>2</v>
      </c>
      <c r="E263" s="76">
        <v>1.0729613733910001E-3</v>
      </c>
    </row>
    <row r="264" spans="2:5" ht="15" customHeight="1">
      <c r="B264" s="101"/>
      <c r="C264" s="77" t="s">
        <v>233</v>
      </c>
      <c r="D264" s="78">
        <v>47</v>
      </c>
      <c r="E264" s="79">
        <v>2.5214592274678E-2</v>
      </c>
    </row>
    <row r="265" spans="2:5" ht="15" customHeight="1">
      <c r="B265" s="101" t="s">
        <v>75</v>
      </c>
      <c r="C265" s="74" t="s">
        <v>96</v>
      </c>
      <c r="D265" s="75">
        <v>2</v>
      </c>
      <c r="E265" s="76">
        <v>1.0729613733910001E-3</v>
      </c>
    </row>
    <row r="266" spans="2:5" ht="15" customHeight="1">
      <c r="B266" s="101"/>
      <c r="C266" s="74" t="s">
        <v>97</v>
      </c>
      <c r="D266" s="75">
        <v>1</v>
      </c>
      <c r="E266" s="76">
        <v>5.36480686695E-4</v>
      </c>
    </row>
    <row r="267" spans="2:5" ht="15" customHeight="1">
      <c r="B267" s="101"/>
      <c r="C267" s="74" t="s">
        <v>100</v>
      </c>
      <c r="D267" s="75">
        <v>1</v>
      </c>
      <c r="E267" s="76">
        <v>5.36480686695E-4</v>
      </c>
    </row>
    <row r="268" spans="2:5" ht="15" customHeight="1">
      <c r="B268" s="101"/>
      <c r="C268" s="74" t="s">
        <v>101</v>
      </c>
      <c r="D268" s="75">
        <v>9</v>
      </c>
      <c r="E268" s="76">
        <v>4.8283261802580003E-3</v>
      </c>
    </row>
    <row r="269" spans="2:5" ht="15" customHeight="1">
      <c r="B269" s="101"/>
      <c r="C269" s="74" t="s">
        <v>102</v>
      </c>
      <c r="D269" s="75">
        <v>1</v>
      </c>
      <c r="E269" s="76">
        <v>5.36480686695E-4</v>
      </c>
    </row>
    <row r="270" spans="2:5" ht="15" customHeight="1">
      <c r="B270" s="101"/>
      <c r="C270" s="74" t="s">
        <v>103</v>
      </c>
      <c r="D270" s="75">
        <v>5</v>
      </c>
      <c r="E270" s="76">
        <v>2.6824034334760002E-3</v>
      </c>
    </row>
    <row r="271" spans="2:5" ht="15" customHeight="1">
      <c r="B271" s="101"/>
      <c r="C271" s="74" t="s">
        <v>104</v>
      </c>
      <c r="D271" s="75">
        <v>2</v>
      </c>
      <c r="E271" s="76">
        <v>1.0729613733910001E-3</v>
      </c>
    </row>
    <row r="272" spans="2:5" ht="15" customHeight="1">
      <c r="B272" s="101"/>
      <c r="C272" s="77" t="s">
        <v>233</v>
      </c>
      <c r="D272" s="78">
        <v>21</v>
      </c>
      <c r="E272" s="79">
        <v>1.1266094420600999E-2</v>
      </c>
    </row>
    <row r="273" spans="2:5" ht="15" customHeight="1">
      <c r="B273" s="101" t="s">
        <v>69</v>
      </c>
      <c r="C273" s="74" t="s">
        <v>93</v>
      </c>
      <c r="D273" s="75">
        <v>1</v>
      </c>
      <c r="E273" s="76">
        <v>5.36480686695E-4</v>
      </c>
    </row>
    <row r="274" spans="2:5" ht="15" customHeight="1">
      <c r="B274" s="101"/>
      <c r="C274" s="74" t="s">
        <v>95</v>
      </c>
      <c r="D274" s="75">
        <v>2</v>
      </c>
      <c r="E274" s="76">
        <v>1.0729613733910001E-3</v>
      </c>
    </row>
    <row r="275" spans="2:5" ht="15" customHeight="1">
      <c r="B275" s="101"/>
      <c r="C275" s="74" t="s">
        <v>96</v>
      </c>
      <c r="D275" s="75">
        <v>1</v>
      </c>
      <c r="E275" s="76">
        <v>5.36480686695E-4</v>
      </c>
    </row>
    <row r="276" spans="2:5" ht="15" customHeight="1">
      <c r="B276" s="101"/>
      <c r="C276" s="74" t="s">
        <v>97</v>
      </c>
      <c r="D276" s="75">
        <v>6</v>
      </c>
      <c r="E276" s="76">
        <v>3.2188841201719999E-3</v>
      </c>
    </row>
    <row r="277" spans="2:5" ht="15" customHeight="1">
      <c r="B277" s="101"/>
      <c r="C277" s="74" t="s">
        <v>98</v>
      </c>
      <c r="D277" s="75">
        <v>1</v>
      </c>
      <c r="E277" s="76">
        <v>5.36480686695E-4</v>
      </c>
    </row>
    <row r="278" spans="2:5" ht="15" customHeight="1">
      <c r="B278" s="101"/>
      <c r="C278" s="74" t="s">
        <v>99</v>
      </c>
      <c r="D278" s="75">
        <v>2</v>
      </c>
      <c r="E278" s="76">
        <v>1.0729613733910001E-3</v>
      </c>
    </row>
    <row r="279" spans="2:5" ht="15" customHeight="1">
      <c r="B279" s="101"/>
      <c r="C279" s="74" t="s">
        <v>100</v>
      </c>
      <c r="D279" s="75">
        <v>1</v>
      </c>
      <c r="E279" s="76">
        <v>5.36480686695E-4</v>
      </c>
    </row>
    <row r="280" spans="2:5" ht="15" customHeight="1">
      <c r="B280" s="101"/>
      <c r="C280" s="74" t="s">
        <v>101</v>
      </c>
      <c r="D280" s="75">
        <v>18</v>
      </c>
      <c r="E280" s="76">
        <v>9.6566523605149997E-3</v>
      </c>
    </row>
    <row r="281" spans="2:5" ht="15" customHeight="1">
      <c r="B281" s="101"/>
      <c r="C281" s="74" t="s">
        <v>103</v>
      </c>
      <c r="D281" s="75">
        <v>4</v>
      </c>
      <c r="E281" s="76">
        <v>2.1459227467810001E-3</v>
      </c>
    </row>
    <row r="282" spans="2:5" ht="15" customHeight="1">
      <c r="B282" s="101"/>
      <c r="C282" s="74" t="s">
        <v>104</v>
      </c>
      <c r="D282" s="75">
        <v>15</v>
      </c>
      <c r="E282" s="76">
        <v>8.0472103004290002E-3</v>
      </c>
    </row>
    <row r="283" spans="2:5" ht="15" customHeight="1">
      <c r="B283" s="101"/>
      <c r="C283" s="74" t="s">
        <v>109</v>
      </c>
      <c r="D283" s="75">
        <v>1</v>
      </c>
      <c r="E283" s="76">
        <v>5.36480686695E-4</v>
      </c>
    </row>
    <row r="284" spans="2:5" ht="15" customHeight="1">
      <c r="B284" s="101"/>
      <c r="C284" s="77" t="s">
        <v>233</v>
      </c>
      <c r="D284" s="78">
        <v>52</v>
      </c>
      <c r="E284" s="79">
        <v>2.7896995708155001E-2</v>
      </c>
    </row>
    <row r="285" spans="2:5" ht="15" customHeight="1">
      <c r="B285" s="101" t="s">
        <v>47</v>
      </c>
      <c r="C285" s="74" t="s">
        <v>90</v>
      </c>
      <c r="D285" s="75">
        <v>3</v>
      </c>
      <c r="E285" s="76">
        <v>1.609442060086E-3</v>
      </c>
    </row>
    <row r="286" spans="2:5" ht="15" customHeight="1">
      <c r="B286" s="101"/>
      <c r="C286" s="74" t="s">
        <v>121</v>
      </c>
      <c r="D286" s="75">
        <v>1</v>
      </c>
      <c r="E286" s="76">
        <v>5.36480686695E-4</v>
      </c>
    </row>
    <row r="287" spans="2:5" ht="15" customHeight="1">
      <c r="B287" s="101"/>
      <c r="C287" s="74" t="s">
        <v>91</v>
      </c>
      <c r="D287" s="75">
        <v>1</v>
      </c>
      <c r="E287" s="76">
        <v>5.36480686695E-4</v>
      </c>
    </row>
    <row r="288" spans="2:5" ht="15" customHeight="1">
      <c r="B288" s="101"/>
      <c r="C288" s="74" t="s">
        <v>92</v>
      </c>
      <c r="D288" s="75">
        <v>1</v>
      </c>
      <c r="E288" s="76">
        <v>5.36480686695E-4</v>
      </c>
    </row>
    <row r="289" spans="2:5" ht="15" customHeight="1">
      <c r="B289" s="101"/>
      <c r="C289" s="74" t="s">
        <v>93</v>
      </c>
      <c r="D289" s="75">
        <v>4</v>
      </c>
      <c r="E289" s="76">
        <v>2.1459227467810001E-3</v>
      </c>
    </row>
    <row r="290" spans="2:5" ht="15" customHeight="1">
      <c r="B290" s="101"/>
      <c r="C290" s="74" t="s">
        <v>95</v>
      </c>
      <c r="D290" s="75">
        <v>2</v>
      </c>
      <c r="E290" s="76">
        <v>1.0729613733910001E-3</v>
      </c>
    </row>
    <row r="291" spans="2:5" ht="15" customHeight="1">
      <c r="B291" s="101"/>
      <c r="C291" s="74" t="s">
        <v>96</v>
      </c>
      <c r="D291" s="75">
        <v>3</v>
      </c>
      <c r="E291" s="76">
        <v>1.609442060086E-3</v>
      </c>
    </row>
    <row r="292" spans="2:5" ht="15" customHeight="1">
      <c r="B292" s="101"/>
      <c r="C292" s="74" t="s">
        <v>97</v>
      </c>
      <c r="D292" s="75">
        <v>21</v>
      </c>
      <c r="E292" s="76">
        <v>1.1266094420600999E-2</v>
      </c>
    </row>
    <row r="293" spans="2:5" ht="15" customHeight="1">
      <c r="B293" s="101"/>
      <c r="C293" s="74" t="s">
        <v>98</v>
      </c>
      <c r="D293" s="75">
        <v>5</v>
      </c>
      <c r="E293" s="76">
        <v>2.6824034334760002E-3</v>
      </c>
    </row>
    <row r="294" spans="2:5" ht="15" customHeight="1">
      <c r="B294" s="101"/>
      <c r="C294" s="74" t="s">
        <v>99</v>
      </c>
      <c r="D294" s="75">
        <v>6</v>
      </c>
      <c r="E294" s="76">
        <v>3.2188841201719999E-3</v>
      </c>
    </row>
    <row r="295" spans="2:5" ht="15" customHeight="1">
      <c r="B295" s="101"/>
      <c r="C295" s="74" t="s">
        <v>100</v>
      </c>
      <c r="D295" s="75">
        <v>2</v>
      </c>
      <c r="E295" s="76">
        <v>1.0729613733910001E-3</v>
      </c>
    </row>
    <row r="296" spans="2:5" ht="15" customHeight="1">
      <c r="B296" s="101"/>
      <c r="C296" s="74" t="s">
        <v>101</v>
      </c>
      <c r="D296" s="75">
        <v>61</v>
      </c>
      <c r="E296" s="76">
        <v>3.2725321888411998E-2</v>
      </c>
    </row>
    <row r="297" spans="2:5" ht="15" customHeight="1">
      <c r="B297" s="101"/>
      <c r="C297" s="74" t="s">
        <v>103</v>
      </c>
      <c r="D297" s="75">
        <v>10</v>
      </c>
      <c r="E297" s="76">
        <v>5.3648068669529996E-3</v>
      </c>
    </row>
    <row r="298" spans="2:5" ht="15" customHeight="1">
      <c r="B298" s="101"/>
      <c r="C298" s="74" t="s">
        <v>104</v>
      </c>
      <c r="D298" s="75">
        <v>28</v>
      </c>
      <c r="E298" s="76">
        <v>1.5021459227468E-2</v>
      </c>
    </row>
    <row r="299" spans="2:5" ht="15" customHeight="1">
      <c r="B299" s="101"/>
      <c r="C299" s="74" t="s">
        <v>106</v>
      </c>
      <c r="D299" s="75">
        <v>1</v>
      </c>
      <c r="E299" s="76">
        <v>5.36480686695E-4</v>
      </c>
    </row>
    <row r="300" spans="2:5" ht="15" customHeight="1">
      <c r="B300" s="101"/>
      <c r="C300" s="74" t="s">
        <v>108</v>
      </c>
      <c r="D300" s="75">
        <v>2</v>
      </c>
      <c r="E300" s="76">
        <v>1.0729613733910001E-3</v>
      </c>
    </row>
    <row r="301" spans="2:5" ht="15" customHeight="1">
      <c r="B301" s="101"/>
      <c r="C301" s="74" t="s">
        <v>109</v>
      </c>
      <c r="D301" s="75">
        <v>9</v>
      </c>
      <c r="E301" s="76">
        <v>4.8283261802580003E-3</v>
      </c>
    </row>
    <row r="302" spans="2:5" ht="15" customHeight="1">
      <c r="B302" s="101"/>
      <c r="C302" s="77" t="s">
        <v>233</v>
      </c>
      <c r="D302" s="78">
        <v>160</v>
      </c>
      <c r="E302" s="79">
        <v>8.5836909871244996E-2</v>
      </c>
    </row>
    <row r="303" spans="2:5" ht="15" customHeight="1">
      <c r="B303" s="101" t="s">
        <v>50</v>
      </c>
      <c r="C303" s="74" t="s">
        <v>90</v>
      </c>
      <c r="D303" s="75">
        <v>2</v>
      </c>
      <c r="E303" s="76">
        <v>1.0729613733910001E-3</v>
      </c>
    </row>
    <row r="304" spans="2:5" ht="15" customHeight="1">
      <c r="B304" s="101"/>
      <c r="C304" s="74" t="s">
        <v>92</v>
      </c>
      <c r="D304" s="75">
        <v>3</v>
      </c>
      <c r="E304" s="76">
        <v>1.609442060086E-3</v>
      </c>
    </row>
    <row r="305" spans="2:5" ht="15" customHeight="1">
      <c r="B305" s="101"/>
      <c r="C305" s="74" t="s">
        <v>94</v>
      </c>
      <c r="D305" s="75">
        <v>1</v>
      </c>
      <c r="E305" s="76">
        <v>5.36480686695E-4</v>
      </c>
    </row>
    <row r="306" spans="2:5" ht="15" customHeight="1">
      <c r="B306" s="101"/>
      <c r="C306" s="74" t="s">
        <v>96</v>
      </c>
      <c r="D306" s="75">
        <v>2</v>
      </c>
      <c r="E306" s="76">
        <v>1.0729613733910001E-3</v>
      </c>
    </row>
    <row r="307" spans="2:5" ht="15" customHeight="1">
      <c r="B307" s="101"/>
      <c r="C307" s="74" t="s">
        <v>97</v>
      </c>
      <c r="D307" s="75">
        <v>12</v>
      </c>
      <c r="E307" s="76">
        <v>6.4377682403429998E-3</v>
      </c>
    </row>
    <row r="308" spans="2:5" ht="15" customHeight="1">
      <c r="B308" s="101"/>
      <c r="C308" s="74" t="s">
        <v>98</v>
      </c>
      <c r="D308" s="75">
        <v>1</v>
      </c>
      <c r="E308" s="76">
        <v>5.36480686695E-4</v>
      </c>
    </row>
    <row r="309" spans="2:5" ht="15" customHeight="1">
      <c r="B309" s="101"/>
      <c r="C309" s="74" t="s">
        <v>99</v>
      </c>
      <c r="D309" s="75">
        <v>1</v>
      </c>
      <c r="E309" s="76">
        <v>5.36480686695E-4</v>
      </c>
    </row>
    <row r="310" spans="2:5" ht="15" customHeight="1">
      <c r="B310" s="101"/>
      <c r="C310" s="74" t="s">
        <v>100</v>
      </c>
      <c r="D310" s="75">
        <v>3</v>
      </c>
      <c r="E310" s="76">
        <v>1.609442060086E-3</v>
      </c>
    </row>
    <row r="311" spans="2:5" ht="15" customHeight="1">
      <c r="B311" s="101"/>
      <c r="C311" s="74" t="s">
        <v>101</v>
      </c>
      <c r="D311" s="75">
        <v>27</v>
      </c>
      <c r="E311" s="76">
        <v>1.4484978540773E-2</v>
      </c>
    </row>
    <row r="312" spans="2:5" ht="15" customHeight="1">
      <c r="B312" s="101"/>
      <c r="C312" s="74" t="s">
        <v>103</v>
      </c>
      <c r="D312" s="75">
        <v>6</v>
      </c>
      <c r="E312" s="76">
        <v>3.2188841201719999E-3</v>
      </c>
    </row>
    <row r="313" spans="2:5" ht="15" customHeight="1">
      <c r="B313" s="101"/>
      <c r="C313" s="74" t="s">
        <v>104</v>
      </c>
      <c r="D313" s="75">
        <v>7</v>
      </c>
      <c r="E313" s="76">
        <v>3.755364806867E-3</v>
      </c>
    </row>
    <row r="314" spans="2:5" ht="15" customHeight="1">
      <c r="B314" s="101"/>
      <c r="C314" s="74" t="s">
        <v>106</v>
      </c>
      <c r="D314" s="75">
        <v>1</v>
      </c>
      <c r="E314" s="76">
        <v>5.36480686695E-4</v>
      </c>
    </row>
    <row r="315" spans="2:5" ht="15" customHeight="1">
      <c r="B315" s="101"/>
      <c r="C315" s="74" t="s">
        <v>108</v>
      </c>
      <c r="D315" s="75">
        <v>1</v>
      </c>
      <c r="E315" s="76">
        <v>5.36480686695E-4</v>
      </c>
    </row>
    <row r="316" spans="2:5" ht="15" customHeight="1">
      <c r="B316" s="101"/>
      <c r="C316" s="74" t="s">
        <v>109</v>
      </c>
      <c r="D316" s="75">
        <v>2</v>
      </c>
      <c r="E316" s="76">
        <v>1.0729613733910001E-3</v>
      </c>
    </row>
    <row r="317" spans="2:5" ht="15" customHeight="1">
      <c r="B317" s="101"/>
      <c r="C317" s="77" t="s">
        <v>233</v>
      </c>
      <c r="D317" s="78">
        <v>69</v>
      </c>
      <c r="E317" s="79">
        <v>3.7017167381973998E-2</v>
      </c>
    </row>
    <row r="318" spans="2:5" ht="15" customHeight="1">
      <c r="B318" s="101" t="s">
        <v>76</v>
      </c>
      <c r="C318" s="74" t="s">
        <v>96</v>
      </c>
      <c r="D318" s="75">
        <v>1</v>
      </c>
      <c r="E318" s="76">
        <v>5.36480686695E-4</v>
      </c>
    </row>
    <row r="319" spans="2:5" ht="15" customHeight="1">
      <c r="B319" s="101"/>
      <c r="C319" s="74" t="s">
        <v>97</v>
      </c>
      <c r="D319" s="75">
        <v>2</v>
      </c>
      <c r="E319" s="76">
        <v>1.0729613733910001E-3</v>
      </c>
    </row>
    <row r="320" spans="2:5" ht="15" customHeight="1">
      <c r="B320" s="101"/>
      <c r="C320" s="74" t="s">
        <v>101</v>
      </c>
      <c r="D320" s="75">
        <v>7</v>
      </c>
      <c r="E320" s="76">
        <v>3.755364806867E-3</v>
      </c>
    </row>
    <row r="321" spans="2:5" ht="15" customHeight="1">
      <c r="B321" s="101"/>
      <c r="C321" s="74" t="s">
        <v>104</v>
      </c>
      <c r="D321" s="75">
        <v>3</v>
      </c>
      <c r="E321" s="76">
        <v>1.609442060086E-3</v>
      </c>
    </row>
    <row r="322" spans="2:5" ht="15" customHeight="1">
      <c r="B322" s="101"/>
      <c r="C322" s="77" t="s">
        <v>233</v>
      </c>
      <c r="D322" s="78">
        <v>13</v>
      </c>
      <c r="E322" s="79">
        <v>6.974248927039E-3</v>
      </c>
    </row>
    <row r="323" spans="2:5" ht="15" customHeight="1">
      <c r="B323" s="101" t="s">
        <v>72</v>
      </c>
      <c r="C323" s="74" t="s">
        <v>90</v>
      </c>
      <c r="D323" s="75">
        <v>1</v>
      </c>
      <c r="E323" s="76">
        <v>5.36480686695E-4</v>
      </c>
    </row>
    <row r="324" spans="2:5" ht="15" customHeight="1">
      <c r="B324" s="101"/>
      <c r="C324" s="74" t="s">
        <v>93</v>
      </c>
      <c r="D324" s="75">
        <v>1</v>
      </c>
      <c r="E324" s="76">
        <v>5.36480686695E-4</v>
      </c>
    </row>
    <row r="325" spans="2:5" ht="15" customHeight="1">
      <c r="B325" s="101"/>
      <c r="C325" s="74" t="s">
        <v>97</v>
      </c>
      <c r="D325" s="75">
        <v>2</v>
      </c>
      <c r="E325" s="76">
        <v>1.0729613733910001E-3</v>
      </c>
    </row>
    <row r="326" spans="2:5" ht="15" customHeight="1">
      <c r="B326" s="101"/>
      <c r="C326" s="74" t="s">
        <v>100</v>
      </c>
      <c r="D326" s="75">
        <v>1</v>
      </c>
      <c r="E326" s="76">
        <v>5.36480686695E-4</v>
      </c>
    </row>
    <row r="327" spans="2:5" ht="15" customHeight="1">
      <c r="B327" s="101"/>
      <c r="C327" s="74" t="s">
        <v>101</v>
      </c>
      <c r="D327" s="75">
        <v>7</v>
      </c>
      <c r="E327" s="76">
        <v>3.755364806867E-3</v>
      </c>
    </row>
    <row r="328" spans="2:5" ht="15" customHeight="1">
      <c r="B328" s="101"/>
      <c r="C328" s="74" t="s">
        <v>103</v>
      </c>
      <c r="D328" s="75">
        <v>2</v>
      </c>
      <c r="E328" s="76">
        <v>1.0729613733910001E-3</v>
      </c>
    </row>
    <row r="329" spans="2:5" ht="15" customHeight="1">
      <c r="B329" s="101"/>
      <c r="C329" s="74" t="s">
        <v>104</v>
      </c>
      <c r="D329" s="75">
        <v>6</v>
      </c>
      <c r="E329" s="76">
        <v>3.2188841201719999E-3</v>
      </c>
    </row>
    <row r="330" spans="2:5" ht="15" customHeight="1">
      <c r="B330" s="101"/>
      <c r="C330" s="74" t="s">
        <v>109</v>
      </c>
      <c r="D330" s="75">
        <v>1</v>
      </c>
      <c r="E330" s="76">
        <v>5.36480686695E-4</v>
      </c>
    </row>
    <row r="331" spans="2:5" ht="15" customHeight="1">
      <c r="B331" s="101"/>
      <c r="C331" s="77" t="s">
        <v>233</v>
      </c>
      <c r="D331" s="78">
        <v>21</v>
      </c>
      <c r="E331" s="79">
        <v>1.1266094420600999E-2</v>
      </c>
    </row>
    <row r="332" spans="2:5" ht="15" customHeight="1">
      <c r="B332" s="101" t="s">
        <v>82</v>
      </c>
      <c r="C332" s="74" t="s">
        <v>90</v>
      </c>
      <c r="D332" s="75">
        <v>1</v>
      </c>
      <c r="E332" s="76">
        <v>5.36480686695E-4</v>
      </c>
    </row>
    <row r="333" spans="2:5" ht="15" customHeight="1">
      <c r="B333" s="101"/>
      <c r="C333" s="74" t="s">
        <v>93</v>
      </c>
      <c r="D333" s="75">
        <v>1</v>
      </c>
      <c r="E333" s="76">
        <v>5.36480686695E-4</v>
      </c>
    </row>
    <row r="334" spans="2:5" ht="15" customHeight="1">
      <c r="B334" s="101"/>
      <c r="C334" s="74" t="s">
        <v>97</v>
      </c>
      <c r="D334" s="75">
        <v>1</v>
      </c>
      <c r="E334" s="76">
        <v>5.36480686695E-4</v>
      </c>
    </row>
    <row r="335" spans="2:5" ht="15" customHeight="1">
      <c r="B335" s="101"/>
      <c r="C335" s="74" t="s">
        <v>98</v>
      </c>
      <c r="D335" s="75">
        <v>1</v>
      </c>
      <c r="E335" s="76">
        <v>5.36480686695E-4</v>
      </c>
    </row>
    <row r="336" spans="2:5" ht="15" customHeight="1">
      <c r="B336" s="101"/>
      <c r="C336" s="74" t="s">
        <v>100</v>
      </c>
      <c r="D336" s="75">
        <v>1</v>
      </c>
      <c r="E336" s="76">
        <v>5.36480686695E-4</v>
      </c>
    </row>
    <row r="337" spans="2:5" ht="15" customHeight="1">
      <c r="B337" s="101"/>
      <c r="C337" s="74" t="s">
        <v>101</v>
      </c>
      <c r="D337" s="75">
        <v>1</v>
      </c>
      <c r="E337" s="76">
        <v>5.36480686695E-4</v>
      </c>
    </row>
    <row r="338" spans="2:5" ht="15" customHeight="1">
      <c r="B338" s="101"/>
      <c r="C338" s="74" t="s">
        <v>103</v>
      </c>
      <c r="D338" s="75">
        <v>1</v>
      </c>
      <c r="E338" s="76">
        <v>5.36480686695E-4</v>
      </c>
    </row>
    <row r="339" spans="2:5" ht="15" customHeight="1">
      <c r="B339" s="101"/>
      <c r="C339" s="74" t="s">
        <v>104</v>
      </c>
      <c r="D339" s="75">
        <v>1</v>
      </c>
      <c r="E339" s="76">
        <v>5.36480686695E-4</v>
      </c>
    </row>
    <row r="340" spans="2:5" ht="15" customHeight="1">
      <c r="B340" s="101"/>
      <c r="C340" s="74" t="s">
        <v>109</v>
      </c>
      <c r="D340" s="75">
        <v>1</v>
      </c>
      <c r="E340" s="76">
        <v>5.36480686695E-4</v>
      </c>
    </row>
    <row r="341" spans="2:5" ht="15" customHeight="1">
      <c r="B341" s="101"/>
      <c r="C341" s="77" t="s">
        <v>233</v>
      </c>
      <c r="D341" s="78">
        <v>9</v>
      </c>
      <c r="E341" s="79">
        <v>4.8283261802580003E-3</v>
      </c>
    </row>
    <row r="342" spans="2:5" ht="15" customHeight="1">
      <c r="B342" s="101" t="s">
        <v>89</v>
      </c>
      <c r="C342" s="74" t="s">
        <v>100</v>
      </c>
      <c r="D342" s="75">
        <v>2</v>
      </c>
      <c r="E342" s="76">
        <v>1.0729613733910001E-3</v>
      </c>
    </row>
    <row r="343" spans="2:5" ht="15" customHeight="1">
      <c r="B343" s="101"/>
      <c r="C343" s="74" t="s">
        <v>101</v>
      </c>
      <c r="D343" s="75">
        <v>3</v>
      </c>
      <c r="E343" s="76">
        <v>1.609442060086E-3</v>
      </c>
    </row>
    <row r="344" spans="2:5" ht="15" customHeight="1">
      <c r="B344" s="101"/>
      <c r="C344" s="74" t="s">
        <v>103</v>
      </c>
      <c r="D344" s="75">
        <v>1</v>
      </c>
      <c r="E344" s="76">
        <v>5.36480686695E-4</v>
      </c>
    </row>
    <row r="345" spans="2:5" ht="15" customHeight="1">
      <c r="B345" s="101"/>
      <c r="C345" s="74" t="s">
        <v>104</v>
      </c>
      <c r="D345" s="75">
        <v>3</v>
      </c>
      <c r="E345" s="76">
        <v>1.609442060086E-3</v>
      </c>
    </row>
    <row r="346" spans="2:5" ht="15" customHeight="1">
      <c r="B346" s="101"/>
      <c r="C346" s="77" t="s">
        <v>233</v>
      </c>
      <c r="D346" s="78">
        <v>9</v>
      </c>
      <c r="E346" s="79">
        <v>4.8283261802580003E-3</v>
      </c>
    </row>
    <row r="347" spans="2:5" ht="15" customHeight="1">
      <c r="B347" s="101" t="s">
        <v>48</v>
      </c>
      <c r="C347" s="74" t="s">
        <v>90</v>
      </c>
      <c r="D347" s="75">
        <v>4</v>
      </c>
      <c r="E347" s="76">
        <v>2.1459227467810001E-3</v>
      </c>
    </row>
    <row r="348" spans="2:5" ht="15" customHeight="1">
      <c r="B348" s="101"/>
      <c r="C348" s="74" t="s">
        <v>93</v>
      </c>
      <c r="D348" s="75">
        <v>3</v>
      </c>
      <c r="E348" s="76">
        <v>1.609442060086E-3</v>
      </c>
    </row>
    <row r="349" spans="2:5" ht="15" customHeight="1">
      <c r="B349" s="101"/>
      <c r="C349" s="74" t="s">
        <v>95</v>
      </c>
      <c r="D349" s="75">
        <v>1</v>
      </c>
      <c r="E349" s="76">
        <v>5.36480686695E-4</v>
      </c>
    </row>
    <row r="350" spans="2:5" ht="15" customHeight="1">
      <c r="B350" s="101"/>
      <c r="C350" s="74" t="s">
        <v>96</v>
      </c>
      <c r="D350" s="75">
        <v>7</v>
      </c>
      <c r="E350" s="76">
        <v>3.755364806867E-3</v>
      </c>
    </row>
    <row r="351" spans="2:5" ht="15" customHeight="1">
      <c r="B351" s="101"/>
      <c r="C351" s="74" t="s">
        <v>97</v>
      </c>
      <c r="D351" s="75">
        <v>18</v>
      </c>
      <c r="E351" s="76">
        <v>9.6566523605149997E-3</v>
      </c>
    </row>
    <row r="352" spans="2:5" ht="15" customHeight="1">
      <c r="B352" s="101"/>
      <c r="C352" s="74" t="s">
        <v>99</v>
      </c>
      <c r="D352" s="75">
        <v>1</v>
      </c>
      <c r="E352" s="76">
        <v>5.36480686695E-4</v>
      </c>
    </row>
    <row r="353" spans="2:5" ht="15" customHeight="1">
      <c r="B353" s="101"/>
      <c r="C353" s="74" t="s">
        <v>100</v>
      </c>
      <c r="D353" s="75">
        <v>4</v>
      </c>
      <c r="E353" s="76">
        <v>2.1459227467810001E-3</v>
      </c>
    </row>
    <row r="354" spans="2:5" ht="15" customHeight="1">
      <c r="B354" s="101"/>
      <c r="C354" s="74" t="s">
        <v>101</v>
      </c>
      <c r="D354" s="75">
        <v>51</v>
      </c>
      <c r="E354" s="76">
        <v>2.7360515021459E-2</v>
      </c>
    </row>
    <row r="355" spans="2:5" ht="15" customHeight="1">
      <c r="B355" s="101"/>
      <c r="C355" s="74" t="s">
        <v>102</v>
      </c>
      <c r="D355" s="75">
        <v>1</v>
      </c>
      <c r="E355" s="76">
        <v>5.36480686695E-4</v>
      </c>
    </row>
    <row r="356" spans="2:5" ht="15" customHeight="1">
      <c r="B356" s="101"/>
      <c r="C356" s="74" t="s">
        <v>103</v>
      </c>
      <c r="D356" s="75">
        <v>9</v>
      </c>
      <c r="E356" s="76">
        <v>4.8283261802580003E-3</v>
      </c>
    </row>
    <row r="357" spans="2:5" ht="15" customHeight="1">
      <c r="B357" s="101"/>
      <c r="C357" s="74" t="s">
        <v>104</v>
      </c>
      <c r="D357" s="75">
        <v>28</v>
      </c>
      <c r="E357" s="76">
        <v>1.5021459227468E-2</v>
      </c>
    </row>
    <row r="358" spans="2:5" ht="15" customHeight="1">
      <c r="B358" s="101"/>
      <c r="C358" s="74" t="s">
        <v>108</v>
      </c>
      <c r="D358" s="75">
        <v>2</v>
      </c>
      <c r="E358" s="76">
        <v>1.0729613733910001E-3</v>
      </c>
    </row>
    <row r="359" spans="2:5" ht="15" customHeight="1">
      <c r="B359" s="101"/>
      <c r="C359" s="74" t="s">
        <v>109</v>
      </c>
      <c r="D359" s="75">
        <v>1</v>
      </c>
      <c r="E359" s="76">
        <v>5.36480686695E-4</v>
      </c>
    </row>
    <row r="360" spans="2:5" ht="15" customHeight="1">
      <c r="B360" s="101"/>
      <c r="C360" s="77" t="s">
        <v>233</v>
      </c>
      <c r="D360" s="78">
        <v>130</v>
      </c>
      <c r="E360" s="79">
        <v>6.9742489270385996E-2</v>
      </c>
    </row>
    <row r="361" spans="2:5" ht="15" customHeight="1">
      <c r="B361" s="101" t="s">
        <v>54</v>
      </c>
      <c r="C361" s="74" t="s">
        <v>95</v>
      </c>
      <c r="D361" s="75">
        <v>1</v>
      </c>
      <c r="E361" s="76">
        <v>5.36480686695E-4</v>
      </c>
    </row>
    <row r="362" spans="2:5" ht="15" customHeight="1">
      <c r="B362" s="101"/>
      <c r="C362" s="74" t="s">
        <v>97</v>
      </c>
      <c r="D362" s="75">
        <v>5</v>
      </c>
      <c r="E362" s="76">
        <v>2.6824034334760002E-3</v>
      </c>
    </row>
    <row r="363" spans="2:5" ht="15" customHeight="1">
      <c r="B363" s="101"/>
      <c r="C363" s="74" t="s">
        <v>98</v>
      </c>
      <c r="D363" s="75">
        <v>1</v>
      </c>
      <c r="E363" s="76">
        <v>5.36480686695E-4</v>
      </c>
    </row>
    <row r="364" spans="2:5" ht="15" customHeight="1">
      <c r="B364" s="101"/>
      <c r="C364" s="74" t="s">
        <v>100</v>
      </c>
      <c r="D364" s="75">
        <v>8</v>
      </c>
      <c r="E364" s="76">
        <v>4.2918454935620002E-3</v>
      </c>
    </row>
    <row r="365" spans="2:5" ht="15" customHeight="1">
      <c r="B365" s="101"/>
      <c r="C365" s="74" t="s">
        <v>101</v>
      </c>
      <c r="D365" s="75">
        <v>21</v>
      </c>
      <c r="E365" s="76">
        <v>1.1266094420600999E-2</v>
      </c>
    </row>
    <row r="366" spans="2:5" ht="15" customHeight="1">
      <c r="B366" s="101"/>
      <c r="C366" s="74" t="s">
        <v>103</v>
      </c>
      <c r="D366" s="75">
        <v>3</v>
      </c>
      <c r="E366" s="76">
        <v>1.609442060086E-3</v>
      </c>
    </row>
    <row r="367" spans="2:5" ht="15" customHeight="1">
      <c r="B367" s="101"/>
      <c r="C367" s="74" t="s">
        <v>104</v>
      </c>
      <c r="D367" s="75">
        <v>16</v>
      </c>
      <c r="E367" s="76">
        <v>8.5836909871240003E-3</v>
      </c>
    </row>
    <row r="368" spans="2:5" ht="15" customHeight="1">
      <c r="B368" s="101"/>
      <c r="C368" s="74" t="s">
        <v>109</v>
      </c>
      <c r="D368" s="75">
        <v>3</v>
      </c>
      <c r="E368" s="76">
        <v>1.609442060086E-3</v>
      </c>
    </row>
    <row r="369" spans="2:5" ht="15" customHeight="1">
      <c r="B369" s="101"/>
      <c r="C369" s="77" t="s">
        <v>233</v>
      </c>
      <c r="D369" s="78">
        <v>58</v>
      </c>
      <c r="E369" s="79">
        <v>3.1115879828326001E-2</v>
      </c>
    </row>
    <row r="370" spans="2:5" ht="15" customHeight="1">
      <c r="B370" s="101" t="s">
        <v>68</v>
      </c>
      <c r="C370" s="74" t="s">
        <v>93</v>
      </c>
      <c r="D370" s="75">
        <v>2</v>
      </c>
      <c r="E370" s="76">
        <v>1.0729613733910001E-3</v>
      </c>
    </row>
    <row r="371" spans="2:5" ht="15" customHeight="1">
      <c r="B371" s="101"/>
      <c r="C371" s="74" t="s">
        <v>97</v>
      </c>
      <c r="D371" s="75">
        <v>6</v>
      </c>
      <c r="E371" s="76">
        <v>3.2188841201719999E-3</v>
      </c>
    </row>
    <row r="372" spans="2:5" ht="15" customHeight="1">
      <c r="B372" s="101"/>
      <c r="C372" s="74" t="s">
        <v>99</v>
      </c>
      <c r="D372" s="75">
        <v>1</v>
      </c>
      <c r="E372" s="76">
        <v>5.36480686695E-4</v>
      </c>
    </row>
    <row r="373" spans="2:5" ht="15" customHeight="1">
      <c r="B373" s="101"/>
      <c r="C373" s="74" t="s">
        <v>101</v>
      </c>
      <c r="D373" s="75">
        <v>18</v>
      </c>
      <c r="E373" s="76">
        <v>9.6566523605149997E-3</v>
      </c>
    </row>
    <row r="374" spans="2:5" ht="15" customHeight="1">
      <c r="B374" s="101"/>
      <c r="C374" s="74" t="s">
        <v>103</v>
      </c>
      <c r="D374" s="75">
        <v>3</v>
      </c>
      <c r="E374" s="76">
        <v>1.609442060086E-3</v>
      </c>
    </row>
    <row r="375" spans="2:5" ht="15" customHeight="1">
      <c r="B375" s="101"/>
      <c r="C375" s="74" t="s">
        <v>104</v>
      </c>
      <c r="D375" s="75">
        <v>13</v>
      </c>
      <c r="E375" s="76">
        <v>6.974248927039E-3</v>
      </c>
    </row>
    <row r="376" spans="2:5" ht="15" customHeight="1">
      <c r="B376" s="101"/>
      <c r="C376" s="74" t="s">
        <v>106</v>
      </c>
      <c r="D376" s="75">
        <v>1</v>
      </c>
      <c r="E376" s="76">
        <v>5.36480686695E-4</v>
      </c>
    </row>
    <row r="377" spans="2:5" ht="15" customHeight="1">
      <c r="B377" s="101"/>
      <c r="C377" s="77" t="s">
        <v>233</v>
      </c>
      <c r="D377" s="78">
        <v>44</v>
      </c>
      <c r="E377" s="79">
        <v>2.3605150214591999E-2</v>
      </c>
    </row>
    <row r="378" spans="2:5" ht="15" customHeight="1">
      <c r="B378" s="101" t="s">
        <v>88</v>
      </c>
      <c r="C378" s="74" t="s">
        <v>101</v>
      </c>
      <c r="D378" s="75">
        <v>5</v>
      </c>
      <c r="E378" s="76">
        <v>2.6824034334760002E-3</v>
      </c>
    </row>
    <row r="379" spans="2:5" ht="15" customHeight="1">
      <c r="B379" s="101"/>
      <c r="C379" s="74" t="s">
        <v>109</v>
      </c>
      <c r="D379" s="75">
        <v>1</v>
      </c>
      <c r="E379" s="76">
        <v>5.36480686695E-4</v>
      </c>
    </row>
    <row r="380" spans="2:5" ht="15" customHeight="1">
      <c r="B380" s="101"/>
      <c r="C380" s="77" t="s">
        <v>233</v>
      </c>
      <c r="D380" s="78">
        <v>6</v>
      </c>
      <c r="E380" s="79">
        <v>3.2188841201719999E-3</v>
      </c>
    </row>
    <row r="381" spans="2:5" ht="15" customHeight="1">
      <c r="B381" s="101" t="s">
        <v>58</v>
      </c>
      <c r="C381" s="74" t="s">
        <v>90</v>
      </c>
      <c r="D381" s="75">
        <v>1</v>
      </c>
      <c r="E381" s="76">
        <v>5.36480686695E-4</v>
      </c>
    </row>
    <row r="382" spans="2:5" ht="15" customHeight="1">
      <c r="B382" s="101"/>
      <c r="C382" s="74" t="s">
        <v>91</v>
      </c>
      <c r="D382" s="75">
        <v>1</v>
      </c>
      <c r="E382" s="76">
        <v>5.36480686695E-4</v>
      </c>
    </row>
    <row r="383" spans="2:5" ht="15" customHeight="1">
      <c r="B383" s="101"/>
      <c r="C383" s="74" t="s">
        <v>96</v>
      </c>
      <c r="D383" s="75">
        <v>2</v>
      </c>
      <c r="E383" s="76">
        <v>1.0729613733910001E-3</v>
      </c>
    </row>
    <row r="384" spans="2:5" ht="15" customHeight="1">
      <c r="B384" s="101"/>
      <c r="C384" s="74" t="s">
        <v>98</v>
      </c>
      <c r="D384" s="75">
        <v>1</v>
      </c>
      <c r="E384" s="76">
        <v>5.36480686695E-4</v>
      </c>
    </row>
    <row r="385" spans="2:5" ht="15" customHeight="1">
      <c r="B385" s="101"/>
      <c r="C385" s="74" t="s">
        <v>100</v>
      </c>
      <c r="D385" s="75">
        <v>4</v>
      </c>
      <c r="E385" s="76">
        <v>2.1459227467810001E-3</v>
      </c>
    </row>
    <row r="386" spans="2:5" ht="15" customHeight="1">
      <c r="B386" s="101"/>
      <c r="C386" s="74" t="s">
        <v>101</v>
      </c>
      <c r="D386" s="75">
        <v>19</v>
      </c>
      <c r="E386" s="76">
        <v>1.019313304721E-2</v>
      </c>
    </row>
    <row r="387" spans="2:5" ht="15" customHeight="1">
      <c r="B387" s="101"/>
      <c r="C387" s="74" t="s">
        <v>102</v>
      </c>
      <c r="D387" s="75">
        <v>1</v>
      </c>
      <c r="E387" s="76">
        <v>5.36480686695E-4</v>
      </c>
    </row>
    <row r="388" spans="2:5" ht="15" customHeight="1">
      <c r="B388" s="101"/>
      <c r="C388" s="74" t="s">
        <v>103</v>
      </c>
      <c r="D388" s="75">
        <v>1</v>
      </c>
      <c r="E388" s="76">
        <v>5.36480686695E-4</v>
      </c>
    </row>
    <row r="389" spans="2:5" ht="15" customHeight="1">
      <c r="B389" s="101"/>
      <c r="C389" s="74" t="s">
        <v>104</v>
      </c>
      <c r="D389" s="75">
        <v>16</v>
      </c>
      <c r="E389" s="76">
        <v>8.5836909871240003E-3</v>
      </c>
    </row>
    <row r="390" spans="2:5" ht="15" customHeight="1">
      <c r="B390" s="101"/>
      <c r="C390" s="74" t="s">
        <v>108</v>
      </c>
      <c r="D390" s="75">
        <v>1</v>
      </c>
      <c r="E390" s="76">
        <v>5.36480686695E-4</v>
      </c>
    </row>
    <row r="391" spans="2:5" ht="15" customHeight="1">
      <c r="B391" s="101"/>
      <c r="C391" s="74" t="s">
        <v>109</v>
      </c>
      <c r="D391" s="75">
        <v>5</v>
      </c>
      <c r="E391" s="76">
        <v>2.6824034334760002E-3</v>
      </c>
    </row>
    <row r="392" spans="2:5" ht="15" customHeight="1">
      <c r="B392" s="101"/>
      <c r="C392" s="77" t="s">
        <v>233</v>
      </c>
      <c r="D392" s="78">
        <v>52</v>
      </c>
      <c r="E392" s="79">
        <v>2.7896995708155001E-2</v>
      </c>
    </row>
    <row r="393" spans="2:5" ht="15" customHeight="1">
      <c r="B393" s="101" t="s">
        <v>73</v>
      </c>
      <c r="C393" s="74" t="s">
        <v>96</v>
      </c>
      <c r="D393" s="75">
        <v>6</v>
      </c>
      <c r="E393" s="76">
        <v>3.2188841201719999E-3</v>
      </c>
    </row>
    <row r="394" spans="2:5" ht="15" customHeight="1">
      <c r="B394" s="101"/>
      <c r="C394" s="74" t="s">
        <v>97</v>
      </c>
      <c r="D394" s="75">
        <v>1</v>
      </c>
      <c r="E394" s="76">
        <v>5.36480686695E-4</v>
      </c>
    </row>
    <row r="395" spans="2:5" ht="15" customHeight="1">
      <c r="B395" s="101"/>
      <c r="C395" s="74" t="s">
        <v>101</v>
      </c>
      <c r="D395" s="75">
        <v>5</v>
      </c>
      <c r="E395" s="76">
        <v>2.6824034334760002E-3</v>
      </c>
    </row>
    <row r="396" spans="2:5" ht="15" customHeight="1">
      <c r="B396" s="101"/>
      <c r="C396" s="74" t="s">
        <v>104</v>
      </c>
      <c r="D396" s="75">
        <v>6</v>
      </c>
      <c r="E396" s="76">
        <v>3.2188841201719999E-3</v>
      </c>
    </row>
    <row r="397" spans="2:5" ht="15" customHeight="1">
      <c r="B397" s="101"/>
      <c r="C397" s="74" t="s">
        <v>109</v>
      </c>
      <c r="D397" s="75">
        <v>1</v>
      </c>
      <c r="E397" s="76">
        <v>5.36480686695E-4</v>
      </c>
    </row>
    <row r="398" spans="2:5" ht="15" customHeight="1">
      <c r="B398" s="101"/>
      <c r="C398" s="77" t="s">
        <v>233</v>
      </c>
      <c r="D398" s="78">
        <v>19</v>
      </c>
      <c r="E398" s="79">
        <v>1.019313304721E-2</v>
      </c>
    </row>
    <row r="399" spans="2:5" ht="15" customHeight="1">
      <c r="B399" s="101" t="s">
        <v>85</v>
      </c>
      <c r="C399" s="74" t="s">
        <v>90</v>
      </c>
      <c r="D399" s="75">
        <v>1</v>
      </c>
      <c r="E399" s="76">
        <v>5.36480686695E-4</v>
      </c>
    </row>
    <row r="400" spans="2:5" ht="15" customHeight="1">
      <c r="B400" s="101"/>
      <c r="C400" s="74" t="s">
        <v>97</v>
      </c>
      <c r="D400" s="75">
        <v>1</v>
      </c>
      <c r="E400" s="76">
        <v>5.36480686695E-4</v>
      </c>
    </row>
    <row r="401" spans="2:5" ht="15" customHeight="1">
      <c r="B401" s="101"/>
      <c r="C401" s="74" t="s">
        <v>101</v>
      </c>
      <c r="D401" s="75">
        <v>4</v>
      </c>
      <c r="E401" s="76">
        <v>2.1459227467810001E-3</v>
      </c>
    </row>
    <row r="402" spans="2:5" ht="15" customHeight="1">
      <c r="B402" s="101"/>
      <c r="C402" s="74" t="s">
        <v>104</v>
      </c>
      <c r="D402" s="75">
        <v>6</v>
      </c>
      <c r="E402" s="76">
        <v>3.2188841201719999E-3</v>
      </c>
    </row>
    <row r="403" spans="2:5" ht="15" customHeight="1">
      <c r="B403" s="101"/>
      <c r="C403" s="74" t="s">
        <v>109</v>
      </c>
      <c r="D403" s="75">
        <v>3</v>
      </c>
      <c r="E403" s="76">
        <v>1.609442060086E-3</v>
      </c>
    </row>
    <row r="404" spans="2:5" ht="15" customHeight="1">
      <c r="B404" s="101"/>
      <c r="C404" s="77" t="s">
        <v>233</v>
      </c>
      <c r="D404" s="78">
        <v>15</v>
      </c>
      <c r="E404" s="79">
        <v>8.0472103004290002E-3</v>
      </c>
    </row>
    <row r="405" spans="2:5" ht="15" customHeight="1">
      <c r="B405" s="101" t="s">
        <v>64</v>
      </c>
      <c r="C405" s="74" t="s">
        <v>93</v>
      </c>
      <c r="D405" s="75">
        <v>1</v>
      </c>
      <c r="E405" s="76">
        <v>5.36480686695E-4</v>
      </c>
    </row>
    <row r="406" spans="2:5" ht="15" customHeight="1">
      <c r="B406" s="101"/>
      <c r="C406" s="74" t="s">
        <v>95</v>
      </c>
      <c r="D406" s="75">
        <v>2</v>
      </c>
      <c r="E406" s="76">
        <v>1.0729613733910001E-3</v>
      </c>
    </row>
    <row r="407" spans="2:5" ht="15" customHeight="1">
      <c r="B407" s="101"/>
      <c r="C407" s="74" t="s">
        <v>96</v>
      </c>
      <c r="D407" s="75">
        <v>5</v>
      </c>
      <c r="E407" s="76">
        <v>2.6824034334760002E-3</v>
      </c>
    </row>
    <row r="408" spans="2:5" ht="15" customHeight="1">
      <c r="B408" s="101"/>
      <c r="C408" s="74" t="s">
        <v>97</v>
      </c>
      <c r="D408" s="75">
        <v>3</v>
      </c>
      <c r="E408" s="76">
        <v>1.609442060086E-3</v>
      </c>
    </row>
    <row r="409" spans="2:5" ht="15" customHeight="1">
      <c r="B409" s="101"/>
      <c r="C409" s="74" t="s">
        <v>100</v>
      </c>
      <c r="D409" s="75">
        <v>3</v>
      </c>
      <c r="E409" s="76">
        <v>1.609442060086E-3</v>
      </c>
    </row>
    <row r="410" spans="2:5" ht="15" customHeight="1">
      <c r="B410" s="101"/>
      <c r="C410" s="74" t="s">
        <v>101</v>
      </c>
      <c r="D410" s="75">
        <v>15</v>
      </c>
      <c r="E410" s="76">
        <v>8.0472103004290002E-3</v>
      </c>
    </row>
    <row r="411" spans="2:5" ht="15" customHeight="1">
      <c r="B411" s="101"/>
      <c r="C411" s="74" t="s">
        <v>102</v>
      </c>
      <c r="D411" s="75">
        <v>2</v>
      </c>
      <c r="E411" s="76">
        <v>1.0729613733910001E-3</v>
      </c>
    </row>
    <row r="412" spans="2:5" ht="15" customHeight="1">
      <c r="B412" s="101"/>
      <c r="C412" s="74" t="s">
        <v>103</v>
      </c>
      <c r="D412" s="75">
        <v>2</v>
      </c>
      <c r="E412" s="76">
        <v>1.0729613733910001E-3</v>
      </c>
    </row>
    <row r="413" spans="2:5" ht="15" customHeight="1">
      <c r="B413" s="101"/>
      <c r="C413" s="74" t="s">
        <v>104</v>
      </c>
      <c r="D413" s="75">
        <v>6</v>
      </c>
      <c r="E413" s="76">
        <v>3.2188841201719999E-3</v>
      </c>
    </row>
    <row r="414" spans="2:5" ht="15" customHeight="1">
      <c r="B414" s="101"/>
      <c r="C414" s="74" t="s">
        <v>109</v>
      </c>
      <c r="D414" s="75">
        <v>3</v>
      </c>
      <c r="E414" s="76">
        <v>1.609442060086E-3</v>
      </c>
    </row>
    <row r="415" spans="2:5" ht="15" customHeight="1">
      <c r="B415" s="101"/>
      <c r="C415" s="77" t="s">
        <v>233</v>
      </c>
      <c r="D415" s="78">
        <v>42</v>
      </c>
      <c r="E415" s="79">
        <v>2.2532188841201999E-2</v>
      </c>
    </row>
    <row r="416" spans="2:5" ht="15" customHeight="1">
      <c r="B416" s="101" t="s">
        <v>57</v>
      </c>
      <c r="C416" s="74" t="s">
        <v>91</v>
      </c>
      <c r="D416" s="75">
        <v>1</v>
      </c>
      <c r="E416" s="76">
        <v>5.36480686695E-4</v>
      </c>
    </row>
    <row r="417" spans="2:5" ht="15" customHeight="1">
      <c r="B417" s="101"/>
      <c r="C417" s="74" t="s">
        <v>93</v>
      </c>
      <c r="D417" s="75">
        <v>1</v>
      </c>
      <c r="E417" s="76">
        <v>5.36480686695E-4</v>
      </c>
    </row>
    <row r="418" spans="2:5" ht="15" customHeight="1">
      <c r="B418" s="101"/>
      <c r="C418" s="74" t="s">
        <v>94</v>
      </c>
      <c r="D418" s="75">
        <v>1</v>
      </c>
      <c r="E418" s="76">
        <v>5.36480686695E-4</v>
      </c>
    </row>
    <row r="419" spans="2:5" ht="15" customHeight="1">
      <c r="B419" s="101"/>
      <c r="C419" s="74" t="s">
        <v>95</v>
      </c>
      <c r="D419" s="75">
        <v>1</v>
      </c>
      <c r="E419" s="76">
        <v>5.36480686695E-4</v>
      </c>
    </row>
    <row r="420" spans="2:5" ht="15" customHeight="1">
      <c r="B420" s="101"/>
      <c r="C420" s="74" t="s">
        <v>96</v>
      </c>
      <c r="D420" s="75">
        <v>3</v>
      </c>
      <c r="E420" s="76">
        <v>1.609442060086E-3</v>
      </c>
    </row>
    <row r="421" spans="2:5" ht="15" customHeight="1">
      <c r="B421" s="101"/>
      <c r="C421" s="74" t="s">
        <v>97</v>
      </c>
      <c r="D421" s="75">
        <v>8</v>
      </c>
      <c r="E421" s="76">
        <v>4.2918454935620002E-3</v>
      </c>
    </row>
    <row r="422" spans="2:5" ht="15" customHeight="1">
      <c r="B422" s="101"/>
      <c r="C422" s="74" t="s">
        <v>100</v>
      </c>
      <c r="D422" s="75">
        <v>4</v>
      </c>
      <c r="E422" s="76">
        <v>2.1459227467810001E-3</v>
      </c>
    </row>
    <row r="423" spans="2:5" ht="15" customHeight="1">
      <c r="B423" s="101"/>
      <c r="C423" s="74" t="s">
        <v>101</v>
      </c>
      <c r="D423" s="75">
        <v>35</v>
      </c>
      <c r="E423" s="76">
        <v>1.8776824034335001E-2</v>
      </c>
    </row>
    <row r="424" spans="2:5" ht="15" customHeight="1">
      <c r="B424" s="101"/>
      <c r="C424" s="74" t="s">
        <v>102</v>
      </c>
      <c r="D424" s="75">
        <v>2</v>
      </c>
      <c r="E424" s="76">
        <v>1.0729613733910001E-3</v>
      </c>
    </row>
    <row r="425" spans="2:5" ht="15" customHeight="1">
      <c r="B425" s="101"/>
      <c r="C425" s="74" t="s">
        <v>103</v>
      </c>
      <c r="D425" s="75">
        <v>5</v>
      </c>
      <c r="E425" s="76">
        <v>2.6824034334760002E-3</v>
      </c>
    </row>
    <row r="426" spans="2:5" ht="15" customHeight="1">
      <c r="B426" s="101"/>
      <c r="C426" s="74" t="s">
        <v>104</v>
      </c>
      <c r="D426" s="75">
        <v>15</v>
      </c>
      <c r="E426" s="76">
        <v>8.0472103004290002E-3</v>
      </c>
    </row>
    <row r="427" spans="2:5" ht="15" customHeight="1">
      <c r="B427" s="101"/>
      <c r="C427" s="74" t="s">
        <v>105</v>
      </c>
      <c r="D427" s="75">
        <v>1</v>
      </c>
      <c r="E427" s="76">
        <v>5.36480686695E-4</v>
      </c>
    </row>
    <row r="428" spans="2:5" ht="15" customHeight="1">
      <c r="B428" s="101"/>
      <c r="C428" s="74" t="s">
        <v>106</v>
      </c>
      <c r="D428" s="75">
        <v>1</v>
      </c>
      <c r="E428" s="76">
        <v>5.36480686695E-4</v>
      </c>
    </row>
    <row r="429" spans="2:5" ht="15" customHeight="1">
      <c r="B429" s="101"/>
      <c r="C429" s="74" t="s">
        <v>109</v>
      </c>
      <c r="D429" s="75">
        <v>1</v>
      </c>
      <c r="E429" s="76">
        <v>5.36480686695E-4</v>
      </c>
    </row>
    <row r="430" spans="2:5" ht="15" customHeight="1">
      <c r="B430" s="101"/>
      <c r="C430" s="77" t="s">
        <v>233</v>
      </c>
      <c r="D430" s="78">
        <v>79</v>
      </c>
      <c r="E430" s="79">
        <v>4.2381974248927E-2</v>
      </c>
    </row>
    <row r="431" spans="2:5" ht="15" customHeight="1">
      <c r="B431" s="101" t="s">
        <v>74</v>
      </c>
      <c r="C431" s="74" t="s">
        <v>94</v>
      </c>
      <c r="D431" s="75">
        <v>2</v>
      </c>
      <c r="E431" s="76">
        <v>1.0729613733910001E-3</v>
      </c>
    </row>
    <row r="432" spans="2:5" ht="15" customHeight="1">
      <c r="B432" s="101"/>
      <c r="C432" s="74" t="s">
        <v>95</v>
      </c>
      <c r="D432" s="75">
        <v>1</v>
      </c>
      <c r="E432" s="76">
        <v>5.36480686695E-4</v>
      </c>
    </row>
    <row r="433" spans="2:5" ht="15" customHeight="1">
      <c r="B433" s="101"/>
      <c r="C433" s="74" t="s">
        <v>96</v>
      </c>
      <c r="D433" s="75">
        <v>4</v>
      </c>
      <c r="E433" s="76">
        <v>2.1459227467810001E-3</v>
      </c>
    </row>
    <row r="434" spans="2:5" ht="15" customHeight="1">
      <c r="B434" s="101"/>
      <c r="C434" s="74" t="s">
        <v>97</v>
      </c>
      <c r="D434" s="75">
        <v>2</v>
      </c>
      <c r="E434" s="76">
        <v>1.0729613733910001E-3</v>
      </c>
    </row>
    <row r="435" spans="2:5" ht="15" customHeight="1">
      <c r="B435" s="101"/>
      <c r="C435" s="74" t="s">
        <v>99</v>
      </c>
      <c r="D435" s="75">
        <v>1</v>
      </c>
      <c r="E435" s="76">
        <v>5.36480686695E-4</v>
      </c>
    </row>
    <row r="436" spans="2:5" ht="15" customHeight="1">
      <c r="B436" s="101"/>
      <c r="C436" s="74" t="s">
        <v>100</v>
      </c>
      <c r="D436" s="75">
        <v>2</v>
      </c>
      <c r="E436" s="76">
        <v>1.0729613733910001E-3</v>
      </c>
    </row>
    <row r="437" spans="2:5" ht="15" customHeight="1">
      <c r="B437" s="101"/>
      <c r="C437" s="74" t="s">
        <v>101</v>
      </c>
      <c r="D437" s="75">
        <v>8</v>
      </c>
      <c r="E437" s="76">
        <v>4.2918454935620002E-3</v>
      </c>
    </row>
    <row r="438" spans="2:5" ht="15" customHeight="1">
      <c r="B438" s="101"/>
      <c r="C438" s="74" t="s">
        <v>102</v>
      </c>
      <c r="D438" s="75">
        <v>1</v>
      </c>
      <c r="E438" s="76">
        <v>5.36480686695E-4</v>
      </c>
    </row>
    <row r="439" spans="2:5" ht="15" customHeight="1">
      <c r="B439" s="101"/>
      <c r="C439" s="74" t="s">
        <v>103</v>
      </c>
      <c r="D439" s="75">
        <v>1</v>
      </c>
      <c r="E439" s="76">
        <v>5.36480686695E-4</v>
      </c>
    </row>
    <row r="440" spans="2:5" ht="15" customHeight="1">
      <c r="B440" s="101"/>
      <c r="C440" s="74" t="s">
        <v>104</v>
      </c>
      <c r="D440" s="75">
        <v>2</v>
      </c>
      <c r="E440" s="76">
        <v>1.0729613733910001E-3</v>
      </c>
    </row>
    <row r="441" spans="2:5" ht="15" customHeight="1">
      <c r="B441" s="101"/>
      <c r="C441" s="74" t="s">
        <v>109</v>
      </c>
      <c r="D441" s="75">
        <v>3</v>
      </c>
      <c r="E441" s="76">
        <v>1.609442060086E-3</v>
      </c>
    </row>
    <row r="442" spans="2:5" ht="15" customHeight="1">
      <c r="B442" s="101"/>
      <c r="C442" s="77" t="s">
        <v>233</v>
      </c>
      <c r="D442" s="78">
        <v>27</v>
      </c>
      <c r="E442" s="79">
        <v>1.4484978540773E-2</v>
      </c>
    </row>
    <row r="443" spans="2:5" ht="15" customHeight="1">
      <c r="B443" s="101" t="s">
        <v>83</v>
      </c>
      <c r="C443" s="74" t="s">
        <v>101</v>
      </c>
      <c r="D443" s="75">
        <v>5</v>
      </c>
      <c r="E443" s="76">
        <v>2.6824034334760002E-3</v>
      </c>
    </row>
    <row r="444" spans="2:5" ht="15" customHeight="1">
      <c r="B444" s="101"/>
      <c r="C444" s="74" t="s">
        <v>104</v>
      </c>
      <c r="D444" s="75">
        <v>2</v>
      </c>
      <c r="E444" s="76">
        <v>1.0729613733910001E-3</v>
      </c>
    </row>
    <row r="445" spans="2:5" ht="15" customHeight="1">
      <c r="B445" s="101"/>
      <c r="C445" s="77" t="s">
        <v>233</v>
      </c>
      <c r="D445" s="78">
        <v>7</v>
      </c>
      <c r="E445" s="79">
        <v>3.755364806867E-3</v>
      </c>
    </row>
    <row r="446" spans="2:5" ht="15" customHeight="1">
      <c r="B446" s="101" t="s">
        <v>70</v>
      </c>
      <c r="C446" s="74" t="s">
        <v>91</v>
      </c>
      <c r="D446" s="75">
        <v>1</v>
      </c>
      <c r="E446" s="76">
        <v>5.36480686695E-4</v>
      </c>
    </row>
    <row r="447" spans="2:5" ht="15" customHeight="1">
      <c r="B447" s="101"/>
      <c r="C447" s="74" t="s">
        <v>94</v>
      </c>
      <c r="D447" s="75">
        <v>1</v>
      </c>
      <c r="E447" s="76">
        <v>5.36480686695E-4</v>
      </c>
    </row>
    <row r="448" spans="2:5" ht="15" customHeight="1">
      <c r="B448" s="101"/>
      <c r="C448" s="74" t="s">
        <v>96</v>
      </c>
      <c r="D448" s="75">
        <v>2</v>
      </c>
      <c r="E448" s="76">
        <v>1.0729613733910001E-3</v>
      </c>
    </row>
    <row r="449" spans="2:5" ht="15" customHeight="1">
      <c r="B449" s="101"/>
      <c r="C449" s="74" t="s">
        <v>97</v>
      </c>
      <c r="D449" s="75">
        <v>7</v>
      </c>
      <c r="E449" s="76">
        <v>3.755364806867E-3</v>
      </c>
    </row>
    <row r="450" spans="2:5" ht="15" customHeight="1">
      <c r="B450" s="101"/>
      <c r="C450" s="74" t="s">
        <v>98</v>
      </c>
      <c r="D450" s="75">
        <v>1</v>
      </c>
      <c r="E450" s="76">
        <v>5.36480686695E-4</v>
      </c>
    </row>
    <row r="451" spans="2:5" ht="15" customHeight="1">
      <c r="B451" s="101"/>
      <c r="C451" s="74" t="s">
        <v>99</v>
      </c>
      <c r="D451" s="75">
        <v>1</v>
      </c>
      <c r="E451" s="76">
        <v>5.36480686695E-4</v>
      </c>
    </row>
    <row r="452" spans="2:5" ht="15" customHeight="1">
      <c r="B452" s="101"/>
      <c r="C452" s="74" t="s">
        <v>100</v>
      </c>
      <c r="D452" s="75">
        <v>3</v>
      </c>
      <c r="E452" s="76">
        <v>1.609442060086E-3</v>
      </c>
    </row>
    <row r="453" spans="2:5" ht="15" customHeight="1">
      <c r="B453" s="101"/>
      <c r="C453" s="74" t="s">
        <v>101</v>
      </c>
      <c r="D453" s="75">
        <v>12</v>
      </c>
      <c r="E453" s="76">
        <v>6.4377682403429998E-3</v>
      </c>
    </row>
    <row r="454" spans="2:5" ht="15" customHeight="1">
      <c r="B454" s="101"/>
      <c r="C454" s="74" t="s">
        <v>103</v>
      </c>
      <c r="D454" s="75">
        <v>1</v>
      </c>
      <c r="E454" s="76">
        <v>5.36480686695E-4</v>
      </c>
    </row>
    <row r="455" spans="2:5" ht="15" customHeight="1">
      <c r="B455" s="101"/>
      <c r="C455" s="74" t="s">
        <v>104</v>
      </c>
      <c r="D455" s="75">
        <v>4</v>
      </c>
      <c r="E455" s="76">
        <v>2.1459227467810001E-3</v>
      </c>
    </row>
    <row r="456" spans="2:5" ht="15" customHeight="1">
      <c r="B456" s="101"/>
      <c r="C456" s="74" t="s">
        <v>109</v>
      </c>
      <c r="D456" s="75">
        <v>2</v>
      </c>
      <c r="E456" s="76">
        <v>1.0729613733910001E-3</v>
      </c>
    </row>
    <row r="457" spans="2:5" ht="15" customHeight="1">
      <c r="B457" s="101"/>
      <c r="C457" s="77" t="s">
        <v>233</v>
      </c>
      <c r="D457" s="78">
        <v>35</v>
      </c>
      <c r="E457" s="79">
        <v>1.8776824034335001E-2</v>
      </c>
    </row>
    <row r="458" spans="2:5" ht="15" customHeight="1">
      <c r="B458" s="101" t="s">
        <v>127</v>
      </c>
      <c r="C458" s="74" t="s">
        <v>97</v>
      </c>
      <c r="D458" s="75">
        <v>1</v>
      </c>
      <c r="E458" s="76">
        <v>5.36480686695E-4</v>
      </c>
    </row>
    <row r="459" spans="2:5" ht="15" customHeight="1">
      <c r="B459" s="101"/>
      <c r="C459" s="77" t="s">
        <v>233</v>
      </c>
      <c r="D459" s="78">
        <v>1</v>
      </c>
      <c r="E459" s="79">
        <v>5.36480686695E-4</v>
      </c>
    </row>
    <row r="460" spans="2:5" ht="15" customHeight="1">
      <c r="B460" s="99" t="s">
        <v>236</v>
      </c>
      <c r="C460" s="100"/>
      <c r="D460" s="80">
        <v>1864</v>
      </c>
      <c r="E460" s="81">
        <v>1</v>
      </c>
    </row>
    <row r="461" spans="2:5" ht="15" customHeight="1">
      <c r="B461" s="47"/>
      <c r="C461" s="47"/>
      <c r="D461" s="47"/>
      <c r="E461" s="47"/>
    </row>
    <row r="462" spans="2:5" ht="15" customHeight="1">
      <c r="B462" s="35" t="s">
        <v>120</v>
      </c>
      <c r="C462" s="33"/>
      <c r="D462" s="47"/>
      <c r="E462" s="47"/>
    </row>
    <row r="463" spans="2:5" ht="15" customHeight="1">
      <c r="B463" s="36" t="s">
        <v>17</v>
      </c>
      <c r="C463" s="33"/>
      <c r="D463" s="47"/>
      <c r="E463" s="47"/>
    </row>
    <row r="464" spans="2:5" ht="15" customHeight="1">
      <c r="B464" s="37" t="s">
        <v>117</v>
      </c>
      <c r="C464" s="33"/>
      <c r="D464" s="47"/>
      <c r="E464" s="47"/>
    </row>
    <row r="465" spans="2:5" ht="15" customHeight="1">
      <c r="B465" s="35" t="s">
        <v>16</v>
      </c>
      <c r="C465" s="33"/>
      <c r="D465" s="47"/>
      <c r="E465" s="47"/>
    </row>
    <row r="466" spans="2:5" ht="15" customHeight="1">
      <c r="B466" s="35" t="s">
        <v>234</v>
      </c>
      <c r="C466" s="33"/>
      <c r="D466" s="47"/>
      <c r="E466" s="47"/>
    </row>
    <row r="467" spans="2:5" ht="15" customHeight="1">
      <c r="B467" s="47"/>
      <c r="C467" s="47"/>
      <c r="D467" s="47"/>
      <c r="E467" s="47"/>
    </row>
  </sheetData>
  <mergeCells count="49">
    <mergeCell ref="B7:E8"/>
    <mergeCell ref="B10:B15"/>
    <mergeCell ref="B16:B30"/>
    <mergeCell ref="B31:B42"/>
    <mergeCell ref="B43:B51"/>
    <mergeCell ref="B52:B54"/>
    <mergeCell ref="B55:B61"/>
    <mergeCell ref="B62:B72"/>
    <mergeCell ref="B73:B87"/>
    <mergeCell ref="B88:B90"/>
    <mergeCell ref="B91:B101"/>
    <mergeCell ref="B102:B110"/>
    <mergeCell ref="B111:B115"/>
    <mergeCell ref="B116:B123"/>
    <mergeCell ref="B124:B135"/>
    <mergeCell ref="B136:B149"/>
    <mergeCell ref="B150:B157"/>
    <mergeCell ref="B158:B170"/>
    <mergeCell ref="B171:B176"/>
    <mergeCell ref="B177:B187"/>
    <mergeCell ref="B188:B200"/>
    <mergeCell ref="B201:B216"/>
    <mergeCell ref="B217:B226"/>
    <mergeCell ref="B227:B243"/>
    <mergeCell ref="B244:B248"/>
    <mergeCell ref="B249:B253"/>
    <mergeCell ref="B254:B264"/>
    <mergeCell ref="B265:B272"/>
    <mergeCell ref="B273:B284"/>
    <mergeCell ref="B285:B302"/>
    <mergeCell ref="B303:B317"/>
    <mergeCell ref="B318:B322"/>
    <mergeCell ref="B323:B331"/>
    <mergeCell ref="B332:B341"/>
    <mergeCell ref="B342:B346"/>
    <mergeCell ref="B347:B360"/>
    <mergeCell ref="B361:B369"/>
    <mergeCell ref="B370:B377"/>
    <mergeCell ref="B378:B380"/>
    <mergeCell ref="B381:B392"/>
    <mergeCell ref="B460:C460"/>
    <mergeCell ref="B443:B445"/>
    <mergeCell ref="B446:B457"/>
    <mergeCell ref="B458:B459"/>
    <mergeCell ref="B393:B398"/>
    <mergeCell ref="B399:B404"/>
    <mergeCell ref="B405:B415"/>
    <mergeCell ref="B416:B430"/>
    <mergeCell ref="B431:B44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rowBreaks count="2" manualBreakCount="2">
    <brk id="55" max="4" man="1"/>
    <brk id="102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0"/>
  <sheetViews>
    <sheetView showGridLines="0" view="pageBreakPreview" zoomScaleNormal="100" zoomScaleSheetLayoutView="100" workbookViewId="0">
      <selection activeCell="B14" sqref="B14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8"/>
    </row>
    <row r="2" spans="1:6" s="15" customFormat="1" ht="15" customHeight="1">
      <c r="C2" s="18"/>
    </row>
    <row r="3" spans="1:6" s="15" customFormat="1" ht="15" customHeight="1">
      <c r="C3" s="18"/>
    </row>
    <row r="4" spans="1:6" s="15" customFormat="1" ht="30" customHeight="1">
      <c r="C4" s="18"/>
      <c r="D4" s="17"/>
    </row>
    <row r="5" spans="1:6" s="15" customFormat="1" ht="15" customHeight="1">
      <c r="C5" s="18"/>
      <c r="D5" s="17"/>
    </row>
    <row r="6" spans="1:6" s="15" customFormat="1" ht="15" customHeight="1">
      <c r="C6" s="18"/>
      <c r="D6" s="17"/>
    </row>
    <row r="7" spans="1:6" s="15" customFormat="1" ht="15" customHeight="1">
      <c r="A7" s="29"/>
      <c r="B7" s="92" t="s">
        <v>35</v>
      </c>
      <c r="C7" s="92"/>
      <c r="D7" s="92"/>
      <c r="E7" s="29"/>
      <c r="F7" s="29"/>
    </row>
    <row r="8" spans="1:6" s="15" customFormat="1" ht="15" customHeight="1">
      <c r="A8" s="29"/>
      <c r="B8" s="92"/>
      <c r="C8" s="92"/>
      <c r="D8" s="92"/>
      <c r="E8" s="29"/>
      <c r="F8" s="29"/>
    </row>
    <row r="9" spans="1:6" s="15" customFormat="1" ht="33" customHeight="1">
      <c r="A9" s="29"/>
      <c r="B9" s="92"/>
      <c r="C9" s="92"/>
      <c r="D9" s="92"/>
      <c r="E9" s="29"/>
      <c r="F9" s="29"/>
    </row>
    <row r="10" spans="1:6" s="15" customFormat="1" ht="4.5" customHeight="1">
      <c r="A10" s="29"/>
      <c r="B10" s="40"/>
      <c r="C10" s="40"/>
      <c r="D10" s="40"/>
      <c r="E10" s="29"/>
      <c r="F10" s="29"/>
    </row>
    <row r="11" spans="1:6" s="15" customFormat="1" ht="33" customHeight="1">
      <c r="A11" s="29"/>
      <c r="B11" s="30" t="s">
        <v>28</v>
      </c>
      <c r="C11" s="31" t="s">
        <v>19</v>
      </c>
      <c r="D11" s="32" t="s">
        <v>18</v>
      </c>
      <c r="E11" s="29"/>
      <c r="F11" s="29"/>
    </row>
    <row r="12" spans="1:6" ht="15" customHeight="1">
      <c r="A12" s="33"/>
      <c r="B12" s="60" t="s">
        <v>194</v>
      </c>
      <c r="C12" s="55">
        <v>581</v>
      </c>
      <c r="D12" s="56">
        <v>0.31169527896995702</v>
      </c>
      <c r="E12" s="33"/>
      <c r="F12" s="33"/>
    </row>
    <row r="13" spans="1:6" ht="15" customHeight="1">
      <c r="A13" s="33"/>
      <c r="B13" s="60" t="s">
        <v>195</v>
      </c>
      <c r="C13" s="55">
        <v>1283</v>
      </c>
      <c r="D13" s="56">
        <v>0.68830472103004303</v>
      </c>
      <c r="E13" s="33"/>
      <c r="F13" s="33"/>
    </row>
    <row r="14" spans="1:6" ht="15" customHeight="1">
      <c r="A14" s="33"/>
      <c r="B14" s="69" t="s">
        <v>235</v>
      </c>
      <c r="C14" s="58">
        <v>1864</v>
      </c>
      <c r="D14" s="59">
        <v>1</v>
      </c>
      <c r="E14" s="33"/>
      <c r="F14" s="33"/>
    </row>
    <row r="15" spans="1:6" ht="16.5">
      <c r="A15" s="33"/>
      <c r="B15" s="33"/>
      <c r="C15" s="34"/>
      <c r="D15" s="34"/>
      <c r="E15" s="33"/>
      <c r="F15" s="33"/>
    </row>
    <row r="16" spans="1:6" ht="16.5">
      <c r="B16" s="35" t="s">
        <v>120</v>
      </c>
      <c r="C16" s="34"/>
      <c r="D16" s="34"/>
      <c r="E16" s="33"/>
      <c r="F16" s="33"/>
    </row>
    <row r="17" spans="2:6" ht="16.5">
      <c r="B17" s="36" t="s">
        <v>17</v>
      </c>
      <c r="C17" s="49"/>
      <c r="D17" s="49"/>
      <c r="E17" s="33"/>
      <c r="F17" s="33"/>
    </row>
    <row r="18" spans="2:6" ht="16.5">
      <c r="B18" s="37" t="s">
        <v>117</v>
      </c>
      <c r="C18" s="50"/>
      <c r="D18" s="50"/>
      <c r="E18" s="33"/>
      <c r="F18" s="33"/>
    </row>
    <row r="19" spans="2:6" ht="16.5">
      <c r="B19" s="35" t="s">
        <v>16</v>
      </c>
      <c r="C19" s="34"/>
      <c r="D19" s="33"/>
      <c r="E19" s="33"/>
      <c r="F19" s="33"/>
    </row>
    <row r="20" spans="2:6" ht="16.5">
      <c r="B20" s="35" t="s">
        <v>234</v>
      </c>
      <c r="C20" s="34"/>
      <c r="D20" s="33"/>
      <c r="E20" s="33"/>
      <c r="F20" s="3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G160"/>
  <sheetViews>
    <sheetView showGridLines="0" view="pageBreakPreview" topLeftCell="A128" zoomScale="115" zoomScaleNormal="100" zoomScaleSheetLayoutView="115" workbookViewId="0">
      <selection activeCell="D152" sqref="D152"/>
    </sheetView>
  </sheetViews>
  <sheetFormatPr baseColWidth="10" defaultColWidth="11.42578125" defaultRowHeight="11.25"/>
  <cols>
    <col min="1" max="1" width="5.7109375" style="15" customWidth="1"/>
    <col min="2" max="2" width="21.42578125" style="22" customWidth="1"/>
    <col min="3" max="3" width="21" style="22" customWidth="1"/>
    <col min="4" max="4" width="17.28515625" style="25" customWidth="1"/>
    <col min="5" max="5" width="15.140625" style="22" bestFit="1" customWidth="1"/>
    <col min="6" max="6" width="5.7109375" style="15" customWidth="1"/>
    <col min="7" max="16384" width="11.42578125" style="15"/>
  </cols>
  <sheetData>
    <row r="1" spans="1:7" s="13" customFormat="1" ht="15">
      <c r="B1" s="22"/>
      <c r="C1" s="22"/>
    </row>
    <row r="2" spans="1:7" s="22" customFormat="1">
      <c r="B2" s="27"/>
    </row>
    <row r="3" spans="1:7" ht="15" customHeight="1">
      <c r="B3" s="28"/>
      <c r="C3" s="18"/>
      <c r="D3" s="15"/>
      <c r="F3" s="22"/>
    </row>
    <row r="4" spans="1:7" ht="30" customHeight="1">
      <c r="B4" s="28"/>
      <c r="C4" s="18"/>
      <c r="D4" s="15"/>
      <c r="F4" s="22"/>
    </row>
    <row r="5" spans="1:7" ht="15" customHeight="1">
      <c r="B5" s="28"/>
      <c r="C5" s="18"/>
      <c r="D5" s="15"/>
      <c r="F5" s="22"/>
    </row>
    <row r="6" spans="1:7" s="22" customFormat="1">
      <c r="B6" s="24"/>
      <c r="C6" s="21"/>
    </row>
    <row r="7" spans="1:7" s="22" customFormat="1">
      <c r="B7" s="27"/>
    </row>
    <row r="8" spans="1:7" s="13" customFormat="1" ht="15" customHeight="1">
      <c r="A8" s="33"/>
      <c r="B8" s="92" t="s">
        <v>40</v>
      </c>
      <c r="C8" s="92"/>
      <c r="D8" s="92"/>
      <c r="E8" s="92"/>
      <c r="F8" s="33"/>
      <c r="G8" s="33"/>
    </row>
    <row r="9" spans="1:7" s="13" customFormat="1" ht="15" customHeight="1">
      <c r="A9" s="33"/>
      <c r="B9" s="92"/>
      <c r="C9" s="92"/>
      <c r="D9" s="92"/>
      <c r="E9" s="92"/>
      <c r="F9" s="51"/>
      <c r="G9" s="33"/>
    </row>
    <row r="10" spans="1:7" s="13" customFormat="1" ht="15" customHeight="1">
      <c r="A10" s="33"/>
      <c r="B10" s="92"/>
      <c r="C10" s="92"/>
      <c r="D10" s="92"/>
      <c r="E10" s="92"/>
      <c r="F10" s="33"/>
      <c r="G10" s="33"/>
    </row>
    <row r="11" spans="1:7" s="13" customFormat="1" ht="15" customHeight="1">
      <c r="A11" s="33"/>
      <c r="B11" s="52"/>
      <c r="C11" s="52"/>
      <c r="D11" s="52"/>
      <c r="E11" s="52"/>
      <c r="F11" s="33"/>
      <c r="G11" s="33"/>
    </row>
    <row r="12" spans="1:7" s="13" customFormat="1" ht="36.950000000000003" customHeight="1">
      <c r="A12" s="33"/>
      <c r="B12" s="82" t="s">
        <v>21</v>
      </c>
      <c r="C12" s="82" t="s">
        <v>28</v>
      </c>
      <c r="D12" s="82" t="s">
        <v>19</v>
      </c>
      <c r="E12" s="82" t="s">
        <v>18</v>
      </c>
      <c r="F12" s="33"/>
      <c r="G12" s="33"/>
    </row>
    <row r="13" spans="1:7" ht="15" customHeight="1">
      <c r="A13" s="29"/>
      <c r="B13" s="103" t="s">
        <v>86</v>
      </c>
      <c r="C13" s="54" t="s">
        <v>194</v>
      </c>
      <c r="D13" s="55">
        <v>2</v>
      </c>
      <c r="E13" s="56">
        <v>1.0729613733910001E-3</v>
      </c>
      <c r="F13" s="29"/>
      <c r="G13" s="29"/>
    </row>
    <row r="14" spans="1:7" ht="15" customHeight="1">
      <c r="A14" s="29"/>
      <c r="B14" s="103"/>
      <c r="C14" s="54" t="s">
        <v>195</v>
      </c>
      <c r="D14" s="55">
        <v>9</v>
      </c>
      <c r="E14" s="56">
        <v>4.8283261802580003E-3</v>
      </c>
      <c r="F14" s="29"/>
      <c r="G14" s="29"/>
    </row>
    <row r="15" spans="1:7" ht="15" customHeight="1">
      <c r="A15" s="29"/>
      <c r="B15" s="103"/>
      <c r="C15" s="67" t="s">
        <v>233</v>
      </c>
      <c r="D15" s="66">
        <v>11</v>
      </c>
      <c r="E15" s="68">
        <v>5.9012875536479997E-3</v>
      </c>
      <c r="F15" s="29"/>
      <c r="G15" s="29"/>
    </row>
    <row r="16" spans="1:7" ht="15" customHeight="1">
      <c r="A16" s="29"/>
      <c r="B16" s="103" t="s">
        <v>46</v>
      </c>
      <c r="C16" s="54" t="s">
        <v>194</v>
      </c>
      <c r="D16" s="55">
        <v>35</v>
      </c>
      <c r="E16" s="56">
        <v>1.8776824034335001E-2</v>
      </c>
      <c r="F16" s="29"/>
      <c r="G16" s="29"/>
    </row>
    <row r="17" spans="1:7" ht="15" customHeight="1">
      <c r="A17" s="29"/>
      <c r="B17" s="103"/>
      <c r="C17" s="54" t="s">
        <v>195</v>
      </c>
      <c r="D17" s="55">
        <v>85</v>
      </c>
      <c r="E17" s="56">
        <v>4.5600858369099002E-2</v>
      </c>
      <c r="F17" s="29"/>
      <c r="G17" s="29"/>
    </row>
    <row r="18" spans="1:7" ht="15" customHeight="1">
      <c r="A18" s="29"/>
      <c r="B18" s="103"/>
      <c r="C18" s="67" t="s">
        <v>233</v>
      </c>
      <c r="D18" s="66">
        <v>120</v>
      </c>
      <c r="E18" s="68">
        <v>6.4377682403433001E-2</v>
      </c>
      <c r="F18" s="29"/>
      <c r="G18" s="29"/>
    </row>
    <row r="19" spans="1:7" ht="15" customHeight="1">
      <c r="A19" s="29"/>
      <c r="B19" s="103" t="s">
        <v>55</v>
      </c>
      <c r="C19" s="54" t="s">
        <v>194</v>
      </c>
      <c r="D19" s="55">
        <v>25</v>
      </c>
      <c r="E19" s="56">
        <v>1.3412017167382001E-2</v>
      </c>
      <c r="F19" s="29"/>
      <c r="G19" s="29"/>
    </row>
    <row r="20" spans="1:7" ht="15" customHeight="1">
      <c r="A20" s="29"/>
      <c r="B20" s="103"/>
      <c r="C20" s="54" t="s">
        <v>195</v>
      </c>
      <c r="D20" s="55">
        <v>36</v>
      </c>
      <c r="E20" s="56">
        <v>1.9313304721029999E-2</v>
      </c>
      <c r="F20" s="29"/>
      <c r="G20" s="29"/>
    </row>
    <row r="21" spans="1:7" ht="15" customHeight="1">
      <c r="A21" s="29"/>
      <c r="B21" s="103"/>
      <c r="C21" s="67" t="s">
        <v>233</v>
      </c>
      <c r="D21" s="66">
        <v>61</v>
      </c>
      <c r="E21" s="68">
        <v>3.2725321888411998E-2</v>
      </c>
      <c r="F21" s="29"/>
      <c r="G21" s="29"/>
    </row>
    <row r="22" spans="1:7" ht="15" customHeight="1">
      <c r="A22" s="29"/>
      <c r="B22" s="103" t="s">
        <v>81</v>
      </c>
      <c r="C22" s="54" t="s">
        <v>194</v>
      </c>
      <c r="D22" s="55">
        <v>8</v>
      </c>
      <c r="E22" s="56">
        <v>4.2918454935620002E-3</v>
      </c>
      <c r="F22" s="29"/>
      <c r="G22" s="29"/>
    </row>
    <row r="23" spans="1:7" ht="15" customHeight="1">
      <c r="A23" s="29"/>
      <c r="B23" s="103"/>
      <c r="C23" s="54" t="s">
        <v>195</v>
      </c>
      <c r="D23" s="55">
        <v>8</v>
      </c>
      <c r="E23" s="56">
        <v>4.2918454935620002E-3</v>
      </c>
      <c r="F23" s="29"/>
      <c r="G23" s="29"/>
    </row>
    <row r="24" spans="1:7" ht="15" customHeight="1">
      <c r="A24" s="29"/>
      <c r="B24" s="103"/>
      <c r="C24" s="67" t="s">
        <v>233</v>
      </c>
      <c r="D24" s="66">
        <v>16</v>
      </c>
      <c r="E24" s="68">
        <v>8.5836909871240003E-3</v>
      </c>
      <c r="F24" s="29"/>
      <c r="G24" s="29"/>
    </row>
    <row r="25" spans="1:7" ht="15" customHeight="1">
      <c r="A25" s="29"/>
      <c r="B25" s="103" t="s">
        <v>84</v>
      </c>
      <c r="C25" s="54" t="s">
        <v>194</v>
      </c>
      <c r="D25" s="55">
        <v>1</v>
      </c>
      <c r="E25" s="56">
        <v>5.36480686695E-4</v>
      </c>
      <c r="F25" s="29"/>
      <c r="G25" s="29"/>
    </row>
    <row r="26" spans="1:7" ht="15" customHeight="1">
      <c r="A26" s="29"/>
      <c r="B26" s="103"/>
      <c r="C26" s="54" t="s">
        <v>195</v>
      </c>
      <c r="D26" s="55">
        <v>1</v>
      </c>
      <c r="E26" s="56">
        <v>5.36480686695E-4</v>
      </c>
      <c r="F26" s="29"/>
      <c r="G26" s="29"/>
    </row>
    <row r="27" spans="1:7" ht="15" customHeight="1">
      <c r="A27" s="29"/>
      <c r="B27" s="103"/>
      <c r="C27" s="67" t="s">
        <v>233</v>
      </c>
      <c r="D27" s="66">
        <v>2</v>
      </c>
      <c r="E27" s="68">
        <v>1.0729613733910001E-3</v>
      </c>
      <c r="F27" s="29"/>
      <c r="G27" s="29"/>
    </row>
    <row r="28" spans="1:7" ht="15" customHeight="1">
      <c r="A28" s="29"/>
      <c r="B28" s="103" t="s">
        <v>78</v>
      </c>
      <c r="C28" s="54" t="s">
        <v>194</v>
      </c>
      <c r="D28" s="55">
        <v>3</v>
      </c>
      <c r="E28" s="56">
        <v>1.609442060086E-3</v>
      </c>
      <c r="F28" s="29"/>
      <c r="G28" s="29"/>
    </row>
    <row r="29" spans="1:7" ht="15" customHeight="1">
      <c r="A29" s="29"/>
      <c r="B29" s="103"/>
      <c r="C29" s="54" t="s">
        <v>195</v>
      </c>
      <c r="D29" s="55">
        <v>8</v>
      </c>
      <c r="E29" s="56">
        <v>4.2918454935620002E-3</v>
      </c>
      <c r="F29" s="29"/>
      <c r="G29" s="29"/>
    </row>
    <row r="30" spans="1:7" ht="15" customHeight="1">
      <c r="A30" s="29"/>
      <c r="B30" s="103"/>
      <c r="C30" s="67" t="s">
        <v>233</v>
      </c>
      <c r="D30" s="66">
        <v>11</v>
      </c>
      <c r="E30" s="68">
        <v>5.9012875536479997E-3</v>
      </c>
      <c r="F30" s="29"/>
      <c r="G30" s="29"/>
    </row>
    <row r="31" spans="1:7" ht="15" customHeight="1">
      <c r="A31" s="29"/>
      <c r="B31" s="103" t="s">
        <v>51</v>
      </c>
      <c r="C31" s="54" t="s">
        <v>194</v>
      </c>
      <c r="D31" s="55">
        <v>16</v>
      </c>
      <c r="E31" s="56">
        <v>8.5836909871240003E-3</v>
      </c>
      <c r="F31" s="29"/>
      <c r="G31" s="29"/>
    </row>
    <row r="32" spans="1:7" ht="15" customHeight="1">
      <c r="A32" s="29"/>
      <c r="B32" s="103"/>
      <c r="C32" s="54" t="s">
        <v>195</v>
      </c>
      <c r="D32" s="55">
        <v>37</v>
      </c>
      <c r="E32" s="56">
        <v>1.9849785407725001E-2</v>
      </c>
      <c r="F32" s="29"/>
      <c r="G32" s="29"/>
    </row>
    <row r="33" spans="1:7" ht="15" customHeight="1">
      <c r="A33" s="29"/>
      <c r="B33" s="103"/>
      <c r="C33" s="67" t="s">
        <v>233</v>
      </c>
      <c r="D33" s="66">
        <v>53</v>
      </c>
      <c r="E33" s="68">
        <v>2.8433476394849999E-2</v>
      </c>
      <c r="F33" s="29"/>
      <c r="G33" s="29"/>
    </row>
    <row r="34" spans="1:7" ht="15" customHeight="1">
      <c r="A34" s="29"/>
      <c r="B34" s="103" t="s">
        <v>49</v>
      </c>
      <c r="C34" s="54" t="s">
        <v>194</v>
      </c>
      <c r="D34" s="55">
        <v>31</v>
      </c>
      <c r="E34" s="56">
        <v>1.6630901287554001E-2</v>
      </c>
      <c r="F34" s="29"/>
      <c r="G34" s="29"/>
    </row>
    <row r="35" spans="1:7" ht="15" customHeight="1">
      <c r="A35" s="29"/>
      <c r="B35" s="103"/>
      <c r="C35" s="54" t="s">
        <v>195</v>
      </c>
      <c r="D35" s="55">
        <v>57</v>
      </c>
      <c r="E35" s="56">
        <v>3.0579399141630999E-2</v>
      </c>
      <c r="F35" s="29"/>
      <c r="G35" s="29"/>
    </row>
    <row r="36" spans="1:7" ht="15" customHeight="1">
      <c r="A36" s="29"/>
      <c r="B36" s="103"/>
      <c r="C36" s="67" t="s">
        <v>233</v>
      </c>
      <c r="D36" s="66">
        <v>88</v>
      </c>
      <c r="E36" s="68">
        <v>4.7210300429184997E-2</v>
      </c>
      <c r="F36" s="29"/>
      <c r="G36" s="29"/>
    </row>
    <row r="37" spans="1:7" ht="15" customHeight="1">
      <c r="A37" s="29"/>
      <c r="B37" s="103" t="s">
        <v>126</v>
      </c>
      <c r="C37" s="54" t="s">
        <v>195</v>
      </c>
      <c r="D37" s="55">
        <v>2</v>
      </c>
      <c r="E37" s="56">
        <v>1.0729613733910001E-3</v>
      </c>
      <c r="F37" s="29"/>
      <c r="G37" s="29"/>
    </row>
    <row r="38" spans="1:7" ht="15" customHeight="1">
      <c r="A38" s="29"/>
      <c r="B38" s="103"/>
      <c r="C38" s="67" t="s">
        <v>233</v>
      </c>
      <c r="D38" s="66">
        <v>2</v>
      </c>
      <c r="E38" s="68">
        <v>1.0729613733910001E-3</v>
      </c>
      <c r="F38" s="29"/>
      <c r="G38" s="29"/>
    </row>
    <row r="39" spans="1:7" ht="15" customHeight="1">
      <c r="A39" s="29"/>
      <c r="B39" s="103" t="s">
        <v>61</v>
      </c>
      <c r="C39" s="54" t="s">
        <v>194</v>
      </c>
      <c r="D39" s="55">
        <v>16</v>
      </c>
      <c r="E39" s="56">
        <v>8.5836909871240003E-3</v>
      </c>
      <c r="F39" s="29"/>
      <c r="G39" s="29"/>
    </row>
    <row r="40" spans="1:7" ht="15" customHeight="1">
      <c r="A40" s="29"/>
      <c r="B40" s="103"/>
      <c r="C40" s="54" t="s">
        <v>195</v>
      </c>
      <c r="D40" s="55">
        <v>37</v>
      </c>
      <c r="E40" s="56">
        <v>1.9849785407725001E-2</v>
      </c>
      <c r="F40" s="29"/>
      <c r="G40" s="29"/>
    </row>
    <row r="41" spans="1:7" ht="15" customHeight="1">
      <c r="A41" s="29"/>
      <c r="B41" s="103"/>
      <c r="C41" s="67" t="s">
        <v>233</v>
      </c>
      <c r="D41" s="66">
        <v>53</v>
      </c>
      <c r="E41" s="68">
        <v>2.8433476394849999E-2</v>
      </c>
      <c r="F41" s="29"/>
      <c r="G41" s="29"/>
    </row>
    <row r="42" spans="1:7" ht="15" customHeight="1">
      <c r="A42" s="29"/>
      <c r="B42" s="103" t="s">
        <v>67</v>
      </c>
      <c r="C42" s="54" t="s">
        <v>194</v>
      </c>
      <c r="D42" s="55">
        <v>10</v>
      </c>
      <c r="E42" s="56">
        <v>5.3648068669529996E-3</v>
      </c>
      <c r="F42" s="29"/>
      <c r="G42" s="29"/>
    </row>
    <row r="43" spans="1:7" ht="15" customHeight="1">
      <c r="A43" s="29"/>
      <c r="B43" s="103"/>
      <c r="C43" s="54" t="s">
        <v>195</v>
      </c>
      <c r="D43" s="55">
        <v>33</v>
      </c>
      <c r="E43" s="56">
        <v>1.7703862660944002E-2</v>
      </c>
      <c r="F43" s="29"/>
      <c r="G43" s="29"/>
    </row>
    <row r="44" spans="1:7" ht="15" customHeight="1">
      <c r="A44" s="29"/>
      <c r="B44" s="103"/>
      <c r="C44" s="67" t="s">
        <v>233</v>
      </c>
      <c r="D44" s="66">
        <v>43</v>
      </c>
      <c r="E44" s="68">
        <v>2.3068669527897E-2</v>
      </c>
      <c r="F44" s="29"/>
      <c r="G44" s="29"/>
    </row>
    <row r="45" spans="1:7" ht="15" customHeight="1">
      <c r="A45" s="29"/>
      <c r="B45" s="103" t="s">
        <v>87</v>
      </c>
      <c r="C45" s="54" t="s">
        <v>194</v>
      </c>
      <c r="D45" s="55">
        <v>2</v>
      </c>
      <c r="E45" s="56">
        <v>1.0729613733910001E-3</v>
      </c>
      <c r="F45" s="29"/>
      <c r="G45" s="29"/>
    </row>
    <row r="46" spans="1:7" ht="15" customHeight="1">
      <c r="A46" s="29"/>
      <c r="B46" s="103"/>
      <c r="C46" s="54" t="s">
        <v>195</v>
      </c>
      <c r="D46" s="55">
        <v>3</v>
      </c>
      <c r="E46" s="56">
        <v>1.609442060086E-3</v>
      </c>
      <c r="F46" s="29"/>
      <c r="G46" s="29"/>
    </row>
    <row r="47" spans="1:7" ht="15" customHeight="1">
      <c r="A47" s="29"/>
      <c r="B47" s="103"/>
      <c r="C47" s="67" t="s">
        <v>233</v>
      </c>
      <c r="D47" s="66">
        <v>5</v>
      </c>
      <c r="E47" s="68">
        <v>2.6824034334760002E-3</v>
      </c>
      <c r="F47" s="29"/>
      <c r="G47" s="29"/>
    </row>
    <row r="48" spans="1:7" ht="15" customHeight="1">
      <c r="A48" s="29"/>
      <c r="B48" s="103" t="s">
        <v>79</v>
      </c>
      <c r="C48" s="54" t="s">
        <v>194</v>
      </c>
      <c r="D48" s="55">
        <v>9</v>
      </c>
      <c r="E48" s="56">
        <v>4.8283261802580003E-3</v>
      </c>
      <c r="F48" s="29"/>
      <c r="G48" s="29"/>
    </row>
    <row r="49" spans="1:7" ht="15" customHeight="1">
      <c r="A49" s="29"/>
      <c r="B49" s="103"/>
      <c r="C49" s="54" t="s">
        <v>195</v>
      </c>
      <c r="D49" s="55">
        <v>6</v>
      </c>
      <c r="E49" s="56">
        <v>3.2188841201719999E-3</v>
      </c>
      <c r="F49" s="29"/>
      <c r="G49" s="29"/>
    </row>
    <row r="50" spans="1:7" ht="15" customHeight="1">
      <c r="A50" s="29"/>
      <c r="B50" s="103"/>
      <c r="C50" s="67" t="s">
        <v>233</v>
      </c>
      <c r="D50" s="66">
        <v>15</v>
      </c>
      <c r="E50" s="68">
        <v>8.0472103004290002E-3</v>
      </c>
      <c r="F50" s="29"/>
      <c r="G50" s="29"/>
    </row>
    <row r="51" spans="1:7" ht="15" customHeight="1">
      <c r="A51" s="29"/>
      <c r="B51" s="103" t="s">
        <v>71</v>
      </c>
      <c r="C51" s="54" t="s">
        <v>194</v>
      </c>
      <c r="D51" s="55">
        <v>6</v>
      </c>
      <c r="E51" s="56">
        <v>3.2188841201719999E-3</v>
      </c>
      <c r="F51" s="29"/>
      <c r="G51" s="29"/>
    </row>
    <row r="52" spans="1:7" ht="15" customHeight="1">
      <c r="A52" s="29"/>
      <c r="B52" s="103"/>
      <c r="C52" s="54" t="s">
        <v>195</v>
      </c>
      <c r="D52" s="55">
        <v>13</v>
      </c>
      <c r="E52" s="56">
        <v>6.974248927039E-3</v>
      </c>
      <c r="F52" s="29"/>
      <c r="G52" s="29"/>
    </row>
    <row r="53" spans="1:7" ht="15" customHeight="1">
      <c r="A53" s="29"/>
      <c r="B53" s="103"/>
      <c r="C53" s="67" t="s">
        <v>233</v>
      </c>
      <c r="D53" s="66">
        <v>19</v>
      </c>
      <c r="E53" s="68">
        <v>1.019313304721E-2</v>
      </c>
      <c r="F53" s="29"/>
      <c r="G53" s="29"/>
    </row>
    <row r="54" spans="1:7" ht="15" customHeight="1">
      <c r="A54" s="29"/>
      <c r="B54" s="103" t="s">
        <v>52</v>
      </c>
      <c r="C54" s="54" t="s">
        <v>194</v>
      </c>
      <c r="D54" s="55">
        <v>23</v>
      </c>
      <c r="E54" s="56">
        <v>1.2339055793990999E-2</v>
      </c>
      <c r="F54" s="29"/>
      <c r="G54" s="29"/>
    </row>
    <row r="55" spans="1:7" ht="15" customHeight="1">
      <c r="A55" s="29"/>
      <c r="B55" s="103"/>
      <c r="C55" s="54" t="s">
        <v>195</v>
      </c>
      <c r="D55" s="55">
        <v>42</v>
      </c>
      <c r="E55" s="56">
        <v>2.2532188841201999E-2</v>
      </c>
      <c r="F55" s="29"/>
      <c r="G55" s="29"/>
    </row>
    <row r="56" spans="1:7" ht="15" customHeight="1">
      <c r="A56" s="29"/>
      <c r="B56" s="103"/>
      <c r="C56" s="67" t="s">
        <v>233</v>
      </c>
      <c r="D56" s="66">
        <v>65</v>
      </c>
      <c r="E56" s="68">
        <v>3.4871244635192998E-2</v>
      </c>
      <c r="F56" s="29"/>
      <c r="G56" s="29"/>
    </row>
    <row r="57" spans="1:7" ht="15" customHeight="1">
      <c r="A57" s="29"/>
      <c r="B57" s="103" t="s">
        <v>63</v>
      </c>
      <c r="C57" s="54" t="s">
        <v>194</v>
      </c>
      <c r="D57" s="55">
        <v>8</v>
      </c>
      <c r="E57" s="56">
        <v>4.2918454935620002E-3</v>
      </c>
      <c r="F57" s="29"/>
      <c r="G57" s="29"/>
    </row>
    <row r="58" spans="1:7" ht="15" customHeight="1">
      <c r="A58" s="29"/>
      <c r="B58" s="103"/>
      <c r="C58" s="54" t="s">
        <v>195</v>
      </c>
      <c r="D58" s="55">
        <v>22</v>
      </c>
      <c r="E58" s="56">
        <v>1.1802575107295999E-2</v>
      </c>
      <c r="F58" s="29"/>
      <c r="G58" s="29"/>
    </row>
    <row r="59" spans="1:7" ht="15" customHeight="1">
      <c r="A59" s="29"/>
      <c r="B59" s="103"/>
      <c r="C59" s="67" t="s">
        <v>233</v>
      </c>
      <c r="D59" s="66">
        <v>30</v>
      </c>
      <c r="E59" s="68">
        <v>1.6094420600858E-2</v>
      </c>
      <c r="F59" s="29"/>
      <c r="G59" s="29"/>
    </row>
    <row r="60" spans="1:7" ht="15" customHeight="1">
      <c r="A60" s="29"/>
      <c r="B60" s="103" t="s">
        <v>59</v>
      </c>
      <c r="C60" s="54" t="s">
        <v>194</v>
      </c>
      <c r="D60" s="55">
        <v>17</v>
      </c>
      <c r="E60" s="56">
        <v>9.1201716738199996E-3</v>
      </c>
      <c r="F60" s="29"/>
      <c r="G60" s="29"/>
    </row>
    <row r="61" spans="1:7" ht="15" customHeight="1">
      <c r="A61" s="29"/>
      <c r="B61" s="103"/>
      <c r="C61" s="54" t="s">
        <v>195</v>
      </c>
      <c r="D61" s="55">
        <v>52</v>
      </c>
      <c r="E61" s="56">
        <v>2.7896995708155001E-2</v>
      </c>
      <c r="F61" s="29"/>
      <c r="G61" s="29"/>
    </row>
    <row r="62" spans="1:7" ht="15" customHeight="1">
      <c r="A62" s="29"/>
      <c r="B62" s="103"/>
      <c r="C62" s="67" t="s">
        <v>233</v>
      </c>
      <c r="D62" s="66">
        <v>69</v>
      </c>
      <c r="E62" s="68">
        <v>3.7017167381973998E-2</v>
      </c>
      <c r="F62" s="29"/>
      <c r="G62" s="29"/>
    </row>
    <row r="63" spans="1:7" ht="15" customHeight="1">
      <c r="A63" s="29"/>
      <c r="B63" s="103" t="s">
        <v>77</v>
      </c>
      <c r="C63" s="54" t="s">
        <v>194</v>
      </c>
      <c r="D63" s="55">
        <v>2</v>
      </c>
      <c r="E63" s="56">
        <v>1.0729613733910001E-3</v>
      </c>
      <c r="F63" s="29"/>
      <c r="G63" s="29"/>
    </row>
    <row r="64" spans="1:7" ht="15" customHeight="1">
      <c r="A64" s="29"/>
      <c r="B64" s="103"/>
      <c r="C64" s="54" t="s">
        <v>195</v>
      </c>
      <c r="D64" s="55">
        <v>7</v>
      </c>
      <c r="E64" s="56">
        <v>3.755364806867E-3</v>
      </c>
      <c r="F64" s="29"/>
      <c r="G64" s="29"/>
    </row>
    <row r="65" spans="1:7" ht="15" customHeight="1">
      <c r="A65" s="29"/>
      <c r="B65" s="103"/>
      <c r="C65" s="67" t="s">
        <v>233</v>
      </c>
      <c r="D65" s="66">
        <v>9</v>
      </c>
      <c r="E65" s="68">
        <v>4.8283261802580003E-3</v>
      </c>
      <c r="F65" s="29"/>
      <c r="G65" s="29"/>
    </row>
    <row r="66" spans="1:7" ht="15" customHeight="1">
      <c r="A66" s="29"/>
      <c r="B66" s="103" t="s">
        <v>65</v>
      </c>
      <c r="C66" s="54" t="s">
        <v>194</v>
      </c>
      <c r="D66" s="55">
        <v>11</v>
      </c>
      <c r="E66" s="56">
        <v>5.9012875536479997E-3</v>
      </c>
      <c r="F66" s="29"/>
      <c r="G66" s="29"/>
    </row>
    <row r="67" spans="1:7" ht="15" customHeight="1">
      <c r="A67" s="29"/>
      <c r="B67" s="103"/>
      <c r="C67" s="54" t="s">
        <v>195</v>
      </c>
      <c r="D67" s="55">
        <v>26</v>
      </c>
      <c r="E67" s="56">
        <v>1.3948497854077001E-2</v>
      </c>
      <c r="F67" s="29"/>
      <c r="G67" s="29"/>
    </row>
    <row r="68" spans="1:7" ht="15" customHeight="1">
      <c r="A68" s="29"/>
      <c r="B68" s="103"/>
      <c r="C68" s="67" t="s">
        <v>233</v>
      </c>
      <c r="D68" s="66">
        <v>37</v>
      </c>
      <c r="E68" s="68">
        <v>1.9849785407725001E-2</v>
      </c>
      <c r="F68" s="29"/>
      <c r="G68" s="29"/>
    </row>
    <row r="69" spans="1:7" ht="15" customHeight="1">
      <c r="A69" s="29"/>
      <c r="B69" s="103" t="s">
        <v>56</v>
      </c>
      <c r="C69" s="54" t="s">
        <v>194</v>
      </c>
      <c r="D69" s="55">
        <v>27</v>
      </c>
      <c r="E69" s="56">
        <v>1.4484978540773E-2</v>
      </c>
      <c r="F69" s="29"/>
      <c r="G69" s="29"/>
    </row>
    <row r="70" spans="1:7" ht="15" customHeight="1">
      <c r="A70" s="29"/>
      <c r="B70" s="103"/>
      <c r="C70" s="54" t="s">
        <v>195</v>
      </c>
      <c r="D70" s="55">
        <v>49</v>
      </c>
      <c r="E70" s="56">
        <v>2.6287553648068999E-2</v>
      </c>
      <c r="F70" s="29"/>
      <c r="G70" s="29"/>
    </row>
    <row r="71" spans="1:7" ht="15" customHeight="1">
      <c r="A71" s="29"/>
      <c r="B71" s="103"/>
      <c r="C71" s="67" t="s">
        <v>233</v>
      </c>
      <c r="D71" s="66">
        <v>76</v>
      </c>
      <c r="E71" s="68">
        <v>4.0772532188840999E-2</v>
      </c>
      <c r="F71" s="29"/>
      <c r="G71" s="29"/>
    </row>
    <row r="72" spans="1:7" ht="15" customHeight="1">
      <c r="A72" s="29"/>
      <c r="B72" s="103" t="s">
        <v>53</v>
      </c>
      <c r="C72" s="54" t="s">
        <v>194</v>
      </c>
      <c r="D72" s="55">
        <v>22</v>
      </c>
      <c r="E72" s="56">
        <v>1.1802575107295999E-2</v>
      </c>
      <c r="F72" s="29"/>
      <c r="G72" s="29"/>
    </row>
    <row r="73" spans="1:7" ht="15" customHeight="1">
      <c r="A73" s="29"/>
      <c r="B73" s="103"/>
      <c r="C73" s="54" t="s">
        <v>195</v>
      </c>
      <c r="D73" s="55">
        <v>47</v>
      </c>
      <c r="E73" s="56">
        <v>2.5214592274678E-2</v>
      </c>
      <c r="F73" s="29"/>
      <c r="G73" s="29"/>
    </row>
    <row r="74" spans="1:7" ht="15" customHeight="1">
      <c r="A74" s="29"/>
      <c r="B74" s="103"/>
      <c r="C74" s="67" t="s">
        <v>233</v>
      </c>
      <c r="D74" s="66">
        <v>69</v>
      </c>
      <c r="E74" s="68">
        <v>3.7017167381973998E-2</v>
      </c>
      <c r="F74" s="29"/>
      <c r="G74" s="29"/>
    </row>
    <row r="75" spans="1:7" ht="15" customHeight="1">
      <c r="A75" s="29"/>
      <c r="B75" s="103" t="s">
        <v>60</v>
      </c>
      <c r="C75" s="54" t="s">
        <v>194</v>
      </c>
      <c r="D75" s="55">
        <v>8</v>
      </c>
      <c r="E75" s="56">
        <v>4.2918454935620002E-3</v>
      </c>
      <c r="F75" s="29"/>
      <c r="G75" s="29"/>
    </row>
    <row r="76" spans="1:7" ht="15" customHeight="1">
      <c r="A76" s="29"/>
      <c r="B76" s="103"/>
      <c r="C76" s="54" t="s">
        <v>195</v>
      </c>
      <c r="D76" s="55">
        <v>19</v>
      </c>
      <c r="E76" s="56">
        <v>1.019313304721E-2</v>
      </c>
      <c r="F76" s="29"/>
      <c r="G76" s="29"/>
    </row>
    <row r="77" spans="1:7" ht="15" customHeight="1">
      <c r="A77" s="29"/>
      <c r="B77" s="103"/>
      <c r="C77" s="67" t="s">
        <v>233</v>
      </c>
      <c r="D77" s="66">
        <v>27</v>
      </c>
      <c r="E77" s="68">
        <v>1.4484978540773E-2</v>
      </c>
      <c r="F77" s="29"/>
      <c r="G77" s="29"/>
    </row>
    <row r="78" spans="1:7" ht="15" customHeight="1">
      <c r="A78" s="29"/>
      <c r="B78" s="103" t="s">
        <v>62</v>
      </c>
      <c r="C78" s="54" t="s">
        <v>194</v>
      </c>
      <c r="D78" s="55">
        <v>16</v>
      </c>
      <c r="E78" s="56">
        <v>8.5836909871240003E-3</v>
      </c>
      <c r="F78" s="29"/>
      <c r="G78" s="29"/>
    </row>
    <row r="79" spans="1:7" ht="15" customHeight="1">
      <c r="A79" s="29"/>
      <c r="B79" s="103"/>
      <c r="C79" s="54" t="s">
        <v>195</v>
      </c>
      <c r="D79" s="55">
        <v>39</v>
      </c>
      <c r="E79" s="56">
        <v>2.0922746781116001E-2</v>
      </c>
      <c r="F79" s="29"/>
      <c r="G79" s="29"/>
    </row>
    <row r="80" spans="1:7" ht="15" customHeight="1">
      <c r="A80" s="29"/>
      <c r="B80" s="103"/>
      <c r="C80" s="67" t="s">
        <v>233</v>
      </c>
      <c r="D80" s="66">
        <v>55</v>
      </c>
      <c r="E80" s="68">
        <v>2.9506437768239999E-2</v>
      </c>
      <c r="F80" s="29"/>
      <c r="G80" s="29"/>
    </row>
    <row r="81" spans="1:7" ht="15" customHeight="1">
      <c r="A81" s="29"/>
      <c r="B81" s="103" t="s">
        <v>80</v>
      </c>
      <c r="C81" s="54" t="s">
        <v>194</v>
      </c>
      <c r="D81" s="55">
        <v>1</v>
      </c>
      <c r="E81" s="56">
        <v>5.36480686695E-4</v>
      </c>
      <c r="F81" s="29"/>
      <c r="G81" s="29"/>
    </row>
    <row r="82" spans="1:7" ht="15" customHeight="1">
      <c r="A82" s="29"/>
      <c r="B82" s="103"/>
      <c r="C82" s="54" t="s">
        <v>195</v>
      </c>
      <c r="D82" s="55">
        <v>5</v>
      </c>
      <c r="E82" s="56">
        <v>2.6824034334760002E-3</v>
      </c>
      <c r="F82" s="29"/>
      <c r="G82" s="29"/>
    </row>
    <row r="83" spans="1:7" ht="15" customHeight="1">
      <c r="A83" s="29"/>
      <c r="B83" s="103"/>
      <c r="C83" s="67" t="s">
        <v>233</v>
      </c>
      <c r="D83" s="66">
        <v>6</v>
      </c>
      <c r="E83" s="68">
        <v>3.2188841201719999E-3</v>
      </c>
      <c r="F83" s="29"/>
      <c r="G83" s="29"/>
    </row>
    <row r="84" spans="1:7" ht="15" customHeight="1">
      <c r="A84" s="29"/>
      <c r="B84" s="103" t="s">
        <v>125</v>
      </c>
      <c r="C84" s="54" t="s">
        <v>194</v>
      </c>
      <c r="D84" s="55">
        <v>1</v>
      </c>
      <c r="E84" s="56">
        <v>5.36480686695E-4</v>
      </c>
      <c r="F84" s="29"/>
      <c r="G84" s="29"/>
    </row>
    <row r="85" spans="1:7" ht="15" customHeight="1">
      <c r="A85" s="29"/>
      <c r="B85" s="103"/>
      <c r="C85" s="54" t="s">
        <v>195</v>
      </c>
      <c r="D85" s="55">
        <v>5</v>
      </c>
      <c r="E85" s="56">
        <v>2.6824034334760002E-3</v>
      </c>
      <c r="F85" s="29"/>
      <c r="G85" s="29"/>
    </row>
    <row r="86" spans="1:7" ht="15" customHeight="1">
      <c r="A86" s="29"/>
      <c r="B86" s="103"/>
      <c r="C86" s="67" t="s">
        <v>233</v>
      </c>
      <c r="D86" s="66">
        <v>6</v>
      </c>
      <c r="E86" s="68">
        <v>3.2188841201719999E-3</v>
      </c>
      <c r="F86" s="29"/>
      <c r="G86" s="29"/>
    </row>
    <row r="87" spans="1:7" ht="15" customHeight="1">
      <c r="A87" s="29"/>
      <c r="B87" s="103" t="s">
        <v>66</v>
      </c>
      <c r="C87" s="54" t="s">
        <v>194</v>
      </c>
      <c r="D87" s="55">
        <v>16</v>
      </c>
      <c r="E87" s="56">
        <v>8.5836909871240003E-3</v>
      </c>
      <c r="F87" s="29"/>
      <c r="G87" s="29"/>
    </row>
    <row r="88" spans="1:7" ht="15" customHeight="1">
      <c r="A88" s="29"/>
      <c r="B88" s="103"/>
      <c r="C88" s="54" t="s">
        <v>195</v>
      </c>
      <c r="D88" s="55">
        <v>31</v>
      </c>
      <c r="E88" s="56">
        <v>1.6630901287554001E-2</v>
      </c>
      <c r="F88" s="29"/>
      <c r="G88" s="29"/>
    </row>
    <row r="89" spans="1:7" ht="15" customHeight="1">
      <c r="A89" s="29"/>
      <c r="B89" s="103"/>
      <c r="C89" s="67" t="s">
        <v>233</v>
      </c>
      <c r="D89" s="66">
        <v>47</v>
      </c>
      <c r="E89" s="68">
        <v>2.5214592274678E-2</v>
      </c>
      <c r="F89" s="29"/>
      <c r="G89" s="29"/>
    </row>
    <row r="90" spans="1:7" ht="15" customHeight="1">
      <c r="A90" s="29"/>
      <c r="B90" s="103" t="s">
        <v>75</v>
      </c>
      <c r="C90" s="54" t="s">
        <v>194</v>
      </c>
      <c r="D90" s="55">
        <v>10</v>
      </c>
      <c r="E90" s="56">
        <v>5.3648068669529996E-3</v>
      </c>
      <c r="F90" s="29"/>
      <c r="G90" s="29"/>
    </row>
    <row r="91" spans="1:7" ht="15" customHeight="1">
      <c r="A91" s="29"/>
      <c r="B91" s="103"/>
      <c r="C91" s="54" t="s">
        <v>195</v>
      </c>
      <c r="D91" s="55">
        <v>11</v>
      </c>
      <c r="E91" s="56">
        <v>5.9012875536479997E-3</v>
      </c>
      <c r="F91" s="29"/>
      <c r="G91" s="29"/>
    </row>
    <row r="92" spans="1:7" ht="15" customHeight="1">
      <c r="A92" s="29"/>
      <c r="B92" s="103"/>
      <c r="C92" s="67" t="s">
        <v>233</v>
      </c>
      <c r="D92" s="66">
        <v>21</v>
      </c>
      <c r="E92" s="68">
        <v>1.1266094420600999E-2</v>
      </c>
      <c r="F92" s="29"/>
      <c r="G92" s="29"/>
    </row>
    <row r="93" spans="1:7" ht="15" customHeight="1">
      <c r="A93" s="29"/>
      <c r="B93" s="103" t="s">
        <v>69</v>
      </c>
      <c r="C93" s="54" t="s">
        <v>194</v>
      </c>
      <c r="D93" s="55">
        <v>19</v>
      </c>
      <c r="E93" s="56">
        <v>1.019313304721E-2</v>
      </c>
      <c r="F93" s="29"/>
      <c r="G93" s="29"/>
    </row>
    <row r="94" spans="1:7" ht="15" customHeight="1">
      <c r="A94" s="29"/>
      <c r="B94" s="103"/>
      <c r="C94" s="54" t="s">
        <v>195</v>
      </c>
      <c r="D94" s="55">
        <v>33</v>
      </c>
      <c r="E94" s="56">
        <v>1.7703862660944002E-2</v>
      </c>
      <c r="F94" s="29"/>
      <c r="G94" s="29"/>
    </row>
    <row r="95" spans="1:7" ht="15" customHeight="1">
      <c r="A95" s="29"/>
      <c r="B95" s="103"/>
      <c r="C95" s="67" t="s">
        <v>233</v>
      </c>
      <c r="D95" s="66">
        <v>52</v>
      </c>
      <c r="E95" s="68">
        <v>2.7896995708155001E-2</v>
      </c>
      <c r="F95" s="29"/>
      <c r="G95" s="29"/>
    </row>
    <row r="96" spans="1:7" ht="15" customHeight="1">
      <c r="A96" s="29"/>
      <c r="B96" s="103" t="s">
        <v>47</v>
      </c>
      <c r="C96" s="54" t="s">
        <v>194</v>
      </c>
      <c r="D96" s="55">
        <v>59</v>
      </c>
      <c r="E96" s="56">
        <v>3.1652360515021002E-2</v>
      </c>
      <c r="F96" s="29"/>
      <c r="G96" s="29"/>
    </row>
    <row r="97" spans="1:7" ht="15" customHeight="1">
      <c r="A97" s="29"/>
      <c r="B97" s="103"/>
      <c r="C97" s="54" t="s">
        <v>195</v>
      </c>
      <c r="D97" s="55">
        <v>101</v>
      </c>
      <c r="E97" s="56">
        <v>5.4184549356223001E-2</v>
      </c>
      <c r="F97" s="29"/>
      <c r="G97" s="29"/>
    </row>
    <row r="98" spans="1:7" ht="15" customHeight="1">
      <c r="A98" s="29"/>
      <c r="B98" s="103"/>
      <c r="C98" s="67" t="s">
        <v>233</v>
      </c>
      <c r="D98" s="66">
        <v>160</v>
      </c>
      <c r="E98" s="68">
        <v>8.5836909871244996E-2</v>
      </c>
      <c r="F98" s="29"/>
      <c r="G98" s="29"/>
    </row>
    <row r="99" spans="1:7" ht="15" customHeight="1">
      <c r="A99" s="29"/>
      <c r="B99" s="103" t="s">
        <v>50</v>
      </c>
      <c r="C99" s="54" t="s">
        <v>194</v>
      </c>
      <c r="D99" s="55">
        <v>11</v>
      </c>
      <c r="E99" s="56">
        <v>5.9012875536479997E-3</v>
      </c>
      <c r="F99" s="29"/>
      <c r="G99" s="29"/>
    </row>
    <row r="100" spans="1:7" ht="15" customHeight="1">
      <c r="A100" s="29"/>
      <c r="B100" s="103"/>
      <c r="C100" s="54" t="s">
        <v>195</v>
      </c>
      <c r="D100" s="55">
        <v>58</v>
      </c>
      <c r="E100" s="56">
        <v>3.1115879828326001E-2</v>
      </c>
      <c r="F100" s="29"/>
      <c r="G100" s="29"/>
    </row>
    <row r="101" spans="1:7" ht="15" customHeight="1">
      <c r="A101" s="29"/>
      <c r="B101" s="103"/>
      <c r="C101" s="67" t="s">
        <v>233</v>
      </c>
      <c r="D101" s="66">
        <v>69</v>
      </c>
      <c r="E101" s="68">
        <v>3.7017167381973998E-2</v>
      </c>
      <c r="F101" s="29"/>
      <c r="G101" s="29"/>
    </row>
    <row r="102" spans="1:7" ht="15" customHeight="1">
      <c r="A102" s="29"/>
      <c r="B102" s="103" t="s">
        <v>76</v>
      </c>
      <c r="C102" s="54" t="s">
        <v>194</v>
      </c>
      <c r="D102" s="55">
        <v>6</v>
      </c>
      <c r="E102" s="56">
        <v>3.2188841201719999E-3</v>
      </c>
      <c r="F102" s="29"/>
      <c r="G102" s="29"/>
    </row>
    <row r="103" spans="1:7" ht="15" customHeight="1">
      <c r="A103" s="29"/>
      <c r="B103" s="103"/>
      <c r="C103" s="54" t="s">
        <v>195</v>
      </c>
      <c r="D103" s="55">
        <v>7</v>
      </c>
      <c r="E103" s="56">
        <v>3.755364806867E-3</v>
      </c>
      <c r="F103" s="29"/>
      <c r="G103" s="29"/>
    </row>
    <row r="104" spans="1:7" ht="15" customHeight="1">
      <c r="A104" s="29"/>
      <c r="B104" s="103"/>
      <c r="C104" s="67" t="s">
        <v>233</v>
      </c>
      <c r="D104" s="66">
        <v>13</v>
      </c>
      <c r="E104" s="68">
        <v>6.974248927039E-3</v>
      </c>
      <c r="F104" s="29"/>
      <c r="G104" s="29"/>
    </row>
    <row r="105" spans="1:7" ht="15" customHeight="1">
      <c r="A105" s="29"/>
      <c r="B105" s="103" t="s">
        <v>72</v>
      </c>
      <c r="C105" s="54" t="s">
        <v>194</v>
      </c>
      <c r="D105" s="55">
        <v>8</v>
      </c>
      <c r="E105" s="56">
        <v>4.2918454935620002E-3</v>
      </c>
      <c r="F105" s="29"/>
      <c r="G105" s="29"/>
    </row>
    <row r="106" spans="1:7" ht="15" customHeight="1">
      <c r="A106" s="29"/>
      <c r="B106" s="103"/>
      <c r="C106" s="54" t="s">
        <v>195</v>
      </c>
      <c r="D106" s="55">
        <v>13</v>
      </c>
      <c r="E106" s="56">
        <v>6.974248927039E-3</v>
      </c>
      <c r="F106" s="29"/>
      <c r="G106" s="29"/>
    </row>
    <row r="107" spans="1:7" ht="15" customHeight="1">
      <c r="A107" s="29"/>
      <c r="B107" s="103"/>
      <c r="C107" s="67" t="s">
        <v>233</v>
      </c>
      <c r="D107" s="66">
        <v>21</v>
      </c>
      <c r="E107" s="68">
        <v>1.1266094420600999E-2</v>
      </c>
      <c r="F107" s="29"/>
      <c r="G107" s="29"/>
    </row>
    <row r="108" spans="1:7" ht="15" customHeight="1">
      <c r="A108" s="29"/>
      <c r="B108" s="103" t="s">
        <v>82</v>
      </c>
      <c r="C108" s="54" t="s">
        <v>194</v>
      </c>
      <c r="D108" s="55">
        <v>1</v>
      </c>
      <c r="E108" s="56">
        <v>5.36480686695E-4</v>
      </c>
      <c r="F108" s="29"/>
      <c r="G108" s="29"/>
    </row>
    <row r="109" spans="1:7" ht="15" customHeight="1">
      <c r="A109" s="29"/>
      <c r="B109" s="103"/>
      <c r="C109" s="54" t="s">
        <v>195</v>
      </c>
      <c r="D109" s="55">
        <v>8</v>
      </c>
      <c r="E109" s="56">
        <v>4.2918454935620002E-3</v>
      </c>
      <c r="F109" s="29"/>
      <c r="G109" s="29"/>
    </row>
    <row r="110" spans="1:7" ht="15" customHeight="1">
      <c r="A110" s="29"/>
      <c r="B110" s="103"/>
      <c r="C110" s="67" t="s">
        <v>233</v>
      </c>
      <c r="D110" s="66">
        <v>9</v>
      </c>
      <c r="E110" s="68">
        <v>4.8283261802580003E-3</v>
      </c>
      <c r="F110" s="29"/>
      <c r="G110" s="29"/>
    </row>
    <row r="111" spans="1:7" ht="15" customHeight="1">
      <c r="A111" s="29"/>
      <c r="B111" s="103" t="s">
        <v>89</v>
      </c>
      <c r="C111" s="54" t="s">
        <v>194</v>
      </c>
      <c r="D111" s="55">
        <v>2</v>
      </c>
      <c r="E111" s="56">
        <v>1.0729613733910001E-3</v>
      </c>
      <c r="F111" s="29"/>
      <c r="G111" s="29"/>
    </row>
    <row r="112" spans="1:7" ht="15" customHeight="1">
      <c r="A112" s="29"/>
      <c r="B112" s="103"/>
      <c r="C112" s="54" t="s">
        <v>195</v>
      </c>
      <c r="D112" s="55">
        <v>7</v>
      </c>
      <c r="E112" s="56">
        <v>3.755364806867E-3</v>
      </c>
      <c r="F112" s="29"/>
      <c r="G112" s="29"/>
    </row>
    <row r="113" spans="1:7" ht="15" customHeight="1">
      <c r="A113" s="29"/>
      <c r="B113" s="103"/>
      <c r="C113" s="67" t="s">
        <v>233</v>
      </c>
      <c r="D113" s="66">
        <v>9</v>
      </c>
      <c r="E113" s="68">
        <v>4.8283261802580003E-3</v>
      </c>
      <c r="F113" s="29"/>
      <c r="G113" s="29"/>
    </row>
    <row r="114" spans="1:7" ht="15" customHeight="1">
      <c r="A114" s="29"/>
      <c r="B114" s="103" t="s">
        <v>48</v>
      </c>
      <c r="C114" s="54" t="s">
        <v>194</v>
      </c>
      <c r="D114" s="55">
        <v>44</v>
      </c>
      <c r="E114" s="56">
        <v>2.3605150214591999E-2</v>
      </c>
      <c r="F114" s="29"/>
      <c r="G114" s="29"/>
    </row>
    <row r="115" spans="1:7" ht="15" customHeight="1">
      <c r="A115" s="29"/>
      <c r="B115" s="103"/>
      <c r="C115" s="54" t="s">
        <v>195</v>
      </c>
      <c r="D115" s="55">
        <v>86</v>
      </c>
      <c r="E115" s="56">
        <v>4.6137339055794001E-2</v>
      </c>
      <c r="F115" s="29"/>
      <c r="G115" s="29"/>
    </row>
    <row r="116" spans="1:7" ht="15" customHeight="1">
      <c r="A116" s="29"/>
      <c r="B116" s="103"/>
      <c r="C116" s="67" t="s">
        <v>233</v>
      </c>
      <c r="D116" s="66">
        <v>130</v>
      </c>
      <c r="E116" s="68">
        <v>6.9742489270385996E-2</v>
      </c>
      <c r="F116" s="29"/>
      <c r="G116" s="29"/>
    </row>
    <row r="117" spans="1:7" ht="15" customHeight="1">
      <c r="A117" s="29"/>
      <c r="B117" s="103" t="s">
        <v>54</v>
      </c>
      <c r="C117" s="54" t="s">
        <v>194</v>
      </c>
      <c r="D117" s="55">
        <v>17</v>
      </c>
      <c r="E117" s="56">
        <v>9.1201716738199996E-3</v>
      </c>
      <c r="F117" s="29"/>
      <c r="G117" s="29"/>
    </row>
    <row r="118" spans="1:7" ht="15" customHeight="1">
      <c r="A118" s="29"/>
      <c r="B118" s="103"/>
      <c r="C118" s="54" t="s">
        <v>195</v>
      </c>
      <c r="D118" s="55">
        <v>41</v>
      </c>
      <c r="E118" s="56">
        <v>2.1995708154506001E-2</v>
      </c>
      <c r="F118" s="29"/>
      <c r="G118" s="29"/>
    </row>
    <row r="119" spans="1:7" ht="15" customHeight="1">
      <c r="A119" s="29"/>
      <c r="B119" s="103"/>
      <c r="C119" s="67" t="s">
        <v>233</v>
      </c>
      <c r="D119" s="66">
        <v>58</v>
      </c>
      <c r="E119" s="68">
        <v>3.1115879828326001E-2</v>
      </c>
      <c r="F119" s="29"/>
      <c r="G119" s="29"/>
    </row>
    <row r="120" spans="1:7" ht="15" customHeight="1">
      <c r="A120" s="29"/>
      <c r="B120" s="103" t="s">
        <v>68</v>
      </c>
      <c r="C120" s="54" t="s">
        <v>194</v>
      </c>
      <c r="D120" s="55">
        <v>9</v>
      </c>
      <c r="E120" s="56">
        <v>4.8283261802580003E-3</v>
      </c>
      <c r="F120" s="29"/>
      <c r="G120" s="29"/>
    </row>
    <row r="121" spans="1:7" ht="15" customHeight="1">
      <c r="A121" s="29"/>
      <c r="B121" s="103"/>
      <c r="C121" s="54" t="s">
        <v>195</v>
      </c>
      <c r="D121" s="55">
        <v>35</v>
      </c>
      <c r="E121" s="56">
        <v>1.8776824034335001E-2</v>
      </c>
      <c r="F121" s="29"/>
      <c r="G121" s="29"/>
    </row>
    <row r="122" spans="1:7" ht="15" customHeight="1">
      <c r="A122" s="29"/>
      <c r="B122" s="103"/>
      <c r="C122" s="67" t="s">
        <v>233</v>
      </c>
      <c r="D122" s="66">
        <v>44</v>
      </c>
      <c r="E122" s="68">
        <v>2.3605150214591999E-2</v>
      </c>
      <c r="F122" s="29"/>
      <c r="G122" s="29"/>
    </row>
    <row r="123" spans="1:7" ht="15" customHeight="1">
      <c r="A123" s="29"/>
      <c r="B123" s="103" t="s">
        <v>88</v>
      </c>
      <c r="C123" s="54" t="s">
        <v>194</v>
      </c>
      <c r="D123" s="55">
        <v>2</v>
      </c>
      <c r="E123" s="56">
        <v>1.0729613733910001E-3</v>
      </c>
      <c r="F123" s="29"/>
      <c r="G123" s="29"/>
    </row>
    <row r="124" spans="1:7" ht="15" customHeight="1">
      <c r="A124" s="29"/>
      <c r="B124" s="103"/>
      <c r="C124" s="54" t="s">
        <v>195</v>
      </c>
      <c r="D124" s="55">
        <v>4</v>
      </c>
      <c r="E124" s="56">
        <v>2.1459227467810001E-3</v>
      </c>
      <c r="F124" s="29"/>
      <c r="G124" s="29"/>
    </row>
    <row r="125" spans="1:7" ht="15" customHeight="1">
      <c r="A125" s="29"/>
      <c r="B125" s="103"/>
      <c r="C125" s="67" t="s">
        <v>233</v>
      </c>
      <c r="D125" s="66">
        <v>6</v>
      </c>
      <c r="E125" s="68">
        <v>3.2188841201719999E-3</v>
      </c>
      <c r="F125" s="29"/>
      <c r="G125" s="29"/>
    </row>
    <row r="126" spans="1:7" ht="15" customHeight="1">
      <c r="A126" s="29"/>
      <c r="B126" s="103" t="s">
        <v>58</v>
      </c>
      <c r="C126" s="54" t="s">
        <v>194</v>
      </c>
      <c r="D126" s="55">
        <v>22</v>
      </c>
      <c r="E126" s="56">
        <v>1.1802575107295999E-2</v>
      </c>
      <c r="F126" s="29"/>
      <c r="G126" s="29"/>
    </row>
    <row r="127" spans="1:7" ht="15" customHeight="1">
      <c r="A127" s="29"/>
      <c r="B127" s="103"/>
      <c r="C127" s="54" t="s">
        <v>195</v>
      </c>
      <c r="D127" s="55">
        <v>30</v>
      </c>
      <c r="E127" s="56">
        <v>1.6094420600858E-2</v>
      </c>
      <c r="F127" s="29"/>
      <c r="G127" s="29"/>
    </row>
    <row r="128" spans="1:7" ht="15" customHeight="1">
      <c r="A128" s="29"/>
      <c r="B128" s="103"/>
      <c r="C128" s="67" t="s">
        <v>233</v>
      </c>
      <c r="D128" s="66">
        <v>52</v>
      </c>
      <c r="E128" s="68">
        <v>2.7896995708155001E-2</v>
      </c>
      <c r="F128" s="29"/>
      <c r="G128" s="29"/>
    </row>
    <row r="129" spans="1:7" ht="15" customHeight="1">
      <c r="A129" s="29"/>
      <c r="B129" s="103" t="s">
        <v>73</v>
      </c>
      <c r="C129" s="54" t="s">
        <v>194</v>
      </c>
      <c r="D129" s="55">
        <v>8</v>
      </c>
      <c r="E129" s="56">
        <v>4.2918454935620002E-3</v>
      </c>
      <c r="F129" s="29"/>
      <c r="G129" s="29"/>
    </row>
    <row r="130" spans="1:7" ht="15" customHeight="1">
      <c r="A130" s="29"/>
      <c r="B130" s="103"/>
      <c r="C130" s="54" t="s">
        <v>195</v>
      </c>
      <c r="D130" s="55">
        <v>11</v>
      </c>
      <c r="E130" s="56">
        <v>5.9012875536479997E-3</v>
      </c>
      <c r="F130" s="29"/>
      <c r="G130" s="29"/>
    </row>
    <row r="131" spans="1:7" ht="15" customHeight="1">
      <c r="A131" s="29"/>
      <c r="B131" s="103"/>
      <c r="C131" s="67" t="s">
        <v>233</v>
      </c>
      <c r="D131" s="66">
        <v>19</v>
      </c>
      <c r="E131" s="68">
        <v>1.019313304721E-2</v>
      </c>
      <c r="F131" s="29"/>
      <c r="G131" s="29"/>
    </row>
    <row r="132" spans="1:7" ht="15" customHeight="1">
      <c r="A132" s="29"/>
      <c r="B132" s="103" t="s">
        <v>85</v>
      </c>
      <c r="C132" s="54" t="s">
        <v>194</v>
      </c>
      <c r="D132" s="55">
        <v>4</v>
      </c>
      <c r="E132" s="56">
        <v>2.1459227467810001E-3</v>
      </c>
      <c r="F132" s="29"/>
      <c r="G132" s="29"/>
    </row>
    <row r="133" spans="1:7" ht="15" customHeight="1">
      <c r="A133" s="29"/>
      <c r="B133" s="103"/>
      <c r="C133" s="54" t="s">
        <v>195</v>
      </c>
      <c r="D133" s="55">
        <v>11</v>
      </c>
      <c r="E133" s="56">
        <v>5.9012875536479997E-3</v>
      </c>
      <c r="F133" s="29"/>
      <c r="G133" s="29"/>
    </row>
    <row r="134" spans="1:7" ht="15" customHeight="1">
      <c r="A134" s="29"/>
      <c r="B134" s="103"/>
      <c r="C134" s="67" t="s">
        <v>233</v>
      </c>
      <c r="D134" s="66">
        <v>15</v>
      </c>
      <c r="E134" s="68">
        <v>8.0472103004290002E-3</v>
      </c>
      <c r="F134" s="29"/>
      <c r="G134" s="29"/>
    </row>
    <row r="135" spans="1:7" ht="15" customHeight="1">
      <c r="A135" s="29"/>
      <c r="B135" s="103" t="s">
        <v>64</v>
      </c>
      <c r="C135" s="54" t="s">
        <v>194</v>
      </c>
      <c r="D135" s="55">
        <v>11</v>
      </c>
      <c r="E135" s="56">
        <v>5.9012875536479997E-3</v>
      </c>
      <c r="F135" s="29"/>
      <c r="G135" s="29"/>
    </row>
    <row r="136" spans="1:7" ht="15" customHeight="1">
      <c r="A136" s="29"/>
      <c r="B136" s="103"/>
      <c r="C136" s="54" t="s">
        <v>195</v>
      </c>
      <c r="D136" s="55">
        <v>31</v>
      </c>
      <c r="E136" s="56">
        <v>1.6630901287554001E-2</v>
      </c>
      <c r="F136" s="29"/>
      <c r="G136" s="29"/>
    </row>
    <row r="137" spans="1:7" ht="15" customHeight="1">
      <c r="A137" s="29"/>
      <c r="B137" s="103"/>
      <c r="C137" s="67" t="s">
        <v>233</v>
      </c>
      <c r="D137" s="66">
        <v>42</v>
      </c>
      <c r="E137" s="68">
        <v>2.2532188841201999E-2</v>
      </c>
      <c r="F137" s="29"/>
      <c r="G137" s="29"/>
    </row>
    <row r="138" spans="1:7" ht="15" customHeight="1">
      <c r="A138" s="29"/>
      <c r="B138" s="103" t="s">
        <v>57</v>
      </c>
      <c r="C138" s="54" t="s">
        <v>194</v>
      </c>
      <c r="D138" s="55">
        <v>19</v>
      </c>
      <c r="E138" s="56">
        <v>1.019313304721E-2</v>
      </c>
      <c r="F138" s="29"/>
      <c r="G138" s="29"/>
    </row>
    <row r="139" spans="1:7" ht="15" customHeight="1">
      <c r="A139" s="29"/>
      <c r="B139" s="103"/>
      <c r="C139" s="54" t="s">
        <v>195</v>
      </c>
      <c r="D139" s="55">
        <v>60</v>
      </c>
      <c r="E139" s="56">
        <v>3.2188841201717E-2</v>
      </c>
      <c r="F139" s="29"/>
      <c r="G139" s="29"/>
    </row>
    <row r="140" spans="1:7" ht="15" customHeight="1">
      <c r="A140" s="29"/>
      <c r="B140" s="103"/>
      <c r="C140" s="67" t="s">
        <v>233</v>
      </c>
      <c r="D140" s="66">
        <v>79</v>
      </c>
      <c r="E140" s="68">
        <v>4.2381974248927E-2</v>
      </c>
      <c r="F140" s="29"/>
      <c r="G140" s="29"/>
    </row>
    <row r="141" spans="1:7" ht="15" customHeight="1">
      <c r="A141" s="29"/>
      <c r="B141" s="103" t="s">
        <v>74</v>
      </c>
      <c r="C141" s="54" t="s">
        <v>194</v>
      </c>
      <c r="D141" s="55">
        <v>4</v>
      </c>
      <c r="E141" s="56">
        <v>2.1459227467810001E-3</v>
      </c>
      <c r="F141" s="29"/>
      <c r="G141" s="29"/>
    </row>
    <row r="142" spans="1:7" ht="15" customHeight="1">
      <c r="A142" s="29"/>
      <c r="B142" s="103"/>
      <c r="C142" s="54" t="s">
        <v>195</v>
      </c>
      <c r="D142" s="55">
        <v>23</v>
      </c>
      <c r="E142" s="56">
        <v>1.2339055793990999E-2</v>
      </c>
      <c r="F142" s="29"/>
      <c r="G142" s="29"/>
    </row>
    <row r="143" spans="1:7" ht="15" customHeight="1">
      <c r="A143" s="29"/>
      <c r="B143" s="103"/>
      <c r="C143" s="67" t="s">
        <v>233</v>
      </c>
      <c r="D143" s="66">
        <v>27</v>
      </c>
      <c r="E143" s="68">
        <v>1.4484978540773E-2</v>
      </c>
      <c r="F143" s="29"/>
      <c r="G143" s="29"/>
    </row>
    <row r="144" spans="1:7" ht="14.25">
      <c r="A144" s="29"/>
      <c r="B144" s="103" t="s">
        <v>83</v>
      </c>
      <c r="C144" s="54" t="s">
        <v>194</v>
      </c>
      <c r="D144" s="55">
        <v>2</v>
      </c>
      <c r="E144" s="56">
        <v>1.0729613733910001E-3</v>
      </c>
      <c r="F144" s="29"/>
      <c r="G144" s="29"/>
    </row>
    <row r="145" spans="1:7" ht="14.25">
      <c r="A145" s="29"/>
      <c r="B145" s="103"/>
      <c r="C145" s="54" t="s">
        <v>195</v>
      </c>
      <c r="D145" s="55">
        <v>5</v>
      </c>
      <c r="E145" s="56">
        <v>2.6824034334760002E-3</v>
      </c>
      <c r="F145" s="29"/>
      <c r="G145" s="29"/>
    </row>
    <row r="146" spans="1:7" ht="14.25">
      <c r="A146" s="29"/>
      <c r="B146" s="103"/>
      <c r="C146" s="67" t="s">
        <v>233</v>
      </c>
      <c r="D146" s="66">
        <v>7</v>
      </c>
      <c r="E146" s="68">
        <v>3.755364806867E-3</v>
      </c>
      <c r="F146" s="29"/>
      <c r="G146" s="29"/>
    </row>
    <row r="147" spans="1:7" ht="14.25">
      <c r="A147" s="29"/>
      <c r="B147" s="103" t="s">
        <v>70</v>
      </c>
      <c r="C147" s="54" t="s">
        <v>194</v>
      </c>
      <c r="D147" s="55">
        <v>7</v>
      </c>
      <c r="E147" s="56">
        <v>3.755364806867E-3</v>
      </c>
      <c r="F147" s="29"/>
      <c r="G147" s="29"/>
    </row>
    <row r="148" spans="1:7" ht="14.25">
      <c r="A148" s="29"/>
      <c r="B148" s="103"/>
      <c r="C148" s="54" t="s">
        <v>195</v>
      </c>
      <c r="D148" s="55">
        <v>28</v>
      </c>
      <c r="E148" s="56">
        <v>1.5021459227468E-2</v>
      </c>
      <c r="F148" s="29"/>
      <c r="G148" s="29"/>
    </row>
    <row r="149" spans="1:7" ht="14.25">
      <c r="A149" s="29"/>
      <c r="B149" s="103"/>
      <c r="C149" s="67" t="s">
        <v>233</v>
      </c>
      <c r="D149" s="66">
        <v>35</v>
      </c>
      <c r="E149" s="68">
        <v>1.8776824034335001E-2</v>
      </c>
      <c r="F149" s="29"/>
      <c r="G149" s="29"/>
    </row>
    <row r="150" spans="1:7" ht="14.25">
      <c r="A150" s="29"/>
      <c r="B150" s="103" t="s">
        <v>127</v>
      </c>
      <c r="C150" s="54" t="s">
        <v>195</v>
      </c>
      <c r="D150" s="55">
        <v>1</v>
      </c>
      <c r="E150" s="56">
        <v>5.36480686695E-4</v>
      </c>
      <c r="F150" s="29"/>
      <c r="G150" s="29"/>
    </row>
    <row r="151" spans="1:7" ht="14.25">
      <c r="A151" s="29"/>
      <c r="B151" s="103"/>
      <c r="C151" s="67" t="s">
        <v>233</v>
      </c>
      <c r="D151" s="66">
        <v>1</v>
      </c>
      <c r="E151" s="68">
        <v>5.36480686695E-4</v>
      </c>
      <c r="F151" s="29"/>
      <c r="G151" s="29"/>
    </row>
    <row r="152" spans="1:7" ht="14.25">
      <c r="A152" s="29"/>
      <c r="B152" s="102" t="s">
        <v>236</v>
      </c>
      <c r="C152" s="102"/>
      <c r="D152" s="58">
        <v>1864</v>
      </c>
      <c r="E152" s="59">
        <v>1</v>
      </c>
      <c r="F152" s="29"/>
      <c r="G152" s="29"/>
    </row>
    <row r="153" spans="1:7" ht="12.75">
      <c r="A153" s="29"/>
      <c r="B153" s="43"/>
      <c r="C153" s="43"/>
      <c r="D153" s="41"/>
      <c r="E153" s="43"/>
      <c r="F153" s="29"/>
      <c r="G153" s="29"/>
    </row>
    <row r="154" spans="1:7" ht="12.75">
      <c r="A154" s="29"/>
      <c r="B154" s="35" t="s">
        <v>120</v>
      </c>
      <c r="C154" s="43"/>
      <c r="D154" s="41"/>
      <c r="E154" s="43"/>
      <c r="F154" s="29"/>
      <c r="G154" s="29"/>
    </row>
    <row r="155" spans="1:7" ht="12.75">
      <c r="A155" s="29"/>
      <c r="B155" s="36" t="s">
        <v>17</v>
      </c>
      <c r="C155" s="41"/>
      <c r="D155" s="41"/>
      <c r="E155" s="43"/>
      <c r="F155" s="29"/>
      <c r="G155" s="29"/>
    </row>
    <row r="156" spans="1:7" ht="12.75">
      <c r="A156" s="29"/>
      <c r="B156" s="37" t="s">
        <v>117</v>
      </c>
      <c r="C156" s="41"/>
      <c r="D156" s="41"/>
      <c r="E156" s="43"/>
      <c r="F156" s="29"/>
      <c r="G156" s="29"/>
    </row>
    <row r="157" spans="1:7" ht="12.75">
      <c r="A157" s="29"/>
      <c r="B157" s="35" t="s">
        <v>16</v>
      </c>
      <c r="C157" s="41"/>
      <c r="D157" s="41"/>
      <c r="E157" s="43"/>
      <c r="F157" s="29"/>
      <c r="G157" s="29"/>
    </row>
    <row r="158" spans="1:7" ht="12.75">
      <c r="A158" s="29"/>
      <c r="B158" s="35" t="s">
        <v>234</v>
      </c>
      <c r="C158" s="41"/>
      <c r="D158" s="41"/>
      <c r="E158" s="43"/>
      <c r="F158" s="29"/>
      <c r="G158" s="29"/>
    </row>
    <row r="159" spans="1:7" ht="12.75">
      <c r="A159" s="29"/>
      <c r="C159" s="41"/>
      <c r="D159" s="41"/>
      <c r="E159" s="43"/>
      <c r="F159" s="29"/>
      <c r="G159" s="29"/>
    </row>
    <row r="160" spans="1:7" ht="12.75">
      <c r="A160" s="29"/>
      <c r="B160" s="43"/>
      <c r="C160" s="43"/>
      <c r="D160" s="41"/>
      <c r="E160" s="43"/>
      <c r="F160" s="29"/>
      <c r="G160" s="29"/>
    </row>
  </sheetData>
  <mergeCells count="49">
    <mergeCell ref="B8:E10"/>
    <mergeCell ref="B13:B15"/>
    <mergeCell ref="B16:B18"/>
    <mergeCell ref="B19:B21"/>
    <mergeCell ref="B22:B24"/>
    <mergeCell ref="B25:B27"/>
    <mergeCell ref="B28:B30"/>
    <mergeCell ref="B31:B33"/>
    <mergeCell ref="B34:B36"/>
    <mergeCell ref="B37:B3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96:B98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126:B128"/>
    <mergeCell ref="B152:C152"/>
    <mergeCell ref="B144:B146"/>
    <mergeCell ref="B147:B149"/>
    <mergeCell ref="B150:B151"/>
    <mergeCell ref="B129:B131"/>
    <mergeCell ref="B132:B134"/>
    <mergeCell ref="B135:B137"/>
    <mergeCell ref="B138:B140"/>
    <mergeCell ref="B141:B143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F143"/>
  <sheetViews>
    <sheetView showGridLines="0" view="pageBreakPreview" zoomScale="115" zoomScaleNormal="100" zoomScaleSheetLayoutView="115" workbookViewId="0"/>
  </sheetViews>
  <sheetFormatPr baseColWidth="10" defaultColWidth="11.42578125" defaultRowHeight="11.25"/>
  <cols>
    <col min="1" max="1" width="5.7109375" style="15" customWidth="1"/>
    <col min="2" max="2" width="19" style="22" customWidth="1"/>
    <col min="3" max="3" width="18.42578125" style="22" customWidth="1"/>
    <col min="4" max="4" width="19.42578125" style="25" customWidth="1"/>
    <col min="5" max="5" width="15.140625" style="22" bestFit="1" customWidth="1"/>
    <col min="6" max="6" width="6.5703125" style="15" customWidth="1"/>
    <col min="7" max="7" width="3.140625" style="15" customWidth="1"/>
    <col min="8" max="16384" width="11.42578125" style="15"/>
  </cols>
  <sheetData>
    <row r="1" spans="1:6" s="13" customFormat="1" ht="15">
      <c r="B1" s="22"/>
      <c r="C1" s="22"/>
    </row>
    <row r="2" spans="1:6" s="22" customFormat="1">
      <c r="B2" s="27"/>
    </row>
    <row r="3" spans="1:6" ht="15" customHeight="1">
      <c r="B3" s="28"/>
      <c r="C3" s="18"/>
      <c r="D3" s="15"/>
      <c r="F3" s="22"/>
    </row>
    <row r="4" spans="1:6" ht="30" customHeight="1">
      <c r="B4" s="28"/>
      <c r="C4" s="18"/>
      <c r="D4" s="15"/>
      <c r="F4" s="22"/>
    </row>
    <row r="5" spans="1:6" ht="15" customHeight="1">
      <c r="B5" s="28"/>
      <c r="C5" s="18"/>
      <c r="D5" s="15"/>
      <c r="F5" s="22"/>
    </row>
    <row r="6" spans="1:6" s="22" customFormat="1">
      <c r="B6" s="24"/>
      <c r="C6" s="21"/>
    </row>
    <row r="7" spans="1:6" s="22" customFormat="1">
      <c r="B7" s="27"/>
    </row>
    <row r="8" spans="1:6" s="13" customFormat="1" ht="15" customHeight="1">
      <c r="A8" s="33"/>
      <c r="B8" s="92" t="s">
        <v>42</v>
      </c>
      <c r="C8" s="92"/>
      <c r="D8" s="92"/>
      <c r="E8" s="92"/>
      <c r="F8" s="33"/>
    </row>
    <row r="9" spans="1:6" s="13" customFormat="1" ht="15" customHeight="1">
      <c r="A9" s="33"/>
      <c r="B9" s="92"/>
      <c r="C9" s="92"/>
      <c r="D9" s="92"/>
      <c r="E9" s="92"/>
      <c r="F9" s="51"/>
    </row>
    <row r="10" spans="1:6" s="13" customFormat="1" ht="15" customHeight="1">
      <c r="A10" s="33"/>
      <c r="B10" s="92"/>
      <c r="C10" s="92"/>
      <c r="D10" s="92"/>
      <c r="E10" s="92"/>
      <c r="F10" s="33"/>
    </row>
    <row r="11" spans="1:6" s="13" customFormat="1" ht="15" customHeight="1">
      <c r="A11" s="33"/>
      <c r="B11" s="52"/>
      <c r="C11" s="52"/>
      <c r="D11" s="52"/>
      <c r="E11" s="52"/>
      <c r="F11" s="33"/>
    </row>
    <row r="12" spans="1:6" s="13" customFormat="1" ht="36.950000000000003" customHeight="1">
      <c r="A12" s="33"/>
      <c r="B12" s="53" t="s">
        <v>24</v>
      </c>
      <c r="C12" s="53" t="s">
        <v>28</v>
      </c>
      <c r="D12" s="53" t="s">
        <v>19</v>
      </c>
      <c r="E12" s="53" t="s">
        <v>18</v>
      </c>
      <c r="F12" s="33"/>
    </row>
    <row r="13" spans="1:6" ht="15" customHeight="1">
      <c r="A13" s="29"/>
      <c r="B13" s="95" t="s">
        <v>133</v>
      </c>
      <c r="C13" s="54" t="s">
        <v>194</v>
      </c>
      <c r="D13" s="55">
        <v>21</v>
      </c>
      <c r="E13" s="56">
        <v>1.1266094420600999E-2</v>
      </c>
      <c r="F13" s="29"/>
    </row>
    <row r="14" spans="1:6" ht="15" customHeight="1">
      <c r="A14" s="29"/>
      <c r="B14" s="96"/>
      <c r="C14" s="54" t="s">
        <v>195</v>
      </c>
      <c r="D14" s="55">
        <v>43</v>
      </c>
      <c r="E14" s="56">
        <v>2.3068669527897E-2</v>
      </c>
      <c r="F14" s="29"/>
    </row>
    <row r="15" spans="1:6" ht="15" customHeight="1">
      <c r="A15" s="29"/>
      <c r="B15" s="97"/>
      <c r="C15" s="67" t="s">
        <v>233</v>
      </c>
      <c r="D15" s="66">
        <v>64</v>
      </c>
      <c r="E15" s="68">
        <v>3.4334763948498E-2</v>
      </c>
      <c r="F15" s="29"/>
    </row>
    <row r="16" spans="1:6" ht="15" customHeight="1">
      <c r="A16" s="29"/>
      <c r="B16" s="95" t="s">
        <v>151</v>
      </c>
      <c r="C16" s="54" t="s">
        <v>194</v>
      </c>
      <c r="D16" s="55">
        <v>8</v>
      </c>
      <c r="E16" s="56">
        <v>4.2918454935620002E-3</v>
      </c>
      <c r="F16" s="29"/>
    </row>
    <row r="17" spans="1:6" ht="15" customHeight="1">
      <c r="A17" s="29"/>
      <c r="B17" s="96"/>
      <c r="C17" s="54" t="s">
        <v>195</v>
      </c>
      <c r="D17" s="55">
        <v>14</v>
      </c>
      <c r="E17" s="56">
        <v>7.5107296137340001E-3</v>
      </c>
      <c r="F17" s="29"/>
    </row>
    <row r="18" spans="1:6" ht="15" customHeight="1">
      <c r="A18" s="29"/>
      <c r="B18" s="97"/>
      <c r="C18" s="67" t="s">
        <v>233</v>
      </c>
      <c r="D18" s="66">
        <v>22</v>
      </c>
      <c r="E18" s="68">
        <v>1.1802575107295999E-2</v>
      </c>
      <c r="F18" s="29"/>
    </row>
    <row r="19" spans="1:6" ht="15" customHeight="1">
      <c r="A19" s="29"/>
      <c r="B19" s="95" t="s">
        <v>141</v>
      </c>
      <c r="C19" s="54" t="s">
        <v>194</v>
      </c>
      <c r="D19" s="55">
        <v>12</v>
      </c>
      <c r="E19" s="56">
        <v>6.4377682403429998E-3</v>
      </c>
      <c r="F19" s="29"/>
    </row>
    <row r="20" spans="1:6" ht="15" customHeight="1">
      <c r="A20" s="29"/>
      <c r="B20" s="96"/>
      <c r="C20" s="54" t="s">
        <v>195</v>
      </c>
      <c r="D20" s="55">
        <v>22</v>
      </c>
      <c r="E20" s="56">
        <v>1.1802575107295999E-2</v>
      </c>
      <c r="F20" s="29"/>
    </row>
    <row r="21" spans="1:6" ht="15" customHeight="1">
      <c r="A21" s="29"/>
      <c r="B21" s="97"/>
      <c r="C21" s="67" t="s">
        <v>233</v>
      </c>
      <c r="D21" s="66">
        <v>34</v>
      </c>
      <c r="E21" s="68">
        <v>1.8240343347639E-2</v>
      </c>
      <c r="F21" s="29"/>
    </row>
    <row r="22" spans="1:6" ht="15" customHeight="1">
      <c r="A22" s="29"/>
      <c r="B22" s="95" t="s">
        <v>128</v>
      </c>
      <c r="C22" s="54" t="s">
        <v>194</v>
      </c>
      <c r="D22" s="55">
        <v>97</v>
      </c>
      <c r="E22" s="56">
        <v>5.2038626609442001E-2</v>
      </c>
      <c r="F22" s="29"/>
    </row>
    <row r="23" spans="1:6" ht="15" customHeight="1">
      <c r="A23" s="29"/>
      <c r="B23" s="96"/>
      <c r="C23" s="54" t="s">
        <v>195</v>
      </c>
      <c r="D23" s="55">
        <v>244</v>
      </c>
      <c r="E23" s="56">
        <v>0.13090128755364799</v>
      </c>
      <c r="F23" s="29"/>
    </row>
    <row r="24" spans="1:6" ht="15" customHeight="1">
      <c r="A24" s="29"/>
      <c r="B24" s="97"/>
      <c r="C24" s="67" t="s">
        <v>233</v>
      </c>
      <c r="D24" s="66">
        <v>341</v>
      </c>
      <c r="E24" s="68">
        <v>0.18293991416308999</v>
      </c>
      <c r="F24" s="29"/>
    </row>
    <row r="25" spans="1:6" ht="15" customHeight="1">
      <c r="A25" s="29"/>
      <c r="B25" s="95" t="s">
        <v>136</v>
      </c>
      <c r="C25" s="54" t="s">
        <v>194</v>
      </c>
      <c r="D25" s="55">
        <v>15</v>
      </c>
      <c r="E25" s="56">
        <v>8.0472103004290002E-3</v>
      </c>
      <c r="F25" s="29"/>
    </row>
    <row r="26" spans="1:6" ht="15" customHeight="1">
      <c r="A26" s="29"/>
      <c r="B26" s="96"/>
      <c r="C26" s="54" t="s">
        <v>195</v>
      </c>
      <c r="D26" s="55">
        <v>36</v>
      </c>
      <c r="E26" s="56">
        <v>1.9313304721029999E-2</v>
      </c>
      <c r="F26" s="29"/>
    </row>
    <row r="27" spans="1:6" ht="15" customHeight="1">
      <c r="A27" s="29"/>
      <c r="B27" s="97"/>
      <c r="C27" s="67" t="s">
        <v>233</v>
      </c>
      <c r="D27" s="66">
        <v>51</v>
      </c>
      <c r="E27" s="68">
        <v>2.7360515021459E-2</v>
      </c>
      <c r="F27" s="29"/>
    </row>
    <row r="28" spans="1:6" ht="15" customHeight="1">
      <c r="A28" s="29"/>
      <c r="B28" s="95" t="s">
        <v>163</v>
      </c>
      <c r="C28" s="54" t="s">
        <v>194</v>
      </c>
      <c r="D28" s="55">
        <v>2</v>
      </c>
      <c r="E28" s="56">
        <v>1.0729613733910001E-3</v>
      </c>
      <c r="F28" s="29"/>
    </row>
    <row r="29" spans="1:6" ht="15" customHeight="1">
      <c r="A29" s="29"/>
      <c r="B29" s="96"/>
      <c r="C29" s="54" t="s">
        <v>195</v>
      </c>
      <c r="D29" s="55">
        <v>1</v>
      </c>
      <c r="E29" s="56">
        <v>5.36480686695E-4</v>
      </c>
      <c r="F29" s="29"/>
    </row>
    <row r="30" spans="1:6" ht="15" customHeight="1">
      <c r="A30" s="29"/>
      <c r="B30" s="97"/>
      <c r="C30" s="67" t="s">
        <v>233</v>
      </c>
      <c r="D30" s="66">
        <v>3</v>
      </c>
      <c r="E30" s="68">
        <v>1.609442060086E-3</v>
      </c>
      <c r="F30" s="29"/>
    </row>
    <row r="31" spans="1:6" ht="15" customHeight="1">
      <c r="A31" s="29"/>
      <c r="B31" s="95" t="s">
        <v>166</v>
      </c>
      <c r="C31" s="54" t="s">
        <v>194</v>
      </c>
      <c r="D31" s="55">
        <v>2</v>
      </c>
      <c r="E31" s="56">
        <v>1.0729613733910001E-3</v>
      </c>
      <c r="F31" s="29"/>
    </row>
    <row r="32" spans="1:6" ht="15" customHeight="1">
      <c r="A32" s="29"/>
      <c r="B32" s="97"/>
      <c r="C32" s="67" t="s">
        <v>233</v>
      </c>
      <c r="D32" s="66">
        <v>2</v>
      </c>
      <c r="E32" s="68">
        <v>1.0729613733910001E-3</v>
      </c>
      <c r="F32" s="29"/>
    </row>
    <row r="33" spans="1:6" ht="15" customHeight="1">
      <c r="A33" s="29"/>
      <c r="B33" s="95" t="s">
        <v>167</v>
      </c>
      <c r="C33" s="54" t="s">
        <v>195</v>
      </c>
      <c r="D33" s="55">
        <v>2</v>
      </c>
      <c r="E33" s="56">
        <v>1.0729613733910001E-3</v>
      </c>
      <c r="F33" s="29"/>
    </row>
    <row r="34" spans="1:6" ht="15" customHeight="1">
      <c r="A34" s="29"/>
      <c r="B34" s="97"/>
      <c r="C34" s="67" t="s">
        <v>233</v>
      </c>
      <c r="D34" s="66">
        <v>2</v>
      </c>
      <c r="E34" s="68">
        <v>1.0729613733910001E-3</v>
      </c>
      <c r="F34" s="29"/>
    </row>
    <row r="35" spans="1:6" ht="15" customHeight="1">
      <c r="A35" s="29"/>
      <c r="B35" s="95" t="s">
        <v>131</v>
      </c>
      <c r="C35" s="54" t="s">
        <v>194</v>
      </c>
      <c r="D35" s="55">
        <v>25</v>
      </c>
      <c r="E35" s="56">
        <v>1.3412017167382001E-2</v>
      </c>
      <c r="F35" s="29"/>
    </row>
    <row r="36" spans="1:6" ht="15" customHeight="1">
      <c r="A36" s="29"/>
      <c r="B36" s="96"/>
      <c r="C36" s="54" t="s">
        <v>195</v>
      </c>
      <c r="D36" s="55">
        <v>88</v>
      </c>
      <c r="E36" s="56">
        <v>4.7210300429184997E-2</v>
      </c>
      <c r="F36" s="29"/>
    </row>
    <row r="37" spans="1:6" ht="15" customHeight="1">
      <c r="A37" s="29"/>
      <c r="B37" s="97"/>
      <c r="C37" s="67" t="s">
        <v>233</v>
      </c>
      <c r="D37" s="66">
        <v>113</v>
      </c>
      <c r="E37" s="68">
        <v>6.0622317596566999E-2</v>
      </c>
      <c r="F37" s="29"/>
    </row>
    <row r="38" spans="1:6" ht="15" customHeight="1">
      <c r="A38" s="29"/>
      <c r="B38" s="95" t="s">
        <v>132</v>
      </c>
      <c r="C38" s="54" t="s">
        <v>194</v>
      </c>
      <c r="D38" s="55">
        <v>21</v>
      </c>
      <c r="E38" s="56">
        <v>1.1266094420600999E-2</v>
      </c>
      <c r="F38" s="29"/>
    </row>
    <row r="39" spans="1:6" ht="15" customHeight="1">
      <c r="A39" s="29"/>
      <c r="B39" s="96"/>
      <c r="C39" s="54" t="s">
        <v>195</v>
      </c>
      <c r="D39" s="55">
        <v>59</v>
      </c>
      <c r="E39" s="56">
        <v>3.1652360515021002E-2</v>
      </c>
      <c r="F39" s="29"/>
    </row>
    <row r="40" spans="1:6" ht="15" customHeight="1">
      <c r="A40" s="29"/>
      <c r="B40" s="97"/>
      <c r="C40" s="67" t="s">
        <v>233</v>
      </c>
      <c r="D40" s="66">
        <v>80</v>
      </c>
      <c r="E40" s="68">
        <v>4.2918454935621998E-2</v>
      </c>
      <c r="F40" s="29"/>
    </row>
    <row r="41" spans="1:6" ht="15" customHeight="1">
      <c r="A41" s="29"/>
      <c r="B41" s="95" t="s">
        <v>154</v>
      </c>
      <c r="C41" s="54" t="s">
        <v>194</v>
      </c>
      <c r="D41" s="55">
        <v>7</v>
      </c>
      <c r="E41" s="56">
        <v>3.755364806867E-3</v>
      </c>
      <c r="F41" s="29"/>
    </row>
    <row r="42" spans="1:6" ht="15" customHeight="1">
      <c r="A42" s="29"/>
      <c r="B42" s="96"/>
      <c r="C42" s="54" t="s">
        <v>195</v>
      </c>
      <c r="D42" s="55">
        <v>8</v>
      </c>
      <c r="E42" s="56">
        <v>4.2918454935620002E-3</v>
      </c>
      <c r="F42" s="29"/>
    </row>
    <row r="43" spans="1:6" ht="15" customHeight="1">
      <c r="A43" s="29"/>
      <c r="B43" s="97"/>
      <c r="C43" s="67" t="s">
        <v>233</v>
      </c>
      <c r="D43" s="66">
        <v>15</v>
      </c>
      <c r="E43" s="68">
        <v>8.0472103004290002E-3</v>
      </c>
      <c r="F43" s="29"/>
    </row>
    <row r="44" spans="1:6" ht="15" customHeight="1">
      <c r="A44" s="29"/>
      <c r="B44" s="95" t="s">
        <v>143</v>
      </c>
      <c r="C44" s="54" t="s">
        <v>194</v>
      </c>
      <c r="D44" s="55">
        <v>10</v>
      </c>
      <c r="E44" s="56">
        <v>5.3648068669529996E-3</v>
      </c>
      <c r="F44" s="29"/>
    </row>
    <row r="45" spans="1:6" ht="15" customHeight="1">
      <c r="A45" s="29"/>
      <c r="B45" s="96"/>
      <c r="C45" s="54" t="s">
        <v>195</v>
      </c>
      <c r="D45" s="55">
        <v>23</v>
      </c>
      <c r="E45" s="56">
        <v>1.2339055793990999E-2</v>
      </c>
      <c r="F45" s="29"/>
    </row>
    <row r="46" spans="1:6" ht="15" customHeight="1">
      <c r="A46" s="29"/>
      <c r="B46" s="97"/>
      <c r="C46" s="67" t="s">
        <v>233</v>
      </c>
      <c r="D46" s="66">
        <v>33</v>
      </c>
      <c r="E46" s="68">
        <v>1.7703862660944002E-2</v>
      </c>
      <c r="F46" s="29"/>
    </row>
    <row r="47" spans="1:6" ht="15" customHeight="1">
      <c r="A47" s="29"/>
      <c r="B47" s="95" t="s">
        <v>149</v>
      </c>
      <c r="C47" s="54" t="s">
        <v>194</v>
      </c>
      <c r="D47" s="55">
        <v>6</v>
      </c>
      <c r="E47" s="56">
        <v>3.2188841201719999E-3</v>
      </c>
      <c r="F47" s="29"/>
    </row>
    <row r="48" spans="1:6" ht="15" customHeight="1">
      <c r="A48" s="29"/>
      <c r="B48" s="96"/>
      <c r="C48" s="54" t="s">
        <v>195</v>
      </c>
      <c r="D48" s="55">
        <v>17</v>
      </c>
      <c r="E48" s="56">
        <v>9.1201716738199996E-3</v>
      </c>
      <c r="F48" s="29"/>
    </row>
    <row r="49" spans="1:6" ht="15" customHeight="1">
      <c r="A49" s="29"/>
      <c r="B49" s="97"/>
      <c r="C49" s="67" t="s">
        <v>233</v>
      </c>
      <c r="D49" s="66">
        <v>23</v>
      </c>
      <c r="E49" s="68">
        <v>1.2339055793990999E-2</v>
      </c>
      <c r="F49" s="29"/>
    </row>
    <row r="50" spans="1:6" ht="15" customHeight="1">
      <c r="A50" s="29"/>
      <c r="B50" s="95" t="s">
        <v>146</v>
      </c>
      <c r="C50" s="54" t="s">
        <v>194</v>
      </c>
      <c r="D50" s="55">
        <v>10</v>
      </c>
      <c r="E50" s="56">
        <v>5.3648068669529996E-3</v>
      </c>
      <c r="F50" s="29"/>
    </row>
    <row r="51" spans="1:6" ht="15" customHeight="1">
      <c r="A51" s="29"/>
      <c r="B51" s="96"/>
      <c r="C51" s="54" t="s">
        <v>195</v>
      </c>
      <c r="D51" s="55">
        <v>20</v>
      </c>
      <c r="E51" s="56">
        <v>1.0729613733905999E-2</v>
      </c>
      <c r="F51" s="29"/>
    </row>
    <row r="52" spans="1:6" ht="15" customHeight="1">
      <c r="A52" s="29"/>
      <c r="B52" s="97"/>
      <c r="C52" s="67" t="s">
        <v>233</v>
      </c>
      <c r="D52" s="66">
        <v>30</v>
      </c>
      <c r="E52" s="68">
        <v>1.6094420600858E-2</v>
      </c>
      <c r="F52" s="29"/>
    </row>
    <row r="53" spans="1:6" ht="15" customHeight="1">
      <c r="A53" s="29"/>
      <c r="B53" s="95" t="s">
        <v>139</v>
      </c>
      <c r="C53" s="54" t="s">
        <v>194</v>
      </c>
      <c r="D53" s="55">
        <v>8</v>
      </c>
      <c r="E53" s="56">
        <v>4.2918454935620002E-3</v>
      </c>
      <c r="F53" s="29"/>
    </row>
    <row r="54" spans="1:6" ht="15" customHeight="1">
      <c r="A54" s="29"/>
      <c r="B54" s="96"/>
      <c r="C54" s="54" t="s">
        <v>195</v>
      </c>
      <c r="D54" s="55">
        <v>31</v>
      </c>
      <c r="E54" s="56">
        <v>1.6630901287554001E-2</v>
      </c>
      <c r="F54" s="29"/>
    </row>
    <row r="55" spans="1:6" ht="15" customHeight="1">
      <c r="A55" s="29"/>
      <c r="B55" s="97"/>
      <c r="C55" s="67" t="s">
        <v>233</v>
      </c>
      <c r="D55" s="66">
        <v>39</v>
      </c>
      <c r="E55" s="68">
        <v>2.0922746781116001E-2</v>
      </c>
      <c r="F55" s="29"/>
    </row>
    <row r="56" spans="1:6" ht="15" customHeight="1">
      <c r="A56" s="29"/>
      <c r="B56" s="95" t="s">
        <v>158</v>
      </c>
      <c r="C56" s="54" t="s">
        <v>194</v>
      </c>
      <c r="D56" s="55">
        <v>2</v>
      </c>
      <c r="E56" s="56">
        <v>1.0729613733910001E-3</v>
      </c>
      <c r="F56" s="29"/>
    </row>
    <row r="57" spans="1:6" ht="15" customHeight="1">
      <c r="A57" s="29"/>
      <c r="B57" s="96"/>
      <c r="C57" s="54" t="s">
        <v>195</v>
      </c>
      <c r="D57" s="55">
        <v>7</v>
      </c>
      <c r="E57" s="56">
        <v>3.755364806867E-3</v>
      </c>
      <c r="F57" s="29"/>
    </row>
    <row r="58" spans="1:6" ht="15" customHeight="1">
      <c r="A58" s="29"/>
      <c r="B58" s="97"/>
      <c r="C58" s="67" t="s">
        <v>233</v>
      </c>
      <c r="D58" s="66">
        <v>9</v>
      </c>
      <c r="E58" s="68">
        <v>4.8283261802580003E-3</v>
      </c>
      <c r="F58" s="29"/>
    </row>
    <row r="59" spans="1:6" ht="15" customHeight="1">
      <c r="A59" s="29"/>
      <c r="B59" s="95" t="s">
        <v>153</v>
      </c>
      <c r="C59" s="54" t="s">
        <v>194</v>
      </c>
      <c r="D59" s="55">
        <v>7</v>
      </c>
      <c r="E59" s="56">
        <v>3.755364806867E-3</v>
      </c>
      <c r="F59" s="29"/>
    </row>
    <row r="60" spans="1:6" ht="15" customHeight="1">
      <c r="A60" s="29"/>
      <c r="B60" s="96"/>
      <c r="C60" s="54" t="s">
        <v>195</v>
      </c>
      <c r="D60" s="55">
        <v>11</v>
      </c>
      <c r="E60" s="56">
        <v>5.9012875536479997E-3</v>
      </c>
      <c r="F60" s="29"/>
    </row>
    <row r="61" spans="1:6" ht="15" customHeight="1">
      <c r="A61" s="29"/>
      <c r="B61" s="97"/>
      <c r="C61" s="67" t="s">
        <v>233</v>
      </c>
      <c r="D61" s="66">
        <v>18</v>
      </c>
      <c r="E61" s="68">
        <v>9.6566523605149997E-3</v>
      </c>
      <c r="F61" s="29"/>
    </row>
    <row r="62" spans="1:6" ht="15" customHeight="1">
      <c r="A62" s="29"/>
      <c r="B62" s="95" t="s">
        <v>164</v>
      </c>
      <c r="C62" s="54" t="s">
        <v>195</v>
      </c>
      <c r="D62" s="55">
        <v>3</v>
      </c>
      <c r="E62" s="56">
        <v>1.609442060086E-3</v>
      </c>
      <c r="F62" s="29"/>
    </row>
    <row r="63" spans="1:6" ht="15" customHeight="1">
      <c r="A63" s="29"/>
      <c r="B63" s="97"/>
      <c r="C63" s="67" t="s">
        <v>233</v>
      </c>
      <c r="D63" s="66">
        <v>3</v>
      </c>
      <c r="E63" s="68">
        <v>1.609442060086E-3</v>
      </c>
      <c r="F63" s="29"/>
    </row>
    <row r="64" spans="1:6" ht="15" customHeight="1">
      <c r="A64" s="29"/>
      <c r="B64" s="95" t="s">
        <v>150</v>
      </c>
      <c r="C64" s="54" t="s">
        <v>194</v>
      </c>
      <c r="D64" s="55">
        <v>5</v>
      </c>
      <c r="E64" s="56">
        <v>2.6824034334760002E-3</v>
      </c>
      <c r="F64" s="29"/>
    </row>
    <row r="65" spans="1:6" ht="15" customHeight="1">
      <c r="A65" s="29"/>
      <c r="B65" s="96"/>
      <c r="C65" s="54" t="s">
        <v>195</v>
      </c>
      <c r="D65" s="55">
        <v>18</v>
      </c>
      <c r="E65" s="56">
        <v>9.6566523605149997E-3</v>
      </c>
      <c r="F65" s="29"/>
    </row>
    <row r="66" spans="1:6" ht="15" customHeight="1">
      <c r="A66" s="29"/>
      <c r="B66" s="97"/>
      <c r="C66" s="67" t="s">
        <v>233</v>
      </c>
      <c r="D66" s="66">
        <v>23</v>
      </c>
      <c r="E66" s="68">
        <v>1.2339055793990999E-2</v>
      </c>
      <c r="F66" s="29"/>
    </row>
    <row r="67" spans="1:6" ht="15" customHeight="1">
      <c r="A67" s="29"/>
      <c r="B67" s="95" t="s">
        <v>144</v>
      </c>
      <c r="C67" s="54" t="s">
        <v>194</v>
      </c>
      <c r="D67" s="55">
        <v>4</v>
      </c>
      <c r="E67" s="56">
        <v>2.1459227467810001E-3</v>
      </c>
      <c r="F67" s="29"/>
    </row>
    <row r="68" spans="1:6" ht="15" customHeight="1">
      <c r="A68" s="29"/>
      <c r="B68" s="96"/>
      <c r="C68" s="54" t="s">
        <v>195</v>
      </c>
      <c r="D68" s="55">
        <v>29</v>
      </c>
      <c r="E68" s="56">
        <v>1.5557939914163E-2</v>
      </c>
      <c r="F68" s="29"/>
    </row>
    <row r="69" spans="1:6" ht="15" customHeight="1">
      <c r="A69" s="29"/>
      <c r="B69" s="97"/>
      <c r="C69" s="67" t="s">
        <v>233</v>
      </c>
      <c r="D69" s="66">
        <v>33</v>
      </c>
      <c r="E69" s="68">
        <v>1.7703862660944002E-2</v>
      </c>
      <c r="F69" s="29"/>
    </row>
    <row r="70" spans="1:6" ht="15" customHeight="1">
      <c r="A70" s="29"/>
      <c r="B70" s="95" t="s">
        <v>148</v>
      </c>
      <c r="C70" s="54" t="s">
        <v>194</v>
      </c>
      <c r="D70" s="55">
        <v>8</v>
      </c>
      <c r="E70" s="56">
        <v>4.2918454935620002E-3</v>
      </c>
      <c r="F70" s="29"/>
    </row>
    <row r="71" spans="1:6" ht="15" customHeight="1">
      <c r="A71" s="29"/>
      <c r="B71" s="96"/>
      <c r="C71" s="54" t="s">
        <v>195</v>
      </c>
      <c r="D71" s="55">
        <v>16</v>
      </c>
      <c r="E71" s="56">
        <v>8.5836909871240003E-3</v>
      </c>
      <c r="F71" s="29"/>
    </row>
    <row r="72" spans="1:6" ht="15" customHeight="1">
      <c r="A72" s="29"/>
      <c r="B72" s="97"/>
      <c r="C72" s="67" t="s">
        <v>233</v>
      </c>
      <c r="D72" s="66">
        <v>24</v>
      </c>
      <c r="E72" s="68">
        <v>1.2875536480687001E-2</v>
      </c>
      <c r="F72" s="29"/>
    </row>
    <row r="73" spans="1:6" ht="15" customHeight="1">
      <c r="A73" s="29"/>
      <c r="B73" s="95" t="s">
        <v>147</v>
      </c>
      <c r="C73" s="54" t="s">
        <v>194</v>
      </c>
      <c r="D73" s="55">
        <v>10</v>
      </c>
      <c r="E73" s="56">
        <v>5.3648068669529996E-3</v>
      </c>
      <c r="F73" s="29"/>
    </row>
    <row r="74" spans="1:6" ht="15" customHeight="1">
      <c r="A74" s="29"/>
      <c r="B74" s="96"/>
      <c r="C74" s="54" t="s">
        <v>195</v>
      </c>
      <c r="D74" s="55">
        <v>19</v>
      </c>
      <c r="E74" s="56">
        <v>1.019313304721E-2</v>
      </c>
      <c r="F74" s="29"/>
    </row>
    <row r="75" spans="1:6" ht="15" customHeight="1">
      <c r="A75" s="29"/>
      <c r="B75" s="97"/>
      <c r="C75" s="67" t="s">
        <v>233</v>
      </c>
      <c r="D75" s="66">
        <v>29</v>
      </c>
      <c r="E75" s="68">
        <v>1.5557939914163E-2</v>
      </c>
      <c r="F75" s="29"/>
    </row>
    <row r="76" spans="1:6" ht="15" customHeight="1">
      <c r="A76" s="29"/>
      <c r="B76" s="95" t="s">
        <v>168</v>
      </c>
      <c r="C76" s="54" t="s">
        <v>194</v>
      </c>
      <c r="D76" s="55">
        <v>1</v>
      </c>
      <c r="E76" s="56">
        <v>5.36480686695E-4</v>
      </c>
      <c r="F76" s="29"/>
    </row>
    <row r="77" spans="1:6" ht="15" customHeight="1">
      <c r="A77" s="29"/>
      <c r="B77" s="96"/>
      <c r="C77" s="54" t="s">
        <v>195</v>
      </c>
      <c r="D77" s="55">
        <v>1</v>
      </c>
      <c r="E77" s="56">
        <v>5.36480686695E-4</v>
      </c>
      <c r="F77" s="29"/>
    </row>
    <row r="78" spans="1:6" ht="15" customHeight="1">
      <c r="A78" s="29"/>
      <c r="B78" s="97"/>
      <c r="C78" s="67" t="s">
        <v>233</v>
      </c>
      <c r="D78" s="66">
        <v>2</v>
      </c>
      <c r="E78" s="68">
        <v>1.0729613733910001E-3</v>
      </c>
      <c r="F78" s="29"/>
    </row>
    <row r="79" spans="1:6" ht="15" customHeight="1">
      <c r="A79" s="29"/>
      <c r="B79" s="95" t="s">
        <v>130</v>
      </c>
      <c r="C79" s="54" t="s">
        <v>194</v>
      </c>
      <c r="D79" s="55">
        <v>51</v>
      </c>
      <c r="E79" s="56">
        <v>2.7360515021459E-2</v>
      </c>
      <c r="F79" s="29"/>
    </row>
    <row r="80" spans="1:6" ht="15" customHeight="1">
      <c r="A80" s="29"/>
      <c r="B80" s="96"/>
      <c r="C80" s="54" t="s">
        <v>195</v>
      </c>
      <c r="D80" s="55">
        <v>84</v>
      </c>
      <c r="E80" s="56">
        <v>4.5064377682402998E-2</v>
      </c>
      <c r="F80" s="29"/>
    </row>
    <row r="81" spans="1:6" ht="15" customHeight="1">
      <c r="A81" s="29"/>
      <c r="B81" s="97"/>
      <c r="C81" s="67" t="s">
        <v>233</v>
      </c>
      <c r="D81" s="66">
        <v>135</v>
      </c>
      <c r="E81" s="68">
        <v>7.2424892703863E-2</v>
      </c>
      <c r="F81" s="29"/>
    </row>
    <row r="82" spans="1:6" ht="15" customHeight="1">
      <c r="A82" s="29"/>
      <c r="B82" s="95" t="s">
        <v>140</v>
      </c>
      <c r="C82" s="54" t="s">
        <v>194</v>
      </c>
      <c r="D82" s="55">
        <v>11</v>
      </c>
      <c r="E82" s="56">
        <v>5.9012875536479997E-3</v>
      </c>
      <c r="F82" s="29"/>
    </row>
    <row r="83" spans="1:6" ht="15" customHeight="1">
      <c r="A83" s="29"/>
      <c r="B83" s="96"/>
      <c r="C83" s="54" t="s">
        <v>195</v>
      </c>
      <c r="D83" s="55">
        <v>26</v>
      </c>
      <c r="E83" s="56">
        <v>1.3948497854077001E-2</v>
      </c>
      <c r="F83" s="29"/>
    </row>
    <row r="84" spans="1:6" ht="15" customHeight="1">
      <c r="A84" s="29"/>
      <c r="B84" s="97"/>
      <c r="C84" s="67" t="s">
        <v>233</v>
      </c>
      <c r="D84" s="66">
        <v>37</v>
      </c>
      <c r="E84" s="68">
        <v>1.9849785407725001E-2</v>
      </c>
      <c r="F84" s="29"/>
    </row>
    <row r="85" spans="1:6" ht="15" customHeight="1">
      <c r="A85" s="29"/>
      <c r="B85" s="95" t="s">
        <v>155</v>
      </c>
      <c r="C85" s="54" t="s">
        <v>194</v>
      </c>
      <c r="D85" s="55">
        <v>7</v>
      </c>
      <c r="E85" s="56">
        <v>3.755364806867E-3</v>
      </c>
      <c r="F85" s="29"/>
    </row>
    <row r="86" spans="1:6" ht="15" customHeight="1">
      <c r="A86" s="29"/>
      <c r="B86" s="96"/>
      <c r="C86" s="54" t="s">
        <v>195</v>
      </c>
      <c r="D86" s="55">
        <v>8</v>
      </c>
      <c r="E86" s="56">
        <v>4.2918454935620002E-3</v>
      </c>
      <c r="F86" s="29"/>
    </row>
    <row r="87" spans="1:6" ht="15" customHeight="1">
      <c r="A87" s="29"/>
      <c r="B87" s="97"/>
      <c r="C87" s="67" t="s">
        <v>233</v>
      </c>
      <c r="D87" s="66">
        <v>15</v>
      </c>
      <c r="E87" s="68">
        <v>8.0472103004290002E-3</v>
      </c>
      <c r="F87" s="29"/>
    </row>
    <row r="88" spans="1:6" ht="15" customHeight="1">
      <c r="A88" s="29"/>
      <c r="B88" s="95" t="s">
        <v>160</v>
      </c>
      <c r="C88" s="54" t="s">
        <v>195</v>
      </c>
      <c r="D88" s="55">
        <v>5</v>
      </c>
      <c r="E88" s="56">
        <v>2.6824034334760002E-3</v>
      </c>
      <c r="F88" s="29"/>
    </row>
    <row r="89" spans="1:6" ht="15" customHeight="1">
      <c r="A89" s="29"/>
      <c r="B89" s="97"/>
      <c r="C89" s="67" t="s">
        <v>233</v>
      </c>
      <c r="D89" s="66">
        <v>5</v>
      </c>
      <c r="E89" s="68">
        <v>2.6824034334760002E-3</v>
      </c>
      <c r="F89" s="29"/>
    </row>
    <row r="90" spans="1:6" ht="15" customHeight="1">
      <c r="A90" s="29"/>
      <c r="B90" s="95" t="s">
        <v>152</v>
      </c>
      <c r="C90" s="54" t="s">
        <v>194</v>
      </c>
      <c r="D90" s="55">
        <v>8</v>
      </c>
      <c r="E90" s="56">
        <v>4.2918454935620002E-3</v>
      </c>
      <c r="F90" s="29"/>
    </row>
    <row r="91" spans="1:6" ht="15" customHeight="1">
      <c r="A91" s="29"/>
      <c r="B91" s="96"/>
      <c r="C91" s="54" t="s">
        <v>195</v>
      </c>
      <c r="D91" s="55">
        <v>11</v>
      </c>
      <c r="E91" s="56">
        <v>5.9012875536479997E-3</v>
      </c>
      <c r="F91" s="29"/>
    </row>
    <row r="92" spans="1:6" ht="15" customHeight="1">
      <c r="A92" s="29"/>
      <c r="B92" s="97"/>
      <c r="C92" s="67" t="s">
        <v>233</v>
      </c>
      <c r="D92" s="66">
        <v>19</v>
      </c>
      <c r="E92" s="68">
        <v>1.019313304721E-2</v>
      </c>
      <c r="F92" s="29"/>
    </row>
    <row r="93" spans="1:6" ht="15" customHeight="1">
      <c r="A93" s="29"/>
      <c r="B93" s="95" t="s">
        <v>134</v>
      </c>
      <c r="C93" s="54" t="s">
        <v>194</v>
      </c>
      <c r="D93" s="55">
        <v>21</v>
      </c>
      <c r="E93" s="56">
        <v>1.1266094420600999E-2</v>
      </c>
      <c r="F93" s="29"/>
    </row>
    <row r="94" spans="1:6" ht="15" customHeight="1">
      <c r="A94" s="29"/>
      <c r="B94" s="96"/>
      <c r="C94" s="54" t="s">
        <v>195</v>
      </c>
      <c r="D94" s="55">
        <v>42</v>
      </c>
      <c r="E94" s="56">
        <v>2.2532188841201999E-2</v>
      </c>
      <c r="F94" s="29"/>
    </row>
    <row r="95" spans="1:6" ht="15" customHeight="1">
      <c r="A95" s="29"/>
      <c r="B95" s="97"/>
      <c r="C95" s="67" t="s">
        <v>233</v>
      </c>
      <c r="D95" s="66">
        <v>63</v>
      </c>
      <c r="E95" s="68">
        <v>3.3798283261803001E-2</v>
      </c>
      <c r="F95" s="29"/>
    </row>
    <row r="96" spans="1:6" ht="15" customHeight="1">
      <c r="A96" s="29"/>
      <c r="B96" s="95" t="s">
        <v>142</v>
      </c>
      <c r="C96" s="54" t="s">
        <v>194</v>
      </c>
      <c r="D96" s="55">
        <v>12</v>
      </c>
      <c r="E96" s="56">
        <v>6.4377682403429998E-3</v>
      </c>
      <c r="F96" s="29"/>
    </row>
    <row r="97" spans="1:6" ht="15" customHeight="1">
      <c r="A97" s="29"/>
      <c r="B97" s="96"/>
      <c r="C97" s="54" t="s">
        <v>195</v>
      </c>
      <c r="D97" s="55">
        <v>22</v>
      </c>
      <c r="E97" s="56">
        <v>1.1802575107295999E-2</v>
      </c>
      <c r="F97" s="29"/>
    </row>
    <row r="98" spans="1:6" ht="15" customHeight="1">
      <c r="A98" s="29"/>
      <c r="B98" s="97"/>
      <c r="C98" s="67" t="s">
        <v>233</v>
      </c>
      <c r="D98" s="66">
        <v>34</v>
      </c>
      <c r="E98" s="68">
        <v>1.8240343347639E-2</v>
      </c>
      <c r="F98" s="29"/>
    </row>
    <row r="99" spans="1:6" ht="15" customHeight="1">
      <c r="A99" s="29"/>
      <c r="B99" s="95" t="s">
        <v>137</v>
      </c>
      <c r="C99" s="54" t="s">
        <v>194</v>
      </c>
      <c r="D99" s="55">
        <v>18</v>
      </c>
      <c r="E99" s="56">
        <v>9.6566523605149997E-3</v>
      </c>
      <c r="F99" s="29"/>
    </row>
    <row r="100" spans="1:6" ht="15" customHeight="1">
      <c r="A100" s="29"/>
      <c r="B100" s="96"/>
      <c r="C100" s="54" t="s">
        <v>195</v>
      </c>
      <c r="D100" s="55">
        <v>30</v>
      </c>
      <c r="E100" s="56">
        <v>1.6094420600858E-2</v>
      </c>
      <c r="F100" s="29"/>
    </row>
    <row r="101" spans="1:6" ht="15" customHeight="1">
      <c r="A101" s="29"/>
      <c r="B101" s="97"/>
      <c r="C101" s="67" t="s">
        <v>233</v>
      </c>
      <c r="D101" s="66">
        <v>48</v>
      </c>
      <c r="E101" s="68">
        <v>2.5751072961372998E-2</v>
      </c>
      <c r="F101" s="29"/>
    </row>
    <row r="102" spans="1:6" ht="15" customHeight="1">
      <c r="A102" s="29"/>
      <c r="B102" s="95" t="s">
        <v>161</v>
      </c>
      <c r="C102" s="54" t="s">
        <v>194</v>
      </c>
      <c r="D102" s="55">
        <v>1</v>
      </c>
      <c r="E102" s="56">
        <v>5.36480686695E-4</v>
      </c>
      <c r="F102" s="29"/>
    </row>
    <row r="103" spans="1:6" ht="15" customHeight="1">
      <c r="A103" s="29"/>
      <c r="B103" s="96"/>
      <c r="C103" s="54" t="s">
        <v>195</v>
      </c>
      <c r="D103" s="55">
        <v>4</v>
      </c>
      <c r="E103" s="56">
        <v>2.1459227467810001E-3</v>
      </c>
      <c r="F103" s="29"/>
    </row>
    <row r="104" spans="1:6" ht="15" customHeight="1">
      <c r="A104" s="29"/>
      <c r="B104" s="97"/>
      <c r="C104" s="67" t="s">
        <v>233</v>
      </c>
      <c r="D104" s="66">
        <v>5</v>
      </c>
      <c r="E104" s="68">
        <v>2.6824034334760002E-3</v>
      </c>
      <c r="F104" s="29"/>
    </row>
    <row r="105" spans="1:6" ht="15" customHeight="1">
      <c r="A105" s="29"/>
      <c r="B105" s="95" t="s">
        <v>162</v>
      </c>
      <c r="C105" s="54" t="s">
        <v>194</v>
      </c>
      <c r="D105" s="55">
        <v>2</v>
      </c>
      <c r="E105" s="56">
        <v>1.0729613733910001E-3</v>
      </c>
      <c r="F105" s="29"/>
    </row>
    <row r="106" spans="1:6" ht="15" customHeight="1">
      <c r="A106" s="29"/>
      <c r="B106" s="96"/>
      <c r="C106" s="54" t="s">
        <v>195</v>
      </c>
      <c r="D106" s="55">
        <v>2</v>
      </c>
      <c r="E106" s="56">
        <v>1.0729613733910001E-3</v>
      </c>
      <c r="F106" s="29"/>
    </row>
    <row r="107" spans="1:6" ht="15" customHeight="1">
      <c r="A107" s="29"/>
      <c r="B107" s="97"/>
      <c r="C107" s="67" t="s">
        <v>233</v>
      </c>
      <c r="D107" s="66">
        <v>4</v>
      </c>
      <c r="E107" s="68">
        <v>2.1459227467810001E-3</v>
      </c>
      <c r="F107" s="29"/>
    </row>
    <row r="108" spans="1:6" ht="15" customHeight="1">
      <c r="A108" s="29"/>
      <c r="B108" s="95" t="s">
        <v>145</v>
      </c>
      <c r="C108" s="54" t="s">
        <v>194</v>
      </c>
      <c r="D108" s="55">
        <v>11</v>
      </c>
      <c r="E108" s="56">
        <v>5.9012875536479997E-3</v>
      </c>
      <c r="F108" s="29"/>
    </row>
    <row r="109" spans="1:6" ht="15" customHeight="1">
      <c r="A109" s="29"/>
      <c r="B109" s="96"/>
      <c r="C109" s="54" t="s">
        <v>195</v>
      </c>
      <c r="D109" s="55">
        <v>20</v>
      </c>
      <c r="E109" s="56">
        <v>1.0729613733905999E-2</v>
      </c>
      <c r="F109" s="29"/>
    </row>
    <row r="110" spans="1:6" ht="15" customHeight="1">
      <c r="A110" s="29"/>
      <c r="B110" s="97"/>
      <c r="C110" s="67" t="s">
        <v>233</v>
      </c>
      <c r="D110" s="66">
        <v>31</v>
      </c>
      <c r="E110" s="68">
        <v>1.6630901287554001E-2</v>
      </c>
      <c r="F110" s="29"/>
    </row>
    <row r="111" spans="1:6" ht="15" customHeight="1">
      <c r="A111" s="29"/>
      <c r="B111" s="95" t="s">
        <v>156</v>
      </c>
      <c r="C111" s="54" t="s">
        <v>194</v>
      </c>
      <c r="D111" s="55">
        <v>4</v>
      </c>
      <c r="E111" s="56">
        <v>2.1459227467810001E-3</v>
      </c>
      <c r="F111" s="29"/>
    </row>
    <row r="112" spans="1:6" ht="15" customHeight="1">
      <c r="A112" s="29"/>
      <c r="B112" s="96"/>
      <c r="C112" s="54" t="s">
        <v>195</v>
      </c>
      <c r="D112" s="55">
        <v>9</v>
      </c>
      <c r="E112" s="56">
        <v>4.8283261802580003E-3</v>
      </c>
      <c r="F112" s="29"/>
    </row>
    <row r="113" spans="1:6" ht="15" customHeight="1">
      <c r="A113" s="29"/>
      <c r="B113" s="97"/>
      <c r="C113" s="67" t="s">
        <v>233</v>
      </c>
      <c r="D113" s="66">
        <v>13</v>
      </c>
      <c r="E113" s="68">
        <v>6.974248927039E-3</v>
      </c>
      <c r="F113" s="29"/>
    </row>
    <row r="114" spans="1:6" ht="15" customHeight="1">
      <c r="A114" s="29"/>
      <c r="B114" s="95" t="s">
        <v>135</v>
      </c>
      <c r="C114" s="54" t="s">
        <v>194</v>
      </c>
      <c r="D114" s="55">
        <v>19</v>
      </c>
      <c r="E114" s="56">
        <v>1.019313304721E-2</v>
      </c>
      <c r="F114" s="29"/>
    </row>
    <row r="115" spans="1:6" ht="15" customHeight="1">
      <c r="A115" s="29"/>
      <c r="B115" s="96"/>
      <c r="C115" s="54" t="s">
        <v>195</v>
      </c>
      <c r="D115" s="55">
        <v>33</v>
      </c>
      <c r="E115" s="56">
        <v>1.7703862660944002E-2</v>
      </c>
      <c r="F115" s="29"/>
    </row>
    <row r="116" spans="1:6" ht="15" customHeight="1">
      <c r="A116" s="29"/>
      <c r="B116" s="97"/>
      <c r="C116" s="67" t="s">
        <v>233</v>
      </c>
      <c r="D116" s="66">
        <v>52</v>
      </c>
      <c r="E116" s="68">
        <v>2.7896995708155001E-2</v>
      </c>
      <c r="F116" s="29"/>
    </row>
    <row r="117" spans="1:6" ht="15" customHeight="1">
      <c r="A117" s="29"/>
      <c r="B117" s="95" t="s">
        <v>129</v>
      </c>
      <c r="C117" s="54" t="s">
        <v>194</v>
      </c>
      <c r="D117" s="55">
        <v>120</v>
      </c>
      <c r="E117" s="56">
        <v>6.4377682403433001E-2</v>
      </c>
      <c r="F117" s="29"/>
    </row>
    <row r="118" spans="1:6" ht="15" customHeight="1">
      <c r="A118" s="29"/>
      <c r="B118" s="96"/>
      <c r="C118" s="54" t="s">
        <v>195</v>
      </c>
      <c r="D118" s="55">
        <v>218</v>
      </c>
      <c r="E118" s="56">
        <v>0.116952789699571</v>
      </c>
      <c r="F118" s="29"/>
    </row>
    <row r="119" spans="1:6" ht="15" customHeight="1">
      <c r="A119" s="29"/>
      <c r="B119" s="97"/>
      <c r="C119" s="67" t="s">
        <v>233</v>
      </c>
      <c r="D119" s="66">
        <v>338</v>
      </c>
      <c r="E119" s="68">
        <v>0.18133047210300399</v>
      </c>
      <c r="F119" s="29"/>
    </row>
    <row r="120" spans="1:6" ht="15" customHeight="1">
      <c r="A120" s="29"/>
      <c r="B120" s="95" t="s">
        <v>159</v>
      </c>
      <c r="C120" s="54" t="s">
        <v>194</v>
      </c>
      <c r="D120" s="55">
        <v>2</v>
      </c>
      <c r="E120" s="56">
        <v>1.0729613733910001E-3</v>
      </c>
      <c r="F120" s="29"/>
    </row>
    <row r="121" spans="1:6" ht="15" customHeight="1">
      <c r="A121" s="29"/>
      <c r="B121" s="96"/>
      <c r="C121" s="54" t="s">
        <v>195</v>
      </c>
      <c r="D121" s="55">
        <v>4</v>
      </c>
      <c r="E121" s="56">
        <v>2.1459227467810001E-3</v>
      </c>
      <c r="F121" s="29"/>
    </row>
    <row r="122" spans="1:6" ht="15" customHeight="1">
      <c r="A122" s="29"/>
      <c r="B122" s="97"/>
      <c r="C122" s="67" t="s">
        <v>233</v>
      </c>
      <c r="D122" s="66">
        <v>6</v>
      </c>
      <c r="E122" s="68">
        <v>3.2188841201719999E-3</v>
      </c>
      <c r="F122" s="29"/>
    </row>
    <row r="123" spans="1:6" ht="15" customHeight="1">
      <c r="A123" s="29"/>
      <c r="B123" s="95" t="s">
        <v>169</v>
      </c>
      <c r="C123" s="54" t="s">
        <v>194</v>
      </c>
      <c r="D123" s="55">
        <v>1</v>
      </c>
      <c r="E123" s="56">
        <v>5.36480686695E-4</v>
      </c>
      <c r="F123" s="29"/>
    </row>
    <row r="124" spans="1:6" ht="15" customHeight="1">
      <c r="A124" s="29"/>
      <c r="B124" s="97"/>
      <c r="C124" s="67" t="s">
        <v>233</v>
      </c>
      <c r="D124" s="66">
        <v>1</v>
      </c>
      <c r="E124" s="68">
        <v>5.36480686695E-4</v>
      </c>
      <c r="F124" s="29"/>
    </row>
    <row r="125" spans="1:6" ht="15" customHeight="1">
      <c r="A125" s="29"/>
      <c r="B125" s="95" t="s">
        <v>138</v>
      </c>
      <c r="C125" s="54" t="s">
        <v>194</v>
      </c>
      <c r="D125" s="55">
        <v>7</v>
      </c>
      <c r="E125" s="56">
        <v>3.755364806867E-3</v>
      </c>
      <c r="F125" s="29"/>
    </row>
    <row r="126" spans="1:6" ht="15" customHeight="1">
      <c r="A126" s="29"/>
      <c r="B126" s="96"/>
      <c r="C126" s="54" t="s">
        <v>195</v>
      </c>
      <c r="D126" s="55">
        <v>33</v>
      </c>
      <c r="E126" s="56">
        <v>1.7703862660944002E-2</v>
      </c>
      <c r="F126" s="29"/>
    </row>
    <row r="127" spans="1:6" ht="15" customHeight="1">
      <c r="A127" s="29"/>
      <c r="B127" s="97"/>
      <c r="C127" s="67" t="s">
        <v>233</v>
      </c>
      <c r="D127" s="66">
        <v>40</v>
      </c>
      <c r="E127" s="68">
        <v>2.1459227467810999E-2</v>
      </c>
      <c r="F127" s="29"/>
    </row>
    <row r="128" spans="1:6" ht="15" customHeight="1">
      <c r="A128" s="29"/>
      <c r="B128" s="95" t="s">
        <v>70</v>
      </c>
      <c r="C128" s="54" t="s">
        <v>194</v>
      </c>
      <c r="D128" s="55">
        <v>2</v>
      </c>
      <c r="E128" s="56">
        <v>1.0729613733910001E-3</v>
      </c>
      <c r="F128" s="29"/>
    </row>
    <row r="129" spans="1:6" ht="15" customHeight="1">
      <c r="A129" s="29"/>
      <c r="B129" s="96"/>
      <c r="C129" s="54" t="s">
        <v>195</v>
      </c>
      <c r="D129" s="55">
        <v>9</v>
      </c>
      <c r="E129" s="56">
        <v>4.8283261802580003E-3</v>
      </c>
      <c r="F129" s="29"/>
    </row>
    <row r="130" spans="1:6" ht="15" customHeight="1">
      <c r="A130" s="29"/>
      <c r="B130" s="97"/>
      <c r="C130" s="67" t="s">
        <v>233</v>
      </c>
      <c r="D130" s="66">
        <v>11</v>
      </c>
      <c r="E130" s="68">
        <v>5.9012875536479997E-3</v>
      </c>
      <c r="F130" s="29"/>
    </row>
    <row r="131" spans="1:6" ht="15" customHeight="1">
      <c r="A131" s="29"/>
      <c r="B131" s="95" t="s">
        <v>165</v>
      </c>
      <c r="C131" s="54" t="s">
        <v>194</v>
      </c>
      <c r="D131" s="55">
        <v>1</v>
      </c>
      <c r="E131" s="56">
        <v>5.36480686695E-4</v>
      </c>
      <c r="F131" s="29"/>
    </row>
    <row r="132" spans="1:6" ht="15" customHeight="1">
      <c r="A132" s="29"/>
      <c r="B132" s="96"/>
      <c r="C132" s="54" t="s">
        <v>195</v>
      </c>
      <c r="D132" s="55">
        <v>2</v>
      </c>
      <c r="E132" s="56">
        <v>1.0729613733910001E-3</v>
      </c>
      <c r="F132" s="29"/>
    </row>
    <row r="133" spans="1:6" ht="15" customHeight="1">
      <c r="A133" s="29"/>
      <c r="B133" s="97"/>
      <c r="C133" s="67" t="s">
        <v>233</v>
      </c>
      <c r="D133" s="66">
        <v>3</v>
      </c>
      <c r="E133" s="68">
        <v>1.609442060086E-3</v>
      </c>
      <c r="F133" s="29"/>
    </row>
    <row r="134" spans="1:6" ht="15" customHeight="1">
      <c r="A134" s="29"/>
      <c r="B134" s="95" t="s">
        <v>157</v>
      </c>
      <c r="C134" s="54" t="s">
        <v>194</v>
      </c>
      <c r="D134" s="55">
        <v>2</v>
      </c>
      <c r="E134" s="56">
        <v>1.0729613733910001E-3</v>
      </c>
      <c r="F134" s="29"/>
    </row>
    <row r="135" spans="1:6" ht="15" customHeight="1">
      <c r="A135" s="29"/>
      <c r="B135" s="96"/>
      <c r="C135" s="54" t="s">
        <v>195</v>
      </c>
      <c r="D135" s="55">
        <v>9</v>
      </c>
      <c r="E135" s="56">
        <v>4.8283261802580003E-3</v>
      </c>
      <c r="F135" s="29"/>
    </row>
    <row r="136" spans="1:6" ht="15" customHeight="1">
      <c r="A136" s="29"/>
      <c r="B136" s="97"/>
      <c r="C136" s="67" t="s">
        <v>233</v>
      </c>
      <c r="D136" s="66">
        <v>11</v>
      </c>
      <c r="E136" s="68">
        <v>5.9012875536479997E-3</v>
      </c>
      <c r="F136" s="29"/>
    </row>
    <row r="137" spans="1:6" ht="15" customHeight="1">
      <c r="A137" s="29"/>
      <c r="B137" s="104" t="s">
        <v>236</v>
      </c>
      <c r="C137" s="105"/>
      <c r="D137" s="58">
        <v>1864</v>
      </c>
      <c r="E137" s="59">
        <v>1</v>
      </c>
      <c r="F137" s="29"/>
    </row>
    <row r="138" spans="1:6" ht="15" customHeight="1">
      <c r="A138" s="29"/>
      <c r="B138" s="43"/>
      <c r="C138" s="43"/>
      <c r="D138" s="41"/>
      <c r="E138" s="43"/>
      <c r="F138" s="29"/>
    </row>
    <row r="139" spans="1:6" ht="15" customHeight="1">
      <c r="A139" s="35"/>
      <c r="B139" s="35" t="s">
        <v>120</v>
      </c>
      <c r="C139" s="35"/>
      <c r="D139" s="41"/>
      <c r="E139" s="43"/>
      <c r="F139" s="29"/>
    </row>
    <row r="140" spans="1:6" ht="15" customHeight="1">
      <c r="A140" s="36"/>
      <c r="B140" s="36" t="s">
        <v>17</v>
      </c>
      <c r="C140" s="36"/>
      <c r="D140" s="41"/>
      <c r="E140" s="43"/>
      <c r="F140" s="29"/>
    </row>
    <row r="141" spans="1:6" ht="15" customHeight="1">
      <c r="A141" s="37"/>
      <c r="B141" s="37" t="s">
        <v>117</v>
      </c>
      <c r="C141" s="37"/>
      <c r="D141" s="41"/>
      <c r="E141" s="43"/>
      <c r="F141" s="29"/>
    </row>
    <row r="142" spans="1:6" ht="15" customHeight="1">
      <c r="A142" s="35"/>
      <c r="B142" s="35" t="s">
        <v>16</v>
      </c>
      <c r="C142" s="35"/>
      <c r="D142" s="41"/>
      <c r="E142" s="43"/>
      <c r="F142" s="29"/>
    </row>
    <row r="143" spans="1:6" ht="15" customHeight="1">
      <c r="A143" s="35"/>
      <c r="B143" s="35" t="s">
        <v>234</v>
      </c>
      <c r="C143" s="35"/>
      <c r="D143" s="41"/>
      <c r="E143" s="43"/>
      <c r="F143" s="29"/>
    </row>
  </sheetData>
  <mergeCells count="45">
    <mergeCell ref="B8:E10"/>
    <mergeCell ref="B13:B15"/>
    <mergeCell ref="B16:B18"/>
    <mergeCell ref="B19:B21"/>
    <mergeCell ref="B22:B24"/>
    <mergeCell ref="B25:B27"/>
    <mergeCell ref="B28:B30"/>
    <mergeCell ref="B31:B32"/>
    <mergeCell ref="B33:B34"/>
    <mergeCell ref="B35:B37"/>
    <mergeCell ref="B38:B40"/>
    <mergeCell ref="B41:B43"/>
    <mergeCell ref="B44:B46"/>
    <mergeCell ref="B47:B49"/>
    <mergeCell ref="B50:B52"/>
    <mergeCell ref="B53:B55"/>
    <mergeCell ref="B56:B58"/>
    <mergeCell ref="B59:B61"/>
    <mergeCell ref="B62:B63"/>
    <mergeCell ref="B64:B66"/>
    <mergeCell ref="B67:B69"/>
    <mergeCell ref="B70:B72"/>
    <mergeCell ref="B73:B75"/>
    <mergeCell ref="B76:B78"/>
    <mergeCell ref="B79:B81"/>
    <mergeCell ref="B82:B84"/>
    <mergeCell ref="B85:B87"/>
    <mergeCell ref="B88:B89"/>
    <mergeCell ref="B90:B92"/>
    <mergeCell ref="B93:B95"/>
    <mergeCell ref="B96:B98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4"/>
    <mergeCell ref="B137:C137"/>
    <mergeCell ref="B125:B127"/>
    <mergeCell ref="B128:B130"/>
    <mergeCell ref="B131:B133"/>
    <mergeCell ref="B134:B136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37"/>
  <sheetViews>
    <sheetView showGridLines="0" view="pageBreakPreview" zoomScale="115" zoomScaleNormal="93" zoomScaleSheetLayoutView="115" workbookViewId="0">
      <selection activeCell="K11" sqref="K11"/>
    </sheetView>
  </sheetViews>
  <sheetFormatPr baseColWidth="10" defaultColWidth="11.42578125" defaultRowHeight="11.25"/>
  <cols>
    <col min="1" max="1" width="5.7109375" style="15" customWidth="1"/>
    <col min="2" max="2" width="19" style="22" customWidth="1"/>
    <col min="3" max="3" width="24.85546875" style="22" customWidth="1"/>
    <col min="4" max="4" width="17.140625" style="25" customWidth="1"/>
    <col min="5" max="5" width="16.5703125" style="25" customWidth="1"/>
    <col min="6" max="6" width="16.5703125" style="22" customWidth="1"/>
    <col min="7" max="7" width="5.7109375" style="15" customWidth="1"/>
    <col min="8" max="16384" width="11.42578125" style="15"/>
  </cols>
  <sheetData>
    <row r="1" spans="1:7" s="13" customFormat="1" ht="15">
      <c r="B1" s="22"/>
      <c r="C1" s="22"/>
    </row>
    <row r="2" spans="1:7" s="22" customFormat="1">
      <c r="B2" s="27"/>
    </row>
    <row r="3" spans="1:7" ht="15" customHeight="1">
      <c r="B3" s="28"/>
      <c r="C3" s="18"/>
      <c r="D3" s="15"/>
      <c r="E3" s="15"/>
      <c r="G3" s="22"/>
    </row>
    <row r="4" spans="1:7" ht="30" customHeight="1">
      <c r="B4" s="28"/>
      <c r="C4" s="18"/>
      <c r="D4" s="15"/>
      <c r="E4" s="15"/>
      <c r="G4" s="22"/>
    </row>
    <row r="5" spans="1:7" ht="15" customHeight="1">
      <c r="B5" s="28"/>
      <c r="C5" s="18"/>
      <c r="D5" s="15"/>
      <c r="E5" s="15"/>
      <c r="G5" s="22"/>
    </row>
    <row r="6" spans="1:7" s="22" customFormat="1">
      <c r="B6" s="24"/>
      <c r="C6" s="21"/>
    </row>
    <row r="7" spans="1:7" s="22" customFormat="1">
      <c r="B7" s="27"/>
    </row>
    <row r="8" spans="1:7" s="13" customFormat="1" ht="15" customHeight="1">
      <c r="A8" s="33"/>
      <c r="B8" s="92" t="s">
        <v>118</v>
      </c>
      <c r="C8" s="92"/>
      <c r="D8" s="92"/>
      <c r="E8" s="92"/>
      <c r="F8" s="92"/>
      <c r="G8" s="33"/>
    </row>
    <row r="9" spans="1:7" s="13" customFormat="1" ht="15" customHeight="1">
      <c r="A9" s="33"/>
      <c r="B9" s="92"/>
      <c r="C9" s="92"/>
      <c r="D9" s="92"/>
      <c r="E9" s="92"/>
      <c r="F9" s="92"/>
      <c r="G9" s="51"/>
    </row>
    <row r="10" spans="1:7" s="13" customFormat="1" ht="15" customHeight="1">
      <c r="A10" s="33"/>
      <c r="B10" s="92"/>
      <c r="C10" s="92"/>
      <c r="D10" s="92"/>
      <c r="E10" s="92"/>
      <c r="F10" s="92"/>
      <c r="G10" s="33"/>
    </row>
    <row r="11" spans="1:7" s="13" customFormat="1" ht="15" customHeight="1">
      <c r="A11" s="33"/>
      <c r="B11" s="52"/>
      <c r="C11" s="52"/>
      <c r="D11" s="52"/>
      <c r="E11" s="52"/>
      <c r="F11" s="52"/>
      <c r="G11" s="33"/>
    </row>
    <row r="12" spans="1:7" s="13" customFormat="1" ht="42.6" customHeight="1">
      <c r="A12" s="33"/>
      <c r="B12" s="53" t="s">
        <v>28</v>
      </c>
      <c r="C12" s="53" t="s">
        <v>31</v>
      </c>
      <c r="D12" s="53" t="s">
        <v>19</v>
      </c>
      <c r="E12" s="53" t="s">
        <v>30</v>
      </c>
      <c r="F12" s="53" t="s">
        <v>29</v>
      </c>
      <c r="G12" s="33"/>
    </row>
    <row r="13" spans="1:7" ht="15" customHeight="1">
      <c r="A13" s="29"/>
      <c r="B13" s="106" t="s">
        <v>196</v>
      </c>
      <c r="C13" s="60" t="s">
        <v>124</v>
      </c>
      <c r="D13" s="55">
        <v>1</v>
      </c>
      <c r="E13" s="56">
        <f t="shared" ref="E13:E19" si="0">D13/$D$20</f>
        <v>1.7211703958691911E-3</v>
      </c>
      <c r="F13" s="56">
        <f>D13/$D$29</f>
        <v>5.3648068669527897E-4</v>
      </c>
      <c r="G13" s="29"/>
    </row>
    <row r="14" spans="1:7" ht="15" customHeight="1">
      <c r="A14" s="29"/>
      <c r="B14" s="107"/>
      <c r="C14" s="60" t="s">
        <v>116</v>
      </c>
      <c r="D14" s="55">
        <v>6</v>
      </c>
      <c r="E14" s="56">
        <f t="shared" si="0"/>
        <v>1.0327022375215147E-2</v>
      </c>
      <c r="F14" s="56">
        <f t="shared" ref="F14:F29" si="1">D14/$D$29</f>
        <v>3.2188841201716738E-3</v>
      </c>
      <c r="G14" s="29"/>
    </row>
    <row r="15" spans="1:7" ht="15" customHeight="1">
      <c r="A15" s="29"/>
      <c r="B15" s="107"/>
      <c r="C15" s="60" t="s">
        <v>111</v>
      </c>
      <c r="D15" s="55">
        <v>157</v>
      </c>
      <c r="E15" s="56">
        <f t="shared" si="0"/>
        <v>0.27022375215146299</v>
      </c>
      <c r="F15" s="56">
        <f t="shared" si="1"/>
        <v>8.4227467811158793E-2</v>
      </c>
      <c r="G15" s="29"/>
    </row>
    <row r="16" spans="1:7" ht="15" customHeight="1">
      <c r="A16" s="29"/>
      <c r="B16" s="107"/>
      <c r="C16" s="60" t="s">
        <v>112</v>
      </c>
      <c r="D16" s="55">
        <v>215</v>
      </c>
      <c r="E16" s="56">
        <f t="shared" si="0"/>
        <v>0.37005163511187605</v>
      </c>
      <c r="F16" s="56">
        <f t="shared" si="1"/>
        <v>0.11534334763948498</v>
      </c>
      <c r="G16" s="29"/>
    </row>
    <row r="17" spans="1:7" ht="15" customHeight="1">
      <c r="A17" s="29"/>
      <c r="B17" s="107"/>
      <c r="C17" s="60" t="s">
        <v>113</v>
      </c>
      <c r="D17" s="55">
        <v>148</v>
      </c>
      <c r="E17" s="56">
        <f t="shared" si="0"/>
        <v>0.25473321858864029</v>
      </c>
      <c r="F17" s="56">
        <f t="shared" si="1"/>
        <v>7.9399141630901282E-2</v>
      </c>
      <c r="G17" s="29"/>
    </row>
    <row r="18" spans="1:7" ht="15" customHeight="1">
      <c r="A18" s="29"/>
      <c r="B18" s="107"/>
      <c r="C18" s="60" t="s">
        <v>114</v>
      </c>
      <c r="D18" s="55">
        <v>47</v>
      </c>
      <c r="E18" s="56">
        <f t="shared" si="0"/>
        <v>8.0895008605851984E-2</v>
      </c>
      <c r="F18" s="56">
        <f t="shared" si="1"/>
        <v>2.5214592274678111E-2</v>
      </c>
      <c r="G18" s="29"/>
    </row>
    <row r="19" spans="1:7" ht="15" customHeight="1">
      <c r="A19" s="29"/>
      <c r="B19" s="107"/>
      <c r="C19" s="60" t="s">
        <v>115</v>
      </c>
      <c r="D19" s="55">
        <v>7</v>
      </c>
      <c r="E19" s="56">
        <f t="shared" si="0"/>
        <v>1.2048192771084338E-2</v>
      </c>
      <c r="F19" s="56">
        <f t="shared" si="1"/>
        <v>3.7553648068669528E-3</v>
      </c>
      <c r="G19" s="29"/>
    </row>
    <row r="20" spans="1:7" ht="15" customHeight="1">
      <c r="A20" s="29"/>
      <c r="B20" s="108"/>
      <c r="C20" s="70" t="s">
        <v>233</v>
      </c>
      <c r="D20" s="66">
        <v>581</v>
      </c>
      <c r="E20" s="68"/>
      <c r="F20" s="68">
        <f t="shared" si="1"/>
        <v>0.31169527896995708</v>
      </c>
      <c r="G20" s="29"/>
    </row>
    <row r="21" spans="1:7" ht="15" customHeight="1">
      <c r="A21" s="29"/>
      <c r="B21" s="106" t="s">
        <v>197</v>
      </c>
      <c r="C21" s="60" t="s">
        <v>124</v>
      </c>
      <c r="D21" s="55">
        <v>6</v>
      </c>
      <c r="E21" s="56">
        <f t="shared" ref="E21:E27" si="2">D21/$D$28</f>
        <v>4.6765393608729543E-3</v>
      </c>
      <c r="F21" s="56">
        <f t="shared" si="1"/>
        <v>3.2188841201716738E-3</v>
      </c>
      <c r="G21" s="29"/>
    </row>
    <row r="22" spans="1:7" ht="15" customHeight="1">
      <c r="A22" s="29"/>
      <c r="B22" s="107"/>
      <c r="C22" s="60" t="s">
        <v>116</v>
      </c>
      <c r="D22" s="55">
        <v>8</v>
      </c>
      <c r="E22" s="56">
        <f t="shared" si="2"/>
        <v>6.2353858144972721E-3</v>
      </c>
      <c r="F22" s="56">
        <f t="shared" si="1"/>
        <v>4.2918454935622317E-3</v>
      </c>
      <c r="G22" s="29"/>
    </row>
    <row r="23" spans="1:7" ht="15" customHeight="1">
      <c r="A23" s="29"/>
      <c r="B23" s="107"/>
      <c r="C23" s="60" t="s">
        <v>111</v>
      </c>
      <c r="D23" s="55">
        <v>347</v>
      </c>
      <c r="E23" s="56">
        <f t="shared" si="2"/>
        <v>0.27045985970381919</v>
      </c>
      <c r="F23" s="56">
        <f t="shared" si="1"/>
        <v>0.18615879828326179</v>
      </c>
      <c r="G23" s="29"/>
    </row>
    <row r="24" spans="1:7" ht="15" customHeight="1">
      <c r="A24" s="29"/>
      <c r="B24" s="107"/>
      <c r="C24" s="60" t="s">
        <v>112</v>
      </c>
      <c r="D24" s="55">
        <v>521</v>
      </c>
      <c r="E24" s="56">
        <f t="shared" si="2"/>
        <v>0.40607950116913483</v>
      </c>
      <c r="F24" s="56">
        <f t="shared" si="1"/>
        <v>0.27950643776824036</v>
      </c>
      <c r="G24" s="29"/>
    </row>
    <row r="25" spans="1:7" ht="15" customHeight="1">
      <c r="A25" s="29"/>
      <c r="B25" s="107"/>
      <c r="C25" s="60" t="s">
        <v>113</v>
      </c>
      <c r="D25" s="55">
        <v>296</v>
      </c>
      <c r="E25" s="56">
        <f t="shared" si="2"/>
        <v>0.23070927513639908</v>
      </c>
      <c r="F25" s="56">
        <f t="shared" si="1"/>
        <v>0.15879828326180256</v>
      </c>
      <c r="G25" s="29"/>
    </row>
    <row r="26" spans="1:7" ht="15" customHeight="1">
      <c r="A26" s="29"/>
      <c r="B26" s="107"/>
      <c r="C26" s="60" t="s">
        <v>114</v>
      </c>
      <c r="D26" s="55">
        <v>98</v>
      </c>
      <c r="E26" s="56">
        <f t="shared" si="2"/>
        <v>7.6383476227591576E-2</v>
      </c>
      <c r="F26" s="56">
        <f t="shared" si="1"/>
        <v>5.257510729613734E-2</v>
      </c>
      <c r="G26" s="29"/>
    </row>
    <row r="27" spans="1:7" ht="15" customHeight="1">
      <c r="A27" s="29"/>
      <c r="B27" s="107"/>
      <c r="C27" s="60" t="s">
        <v>115</v>
      </c>
      <c r="D27" s="55">
        <v>7</v>
      </c>
      <c r="E27" s="56">
        <f t="shared" si="2"/>
        <v>5.4559625876851132E-3</v>
      </c>
      <c r="F27" s="56">
        <f t="shared" si="1"/>
        <v>3.7553648068669528E-3</v>
      </c>
      <c r="G27" s="29"/>
    </row>
    <row r="28" spans="1:7" ht="15" customHeight="1">
      <c r="A28" s="29"/>
      <c r="B28" s="108"/>
      <c r="C28" s="70" t="s">
        <v>233</v>
      </c>
      <c r="D28" s="66">
        <v>1283</v>
      </c>
      <c r="E28" s="68"/>
      <c r="F28" s="68">
        <f t="shared" si="1"/>
        <v>0.68830472103004292</v>
      </c>
      <c r="G28" s="29"/>
    </row>
    <row r="29" spans="1:7" ht="15" customHeight="1">
      <c r="A29" s="29"/>
      <c r="B29" s="109" t="s">
        <v>237</v>
      </c>
      <c r="C29" s="110"/>
      <c r="D29" s="58">
        <v>1864</v>
      </c>
      <c r="E29" s="59">
        <v>1</v>
      </c>
      <c r="F29" s="59">
        <f t="shared" si="1"/>
        <v>1</v>
      </c>
      <c r="G29" s="29"/>
    </row>
    <row r="30" spans="1:7" ht="15" customHeight="1">
      <c r="A30" s="29"/>
      <c r="B30" s="35"/>
      <c r="C30" s="43"/>
      <c r="D30" s="41"/>
      <c r="E30" s="41"/>
      <c r="F30" s="43"/>
      <c r="G30" s="29"/>
    </row>
    <row r="31" spans="1:7" ht="15" customHeight="1">
      <c r="B31" s="35" t="s">
        <v>120</v>
      </c>
      <c r="C31" s="43"/>
      <c r="D31" s="41"/>
      <c r="E31" s="41"/>
      <c r="F31" s="43"/>
      <c r="G31" s="29"/>
    </row>
    <row r="32" spans="1:7" ht="12.75">
      <c r="B32" s="36" t="s">
        <v>17</v>
      </c>
      <c r="C32" s="43"/>
      <c r="D32" s="41"/>
      <c r="E32" s="41"/>
      <c r="F32" s="43"/>
      <c r="G32" s="29"/>
    </row>
    <row r="33" spans="1:7" ht="12.75">
      <c r="B33" s="37" t="s">
        <v>117</v>
      </c>
      <c r="C33" s="43"/>
      <c r="D33" s="41"/>
      <c r="E33" s="41"/>
      <c r="F33" s="43"/>
      <c r="G33" s="29"/>
    </row>
    <row r="34" spans="1:7" ht="12.75">
      <c r="B34" s="35" t="s">
        <v>16</v>
      </c>
      <c r="C34" s="43"/>
      <c r="D34" s="41"/>
      <c r="E34" s="41"/>
      <c r="F34" s="43"/>
      <c r="G34" s="29"/>
    </row>
    <row r="35" spans="1:7" ht="12.75">
      <c r="B35" s="35" t="s">
        <v>234</v>
      </c>
      <c r="C35" s="43"/>
      <c r="D35" s="41"/>
      <c r="E35" s="41"/>
      <c r="F35" s="43"/>
      <c r="G35" s="29"/>
    </row>
    <row r="36" spans="1:7" ht="12.75">
      <c r="A36" s="29"/>
      <c r="B36" s="43"/>
      <c r="C36" s="43"/>
      <c r="D36" s="41"/>
      <c r="E36" s="41"/>
      <c r="F36" s="43"/>
      <c r="G36" s="29"/>
    </row>
    <row r="37" spans="1:7" ht="12.75">
      <c r="A37" s="29"/>
      <c r="B37" s="43"/>
      <c r="C37" s="43"/>
      <c r="D37" s="41"/>
      <c r="E37" s="41"/>
      <c r="F37" s="43"/>
      <c r="G37" s="29"/>
    </row>
  </sheetData>
  <mergeCells count="4">
    <mergeCell ref="B8:F10"/>
    <mergeCell ref="B13:B20"/>
    <mergeCell ref="B21:B28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F55"/>
  <sheetViews>
    <sheetView showGridLines="0" tabSelected="1" view="pageBreakPreview" zoomScale="130" zoomScaleNormal="100" zoomScaleSheetLayoutView="130" workbookViewId="0">
      <selection activeCell="H8" sqref="H8"/>
    </sheetView>
  </sheetViews>
  <sheetFormatPr baseColWidth="10" defaultColWidth="11.42578125" defaultRowHeight="15"/>
  <cols>
    <col min="1" max="1" width="9.28515625" style="13" customWidth="1"/>
    <col min="2" max="2" width="45.42578125" style="13" customWidth="1"/>
    <col min="3" max="3" width="15.14062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8"/>
    </row>
    <row r="2" spans="1:6" s="15" customFormat="1" ht="15" customHeight="1">
      <c r="C2" s="18"/>
    </row>
    <row r="3" spans="1:6" s="15" customFormat="1" ht="15" customHeight="1">
      <c r="C3" s="18"/>
    </row>
    <row r="4" spans="1:6" s="15" customFormat="1" ht="30" customHeight="1">
      <c r="C4" s="18"/>
      <c r="D4" s="17"/>
    </row>
    <row r="5" spans="1:6" s="15" customFormat="1" ht="15" customHeight="1">
      <c r="C5" s="18"/>
      <c r="D5" s="17"/>
    </row>
    <row r="6" spans="1:6" s="15" customFormat="1" ht="15" customHeight="1">
      <c r="C6" s="18"/>
      <c r="D6" s="17"/>
    </row>
    <row r="7" spans="1:6" s="15" customFormat="1" ht="15" customHeight="1">
      <c r="A7" s="29"/>
      <c r="B7" s="92" t="s">
        <v>119</v>
      </c>
      <c r="C7" s="92"/>
      <c r="D7" s="92"/>
      <c r="E7" s="29"/>
      <c r="F7" s="29"/>
    </row>
    <row r="8" spans="1:6" s="15" customFormat="1" ht="15" customHeight="1">
      <c r="A8" s="29"/>
      <c r="B8" s="92"/>
      <c r="C8" s="92"/>
      <c r="D8" s="92"/>
      <c r="E8" s="29"/>
      <c r="F8" s="29"/>
    </row>
    <row r="9" spans="1:6" s="15" customFormat="1" ht="33" customHeight="1">
      <c r="A9" s="29"/>
      <c r="B9" s="92"/>
      <c r="C9" s="92"/>
      <c r="D9" s="92"/>
      <c r="E9" s="29"/>
      <c r="F9" s="29"/>
    </row>
    <row r="10" spans="1:6" s="15" customFormat="1" ht="4.5" customHeight="1">
      <c r="A10" s="29"/>
      <c r="B10" s="40"/>
      <c r="C10" s="40"/>
      <c r="D10" s="40"/>
      <c r="E10" s="29"/>
      <c r="F10" s="29"/>
    </row>
    <row r="11" spans="1:6" s="15" customFormat="1" ht="33" customHeight="1">
      <c r="A11" s="29"/>
      <c r="B11" s="30" t="s">
        <v>32</v>
      </c>
      <c r="C11" s="31" t="s">
        <v>19</v>
      </c>
      <c r="D11" s="32" t="s">
        <v>18</v>
      </c>
      <c r="E11" s="29"/>
      <c r="F11" s="29"/>
    </row>
    <row r="12" spans="1:6" ht="15" customHeight="1">
      <c r="A12" s="33"/>
      <c r="B12" s="54" t="s">
        <v>198</v>
      </c>
      <c r="C12" s="55">
        <v>1112</v>
      </c>
      <c r="D12" s="56">
        <v>0.59656652360514995</v>
      </c>
      <c r="E12" s="33"/>
      <c r="F12" s="33"/>
    </row>
    <row r="13" spans="1:6" ht="15" customHeight="1">
      <c r="A13" s="33"/>
      <c r="B13" s="54" t="s">
        <v>199</v>
      </c>
      <c r="C13" s="55">
        <v>268</v>
      </c>
      <c r="D13" s="56">
        <v>0.143776824034335</v>
      </c>
      <c r="E13" s="33"/>
      <c r="F13" s="33"/>
    </row>
    <row r="14" spans="1:6" ht="15" customHeight="1">
      <c r="A14" s="33"/>
      <c r="B14" s="54" t="s">
        <v>200</v>
      </c>
      <c r="C14" s="55">
        <v>158</v>
      </c>
      <c r="D14" s="56">
        <v>8.4763948497854E-2</v>
      </c>
      <c r="E14" s="33"/>
      <c r="F14" s="33"/>
    </row>
    <row r="15" spans="1:6" ht="15" customHeight="1">
      <c r="A15" s="33"/>
      <c r="B15" s="54" t="s">
        <v>201</v>
      </c>
      <c r="C15" s="55">
        <v>61</v>
      </c>
      <c r="D15" s="56">
        <v>3.2725321888411998E-2</v>
      </c>
      <c r="E15" s="33"/>
      <c r="F15" s="33"/>
    </row>
    <row r="16" spans="1:6" ht="15" customHeight="1">
      <c r="A16" s="33"/>
      <c r="B16" s="54" t="s">
        <v>202</v>
      </c>
      <c r="C16" s="55">
        <v>39</v>
      </c>
      <c r="D16" s="56">
        <v>2.0922746781116001E-2</v>
      </c>
      <c r="E16" s="33"/>
      <c r="F16" s="33"/>
    </row>
    <row r="17" spans="1:6" ht="15" customHeight="1">
      <c r="A17" s="33"/>
      <c r="B17" s="54" t="s">
        <v>203</v>
      </c>
      <c r="C17" s="55">
        <v>37</v>
      </c>
      <c r="D17" s="56">
        <v>1.9849785407725001E-2</v>
      </c>
      <c r="E17" s="33"/>
      <c r="F17" s="33"/>
    </row>
    <row r="18" spans="1:6" ht="15" customHeight="1">
      <c r="A18" s="33"/>
      <c r="B18" s="54" t="s">
        <v>204</v>
      </c>
      <c r="C18" s="55">
        <v>37</v>
      </c>
      <c r="D18" s="56">
        <v>1.9849785407725001E-2</v>
      </c>
      <c r="E18" s="33"/>
      <c r="F18" s="33"/>
    </row>
    <row r="19" spans="1:6" ht="15" customHeight="1">
      <c r="A19" s="33"/>
      <c r="B19" s="54" t="s">
        <v>205</v>
      </c>
      <c r="C19" s="55">
        <v>33</v>
      </c>
      <c r="D19" s="56">
        <v>1.7703862660944002E-2</v>
      </c>
      <c r="E19" s="33"/>
      <c r="F19" s="33"/>
    </row>
    <row r="20" spans="1:6" ht="15" customHeight="1">
      <c r="A20" s="33"/>
      <c r="B20" s="54" t="s">
        <v>206</v>
      </c>
      <c r="C20" s="55">
        <v>30</v>
      </c>
      <c r="D20" s="56">
        <v>1.6094420600858E-2</v>
      </c>
      <c r="E20" s="33"/>
      <c r="F20" s="33"/>
    </row>
    <row r="21" spans="1:6" ht="15" customHeight="1">
      <c r="A21" s="33"/>
      <c r="B21" s="54" t="s">
        <v>207</v>
      </c>
      <c r="C21" s="55">
        <v>16</v>
      </c>
      <c r="D21" s="56">
        <v>8.5836909871240003E-3</v>
      </c>
      <c r="E21" s="33"/>
      <c r="F21" s="33"/>
    </row>
    <row r="22" spans="1:6" ht="15" customHeight="1">
      <c r="A22" s="33"/>
      <c r="B22" s="54" t="s">
        <v>208</v>
      </c>
      <c r="C22" s="55">
        <v>11</v>
      </c>
      <c r="D22" s="56">
        <v>5.9012875536479997E-3</v>
      </c>
      <c r="E22" s="33"/>
      <c r="F22" s="33"/>
    </row>
    <row r="23" spans="1:6" ht="15" customHeight="1">
      <c r="A23" s="33"/>
      <c r="B23" s="54" t="s">
        <v>209</v>
      </c>
      <c r="C23" s="55">
        <v>9</v>
      </c>
      <c r="D23" s="56">
        <v>4.8283261802580003E-3</v>
      </c>
      <c r="E23" s="33"/>
      <c r="F23" s="33"/>
    </row>
    <row r="24" spans="1:6" ht="15" customHeight="1">
      <c r="A24" s="33"/>
      <c r="B24" s="54" t="s">
        <v>210</v>
      </c>
      <c r="C24" s="55">
        <v>7</v>
      </c>
      <c r="D24" s="56">
        <v>3.755364806867E-3</v>
      </c>
      <c r="E24" s="33"/>
      <c r="F24" s="33"/>
    </row>
    <row r="25" spans="1:6" ht="15" customHeight="1">
      <c r="A25" s="33"/>
      <c r="B25" s="54" t="s">
        <v>211</v>
      </c>
      <c r="C25" s="55">
        <v>5</v>
      </c>
      <c r="D25" s="56">
        <v>2.6824034334760002E-3</v>
      </c>
      <c r="E25" s="33"/>
      <c r="F25" s="33"/>
    </row>
    <row r="26" spans="1:6" ht="15" customHeight="1">
      <c r="A26" s="33"/>
      <c r="B26" s="54" t="s">
        <v>122</v>
      </c>
      <c r="C26" s="55">
        <v>4</v>
      </c>
      <c r="D26" s="56">
        <v>2.1459227467810001E-3</v>
      </c>
      <c r="E26" s="33"/>
      <c r="F26" s="33"/>
    </row>
    <row r="27" spans="1:6" ht="15" customHeight="1">
      <c r="A27" s="33"/>
      <c r="B27" s="54" t="s">
        <v>212</v>
      </c>
      <c r="C27" s="55">
        <v>4</v>
      </c>
      <c r="D27" s="56">
        <v>2.1459227467810001E-3</v>
      </c>
      <c r="E27" s="33"/>
      <c r="F27" s="33"/>
    </row>
    <row r="28" spans="1:6" ht="15" customHeight="1">
      <c r="A28" s="33"/>
      <c r="B28" s="54" t="s">
        <v>213</v>
      </c>
      <c r="C28" s="55">
        <v>3</v>
      </c>
      <c r="D28" s="56">
        <v>1.609442060086E-3</v>
      </c>
      <c r="E28" s="33"/>
      <c r="F28" s="33"/>
    </row>
    <row r="29" spans="1:6" ht="15" customHeight="1">
      <c r="A29" s="33"/>
      <c r="B29" s="54" t="s">
        <v>214</v>
      </c>
      <c r="C29" s="55">
        <v>3</v>
      </c>
      <c r="D29" s="56">
        <v>1.609442060086E-3</v>
      </c>
      <c r="E29" s="33"/>
      <c r="F29" s="33"/>
    </row>
    <row r="30" spans="1:6" ht="15" customHeight="1">
      <c r="A30" s="33"/>
      <c r="B30" s="54" t="s">
        <v>215</v>
      </c>
      <c r="C30" s="55">
        <v>3</v>
      </c>
      <c r="D30" s="56">
        <v>1.609442060086E-3</v>
      </c>
      <c r="E30" s="33"/>
      <c r="F30" s="33"/>
    </row>
    <row r="31" spans="1:6" ht="15" customHeight="1">
      <c r="A31" s="33"/>
      <c r="B31" s="54" t="s">
        <v>216</v>
      </c>
      <c r="C31" s="55">
        <v>3</v>
      </c>
      <c r="D31" s="56">
        <v>1.609442060086E-3</v>
      </c>
      <c r="E31" s="33"/>
      <c r="F31" s="33"/>
    </row>
    <row r="32" spans="1:6" ht="15" customHeight="1">
      <c r="A32" s="33"/>
      <c r="B32" s="54" t="s">
        <v>217</v>
      </c>
      <c r="C32" s="55">
        <v>2</v>
      </c>
      <c r="D32" s="56">
        <v>1.0729613733910001E-3</v>
      </c>
      <c r="E32" s="33"/>
      <c r="F32" s="33"/>
    </row>
    <row r="33" spans="1:6" ht="15" customHeight="1">
      <c r="A33" s="33"/>
      <c r="B33" s="54" t="s">
        <v>218</v>
      </c>
      <c r="C33" s="55">
        <v>2</v>
      </c>
      <c r="D33" s="56">
        <v>1.0729613733910001E-3</v>
      </c>
      <c r="E33" s="33"/>
      <c r="F33" s="33"/>
    </row>
    <row r="34" spans="1:6" ht="15" customHeight="1">
      <c r="A34" s="33"/>
      <c r="B34" s="54" t="s">
        <v>219</v>
      </c>
      <c r="C34" s="55">
        <v>2</v>
      </c>
      <c r="D34" s="56">
        <v>1.0729613733910001E-3</v>
      </c>
      <c r="E34" s="33"/>
      <c r="F34" s="33"/>
    </row>
    <row r="35" spans="1:6" ht="15" customHeight="1">
      <c r="A35" s="33"/>
      <c r="B35" s="54" t="s">
        <v>220</v>
      </c>
      <c r="C35" s="55">
        <v>2</v>
      </c>
      <c r="D35" s="56">
        <v>1.0729613733910001E-3</v>
      </c>
      <c r="E35" s="33"/>
      <c r="F35" s="33"/>
    </row>
    <row r="36" spans="1:6" ht="15" customHeight="1">
      <c r="A36" s="33"/>
      <c r="B36" s="54" t="s">
        <v>221</v>
      </c>
      <c r="C36" s="55">
        <v>2</v>
      </c>
      <c r="D36" s="56">
        <v>1.0729613733910001E-3</v>
      </c>
      <c r="E36" s="33"/>
      <c r="F36" s="33"/>
    </row>
    <row r="37" spans="1:6" ht="15" customHeight="1">
      <c r="A37" s="33"/>
      <c r="B37" s="54" t="s">
        <v>222</v>
      </c>
      <c r="C37" s="55">
        <v>1</v>
      </c>
      <c r="D37" s="56">
        <v>5.36480686695E-4</v>
      </c>
      <c r="E37" s="33"/>
      <c r="F37" s="33"/>
    </row>
    <row r="38" spans="1:6" ht="15" customHeight="1">
      <c r="A38" s="33"/>
      <c r="B38" s="54" t="s">
        <v>223</v>
      </c>
      <c r="C38" s="55">
        <v>1</v>
      </c>
      <c r="D38" s="56">
        <v>5.36480686695E-4</v>
      </c>
      <c r="E38" s="33"/>
      <c r="F38" s="33"/>
    </row>
    <row r="39" spans="1:6" ht="15" customHeight="1">
      <c r="A39" s="33"/>
      <c r="B39" s="54" t="s">
        <v>224</v>
      </c>
      <c r="C39" s="55">
        <v>1</v>
      </c>
      <c r="D39" s="56">
        <v>5.36480686695E-4</v>
      </c>
      <c r="E39" s="33"/>
      <c r="F39" s="33"/>
    </row>
    <row r="40" spans="1:6" ht="15" customHeight="1">
      <c r="A40" s="33"/>
      <c r="B40" s="54" t="s">
        <v>225</v>
      </c>
      <c r="C40" s="55">
        <v>1</v>
      </c>
      <c r="D40" s="56">
        <v>5.36480686695E-4</v>
      </c>
      <c r="E40" s="33"/>
      <c r="F40" s="33"/>
    </row>
    <row r="41" spans="1:6" ht="15" customHeight="1">
      <c r="A41" s="33"/>
      <c r="B41" s="54" t="s">
        <v>226</v>
      </c>
      <c r="C41" s="55">
        <v>1</v>
      </c>
      <c r="D41" s="56">
        <v>5.36480686695E-4</v>
      </c>
      <c r="E41" s="33"/>
      <c r="F41" s="33"/>
    </row>
    <row r="42" spans="1:6" ht="15" customHeight="1">
      <c r="A42" s="33"/>
      <c r="B42" s="54" t="s">
        <v>227</v>
      </c>
      <c r="C42" s="55">
        <v>1</v>
      </c>
      <c r="D42" s="56">
        <v>5.36480686695E-4</v>
      </c>
      <c r="E42" s="33"/>
      <c r="F42" s="33"/>
    </row>
    <row r="43" spans="1:6" ht="15" customHeight="1">
      <c r="A43" s="33"/>
      <c r="B43" s="54" t="s">
        <v>228</v>
      </c>
      <c r="C43" s="55">
        <v>1</v>
      </c>
      <c r="D43" s="56">
        <v>5.36480686695E-4</v>
      </c>
      <c r="E43" s="33"/>
      <c r="F43" s="33"/>
    </row>
    <row r="44" spans="1:6" ht="15" customHeight="1">
      <c r="A44" s="33"/>
      <c r="B44" s="54" t="s">
        <v>229</v>
      </c>
      <c r="C44" s="55">
        <v>1</v>
      </c>
      <c r="D44" s="56">
        <v>5.36480686695E-4</v>
      </c>
      <c r="E44" s="33"/>
      <c r="F44" s="33"/>
    </row>
    <row r="45" spans="1:6" ht="15" customHeight="1">
      <c r="A45" s="33"/>
      <c r="B45" s="54" t="s">
        <v>230</v>
      </c>
      <c r="C45" s="55">
        <v>1</v>
      </c>
      <c r="D45" s="56">
        <v>5.36480686695E-4</v>
      </c>
      <c r="E45" s="33"/>
      <c r="F45" s="33"/>
    </row>
    <row r="46" spans="1:6" ht="15" customHeight="1">
      <c r="A46" s="33"/>
      <c r="B46" s="54" t="s">
        <v>231</v>
      </c>
      <c r="C46" s="55">
        <v>1</v>
      </c>
      <c r="D46" s="56">
        <v>5.36480686695E-4</v>
      </c>
      <c r="E46" s="33"/>
      <c r="F46" s="33"/>
    </row>
    <row r="47" spans="1:6" ht="15" customHeight="1">
      <c r="A47" s="33"/>
      <c r="B47" s="54" t="s">
        <v>232</v>
      </c>
      <c r="C47" s="55">
        <v>1</v>
      </c>
      <c r="D47" s="56">
        <v>5.36480686695E-4</v>
      </c>
      <c r="E47" s="33"/>
      <c r="F47" s="33"/>
    </row>
    <row r="48" spans="1:6" ht="15" customHeight="1">
      <c r="A48" s="33"/>
      <c r="B48" s="57" t="s">
        <v>236</v>
      </c>
      <c r="C48" s="58">
        <v>1864</v>
      </c>
      <c r="D48" s="59">
        <v>1</v>
      </c>
      <c r="E48" s="33"/>
      <c r="F48" s="33"/>
    </row>
    <row r="49" spans="1:6" ht="16.5">
      <c r="A49" s="33"/>
      <c r="B49" s="33"/>
      <c r="C49" s="34"/>
      <c r="D49" s="33"/>
      <c r="E49" s="33"/>
      <c r="F49" s="33"/>
    </row>
    <row r="50" spans="1:6" ht="16.5">
      <c r="B50" s="35" t="s">
        <v>120</v>
      </c>
      <c r="C50" s="43"/>
      <c r="D50" s="33"/>
      <c r="E50" s="33"/>
      <c r="F50" s="33"/>
    </row>
    <row r="51" spans="1:6" ht="16.5">
      <c r="B51" s="36" t="s">
        <v>17</v>
      </c>
      <c r="C51" s="43"/>
      <c r="D51" s="33"/>
      <c r="E51" s="33"/>
      <c r="F51" s="33"/>
    </row>
    <row r="52" spans="1:6" ht="16.5">
      <c r="B52" s="37" t="s">
        <v>117</v>
      </c>
      <c r="C52" s="43"/>
      <c r="D52" s="33"/>
      <c r="E52" s="33"/>
      <c r="F52" s="33"/>
    </row>
    <row r="53" spans="1:6" ht="16.5">
      <c r="B53" s="35" t="s">
        <v>16</v>
      </c>
      <c r="C53" s="43"/>
      <c r="D53" s="33"/>
      <c r="E53" s="33"/>
      <c r="F53" s="33"/>
    </row>
    <row r="54" spans="1:6" ht="16.5">
      <c r="B54" s="35" t="s">
        <v>234</v>
      </c>
      <c r="C54" s="43"/>
      <c r="D54" s="33"/>
      <c r="E54" s="33"/>
      <c r="F54" s="33"/>
    </row>
    <row r="55" spans="1:6" ht="16.5">
      <c r="A55" s="29"/>
      <c r="B55" s="43"/>
      <c r="C55" s="43"/>
      <c r="D55" s="33"/>
      <c r="E55" s="33"/>
      <c r="F55" s="3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3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24</vt:i4>
      </vt:variant>
    </vt:vector>
  </HeadingPairs>
  <TitlesOfParts>
    <vt:vector size="39" baseType="lpstr">
      <vt:lpstr>Índice</vt:lpstr>
      <vt:lpstr>Campeche_EdoUsa</vt:lpstr>
      <vt:lpstr>Campeche_Cons</vt:lpstr>
      <vt:lpstr>CampecheXCons</vt:lpstr>
      <vt:lpstr>Campeche_EdoMun</vt:lpstr>
      <vt:lpstr>Campeche_USAMuni</vt:lpstr>
      <vt:lpstr>Campeche_MUNICIPIO</vt:lpstr>
      <vt:lpstr>Campeche_educ_gral</vt:lpstr>
      <vt:lpstr>Campeche_NivelE_Cons</vt:lpstr>
      <vt:lpstr>Campeche_EducCons</vt:lpstr>
      <vt:lpstr>Campeche_GenGral</vt:lpstr>
      <vt:lpstr>Campeche_GENERO</vt:lpstr>
      <vt:lpstr>Campeche_GENERO_EUA</vt:lpstr>
      <vt:lpstr>Campeche_Gen_Edad</vt:lpstr>
      <vt:lpstr>Campeche_ocup_gral</vt:lpstr>
      <vt:lpstr>Campeche_Cons!Área_de_impresión</vt:lpstr>
      <vt:lpstr>Campeche_EdoMun!Área_de_impresión</vt:lpstr>
      <vt:lpstr>Campeche_educ_gral!Área_de_impresión</vt:lpstr>
      <vt:lpstr>Campeche_EducCons!Área_de_impresión</vt:lpstr>
      <vt:lpstr>Campeche_Gen_Edad!Área_de_impresión</vt:lpstr>
      <vt:lpstr>Campeche_GENERO!Área_de_impresión</vt:lpstr>
      <vt:lpstr>Campeche_MUNICIPIO!Área_de_impresión</vt:lpstr>
      <vt:lpstr>Campeche_NivelE_Cons!Área_de_impresión</vt:lpstr>
      <vt:lpstr>Campeche_ocup_gral!Área_de_impresión</vt:lpstr>
      <vt:lpstr>Campeche_USAMuni!Área_de_impresión</vt:lpstr>
      <vt:lpstr>Campeche_Cons!Títulos_a_imprimir</vt:lpstr>
      <vt:lpstr>Campeche_EdoMun!Títulos_a_imprimir</vt:lpstr>
      <vt:lpstr>Campeche_EdoUsa!Títulos_a_imprimir</vt:lpstr>
      <vt:lpstr>Campeche_educ_gral!Títulos_a_imprimir</vt:lpstr>
      <vt:lpstr>Campeche_EducCons!Títulos_a_imprimir</vt:lpstr>
      <vt:lpstr>Campeche_Gen_Edad!Títulos_a_imprimir</vt:lpstr>
      <vt:lpstr>Campeche_GENERO!Títulos_a_imprimir</vt:lpstr>
      <vt:lpstr>Campeche_GENERO_EUA!Títulos_a_imprimir</vt:lpstr>
      <vt:lpstr>Campeche_GenGral!Títulos_a_imprimir</vt:lpstr>
      <vt:lpstr>Campeche_MUNICIPIO!Títulos_a_imprimir</vt:lpstr>
      <vt:lpstr>Campeche_NivelE_Cons!Títulos_a_imprimir</vt:lpstr>
      <vt:lpstr>Campeche_ocup_gral!Títulos_a_imprimir</vt:lpstr>
      <vt:lpstr>Campeche_USAMuni!Títulos_a_imprimir</vt:lpstr>
      <vt:lpstr>CampecheXCons!Títulos_a_imprimir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2020-06-02T19:43:30Z</dcterms:created>
  <dcterms:modified xsi:type="dcterms:W3CDTF">2025-08-21T16:16:45Z</dcterms:modified>
</cp:coreProperties>
</file>