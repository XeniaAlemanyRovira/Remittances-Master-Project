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0533FE57-797E-4C9A-B0C4-D63A76977F83}" xr6:coauthVersionLast="47" xr6:coauthVersionMax="47" xr10:uidLastSave="{00000000-0000-0000-0000-000000000000}"/>
  <bookViews>
    <workbookView xWindow="-120" yWindow="-120" windowWidth="29040" windowHeight="15840" tabRatio="866" firstSheet="12" activeTab="13" xr2:uid="{00000000-000D-0000-FFFF-FFFF00000000}"/>
  </bookViews>
  <sheets>
    <sheet name="Índice" sheetId="14" r:id="rId1"/>
    <sheet name="Aguascalientes_EdoUsa" sheetId="1" r:id="rId2"/>
    <sheet name="Aguascalientes_Cons" sheetId="15" r:id="rId3"/>
    <sheet name="AguascalientesXCons" sheetId="16" r:id="rId4"/>
    <sheet name="Aguascalientes_EdoMun" sheetId="4" r:id="rId5"/>
    <sheet name="Aguascalientes_USAMuni" sheetId="5" r:id="rId6"/>
    <sheet name="Aguascalientes_MUNICIPIO" sheetId="6" r:id="rId7"/>
    <sheet name="Aguascalientes_educ_gral" sheetId="7" r:id="rId8"/>
    <sheet name="Aguascalientes_NivelE_Cons" sheetId="8" r:id="rId9"/>
    <sheet name="Aguascalientes_EducCons" sheetId="9" r:id="rId10"/>
    <sheet name="Aguascalientes_GenGral" sheetId="10" r:id="rId11"/>
    <sheet name="Aguascalientes_GENERO" sheetId="11" r:id="rId12"/>
    <sheet name="Aguascalientes_GENERO_EUA" sheetId="17" r:id="rId13"/>
    <sheet name="Aguascalientes_Gen_Edad" sheetId="12" r:id="rId14"/>
    <sheet name="Aguascalientes_ocup_gral" sheetId="13" r:id="rId15"/>
  </sheets>
  <definedNames>
    <definedName name="_xlnm._FilterDatabase" localSheetId="2" hidden="1">Aguascalientes_Cons!$B$11:$D$11</definedName>
    <definedName name="_xlnm._FilterDatabase" localSheetId="4" hidden="1">Aguascalientes_EdoMun!$B$11:$D$11</definedName>
    <definedName name="_xlnm._FilterDatabase" localSheetId="1" hidden="1">Aguascalientes_EdoUsa!$B$11:$D$11</definedName>
    <definedName name="_xlnm._FilterDatabase" localSheetId="7" hidden="1">Aguascalientes_educ_gral!$B$11:$C$11</definedName>
    <definedName name="_xlnm._FilterDatabase" localSheetId="9" hidden="1">Aguascalientes_EducCons!$B$9:$E$689</definedName>
    <definedName name="_xlnm._FilterDatabase" localSheetId="13" hidden="1">Aguascalientes_Gen_Edad!$B$8:$E$31</definedName>
    <definedName name="_xlnm._FilterDatabase" localSheetId="11" hidden="1">Aguascalientes_GENERO!$B$13:$E$163</definedName>
    <definedName name="_xlnm._FilterDatabase" localSheetId="12" hidden="1">Aguascalientes_GENERO_EUA!$B$12:$E$151</definedName>
    <definedName name="_xlnm._FilterDatabase" localSheetId="10" hidden="1">Aguascalientes_GenGral!$B$11:$C$11</definedName>
    <definedName name="_xlnm._FilterDatabase" localSheetId="6" hidden="1">Aguascalientes_MUNICIPIO!$B$9:$E$429</definedName>
    <definedName name="_xlnm._FilterDatabase" localSheetId="8" hidden="1">Aguascalientes_NivelE_Cons!$B$9:$E$529</definedName>
    <definedName name="_xlnm._FilterDatabase" localSheetId="14" hidden="1">Aguascalientes_ocup_gral!$B$11:$D$11</definedName>
    <definedName name="_xlnm._FilterDatabase" localSheetId="5" hidden="1">Aguascalientes_USAMuni!$B$9:$E$335</definedName>
    <definedName name="_xlnm._FilterDatabase" localSheetId="3" hidden="1">AguascalientesXCons!$B$11:$D$11</definedName>
    <definedName name="_xlnm.Print_Area" localSheetId="4">Aguascalientes_EdoMun!$A$1:$F$30</definedName>
    <definedName name="_xlnm.Print_Area" localSheetId="7">Aguascalientes_educ_gral!$A$1:$E$42</definedName>
    <definedName name="_xlnm.Print_Area" localSheetId="9">Aguascalientes_EducCons!$A$1:$E$696</definedName>
    <definedName name="_xlnm.Print_Area" localSheetId="13">Aguascalientes_Gen_Edad!$A$1:$F$37</definedName>
    <definedName name="_xlnm.Print_Area" localSheetId="11">Aguascalientes_GENERO!$A$1:$F$170</definedName>
    <definedName name="_xlnm.Print_Area" localSheetId="12">Aguascalientes_GENERO_EUA!$A$1:$F$152</definedName>
    <definedName name="_xlnm.Print_Area" localSheetId="10">Aguascalientes_GenGral!$A$1:$F$20</definedName>
    <definedName name="_xlnm.Print_Area" localSheetId="6">Aguascalientes_MUNICIPIO!$A$1:$E$435</definedName>
    <definedName name="_xlnm.Print_Area" localSheetId="8">Aguascalientes_NivelE_Cons!$A$1:$E$536</definedName>
    <definedName name="_xlnm.Print_Area" localSheetId="14">Aguascalientes_ocup_gral!$A$1:$E$64</definedName>
    <definedName name="_xlnm.Print_Area" localSheetId="5">Aguascalientes_USAMuni!$A$1:$F$341</definedName>
    <definedName name="_xlnm.Print_Area" localSheetId="3">AguascalientesXCons!$A$1:$F$29</definedName>
    <definedName name="_xlnm.Print_Titles" localSheetId="2">Aguascalientes_Cons!$1:$11</definedName>
    <definedName name="_xlnm.Print_Titles" localSheetId="4">Aguascalientes_EdoMun!$1:$11</definedName>
    <definedName name="_xlnm.Print_Titles" localSheetId="1">Aguascalientes_EdoUsa!$1:$11</definedName>
    <definedName name="_xlnm.Print_Titles" localSheetId="7">Aguascalientes_educ_gral!$1:$11</definedName>
    <definedName name="_xlnm.Print_Titles" localSheetId="9">Aguascalientes_EducCons!$1:$9</definedName>
    <definedName name="_xlnm.Print_Titles" localSheetId="13">Aguascalientes_Gen_Edad!$1:$12</definedName>
    <definedName name="_xlnm.Print_Titles" localSheetId="11">Aguascalientes_GENERO!$1:$13</definedName>
    <definedName name="_xlnm.Print_Titles" localSheetId="12">Aguascalientes_GENERO_EUA!$1:$12</definedName>
    <definedName name="_xlnm.Print_Titles" localSheetId="10">Aguascalientes_GenGral!$1:$11</definedName>
    <definedName name="_xlnm.Print_Titles" localSheetId="6">Aguascalientes_MUNICIPIO!$1:$9</definedName>
    <definedName name="_xlnm.Print_Titles" localSheetId="8">Aguascalientes_NivelE_Cons!$1:$9</definedName>
    <definedName name="_xlnm.Print_Titles" localSheetId="14">Aguascalientes_ocup_gral!$1:$11</definedName>
    <definedName name="_xlnm.Print_Titles" localSheetId="5">Aguascalientes_USAMuni!$1:$9</definedName>
    <definedName name="_xlnm.Print_Titles" localSheetId="3">AguascalientesXCons!$1:$11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12" l="1"/>
  <c r="E28" i="12"/>
  <c r="E27" i="12"/>
  <c r="E26" i="12"/>
  <c r="E25" i="12"/>
  <c r="E24" i="12"/>
  <c r="E23" i="12"/>
  <c r="E22" i="12"/>
  <c r="E20" i="12"/>
  <c r="E19" i="12"/>
  <c r="E18" i="12"/>
  <c r="E17" i="12"/>
  <c r="E16" i="12"/>
  <c r="E15" i="12"/>
  <c r="E14" i="12"/>
  <c r="E13" i="12"/>
  <c r="F30" i="12"/>
  <c r="F21" i="12"/>
  <c r="C36" i="7" l="1"/>
  <c r="C24" i="4"/>
  <c r="C22" i="16"/>
  <c r="D12" i="16" l="1"/>
  <c r="D21" i="12"/>
  <c r="E146" i="17"/>
  <c r="D146" i="17"/>
  <c r="D30" i="12"/>
  <c r="C58" i="13"/>
  <c r="D58" i="13"/>
  <c r="D14" i="10"/>
  <c r="C14" i="10"/>
  <c r="D529" i="8"/>
  <c r="E529" i="8"/>
  <c r="E335" i="5"/>
  <c r="D20" i="16" l="1"/>
  <c r="D21" i="16" l="1"/>
  <c r="D15" i="16"/>
  <c r="D16" i="16"/>
  <c r="D17" i="16"/>
  <c r="D18" i="16"/>
  <c r="D13" i="16"/>
  <c r="D19" i="16"/>
  <c r="D22" i="16"/>
  <c r="D14" i="16"/>
</calcChain>
</file>

<file path=xl/sharedStrings.xml><?xml version="1.0" encoding="utf-8"?>
<sst xmlns="http://schemas.openxmlformats.org/spreadsheetml/2006/main" count="2867" uniqueCount="257">
  <si>
    <t xml:space="preserve">Estado </t>
  </si>
  <si>
    <t>Número de Matrículas</t>
  </si>
  <si>
    <t>Porcentaje de Matrículas</t>
  </si>
  <si>
    <t>Fuente: Expedición de Matrículas Consulares de Alta Seguridad en los Consulados de México en E.E.U.U.</t>
  </si>
  <si>
    <t xml:space="preserve">Secretaría de Relaciones Exteriores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</si>
  <si>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</si>
  <si>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</si>
  <si>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</si>
  <si>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</si>
  <si>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</si>
  <si>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</si>
  <si>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</si>
  <si>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</si>
  <si>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</si>
  <si>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</si>
  <si>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Edad Cumplida</t>
  </si>
  <si>
    <t>Ocupación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</si>
  <si>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</si>
  <si>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</si>
  <si>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</si>
  <si>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</si>
  <si>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</si>
  <si>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</si>
  <si>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</si>
  <si>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</si>
  <si>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</si>
  <si>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</si>
  <si>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</si>
  <si>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</si>
  <si>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</si>
  <si>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</si>
  <si>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</si>
  <si>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>5.2 Por Circunscripción Consular</t>
  </si>
  <si>
    <t>MATRÍCULAS CONSULARES DE ALTA SEGURIDAD EXPEDIDAS A ORIGINARIOS DE AGUASCALIENTES EN LOS CONSULADOS DE MÉXICO EN EE.UU.</t>
  </si>
  <si>
    <t>MATRÍCULAS CONSULARES DE ALTA SEGURIDAD EXPEDIDAS A ORIGINARIOS DE AGUASCALIENTES POR ESTADO DE LA UNIÓN AMERICANA</t>
  </si>
  <si>
    <t xml:space="preserve">MATRÍCULAS CONSULARES EXPEDIDAS A ORIGINARIOS DE AGUASCALIENTES POR GÉNERO EN EE.UU </t>
  </si>
  <si>
    <t>MATRÍCULAS CONSULARES EXPEDIDAS EN EE.UU. A ORIGINARIOS DE AGUASCALIENTES POR NIVEL DE EDUCACIÓN</t>
  </si>
  <si>
    <t>MATRÍCULAS CONSULARES DE ALTA SEGURIDAD EXPEDIDAS POR MUNICIPIO A ORIGINARIOS DEL ESTADO DE AGUASCALIENTES EN LOS CONSULADOS DE MÉXICO EN EE.UU.</t>
  </si>
  <si>
    <t>MATRÍCULAS CONSULARES EXPEDIDAS A ORIGINARIOS DE AGUASCALIENTES POR GÉNERO Y CONSULADO</t>
  </si>
  <si>
    <t>5.3 Por Estado de la Unión Americana</t>
  </si>
  <si>
    <t>LOS 10 CONSULADOS  DE MÉXICO EN EE.UU., CON MAYOR NÚMERO DE EXPEDICIÓN DE  MATRÍCULAS CONSULARES DE ALTA SEGURIDAD A ORIGINARIOS DE AGUASCALIENTES</t>
  </si>
  <si>
    <t>TOTAL TOP 10</t>
  </si>
  <si>
    <t>TOTAL GENERAL</t>
  </si>
  <si>
    <t>Elaborado por: Análisis de Información, Instituto de Mexicanas y Mexicanos en el Exterior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</si>
  <si>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</si>
  <si>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</si>
  <si>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</si>
  <si>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</si>
  <si>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</si>
  <si>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</si>
  <si>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</si>
  <si>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</si>
  <si>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</si>
  <si>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</si>
  <si>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</si>
  <si>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</si>
  <si>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</si>
  <si>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</si>
  <si>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</si>
  <si>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</si>
  <si>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</si>
  <si>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</si>
  <si>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</si>
  <si>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</si>
  <si>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</si>
  <si>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</si>
  <si>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</si>
  <si>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</si>
  <si>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</si>
  <si>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</si>
  <si>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</si>
  <si>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</si>
  <si>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</si>
  <si>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</si>
  <si>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</si>
  <si>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</si>
  <si>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</si>
  <si>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</si>
  <si>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</si>
  <si>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</si>
  <si>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SOUTH CAROLINA</t>
  </si>
  <si>
    <t>SOUTH DAKOTA</t>
  </si>
  <si>
    <t>TENNESSEE</t>
  </si>
  <si>
    <t>TEXAS</t>
  </si>
  <si>
    <t>UTAH</t>
  </si>
  <si>
    <t>VIRGINIA</t>
  </si>
  <si>
    <t>WASHINGTON</t>
  </si>
  <si>
    <t>WISCONSIN</t>
  </si>
  <si>
    <t>WYOMING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</si>
  <si>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</si>
  <si>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</si>
  <si>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</si>
  <si>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</si>
  <si>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</si>
  <si>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</si>
  <si>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</si>
  <si>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</si>
  <si>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</si>
  <si>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</si>
  <si>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</si>
  <si>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</si>
  <si>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</si>
  <si>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</si>
  <si>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</si>
  <si>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</si>
  <si>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</si>
  <si>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</si>
  <si>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</si>
  <si>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</si>
  <si>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</si>
  <si>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</si>
  <si>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</si>
  <si>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</si>
  <si>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ALBUQUERQUE</t>
  </si>
  <si>
    <t>ATLANTA</t>
  </si>
  <si>
    <t>AUSTIN</t>
  </si>
  <si>
    <t>BOISE</t>
  </si>
  <si>
    <t>BOSTON</t>
  </si>
  <si>
    <t>BROWNSVILLE</t>
  </si>
  <si>
    <t>CALEXICO</t>
  </si>
  <si>
    <t>CHICAGO</t>
  </si>
  <si>
    <t>DALLAS</t>
  </si>
  <si>
    <t>DEL RIO</t>
  </si>
  <si>
    <t>DENVER</t>
  </si>
  <si>
    <t>DETROIT</t>
  </si>
  <si>
    <t>EL PASO</t>
  </si>
  <si>
    <t>FILADELFIA</t>
  </si>
  <si>
    <t>FRESNO</t>
  </si>
  <si>
    <t>HOUSTON</t>
  </si>
  <si>
    <t>INDIANAPOLIS</t>
  </si>
  <si>
    <t>KANSAS CITY</t>
  </si>
  <si>
    <t>LAREDO</t>
  </si>
  <si>
    <t>LAS VEGAS</t>
  </si>
  <si>
    <t>LITTLE ROCK</t>
  </si>
  <si>
    <t>LOS ANGELES</t>
  </si>
  <si>
    <t>MCALLEN</t>
  </si>
  <si>
    <t>MIAMI</t>
  </si>
  <si>
    <t>MILWAUKEE</t>
  </si>
  <si>
    <t>NUEVA ORLEANS</t>
  </si>
  <si>
    <t>NUEVA YORK</t>
  </si>
  <si>
    <t>OKLAHOMA CITY</t>
  </si>
  <si>
    <t>OMAHA</t>
  </si>
  <si>
    <t>ORLANDO</t>
  </si>
  <si>
    <t>OXNARD</t>
  </si>
  <si>
    <t>PHOENIX</t>
  </si>
  <si>
    <t>PORTLAND</t>
  </si>
  <si>
    <t>PRESIDIO</t>
  </si>
  <si>
    <t>RALEIGH</t>
  </si>
  <si>
    <t>SACRAMENTO</t>
  </si>
  <si>
    <t>SAINT PAUL</t>
  </si>
  <si>
    <t>SALT LAKE CITY</t>
  </si>
  <si>
    <t>SAN ANTONIO</t>
  </si>
  <si>
    <t>SAN BERNARDINO</t>
  </si>
  <si>
    <t>SAN DIEGO</t>
  </si>
  <si>
    <t>SAN FRANCISCO</t>
  </si>
  <si>
    <t>SAN JOSE</t>
  </si>
  <si>
    <t>SANTA ANA</t>
  </si>
  <si>
    <t>SEATTLE</t>
  </si>
  <si>
    <t>TUCSON</t>
  </si>
  <si>
    <t>YUMA</t>
  </si>
  <si>
    <t xml:space="preserve">Da clic al texto para ir a la información, selecciona                              para regresar. 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</si>
  <si>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</si>
  <si>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</si>
  <si>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</si>
  <si>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</si>
  <si>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</si>
  <si>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</si>
  <si>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</si>
  <si>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MATRÍCULAS CONSULARES EXPEDIDAS EN EE.UU. ORIGINARIOS DE AGUASCALIENTES POR PERFIL OCUPACIONAL.</t>
  </si>
  <si>
    <t>MATRÍCULAS CONSULARES EXPEDIDAS A ORIGINARIOS DE AGUASCALIENTES POR GÉNERO
 Y EDAD EN EE.UU.</t>
  </si>
  <si>
    <t>Tamaño de la muestra: 808,027</t>
  </si>
  <si>
    <t>NEW BRUNSWICK</t>
  </si>
  <si>
    <t>EAGLE PASS</t>
  </si>
  <si>
    <t>NOGALES</t>
  </si>
  <si>
    <t>ENTRE 00 Y 10 AÑOS</t>
  </si>
  <si>
    <t>AGUASCALIENTES</t>
  </si>
  <si>
    <t>RINCÓN DE ROMOS</t>
  </si>
  <si>
    <t>CALVILLO</t>
  </si>
  <si>
    <t>PABELLÓN DE ARTEAGA</t>
  </si>
  <si>
    <t>JESÚS MARÍA</t>
  </si>
  <si>
    <t>ASIENTOS</t>
  </si>
  <si>
    <t>SAN FRANCISCO DE LOS ROMO</t>
  </si>
  <si>
    <t>COSÍO</t>
  </si>
  <si>
    <t>TEPEZALÁ</t>
  </si>
  <si>
    <t>SAN JOSÉ DE GRACIA</t>
  </si>
  <si>
    <t>EL LLANO</t>
  </si>
  <si>
    <t>DESCONOCIDO</t>
  </si>
  <si>
    <t>HAWAII</t>
  </si>
  <si>
    <t>RHODE ISLAND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</si>
  <si>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</si>
  <si>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</si>
  <si>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</si>
  <si>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</si>
  <si>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</si>
  <si>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</si>
  <si>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</si>
  <si>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</si>
  <si>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</si>
  <si>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</si>
  <si>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</si>
  <si>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</si>
  <si>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</si>
  <si>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FEMENINO</t>
  </si>
  <si>
    <t>MASCULINO</t>
  </si>
  <si>
    <t xml:space="preserve">TOTAL </t>
  </si>
  <si>
    <t xml:space="preserve">FEMENINO   </t>
  </si>
  <si>
    <t xml:space="preserve">MASCULINO   </t>
  </si>
  <si>
    <t>EMPLEADO(A)</t>
  </si>
  <si>
    <t>HOGAR</t>
  </si>
  <si>
    <t>CONSTRUCCIÓN, TRAB. DE LA IND. DE LA</t>
  </si>
  <si>
    <t>OBRERO(A)</t>
  </si>
  <si>
    <t>ESTUDIANTE</t>
  </si>
  <si>
    <t>ALIMENTOS Y BEBIDAS, ESP. EN PREPARACIÓN DE</t>
  </si>
  <si>
    <t>JARDINERO(A)</t>
  </si>
  <si>
    <t>PINTOR(A)</t>
  </si>
  <si>
    <t>AGROPECUARIA, TRAB. DE LA INDUSTRIA</t>
  </si>
  <si>
    <t>DESEMPLEADO</t>
  </si>
  <si>
    <t>LIMPIEZA, EMPLEADO DE</t>
  </si>
  <si>
    <t>MESERO(A)</t>
  </si>
  <si>
    <t>MECÁNICO(A)</t>
  </si>
  <si>
    <t>JUBILADO(A)/PENSIONADO(A)</t>
  </si>
  <si>
    <t>CARPINTERO/TAPICERO</t>
  </si>
  <si>
    <t>SIN ESPECIFICAR</t>
  </si>
  <si>
    <t>SOLDADOR</t>
  </si>
  <si>
    <t>OTRO</t>
  </si>
  <si>
    <t>CHOFER</t>
  </si>
  <si>
    <t>OPERARIO(A)</t>
  </si>
  <si>
    <t>PROFESIONISTA</t>
  </si>
  <si>
    <t>VENDEDOR(A)</t>
  </si>
  <si>
    <t>CAJERO(A)/COBRADOR(A)</t>
  </si>
  <si>
    <t>EMPRESARIO(A)</t>
  </si>
  <si>
    <t>BELLEZA, PROFESIONAL DE SERVICIOS DE</t>
  </si>
  <si>
    <t>TÉCNICO(A) EN MANTENIMIENTO</t>
  </si>
  <si>
    <t>ADMINISTRADOR(A)/CONTADOR(A)</t>
  </si>
  <si>
    <t>AEROCOMERCIAL, TRAB. DE LA INDUSTRIA</t>
  </si>
  <si>
    <t>COMERCIANTE</t>
  </si>
  <si>
    <t>DISCAPACITADO</t>
  </si>
  <si>
    <t>INGENIERO(A)</t>
  </si>
  <si>
    <t>SUPERVISOR(A)</t>
  </si>
  <si>
    <t>ARTESANO(A)</t>
  </si>
  <si>
    <t>AUXILIARES ADMINISTRATIVOS Y DE OFICINA</t>
  </si>
  <si>
    <t>CARNICERO(A)</t>
  </si>
  <si>
    <t>EXTRACCIÓN, TRAB. DE LA INDUSTRIA DE LA</t>
  </si>
  <si>
    <t>PROFESOR(A)</t>
  </si>
  <si>
    <t>RECICLAJE, TRAB. DE LA INDUSTRIA DEL</t>
  </si>
  <si>
    <t>DEPORTISTA/ENTRENADOR DEPORTIVO</t>
  </si>
  <si>
    <t>ENFERMERO(A)/TRAB. DE APOYO EN SALUD</t>
  </si>
  <si>
    <t>HERRERO(A)/CERRAJERO(A)/JOYERO(A)</t>
  </si>
  <si>
    <t>LOCUTOR(A)/ANIMADOR(A)</t>
  </si>
  <si>
    <t>MINISTRO(A) RELIGIOSO(A)</t>
  </si>
  <si>
    <t>PROFESIONAL TÉCNICO</t>
  </si>
  <si>
    <t>TRABAJADOR(A) DOMÉSTICO(A)</t>
  </si>
  <si>
    <t>Junio de 2025</t>
  </si>
  <si>
    <t xml:space="preserve"> TOTAL</t>
  </si>
  <si>
    <t xml:space="preserve"> TOTAL </t>
  </si>
  <si>
    <t>Matrículas consulares expedidas a originarios de Aguascalientes en el 2024</t>
  </si>
  <si>
    <t>MATRÍCULAS CONSULARES EXPEDIDAS A ORIGINARIOS DE AGUASCALIENTES  POR GÉNERO Y POR ESTADO DE LA UNIÓN AMERICANA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</si>
</sst>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36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9"/>
      <color theme="1"/>
      <name val="Montserrat"/>
    </font>
    <font>
      <sz val="11"/>
      <color theme="1"/>
      <name val="Soberana Sans"/>
      <family val="3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11"/>
      <color indexed="8"/>
      <name val="Calibri"/>
      <family val="2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1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Patri"/>
    </font>
    <font>
      <sz val="11"/>
      <color theme="1"/>
      <name val="Calibri"/>
      <family val="2"/>
      <scheme val="minor"/>
    </font>
    <font>
      <sz val="8"/>
      <color rgb="FF000000"/>
      <name val="Tahoma"/>
      <family val="2"/>
    </font>
    <font>
      <b/>
      <sz val="8"/>
      <color theme="1"/>
      <name val="Arial"/>
      <family val="2"/>
    </font>
    <font>
      <sz val="9"/>
      <color rgb="FF000000"/>
      <name val="Noto Sans"/>
      <family val="2"/>
    </font>
    <font>
      <b/>
      <sz val="9"/>
      <color theme="0"/>
      <name val="Noto Sans"/>
      <family val="2"/>
    </font>
    <font>
      <sz val="7"/>
      <color indexed="8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sz val="8"/>
      <color theme="1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b/>
      <sz val="9"/>
      <color rgb="FFFFFFFF"/>
      <name val="Noto Sans"/>
      <family val="2"/>
    </font>
    <font>
      <sz val="9"/>
      <color theme="1"/>
      <name val="Noto Sans"/>
      <family val="2"/>
    </font>
    <font>
      <sz val="10"/>
      <name val="Noto Sans"/>
      <family val="2"/>
    </font>
    <font>
      <b/>
      <sz val="8"/>
      <color theme="0"/>
      <name val="Noto Sans"/>
      <family val="2"/>
    </font>
    <font>
      <sz val="9"/>
      <color theme="0"/>
      <name val="Noto Sans"/>
      <family val="2"/>
    </font>
    <font>
      <b/>
      <sz val="9"/>
      <color theme="0"/>
      <name val="Arial"/>
      <family val="2"/>
    </font>
    <font>
      <b/>
      <sz val="9"/>
      <color theme="0"/>
      <name val="Noto Sans"/>
    </font>
  </fonts>
  <fills count="1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7" fillId="0" borderId="0"/>
    <xf numFmtId="0" fontId="8" fillId="0" borderId="0"/>
    <xf numFmtId="0" fontId="13" fillId="0" borderId="0" applyNumberFormat="0" applyFill="0" applyBorder="0" applyAlignment="0" applyProtection="0"/>
    <xf numFmtId="9" fontId="18" fillId="0" borderId="0" applyFont="0" applyFill="0" applyBorder="0" applyAlignment="0" applyProtection="0"/>
  </cellStyleXfs>
  <cellXfs count="131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2" fillId="0" borderId="0" xfId="0" applyFont="1" applyAlignment="1">
      <alignment horizontal="center" vertical="center" wrapText="1"/>
    </xf>
    <xf numFmtId="0" fontId="0" fillId="3" borderId="0" xfId="0" applyFill="1"/>
    <xf numFmtId="0" fontId="4" fillId="3" borderId="0" xfId="0" applyFont="1" applyFill="1"/>
    <xf numFmtId="3" fontId="0" fillId="3" borderId="0" xfId="0" applyNumberFormat="1" applyFill="1"/>
    <xf numFmtId="0" fontId="5" fillId="3" borderId="0" xfId="0" applyFont="1" applyFill="1"/>
    <xf numFmtId="0" fontId="6" fillId="3" borderId="0" xfId="0" applyFont="1" applyFill="1"/>
    <xf numFmtId="0" fontId="1" fillId="3" borderId="0" xfId="0" applyFont="1" applyFill="1"/>
    <xf numFmtId="0" fontId="9" fillId="3" borderId="0" xfId="0" applyFont="1" applyFill="1"/>
    <xf numFmtId="0" fontId="10" fillId="3" borderId="0" xfId="0" applyFont="1" applyFill="1"/>
    <xf numFmtId="0" fontId="10" fillId="3" borderId="0" xfId="0" applyFont="1" applyFill="1" applyAlignment="1">
      <alignment vertical="center"/>
    </xf>
    <xf numFmtId="3" fontId="1" fillId="3" borderId="0" xfId="0" applyNumberFormat="1" applyFont="1" applyFill="1"/>
    <xf numFmtId="1" fontId="1" fillId="3" borderId="0" xfId="0" applyNumberFormat="1" applyFont="1" applyFill="1"/>
    <xf numFmtId="0" fontId="7" fillId="3" borderId="0" xfId="0" applyFont="1" applyFill="1"/>
    <xf numFmtId="0" fontId="1" fillId="3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2" fillId="0" borderId="0" xfId="0" applyFont="1"/>
    <xf numFmtId="0" fontId="12" fillId="0" borderId="9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10" xfId="0" applyFont="1" applyBorder="1" applyAlignment="1">
      <alignment horizontal="left"/>
    </xf>
    <xf numFmtId="0" fontId="12" fillId="0" borderId="9" xfId="0" applyFont="1" applyBorder="1" applyAlignment="1">
      <alignment horizontal="left" wrapText="1"/>
    </xf>
    <xf numFmtId="0" fontId="12" fillId="0" borderId="0" xfId="0" applyFont="1" applyAlignment="1">
      <alignment horizontal="left" wrapText="1"/>
    </xf>
    <xf numFmtId="0" fontId="12" fillId="0" borderId="10" xfId="0" applyFont="1" applyBorder="1" applyAlignment="1">
      <alignment horizontal="left" wrapText="1"/>
    </xf>
    <xf numFmtId="0" fontId="12" fillId="0" borderId="9" xfId="0" applyFont="1" applyBorder="1"/>
    <xf numFmtId="0" fontId="12" fillId="0" borderId="10" xfId="0" applyFont="1" applyBorder="1"/>
    <xf numFmtId="0" fontId="12" fillId="0" borderId="11" xfId="0" applyFont="1" applyBorder="1"/>
    <xf numFmtId="0" fontId="12" fillId="0" borderId="12" xfId="0" applyFont="1" applyBorder="1"/>
    <xf numFmtId="0" fontId="12" fillId="0" borderId="13" xfId="0" applyFont="1" applyBorder="1"/>
    <xf numFmtId="0" fontId="11" fillId="3" borderId="5" xfId="0" applyFont="1" applyFill="1" applyBorder="1" applyAlignment="1">
      <alignment horizontal="center" vertical="distributed"/>
    </xf>
    <xf numFmtId="0" fontId="15" fillId="0" borderId="9" xfId="0" applyFont="1" applyBorder="1"/>
    <xf numFmtId="0" fontId="17" fillId="0" borderId="0" xfId="0" applyFont="1"/>
    <xf numFmtId="0" fontId="4" fillId="3" borderId="0" xfId="0" applyFont="1" applyFill="1" applyAlignment="1">
      <alignment horizontal="center" wrapText="1"/>
    </xf>
    <xf numFmtId="0" fontId="3" fillId="0" borderId="0" xfId="0" applyFont="1"/>
    <xf numFmtId="0" fontId="3" fillId="3" borderId="0" xfId="0" applyFont="1" applyFill="1"/>
    <xf numFmtId="0" fontId="10" fillId="3" borderId="5" xfId="0" applyFont="1" applyFill="1" applyBorder="1" applyAlignment="1">
      <alignment vertical="center"/>
    </xf>
    <xf numFmtId="164" fontId="19" fillId="6" borderId="0" xfId="0" applyNumberFormat="1" applyFont="1" applyFill="1" applyAlignment="1">
      <alignment horizontal="right" vertical="top" wrapText="1"/>
    </xf>
    <xf numFmtId="0" fontId="21" fillId="6" borderId="3" xfId="0" applyFont="1" applyFill="1" applyBorder="1" applyAlignment="1">
      <alignment vertical="center" wrapText="1"/>
    </xf>
    <xf numFmtId="3" fontId="21" fillId="3" borderId="4" xfId="0" applyNumberFormat="1" applyFont="1" applyFill="1" applyBorder="1" applyAlignment="1">
      <alignment horizontal="right" vertical="center" wrapText="1"/>
    </xf>
    <xf numFmtId="164" fontId="21" fillId="3" borderId="3" xfId="0" applyNumberFormat="1" applyFont="1" applyFill="1" applyBorder="1" applyAlignment="1">
      <alignment horizontal="right" vertical="center" wrapText="1"/>
    </xf>
    <xf numFmtId="3" fontId="22" fillId="4" borderId="3" xfId="0" applyNumberFormat="1" applyFont="1" applyFill="1" applyBorder="1" applyAlignment="1">
      <alignment horizontal="right" vertical="center" wrapText="1"/>
    </xf>
    <xf numFmtId="164" fontId="22" fillId="4" borderId="3" xfId="0" applyNumberFormat="1" applyFont="1" applyFill="1" applyBorder="1" applyAlignment="1">
      <alignment horizontal="right" vertical="center" wrapText="1"/>
    </xf>
    <xf numFmtId="0" fontId="23" fillId="3" borderId="0" xfId="0" applyFont="1" applyFill="1"/>
    <xf numFmtId="0" fontId="23" fillId="3" borderId="0" xfId="0" applyFont="1" applyFill="1" applyAlignment="1">
      <alignment vertical="center"/>
    </xf>
    <xf numFmtId="0" fontId="23" fillId="3" borderId="0" xfId="0" applyFont="1" applyFill="1" applyAlignment="1">
      <alignment vertical="top"/>
    </xf>
    <xf numFmtId="0" fontId="22" fillId="2" borderId="1" xfId="0" applyFont="1" applyFill="1" applyBorder="1" applyAlignment="1">
      <alignment horizontal="center" vertical="center" wrapText="1"/>
    </xf>
    <xf numFmtId="1" fontId="22" fillId="2" borderId="2" xfId="0" applyNumberFormat="1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3" fontId="25" fillId="3" borderId="0" xfId="0" applyNumberFormat="1" applyFont="1" applyFill="1"/>
    <xf numFmtId="0" fontId="25" fillId="3" borderId="0" xfId="0" applyFont="1" applyFill="1"/>
    <xf numFmtId="49" fontId="22" fillId="4" borderId="3" xfId="0" applyNumberFormat="1" applyFont="1" applyFill="1" applyBorder="1" applyAlignment="1">
      <alignment vertical="center" wrapText="1"/>
    </xf>
    <xf numFmtId="0" fontId="27" fillId="2" borderId="2" xfId="2" applyFont="1" applyFill="1" applyBorder="1" applyAlignment="1">
      <alignment horizontal="center" vertical="center" wrapText="1"/>
    </xf>
    <xf numFmtId="0" fontId="22" fillId="2" borderId="2" xfId="2" applyFont="1" applyFill="1" applyBorder="1" applyAlignment="1">
      <alignment horizontal="center" vertical="center" wrapText="1"/>
    </xf>
    <xf numFmtId="1" fontId="27" fillId="2" borderId="2" xfId="2" applyNumberFormat="1" applyFont="1" applyFill="1" applyBorder="1" applyAlignment="1">
      <alignment horizontal="center" vertical="center" wrapText="1"/>
    </xf>
    <xf numFmtId="0" fontId="28" fillId="3" borderId="0" xfId="0" applyFont="1" applyFill="1"/>
    <xf numFmtId="0" fontId="26" fillId="0" borderId="0" xfId="0" applyFont="1"/>
    <xf numFmtId="0" fontId="26" fillId="3" borderId="0" xfId="0" applyFont="1" applyFill="1"/>
    <xf numFmtId="3" fontId="26" fillId="3" borderId="0" xfId="0" applyNumberFormat="1" applyFont="1" applyFill="1"/>
    <xf numFmtId="0" fontId="29" fillId="5" borderId="2" xfId="2" applyFont="1" applyFill="1" applyBorder="1" applyAlignment="1">
      <alignment horizontal="center" vertical="center" wrapText="1"/>
    </xf>
    <xf numFmtId="0" fontId="30" fillId="0" borderId="0" xfId="0" applyFont="1"/>
    <xf numFmtId="0" fontId="30" fillId="3" borderId="0" xfId="0" applyFont="1" applyFill="1"/>
    <xf numFmtId="49" fontId="20" fillId="0" borderId="0" xfId="0" applyNumberFormat="1" applyFont="1" applyAlignment="1">
      <alignment vertical="top" wrapText="1"/>
    </xf>
    <xf numFmtId="165" fontId="20" fillId="0" borderId="0" xfId="0" applyNumberFormat="1" applyFont="1" applyAlignment="1">
      <alignment horizontal="right" vertical="top" wrapText="1"/>
    </xf>
    <xf numFmtId="164" fontId="20" fillId="0" borderId="0" xfId="0" applyNumberFormat="1" applyFont="1" applyAlignment="1">
      <alignment horizontal="right" vertical="top" wrapText="1"/>
    </xf>
    <xf numFmtId="1" fontId="22" fillId="2" borderId="1" xfId="0" applyNumberFormat="1" applyFont="1" applyFill="1" applyBorder="1" applyAlignment="1">
      <alignment horizontal="center" vertical="center" wrapText="1"/>
    </xf>
    <xf numFmtId="3" fontId="21" fillId="3" borderId="3" xfId="0" applyNumberFormat="1" applyFont="1" applyFill="1" applyBorder="1" applyAlignment="1">
      <alignment horizontal="right" vertical="center" wrapText="1"/>
    </xf>
    <xf numFmtId="0" fontId="25" fillId="3" borderId="3" xfId="0" applyFont="1" applyFill="1" applyBorder="1"/>
    <xf numFmtId="49" fontId="22" fillId="9" borderId="3" xfId="0" applyNumberFormat="1" applyFont="1" applyFill="1" applyBorder="1" applyAlignment="1">
      <alignment vertical="center" wrapText="1"/>
    </xf>
    <xf numFmtId="3" fontId="22" fillId="9" borderId="3" xfId="0" applyNumberFormat="1" applyFont="1" applyFill="1" applyBorder="1" applyAlignment="1">
      <alignment horizontal="right" vertical="center" wrapText="1"/>
    </xf>
    <xf numFmtId="164" fontId="22" fillId="9" borderId="3" xfId="0" applyNumberFormat="1" applyFont="1" applyFill="1" applyBorder="1" applyAlignment="1">
      <alignment horizontal="right" vertical="center" wrapText="1"/>
    </xf>
    <xf numFmtId="0" fontId="21" fillId="0" borderId="3" xfId="0" applyFont="1" applyBorder="1" applyAlignment="1">
      <alignment vertical="center" wrapText="1"/>
    </xf>
    <xf numFmtId="165" fontId="21" fillId="6" borderId="3" xfId="0" applyNumberFormat="1" applyFont="1" applyFill="1" applyBorder="1" applyAlignment="1">
      <alignment horizontal="right" vertical="top" wrapText="1"/>
    </xf>
    <xf numFmtId="164" fontId="21" fillId="6" borderId="3" xfId="0" applyNumberFormat="1" applyFont="1" applyFill="1" applyBorder="1" applyAlignment="1">
      <alignment horizontal="right" vertical="top" wrapText="1"/>
    </xf>
    <xf numFmtId="49" fontId="30" fillId="0" borderId="3" xfId="0" applyNumberFormat="1" applyFont="1" applyBorder="1" applyAlignment="1">
      <alignment vertical="top" wrapText="1"/>
    </xf>
    <xf numFmtId="165" fontId="22" fillId="9" borderId="3" xfId="0" applyNumberFormat="1" applyFont="1" applyFill="1" applyBorder="1" applyAlignment="1">
      <alignment horizontal="right" vertical="top" wrapText="1"/>
    </xf>
    <xf numFmtId="0" fontId="22" fillId="9" borderId="3" xfId="0" applyFont="1" applyFill="1" applyBorder="1" applyAlignment="1">
      <alignment vertical="center" wrapText="1"/>
    </xf>
    <xf numFmtId="49" fontId="22" fillId="9" borderId="3" xfId="0" applyNumberFormat="1" applyFont="1" applyFill="1" applyBorder="1" applyAlignment="1">
      <alignment vertical="top" wrapText="1"/>
    </xf>
    <xf numFmtId="164" fontId="22" fillId="9" borderId="3" xfId="0" applyNumberFormat="1" applyFont="1" applyFill="1" applyBorder="1" applyAlignment="1">
      <alignment horizontal="right" vertical="top" wrapText="1"/>
    </xf>
    <xf numFmtId="164" fontId="22" fillId="4" borderId="3" xfId="0" applyNumberFormat="1" applyFont="1" applyFill="1" applyBorder="1" applyAlignment="1">
      <alignment horizontal="right" vertical="top" wrapText="1"/>
    </xf>
    <xf numFmtId="165" fontId="22" fillId="4" borderId="3" xfId="0" applyNumberFormat="1" applyFont="1" applyFill="1" applyBorder="1" applyAlignment="1">
      <alignment horizontal="right" vertical="top" wrapText="1"/>
    </xf>
    <xf numFmtId="0" fontId="22" fillId="2" borderId="1" xfId="2" applyFont="1" applyFill="1" applyBorder="1" applyAlignment="1">
      <alignment horizontal="center" vertical="center" wrapText="1"/>
    </xf>
    <xf numFmtId="49" fontId="30" fillId="3" borderId="3" xfId="0" applyNumberFormat="1" applyFont="1" applyFill="1" applyBorder="1" applyAlignment="1">
      <alignment vertical="top" wrapText="1"/>
    </xf>
    <xf numFmtId="164" fontId="33" fillId="9" borderId="3" xfId="0" applyNumberFormat="1" applyFont="1" applyFill="1" applyBorder="1" applyAlignment="1">
      <alignment horizontal="right" vertical="top" wrapText="1"/>
    </xf>
    <xf numFmtId="165" fontId="34" fillId="4" borderId="3" xfId="0" applyNumberFormat="1" applyFont="1" applyFill="1" applyBorder="1" applyAlignment="1">
      <alignment horizontal="right" vertical="top" wrapText="1"/>
    </xf>
    <xf numFmtId="164" fontId="34" fillId="4" borderId="3" xfId="0" applyNumberFormat="1" applyFont="1" applyFill="1" applyBorder="1" applyAlignment="1">
      <alignment horizontal="right" vertical="top" wrapText="1"/>
    </xf>
    <xf numFmtId="0" fontId="20" fillId="10" borderId="0" xfId="0" applyFont="1" applyFill="1"/>
    <xf numFmtId="0" fontId="20" fillId="0" borderId="0" xfId="0" applyFont="1"/>
    <xf numFmtId="3" fontId="22" fillId="4" borderId="3" xfId="4" applyNumberFormat="1" applyFont="1" applyFill="1" applyBorder="1" applyAlignment="1">
      <alignment horizontal="right" vertical="top" wrapText="1"/>
    </xf>
    <xf numFmtId="49" fontId="22" fillId="4" borderId="3" xfId="0" applyNumberFormat="1" applyFont="1" applyFill="1" applyBorder="1" applyAlignment="1">
      <alignment horizontal="left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9" fillId="5" borderId="1" xfId="2" applyFont="1" applyFill="1" applyBorder="1" applyAlignment="1">
      <alignment horizontal="center" vertical="center" wrapText="1"/>
    </xf>
    <xf numFmtId="49" fontId="30" fillId="0" borderId="16" xfId="0" applyNumberFormat="1" applyFont="1" applyBorder="1" applyAlignment="1">
      <alignment vertical="top" wrapText="1"/>
    </xf>
    <xf numFmtId="49" fontId="22" fillId="4" borderId="16" xfId="0" applyNumberFormat="1" applyFont="1" applyFill="1" applyBorder="1" applyAlignment="1">
      <alignment vertical="center" wrapText="1"/>
    </xf>
    <xf numFmtId="165" fontId="22" fillId="7" borderId="3" xfId="0" applyNumberFormat="1" applyFont="1" applyFill="1" applyBorder="1" applyAlignment="1">
      <alignment horizontal="right" vertical="top" wrapText="1"/>
    </xf>
    <xf numFmtId="164" fontId="33" fillId="7" borderId="3" xfId="0" applyNumberFormat="1" applyFont="1" applyFill="1" applyBorder="1" applyAlignment="1">
      <alignment horizontal="right" vertical="top" wrapText="1"/>
    </xf>
    <xf numFmtId="0" fontId="16" fillId="0" borderId="9" xfId="3" applyFont="1" applyBorder="1" applyAlignment="1">
      <alignment horizontal="left"/>
    </xf>
    <xf numFmtId="0" fontId="16" fillId="0" borderId="0" xfId="3" applyFont="1" applyBorder="1" applyAlignment="1">
      <alignment horizontal="left"/>
    </xf>
    <xf numFmtId="0" fontId="16" fillId="0" borderId="10" xfId="3" applyFont="1" applyBorder="1" applyAlignment="1">
      <alignment horizontal="left"/>
    </xf>
    <xf numFmtId="0" fontId="14" fillId="2" borderId="6" xfId="0" applyFont="1" applyFill="1" applyBorder="1" applyAlignment="1">
      <alignment horizontal="center" wrapText="1"/>
    </xf>
    <xf numFmtId="0" fontId="14" fillId="2" borderId="7" xfId="0" applyFont="1" applyFill="1" applyBorder="1" applyAlignment="1">
      <alignment horizontal="center" wrapText="1"/>
    </xf>
    <xf numFmtId="0" fontId="14" fillId="2" borderId="8" xfId="0" applyFont="1" applyFill="1" applyBorder="1" applyAlignment="1">
      <alignment horizontal="center" wrapText="1"/>
    </xf>
    <xf numFmtId="0" fontId="15" fillId="0" borderId="9" xfId="0" applyFont="1" applyBorder="1" applyAlignment="1">
      <alignment horizontal="left" wrapText="1"/>
    </xf>
    <xf numFmtId="0" fontId="15" fillId="0" borderId="0" xfId="0" applyFont="1" applyAlignment="1">
      <alignment horizontal="left" wrapText="1"/>
    </xf>
    <xf numFmtId="0" fontId="15" fillId="0" borderId="10" xfId="0" applyFont="1" applyBorder="1" applyAlignment="1">
      <alignment horizontal="left" wrapText="1"/>
    </xf>
    <xf numFmtId="0" fontId="24" fillId="0" borderId="0" xfId="0" applyFont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21" fillId="0" borderId="14" xfId="0" applyFont="1" applyBorder="1" applyAlignment="1">
      <alignment horizontal="center" vertical="center" wrapText="1"/>
    </xf>
    <xf numFmtId="0" fontId="22" fillId="4" borderId="16" xfId="0" applyFont="1" applyFill="1" applyBorder="1" applyAlignment="1">
      <alignment horizontal="center" vertical="center" wrapText="1"/>
    </xf>
    <xf numFmtId="0" fontId="22" fillId="4" borderId="4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wrapText="1"/>
    </xf>
    <xf numFmtId="0" fontId="29" fillId="8" borderId="3" xfId="0" applyFont="1" applyFill="1" applyBorder="1" applyAlignment="1">
      <alignment vertical="center" wrapText="1"/>
    </xf>
    <xf numFmtId="0" fontId="21" fillId="3" borderId="2" xfId="0" applyFont="1" applyFill="1" applyBorder="1" applyAlignment="1">
      <alignment horizontal="center" vertical="center" wrapText="1"/>
    </xf>
    <xf numFmtId="0" fontId="21" fillId="3" borderId="14" xfId="0" applyFont="1" applyFill="1" applyBorder="1" applyAlignment="1">
      <alignment horizontal="center" vertical="center" wrapText="1"/>
    </xf>
    <xf numFmtId="0" fontId="21" fillId="3" borderId="15" xfId="0" applyFont="1" applyFill="1" applyBorder="1" applyAlignment="1">
      <alignment horizontal="center" vertical="center" wrapText="1"/>
    </xf>
    <xf numFmtId="0" fontId="22" fillId="4" borderId="16" xfId="0" applyFont="1" applyFill="1" applyBorder="1" applyAlignment="1">
      <alignment horizontal="left" vertical="center" wrapText="1"/>
    </xf>
    <xf numFmtId="0" fontId="22" fillId="4" borderId="4" xfId="0" applyFont="1" applyFill="1" applyBorder="1" applyAlignment="1">
      <alignment horizontal="left" vertical="center" wrapText="1"/>
    </xf>
    <xf numFmtId="0" fontId="32" fillId="4" borderId="16" xfId="0" applyFont="1" applyFill="1" applyBorder="1" applyAlignment="1">
      <alignment horizontal="center" vertical="center" wrapText="1"/>
    </xf>
    <xf numFmtId="0" fontId="32" fillId="4" borderId="4" xfId="0" applyFont="1" applyFill="1" applyBorder="1" applyAlignment="1">
      <alignment horizontal="center" vertical="center" wrapText="1"/>
    </xf>
    <xf numFmtId="0" fontId="31" fillId="3" borderId="0" xfId="0" applyFont="1" applyFill="1" applyAlignment="1">
      <alignment horizontal="center" vertical="center" wrapText="1"/>
    </xf>
    <xf numFmtId="49" fontId="30" fillId="0" borderId="2" xfId="0" applyNumberFormat="1" applyFont="1" applyBorder="1" applyAlignment="1">
      <alignment horizontal="center" vertical="center" wrapText="1"/>
    </xf>
    <xf numFmtId="49" fontId="30" fillId="0" borderId="14" xfId="0" applyNumberFormat="1" applyFont="1" applyBorder="1" applyAlignment="1">
      <alignment horizontal="center" vertical="center" wrapText="1"/>
    </xf>
    <xf numFmtId="49" fontId="30" fillId="0" borderId="15" xfId="0" applyNumberFormat="1" applyFont="1" applyBorder="1" applyAlignment="1">
      <alignment horizontal="center" vertical="center" wrapText="1"/>
    </xf>
    <xf numFmtId="49" fontId="34" fillId="4" borderId="16" xfId="0" applyNumberFormat="1" applyFont="1" applyFill="1" applyBorder="1" applyAlignment="1">
      <alignment horizontal="left" vertical="top" wrapText="1"/>
    </xf>
    <xf numFmtId="49" fontId="34" fillId="4" borderId="4" xfId="0" applyNumberFormat="1" applyFont="1" applyFill="1" applyBorder="1" applyAlignment="1">
      <alignment horizontal="left" vertical="top" wrapText="1"/>
    </xf>
    <xf numFmtId="0" fontId="31" fillId="3" borderId="5" xfId="0" applyFont="1" applyFill="1" applyBorder="1" applyAlignment="1">
      <alignment horizontal="center" vertical="center" wrapText="1"/>
    </xf>
    <xf numFmtId="165" fontId="35" fillId="9" borderId="3" xfId="0" applyNumberFormat="1" applyFont="1" applyFill="1" applyBorder="1" applyAlignment="1">
      <alignment horizontal="right" vertical="top" wrapText="1"/>
    </xf>
    <xf numFmtId="164" fontId="35" fillId="9" borderId="3" xfId="0" applyNumberFormat="1" applyFont="1" applyFill="1" applyBorder="1" applyAlignment="1">
      <alignment horizontal="right" vertical="top" wrapText="1"/>
    </xf>
  </cellXfs>
  <cellStyles count="5">
    <cellStyle name="Hipervínculo" xfId="3" builtinId="8"/>
    <cellStyle name="Normal" xfId="0" builtinId="0"/>
    <cellStyle name="Normal 2" xfId="1" xr:uid="{00000000-0005-0000-0000-000002000000}"/>
    <cellStyle name="Normal_Hoja1" xfId="2" xr:uid="{00000000-0005-0000-0000-000003000000}"/>
    <cellStyle name="Porcentaje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image" Target="../media/image2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470616</xdr:colOff>
      <xdr:row>1</xdr:row>
      <xdr:rowOff>183842</xdr:rowOff>
    </xdr:from>
    <xdr:to>
      <xdr:col>3</xdr:col>
      <xdr:colOff>982713</xdr:colOff>
      <xdr:row>2</xdr:row>
      <xdr:rowOff>183842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956766" y="717242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AGUASCALIENTES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180975</xdr:colOff>
      <xdr:row>2</xdr:row>
      <xdr:rowOff>76200</xdr:rowOff>
    </xdr:from>
    <xdr:to>
      <xdr:col>1</xdr:col>
      <xdr:colOff>1181100</xdr:colOff>
      <xdr:row>3</xdr:row>
      <xdr:rowOff>107577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B7ADBBB-0C0E-47E9-A78A-C3AB19CF3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457200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428626</xdr:colOff>
      <xdr:row>1</xdr:row>
      <xdr:rowOff>123825</xdr:rowOff>
    </xdr:from>
    <xdr:to>
      <xdr:col>5</xdr:col>
      <xdr:colOff>247651</xdr:colOff>
      <xdr:row>3</xdr:row>
      <xdr:rowOff>211260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240FD46-4913-48B2-BBD4-7A7548126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05451" y="314325"/>
          <a:ext cx="43815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57957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AGUASCALIENTES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240195</xdr:colOff>
      <xdr:row>2</xdr:row>
      <xdr:rowOff>26918</xdr:rowOff>
    </xdr:from>
    <xdr:to>
      <xdr:col>1</xdr:col>
      <xdr:colOff>1240320</xdr:colOff>
      <xdr:row>3</xdr:row>
      <xdr:rowOff>58295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4D29101-D022-4AAC-87E6-62518EE591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195" y="40791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330477</xdr:colOff>
      <xdr:row>1</xdr:row>
      <xdr:rowOff>82826</xdr:rowOff>
    </xdr:from>
    <xdr:to>
      <xdr:col>5</xdr:col>
      <xdr:colOff>149501</xdr:colOff>
      <xdr:row>3</xdr:row>
      <xdr:rowOff>170261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51D4E8D-C956-47B2-A9B6-33B8872A97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9955" y="27332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AGUASCALIENTES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285750</xdr:colOff>
      <xdr:row>8</xdr:row>
      <xdr:rowOff>0</xdr:rowOff>
    </xdr:from>
    <xdr:to>
      <xdr:col>5</xdr:col>
      <xdr:colOff>178722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3337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107951</xdr:colOff>
      <xdr:row>1</xdr:row>
      <xdr:rowOff>129213</xdr:rowOff>
    </xdr:from>
    <xdr:to>
      <xdr:col>1</xdr:col>
      <xdr:colOff>1108076</xdr:colOff>
      <xdr:row>2</xdr:row>
      <xdr:rowOff>160590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FF98C5D-DA9F-45CC-BED2-6358665F3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951" y="319713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415512</xdr:colOff>
      <xdr:row>1</xdr:row>
      <xdr:rowOff>77583</xdr:rowOff>
    </xdr:from>
    <xdr:to>
      <xdr:col>5</xdr:col>
      <xdr:colOff>234536</xdr:colOff>
      <xdr:row>3</xdr:row>
      <xdr:rowOff>165018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5911-475A-4ACC-818E-D39B954C81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57362" y="268083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AGUASCALIENTES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210207</xdr:colOff>
      <xdr:row>7</xdr:row>
      <xdr:rowOff>143203</xdr:rowOff>
    </xdr:from>
    <xdr:to>
      <xdr:col>5</xdr:col>
      <xdr:colOff>413845</xdr:colOff>
      <xdr:row>8</xdr:row>
      <xdr:rowOff>137058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623035" y="1667203"/>
          <a:ext cx="584638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123415</xdr:colOff>
      <xdr:row>1</xdr:row>
      <xdr:rowOff>49698</xdr:rowOff>
    </xdr:from>
    <xdr:to>
      <xdr:col>1</xdr:col>
      <xdr:colOff>1123540</xdr:colOff>
      <xdr:row>2</xdr:row>
      <xdr:rowOff>81075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CBFB02A-37A1-45C1-BAD8-A458460A82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415" y="24019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959955</xdr:colOff>
      <xdr:row>1</xdr:row>
      <xdr:rowOff>82826</xdr:rowOff>
    </xdr:from>
    <xdr:to>
      <xdr:col>4</xdr:col>
      <xdr:colOff>215762</xdr:colOff>
      <xdr:row>3</xdr:row>
      <xdr:rowOff>170261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A23EE61-569F-498A-A2F6-2821BA9B61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92368" y="27332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2613</xdr:colOff>
      <xdr:row>1</xdr:row>
      <xdr:rowOff>2004</xdr:rowOff>
    </xdr:from>
    <xdr:to>
      <xdr:col>5</xdr:col>
      <xdr:colOff>840440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69848" y="158886"/>
          <a:ext cx="6620063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AGUASCALIENTES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MATRÍCULAS CONSULARES DE ALTA SEGURIDAD EXPEDIDAS POR MUNICIPIO A ORIGINARIOS DEL ESTADO DE AGUASCALIENTES POR ESTADO EN EE.UU.</a:t>
          </a:r>
        </a:p>
      </xdr:txBody>
    </xdr:sp>
    <xdr:clientData/>
  </xdr:twoCellAnchor>
  <xdr:twoCellAnchor>
    <xdr:from>
      <xdr:col>4</xdr:col>
      <xdr:colOff>486103</xdr:colOff>
      <xdr:row>7</xdr:row>
      <xdr:rowOff>131379</xdr:rowOff>
    </xdr:from>
    <xdr:to>
      <xdr:col>4</xdr:col>
      <xdr:colOff>998200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23793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47437</xdr:colOff>
      <xdr:row>1</xdr:row>
      <xdr:rowOff>80446</xdr:rowOff>
    </xdr:from>
    <xdr:to>
      <xdr:col>2</xdr:col>
      <xdr:colOff>144758</xdr:colOff>
      <xdr:row>2</xdr:row>
      <xdr:rowOff>111823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E1049E9-FE2B-41EF-B587-44DE38E499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672" y="23732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170701</xdr:colOff>
      <xdr:row>1</xdr:row>
      <xdr:rowOff>91650</xdr:rowOff>
    </xdr:from>
    <xdr:to>
      <xdr:col>5</xdr:col>
      <xdr:colOff>610921</xdr:colOff>
      <xdr:row>3</xdr:row>
      <xdr:rowOff>179085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4AE43FF6-F5E5-44E4-89AF-2A78064E6E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20172" y="24853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AGUASCALIENTES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MATRÍCULAS CONSULARES DE ALTA SEGURIDAD EXPEDIDAS POR MUNICIPIO A ORIGINARIOS DEL ESTADO DE AGUASCALIENTES EN LOS CONSULADOS DE MÉXICO EN EE.UU.</a:t>
          </a:r>
        </a:p>
      </xdr:txBody>
    </xdr:sp>
    <xdr:clientData/>
  </xdr:two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99732</xdr:colOff>
      <xdr:row>1</xdr:row>
      <xdr:rowOff>102858</xdr:rowOff>
    </xdr:from>
    <xdr:to>
      <xdr:col>2</xdr:col>
      <xdr:colOff>197053</xdr:colOff>
      <xdr:row>2</xdr:row>
      <xdr:rowOff>134235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E469DB6-8472-4315-A419-0FFF0D47B9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967" y="25974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521820</xdr:colOff>
      <xdr:row>1</xdr:row>
      <xdr:rowOff>114063</xdr:rowOff>
    </xdr:from>
    <xdr:to>
      <xdr:col>4</xdr:col>
      <xdr:colOff>962040</xdr:colOff>
      <xdr:row>3</xdr:row>
      <xdr:rowOff>201498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B971529-6E3A-4865-9DE9-366E097C3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88585" y="263475"/>
          <a:ext cx="440220" cy="4759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124239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5591588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AGUASCALIENTES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2</xdr:col>
      <xdr:colOff>1162050</xdr:colOff>
      <xdr:row>7</xdr:row>
      <xdr:rowOff>114300</xdr:rowOff>
    </xdr:from>
    <xdr:to>
      <xdr:col>3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122188</xdr:colOff>
      <xdr:row>1</xdr:row>
      <xdr:rowOff>140192</xdr:rowOff>
    </xdr:from>
    <xdr:to>
      <xdr:col>1</xdr:col>
      <xdr:colOff>1122313</xdr:colOff>
      <xdr:row>2</xdr:row>
      <xdr:rowOff>171569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71CE500-A3E9-4548-9BCA-B9E3557D5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188" y="330692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445820</xdr:colOff>
      <xdr:row>1</xdr:row>
      <xdr:rowOff>87117</xdr:rowOff>
    </xdr:from>
    <xdr:to>
      <xdr:col>3</xdr:col>
      <xdr:colOff>886040</xdr:colOff>
      <xdr:row>3</xdr:row>
      <xdr:rowOff>174552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C59F8B9-42C6-4F92-985F-72524170CE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49431" y="277617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66674</xdr:colOff>
      <xdr:row>1</xdr:row>
      <xdr:rowOff>2004</xdr:rowOff>
    </xdr:from>
    <xdr:to>
      <xdr:col>4</xdr:col>
      <xdr:colOff>1972235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66674" y="158886"/>
          <a:ext cx="5917267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AGUASCALIENTES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1661584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363857"/>
          <a:ext cx="5666818" cy="670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MATRÍCULAS CONSULARES DE ALTA SEGURIDAD EXPEDIDAS A ORIGINARIOS DEL ESTADO DE AGUASCALIENTES POR NIVEL DE EDUCACIÓN Y ESTADO EN EE.UU. </a:t>
          </a:r>
        </a:p>
      </xdr:txBody>
    </xdr:sp>
    <xdr:clientData/>
  </xdr:twoCellAnchor>
  <xdr:twoCellAnchor>
    <xdr:from>
      <xdr:col>4</xdr:col>
      <xdr:colOff>1187279</xdr:colOff>
      <xdr:row>6</xdr:row>
      <xdr:rowOff>322852</xdr:rowOff>
    </xdr:from>
    <xdr:to>
      <xdr:col>4</xdr:col>
      <xdr:colOff>1699376</xdr:colOff>
      <xdr:row>7</xdr:row>
      <xdr:rowOff>175596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434723" y="1733963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97388</xdr:colOff>
      <xdr:row>1</xdr:row>
      <xdr:rowOff>160962</xdr:rowOff>
    </xdr:from>
    <xdr:to>
      <xdr:col>2</xdr:col>
      <xdr:colOff>497268</xdr:colOff>
      <xdr:row>3</xdr:row>
      <xdr:rowOff>1839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554BB34-17BE-4B3F-9830-6ACB829E9E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944" y="316184"/>
          <a:ext cx="167693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1296829</xdr:colOff>
      <xdr:row>1</xdr:row>
      <xdr:rowOff>82105</xdr:rowOff>
    </xdr:from>
    <xdr:to>
      <xdr:col>4</xdr:col>
      <xdr:colOff>1737049</xdr:colOff>
      <xdr:row>3</xdr:row>
      <xdr:rowOff>169540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2F2B0DE-84C4-47F5-8240-5222AD8F5A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44273" y="237327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AGUASCALIENTES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MATRÍCULAS CONSULARES DE ALTA SEGURIDAD EXPEDIDAS A ORIGINARIOS DEL ESTADO DE AGUASCALIENTES POR CONSULADO Y NIVEL DE EDUCACIÓN EN EE.UU.</a:t>
          </a:r>
        </a:p>
      </xdr:txBody>
    </xdr:sp>
    <xdr:clientData/>
  </xdr:twoCellAnchor>
  <xdr:twoCellAnchor>
    <xdr:from>
      <xdr:col>4</xdr:col>
      <xdr:colOff>550892</xdr:colOff>
      <xdr:row>7</xdr:row>
      <xdr:rowOff>103558</xdr:rowOff>
    </xdr:from>
    <xdr:to>
      <xdr:col>4</xdr:col>
      <xdr:colOff>1062989</xdr:colOff>
      <xdr:row>7</xdr:row>
      <xdr:rowOff>287913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937186" y="185167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88526</xdr:colOff>
      <xdr:row>1</xdr:row>
      <xdr:rowOff>91652</xdr:rowOff>
    </xdr:from>
    <xdr:to>
      <xdr:col>2</xdr:col>
      <xdr:colOff>185847</xdr:colOff>
      <xdr:row>2</xdr:row>
      <xdr:rowOff>123029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C359428E-5D6B-4E5A-BA50-B1849083F2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761" y="24853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379878</xdr:colOff>
      <xdr:row>1</xdr:row>
      <xdr:rowOff>13210</xdr:rowOff>
    </xdr:from>
    <xdr:to>
      <xdr:col>4</xdr:col>
      <xdr:colOff>820098</xdr:colOff>
      <xdr:row>3</xdr:row>
      <xdr:rowOff>100645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CBD5F9A-2CD5-46F3-B342-94A54E1E7F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34584" y="17009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447261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5401088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AGUASCALIENTES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371475</xdr:colOff>
      <xdr:row>7</xdr:row>
      <xdr:rowOff>171450</xdr:rowOff>
    </xdr:from>
    <xdr:to>
      <xdr:col>5</xdr:col>
      <xdr:colOff>721647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5210175" y="1695450"/>
          <a:ext cx="7311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122602</xdr:colOff>
      <xdr:row>1</xdr:row>
      <xdr:rowOff>153473</xdr:rowOff>
    </xdr:from>
    <xdr:to>
      <xdr:col>1</xdr:col>
      <xdr:colOff>1122727</xdr:colOff>
      <xdr:row>2</xdr:row>
      <xdr:rowOff>184850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60343E0-B825-4A77-8272-C30752BFFD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602" y="347708"/>
          <a:ext cx="1650066" cy="2256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261781</xdr:colOff>
      <xdr:row>1</xdr:row>
      <xdr:rowOff>129275</xdr:rowOff>
    </xdr:from>
    <xdr:to>
      <xdr:col>5</xdr:col>
      <xdr:colOff>321001</xdr:colOff>
      <xdr:row>3</xdr:row>
      <xdr:rowOff>216710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E025C0B-8D06-46A1-8D5C-B29DF82A95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2428" y="323510"/>
          <a:ext cx="462632" cy="4759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AGUASCALIENTES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479878</xdr:colOff>
      <xdr:row>10</xdr:row>
      <xdr:rowOff>13607</xdr:rowOff>
    </xdr:from>
    <xdr:to>
      <xdr:col>4</xdr:col>
      <xdr:colOff>1059104</xdr:colOff>
      <xdr:row>11</xdr:row>
      <xdr:rowOff>7462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4988378" y="1918607"/>
          <a:ext cx="57922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78670</xdr:colOff>
      <xdr:row>1</xdr:row>
      <xdr:rowOff>94430</xdr:rowOff>
    </xdr:from>
    <xdr:to>
      <xdr:col>2</xdr:col>
      <xdr:colOff>166466</xdr:colOff>
      <xdr:row>2</xdr:row>
      <xdr:rowOff>173432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58B7147-6767-4A65-98C9-E818B5B7E3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0837" y="277874"/>
          <a:ext cx="1696462" cy="2060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543278</xdr:colOff>
      <xdr:row>1</xdr:row>
      <xdr:rowOff>34812</xdr:rowOff>
    </xdr:from>
    <xdr:to>
      <xdr:col>4</xdr:col>
      <xdr:colOff>983498</xdr:colOff>
      <xdr:row>3</xdr:row>
      <xdr:rowOff>162816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3B81CEF-FDEA-4A4C-967A-0225C2D8F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58834" y="218256"/>
          <a:ext cx="440220" cy="4455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338667</xdr:colOff>
      <xdr:row>0</xdr:row>
      <xdr:rowOff>153699</xdr:rowOff>
    </xdr:from>
    <xdr:to>
      <xdr:col>5</xdr:col>
      <xdr:colOff>422275</xdr:colOff>
      <xdr:row>6</xdr:row>
      <xdr:rowOff>104070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38667" y="153699"/>
          <a:ext cx="5593997" cy="11568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AGUASCALIENTES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105181</xdr:colOff>
      <xdr:row>10</xdr:row>
      <xdr:rowOff>158635</xdr:rowOff>
    </xdr:from>
    <xdr:to>
      <xdr:col>5</xdr:col>
      <xdr:colOff>632901</xdr:colOff>
      <xdr:row>11</xdr:row>
      <xdr:rowOff>152490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366922" y="2116187"/>
          <a:ext cx="527720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4</xdr:col>
      <xdr:colOff>749653</xdr:colOff>
      <xdr:row>2</xdr:row>
      <xdr:rowOff>42220</xdr:rowOff>
    </xdr:from>
    <xdr:to>
      <xdr:col>5</xdr:col>
      <xdr:colOff>304048</xdr:colOff>
      <xdr:row>3</xdr:row>
      <xdr:rowOff>304280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AB4C729-28AF-4D14-94E1-4F7702DF8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5764" y="352664"/>
          <a:ext cx="478673" cy="452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52917</xdr:colOff>
      <xdr:row>2</xdr:row>
      <xdr:rowOff>31285</xdr:rowOff>
    </xdr:from>
    <xdr:to>
      <xdr:col>2</xdr:col>
      <xdr:colOff>159763</xdr:colOff>
      <xdr:row>3</xdr:row>
      <xdr:rowOff>46787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2D144B6-0036-40C3-8399-C2FC42991C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5084" y="341729"/>
          <a:ext cx="1694346" cy="2060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380999</xdr:colOff>
      <xdr:row>0</xdr:row>
      <xdr:rowOff>97254</xdr:rowOff>
    </xdr:from>
    <xdr:to>
      <xdr:col>5</xdr:col>
      <xdr:colOff>1109868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380999" y="97254"/>
          <a:ext cx="6220239" cy="118448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AGUASCALIENTES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750728</xdr:colOff>
      <xdr:row>9</xdr:row>
      <xdr:rowOff>95250</xdr:rowOff>
    </xdr:from>
    <xdr:to>
      <xdr:col>5</xdr:col>
      <xdr:colOff>275167</xdr:colOff>
      <xdr:row>10</xdr:row>
      <xdr:rowOff>74083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5142811" y="1873250"/>
          <a:ext cx="625106" cy="16933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137583</xdr:colOff>
      <xdr:row>1</xdr:row>
      <xdr:rowOff>107837</xdr:rowOff>
    </xdr:from>
    <xdr:to>
      <xdr:col>2</xdr:col>
      <xdr:colOff>492079</xdr:colOff>
      <xdr:row>3</xdr:row>
      <xdr:rowOff>12214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761AB66-42D8-469B-9C3C-CFF5D2F164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8583" y="298337"/>
          <a:ext cx="1624496" cy="2430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566531</xdr:colOff>
      <xdr:row>0</xdr:row>
      <xdr:rowOff>180494</xdr:rowOff>
    </xdr:from>
    <xdr:to>
      <xdr:col>5</xdr:col>
      <xdr:colOff>1003438</xdr:colOff>
      <xdr:row>3</xdr:row>
      <xdr:rowOff>125054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B652E8B-E665-4785-95F1-F9142F3536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57901" y="180494"/>
          <a:ext cx="436907" cy="4663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513521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45297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AGUASCALIENTES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36996</xdr:colOff>
      <xdr:row>7</xdr:row>
      <xdr:rowOff>134868</xdr:rowOff>
    </xdr:from>
    <xdr:to>
      <xdr:col>4</xdr:col>
      <xdr:colOff>576011</xdr:colOff>
      <xdr:row>8</xdr:row>
      <xdr:rowOff>128723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033605" y="1675433"/>
          <a:ext cx="539015" cy="1871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149087</xdr:colOff>
      <xdr:row>1</xdr:row>
      <xdr:rowOff>154057</xdr:rowOff>
    </xdr:from>
    <xdr:to>
      <xdr:col>1</xdr:col>
      <xdr:colOff>1149212</xdr:colOff>
      <xdr:row>2</xdr:row>
      <xdr:rowOff>185434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20E0FCF-6344-482D-A56D-99E5419E1D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087" y="344557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1181929</xdr:colOff>
      <xdr:row>1</xdr:row>
      <xdr:rowOff>86139</xdr:rowOff>
    </xdr:from>
    <xdr:to>
      <xdr:col>4</xdr:col>
      <xdr:colOff>437736</xdr:colOff>
      <xdr:row>3</xdr:row>
      <xdr:rowOff>173574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FC17C1E-C3ED-4A42-B165-7D842F7A12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44429" y="276639"/>
          <a:ext cx="494057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D28"/>
  <sheetViews>
    <sheetView showGridLines="0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9" customWidth="1"/>
    <col min="2" max="2" width="20" style="19" customWidth="1"/>
    <col min="3" max="3" width="24.7109375" style="19" customWidth="1"/>
    <col min="4" max="4" width="20.42578125" style="19" customWidth="1"/>
    <col min="5" max="16384" width="11.42578125" style="19"/>
  </cols>
  <sheetData>
    <row r="1" spans="1:4" ht="42" customHeight="1" thickBot="1">
      <c r="A1" s="101" t="s">
        <v>255</v>
      </c>
      <c r="B1" s="102"/>
      <c r="C1" s="102"/>
      <c r="D1" s="103"/>
    </row>
    <row r="2" spans="1:4">
      <c r="A2" s="20"/>
      <c r="B2" s="21"/>
      <c r="C2" s="21"/>
      <c r="D2" s="22"/>
    </row>
    <row r="3" spans="1:4">
      <c r="A3" s="104" t="s">
        <v>160</v>
      </c>
      <c r="B3" s="105"/>
      <c r="C3" s="105"/>
      <c r="D3" s="106"/>
    </row>
    <row r="4" spans="1:4">
      <c r="A4" s="104"/>
      <c r="B4" s="105"/>
      <c r="C4" s="105"/>
      <c r="D4" s="106"/>
    </row>
    <row r="5" spans="1:4">
      <c r="A5" s="23"/>
      <c r="B5" s="24"/>
      <c r="C5" s="24"/>
      <c r="D5" s="25"/>
    </row>
    <row r="6" spans="1:4" ht="18.75">
      <c r="A6" s="98" t="s">
        <v>17</v>
      </c>
      <c r="B6" s="99"/>
      <c r="C6" s="99"/>
      <c r="D6" s="100"/>
    </row>
    <row r="7" spans="1:4">
      <c r="A7" s="26"/>
      <c r="D7" s="27"/>
    </row>
    <row r="8" spans="1:4" ht="18.75">
      <c r="A8" s="98" t="s">
        <v>18</v>
      </c>
      <c r="B8" s="99"/>
      <c r="C8" s="99"/>
      <c r="D8" s="100"/>
    </row>
    <row r="9" spans="1:4" ht="18.75">
      <c r="A9" s="26"/>
      <c r="B9" s="98" t="s">
        <v>19</v>
      </c>
      <c r="C9" s="99"/>
      <c r="D9" s="99"/>
    </row>
    <row r="10" spans="1:4">
      <c r="A10" s="26"/>
      <c r="D10" s="27"/>
    </row>
    <row r="11" spans="1:4" ht="18.75">
      <c r="A11" s="32" t="s">
        <v>20</v>
      </c>
      <c r="D11" s="27"/>
    </row>
    <row r="12" spans="1:4" ht="18.75">
      <c r="A12" s="26"/>
      <c r="B12" s="98" t="s">
        <v>21</v>
      </c>
      <c r="C12" s="99"/>
      <c r="D12" s="99"/>
    </row>
    <row r="13" spans="1:4" ht="18.75">
      <c r="A13" s="26"/>
      <c r="B13" s="98" t="s">
        <v>22</v>
      </c>
      <c r="C13" s="99"/>
      <c r="D13" s="99"/>
    </row>
    <row r="14" spans="1:4" ht="18.75">
      <c r="A14" s="26"/>
      <c r="B14" s="98" t="s">
        <v>23</v>
      </c>
      <c r="C14" s="99"/>
      <c r="D14" s="99"/>
    </row>
    <row r="15" spans="1:4">
      <c r="A15" s="26"/>
      <c r="D15" s="27"/>
    </row>
    <row r="16" spans="1:4" ht="18.75">
      <c r="A16" s="32" t="s">
        <v>24</v>
      </c>
      <c r="D16" s="27"/>
    </row>
    <row r="17" spans="1:4" ht="18.75">
      <c r="A17" s="26"/>
      <c r="B17" s="98" t="s">
        <v>25</v>
      </c>
      <c r="C17" s="99"/>
      <c r="D17" s="99"/>
    </row>
    <row r="18" spans="1:4" ht="18.75">
      <c r="A18" s="26"/>
      <c r="B18" s="98" t="s">
        <v>26</v>
      </c>
      <c r="C18" s="99"/>
      <c r="D18" s="99"/>
    </row>
    <row r="19" spans="1:4" ht="18.75">
      <c r="A19" s="26"/>
      <c r="B19" s="98" t="s">
        <v>27</v>
      </c>
      <c r="C19" s="99"/>
      <c r="D19" s="99"/>
    </row>
    <row r="20" spans="1:4">
      <c r="A20" s="26"/>
      <c r="D20" s="27"/>
    </row>
    <row r="21" spans="1:4" ht="18.75">
      <c r="A21" s="32" t="s">
        <v>28</v>
      </c>
      <c r="D21" s="27"/>
    </row>
    <row r="22" spans="1:4" ht="18.75">
      <c r="A22" s="26"/>
      <c r="B22" s="98" t="s">
        <v>29</v>
      </c>
      <c r="C22" s="99"/>
      <c r="D22" s="99"/>
    </row>
    <row r="23" spans="1:4" ht="18.75">
      <c r="A23" s="26"/>
      <c r="B23" s="98" t="s">
        <v>32</v>
      </c>
      <c r="C23" s="99"/>
      <c r="D23" s="99"/>
    </row>
    <row r="24" spans="1:4" ht="18.75">
      <c r="A24" s="26"/>
      <c r="B24" s="98" t="s">
        <v>39</v>
      </c>
      <c r="C24" s="99"/>
      <c r="D24" s="99"/>
    </row>
    <row r="25" spans="1:4" ht="18.75">
      <c r="A25" s="98" t="s">
        <v>30</v>
      </c>
      <c r="B25" s="99"/>
      <c r="C25" s="99"/>
      <c r="D25" s="100"/>
    </row>
    <row r="26" spans="1:4" ht="18.75">
      <c r="A26" s="98"/>
      <c r="B26" s="99"/>
      <c r="C26" s="99"/>
      <c r="D26" s="100"/>
    </row>
    <row r="27" spans="1:4" ht="18.75">
      <c r="A27" s="98" t="s">
        <v>31</v>
      </c>
      <c r="B27" s="99"/>
      <c r="C27" s="99"/>
      <c r="D27" s="100"/>
    </row>
    <row r="28" spans="1:4" ht="18.75" thickBot="1">
      <c r="A28" s="28"/>
      <c r="B28" s="29"/>
      <c r="C28" s="29"/>
      <c r="D28" s="30"/>
    </row>
  </sheetData>
  <mergeCells count="17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A26:D26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5" location="Aguascalientes_Gen_Edad!A1" display="6. Por estructura de Edad" xr:uid="{00000000-0004-0000-0000-00000B000000}"/>
    <hyperlink ref="A27" location="Aguascalientes_ocup_gral!A1" display="7. Por Ocupación" xr:uid="{00000000-0004-0000-0000-00000C000000}"/>
    <hyperlink ref="B13:D13" location="Aguascalientes_USAMuni!A1" display="3.2 Por Estado de USA" xr:uid="{00000000-0004-0000-0000-00000D000000}"/>
    <hyperlink ref="A8:D8" location="Aguascalientes_Cons!A1" display="2. Por Circunscripción Consular" xr:uid="{00000000-0004-0000-0000-00000E000000}"/>
    <hyperlink ref="B9:D9" location="AguascalientesXCons!A1" display="2.1 Top ten por circunscripción consular" xr:uid="{00000000-0004-0000-0000-00000F000000}"/>
    <hyperlink ref="B24" location="Aguascalientes_GENERO_EUA!Títulos_a_imprimir" display="5.3 Por Estado de la Unión Americana" xr:uid="{00000000-0004-0000-0000-000010000000}"/>
    <hyperlink ref="B24:D24" location="Aguascalientes_GENERO_EUA!A1" display="5.3 Por Estado de la Unión Americana" xr:uid="{00000000-0004-0000-0000-000011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">
    <tabColor rgb="FFFF0000"/>
  </sheetPr>
  <dimension ref="B1:D63"/>
  <sheetViews>
    <sheetView showGridLines="0" view="pageBreakPreview" zoomScaleNormal="100" zoomScaleSheetLayoutView="100" workbookViewId="0">
      <selection activeCell="L1" sqref="L1"/>
    </sheetView>
  </sheetViews>
  <sheetFormatPr baseColWidth="10" defaultColWidth="11.42578125" defaultRowHeight="15"/>
  <cols>
    <col min="1" max="1" width="9.28515625" style="5" customWidth="1"/>
    <col min="2" max="2" width="31.42578125" style="5" customWidth="1"/>
    <col min="3" max="3" width="17.7109375" style="7" customWidth="1"/>
    <col min="4" max="4" width="17.7109375" style="5" customWidth="1"/>
    <col min="5" max="5" width="9.28515625" style="5" customWidth="1"/>
    <col min="6" max="6" width="5.7109375" style="5" customWidth="1"/>
    <col min="7" max="16384" width="11.42578125" style="5"/>
  </cols>
  <sheetData>
    <row r="1" spans="2:4" s="1" customFormat="1" ht="15" customHeight="1">
      <c r="C1" s="2"/>
    </row>
    <row r="2" spans="2:4" s="1" customFormat="1" ht="15" customHeight="1">
      <c r="C2" s="2"/>
    </row>
    <row r="3" spans="2:4" s="1" customFormat="1" ht="15" customHeight="1">
      <c r="C3" s="2"/>
    </row>
    <row r="4" spans="2:4" s="1" customFormat="1" ht="30" customHeight="1">
      <c r="C4" s="2"/>
      <c r="D4" s="3"/>
    </row>
    <row r="5" spans="2:4" s="1" customFormat="1" ht="15" customHeight="1">
      <c r="C5" s="2"/>
      <c r="D5" s="3"/>
    </row>
    <row r="6" spans="2:4" s="1" customFormat="1" ht="15" customHeight="1">
      <c r="C6" s="2"/>
      <c r="D6" s="3"/>
    </row>
    <row r="7" spans="2:4" s="1" customFormat="1" ht="15" customHeight="1">
      <c r="B7" s="107" t="s">
        <v>34</v>
      </c>
      <c r="C7" s="107"/>
      <c r="D7" s="107"/>
    </row>
    <row r="8" spans="2:4" s="1" customFormat="1" ht="15" customHeight="1">
      <c r="B8" s="107"/>
      <c r="C8" s="107"/>
      <c r="D8" s="107"/>
    </row>
    <row r="9" spans="2:4" s="1" customFormat="1" ht="33" customHeight="1">
      <c r="B9" s="107"/>
      <c r="C9" s="107"/>
      <c r="D9" s="107"/>
    </row>
    <row r="10" spans="2:4" s="1" customFormat="1" ht="4.5" customHeight="1">
      <c r="B10" s="4"/>
      <c r="C10" s="4"/>
      <c r="D10" s="4"/>
    </row>
    <row r="11" spans="2:4" s="1" customFormat="1" ht="33" customHeight="1">
      <c r="B11" s="47" t="s">
        <v>0</v>
      </c>
      <c r="C11" s="48" t="s">
        <v>1</v>
      </c>
      <c r="D11" s="49" t="s">
        <v>2</v>
      </c>
    </row>
    <row r="12" spans="2:4">
      <c r="B12" s="39" t="s">
        <v>44</v>
      </c>
      <c r="C12" s="40">
        <v>17</v>
      </c>
      <c r="D12" s="41">
        <v>2E-3</v>
      </c>
    </row>
    <row r="13" spans="2:4">
      <c r="B13" s="39" t="s">
        <v>45</v>
      </c>
      <c r="C13" s="40">
        <v>1</v>
      </c>
      <c r="D13" s="41">
        <v>0</v>
      </c>
    </row>
    <row r="14" spans="2:4">
      <c r="B14" s="39" t="s">
        <v>46</v>
      </c>
      <c r="C14" s="40">
        <v>92</v>
      </c>
      <c r="D14" s="41">
        <v>1.0999999999999999E-2</v>
      </c>
    </row>
    <row r="15" spans="2:4">
      <c r="B15" s="39" t="s">
        <v>47</v>
      </c>
      <c r="C15" s="40">
        <v>189</v>
      </c>
      <c r="D15" s="41">
        <v>2.1999999999999999E-2</v>
      </c>
    </row>
    <row r="16" spans="2:4">
      <c r="B16" s="39" t="s">
        <v>48</v>
      </c>
      <c r="C16" s="40">
        <v>1433</v>
      </c>
      <c r="D16" s="41">
        <v>0.17</v>
      </c>
    </row>
    <row r="17" spans="2:4">
      <c r="B17" s="39" t="s">
        <v>49</v>
      </c>
      <c r="C17" s="40">
        <v>624</v>
      </c>
      <c r="D17" s="41">
        <v>7.3999999999999996E-2</v>
      </c>
    </row>
    <row r="18" spans="2:4">
      <c r="B18" s="39" t="s">
        <v>50</v>
      </c>
      <c r="C18" s="40">
        <v>2</v>
      </c>
      <c r="D18" s="41">
        <v>0</v>
      </c>
    </row>
    <row r="19" spans="2:4">
      <c r="B19" s="39" t="s">
        <v>51</v>
      </c>
      <c r="C19" s="40">
        <v>2</v>
      </c>
      <c r="D19" s="41">
        <v>0</v>
      </c>
    </row>
    <row r="20" spans="2:4">
      <c r="B20" s="39" t="s">
        <v>52</v>
      </c>
      <c r="C20" s="40">
        <v>2</v>
      </c>
      <c r="D20" s="41">
        <v>0</v>
      </c>
    </row>
    <row r="21" spans="2:4">
      <c r="B21" s="39" t="s">
        <v>53</v>
      </c>
      <c r="C21" s="40">
        <v>177</v>
      </c>
      <c r="D21" s="41">
        <v>2.1000000000000001E-2</v>
      </c>
    </row>
    <row r="22" spans="2:4">
      <c r="B22" s="39" t="s">
        <v>54</v>
      </c>
      <c r="C22" s="40">
        <v>114</v>
      </c>
      <c r="D22" s="41">
        <v>1.4E-2</v>
      </c>
    </row>
    <row r="23" spans="2:4">
      <c r="B23" s="39" t="s">
        <v>55</v>
      </c>
      <c r="C23" s="40">
        <v>34</v>
      </c>
      <c r="D23" s="41">
        <v>4.0000000000000001E-3</v>
      </c>
    </row>
    <row r="24" spans="2:4">
      <c r="B24" s="39" t="s">
        <v>56</v>
      </c>
      <c r="C24" s="40">
        <v>921</v>
      </c>
      <c r="D24" s="41">
        <v>0.109</v>
      </c>
    </row>
    <row r="25" spans="2:4">
      <c r="B25" s="39" t="s">
        <v>57</v>
      </c>
      <c r="C25" s="40">
        <v>467</v>
      </c>
      <c r="D25" s="41">
        <v>5.5E-2</v>
      </c>
    </row>
    <row r="26" spans="2:4">
      <c r="B26" s="39" t="s">
        <v>58</v>
      </c>
      <c r="C26" s="40">
        <v>36</v>
      </c>
      <c r="D26" s="41">
        <v>4.0000000000000001E-3</v>
      </c>
    </row>
    <row r="27" spans="2:4">
      <c r="B27" s="39" t="s">
        <v>59</v>
      </c>
      <c r="C27" s="40">
        <v>150</v>
      </c>
      <c r="D27" s="41">
        <v>1.7999999999999999E-2</v>
      </c>
    </row>
    <row r="28" spans="2:4">
      <c r="B28" s="39" t="s">
        <v>60</v>
      </c>
      <c r="C28" s="40">
        <v>82</v>
      </c>
      <c r="D28" s="41">
        <v>0.01</v>
      </c>
    </row>
    <row r="29" spans="2:4">
      <c r="B29" s="39" t="s">
        <v>61</v>
      </c>
      <c r="C29" s="40">
        <v>11</v>
      </c>
      <c r="D29" s="41">
        <v>1E-3</v>
      </c>
    </row>
    <row r="30" spans="2:4">
      <c r="B30" s="39" t="s">
        <v>62</v>
      </c>
      <c r="C30" s="40">
        <v>6</v>
      </c>
      <c r="D30" s="41">
        <v>1E-3</v>
      </c>
    </row>
    <row r="31" spans="2:4">
      <c r="B31" s="39" t="s">
        <v>63</v>
      </c>
      <c r="C31" s="40">
        <v>3</v>
      </c>
      <c r="D31" s="41">
        <v>0</v>
      </c>
    </row>
    <row r="32" spans="2:4">
      <c r="B32" s="39" t="s">
        <v>64</v>
      </c>
      <c r="C32" s="40">
        <v>65</v>
      </c>
      <c r="D32" s="41">
        <v>8.0000000000000002E-3</v>
      </c>
    </row>
    <row r="33" spans="2:4">
      <c r="B33" s="39" t="s">
        <v>65</v>
      </c>
      <c r="C33" s="40">
        <v>42</v>
      </c>
      <c r="D33" s="41">
        <v>5.0000000000000001E-3</v>
      </c>
    </row>
    <row r="34" spans="2:4">
      <c r="B34" s="39" t="s">
        <v>66</v>
      </c>
      <c r="C34" s="40">
        <v>22</v>
      </c>
      <c r="D34" s="41">
        <v>3.0000000000000001E-3</v>
      </c>
    </row>
    <row r="35" spans="2:4">
      <c r="B35" s="39" t="s">
        <v>67</v>
      </c>
      <c r="C35" s="40">
        <v>56</v>
      </c>
      <c r="D35" s="41">
        <v>7.0000000000000001E-3</v>
      </c>
    </row>
    <row r="36" spans="2:4">
      <c r="B36" s="39" t="s">
        <v>68</v>
      </c>
      <c r="C36" s="40">
        <v>9</v>
      </c>
      <c r="D36" s="41">
        <v>1E-3</v>
      </c>
    </row>
    <row r="37" spans="2:4">
      <c r="B37" s="39" t="s">
        <v>69</v>
      </c>
      <c r="C37" s="40">
        <v>56</v>
      </c>
      <c r="D37" s="41">
        <v>7.0000000000000001E-3</v>
      </c>
    </row>
    <row r="38" spans="2:4">
      <c r="B38" s="39" t="s">
        <v>70</v>
      </c>
      <c r="C38" s="40">
        <v>144</v>
      </c>
      <c r="D38" s="41">
        <v>1.7000000000000001E-2</v>
      </c>
    </row>
    <row r="39" spans="2:4">
      <c r="B39" s="39" t="s">
        <v>71</v>
      </c>
      <c r="C39" s="40">
        <v>5</v>
      </c>
      <c r="D39" s="41">
        <v>1E-3</v>
      </c>
    </row>
    <row r="40" spans="2:4">
      <c r="B40" s="39" t="s">
        <v>72</v>
      </c>
      <c r="C40" s="40">
        <v>87</v>
      </c>
      <c r="D40" s="41">
        <v>0.01</v>
      </c>
    </row>
    <row r="41" spans="2:4">
      <c r="B41" s="39" t="s">
        <v>73</v>
      </c>
      <c r="C41" s="40">
        <v>4</v>
      </c>
      <c r="D41" s="41">
        <v>0</v>
      </c>
    </row>
    <row r="42" spans="2:4">
      <c r="B42" s="39" t="s">
        <v>74</v>
      </c>
      <c r="C42" s="40">
        <v>138</v>
      </c>
      <c r="D42" s="41">
        <v>1.6E-2</v>
      </c>
    </row>
    <row r="43" spans="2:4">
      <c r="B43" s="39" t="s">
        <v>75</v>
      </c>
      <c r="C43" s="40">
        <v>5</v>
      </c>
      <c r="D43" s="41">
        <v>1E-3</v>
      </c>
    </row>
    <row r="44" spans="2:4">
      <c r="B44" s="39" t="s">
        <v>76</v>
      </c>
      <c r="C44" s="40">
        <v>49</v>
      </c>
      <c r="D44" s="41">
        <v>6.0000000000000001E-3</v>
      </c>
    </row>
    <row r="45" spans="2:4">
      <c r="B45" s="39" t="s">
        <v>77</v>
      </c>
      <c r="C45" s="40">
        <v>1199</v>
      </c>
      <c r="D45" s="41">
        <v>0.14199999999999999</v>
      </c>
    </row>
    <row r="46" spans="2:4">
      <c r="B46" s="39" t="s">
        <v>78</v>
      </c>
      <c r="C46" s="40">
        <v>8</v>
      </c>
      <c r="D46" s="41">
        <v>1E-3</v>
      </c>
    </row>
    <row r="47" spans="2:4">
      <c r="B47" s="39" t="s">
        <v>79</v>
      </c>
      <c r="C47" s="40">
        <v>12</v>
      </c>
      <c r="D47" s="41">
        <v>1E-3</v>
      </c>
    </row>
    <row r="48" spans="2:4">
      <c r="B48" s="39" t="s">
        <v>80</v>
      </c>
      <c r="C48" s="40">
        <v>39</v>
      </c>
      <c r="D48" s="41">
        <v>5.0000000000000001E-3</v>
      </c>
    </row>
    <row r="49" spans="2:4">
      <c r="B49" s="39" t="s">
        <v>81</v>
      </c>
      <c r="C49" s="40">
        <v>5</v>
      </c>
      <c r="D49" s="41">
        <v>1E-3</v>
      </c>
    </row>
    <row r="50" spans="2:4">
      <c r="B50" s="39" t="s">
        <v>82</v>
      </c>
      <c r="C50" s="40">
        <v>172</v>
      </c>
      <c r="D50" s="41">
        <v>0.02</v>
      </c>
    </row>
    <row r="51" spans="2:4">
      <c r="B51" s="39" t="s">
        <v>83</v>
      </c>
      <c r="C51" s="40">
        <v>1730</v>
      </c>
      <c r="D51" s="41">
        <v>0.20499999999999999</v>
      </c>
    </row>
    <row r="52" spans="2:4">
      <c r="B52" s="39" t="s">
        <v>84</v>
      </c>
      <c r="C52" s="40">
        <v>53</v>
      </c>
      <c r="D52" s="41">
        <v>6.0000000000000001E-3</v>
      </c>
    </row>
    <row r="53" spans="2:4">
      <c r="B53" s="39" t="s">
        <v>85</v>
      </c>
      <c r="C53" s="40">
        <v>25</v>
      </c>
      <c r="D53" s="41">
        <v>3.0000000000000001E-3</v>
      </c>
    </row>
    <row r="54" spans="2:4">
      <c r="B54" s="39" t="s">
        <v>86</v>
      </c>
      <c r="C54" s="40">
        <v>73</v>
      </c>
      <c r="D54" s="41">
        <v>8.9999999999999993E-3</v>
      </c>
    </row>
    <row r="55" spans="2:4">
      <c r="B55" s="39" t="s">
        <v>87</v>
      </c>
      <c r="C55" s="40">
        <v>43</v>
      </c>
      <c r="D55" s="41">
        <v>5.0000000000000001E-3</v>
      </c>
    </row>
    <row r="56" spans="2:4">
      <c r="B56" s="39" t="s">
        <v>88</v>
      </c>
      <c r="C56" s="40">
        <v>22</v>
      </c>
      <c r="D56" s="41">
        <v>3.0000000000000001E-3</v>
      </c>
    </row>
    <row r="57" spans="2:4">
      <c r="B57" s="53" t="s">
        <v>12</v>
      </c>
      <c r="C57" s="42">
        <v>8992</v>
      </c>
      <c r="D57" s="43">
        <v>1</v>
      </c>
    </row>
    <row r="59" spans="2:4">
      <c r="B59" s="44" t="s">
        <v>170</v>
      </c>
    </row>
    <row r="60" spans="2:4">
      <c r="B60" s="45" t="s">
        <v>3</v>
      </c>
    </row>
    <row r="61" spans="2:4">
      <c r="B61" s="46" t="s">
        <v>43</v>
      </c>
    </row>
    <row r="62" spans="2:4">
      <c r="B62" s="44" t="s">
        <v>4</v>
      </c>
    </row>
    <row r="63" spans="2:4">
      <c r="B63" s="44" t="s">
        <v>252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57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FFC000"/>
  </sheetPr>
  <dimension ref="B1:D69"/>
  <sheetViews>
    <sheetView showGridLines="0" view="pageBreakPreview" topLeftCell="A11" zoomScale="115" zoomScaleNormal="100" zoomScaleSheetLayoutView="115" workbookViewId="0">
      <selection activeCell="D11" sqref="D11"/>
    </sheetView>
  </sheetViews>
  <sheetFormatPr baseColWidth="10" defaultColWidth="11.42578125" defaultRowHeight="15"/>
  <cols>
    <col min="1" max="1" width="9.28515625" style="5" customWidth="1"/>
    <col min="2" max="2" width="21.7109375" style="5" customWidth="1"/>
    <col min="3" max="3" width="17.7109375" style="7" customWidth="1"/>
    <col min="4" max="4" width="17.7109375" style="5" customWidth="1"/>
    <col min="5" max="5" width="9.28515625" style="5" customWidth="1"/>
    <col min="6" max="6" width="5.7109375" style="5" customWidth="1"/>
    <col min="7" max="16384" width="11.42578125" style="5"/>
  </cols>
  <sheetData>
    <row r="1" spans="2:4" s="1" customFormat="1" ht="15" customHeight="1">
      <c r="C1" s="2"/>
    </row>
    <row r="2" spans="2:4" s="1" customFormat="1" ht="15" customHeight="1">
      <c r="C2" s="2"/>
    </row>
    <row r="3" spans="2:4" s="1" customFormat="1" ht="15" customHeight="1">
      <c r="C3" s="2"/>
    </row>
    <row r="4" spans="2:4" s="1" customFormat="1" ht="30" customHeight="1">
      <c r="C4" s="2"/>
      <c r="D4" s="3"/>
    </row>
    <row r="5" spans="2:4" s="1" customFormat="1" ht="15" customHeight="1">
      <c r="C5" s="2"/>
      <c r="D5" s="3"/>
    </row>
    <row r="6" spans="2:4" s="1" customFormat="1" ht="15" customHeight="1">
      <c r="C6" s="2"/>
      <c r="D6" s="3"/>
    </row>
    <row r="7" spans="2:4" s="1" customFormat="1" ht="15" customHeight="1">
      <c r="B7" s="107" t="s">
        <v>33</v>
      </c>
      <c r="C7" s="107"/>
      <c r="D7" s="107"/>
    </row>
    <row r="8" spans="2:4" s="1" customFormat="1" ht="15" customHeight="1">
      <c r="B8" s="107"/>
      <c r="C8" s="107"/>
      <c r="D8" s="107"/>
    </row>
    <row r="9" spans="2:4" s="1" customFormat="1" ht="33" customHeight="1">
      <c r="B9" s="107"/>
      <c r="C9" s="107"/>
      <c r="D9" s="107"/>
    </row>
    <row r="10" spans="2:4" s="1" customFormat="1" ht="4.5" customHeight="1">
      <c r="B10" s="50"/>
      <c r="C10" s="50"/>
      <c r="D10" s="50"/>
    </row>
    <row r="11" spans="2:4" s="1" customFormat="1" ht="33" customHeight="1">
      <c r="B11" s="47" t="s">
        <v>5</v>
      </c>
      <c r="C11" s="48" t="s">
        <v>1</v>
      </c>
      <c r="D11" s="49" t="s">
        <v>2</v>
      </c>
    </row>
    <row r="12" spans="2:4">
      <c r="B12" s="39" t="s">
        <v>120</v>
      </c>
      <c r="C12" s="40">
        <v>1442</v>
      </c>
      <c r="D12" s="41">
        <v>0.16036476868327401</v>
      </c>
    </row>
    <row r="13" spans="2:4">
      <c r="B13" s="39" t="s">
        <v>140</v>
      </c>
      <c r="C13" s="40">
        <v>1401</v>
      </c>
      <c r="D13" s="41">
        <v>0.15580516014234899</v>
      </c>
    </row>
    <row r="14" spans="2:4">
      <c r="B14" s="39" t="s">
        <v>121</v>
      </c>
      <c r="C14" s="40">
        <v>783</v>
      </c>
      <c r="D14" s="41">
        <v>8.7077402135231005E-2</v>
      </c>
    </row>
    <row r="15" spans="2:4">
      <c r="B15" s="39" t="s">
        <v>134</v>
      </c>
      <c r="C15" s="40">
        <v>638</v>
      </c>
      <c r="D15" s="41">
        <v>7.0951957295373999E-2</v>
      </c>
    </row>
    <row r="16" spans="2:4">
      <c r="B16" s="39" t="s">
        <v>123</v>
      </c>
      <c r="C16" s="40">
        <v>631</v>
      </c>
      <c r="D16" s="41">
        <v>7.0173487544484006E-2</v>
      </c>
    </row>
    <row r="17" spans="2:4">
      <c r="B17" s="39" t="s">
        <v>128</v>
      </c>
      <c r="C17" s="40">
        <v>572</v>
      </c>
      <c r="D17" s="41">
        <v>6.3612099644128006E-2</v>
      </c>
    </row>
    <row r="18" spans="2:4">
      <c r="B18" s="39" t="s">
        <v>133</v>
      </c>
      <c r="C18" s="40">
        <v>299</v>
      </c>
      <c r="D18" s="41">
        <v>3.3251779359431001E-2</v>
      </c>
    </row>
    <row r="19" spans="2:4">
      <c r="B19" s="39" t="s">
        <v>152</v>
      </c>
      <c r="C19" s="40">
        <v>222</v>
      </c>
      <c r="D19" s="41">
        <v>2.4688612099644E-2</v>
      </c>
    </row>
    <row r="20" spans="2:4">
      <c r="B20" s="39" t="s">
        <v>114</v>
      </c>
      <c r="C20" s="40">
        <v>219</v>
      </c>
      <c r="D20" s="41">
        <v>2.4354982206406001E-2</v>
      </c>
    </row>
    <row r="21" spans="2:4">
      <c r="B21" s="39" t="s">
        <v>147</v>
      </c>
      <c r="C21" s="40">
        <v>188</v>
      </c>
      <c r="D21" s="41">
        <v>2.0907473309609001E-2</v>
      </c>
    </row>
    <row r="22" spans="2:4">
      <c r="B22" s="39" t="s">
        <v>124</v>
      </c>
      <c r="C22" s="40">
        <v>160</v>
      </c>
      <c r="D22" s="41">
        <v>1.7793594306050001E-2</v>
      </c>
    </row>
    <row r="23" spans="2:4">
      <c r="B23" s="39" t="s">
        <v>127</v>
      </c>
      <c r="C23" s="40">
        <v>153</v>
      </c>
      <c r="D23" s="41">
        <v>1.7015124555160001E-2</v>
      </c>
    </row>
    <row r="24" spans="2:4">
      <c r="B24" s="39" t="s">
        <v>141</v>
      </c>
      <c r="C24" s="40">
        <v>148</v>
      </c>
      <c r="D24" s="41">
        <v>1.6459074733096001E-2</v>
      </c>
    </row>
    <row r="25" spans="2:4">
      <c r="B25" s="39" t="s">
        <v>132</v>
      </c>
      <c r="C25" s="40">
        <v>135</v>
      </c>
      <c r="D25" s="41">
        <v>1.5013345195730001E-2</v>
      </c>
    </row>
    <row r="26" spans="2:4">
      <c r="B26" s="39" t="s">
        <v>130</v>
      </c>
      <c r="C26" s="40">
        <v>133</v>
      </c>
      <c r="D26" s="41">
        <v>1.4790925266904001E-2</v>
      </c>
    </row>
    <row r="27" spans="2:4">
      <c r="B27" s="39" t="s">
        <v>151</v>
      </c>
      <c r="C27" s="40">
        <v>129</v>
      </c>
      <c r="D27" s="41">
        <v>1.4346085409252999E-2</v>
      </c>
    </row>
    <row r="28" spans="2:4">
      <c r="B28" s="39" t="s">
        <v>156</v>
      </c>
      <c r="C28" s="40">
        <v>128</v>
      </c>
      <c r="D28" s="41">
        <v>1.4234875444839999E-2</v>
      </c>
    </row>
    <row r="29" spans="2:4">
      <c r="B29" s="39" t="s">
        <v>115</v>
      </c>
      <c r="C29" s="40">
        <v>127</v>
      </c>
      <c r="D29" s="41">
        <v>1.4123665480427001E-2</v>
      </c>
    </row>
    <row r="30" spans="2:4">
      <c r="B30" s="39" t="s">
        <v>148</v>
      </c>
      <c r="C30" s="40">
        <v>111</v>
      </c>
      <c r="D30" s="41">
        <v>1.2344306049822E-2</v>
      </c>
    </row>
    <row r="31" spans="2:4">
      <c r="B31" s="39" t="s">
        <v>129</v>
      </c>
      <c r="C31" s="40">
        <v>110</v>
      </c>
      <c r="D31" s="41">
        <v>1.2233096085409E-2</v>
      </c>
    </row>
    <row r="32" spans="2:4">
      <c r="B32" s="39" t="s">
        <v>143</v>
      </c>
      <c r="C32" s="40">
        <v>110</v>
      </c>
      <c r="D32" s="41">
        <v>1.2233096085409E-2</v>
      </c>
    </row>
    <row r="33" spans="2:4">
      <c r="B33" s="39" t="s">
        <v>142</v>
      </c>
      <c r="C33" s="40">
        <v>107</v>
      </c>
      <c r="D33" s="41">
        <v>1.1899466192171001E-2</v>
      </c>
    </row>
    <row r="34" spans="2:4">
      <c r="B34" s="39" t="s">
        <v>113</v>
      </c>
      <c r="C34" s="40">
        <v>102</v>
      </c>
      <c r="D34" s="41">
        <v>1.1343416370107001E-2</v>
      </c>
    </row>
    <row r="35" spans="2:4">
      <c r="B35" s="39" t="s">
        <v>150</v>
      </c>
      <c r="C35" s="40">
        <v>96</v>
      </c>
      <c r="D35" s="41">
        <v>1.0676156583629999E-2</v>
      </c>
    </row>
    <row r="36" spans="2:4">
      <c r="B36" s="39" t="s">
        <v>144</v>
      </c>
      <c r="C36" s="40">
        <v>88</v>
      </c>
      <c r="D36" s="41">
        <v>9.7864768683269994E-3</v>
      </c>
    </row>
    <row r="37" spans="2:4">
      <c r="B37" s="39" t="s">
        <v>155</v>
      </c>
      <c r="C37" s="40">
        <v>79</v>
      </c>
      <c r="D37" s="41">
        <v>8.7855871886120002E-3</v>
      </c>
    </row>
    <row r="38" spans="2:4">
      <c r="B38" s="39" t="s">
        <v>136</v>
      </c>
      <c r="C38" s="40">
        <v>73</v>
      </c>
      <c r="D38" s="41">
        <v>8.1183274021350005E-3</v>
      </c>
    </row>
    <row r="39" spans="2:4">
      <c r="B39" s="39" t="s">
        <v>149</v>
      </c>
      <c r="C39" s="40">
        <v>71</v>
      </c>
      <c r="D39" s="41">
        <v>7.8959074733099995E-3</v>
      </c>
    </row>
    <row r="40" spans="2:4">
      <c r="B40" s="39" t="s">
        <v>154</v>
      </c>
      <c r="C40" s="40">
        <v>67</v>
      </c>
      <c r="D40" s="41">
        <v>7.4510676156579999E-3</v>
      </c>
    </row>
    <row r="41" spans="2:4">
      <c r="B41" s="39" t="s">
        <v>153</v>
      </c>
      <c r="C41" s="40">
        <v>56</v>
      </c>
      <c r="D41" s="41">
        <v>6.2277580071169996E-3</v>
      </c>
    </row>
    <row r="42" spans="2:4">
      <c r="B42" s="39" t="s">
        <v>135</v>
      </c>
      <c r="C42" s="40">
        <v>54</v>
      </c>
      <c r="D42" s="41">
        <v>6.0053380782920003E-3</v>
      </c>
    </row>
    <row r="43" spans="2:4">
      <c r="B43" s="39" t="s">
        <v>157</v>
      </c>
      <c r="C43" s="40">
        <v>48</v>
      </c>
      <c r="D43" s="41">
        <v>5.3380782918149997E-3</v>
      </c>
    </row>
    <row r="44" spans="2:4">
      <c r="B44" s="39" t="s">
        <v>138</v>
      </c>
      <c r="C44" s="40">
        <v>44</v>
      </c>
      <c r="D44" s="41">
        <v>4.8932384341640002E-3</v>
      </c>
    </row>
    <row r="45" spans="2:4">
      <c r="B45" s="39" t="s">
        <v>116</v>
      </c>
      <c r="C45" s="40">
        <v>43</v>
      </c>
      <c r="D45" s="41">
        <v>4.7820284697510001E-3</v>
      </c>
    </row>
    <row r="46" spans="2:4">
      <c r="B46" s="39" t="s">
        <v>146</v>
      </c>
      <c r="C46" s="40">
        <v>32</v>
      </c>
      <c r="D46" s="41">
        <v>3.5587188612099998E-3</v>
      </c>
    </row>
    <row r="47" spans="2:4">
      <c r="B47" s="39" t="s">
        <v>137</v>
      </c>
      <c r="C47" s="40">
        <v>29</v>
      </c>
      <c r="D47" s="41">
        <v>3.225088967972E-3</v>
      </c>
    </row>
    <row r="48" spans="2:4">
      <c r="B48" s="39" t="s">
        <v>86</v>
      </c>
      <c r="C48" s="40">
        <v>28</v>
      </c>
      <c r="D48" s="41">
        <v>3.1138790035589998E-3</v>
      </c>
    </row>
    <row r="49" spans="2:4">
      <c r="B49" s="39" t="s">
        <v>125</v>
      </c>
      <c r="C49" s="40">
        <v>27</v>
      </c>
      <c r="D49" s="41">
        <v>3.0026690391460002E-3</v>
      </c>
    </row>
    <row r="50" spans="2:4">
      <c r="B50" s="39" t="s">
        <v>126</v>
      </c>
      <c r="C50" s="40">
        <v>26</v>
      </c>
      <c r="D50" s="41">
        <v>2.891459074733E-3</v>
      </c>
    </row>
    <row r="51" spans="2:4">
      <c r="B51" s="39" t="s">
        <v>139</v>
      </c>
      <c r="C51" s="40">
        <v>19</v>
      </c>
      <c r="D51" s="41">
        <v>2.1129893238430002E-3</v>
      </c>
    </row>
    <row r="52" spans="2:4">
      <c r="B52" s="39" t="s">
        <v>145</v>
      </c>
      <c r="C52" s="40">
        <v>16</v>
      </c>
      <c r="D52" s="41">
        <v>1.7793594306049999E-3</v>
      </c>
    </row>
    <row r="53" spans="2:4">
      <c r="B53" s="39" t="s">
        <v>118</v>
      </c>
      <c r="C53" s="40">
        <v>11</v>
      </c>
      <c r="D53" s="41">
        <v>1.223309608541E-3</v>
      </c>
    </row>
    <row r="54" spans="2:4">
      <c r="B54" s="39" t="s">
        <v>117</v>
      </c>
      <c r="C54" s="40">
        <v>7</v>
      </c>
      <c r="D54" s="41">
        <v>7.7846975088999998E-4</v>
      </c>
    </row>
    <row r="55" spans="2:4">
      <c r="B55" s="39" t="s">
        <v>131</v>
      </c>
      <c r="C55" s="40">
        <v>7</v>
      </c>
      <c r="D55" s="41">
        <v>7.7846975088999998E-4</v>
      </c>
    </row>
    <row r="56" spans="2:4">
      <c r="B56" s="39" t="s">
        <v>158</v>
      </c>
      <c r="C56" s="40">
        <v>7</v>
      </c>
      <c r="D56" s="41">
        <v>7.7846975088999998E-4</v>
      </c>
    </row>
    <row r="57" spans="2:4">
      <c r="B57" s="39" t="s">
        <v>159</v>
      </c>
      <c r="C57" s="40">
        <v>5</v>
      </c>
      <c r="D57" s="41">
        <v>5.5604982206399996E-4</v>
      </c>
    </row>
    <row r="58" spans="2:4">
      <c r="B58" s="39" t="s">
        <v>119</v>
      </c>
      <c r="C58" s="40">
        <v>4</v>
      </c>
      <c r="D58" s="41">
        <v>4.4483985765100001E-4</v>
      </c>
    </row>
    <row r="59" spans="2:4">
      <c r="B59" s="39" t="s">
        <v>171</v>
      </c>
      <c r="C59" s="40">
        <v>3</v>
      </c>
      <c r="D59" s="41">
        <v>3.33629893238E-4</v>
      </c>
    </row>
    <row r="60" spans="2:4">
      <c r="B60" s="39" t="s">
        <v>122</v>
      </c>
      <c r="C60" s="40">
        <v>2</v>
      </c>
      <c r="D60" s="41">
        <v>2.2241992882600001E-4</v>
      </c>
    </row>
    <row r="61" spans="2:4">
      <c r="B61" s="39" t="s">
        <v>172</v>
      </c>
      <c r="C61" s="40">
        <v>1</v>
      </c>
      <c r="D61" s="41">
        <v>1.1120996441300001E-4</v>
      </c>
    </row>
    <row r="62" spans="2:4">
      <c r="B62" s="39" t="s">
        <v>173</v>
      </c>
      <c r="C62" s="40">
        <v>1</v>
      </c>
      <c r="D62" s="41">
        <v>1.1120996441300001E-4</v>
      </c>
    </row>
    <row r="63" spans="2:4">
      <c r="B63" s="53" t="s">
        <v>12</v>
      </c>
      <c r="C63" s="42">
        <v>8992</v>
      </c>
      <c r="D63" s="43">
        <v>1</v>
      </c>
    </row>
    <row r="64" spans="2:4" ht="16.5">
      <c r="B64" s="46"/>
      <c r="C64" s="51"/>
      <c r="D64" s="52"/>
    </row>
    <row r="65" spans="2:4" ht="16.5">
      <c r="B65" s="44" t="s">
        <v>170</v>
      </c>
      <c r="C65" s="51"/>
      <c r="D65" s="52"/>
    </row>
    <row r="66" spans="2:4" ht="16.5">
      <c r="B66" s="45" t="s">
        <v>3</v>
      </c>
      <c r="C66" s="52"/>
      <c r="D66" s="52"/>
    </row>
    <row r="67" spans="2:4" ht="16.5">
      <c r="B67" s="46" t="s">
        <v>43</v>
      </c>
      <c r="C67" s="51"/>
      <c r="D67" s="52"/>
    </row>
    <row r="68" spans="2:4" ht="16.5">
      <c r="B68" s="44" t="s">
        <v>4</v>
      </c>
      <c r="C68" s="51"/>
      <c r="D68" s="52"/>
    </row>
    <row r="69" spans="2:4" ht="16.5">
      <c r="B69" s="44" t="s">
        <v>252</v>
      </c>
      <c r="C69" s="51"/>
      <c r="D69" s="5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13">
    <tabColor rgb="FFFFC000"/>
  </sheetPr>
  <dimension ref="A1:H29"/>
  <sheetViews>
    <sheetView showGridLines="0" view="pageBreakPreview" zoomScaleNormal="100" zoomScaleSheetLayoutView="100" workbookViewId="0">
      <selection activeCell="D15" sqref="D15"/>
    </sheetView>
  </sheetViews>
  <sheetFormatPr baseColWidth="10" defaultColWidth="11.42578125" defaultRowHeight="15"/>
  <cols>
    <col min="1" max="1" width="9.28515625" style="5" customWidth="1"/>
    <col min="2" max="2" width="21.7109375" style="5" customWidth="1"/>
    <col min="3" max="3" width="17.7109375" style="7" customWidth="1"/>
    <col min="4" max="4" width="17.7109375" style="5" customWidth="1"/>
    <col min="5" max="5" width="9.28515625" style="5" customWidth="1"/>
    <col min="6" max="6" width="5.7109375" style="5" customWidth="1"/>
    <col min="7" max="16384" width="11.42578125" style="5"/>
  </cols>
  <sheetData>
    <row r="1" spans="1:8" s="1" customFormat="1" ht="15" customHeight="1">
      <c r="C1" s="2"/>
    </row>
    <row r="2" spans="1:8" s="1" customFormat="1" ht="15" customHeight="1">
      <c r="C2" s="2"/>
    </row>
    <row r="3" spans="1:8" s="1" customFormat="1" ht="15" customHeight="1">
      <c r="C3" s="2"/>
    </row>
    <row r="4" spans="1:8" s="1" customFormat="1" ht="30" customHeight="1">
      <c r="C4" s="2"/>
      <c r="D4" s="3"/>
    </row>
    <row r="5" spans="1:8" s="1" customFormat="1" ht="15" customHeight="1">
      <c r="C5" s="2"/>
      <c r="D5" s="3"/>
    </row>
    <row r="6" spans="1:8" s="1" customFormat="1" ht="15" customHeight="1">
      <c r="C6" s="2"/>
      <c r="D6" s="3"/>
    </row>
    <row r="7" spans="1:8" s="1" customFormat="1" ht="15" customHeight="1">
      <c r="B7" s="107" t="s">
        <v>40</v>
      </c>
      <c r="C7" s="107"/>
      <c r="D7" s="107"/>
    </row>
    <row r="8" spans="1:8" s="1" customFormat="1" ht="15" customHeight="1">
      <c r="B8" s="107"/>
      <c r="C8" s="107"/>
      <c r="D8" s="107"/>
      <c r="H8" s="89"/>
    </row>
    <row r="9" spans="1:8" s="1" customFormat="1" ht="33" customHeight="1">
      <c r="B9" s="107"/>
      <c r="C9" s="107"/>
      <c r="D9" s="107"/>
    </row>
    <row r="10" spans="1:8" s="1" customFormat="1" ht="4.5" customHeight="1">
      <c r="B10" s="50"/>
      <c r="C10" s="50"/>
      <c r="D10" s="50"/>
    </row>
    <row r="11" spans="1:8" s="1" customFormat="1" ht="33" customHeight="1">
      <c r="B11" s="47" t="s">
        <v>5</v>
      </c>
      <c r="C11" s="48" t="s">
        <v>1</v>
      </c>
      <c r="D11" s="49" t="s">
        <v>2</v>
      </c>
    </row>
    <row r="12" spans="1:8" ht="15" customHeight="1">
      <c r="B12" s="39" t="s">
        <v>120</v>
      </c>
      <c r="C12" s="68">
        <v>1442</v>
      </c>
      <c r="D12" s="41">
        <f>C12/$C$22</f>
        <v>0.22548866301798279</v>
      </c>
    </row>
    <row r="13" spans="1:8">
      <c r="B13" s="39" t="s">
        <v>140</v>
      </c>
      <c r="C13" s="68">
        <v>1401</v>
      </c>
      <c r="D13" s="41">
        <f t="shared" ref="D13:D22" si="0">C13/$C$22</f>
        <v>0.21907740422204847</v>
      </c>
    </row>
    <row r="14" spans="1:8" s="6" customFormat="1">
      <c r="A14" s="5"/>
      <c r="B14" s="39" t="s">
        <v>121</v>
      </c>
      <c r="C14" s="68">
        <v>783</v>
      </c>
      <c r="D14" s="41">
        <f t="shared" si="0"/>
        <v>0.12243940578577013</v>
      </c>
    </row>
    <row r="15" spans="1:8" s="6" customFormat="1">
      <c r="A15" s="5"/>
      <c r="B15" s="39" t="s">
        <v>134</v>
      </c>
      <c r="C15" s="68">
        <v>638</v>
      </c>
      <c r="D15" s="41">
        <f t="shared" si="0"/>
        <v>9.9765441751368256E-2</v>
      </c>
    </row>
    <row r="16" spans="1:8">
      <c r="B16" s="39" t="s">
        <v>123</v>
      </c>
      <c r="C16" s="68">
        <v>631</v>
      </c>
      <c r="D16" s="41">
        <f t="shared" si="0"/>
        <v>9.8670836591086789E-2</v>
      </c>
    </row>
    <row r="17" spans="2:4">
      <c r="B17" s="39" t="s">
        <v>128</v>
      </c>
      <c r="C17" s="68">
        <v>572</v>
      </c>
      <c r="D17" s="41">
        <f t="shared" si="0"/>
        <v>8.9444878811571538E-2</v>
      </c>
    </row>
    <row r="18" spans="2:4">
      <c r="B18" s="39" t="s">
        <v>133</v>
      </c>
      <c r="C18" s="68">
        <v>299</v>
      </c>
      <c r="D18" s="41">
        <f t="shared" si="0"/>
        <v>4.6755277560594215E-2</v>
      </c>
    </row>
    <row r="19" spans="2:4">
      <c r="B19" s="39" t="s">
        <v>152</v>
      </c>
      <c r="C19" s="68">
        <v>222</v>
      </c>
      <c r="D19" s="41">
        <f t="shared" si="0"/>
        <v>3.4714620797498048E-2</v>
      </c>
    </row>
    <row r="20" spans="2:4">
      <c r="B20" s="39" t="s">
        <v>114</v>
      </c>
      <c r="C20" s="68">
        <v>219</v>
      </c>
      <c r="D20" s="41">
        <f t="shared" si="0"/>
        <v>3.4245504300234555E-2</v>
      </c>
    </row>
    <row r="21" spans="2:4">
      <c r="B21" s="39" t="s">
        <v>147</v>
      </c>
      <c r="C21" s="68">
        <v>188</v>
      </c>
      <c r="D21" s="41">
        <f t="shared" si="0"/>
        <v>2.9397967161845191E-2</v>
      </c>
    </row>
    <row r="22" spans="2:4">
      <c r="B22" s="70" t="s">
        <v>41</v>
      </c>
      <c r="C22" s="71">
        <f>SUM(C12:C21)</f>
        <v>6395</v>
      </c>
      <c r="D22" s="72">
        <f t="shared" si="0"/>
        <v>1</v>
      </c>
    </row>
    <row r="23" spans="2:4" ht="16.5">
      <c r="B23" s="53" t="s">
        <v>42</v>
      </c>
      <c r="C23" s="42">
        <v>8992</v>
      </c>
      <c r="D23" s="69"/>
    </row>
    <row r="24" spans="2:4" ht="16.5">
      <c r="B24" s="52"/>
      <c r="C24" s="52"/>
      <c r="D24" s="52"/>
    </row>
    <row r="25" spans="2:4" ht="16.5">
      <c r="B25" s="44" t="s">
        <v>170</v>
      </c>
      <c r="C25" s="51"/>
      <c r="D25" s="52"/>
    </row>
    <row r="26" spans="2:4" ht="16.5">
      <c r="B26" s="45" t="s">
        <v>3</v>
      </c>
      <c r="C26" s="52"/>
      <c r="D26" s="52"/>
    </row>
    <row r="27" spans="2:4" ht="16.5">
      <c r="B27" s="46" t="s">
        <v>43</v>
      </c>
      <c r="C27" s="51"/>
      <c r="D27" s="52"/>
    </row>
    <row r="28" spans="2:4" ht="16.5">
      <c r="B28" s="44" t="s">
        <v>4</v>
      </c>
      <c r="C28" s="51"/>
      <c r="D28" s="52"/>
    </row>
    <row r="29" spans="2:4" ht="16.5">
      <c r="B29" s="44" t="s">
        <v>252</v>
      </c>
      <c r="C29" s="51"/>
      <c r="D29" s="5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>
    <tabColor rgb="FFFFFF00"/>
  </sheetPr>
  <dimension ref="B1:G30"/>
  <sheetViews>
    <sheetView showGridLines="0" view="pageBreakPreview" zoomScale="115" zoomScaleNormal="100" zoomScaleSheetLayoutView="115" workbookViewId="0">
      <selection activeCell="C12" sqref="C12:C23"/>
    </sheetView>
  </sheetViews>
  <sheetFormatPr baseColWidth="10" defaultColWidth="11.42578125" defaultRowHeight="15"/>
  <cols>
    <col min="1" max="1" width="9.28515625" style="5" customWidth="1"/>
    <col min="2" max="2" width="36.42578125" style="5" customWidth="1"/>
    <col min="3" max="3" width="17.7109375" style="7" customWidth="1"/>
    <col min="4" max="4" width="17.7109375" style="5" customWidth="1"/>
    <col min="5" max="5" width="5.7109375" style="5" customWidth="1"/>
    <col min="6" max="16384" width="11.42578125" style="5"/>
  </cols>
  <sheetData>
    <row r="1" spans="2:7" s="1" customFormat="1" ht="15" customHeight="1">
      <c r="C1" s="2"/>
    </row>
    <row r="2" spans="2:7" s="1" customFormat="1" ht="15" customHeight="1">
      <c r="C2" s="2"/>
    </row>
    <row r="3" spans="2:7" s="1" customFormat="1" ht="15" customHeight="1">
      <c r="C3" s="2"/>
    </row>
    <row r="4" spans="2:7" s="1" customFormat="1" ht="30" customHeight="1">
      <c r="C4" s="2"/>
      <c r="D4" s="3"/>
    </row>
    <row r="5" spans="2:7" s="1" customFormat="1" ht="15" customHeight="1">
      <c r="C5" s="2"/>
      <c r="D5" s="3"/>
    </row>
    <row r="6" spans="2:7" s="1" customFormat="1" ht="15" customHeight="1">
      <c r="C6" s="2"/>
      <c r="D6" s="3"/>
    </row>
    <row r="7" spans="2:7" s="1" customFormat="1" ht="15" customHeight="1">
      <c r="B7" s="107" t="s">
        <v>37</v>
      </c>
      <c r="C7" s="107"/>
      <c r="D7" s="107"/>
    </row>
    <row r="8" spans="2:7" s="1" customFormat="1" ht="15" customHeight="1">
      <c r="B8" s="107"/>
      <c r="C8" s="107"/>
      <c r="D8" s="107"/>
    </row>
    <row r="9" spans="2:7" s="1" customFormat="1" ht="33" customHeight="1">
      <c r="B9" s="107"/>
      <c r="C9" s="107"/>
      <c r="D9" s="107"/>
      <c r="G9" s="89"/>
    </row>
    <row r="10" spans="2:7" s="1" customFormat="1" ht="4.5" customHeight="1">
      <c r="B10" s="50"/>
      <c r="C10" s="50"/>
      <c r="D10" s="50"/>
    </row>
    <row r="11" spans="2:7" s="1" customFormat="1" ht="33" customHeight="1">
      <c r="B11" s="47" t="s">
        <v>6</v>
      </c>
      <c r="C11" s="48" t="s">
        <v>1</v>
      </c>
      <c r="D11" s="49" t="s">
        <v>2</v>
      </c>
    </row>
    <row r="12" spans="2:7" ht="15" customHeight="1">
      <c r="B12" s="73" t="s">
        <v>175</v>
      </c>
      <c r="C12" s="74">
        <v>4691</v>
      </c>
      <c r="D12" s="75">
        <v>0.52168594306049798</v>
      </c>
    </row>
    <row r="13" spans="2:7" ht="15" customHeight="1">
      <c r="B13" s="73" t="s">
        <v>176</v>
      </c>
      <c r="C13" s="74">
        <v>1121</v>
      </c>
      <c r="D13" s="75">
        <v>0.124666370106762</v>
      </c>
    </row>
    <row r="14" spans="2:7" ht="15" customHeight="1">
      <c r="B14" s="73" t="s">
        <v>177</v>
      </c>
      <c r="C14" s="74">
        <v>1051</v>
      </c>
      <c r="D14" s="75">
        <v>0.116881672597865</v>
      </c>
    </row>
    <row r="15" spans="2:7" ht="15" customHeight="1">
      <c r="B15" s="73" t="s">
        <v>178</v>
      </c>
      <c r="C15" s="74">
        <v>620</v>
      </c>
      <c r="D15" s="75">
        <v>6.8950177935943005E-2</v>
      </c>
    </row>
    <row r="16" spans="2:7" ht="15" customHeight="1">
      <c r="B16" s="73" t="s">
        <v>179</v>
      </c>
      <c r="C16" s="74">
        <v>549</v>
      </c>
      <c r="D16" s="75">
        <v>6.1054270462633002E-2</v>
      </c>
    </row>
    <row r="17" spans="2:4" ht="15" customHeight="1">
      <c r="B17" s="73" t="s">
        <v>180</v>
      </c>
      <c r="C17" s="74">
        <v>380</v>
      </c>
      <c r="D17" s="75">
        <v>4.2259786476867997E-2</v>
      </c>
    </row>
    <row r="18" spans="2:4" ht="15" customHeight="1">
      <c r="B18" s="73" t="s">
        <v>181</v>
      </c>
      <c r="C18" s="74">
        <v>127</v>
      </c>
      <c r="D18" s="75">
        <v>1.4123665480427001E-2</v>
      </c>
    </row>
    <row r="19" spans="2:4" ht="15" customHeight="1">
      <c r="B19" s="73" t="s">
        <v>182</v>
      </c>
      <c r="C19" s="74">
        <v>121</v>
      </c>
      <c r="D19" s="75">
        <v>1.3456405693949999E-2</v>
      </c>
    </row>
    <row r="20" spans="2:4" ht="15" customHeight="1">
      <c r="B20" s="73" t="s">
        <v>183</v>
      </c>
      <c r="C20" s="74">
        <v>110</v>
      </c>
      <c r="D20" s="75">
        <v>1.2233096085409E-2</v>
      </c>
    </row>
    <row r="21" spans="2:4" ht="15" customHeight="1">
      <c r="B21" s="73" t="s">
        <v>184</v>
      </c>
      <c r="C21" s="74">
        <v>98</v>
      </c>
      <c r="D21" s="75">
        <v>1.0898576512456E-2</v>
      </c>
    </row>
    <row r="22" spans="2:4" ht="15" customHeight="1">
      <c r="B22" s="73" t="s">
        <v>185</v>
      </c>
      <c r="C22" s="74">
        <v>86</v>
      </c>
      <c r="D22" s="75">
        <v>9.5640569395020001E-3</v>
      </c>
    </row>
    <row r="23" spans="2:4" ht="17.100000000000001" customHeight="1">
      <c r="B23" s="73" t="s">
        <v>186</v>
      </c>
      <c r="C23" s="74">
        <v>38</v>
      </c>
      <c r="D23" s="75">
        <v>4.2259786476870004E-3</v>
      </c>
    </row>
    <row r="24" spans="2:4" ht="15" customHeight="1">
      <c r="B24" s="53" t="s">
        <v>12</v>
      </c>
      <c r="C24" s="42">
        <f>SUM(C12,C13,C14,C15,C16,C17,C18,C19,C20,C21,C22,C23)</f>
        <v>8992</v>
      </c>
      <c r="D24" s="43">
        <v>1</v>
      </c>
    </row>
    <row r="25" spans="2:4" ht="16.5">
      <c r="B25" s="46"/>
      <c r="C25" s="51"/>
      <c r="D25" s="52"/>
    </row>
    <row r="26" spans="2:4" ht="16.5">
      <c r="B26" s="44" t="s">
        <v>170</v>
      </c>
      <c r="C26" s="51"/>
      <c r="D26" s="52"/>
    </row>
    <row r="27" spans="2:4" ht="16.5">
      <c r="B27" s="45" t="s">
        <v>3</v>
      </c>
      <c r="C27" s="51"/>
      <c r="D27" s="52"/>
    </row>
    <row r="28" spans="2:4" ht="16.5">
      <c r="B28" s="46" t="s">
        <v>43</v>
      </c>
      <c r="C28" s="51"/>
      <c r="D28" s="52"/>
    </row>
    <row r="29" spans="2:4" ht="16.5">
      <c r="B29" s="44" t="s">
        <v>4</v>
      </c>
      <c r="C29" s="51"/>
      <c r="D29" s="52"/>
    </row>
    <row r="30" spans="2:4" ht="16.5">
      <c r="B30" s="44" t="s">
        <v>252</v>
      </c>
      <c r="C30" s="51"/>
      <c r="D30" s="5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>
    <tabColor rgb="FFFFFF00"/>
  </sheetPr>
  <dimension ref="A1:G341"/>
  <sheetViews>
    <sheetView showGridLines="0" view="pageBreakPreview" zoomScaleNormal="100" zoomScaleSheetLayoutView="100" workbookViewId="0">
      <selection activeCell="H33" sqref="H33"/>
    </sheetView>
  </sheetViews>
  <sheetFormatPr baseColWidth="10" defaultColWidth="35" defaultRowHeight="15" customHeight="1"/>
  <cols>
    <col min="1" max="1" width="1" style="8" customWidth="1"/>
    <col min="2" max="2" width="22.85546875" style="9" customWidth="1"/>
    <col min="3" max="3" width="31.42578125" style="9" customWidth="1"/>
    <col min="4" max="4" width="14.28515625" style="9" customWidth="1"/>
    <col min="5" max="5" width="18.140625" style="9" customWidth="1"/>
    <col min="6" max="6" width="16.85546875" style="9" customWidth="1"/>
    <col min="7" max="16384" width="35" style="8"/>
  </cols>
  <sheetData>
    <row r="1" spans="1:7" s="10" customFormat="1" ht="12" customHeight="1">
      <c r="B1" s="13"/>
      <c r="C1" s="12"/>
      <c r="D1" s="12"/>
      <c r="E1" s="12"/>
      <c r="F1" s="12"/>
    </row>
    <row r="2" spans="1:7" s="10" customFormat="1" ht="15" customHeight="1">
      <c r="C2" s="15"/>
    </row>
    <row r="3" spans="1:7" s="10" customFormat="1" ht="15" customHeight="1">
      <c r="C3" s="15"/>
    </row>
    <row r="4" spans="1:7" s="10" customFormat="1" ht="30" customHeight="1">
      <c r="C4" s="15"/>
      <c r="D4" s="14"/>
    </row>
    <row r="5" spans="1:7" s="10" customFormat="1" ht="15" customHeight="1">
      <c r="C5" s="15"/>
      <c r="D5" s="14"/>
    </row>
    <row r="6" spans="1:7" s="10" customFormat="1" ht="24" customHeight="1">
      <c r="B6" s="13"/>
      <c r="C6" s="12"/>
      <c r="D6" s="12"/>
      <c r="E6" s="12"/>
      <c r="F6" s="12"/>
      <c r="G6" s="88"/>
    </row>
    <row r="7" spans="1:7" s="10" customFormat="1" ht="26.25" customHeight="1">
      <c r="A7" s="11"/>
      <c r="B7" s="113"/>
      <c r="C7" s="113"/>
      <c r="D7" s="113"/>
      <c r="E7" s="113"/>
      <c r="F7" s="34"/>
    </row>
    <row r="8" spans="1:7" s="10" customFormat="1" ht="33" customHeight="1">
      <c r="A8" s="11"/>
      <c r="B8" s="113"/>
      <c r="C8" s="113"/>
      <c r="D8" s="113"/>
      <c r="E8" s="113"/>
      <c r="F8" s="34"/>
    </row>
    <row r="9" spans="1:7" s="1" customFormat="1" ht="40.5" customHeight="1">
      <c r="B9" s="54" t="s">
        <v>8</v>
      </c>
      <c r="C9" s="55" t="s">
        <v>7</v>
      </c>
      <c r="D9" s="56" t="s">
        <v>1</v>
      </c>
      <c r="E9" s="54" t="s">
        <v>2</v>
      </c>
    </row>
    <row r="10" spans="1:7" ht="15" customHeight="1">
      <c r="B10" s="108" t="s">
        <v>83</v>
      </c>
      <c r="C10" s="73" t="s">
        <v>175</v>
      </c>
      <c r="D10" s="74">
        <v>1066</v>
      </c>
      <c r="E10" s="75">
        <v>0.11854982206405699</v>
      </c>
      <c r="F10" s="8"/>
    </row>
    <row r="11" spans="1:7" ht="15" customHeight="1">
      <c r="B11" s="110"/>
      <c r="C11" s="73" t="s">
        <v>178</v>
      </c>
      <c r="D11" s="74">
        <v>198</v>
      </c>
      <c r="E11" s="75">
        <v>2.2019572953737E-2</v>
      </c>
      <c r="F11" s="8"/>
    </row>
    <row r="12" spans="1:7" ht="15" customHeight="1">
      <c r="B12" s="110"/>
      <c r="C12" s="73" t="s">
        <v>176</v>
      </c>
      <c r="D12" s="74">
        <v>139</v>
      </c>
      <c r="E12" s="75">
        <v>1.5458185053381E-2</v>
      </c>
      <c r="F12" s="8"/>
    </row>
    <row r="13" spans="1:7" ht="15" customHeight="1">
      <c r="B13" s="110"/>
      <c r="C13" s="73" t="s">
        <v>180</v>
      </c>
      <c r="D13" s="74">
        <v>98</v>
      </c>
      <c r="E13" s="75">
        <v>1.0898576512456E-2</v>
      </c>
      <c r="F13" s="8"/>
    </row>
    <row r="14" spans="1:7" ht="15" customHeight="1">
      <c r="B14" s="110"/>
      <c r="C14" s="73" t="s">
        <v>179</v>
      </c>
      <c r="D14" s="74">
        <v>84</v>
      </c>
      <c r="E14" s="75">
        <v>9.3416370106759999E-3</v>
      </c>
      <c r="F14" s="8"/>
    </row>
    <row r="15" spans="1:7" ht="15" customHeight="1">
      <c r="B15" s="110"/>
      <c r="C15" s="73" t="s">
        <v>177</v>
      </c>
      <c r="D15" s="74">
        <v>81</v>
      </c>
      <c r="E15" s="75">
        <v>9.0080071174380005E-3</v>
      </c>
      <c r="F15" s="8"/>
    </row>
    <row r="16" spans="1:7" ht="15" customHeight="1">
      <c r="B16" s="110"/>
      <c r="C16" s="73" t="s">
        <v>184</v>
      </c>
      <c r="D16" s="74">
        <v>50</v>
      </c>
      <c r="E16" s="75">
        <v>5.5604982206409999E-3</v>
      </c>
      <c r="F16" s="8"/>
    </row>
    <row r="17" spans="2:6" ht="15" customHeight="1">
      <c r="B17" s="110"/>
      <c r="C17" s="73" t="s">
        <v>183</v>
      </c>
      <c r="D17" s="74">
        <v>22</v>
      </c>
      <c r="E17" s="75">
        <v>2.4466192170820001E-3</v>
      </c>
      <c r="F17" s="8"/>
    </row>
    <row r="18" spans="2:6" ht="15" customHeight="1">
      <c r="B18" s="110"/>
      <c r="C18" s="73" t="s">
        <v>181</v>
      </c>
      <c r="D18" s="74">
        <v>20</v>
      </c>
      <c r="E18" s="75">
        <v>2.2241992882559999E-3</v>
      </c>
      <c r="F18" s="8"/>
    </row>
    <row r="19" spans="2:6" ht="15" customHeight="1">
      <c r="B19" s="110"/>
      <c r="C19" s="73" t="s">
        <v>185</v>
      </c>
      <c r="D19" s="74">
        <v>13</v>
      </c>
      <c r="E19" s="75">
        <v>1.4457295373670001E-3</v>
      </c>
      <c r="F19" s="8"/>
    </row>
    <row r="20" spans="2:6" ht="15" customHeight="1">
      <c r="B20" s="110"/>
      <c r="C20" s="73" t="s">
        <v>182</v>
      </c>
      <c r="D20" s="74">
        <v>8</v>
      </c>
      <c r="E20" s="75">
        <v>8.8967971530200002E-4</v>
      </c>
      <c r="F20" s="8"/>
    </row>
    <row r="21" spans="2:6" ht="15" customHeight="1">
      <c r="B21" s="110"/>
      <c r="C21" s="73" t="s">
        <v>186</v>
      </c>
      <c r="D21" s="74">
        <v>4</v>
      </c>
      <c r="E21" s="75">
        <v>4.4483985765100001E-4</v>
      </c>
      <c r="F21" s="8"/>
    </row>
    <row r="22" spans="2:6" ht="15" customHeight="1">
      <c r="B22" s="109"/>
      <c r="C22" s="78" t="s">
        <v>12</v>
      </c>
      <c r="D22" s="77">
        <v>1783</v>
      </c>
      <c r="E22" s="80">
        <v>0.19828736654804299</v>
      </c>
      <c r="F22" s="8"/>
    </row>
    <row r="23" spans="2:6" ht="15" customHeight="1">
      <c r="B23" s="108" t="s">
        <v>48</v>
      </c>
      <c r="C23" s="73" t="s">
        <v>175</v>
      </c>
      <c r="D23" s="74">
        <v>883</v>
      </c>
      <c r="E23" s="75">
        <v>9.8198398576511997E-2</v>
      </c>
      <c r="F23" s="8"/>
    </row>
    <row r="24" spans="2:6" ht="15" customHeight="1">
      <c r="B24" s="110"/>
      <c r="C24" s="73" t="s">
        <v>177</v>
      </c>
      <c r="D24" s="74">
        <v>159</v>
      </c>
      <c r="E24" s="75">
        <v>1.7682384341636999E-2</v>
      </c>
      <c r="F24" s="8"/>
    </row>
    <row r="25" spans="2:6" ht="15" customHeight="1">
      <c r="B25" s="110"/>
      <c r="C25" s="73" t="s">
        <v>176</v>
      </c>
      <c r="D25" s="74">
        <v>138</v>
      </c>
      <c r="E25" s="75">
        <v>1.5346975088968E-2</v>
      </c>
      <c r="F25" s="8"/>
    </row>
    <row r="26" spans="2:6" ht="15" customHeight="1">
      <c r="B26" s="110"/>
      <c r="C26" s="73" t="s">
        <v>179</v>
      </c>
      <c r="D26" s="74">
        <v>89</v>
      </c>
      <c r="E26" s="75">
        <v>9.8976868327399995E-3</v>
      </c>
      <c r="F26" s="8"/>
    </row>
    <row r="27" spans="2:6" ht="15" customHeight="1">
      <c r="B27" s="110"/>
      <c r="C27" s="73" t="s">
        <v>178</v>
      </c>
      <c r="D27" s="74">
        <v>82</v>
      </c>
      <c r="E27" s="75">
        <v>9.1192170818510006E-3</v>
      </c>
      <c r="F27" s="8"/>
    </row>
    <row r="28" spans="2:6" ht="15" customHeight="1">
      <c r="B28" s="110"/>
      <c r="C28" s="73" t="s">
        <v>180</v>
      </c>
      <c r="D28" s="74">
        <v>53</v>
      </c>
      <c r="E28" s="75">
        <v>5.8941281138790002E-3</v>
      </c>
      <c r="F28" s="8"/>
    </row>
    <row r="29" spans="2:6" ht="15" customHeight="1">
      <c r="B29" s="110"/>
      <c r="C29" s="73" t="s">
        <v>183</v>
      </c>
      <c r="D29" s="74">
        <v>45</v>
      </c>
      <c r="E29" s="75">
        <v>5.0044483985770003E-3</v>
      </c>
      <c r="F29" s="8"/>
    </row>
    <row r="30" spans="2:6" ht="15" customHeight="1">
      <c r="B30" s="110"/>
      <c r="C30" s="73" t="s">
        <v>184</v>
      </c>
      <c r="D30" s="74">
        <v>38</v>
      </c>
      <c r="E30" s="75">
        <v>4.2259786476870004E-3</v>
      </c>
      <c r="F30" s="8"/>
    </row>
    <row r="31" spans="2:6" ht="15" customHeight="1">
      <c r="B31" s="110"/>
      <c r="C31" s="73" t="s">
        <v>182</v>
      </c>
      <c r="D31" s="74">
        <v>22</v>
      </c>
      <c r="E31" s="75">
        <v>2.4466192170820001E-3</v>
      </c>
      <c r="F31" s="8"/>
    </row>
    <row r="32" spans="2:6" ht="15" customHeight="1">
      <c r="B32" s="110"/>
      <c r="C32" s="73" t="s">
        <v>181</v>
      </c>
      <c r="D32" s="74">
        <v>10</v>
      </c>
      <c r="E32" s="75">
        <v>1.1120996441279999E-3</v>
      </c>
      <c r="F32" s="8"/>
    </row>
    <row r="33" spans="2:6" ht="15" customHeight="1">
      <c r="B33" s="110"/>
      <c r="C33" s="73" t="s">
        <v>185</v>
      </c>
      <c r="D33" s="74">
        <v>7</v>
      </c>
      <c r="E33" s="75">
        <v>7.7846975088999998E-4</v>
      </c>
      <c r="F33" s="8"/>
    </row>
    <row r="34" spans="2:6" ht="15" customHeight="1">
      <c r="B34" s="110"/>
      <c r="C34" s="73" t="s">
        <v>186</v>
      </c>
      <c r="D34" s="74">
        <v>4</v>
      </c>
      <c r="E34" s="75">
        <v>4.4483985765100001E-4</v>
      </c>
      <c r="F34" s="8"/>
    </row>
    <row r="35" spans="2:6" ht="15" customHeight="1">
      <c r="B35" s="109"/>
      <c r="C35" s="78" t="s">
        <v>12</v>
      </c>
      <c r="D35" s="77">
        <v>1530</v>
      </c>
      <c r="E35" s="80">
        <v>0.17015124555160099</v>
      </c>
      <c r="F35" s="8"/>
    </row>
    <row r="36" spans="2:6" ht="15" customHeight="1">
      <c r="B36" s="108" t="s">
        <v>77</v>
      </c>
      <c r="C36" s="73" t="s">
        <v>177</v>
      </c>
      <c r="D36" s="74">
        <v>390</v>
      </c>
      <c r="E36" s="75">
        <v>4.3371886120996003E-2</v>
      </c>
      <c r="F36" s="8"/>
    </row>
    <row r="37" spans="2:6" ht="15" customHeight="1">
      <c r="B37" s="110"/>
      <c r="C37" s="73" t="s">
        <v>176</v>
      </c>
      <c r="D37" s="74">
        <v>379</v>
      </c>
      <c r="E37" s="75">
        <v>4.2148576512456001E-2</v>
      </c>
      <c r="F37" s="8"/>
    </row>
    <row r="38" spans="2:6" ht="15" customHeight="1">
      <c r="B38" s="110"/>
      <c r="C38" s="73" t="s">
        <v>175</v>
      </c>
      <c r="D38" s="74">
        <v>371</v>
      </c>
      <c r="E38" s="75">
        <v>4.1258896797153E-2</v>
      </c>
      <c r="F38" s="8"/>
    </row>
    <row r="39" spans="2:6" ht="15" customHeight="1">
      <c r="B39" s="110"/>
      <c r="C39" s="73" t="s">
        <v>178</v>
      </c>
      <c r="D39" s="74">
        <v>84</v>
      </c>
      <c r="E39" s="75">
        <v>9.3416370106759999E-3</v>
      </c>
      <c r="F39" s="8"/>
    </row>
    <row r="40" spans="2:6" ht="15" customHeight="1">
      <c r="B40" s="110"/>
      <c r="C40" s="73" t="s">
        <v>179</v>
      </c>
      <c r="D40" s="74">
        <v>51</v>
      </c>
      <c r="E40" s="75">
        <v>5.671708185053E-3</v>
      </c>
      <c r="F40" s="8"/>
    </row>
    <row r="41" spans="2:6" ht="15" customHeight="1">
      <c r="B41" s="110"/>
      <c r="C41" s="73" t="s">
        <v>180</v>
      </c>
      <c r="D41" s="74">
        <v>38</v>
      </c>
      <c r="E41" s="75">
        <v>4.2259786476870004E-3</v>
      </c>
      <c r="F41" s="8"/>
    </row>
    <row r="42" spans="2:6" ht="15" customHeight="1">
      <c r="B42" s="110"/>
      <c r="C42" s="73" t="s">
        <v>183</v>
      </c>
      <c r="D42" s="74">
        <v>14</v>
      </c>
      <c r="E42" s="75">
        <v>1.5569395017790001E-3</v>
      </c>
      <c r="F42" s="8"/>
    </row>
    <row r="43" spans="2:6" ht="15" customHeight="1">
      <c r="B43" s="110"/>
      <c r="C43" s="73" t="s">
        <v>182</v>
      </c>
      <c r="D43" s="74">
        <v>8</v>
      </c>
      <c r="E43" s="75">
        <v>8.8967971530200002E-4</v>
      </c>
      <c r="F43" s="8"/>
    </row>
    <row r="44" spans="2:6" ht="15" customHeight="1">
      <c r="B44" s="110"/>
      <c r="C44" s="73" t="s">
        <v>185</v>
      </c>
      <c r="D44" s="74">
        <v>7</v>
      </c>
      <c r="E44" s="75">
        <v>7.7846975088999998E-4</v>
      </c>
      <c r="F44" s="8"/>
    </row>
    <row r="45" spans="2:6" ht="15" customHeight="1">
      <c r="B45" s="110"/>
      <c r="C45" s="73" t="s">
        <v>184</v>
      </c>
      <c r="D45" s="74">
        <v>3</v>
      </c>
      <c r="E45" s="75">
        <v>3.33629893238E-4</v>
      </c>
      <c r="F45" s="8"/>
    </row>
    <row r="46" spans="2:6" ht="15" customHeight="1">
      <c r="B46" s="110"/>
      <c r="C46" s="73" t="s">
        <v>181</v>
      </c>
      <c r="D46" s="74">
        <v>2</v>
      </c>
      <c r="E46" s="75">
        <v>2.2241992882600001E-4</v>
      </c>
      <c r="F46" s="8"/>
    </row>
    <row r="47" spans="2:6" ht="15" customHeight="1">
      <c r="B47" s="109"/>
      <c r="C47" s="78" t="s">
        <v>12</v>
      </c>
      <c r="D47" s="77">
        <v>1347</v>
      </c>
      <c r="E47" s="80">
        <v>0.14979982206405701</v>
      </c>
      <c r="F47" s="8"/>
    </row>
    <row r="48" spans="2:6" ht="15" customHeight="1">
      <c r="B48" s="108" t="s">
        <v>56</v>
      </c>
      <c r="C48" s="73" t="s">
        <v>175</v>
      </c>
      <c r="D48" s="74">
        <v>476</v>
      </c>
      <c r="E48" s="75">
        <v>5.2935943060498002E-2</v>
      </c>
      <c r="F48" s="8"/>
    </row>
    <row r="49" spans="2:6" ht="15" customHeight="1">
      <c r="B49" s="110"/>
      <c r="C49" s="73" t="s">
        <v>177</v>
      </c>
      <c r="D49" s="74">
        <v>167</v>
      </c>
      <c r="E49" s="75">
        <v>1.8572064056940001E-2</v>
      </c>
      <c r="F49" s="8"/>
    </row>
    <row r="50" spans="2:6" ht="15" customHeight="1">
      <c r="B50" s="110"/>
      <c r="C50" s="73" t="s">
        <v>179</v>
      </c>
      <c r="D50" s="74">
        <v>88</v>
      </c>
      <c r="E50" s="75">
        <v>9.7864768683269994E-3</v>
      </c>
      <c r="F50" s="8"/>
    </row>
    <row r="51" spans="2:6" ht="15" customHeight="1">
      <c r="B51" s="110"/>
      <c r="C51" s="73" t="s">
        <v>180</v>
      </c>
      <c r="D51" s="74">
        <v>64</v>
      </c>
      <c r="E51" s="75">
        <v>7.1174377224199996E-3</v>
      </c>
      <c r="F51" s="8"/>
    </row>
    <row r="52" spans="2:6" ht="15" customHeight="1">
      <c r="B52" s="110"/>
      <c r="C52" s="73" t="s">
        <v>178</v>
      </c>
      <c r="D52" s="74">
        <v>52</v>
      </c>
      <c r="E52" s="75">
        <v>5.7829181494660001E-3</v>
      </c>
      <c r="F52" s="8"/>
    </row>
    <row r="53" spans="2:6" ht="15" customHeight="1">
      <c r="B53" s="110"/>
      <c r="C53" s="73" t="s">
        <v>181</v>
      </c>
      <c r="D53" s="74">
        <v>48</v>
      </c>
      <c r="E53" s="75">
        <v>5.3380782918149997E-3</v>
      </c>
      <c r="F53" s="8"/>
    </row>
    <row r="54" spans="2:6" ht="15" customHeight="1">
      <c r="B54" s="110"/>
      <c r="C54" s="73" t="s">
        <v>176</v>
      </c>
      <c r="D54" s="74">
        <v>28</v>
      </c>
      <c r="E54" s="75">
        <v>3.1138790035589998E-3</v>
      </c>
      <c r="F54" s="8"/>
    </row>
    <row r="55" spans="2:6" ht="15" customHeight="1">
      <c r="B55" s="110"/>
      <c r="C55" s="73" t="s">
        <v>182</v>
      </c>
      <c r="D55" s="74">
        <v>3</v>
      </c>
      <c r="E55" s="75">
        <v>3.33629893238E-4</v>
      </c>
      <c r="F55" s="8"/>
    </row>
    <row r="56" spans="2:6" ht="15" customHeight="1">
      <c r="B56" s="110"/>
      <c r="C56" s="73" t="s">
        <v>185</v>
      </c>
      <c r="D56" s="74">
        <v>3</v>
      </c>
      <c r="E56" s="75">
        <v>3.33629893238E-4</v>
      </c>
      <c r="F56" s="8"/>
    </row>
    <row r="57" spans="2:6" ht="15" customHeight="1">
      <c r="B57" s="109"/>
      <c r="C57" s="78" t="s">
        <v>12</v>
      </c>
      <c r="D57" s="77">
        <v>929</v>
      </c>
      <c r="E57" s="80">
        <v>0.10331405693950201</v>
      </c>
      <c r="F57" s="8"/>
    </row>
    <row r="58" spans="2:6" ht="15" customHeight="1">
      <c r="B58" s="108" t="s">
        <v>49</v>
      </c>
      <c r="C58" s="73" t="s">
        <v>175</v>
      </c>
      <c r="D58" s="74">
        <v>267</v>
      </c>
      <c r="E58" s="75">
        <v>2.9693060498220999E-2</v>
      </c>
      <c r="F58" s="8"/>
    </row>
    <row r="59" spans="2:6" ht="15" customHeight="1">
      <c r="B59" s="110"/>
      <c r="C59" s="73" t="s">
        <v>176</v>
      </c>
      <c r="D59" s="74">
        <v>124</v>
      </c>
      <c r="E59" s="75">
        <v>1.3790035587189E-2</v>
      </c>
      <c r="F59" s="8"/>
    </row>
    <row r="60" spans="2:6" ht="15" customHeight="1">
      <c r="B60" s="110"/>
      <c r="C60" s="73" t="s">
        <v>177</v>
      </c>
      <c r="D60" s="74">
        <v>70</v>
      </c>
      <c r="E60" s="75">
        <v>7.7846975088970002E-3</v>
      </c>
      <c r="F60" s="8"/>
    </row>
    <row r="61" spans="2:6" ht="15" customHeight="1">
      <c r="B61" s="110"/>
      <c r="C61" s="73" t="s">
        <v>179</v>
      </c>
      <c r="D61" s="74">
        <v>52</v>
      </c>
      <c r="E61" s="75">
        <v>5.7829181494660001E-3</v>
      </c>
      <c r="F61" s="8"/>
    </row>
    <row r="62" spans="2:6" ht="15" customHeight="1">
      <c r="B62" s="110"/>
      <c r="C62" s="73" t="s">
        <v>178</v>
      </c>
      <c r="D62" s="74">
        <v>38</v>
      </c>
      <c r="E62" s="75">
        <v>4.2259786476870004E-3</v>
      </c>
      <c r="F62" s="8"/>
    </row>
    <row r="63" spans="2:6" ht="15" customHeight="1">
      <c r="B63" s="110"/>
      <c r="C63" s="73" t="s">
        <v>182</v>
      </c>
      <c r="D63" s="74">
        <v>35</v>
      </c>
      <c r="E63" s="75">
        <v>3.8923487544480001E-3</v>
      </c>
      <c r="F63" s="8"/>
    </row>
    <row r="64" spans="2:6" ht="15" customHeight="1">
      <c r="B64" s="110"/>
      <c r="C64" s="73" t="s">
        <v>180</v>
      </c>
      <c r="D64" s="74">
        <v>18</v>
      </c>
      <c r="E64" s="75">
        <v>2.0017793594310001E-3</v>
      </c>
      <c r="F64" s="8"/>
    </row>
    <row r="65" spans="2:6" ht="15" customHeight="1">
      <c r="B65" s="110"/>
      <c r="C65" s="73" t="s">
        <v>183</v>
      </c>
      <c r="D65" s="74">
        <v>15</v>
      </c>
      <c r="E65" s="75">
        <v>1.668149466192E-3</v>
      </c>
      <c r="F65" s="8"/>
    </row>
    <row r="66" spans="2:6" ht="15" customHeight="1">
      <c r="B66" s="110"/>
      <c r="C66" s="73" t="s">
        <v>186</v>
      </c>
      <c r="D66" s="74">
        <v>10</v>
      </c>
      <c r="E66" s="75">
        <v>1.1120996441279999E-3</v>
      </c>
      <c r="F66" s="8"/>
    </row>
    <row r="67" spans="2:6" ht="15" customHeight="1">
      <c r="B67" s="110"/>
      <c r="C67" s="73" t="s">
        <v>181</v>
      </c>
      <c r="D67" s="74">
        <v>7</v>
      </c>
      <c r="E67" s="75">
        <v>7.7846975088999998E-4</v>
      </c>
      <c r="F67" s="8"/>
    </row>
    <row r="68" spans="2:6" ht="15" customHeight="1">
      <c r="B68" s="109"/>
      <c r="C68" s="78" t="s">
        <v>12</v>
      </c>
      <c r="D68" s="77">
        <v>636</v>
      </c>
      <c r="E68" s="80">
        <v>7.0729537366547995E-2</v>
      </c>
      <c r="F68" s="8"/>
    </row>
    <row r="69" spans="2:6" ht="15" customHeight="1">
      <c r="B69" s="108" t="s">
        <v>57</v>
      </c>
      <c r="C69" s="73" t="s">
        <v>175</v>
      </c>
      <c r="D69" s="74">
        <v>400</v>
      </c>
      <c r="E69" s="75">
        <v>4.4483985765125002E-2</v>
      </c>
      <c r="F69" s="8"/>
    </row>
    <row r="70" spans="2:6" ht="15" customHeight="1">
      <c r="B70" s="110"/>
      <c r="C70" s="73" t="s">
        <v>179</v>
      </c>
      <c r="D70" s="74">
        <v>28</v>
      </c>
      <c r="E70" s="75">
        <v>3.1138790035589998E-3</v>
      </c>
      <c r="F70" s="8"/>
    </row>
    <row r="71" spans="2:6" ht="15" customHeight="1">
      <c r="B71" s="110"/>
      <c r="C71" s="73" t="s">
        <v>185</v>
      </c>
      <c r="D71" s="74">
        <v>22</v>
      </c>
      <c r="E71" s="75">
        <v>2.4466192170820001E-3</v>
      </c>
      <c r="F71" s="8"/>
    </row>
    <row r="72" spans="2:6" ht="15" customHeight="1">
      <c r="B72" s="110"/>
      <c r="C72" s="73" t="s">
        <v>177</v>
      </c>
      <c r="D72" s="74">
        <v>13</v>
      </c>
      <c r="E72" s="75">
        <v>1.4457295373670001E-3</v>
      </c>
      <c r="F72" s="8"/>
    </row>
    <row r="73" spans="2:6" ht="15" customHeight="1">
      <c r="B73" s="110"/>
      <c r="C73" s="73" t="s">
        <v>180</v>
      </c>
      <c r="D73" s="74">
        <v>11</v>
      </c>
      <c r="E73" s="75">
        <v>1.223309608541E-3</v>
      </c>
      <c r="F73" s="8"/>
    </row>
    <row r="74" spans="2:6" ht="15" customHeight="1">
      <c r="B74" s="110"/>
      <c r="C74" s="73" t="s">
        <v>176</v>
      </c>
      <c r="D74" s="74">
        <v>10</v>
      </c>
      <c r="E74" s="75">
        <v>1.1120996441279999E-3</v>
      </c>
      <c r="F74" s="8"/>
    </row>
    <row r="75" spans="2:6" ht="15" customHeight="1">
      <c r="B75" s="110"/>
      <c r="C75" s="73" t="s">
        <v>178</v>
      </c>
      <c r="D75" s="74">
        <v>4</v>
      </c>
      <c r="E75" s="75">
        <v>4.4483985765100001E-4</v>
      </c>
      <c r="F75" s="8"/>
    </row>
    <row r="76" spans="2:6" ht="15" customHeight="1">
      <c r="B76" s="110"/>
      <c r="C76" s="73" t="s">
        <v>181</v>
      </c>
      <c r="D76" s="74">
        <v>4</v>
      </c>
      <c r="E76" s="75">
        <v>4.4483985765100001E-4</v>
      </c>
      <c r="F76" s="8"/>
    </row>
    <row r="77" spans="2:6" ht="15" customHeight="1">
      <c r="B77" s="110"/>
      <c r="C77" s="73" t="s">
        <v>182</v>
      </c>
      <c r="D77" s="74">
        <v>2</v>
      </c>
      <c r="E77" s="75">
        <v>2.2241992882600001E-4</v>
      </c>
      <c r="F77" s="8"/>
    </row>
    <row r="78" spans="2:6" ht="15" customHeight="1">
      <c r="B78" s="110"/>
      <c r="C78" s="73" t="s">
        <v>184</v>
      </c>
      <c r="D78" s="74">
        <v>1</v>
      </c>
      <c r="E78" s="75">
        <v>1.1120996441300001E-4</v>
      </c>
      <c r="F78" s="8"/>
    </row>
    <row r="79" spans="2:6" ht="15" customHeight="1">
      <c r="B79" s="109"/>
      <c r="C79" s="78" t="s">
        <v>12</v>
      </c>
      <c r="D79" s="77">
        <v>495</v>
      </c>
      <c r="E79" s="80">
        <v>5.5048932384341998E-2</v>
      </c>
      <c r="F79" s="8"/>
    </row>
    <row r="80" spans="2:6" ht="15" customHeight="1">
      <c r="B80" s="108" t="s">
        <v>47</v>
      </c>
      <c r="C80" s="73" t="s">
        <v>175</v>
      </c>
      <c r="D80" s="74">
        <v>82</v>
      </c>
      <c r="E80" s="75">
        <v>9.1192170818510006E-3</v>
      </c>
      <c r="F80" s="8"/>
    </row>
    <row r="81" spans="2:6" ht="15" customHeight="1">
      <c r="B81" s="110"/>
      <c r="C81" s="73" t="s">
        <v>176</v>
      </c>
      <c r="D81" s="74">
        <v>65</v>
      </c>
      <c r="E81" s="75">
        <v>7.2286476868329997E-3</v>
      </c>
      <c r="F81" s="8"/>
    </row>
    <row r="82" spans="2:6" ht="15" customHeight="1">
      <c r="B82" s="110"/>
      <c r="C82" s="73" t="s">
        <v>178</v>
      </c>
      <c r="D82" s="74">
        <v>15</v>
      </c>
      <c r="E82" s="75">
        <v>1.668149466192E-3</v>
      </c>
      <c r="F82" s="8"/>
    </row>
    <row r="83" spans="2:6" ht="15" customHeight="1">
      <c r="B83" s="110"/>
      <c r="C83" s="73" t="s">
        <v>179</v>
      </c>
      <c r="D83" s="74">
        <v>9</v>
      </c>
      <c r="E83" s="75">
        <v>1.000889679715E-3</v>
      </c>
      <c r="F83" s="8"/>
    </row>
    <row r="84" spans="2:6" ht="15" customHeight="1">
      <c r="B84" s="110"/>
      <c r="C84" s="73" t="s">
        <v>180</v>
      </c>
      <c r="D84" s="74">
        <v>6</v>
      </c>
      <c r="E84" s="75">
        <v>6.6725978647699997E-4</v>
      </c>
      <c r="F84" s="8"/>
    </row>
    <row r="85" spans="2:6" ht="15" customHeight="1">
      <c r="B85" s="110"/>
      <c r="C85" s="73" t="s">
        <v>177</v>
      </c>
      <c r="D85" s="74">
        <v>6</v>
      </c>
      <c r="E85" s="75">
        <v>6.6725978647699997E-4</v>
      </c>
      <c r="F85" s="8"/>
    </row>
    <row r="86" spans="2:6" ht="15" customHeight="1">
      <c r="B86" s="110"/>
      <c r="C86" s="73" t="s">
        <v>181</v>
      </c>
      <c r="D86" s="74">
        <v>4</v>
      </c>
      <c r="E86" s="75">
        <v>4.4483985765100001E-4</v>
      </c>
      <c r="F86" s="8"/>
    </row>
    <row r="87" spans="2:6" ht="15" customHeight="1">
      <c r="B87" s="110"/>
      <c r="C87" s="73" t="s">
        <v>183</v>
      </c>
      <c r="D87" s="74">
        <v>3</v>
      </c>
      <c r="E87" s="75">
        <v>3.33629893238E-4</v>
      </c>
      <c r="F87" s="8"/>
    </row>
    <row r="88" spans="2:6" ht="15" customHeight="1">
      <c r="B88" s="110"/>
      <c r="C88" s="73" t="s">
        <v>182</v>
      </c>
      <c r="D88" s="74">
        <v>1</v>
      </c>
      <c r="E88" s="75">
        <v>1.1120996441300001E-4</v>
      </c>
      <c r="F88" s="8"/>
    </row>
    <row r="89" spans="2:6" ht="15" customHeight="1">
      <c r="B89" s="109"/>
      <c r="C89" s="78" t="s">
        <v>12</v>
      </c>
      <c r="D89" s="77">
        <v>191</v>
      </c>
      <c r="E89" s="80">
        <v>2.1241103202847E-2</v>
      </c>
      <c r="F89" s="8"/>
    </row>
    <row r="90" spans="2:6" ht="15" customHeight="1">
      <c r="B90" s="108" t="s">
        <v>82</v>
      </c>
      <c r="C90" s="73" t="s">
        <v>175</v>
      </c>
      <c r="D90" s="74">
        <v>101</v>
      </c>
      <c r="E90" s="75">
        <v>1.1232206405694001E-2</v>
      </c>
      <c r="F90" s="8"/>
    </row>
    <row r="91" spans="2:6" ht="15" customHeight="1">
      <c r="B91" s="110"/>
      <c r="C91" s="73" t="s">
        <v>180</v>
      </c>
      <c r="D91" s="74">
        <v>27</v>
      </c>
      <c r="E91" s="75">
        <v>3.0026690391460002E-3</v>
      </c>
      <c r="F91" s="8"/>
    </row>
    <row r="92" spans="2:6" ht="15" customHeight="1">
      <c r="B92" s="110"/>
      <c r="C92" s="73" t="s">
        <v>176</v>
      </c>
      <c r="D92" s="74">
        <v>27</v>
      </c>
      <c r="E92" s="75">
        <v>3.0026690391460002E-3</v>
      </c>
      <c r="F92" s="8"/>
    </row>
    <row r="93" spans="2:6" ht="15" customHeight="1">
      <c r="B93" s="110"/>
      <c r="C93" s="73" t="s">
        <v>179</v>
      </c>
      <c r="D93" s="74">
        <v>14</v>
      </c>
      <c r="E93" s="75">
        <v>1.5569395017790001E-3</v>
      </c>
      <c r="F93" s="8"/>
    </row>
    <row r="94" spans="2:6" ht="15" customHeight="1">
      <c r="B94" s="110"/>
      <c r="C94" s="73" t="s">
        <v>178</v>
      </c>
      <c r="D94" s="74">
        <v>12</v>
      </c>
      <c r="E94" s="75">
        <v>1.3345195729539999E-3</v>
      </c>
      <c r="F94" s="8"/>
    </row>
    <row r="95" spans="2:6" ht="15" customHeight="1">
      <c r="B95" s="110"/>
      <c r="C95" s="73" t="s">
        <v>185</v>
      </c>
      <c r="D95" s="74">
        <v>4</v>
      </c>
      <c r="E95" s="75">
        <v>4.4483985765100001E-4</v>
      </c>
      <c r="F95" s="8"/>
    </row>
    <row r="96" spans="2:6" ht="15" customHeight="1">
      <c r="B96" s="110"/>
      <c r="C96" s="73" t="s">
        <v>177</v>
      </c>
      <c r="D96" s="74">
        <v>2</v>
      </c>
      <c r="E96" s="75">
        <v>2.2241992882600001E-4</v>
      </c>
      <c r="F96" s="8"/>
    </row>
    <row r="97" spans="2:6" ht="15" customHeight="1">
      <c r="B97" s="110"/>
      <c r="C97" s="73" t="s">
        <v>181</v>
      </c>
      <c r="D97" s="74">
        <v>2</v>
      </c>
      <c r="E97" s="75">
        <v>2.2241992882600001E-4</v>
      </c>
      <c r="F97" s="8"/>
    </row>
    <row r="98" spans="2:6" ht="15" customHeight="1">
      <c r="B98" s="110"/>
      <c r="C98" s="73" t="s">
        <v>186</v>
      </c>
      <c r="D98" s="74">
        <v>1</v>
      </c>
      <c r="E98" s="75">
        <v>1.1120996441300001E-4</v>
      </c>
      <c r="F98" s="8"/>
    </row>
    <row r="99" spans="2:6" ht="15" customHeight="1">
      <c r="B99" s="110"/>
      <c r="C99" s="73" t="s">
        <v>184</v>
      </c>
      <c r="D99" s="74">
        <v>1</v>
      </c>
      <c r="E99" s="75">
        <v>1.1120996441300001E-4</v>
      </c>
      <c r="F99" s="8"/>
    </row>
    <row r="100" spans="2:6" ht="15" customHeight="1">
      <c r="B100" s="109"/>
      <c r="C100" s="78" t="s">
        <v>12</v>
      </c>
      <c r="D100" s="77">
        <v>191</v>
      </c>
      <c r="E100" s="80">
        <v>2.1241103202847E-2</v>
      </c>
      <c r="F100" s="8"/>
    </row>
    <row r="101" spans="2:6" ht="15" customHeight="1">
      <c r="B101" s="108" t="s">
        <v>53</v>
      </c>
      <c r="C101" s="73" t="s">
        <v>175</v>
      </c>
      <c r="D101" s="74">
        <v>103</v>
      </c>
      <c r="E101" s="75">
        <v>1.1454626334519999E-2</v>
      </c>
      <c r="F101" s="8"/>
    </row>
    <row r="102" spans="2:6" ht="15" customHeight="1">
      <c r="B102" s="110"/>
      <c r="C102" s="73" t="s">
        <v>185</v>
      </c>
      <c r="D102" s="74">
        <v>23</v>
      </c>
      <c r="E102" s="75">
        <v>2.5578291814950002E-3</v>
      </c>
      <c r="F102" s="8"/>
    </row>
    <row r="103" spans="2:6" ht="15" customHeight="1">
      <c r="B103" s="110"/>
      <c r="C103" s="73" t="s">
        <v>179</v>
      </c>
      <c r="D103" s="74">
        <v>13</v>
      </c>
      <c r="E103" s="75">
        <v>1.4457295373670001E-3</v>
      </c>
      <c r="F103" s="8"/>
    </row>
    <row r="104" spans="2:6" ht="15" customHeight="1">
      <c r="B104" s="110"/>
      <c r="C104" s="73" t="s">
        <v>180</v>
      </c>
      <c r="D104" s="74">
        <v>10</v>
      </c>
      <c r="E104" s="75">
        <v>1.1120996441279999E-3</v>
      </c>
      <c r="F104" s="8"/>
    </row>
    <row r="105" spans="2:6" ht="15" customHeight="1">
      <c r="B105" s="110"/>
      <c r="C105" s="73" t="s">
        <v>177</v>
      </c>
      <c r="D105" s="74">
        <v>9</v>
      </c>
      <c r="E105" s="75">
        <v>1.000889679715E-3</v>
      </c>
      <c r="F105" s="8"/>
    </row>
    <row r="106" spans="2:6" ht="15" customHeight="1">
      <c r="B106" s="110"/>
      <c r="C106" s="73" t="s">
        <v>178</v>
      </c>
      <c r="D106" s="74">
        <v>8</v>
      </c>
      <c r="E106" s="75">
        <v>8.8967971530200002E-4</v>
      </c>
      <c r="F106" s="8"/>
    </row>
    <row r="107" spans="2:6" ht="15" customHeight="1">
      <c r="B107" s="110"/>
      <c r="C107" s="73" t="s">
        <v>176</v>
      </c>
      <c r="D107" s="74">
        <v>8</v>
      </c>
      <c r="E107" s="75">
        <v>8.8967971530200002E-4</v>
      </c>
      <c r="F107" s="8"/>
    </row>
    <row r="108" spans="2:6" ht="15" customHeight="1">
      <c r="B108" s="110"/>
      <c r="C108" s="73" t="s">
        <v>181</v>
      </c>
      <c r="D108" s="74">
        <v>3</v>
      </c>
      <c r="E108" s="75">
        <v>3.33629893238E-4</v>
      </c>
      <c r="F108" s="8"/>
    </row>
    <row r="109" spans="2:6" ht="15" customHeight="1">
      <c r="B109" s="109"/>
      <c r="C109" s="78" t="s">
        <v>12</v>
      </c>
      <c r="D109" s="77">
        <v>177</v>
      </c>
      <c r="E109" s="80">
        <v>1.9684163701068E-2</v>
      </c>
      <c r="F109" s="8"/>
    </row>
    <row r="110" spans="2:6" ht="15" customHeight="1">
      <c r="B110" s="108" t="s">
        <v>70</v>
      </c>
      <c r="C110" s="73" t="s">
        <v>175</v>
      </c>
      <c r="D110" s="74">
        <v>73</v>
      </c>
      <c r="E110" s="75">
        <v>8.1183274021350005E-3</v>
      </c>
      <c r="F110" s="8"/>
    </row>
    <row r="111" spans="2:6" ht="15" customHeight="1">
      <c r="B111" s="110"/>
      <c r="C111" s="73" t="s">
        <v>176</v>
      </c>
      <c r="D111" s="74">
        <v>35</v>
      </c>
      <c r="E111" s="75">
        <v>3.8923487544480001E-3</v>
      </c>
      <c r="F111" s="8"/>
    </row>
    <row r="112" spans="2:6" ht="15" customHeight="1">
      <c r="B112" s="110"/>
      <c r="C112" s="73" t="s">
        <v>182</v>
      </c>
      <c r="D112" s="74">
        <v>24</v>
      </c>
      <c r="E112" s="75">
        <v>2.6690391459069998E-3</v>
      </c>
      <c r="F112" s="8"/>
    </row>
    <row r="113" spans="2:6" ht="15" customHeight="1">
      <c r="B113" s="110"/>
      <c r="C113" s="73" t="s">
        <v>186</v>
      </c>
      <c r="D113" s="74">
        <v>14</v>
      </c>
      <c r="E113" s="75">
        <v>1.5569395017790001E-3</v>
      </c>
      <c r="F113" s="8"/>
    </row>
    <row r="114" spans="2:6" ht="15" customHeight="1">
      <c r="B114" s="110"/>
      <c r="C114" s="73" t="s">
        <v>178</v>
      </c>
      <c r="D114" s="74">
        <v>10</v>
      </c>
      <c r="E114" s="75">
        <v>1.1120996441279999E-3</v>
      </c>
      <c r="F114" s="8"/>
    </row>
    <row r="115" spans="2:6" ht="15" customHeight="1">
      <c r="B115" s="110"/>
      <c r="C115" s="73" t="s">
        <v>177</v>
      </c>
      <c r="D115" s="74">
        <v>9</v>
      </c>
      <c r="E115" s="75">
        <v>1.000889679715E-3</v>
      </c>
      <c r="F115" s="8"/>
    </row>
    <row r="116" spans="2:6" ht="15" customHeight="1">
      <c r="B116" s="110"/>
      <c r="C116" s="73" t="s">
        <v>179</v>
      </c>
      <c r="D116" s="74">
        <v>5</v>
      </c>
      <c r="E116" s="75">
        <v>5.5604982206399996E-4</v>
      </c>
      <c r="F116" s="8"/>
    </row>
    <row r="117" spans="2:6" ht="15" customHeight="1">
      <c r="B117" s="110"/>
      <c r="C117" s="73" t="s">
        <v>180</v>
      </c>
      <c r="D117" s="74">
        <v>2</v>
      </c>
      <c r="E117" s="75">
        <v>2.2241992882600001E-4</v>
      </c>
      <c r="F117" s="8"/>
    </row>
    <row r="118" spans="2:6" ht="15" customHeight="1">
      <c r="B118" s="110"/>
      <c r="C118" s="73" t="s">
        <v>183</v>
      </c>
      <c r="D118" s="74">
        <v>2</v>
      </c>
      <c r="E118" s="75">
        <v>2.2241992882600001E-4</v>
      </c>
      <c r="F118" s="8"/>
    </row>
    <row r="119" spans="2:6" ht="15" customHeight="1">
      <c r="B119" s="110"/>
      <c r="C119" s="73" t="s">
        <v>185</v>
      </c>
      <c r="D119" s="74">
        <v>1</v>
      </c>
      <c r="E119" s="75">
        <v>1.1120996441300001E-4</v>
      </c>
      <c r="F119" s="8"/>
    </row>
    <row r="120" spans="2:6" ht="15" customHeight="1">
      <c r="B120" s="110"/>
      <c r="C120" s="73" t="s">
        <v>181</v>
      </c>
      <c r="D120" s="74">
        <v>1</v>
      </c>
      <c r="E120" s="75">
        <v>1.1120996441300001E-4</v>
      </c>
      <c r="F120" s="8"/>
    </row>
    <row r="121" spans="2:6" ht="15" customHeight="1">
      <c r="B121" s="109"/>
      <c r="C121" s="78" t="s">
        <v>12</v>
      </c>
      <c r="D121" s="77">
        <v>176</v>
      </c>
      <c r="E121" s="80">
        <v>1.9572953736655001E-2</v>
      </c>
      <c r="F121" s="8"/>
    </row>
    <row r="122" spans="2:6" ht="15" customHeight="1">
      <c r="B122" s="108" t="s">
        <v>54</v>
      </c>
      <c r="C122" s="73" t="s">
        <v>175</v>
      </c>
      <c r="D122" s="74">
        <v>104</v>
      </c>
      <c r="E122" s="75">
        <v>1.1565836298932E-2</v>
      </c>
      <c r="F122" s="8"/>
    </row>
    <row r="123" spans="2:6" ht="15" customHeight="1">
      <c r="B123" s="110"/>
      <c r="C123" s="73" t="s">
        <v>177</v>
      </c>
      <c r="D123" s="74">
        <v>30</v>
      </c>
      <c r="E123" s="75">
        <v>3.336298932384E-3</v>
      </c>
      <c r="F123" s="8"/>
    </row>
    <row r="124" spans="2:6" ht="15" customHeight="1">
      <c r="B124" s="110"/>
      <c r="C124" s="73" t="s">
        <v>179</v>
      </c>
      <c r="D124" s="74">
        <v>10</v>
      </c>
      <c r="E124" s="75">
        <v>1.1120996441279999E-3</v>
      </c>
      <c r="F124" s="8"/>
    </row>
    <row r="125" spans="2:6" ht="15" customHeight="1">
      <c r="B125" s="110"/>
      <c r="C125" s="73" t="s">
        <v>180</v>
      </c>
      <c r="D125" s="74">
        <v>4</v>
      </c>
      <c r="E125" s="75">
        <v>4.4483985765100001E-4</v>
      </c>
      <c r="F125" s="8"/>
    </row>
    <row r="126" spans="2:6" ht="15" customHeight="1">
      <c r="B126" s="110"/>
      <c r="C126" s="73" t="s">
        <v>178</v>
      </c>
      <c r="D126" s="74">
        <v>3</v>
      </c>
      <c r="E126" s="75">
        <v>3.33629893238E-4</v>
      </c>
      <c r="F126" s="8"/>
    </row>
    <row r="127" spans="2:6" ht="15" customHeight="1">
      <c r="B127" s="110"/>
      <c r="C127" s="73" t="s">
        <v>176</v>
      </c>
      <c r="D127" s="74">
        <v>3</v>
      </c>
      <c r="E127" s="75">
        <v>3.33629893238E-4</v>
      </c>
      <c r="F127" s="8"/>
    </row>
    <row r="128" spans="2:6" ht="15" customHeight="1">
      <c r="B128" s="110"/>
      <c r="C128" s="73" t="s">
        <v>181</v>
      </c>
      <c r="D128" s="74">
        <v>1</v>
      </c>
      <c r="E128" s="75">
        <v>1.1120996441300001E-4</v>
      </c>
      <c r="F128" s="8"/>
    </row>
    <row r="129" spans="2:6" ht="15" customHeight="1">
      <c r="B129" s="109"/>
      <c r="C129" s="78" t="s">
        <v>12</v>
      </c>
      <c r="D129" s="77">
        <v>155</v>
      </c>
      <c r="E129" s="80">
        <v>1.7237544483986001E-2</v>
      </c>
      <c r="F129" s="8"/>
    </row>
    <row r="130" spans="2:6" ht="15" customHeight="1">
      <c r="B130" s="108" t="s">
        <v>74</v>
      </c>
      <c r="C130" s="73" t="s">
        <v>175</v>
      </c>
      <c r="D130" s="74">
        <v>62</v>
      </c>
      <c r="E130" s="75">
        <v>6.8950177935940002E-3</v>
      </c>
      <c r="F130" s="8"/>
    </row>
    <row r="131" spans="2:6" ht="15" customHeight="1">
      <c r="B131" s="110"/>
      <c r="C131" s="73" t="s">
        <v>180</v>
      </c>
      <c r="D131" s="74">
        <v>14</v>
      </c>
      <c r="E131" s="75">
        <v>1.5569395017790001E-3</v>
      </c>
      <c r="F131" s="8"/>
    </row>
    <row r="132" spans="2:6" ht="15" customHeight="1">
      <c r="B132" s="110"/>
      <c r="C132" s="73" t="s">
        <v>177</v>
      </c>
      <c r="D132" s="74">
        <v>13</v>
      </c>
      <c r="E132" s="75">
        <v>1.4457295373670001E-3</v>
      </c>
      <c r="F132" s="8"/>
    </row>
    <row r="133" spans="2:6" ht="15" customHeight="1">
      <c r="B133" s="110"/>
      <c r="C133" s="73" t="s">
        <v>176</v>
      </c>
      <c r="D133" s="74">
        <v>11</v>
      </c>
      <c r="E133" s="75">
        <v>1.223309608541E-3</v>
      </c>
      <c r="F133" s="8"/>
    </row>
    <row r="134" spans="2:6" ht="15" customHeight="1">
      <c r="B134" s="110"/>
      <c r="C134" s="73" t="s">
        <v>178</v>
      </c>
      <c r="D134" s="74">
        <v>8</v>
      </c>
      <c r="E134" s="75">
        <v>8.8967971530200002E-4</v>
      </c>
      <c r="F134" s="8"/>
    </row>
    <row r="135" spans="2:6" ht="15" customHeight="1">
      <c r="B135" s="110"/>
      <c r="C135" s="73" t="s">
        <v>179</v>
      </c>
      <c r="D135" s="74">
        <v>3</v>
      </c>
      <c r="E135" s="75">
        <v>3.33629893238E-4</v>
      </c>
      <c r="F135" s="8"/>
    </row>
    <row r="136" spans="2:6" ht="15" customHeight="1">
      <c r="B136" s="110"/>
      <c r="C136" s="73" t="s">
        <v>185</v>
      </c>
      <c r="D136" s="74">
        <v>2</v>
      </c>
      <c r="E136" s="75">
        <v>2.2241992882600001E-4</v>
      </c>
      <c r="F136" s="8"/>
    </row>
    <row r="137" spans="2:6" ht="15" customHeight="1">
      <c r="B137" s="110"/>
      <c r="C137" s="73" t="s">
        <v>181</v>
      </c>
      <c r="D137" s="74">
        <v>2</v>
      </c>
      <c r="E137" s="75">
        <v>2.2241992882600001E-4</v>
      </c>
      <c r="F137" s="8"/>
    </row>
    <row r="138" spans="2:6" ht="15" customHeight="1">
      <c r="B138" s="110"/>
      <c r="C138" s="73" t="s">
        <v>183</v>
      </c>
      <c r="D138" s="74">
        <v>1</v>
      </c>
      <c r="E138" s="75">
        <v>1.1120996441300001E-4</v>
      </c>
      <c r="F138" s="8"/>
    </row>
    <row r="139" spans="2:6" ht="15" customHeight="1">
      <c r="B139" s="109"/>
      <c r="C139" s="78" t="s">
        <v>12</v>
      </c>
      <c r="D139" s="77">
        <v>116</v>
      </c>
      <c r="E139" s="80">
        <v>1.2900355871886E-2</v>
      </c>
      <c r="F139" s="8"/>
    </row>
    <row r="140" spans="2:6" ht="15" customHeight="1">
      <c r="B140" s="108" t="s">
        <v>59</v>
      </c>
      <c r="C140" s="73" t="s">
        <v>175</v>
      </c>
      <c r="D140" s="74">
        <v>50</v>
      </c>
      <c r="E140" s="75">
        <v>5.5604982206409999E-3</v>
      </c>
      <c r="F140" s="8"/>
    </row>
    <row r="141" spans="2:6" ht="15" customHeight="1">
      <c r="B141" s="110"/>
      <c r="C141" s="73" t="s">
        <v>177</v>
      </c>
      <c r="D141" s="74">
        <v>24</v>
      </c>
      <c r="E141" s="75">
        <v>2.6690391459069998E-3</v>
      </c>
      <c r="F141" s="8"/>
    </row>
    <row r="142" spans="2:6" ht="15" customHeight="1">
      <c r="B142" s="110"/>
      <c r="C142" s="73" t="s">
        <v>176</v>
      </c>
      <c r="D142" s="74">
        <v>8</v>
      </c>
      <c r="E142" s="75">
        <v>8.8967971530200002E-4</v>
      </c>
      <c r="F142" s="8"/>
    </row>
    <row r="143" spans="2:6" ht="15" customHeight="1">
      <c r="B143" s="110"/>
      <c r="C143" s="73" t="s">
        <v>178</v>
      </c>
      <c r="D143" s="74">
        <v>7</v>
      </c>
      <c r="E143" s="75">
        <v>7.7846975088999998E-4</v>
      </c>
      <c r="F143" s="8"/>
    </row>
    <row r="144" spans="2:6" ht="15" customHeight="1">
      <c r="B144" s="110"/>
      <c r="C144" s="73" t="s">
        <v>179</v>
      </c>
      <c r="D144" s="74">
        <v>6</v>
      </c>
      <c r="E144" s="75">
        <v>6.6725978647699997E-4</v>
      </c>
      <c r="F144" s="8"/>
    </row>
    <row r="145" spans="2:6" ht="15" customHeight="1">
      <c r="B145" s="110"/>
      <c r="C145" s="73" t="s">
        <v>180</v>
      </c>
      <c r="D145" s="74">
        <v>4</v>
      </c>
      <c r="E145" s="75">
        <v>4.4483985765100001E-4</v>
      </c>
      <c r="F145" s="8"/>
    </row>
    <row r="146" spans="2:6" ht="15" customHeight="1">
      <c r="B146" s="110"/>
      <c r="C146" s="73" t="s">
        <v>182</v>
      </c>
      <c r="D146" s="74">
        <v>3</v>
      </c>
      <c r="E146" s="75">
        <v>3.33629893238E-4</v>
      </c>
      <c r="F146" s="8"/>
    </row>
    <row r="147" spans="2:6" ht="15" customHeight="1">
      <c r="B147" s="110"/>
      <c r="C147" s="73" t="s">
        <v>184</v>
      </c>
      <c r="D147" s="74">
        <v>1</v>
      </c>
      <c r="E147" s="75">
        <v>1.1120996441300001E-4</v>
      </c>
      <c r="F147" s="8"/>
    </row>
    <row r="148" spans="2:6" ht="15" customHeight="1">
      <c r="B148" s="109"/>
      <c r="C148" s="78" t="s">
        <v>12</v>
      </c>
      <c r="D148" s="77">
        <v>103</v>
      </c>
      <c r="E148" s="80">
        <v>1.1454626334519999E-2</v>
      </c>
      <c r="F148" s="8"/>
    </row>
    <row r="149" spans="2:6" ht="15" customHeight="1">
      <c r="B149" s="108" t="s">
        <v>60</v>
      </c>
      <c r="C149" s="73" t="s">
        <v>175</v>
      </c>
      <c r="D149" s="74">
        <v>46</v>
      </c>
      <c r="E149" s="75">
        <v>5.1156583629890003E-3</v>
      </c>
      <c r="F149" s="8"/>
    </row>
    <row r="150" spans="2:6" ht="15" customHeight="1">
      <c r="B150" s="110"/>
      <c r="C150" s="73" t="s">
        <v>178</v>
      </c>
      <c r="D150" s="74">
        <v>14</v>
      </c>
      <c r="E150" s="75">
        <v>1.5569395017790001E-3</v>
      </c>
      <c r="F150" s="8"/>
    </row>
    <row r="151" spans="2:6" ht="15" customHeight="1">
      <c r="B151" s="110"/>
      <c r="C151" s="73" t="s">
        <v>181</v>
      </c>
      <c r="D151" s="74">
        <v>13</v>
      </c>
      <c r="E151" s="75">
        <v>1.4457295373670001E-3</v>
      </c>
      <c r="F151" s="8"/>
    </row>
    <row r="152" spans="2:6" ht="15" customHeight="1">
      <c r="B152" s="110"/>
      <c r="C152" s="73" t="s">
        <v>176</v>
      </c>
      <c r="D152" s="74">
        <v>11</v>
      </c>
      <c r="E152" s="75">
        <v>1.223309608541E-3</v>
      </c>
      <c r="F152" s="8"/>
    </row>
    <row r="153" spans="2:6" ht="15" customHeight="1">
      <c r="B153" s="110"/>
      <c r="C153" s="73" t="s">
        <v>179</v>
      </c>
      <c r="D153" s="74">
        <v>9</v>
      </c>
      <c r="E153" s="75">
        <v>1.000889679715E-3</v>
      </c>
      <c r="F153" s="8"/>
    </row>
    <row r="154" spans="2:6" ht="15" customHeight="1">
      <c r="B154" s="110"/>
      <c r="C154" s="73" t="s">
        <v>177</v>
      </c>
      <c r="D154" s="74">
        <v>3</v>
      </c>
      <c r="E154" s="75">
        <v>3.33629893238E-4</v>
      </c>
      <c r="F154" s="8"/>
    </row>
    <row r="155" spans="2:6" ht="15" customHeight="1">
      <c r="B155" s="110"/>
      <c r="C155" s="73" t="s">
        <v>180</v>
      </c>
      <c r="D155" s="74">
        <v>2</v>
      </c>
      <c r="E155" s="75">
        <v>2.2241992882600001E-4</v>
      </c>
      <c r="F155" s="8"/>
    </row>
    <row r="156" spans="2:6" ht="15" customHeight="1">
      <c r="B156" s="110"/>
      <c r="C156" s="73" t="s">
        <v>186</v>
      </c>
      <c r="D156" s="74">
        <v>2</v>
      </c>
      <c r="E156" s="75">
        <v>2.2241992882600001E-4</v>
      </c>
      <c r="F156" s="8"/>
    </row>
    <row r="157" spans="2:6" ht="15" customHeight="1">
      <c r="B157" s="110"/>
      <c r="C157" s="73" t="s">
        <v>183</v>
      </c>
      <c r="D157" s="74">
        <v>1</v>
      </c>
      <c r="E157" s="75">
        <v>1.1120996441300001E-4</v>
      </c>
      <c r="F157" s="8"/>
    </row>
    <row r="158" spans="2:6" ht="15" customHeight="1">
      <c r="B158" s="109"/>
      <c r="C158" s="78" t="s">
        <v>12</v>
      </c>
      <c r="D158" s="77">
        <v>101</v>
      </c>
      <c r="E158" s="80">
        <v>1.1232206405694001E-2</v>
      </c>
      <c r="F158" s="8"/>
    </row>
    <row r="159" spans="2:6" ht="15" customHeight="1">
      <c r="B159" s="108" t="s">
        <v>46</v>
      </c>
      <c r="C159" s="73" t="s">
        <v>175</v>
      </c>
      <c r="D159" s="74">
        <v>65</v>
      </c>
      <c r="E159" s="75">
        <v>7.2286476868329997E-3</v>
      </c>
      <c r="F159" s="8"/>
    </row>
    <row r="160" spans="2:6" ht="15" customHeight="1">
      <c r="B160" s="110"/>
      <c r="C160" s="73" t="s">
        <v>179</v>
      </c>
      <c r="D160" s="74">
        <v>9</v>
      </c>
      <c r="E160" s="75">
        <v>1.000889679715E-3</v>
      </c>
      <c r="F160" s="8"/>
    </row>
    <row r="161" spans="2:6" ht="15" customHeight="1">
      <c r="B161" s="110"/>
      <c r="C161" s="73" t="s">
        <v>178</v>
      </c>
      <c r="D161" s="74">
        <v>8</v>
      </c>
      <c r="E161" s="75">
        <v>8.8967971530200002E-4</v>
      </c>
      <c r="F161" s="8"/>
    </row>
    <row r="162" spans="2:6" ht="15" customHeight="1">
      <c r="B162" s="110"/>
      <c r="C162" s="73" t="s">
        <v>176</v>
      </c>
      <c r="D162" s="74">
        <v>7</v>
      </c>
      <c r="E162" s="75">
        <v>7.7846975088999998E-4</v>
      </c>
      <c r="F162" s="8"/>
    </row>
    <row r="163" spans="2:6" ht="15" customHeight="1">
      <c r="B163" s="110"/>
      <c r="C163" s="73" t="s">
        <v>177</v>
      </c>
      <c r="D163" s="74">
        <v>3</v>
      </c>
      <c r="E163" s="75">
        <v>3.33629893238E-4</v>
      </c>
      <c r="F163" s="8"/>
    </row>
    <row r="164" spans="2:6" ht="15" customHeight="1">
      <c r="B164" s="110"/>
      <c r="C164" s="73" t="s">
        <v>183</v>
      </c>
      <c r="D164" s="74">
        <v>3</v>
      </c>
      <c r="E164" s="75">
        <v>3.33629893238E-4</v>
      </c>
      <c r="F164" s="8"/>
    </row>
    <row r="165" spans="2:6" ht="15" customHeight="1">
      <c r="B165" s="110"/>
      <c r="C165" s="73" t="s">
        <v>181</v>
      </c>
      <c r="D165" s="74">
        <v>2</v>
      </c>
      <c r="E165" s="75">
        <v>2.2241992882600001E-4</v>
      </c>
      <c r="F165" s="8"/>
    </row>
    <row r="166" spans="2:6" ht="15" customHeight="1">
      <c r="B166" s="110"/>
      <c r="C166" s="73" t="s">
        <v>180</v>
      </c>
      <c r="D166" s="74">
        <v>1</v>
      </c>
      <c r="E166" s="75">
        <v>1.1120996441300001E-4</v>
      </c>
      <c r="F166" s="8"/>
    </row>
    <row r="167" spans="2:6" ht="15" customHeight="1">
      <c r="B167" s="110"/>
      <c r="C167" s="73" t="s">
        <v>186</v>
      </c>
      <c r="D167" s="74">
        <v>1</v>
      </c>
      <c r="E167" s="75">
        <v>1.1120996441300001E-4</v>
      </c>
      <c r="F167" s="8"/>
    </row>
    <row r="168" spans="2:6" ht="15" customHeight="1">
      <c r="B168" s="109"/>
      <c r="C168" s="78" t="s">
        <v>12</v>
      </c>
      <c r="D168" s="77">
        <v>99</v>
      </c>
      <c r="E168" s="80">
        <v>1.1009786476868001E-2</v>
      </c>
      <c r="F168" s="8"/>
    </row>
    <row r="169" spans="2:6" ht="15" customHeight="1">
      <c r="B169" s="108" t="s">
        <v>64</v>
      </c>
      <c r="C169" s="73" t="s">
        <v>175</v>
      </c>
      <c r="D169" s="74">
        <v>70</v>
      </c>
      <c r="E169" s="75">
        <v>7.7846975088970002E-3</v>
      </c>
      <c r="F169" s="8"/>
    </row>
    <row r="170" spans="2:6" ht="15" customHeight="1">
      <c r="B170" s="110"/>
      <c r="C170" s="73" t="s">
        <v>179</v>
      </c>
      <c r="D170" s="74">
        <v>7</v>
      </c>
      <c r="E170" s="75">
        <v>7.7846975088999998E-4</v>
      </c>
      <c r="F170" s="8"/>
    </row>
    <row r="171" spans="2:6" ht="15" customHeight="1">
      <c r="B171" s="110"/>
      <c r="C171" s="73" t="s">
        <v>180</v>
      </c>
      <c r="D171" s="74">
        <v>6</v>
      </c>
      <c r="E171" s="75">
        <v>6.6725978647699997E-4</v>
      </c>
      <c r="F171" s="8"/>
    </row>
    <row r="172" spans="2:6" ht="15" customHeight="1">
      <c r="B172" s="110"/>
      <c r="C172" s="73" t="s">
        <v>177</v>
      </c>
      <c r="D172" s="74">
        <v>5</v>
      </c>
      <c r="E172" s="75">
        <v>5.5604982206399996E-4</v>
      </c>
      <c r="F172" s="8"/>
    </row>
    <row r="173" spans="2:6" ht="15" customHeight="1">
      <c r="B173" s="110"/>
      <c r="C173" s="73" t="s">
        <v>178</v>
      </c>
      <c r="D173" s="74">
        <v>5</v>
      </c>
      <c r="E173" s="75">
        <v>5.5604982206399996E-4</v>
      </c>
      <c r="F173" s="8"/>
    </row>
    <row r="174" spans="2:6" ht="15" customHeight="1">
      <c r="B174" s="110"/>
      <c r="C174" s="73" t="s">
        <v>176</v>
      </c>
      <c r="D174" s="74">
        <v>3</v>
      </c>
      <c r="E174" s="75">
        <v>3.33629893238E-4</v>
      </c>
      <c r="F174" s="8"/>
    </row>
    <row r="175" spans="2:6" ht="15" customHeight="1">
      <c r="B175" s="109"/>
      <c r="C175" s="78" t="s">
        <v>12</v>
      </c>
      <c r="D175" s="77">
        <v>96</v>
      </c>
      <c r="E175" s="80">
        <v>1.0676156583629999E-2</v>
      </c>
      <c r="F175" s="8"/>
    </row>
    <row r="176" spans="2:6" ht="15" customHeight="1">
      <c r="B176" s="108" t="s">
        <v>58</v>
      </c>
      <c r="C176" s="73" t="s">
        <v>175</v>
      </c>
      <c r="D176" s="74">
        <v>55</v>
      </c>
      <c r="E176" s="75">
        <v>6.1165480427050004E-3</v>
      </c>
      <c r="F176" s="8"/>
    </row>
    <row r="177" spans="2:6" ht="15" customHeight="1">
      <c r="B177" s="110"/>
      <c r="C177" s="73" t="s">
        <v>179</v>
      </c>
      <c r="D177" s="74">
        <v>19</v>
      </c>
      <c r="E177" s="75">
        <v>2.1129893238430002E-3</v>
      </c>
      <c r="F177" s="8"/>
    </row>
    <row r="178" spans="2:6" ht="15" customHeight="1">
      <c r="B178" s="110"/>
      <c r="C178" s="73" t="s">
        <v>178</v>
      </c>
      <c r="D178" s="74">
        <v>6</v>
      </c>
      <c r="E178" s="75">
        <v>6.6725978647699997E-4</v>
      </c>
      <c r="F178" s="8"/>
    </row>
    <row r="179" spans="2:6" ht="15" customHeight="1">
      <c r="B179" s="110"/>
      <c r="C179" s="73" t="s">
        <v>181</v>
      </c>
      <c r="D179" s="74">
        <v>6</v>
      </c>
      <c r="E179" s="75">
        <v>6.6725978647699997E-4</v>
      </c>
      <c r="F179" s="8"/>
    </row>
    <row r="180" spans="2:6" ht="15" customHeight="1">
      <c r="B180" s="110"/>
      <c r="C180" s="73" t="s">
        <v>176</v>
      </c>
      <c r="D180" s="74">
        <v>4</v>
      </c>
      <c r="E180" s="75">
        <v>4.4483985765100001E-4</v>
      </c>
      <c r="F180" s="8"/>
    </row>
    <row r="181" spans="2:6" ht="15" customHeight="1">
      <c r="B181" s="110"/>
      <c r="C181" s="73" t="s">
        <v>180</v>
      </c>
      <c r="D181" s="74">
        <v>1</v>
      </c>
      <c r="E181" s="75">
        <v>1.1120996441300001E-4</v>
      </c>
      <c r="F181" s="8"/>
    </row>
    <row r="182" spans="2:6" ht="15" customHeight="1">
      <c r="B182" s="110"/>
      <c r="C182" s="73" t="s">
        <v>177</v>
      </c>
      <c r="D182" s="74">
        <v>1</v>
      </c>
      <c r="E182" s="75">
        <v>1.1120996441300001E-4</v>
      </c>
      <c r="F182" s="8"/>
    </row>
    <row r="183" spans="2:6" ht="15" customHeight="1">
      <c r="B183" s="110"/>
      <c r="C183" s="73" t="s">
        <v>185</v>
      </c>
      <c r="D183" s="74">
        <v>1</v>
      </c>
      <c r="E183" s="75">
        <v>1.1120996441300001E-4</v>
      </c>
      <c r="F183" s="8"/>
    </row>
    <row r="184" spans="2:6" ht="15" customHeight="1">
      <c r="B184" s="109"/>
      <c r="C184" s="78" t="s">
        <v>12</v>
      </c>
      <c r="D184" s="77">
        <v>93</v>
      </c>
      <c r="E184" s="80">
        <v>1.0342526690391001E-2</v>
      </c>
      <c r="F184" s="8"/>
    </row>
    <row r="185" spans="2:6" ht="15" customHeight="1">
      <c r="B185" s="108" t="s">
        <v>84</v>
      </c>
      <c r="C185" s="73" t="s">
        <v>175</v>
      </c>
      <c r="D185" s="74">
        <v>30</v>
      </c>
      <c r="E185" s="75">
        <v>3.336298932384E-3</v>
      </c>
      <c r="F185" s="8"/>
    </row>
    <row r="186" spans="2:6" ht="15" customHeight="1">
      <c r="B186" s="110"/>
      <c r="C186" s="73" t="s">
        <v>176</v>
      </c>
      <c r="D186" s="74">
        <v>26</v>
      </c>
      <c r="E186" s="75">
        <v>2.891459074733E-3</v>
      </c>
      <c r="F186" s="8"/>
    </row>
    <row r="187" spans="2:6" ht="15" customHeight="1">
      <c r="B187" s="110"/>
      <c r="C187" s="73" t="s">
        <v>178</v>
      </c>
      <c r="D187" s="74">
        <v>14</v>
      </c>
      <c r="E187" s="75">
        <v>1.5569395017790001E-3</v>
      </c>
      <c r="F187" s="8"/>
    </row>
    <row r="188" spans="2:6" ht="15" customHeight="1">
      <c r="B188" s="110"/>
      <c r="C188" s="73" t="s">
        <v>177</v>
      </c>
      <c r="D188" s="74">
        <v>6</v>
      </c>
      <c r="E188" s="75">
        <v>6.6725978647699997E-4</v>
      </c>
      <c r="F188" s="8"/>
    </row>
    <row r="189" spans="2:6" ht="15" customHeight="1">
      <c r="B189" s="110"/>
      <c r="C189" s="73" t="s">
        <v>179</v>
      </c>
      <c r="D189" s="74">
        <v>5</v>
      </c>
      <c r="E189" s="75">
        <v>5.5604982206399996E-4</v>
      </c>
      <c r="F189" s="8"/>
    </row>
    <row r="190" spans="2:6" ht="15" customHeight="1">
      <c r="B190" s="110"/>
      <c r="C190" s="73" t="s">
        <v>182</v>
      </c>
      <c r="D190" s="74">
        <v>3</v>
      </c>
      <c r="E190" s="75">
        <v>3.33629893238E-4</v>
      </c>
      <c r="F190" s="8"/>
    </row>
    <row r="191" spans="2:6" ht="15" customHeight="1">
      <c r="B191" s="110"/>
      <c r="C191" s="73" t="s">
        <v>183</v>
      </c>
      <c r="D191" s="74">
        <v>3</v>
      </c>
      <c r="E191" s="75">
        <v>3.33629893238E-4</v>
      </c>
      <c r="F191" s="8"/>
    </row>
    <row r="192" spans="2:6" ht="15" customHeight="1">
      <c r="B192" s="110"/>
      <c r="C192" s="73" t="s">
        <v>180</v>
      </c>
      <c r="D192" s="74">
        <v>2</v>
      </c>
      <c r="E192" s="75">
        <v>2.2241992882600001E-4</v>
      </c>
      <c r="F192" s="8"/>
    </row>
    <row r="193" spans="2:6" ht="15" customHeight="1">
      <c r="B193" s="109"/>
      <c r="C193" s="78" t="s">
        <v>12</v>
      </c>
      <c r="D193" s="77">
        <v>89</v>
      </c>
      <c r="E193" s="80">
        <v>9.8976868327399995E-3</v>
      </c>
      <c r="F193" s="8"/>
    </row>
    <row r="194" spans="2:6" ht="15" customHeight="1">
      <c r="B194" s="108" t="s">
        <v>69</v>
      </c>
      <c r="C194" s="73" t="s">
        <v>175</v>
      </c>
      <c r="D194" s="74">
        <v>36</v>
      </c>
      <c r="E194" s="75">
        <v>4.0035587188610002E-3</v>
      </c>
      <c r="F194" s="8"/>
    </row>
    <row r="195" spans="2:6" ht="15" customHeight="1">
      <c r="B195" s="110"/>
      <c r="C195" s="73" t="s">
        <v>176</v>
      </c>
      <c r="D195" s="74">
        <v>34</v>
      </c>
      <c r="E195" s="75">
        <v>3.781138790036E-3</v>
      </c>
      <c r="F195" s="8"/>
    </row>
    <row r="196" spans="2:6" ht="15" customHeight="1">
      <c r="B196" s="110"/>
      <c r="C196" s="73" t="s">
        <v>178</v>
      </c>
      <c r="D196" s="74">
        <v>7</v>
      </c>
      <c r="E196" s="75">
        <v>7.7846975088999998E-4</v>
      </c>
      <c r="F196" s="8"/>
    </row>
    <row r="197" spans="2:6" ht="15" customHeight="1">
      <c r="B197" s="110"/>
      <c r="C197" s="73" t="s">
        <v>179</v>
      </c>
      <c r="D197" s="74">
        <v>6</v>
      </c>
      <c r="E197" s="75">
        <v>6.6725978647699997E-4</v>
      </c>
      <c r="F197" s="8"/>
    </row>
    <row r="198" spans="2:6" ht="15" customHeight="1">
      <c r="B198" s="110"/>
      <c r="C198" s="73" t="s">
        <v>180</v>
      </c>
      <c r="D198" s="74">
        <v>2</v>
      </c>
      <c r="E198" s="75">
        <v>2.2241992882600001E-4</v>
      </c>
      <c r="F198" s="8"/>
    </row>
    <row r="199" spans="2:6" ht="15" customHeight="1">
      <c r="B199" s="110"/>
      <c r="C199" s="73" t="s">
        <v>182</v>
      </c>
      <c r="D199" s="74">
        <v>1</v>
      </c>
      <c r="E199" s="75">
        <v>1.1120996441300001E-4</v>
      </c>
      <c r="F199" s="8"/>
    </row>
    <row r="200" spans="2:6" ht="15" customHeight="1">
      <c r="B200" s="110"/>
      <c r="C200" s="73" t="s">
        <v>186</v>
      </c>
      <c r="D200" s="74">
        <v>1</v>
      </c>
      <c r="E200" s="75">
        <v>1.1120996441300001E-4</v>
      </c>
      <c r="F200" s="8"/>
    </row>
    <row r="201" spans="2:6" ht="15" customHeight="1">
      <c r="B201" s="109"/>
      <c r="C201" s="78" t="s">
        <v>12</v>
      </c>
      <c r="D201" s="77">
        <v>87</v>
      </c>
      <c r="E201" s="80">
        <v>9.6752669039150002E-3</v>
      </c>
      <c r="F201" s="8"/>
    </row>
    <row r="202" spans="2:6" ht="15" customHeight="1">
      <c r="B202" s="108" t="s">
        <v>72</v>
      </c>
      <c r="C202" s="73" t="s">
        <v>175</v>
      </c>
      <c r="D202" s="74">
        <v>35</v>
      </c>
      <c r="E202" s="75">
        <v>3.8923487544480001E-3</v>
      </c>
      <c r="F202" s="8"/>
    </row>
    <row r="203" spans="2:6" ht="15" customHeight="1">
      <c r="B203" s="110"/>
      <c r="C203" s="73" t="s">
        <v>176</v>
      </c>
      <c r="D203" s="74">
        <v>11</v>
      </c>
      <c r="E203" s="75">
        <v>1.223309608541E-3</v>
      </c>
      <c r="F203" s="8"/>
    </row>
    <row r="204" spans="2:6" ht="15" customHeight="1">
      <c r="B204" s="110"/>
      <c r="C204" s="73" t="s">
        <v>179</v>
      </c>
      <c r="D204" s="74">
        <v>9</v>
      </c>
      <c r="E204" s="75">
        <v>1.000889679715E-3</v>
      </c>
      <c r="F204" s="8"/>
    </row>
    <row r="205" spans="2:6" ht="15" customHeight="1">
      <c r="B205" s="110"/>
      <c r="C205" s="73" t="s">
        <v>182</v>
      </c>
      <c r="D205" s="74">
        <v>8</v>
      </c>
      <c r="E205" s="75">
        <v>8.8967971530200002E-4</v>
      </c>
      <c r="F205" s="8"/>
    </row>
    <row r="206" spans="2:6" ht="15" customHeight="1">
      <c r="B206" s="110"/>
      <c r="C206" s="73" t="s">
        <v>178</v>
      </c>
      <c r="D206" s="74">
        <v>4</v>
      </c>
      <c r="E206" s="75">
        <v>4.4483985765100001E-4</v>
      </c>
      <c r="F206" s="8"/>
    </row>
    <row r="207" spans="2:6" ht="15" customHeight="1">
      <c r="B207" s="110"/>
      <c r="C207" s="73" t="s">
        <v>180</v>
      </c>
      <c r="D207" s="74">
        <v>2</v>
      </c>
      <c r="E207" s="75">
        <v>2.2241992882600001E-4</v>
      </c>
      <c r="F207" s="8"/>
    </row>
    <row r="208" spans="2:6" ht="15" customHeight="1">
      <c r="B208" s="110"/>
      <c r="C208" s="73" t="s">
        <v>177</v>
      </c>
      <c r="D208" s="74">
        <v>2</v>
      </c>
      <c r="E208" s="75">
        <v>2.2241992882600001E-4</v>
      </c>
      <c r="F208" s="8"/>
    </row>
    <row r="209" spans="2:6" ht="15" customHeight="1">
      <c r="B209" s="110"/>
      <c r="C209" s="73" t="s">
        <v>184</v>
      </c>
      <c r="D209" s="74">
        <v>1</v>
      </c>
      <c r="E209" s="75">
        <v>1.1120996441300001E-4</v>
      </c>
      <c r="F209" s="8"/>
    </row>
    <row r="210" spans="2:6" ht="15" customHeight="1">
      <c r="B210" s="110"/>
      <c r="C210" s="73" t="s">
        <v>183</v>
      </c>
      <c r="D210" s="74">
        <v>1</v>
      </c>
      <c r="E210" s="75">
        <v>1.1120996441300001E-4</v>
      </c>
      <c r="F210" s="8"/>
    </row>
    <row r="211" spans="2:6" ht="15" customHeight="1">
      <c r="B211" s="109"/>
      <c r="C211" s="78" t="s">
        <v>12</v>
      </c>
      <c r="D211" s="77">
        <v>73</v>
      </c>
      <c r="E211" s="80">
        <v>8.1183274021350005E-3</v>
      </c>
      <c r="F211" s="8"/>
    </row>
    <row r="212" spans="2:6" ht="15" customHeight="1">
      <c r="B212" s="108" t="s">
        <v>76</v>
      </c>
      <c r="C212" s="73" t="s">
        <v>175</v>
      </c>
      <c r="D212" s="74">
        <v>34</v>
      </c>
      <c r="E212" s="75">
        <v>3.781138790036E-3</v>
      </c>
      <c r="F212" s="8"/>
    </row>
    <row r="213" spans="2:6" ht="15" customHeight="1">
      <c r="B213" s="110"/>
      <c r="C213" s="73" t="s">
        <v>178</v>
      </c>
      <c r="D213" s="74">
        <v>9</v>
      </c>
      <c r="E213" s="75">
        <v>1.000889679715E-3</v>
      </c>
      <c r="F213" s="8"/>
    </row>
    <row r="214" spans="2:6" ht="15" customHeight="1">
      <c r="B214" s="110"/>
      <c r="C214" s="73" t="s">
        <v>176</v>
      </c>
      <c r="D214" s="74">
        <v>6</v>
      </c>
      <c r="E214" s="75">
        <v>6.6725978647699997E-4</v>
      </c>
      <c r="F214" s="8"/>
    </row>
    <row r="215" spans="2:6" ht="15" customHeight="1">
      <c r="B215" s="110"/>
      <c r="C215" s="73" t="s">
        <v>177</v>
      </c>
      <c r="D215" s="74">
        <v>5</v>
      </c>
      <c r="E215" s="75">
        <v>5.5604982206399996E-4</v>
      </c>
      <c r="F215" s="8"/>
    </row>
    <row r="216" spans="2:6" ht="15" customHeight="1">
      <c r="B216" s="110"/>
      <c r="C216" s="73" t="s">
        <v>180</v>
      </c>
      <c r="D216" s="74">
        <v>4</v>
      </c>
      <c r="E216" s="75">
        <v>4.4483985765100001E-4</v>
      </c>
      <c r="F216" s="8"/>
    </row>
    <row r="217" spans="2:6" ht="15" customHeight="1">
      <c r="B217" s="110"/>
      <c r="C217" s="73" t="s">
        <v>179</v>
      </c>
      <c r="D217" s="74">
        <v>3</v>
      </c>
      <c r="E217" s="75">
        <v>3.33629893238E-4</v>
      </c>
      <c r="F217" s="8"/>
    </row>
    <row r="218" spans="2:6" ht="15" customHeight="1">
      <c r="B218" s="110"/>
      <c r="C218" s="73" t="s">
        <v>186</v>
      </c>
      <c r="D218" s="74">
        <v>1</v>
      </c>
      <c r="E218" s="75">
        <v>1.1120996441300001E-4</v>
      </c>
      <c r="F218" s="8"/>
    </row>
    <row r="219" spans="2:6" ht="15" customHeight="1">
      <c r="B219" s="109"/>
      <c r="C219" s="78" t="s">
        <v>12</v>
      </c>
      <c r="D219" s="77">
        <v>62</v>
      </c>
      <c r="E219" s="80">
        <v>6.8950177935940002E-3</v>
      </c>
      <c r="F219" s="8"/>
    </row>
    <row r="220" spans="2:6" ht="15" customHeight="1">
      <c r="B220" s="108" t="s">
        <v>67</v>
      </c>
      <c r="C220" s="73" t="s">
        <v>175</v>
      </c>
      <c r="D220" s="74">
        <v>31</v>
      </c>
      <c r="E220" s="75">
        <v>3.4475088967970001E-3</v>
      </c>
      <c r="F220" s="8"/>
    </row>
    <row r="221" spans="2:6" ht="15" customHeight="1">
      <c r="B221" s="110"/>
      <c r="C221" s="73" t="s">
        <v>176</v>
      </c>
      <c r="D221" s="74">
        <v>12</v>
      </c>
      <c r="E221" s="75">
        <v>1.3345195729539999E-3</v>
      </c>
      <c r="F221" s="8"/>
    </row>
    <row r="222" spans="2:6" ht="15" customHeight="1">
      <c r="B222" s="110"/>
      <c r="C222" s="73" t="s">
        <v>178</v>
      </c>
      <c r="D222" s="74">
        <v>7</v>
      </c>
      <c r="E222" s="75">
        <v>7.7846975088999998E-4</v>
      </c>
      <c r="F222" s="8"/>
    </row>
    <row r="223" spans="2:6" ht="15" customHeight="1">
      <c r="B223" s="110"/>
      <c r="C223" s="73" t="s">
        <v>177</v>
      </c>
      <c r="D223" s="74">
        <v>3</v>
      </c>
      <c r="E223" s="75">
        <v>3.33629893238E-4</v>
      </c>
      <c r="F223" s="8"/>
    </row>
    <row r="224" spans="2:6" ht="15" customHeight="1">
      <c r="B224" s="110"/>
      <c r="C224" s="73" t="s">
        <v>179</v>
      </c>
      <c r="D224" s="74">
        <v>3</v>
      </c>
      <c r="E224" s="75">
        <v>3.33629893238E-4</v>
      </c>
      <c r="F224" s="8"/>
    </row>
    <row r="225" spans="2:6" ht="15" customHeight="1">
      <c r="B225" s="110"/>
      <c r="C225" s="73" t="s">
        <v>182</v>
      </c>
      <c r="D225" s="74">
        <v>2</v>
      </c>
      <c r="E225" s="75">
        <v>2.2241992882600001E-4</v>
      </c>
      <c r="F225" s="8"/>
    </row>
    <row r="226" spans="2:6" ht="15" customHeight="1">
      <c r="B226" s="110"/>
      <c r="C226" s="73" t="s">
        <v>181</v>
      </c>
      <c r="D226" s="74">
        <v>1</v>
      </c>
      <c r="E226" s="75">
        <v>1.1120996441300001E-4</v>
      </c>
      <c r="F226" s="8"/>
    </row>
    <row r="227" spans="2:6" ht="15" customHeight="1">
      <c r="B227" s="109"/>
      <c r="C227" s="78" t="s">
        <v>12</v>
      </c>
      <c r="D227" s="77">
        <v>59</v>
      </c>
      <c r="E227" s="80">
        <v>6.5613879003559999E-3</v>
      </c>
      <c r="F227" s="8"/>
    </row>
    <row r="228" spans="2:6" ht="15" customHeight="1">
      <c r="B228" s="108" t="s">
        <v>65</v>
      </c>
      <c r="C228" s="73" t="s">
        <v>175</v>
      </c>
      <c r="D228" s="74">
        <v>37</v>
      </c>
      <c r="E228" s="75">
        <v>4.1147686832740003E-3</v>
      </c>
      <c r="F228" s="8"/>
    </row>
    <row r="229" spans="2:6" ht="15" customHeight="1">
      <c r="B229" s="110"/>
      <c r="C229" s="73" t="s">
        <v>177</v>
      </c>
      <c r="D229" s="74">
        <v>7</v>
      </c>
      <c r="E229" s="75">
        <v>7.7846975088999998E-4</v>
      </c>
      <c r="F229" s="8"/>
    </row>
    <row r="230" spans="2:6" ht="15" customHeight="1">
      <c r="B230" s="110"/>
      <c r="C230" s="73" t="s">
        <v>179</v>
      </c>
      <c r="D230" s="74">
        <v>7</v>
      </c>
      <c r="E230" s="75">
        <v>7.7846975088999998E-4</v>
      </c>
      <c r="F230" s="8"/>
    </row>
    <row r="231" spans="2:6" ht="15" customHeight="1">
      <c r="B231" s="109"/>
      <c r="C231" s="78" t="s">
        <v>12</v>
      </c>
      <c r="D231" s="77">
        <v>51</v>
      </c>
      <c r="E231" s="80">
        <v>5.671708185053E-3</v>
      </c>
      <c r="F231" s="8"/>
    </row>
    <row r="232" spans="2:6" ht="15" customHeight="1">
      <c r="B232" s="108" t="s">
        <v>86</v>
      </c>
      <c r="C232" s="73" t="s">
        <v>175</v>
      </c>
      <c r="D232" s="74">
        <v>32</v>
      </c>
      <c r="E232" s="75">
        <v>3.5587188612099998E-3</v>
      </c>
      <c r="F232" s="8"/>
    </row>
    <row r="233" spans="2:6" ht="15" customHeight="1">
      <c r="B233" s="110"/>
      <c r="C233" s="73" t="s">
        <v>177</v>
      </c>
      <c r="D233" s="74">
        <v>5</v>
      </c>
      <c r="E233" s="75">
        <v>5.5604982206399996E-4</v>
      </c>
      <c r="F233" s="8"/>
    </row>
    <row r="234" spans="2:6" ht="15" customHeight="1">
      <c r="B234" s="110"/>
      <c r="C234" s="73" t="s">
        <v>179</v>
      </c>
      <c r="D234" s="74">
        <v>4</v>
      </c>
      <c r="E234" s="75">
        <v>4.4483985765100001E-4</v>
      </c>
      <c r="F234" s="8"/>
    </row>
    <row r="235" spans="2:6" ht="15" customHeight="1">
      <c r="B235" s="110"/>
      <c r="C235" s="73" t="s">
        <v>178</v>
      </c>
      <c r="D235" s="74">
        <v>4</v>
      </c>
      <c r="E235" s="75">
        <v>4.4483985765100001E-4</v>
      </c>
      <c r="F235" s="8"/>
    </row>
    <row r="236" spans="2:6" ht="15" customHeight="1">
      <c r="B236" s="110"/>
      <c r="C236" s="73" t="s">
        <v>176</v>
      </c>
      <c r="D236" s="74">
        <v>3</v>
      </c>
      <c r="E236" s="75">
        <v>3.33629893238E-4</v>
      </c>
      <c r="F236" s="8"/>
    </row>
    <row r="237" spans="2:6" ht="15" customHeight="1">
      <c r="B237" s="110"/>
      <c r="C237" s="73" t="s">
        <v>184</v>
      </c>
      <c r="D237" s="74">
        <v>2</v>
      </c>
      <c r="E237" s="75">
        <v>2.2241992882600001E-4</v>
      </c>
      <c r="F237" s="8"/>
    </row>
    <row r="238" spans="2:6" ht="15" customHeight="1">
      <c r="B238" s="110"/>
      <c r="C238" s="73" t="s">
        <v>185</v>
      </c>
      <c r="D238" s="74">
        <v>1</v>
      </c>
      <c r="E238" s="75">
        <v>1.1120996441300001E-4</v>
      </c>
      <c r="F238" s="8"/>
    </row>
    <row r="239" spans="2:6" ht="15" customHeight="1">
      <c r="B239" s="109"/>
      <c r="C239" s="78" t="s">
        <v>12</v>
      </c>
      <c r="D239" s="77">
        <v>51</v>
      </c>
      <c r="E239" s="80">
        <v>5.671708185053E-3</v>
      </c>
      <c r="F239" s="8"/>
    </row>
    <row r="240" spans="2:6" ht="15" customHeight="1">
      <c r="B240" s="108" t="s">
        <v>80</v>
      </c>
      <c r="C240" s="73" t="s">
        <v>175</v>
      </c>
      <c r="D240" s="74">
        <v>27</v>
      </c>
      <c r="E240" s="75">
        <v>3.0026690391460002E-3</v>
      </c>
      <c r="F240" s="8"/>
    </row>
    <row r="241" spans="2:6" ht="15" customHeight="1">
      <c r="B241" s="110"/>
      <c r="C241" s="73" t="s">
        <v>176</v>
      </c>
      <c r="D241" s="74">
        <v>7</v>
      </c>
      <c r="E241" s="75">
        <v>7.7846975088999998E-4</v>
      </c>
      <c r="F241" s="8"/>
    </row>
    <row r="242" spans="2:6" ht="15" customHeight="1">
      <c r="B242" s="110"/>
      <c r="C242" s="73" t="s">
        <v>179</v>
      </c>
      <c r="D242" s="74">
        <v>4</v>
      </c>
      <c r="E242" s="75">
        <v>4.4483985765100001E-4</v>
      </c>
      <c r="F242" s="8"/>
    </row>
    <row r="243" spans="2:6" ht="15" customHeight="1">
      <c r="B243" s="110"/>
      <c r="C243" s="73" t="s">
        <v>180</v>
      </c>
      <c r="D243" s="74">
        <v>3</v>
      </c>
      <c r="E243" s="75">
        <v>3.33629893238E-4</v>
      </c>
      <c r="F243" s="8"/>
    </row>
    <row r="244" spans="2:6" ht="15" customHeight="1">
      <c r="B244" s="110"/>
      <c r="C244" s="73" t="s">
        <v>177</v>
      </c>
      <c r="D244" s="74">
        <v>2</v>
      </c>
      <c r="E244" s="75">
        <v>2.2241992882600001E-4</v>
      </c>
      <c r="F244" s="8"/>
    </row>
    <row r="245" spans="2:6" ht="15" customHeight="1">
      <c r="B245" s="110"/>
      <c r="C245" s="73" t="s">
        <v>178</v>
      </c>
      <c r="D245" s="74">
        <v>1</v>
      </c>
      <c r="E245" s="75">
        <v>1.1120996441300001E-4</v>
      </c>
      <c r="F245" s="8"/>
    </row>
    <row r="246" spans="2:6" ht="15" customHeight="1">
      <c r="B246" s="109"/>
      <c r="C246" s="78" t="s">
        <v>12</v>
      </c>
      <c r="D246" s="77">
        <v>44</v>
      </c>
      <c r="E246" s="80">
        <v>4.8932384341640002E-3</v>
      </c>
      <c r="F246" s="8"/>
    </row>
    <row r="247" spans="2:6" ht="15" customHeight="1">
      <c r="B247" s="108" t="s">
        <v>87</v>
      </c>
      <c r="C247" s="73" t="s">
        <v>175</v>
      </c>
      <c r="D247" s="74">
        <v>20</v>
      </c>
      <c r="E247" s="75">
        <v>2.2241992882559999E-3</v>
      </c>
      <c r="F247" s="8"/>
    </row>
    <row r="248" spans="2:6" ht="15" customHeight="1">
      <c r="B248" s="110"/>
      <c r="C248" s="73" t="s">
        <v>177</v>
      </c>
      <c r="D248" s="74">
        <v>5</v>
      </c>
      <c r="E248" s="75">
        <v>5.5604982206399996E-4</v>
      </c>
      <c r="F248" s="8"/>
    </row>
    <row r="249" spans="2:6" ht="15" customHeight="1">
      <c r="B249" s="110"/>
      <c r="C249" s="73" t="s">
        <v>176</v>
      </c>
      <c r="D249" s="74">
        <v>4</v>
      </c>
      <c r="E249" s="75">
        <v>4.4483985765100001E-4</v>
      </c>
      <c r="F249" s="8"/>
    </row>
    <row r="250" spans="2:6" ht="15" customHeight="1">
      <c r="B250" s="110"/>
      <c r="C250" s="73" t="s">
        <v>179</v>
      </c>
      <c r="D250" s="74">
        <v>2</v>
      </c>
      <c r="E250" s="75">
        <v>2.2241992882600001E-4</v>
      </c>
      <c r="F250" s="8"/>
    </row>
    <row r="251" spans="2:6" ht="15" customHeight="1">
      <c r="B251" s="110"/>
      <c r="C251" s="73" t="s">
        <v>182</v>
      </c>
      <c r="D251" s="74">
        <v>1</v>
      </c>
      <c r="E251" s="75">
        <v>1.1120996441300001E-4</v>
      </c>
      <c r="F251" s="8"/>
    </row>
    <row r="252" spans="2:6" ht="15" customHeight="1">
      <c r="B252" s="109"/>
      <c r="C252" s="78" t="s">
        <v>12</v>
      </c>
      <c r="D252" s="77">
        <v>32</v>
      </c>
      <c r="E252" s="80">
        <v>3.5587188612099998E-3</v>
      </c>
      <c r="F252" s="8"/>
    </row>
    <row r="253" spans="2:6" ht="15" customHeight="1">
      <c r="B253" s="108" t="s">
        <v>55</v>
      </c>
      <c r="C253" s="73" t="s">
        <v>175</v>
      </c>
      <c r="D253" s="74">
        <v>12</v>
      </c>
      <c r="E253" s="75">
        <v>1.3345195729539999E-3</v>
      </c>
      <c r="F253" s="8"/>
    </row>
    <row r="254" spans="2:6" ht="15" customHeight="1">
      <c r="B254" s="110"/>
      <c r="C254" s="73" t="s">
        <v>177</v>
      </c>
      <c r="D254" s="74">
        <v>11</v>
      </c>
      <c r="E254" s="75">
        <v>1.223309608541E-3</v>
      </c>
      <c r="F254" s="8"/>
    </row>
    <row r="255" spans="2:6" ht="15" customHeight="1">
      <c r="B255" s="110"/>
      <c r="C255" s="73" t="s">
        <v>180</v>
      </c>
      <c r="D255" s="74">
        <v>2</v>
      </c>
      <c r="E255" s="75">
        <v>2.2241992882600001E-4</v>
      </c>
      <c r="F255" s="8"/>
    </row>
    <row r="256" spans="2:6" ht="15" customHeight="1">
      <c r="B256" s="110"/>
      <c r="C256" s="73" t="s">
        <v>179</v>
      </c>
      <c r="D256" s="74">
        <v>2</v>
      </c>
      <c r="E256" s="75">
        <v>2.2241992882600001E-4</v>
      </c>
      <c r="F256" s="8"/>
    </row>
    <row r="257" spans="2:6" ht="15" customHeight="1">
      <c r="B257" s="110"/>
      <c r="C257" s="73" t="s">
        <v>185</v>
      </c>
      <c r="D257" s="74">
        <v>1</v>
      </c>
      <c r="E257" s="75">
        <v>1.1120996441300001E-4</v>
      </c>
      <c r="F257" s="8"/>
    </row>
    <row r="258" spans="2:6" ht="15" customHeight="1">
      <c r="B258" s="110"/>
      <c r="C258" s="73" t="s">
        <v>178</v>
      </c>
      <c r="D258" s="74">
        <v>1</v>
      </c>
      <c r="E258" s="75">
        <v>1.1120996441300001E-4</v>
      </c>
      <c r="F258" s="8"/>
    </row>
    <row r="259" spans="2:6" ht="15" customHeight="1">
      <c r="B259" s="110"/>
      <c r="C259" s="73" t="s">
        <v>176</v>
      </c>
      <c r="D259" s="74">
        <v>1</v>
      </c>
      <c r="E259" s="75">
        <v>1.1120996441300001E-4</v>
      </c>
      <c r="F259" s="8"/>
    </row>
    <row r="260" spans="2:6" ht="15" customHeight="1">
      <c r="B260" s="110"/>
      <c r="C260" s="73" t="s">
        <v>181</v>
      </c>
      <c r="D260" s="74">
        <v>1</v>
      </c>
      <c r="E260" s="75">
        <v>1.1120996441300001E-4</v>
      </c>
      <c r="F260" s="8"/>
    </row>
    <row r="261" spans="2:6" ht="15" customHeight="1">
      <c r="B261" s="109"/>
      <c r="C261" s="78" t="s">
        <v>12</v>
      </c>
      <c r="D261" s="77">
        <v>31</v>
      </c>
      <c r="E261" s="80">
        <v>3.4475088967970001E-3</v>
      </c>
      <c r="F261" s="8"/>
    </row>
    <row r="262" spans="2:6" ht="15" customHeight="1">
      <c r="B262" s="108" t="s">
        <v>85</v>
      </c>
      <c r="C262" s="73" t="s">
        <v>175</v>
      </c>
      <c r="D262" s="74">
        <v>18</v>
      </c>
      <c r="E262" s="75">
        <v>2.0017793594310001E-3</v>
      </c>
      <c r="F262" s="8"/>
    </row>
    <row r="263" spans="2:6" ht="15" customHeight="1">
      <c r="B263" s="110"/>
      <c r="C263" s="73" t="s">
        <v>178</v>
      </c>
      <c r="D263" s="74">
        <v>4</v>
      </c>
      <c r="E263" s="75">
        <v>4.4483985765100001E-4</v>
      </c>
      <c r="F263" s="8"/>
    </row>
    <row r="264" spans="2:6" ht="15" customHeight="1">
      <c r="B264" s="110"/>
      <c r="C264" s="73" t="s">
        <v>179</v>
      </c>
      <c r="D264" s="74">
        <v>2</v>
      </c>
      <c r="E264" s="75">
        <v>2.2241992882600001E-4</v>
      </c>
      <c r="F264" s="8"/>
    </row>
    <row r="265" spans="2:6" ht="15" customHeight="1">
      <c r="B265" s="110"/>
      <c r="C265" s="73" t="s">
        <v>180</v>
      </c>
      <c r="D265" s="74">
        <v>1</v>
      </c>
      <c r="E265" s="75">
        <v>1.1120996441300001E-4</v>
      </c>
      <c r="F265" s="8"/>
    </row>
    <row r="266" spans="2:6" ht="15" customHeight="1">
      <c r="B266" s="110"/>
      <c r="C266" s="73" t="s">
        <v>185</v>
      </c>
      <c r="D266" s="74">
        <v>1</v>
      </c>
      <c r="E266" s="75">
        <v>1.1120996441300001E-4</v>
      </c>
      <c r="F266" s="8"/>
    </row>
    <row r="267" spans="2:6" ht="15" customHeight="1">
      <c r="B267" s="110"/>
      <c r="C267" s="73" t="s">
        <v>176</v>
      </c>
      <c r="D267" s="74">
        <v>1</v>
      </c>
      <c r="E267" s="75">
        <v>1.1120996441300001E-4</v>
      </c>
      <c r="F267" s="8"/>
    </row>
    <row r="268" spans="2:6" ht="15" customHeight="1">
      <c r="B268" s="109"/>
      <c r="C268" s="78" t="s">
        <v>12</v>
      </c>
      <c r="D268" s="77">
        <v>27</v>
      </c>
      <c r="E268" s="80">
        <v>3.0026690391460002E-3</v>
      </c>
      <c r="F268" s="8"/>
    </row>
    <row r="269" spans="2:6" ht="15" customHeight="1">
      <c r="B269" s="108" t="s">
        <v>66</v>
      </c>
      <c r="C269" s="73" t="s">
        <v>175</v>
      </c>
      <c r="D269" s="74">
        <v>6</v>
      </c>
      <c r="E269" s="75">
        <v>6.6725978647699997E-4</v>
      </c>
      <c r="F269" s="8"/>
    </row>
    <row r="270" spans="2:6" ht="15" customHeight="1">
      <c r="B270" s="110"/>
      <c r="C270" s="73" t="s">
        <v>178</v>
      </c>
      <c r="D270" s="74">
        <v>6</v>
      </c>
      <c r="E270" s="75">
        <v>6.6725978647699997E-4</v>
      </c>
      <c r="F270" s="8"/>
    </row>
    <row r="271" spans="2:6" ht="15" customHeight="1">
      <c r="B271" s="110"/>
      <c r="C271" s="73" t="s">
        <v>176</v>
      </c>
      <c r="D271" s="74">
        <v>6</v>
      </c>
      <c r="E271" s="75">
        <v>6.6725978647699997E-4</v>
      </c>
      <c r="F271" s="8"/>
    </row>
    <row r="272" spans="2:6" ht="15" customHeight="1">
      <c r="B272" s="110"/>
      <c r="C272" s="73" t="s">
        <v>177</v>
      </c>
      <c r="D272" s="74">
        <v>3</v>
      </c>
      <c r="E272" s="75">
        <v>3.33629893238E-4</v>
      </c>
      <c r="F272" s="8"/>
    </row>
    <row r="273" spans="2:6" ht="15" customHeight="1">
      <c r="B273" s="110"/>
      <c r="C273" s="73" t="s">
        <v>180</v>
      </c>
      <c r="D273" s="74">
        <v>2</v>
      </c>
      <c r="E273" s="75">
        <v>2.2241992882600001E-4</v>
      </c>
      <c r="F273" s="8"/>
    </row>
    <row r="274" spans="2:6" ht="15" customHeight="1">
      <c r="B274" s="109"/>
      <c r="C274" s="78" t="s">
        <v>12</v>
      </c>
      <c r="D274" s="77">
        <v>23</v>
      </c>
      <c r="E274" s="80">
        <v>2.5578291814950002E-3</v>
      </c>
      <c r="F274" s="8"/>
    </row>
    <row r="275" spans="2:6" ht="15" customHeight="1">
      <c r="B275" s="108" t="s">
        <v>44</v>
      </c>
      <c r="C275" s="73" t="s">
        <v>175</v>
      </c>
      <c r="D275" s="74">
        <v>13</v>
      </c>
      <c r="E275" s="75">
        <v>1.4457295373670001E-3</v>
      </c>
      <c r="F275" s="8"/>
    </row>
    <row r="276" spans="2:6" ht="15" customHeight="1">
      <c r="B276" s="110"/>
      <c r="C276" s="73" t="s">
        <v>177</v>
      </c>
      <c r="D276" s="74">
        <v>2</v>
      </c>
      <c r="E276" s="75">
        <v>2.2241992882600001E-4</v>
      </c>
      <c r="F276" s="8"/>
    </row>
    <row r="277" spans="2:6" ht="15" customHeight="1">
      <c r="B277" s="110"/>
      <c r="C277" s="73" t="s">
        <v>180</v>
      </c>
      <c r="D277" s="74">
        <v>1</v>
      </c>
      <c r="E277" s="75">
        <v>1.1120996441300001E-4</v>
      </c>
      <c r="F277" s="8"/>
    </row>
    <row r="278" spans="2:6" ht="15" customHeight="1">
      <c r="B278" s="110"/>
      <c r="C278" s="73" t="s">
        <v>178</v>
      </c>
      <c r="D278" s="74">
        <v>1</v>
      </c>
      <c r="E278" s="75">
        <v>1.1120996441300001E-4</v>
      </c>
      <c r="F278" s="8"/>
    </row>
    <row r="279" spans="2:6" ht="15" customHeight="1">
      <c r="B279" s="110"/>
      <c r="C279" s="73" t="s">
        <v>184</v>
      </c>
      <c r="D279" s="74">
        <v>1</v>
      </c>
      <c r="E279" s="75">
        <v>1.1120996441300001E-4</v>
      </c>
      <c r="F279" s="8"/>
    </row>
    <row r="280" spans="2:6" ht="15" customHeight="1">
      <c r="B280" s="109"/>
      <c r="C280" s="78" t="s">
        <v>12</v>
      </c>
      <c r="D280" s="77">
        <v>18</v>
      </c>
      <c r="E280" s="80">
        <v>2.0017793594310001E-3</v>
      </c>
      <c r="F280" s="8"/>
    </row>
    <row r="281" spans="2:6" ht="15" customHeight="1">
      <c r="B281" s="108" t="s">
        <v>61</v>
      </c>
      <c r="C281" s="73" t="s">
        <v>175</v>
      </c>
      <c r="D281" s="74">
        <v>12</v>
      </c>
      <c r="E281" s="75">
        <v>1.3345195729539999E-3</v>
      </c>
      <c r="F281" s="8"/>
    </row>
    <row r="282" spans="2:6" ht="15" customHeight="1">
      <c r="B282" s="110"/>
      <c r="C282" s="73" t="s">
        <v>176</v>
      </c>
      <c r="D282" s="74">
        <v>2</v>
      </c>
      <c r="E282" s="75">
        <v>2.2241992882600001E-4</v>
      </c>
      <c r="F282" s="8"/>
    </row>
    <row r="283" spans="2:6" ht="15" customHeight="1">
      <c r="B283" s="110"/>
      <c r="C283" s="73" t="s">
        <v>180</v>
      </c>
      <c r="D283" s="74">
        <v>1</v>
      </c>
      <c r="E283" s="75">
        <v>1.1120996441300001E-4</v>
      </c>
      <c r="F283" s="8"/>
    </row>
    <row r="284" spans="2:6" ht="15" customHeight="1">
      <c r="B284" s="110"/>
      <c r="C284" s="73" t="s">
        <v>177</v>
      </c>
      <c r="D284" s="74">
        <v>1</v>
      </c>
      <c r="E284" s="75">
        <v>1.1120996441300001E-4</v>
      </c>
      <c r="F284" s="8"/>
    </row>
    <row r="285" spans="2:6" ht="15" customHeight="1">
      <c r="B285" s="109"/>
      <c r="C285" s="78" t="s">
        <v>12</v>
      </c>
      <c r="D285" s="77">
        <v>16</v>
      </c>
      <c r="E285" s="80">
        <v>1.7793594306049999E-3</v>
      </c>
      <c r="F285" s="8"/>
    </row>
    <row r="286" spans="2:6" ht="15" customHeight="1">
      <c r="B286" s="108" t="s">
        <v>78</v>
      </c>
      <c r="C286" s="73" t="s">
        <v>175</v>
      </c>
      <c r="D286" s="74">
        <v>8</v>
      </c>
      <c r="E286" s="75">
        <v>8.8967971530200002E-4</v>
      </c>
      <c r="F286" s="8"/>
    </row>
    <row r="287" spans="2:6" ht="15" customHeight="1">
      <c r="B287" s="110"/>
      <c r="C287" s="73" t="s">
        <v>177</v>
      </c>
      <c r="D287" s="74">
        <v>4</v>
      </c>
      <c r="E287" s="75">
        <v>4.4483985765100001E-4</v>
      </c>
      <c r="F287" s="8"/>
    </row>
    <row r="288" spans="2:6" ht="15" customHeight="1">
      <c r="B288" s="110"/>
      <c r="C288" s="73" t="s">
        <v>176</v>
      </c>
      <c r="D288" s="74">
        <v>3</v>
      </c>
      <c r="E288" s="75">
        <v>3.33629893238E-4</v>
      </c>
      <c r="F288" s="8"/>
    </row>
    <row r="289" spans="2:6" ht="15" customHeight="1">
      <c r="B289" s="110"/>
      <c r="C289" s="73" t="s">
        <v>178</v>
      </c>
      <c r="D289" s="74">
        <v>1</v>
      </c>
      <c r="E289" s="75">
        <v>1.1120996441300001E-4</v>
      </c>
      <c r="F289" s="8"/>
    </row>
    <row r="290" spans="2:6" ht="15" customHeight="1">
      <c r="B290" s="109"/>
      <c r="C290" s="78" t="s">
        <v>12</v>
      </c>
      <c r="D290" s="77">
        <v>16</v>
      </c>
      <c r="E290" s="80">
        <v>1.7793594306049999E-3</v>
      </c>
      <c r="F290" s="8"/>
    </row>
    <row r="291" spans="2:6" ht="15" customHeight="1">
      <c r="B291" s="108" t="s">
        <v>88</v>
      </c>
      <c r="C291" s="73" t="s">
        <v>175</v>
      </c>
      <c r="D291" s="74">
        <v>8</v>
      </c>
      <c r="E291" s="75">
        <v>8.8967971530200002E-4</v>
      </c>
      <c r="F291" s="8"/>
    </row>
    <row r="292" spans="2:6" ht="15" customHeight="1">
      <c r="B292" s="110"/>
      <c r="C292" s="73" t="s">
        <v>178</v>
      </c>
      <c r="D292" s="74">
        <v>4</v>
      </c>
      <c r="E292" s="75">
        <v>4.4483985765100001E-4</v>
      </c>
      <c r="F292" s="8"/>
    </row>
    <row r="293" spans="2:6" ht="15" customHeight="1">
      <c r="B293" s="110"/>
      <c r="C293" s="73" t="s">
        <v>176</v>
      </c>
      <c r="D293" s="74">
        <v>3</v>
      </c>
      <c r="E293" s="75">
        <v>3.33629893238E-4</v>
      </c>
      <c r="F293" s="8"/>
    </row>
    <row r="294" spans="2:6" ht="15" customHeight="1">
      <c r="B294" s="110"/>
      <c r="C294" s="73" t="s">
        <v>177</v>
      </c>
      <c r="D294" s="74">
        <v>1</v>
      </c>
      <c r="E294" s="75">
        <v>1.1120996441300001E-4</v>
      </c>
      <c r="F294" s="8"/>
    </row>
    <row r="295" spans="2:6" ht="15" customHeight="1">
      <c r="B295" s="109"/>
      <c r="C295" s="78" t="s">
        <v>12</v>
      </c>
      <c r="D295" s="77">
        <v>16</v>
      </c>
      <c r="E295" s="80">
        <v>1.7793594306049999E-3</v>
      </c>
      <c r="F295" s="8"/>
    </row>
    <row r="296" spans="2:6" ht="15" customHeight="1">
      <c r="B296" s="108" t="s">
        <v>73</v>
      </c>
      <c r="C296" s="73" t="s">
        <v>175</v>
      </c>
      <c r="D296" s="74">
        <v>9</v>
      </c>
      <c r="E296" s="75">
        <v>1.000889679715E-3</v>
      </c>
      <c r="F296" s="8"/>
    </row>
    <row r="297" spans="2:6" ht="15" customHeight="1">
      <c r="B297" s="110"/>
      <c r="C297" s="73" t="s">
        <v>178</v>
      </c>
      <c r="D297" s="74">
        <v>2</v>
      </c>
      <c r="E297" s="75">
        <v>2.2241992882600001E-4</v>
      </c>
      <c r="F297" s="8"/>
    </row>
    <row r="298" spans="2:6" ht="15" customHeight="1">
      <c r="B298" s="110"/>
      <c r="C298" s="73" t="s">
        <v>180</v>
      </c>
      <c r="D298" s="74">
        <v>1</v>
      </c>
      <c r="E298" s="75">
        <v>1.1120996441300001E-4</v>
      </c>
      <c r="F298" s="8"/>
    </row>
    <row r="299" spans="2:6" ht="15" customHeight="1">
      <c r="B299" s="110"/>
      <c r="C299" s="73" t="s">
        <v>177</v>
      </c>
      <c r="D299" s="74">
        <v>1</v>
      </c>
      <c r="E299" s="75">
        <v>1.1120996441300001E-4</v>
      </c>
      <c r="F299" s="8"/>
    </row>
    <row r="300" spans="2:6" ht="15" customHeight="1">
      <c r="B300" s="110"/>
      <c r="C300" s="73" t="s">
        <v>179</v>
      </c>
      <c r="D300" s="74">
        <v>1</v>
      </c>
      <c r="E300" s="75">
        <v>1.1120996441300001E-4</v>
      </c>
      <c r="F300" s="8"/>
    </row>
    <row r="301" spans="2:6" ht="15" customHeight="1">
      <c r="B301" s="110"/>
      <c r="C301" s="73" t="s">
        <v>176</v>
      </c>
      <c r="D301" s="74">
        <v>1</v>
      </c>
      <c r="E301" s="75">
        <v>1.1120996441300001E-4</v>
      </c>
      <c r="F301" s="8"/>
    </row>
    <row r="302" spans="2:6" ht="15" customHeight="1">
      <c r="B302" s="109"/>
      <c r="C302" s="78" t="s">
        <v>12</v>
      </c>
      <c r="D302" s="77">
        <v>15</v>
      </c>
      <c r="E302" s="80">
        <v>1.668149466192E-3</v>
      </c>
      <c r="F302" s="8"/>
    </row>
    <row r="303" spans="2:6" ht="15" customHeight="1">
      <c r="B303" s="108" t="s">
        <v>81</v>
      </c>
      <c r="C303" s="73" t="s">
        <v>175</v>
      </c>
      <c r="D303" s="74">
        <v>5</v>
      </c>
      <c r="E303" s="75">
        <v>5.5604982206399996E-4</v>
      </c>
      <c r="F303" s="8"/>
    </row>
    <row r="304" spans="2:6" ht="15" customHeight="1">
      <c r="B304" s="110"/>
      <c r="C304" s="73" t="s">
        <v>177</v>
      </c>
      <c r="D304" s="74">
        <v>5</v>
      </c>
      <c r="E304" s="75">
        <v>5.5604982206399996E-4</v>
      </c>
      <c r="F304" s="8"/>
    </row>
    <row r="305" spans="2:6" ht="15" customHeight="1">
      <c r="B305" s="110"/>
      <c r="C305" s="73" t="s">
        <v>179</v>
      </c>
      <c r="D305" s="74">
        <v>2</v>
      </c>
      <c r="E305" s="75">
        <v>2.2241992882600001E-4</v>
      </c>
      <c r="F305" s="8"/>
    </row>
    <row r="306" spans="2:6" ht="15" customHeight="1">
      <c r="B306" s="110"/>
      <c r="C306" s="73" t="s">
        <v>178</v>
      </c>
      <c r="D306" s="74">
        <v>1</v>
      </c>
      <c r="E306" s="75">
        <v>1.1120996441300001E-4</v>
      </c>
      <c r="F306" s="8"/>
    </row>
    <row r="307" spans="2:6" ht="15" customHeight="1">
      <c r="B307" s="109"/>
      <c r="C307" s="78" t="s">
        <v>12</v>
      </c>
      <c r="D307" s="77">
        <v>13</v>
      </c>
      <c r="E307" s="80">
        <v>1.4457295373670001E-3</v>
      </c>
      <c r="F307" s="8"/>
    </row>
    <row r="308" spans="2:6" ht="15" customHeight="1">
      <c r="B308" s="108" t="s">
        <v>51</v>
      </c>
      <c r="C308" s="73" t="s">
        <v>175</v>
      </c>
      <c r="D308" s="74">
        <v>9</v>
      </c>
      <c r="E308" s="75">
        <v>1.000889679715E-3</v>
      </c>
      <c r="F308" s="8"/>
    </row>
    <row r="309" spans="2:6" ht="15" customHeight="1">
      <c r="B309" s="110"/>
      <c r="C309" s="73" t="s">
        <v>179</v>
      </c>
      <c r="D309" s="74">
        <v>1</v>
      </c>
      <c r="E309" s="75">
        <v>1.1120996441300001E-4</v>
      </c>
      <c r="F309" s="8"/>
    </row>
    <row r="310" spans="2:6" ht="15" customHeight="1">
      <c r="B310" s="109"/>
      <c r="C310" s="78" t="s">
        <v>12</v>
      </c>
      <c r="D310" s="77">
        <v>10</v>
      </c>
      <c r="E310" s="80">
        <v>1.1120996441279999E-3</v>
      </c>
      <c r="F310" s="8"/>
    </row>
    <row r="311" spans="2:6" ht="15" customHeight="1">
      <c r="B311" s="108" t="s">
        <v>62</v>
      </c>
      <c r="C311" s="73" t="s">
        <v>175</v>
      </c>
      <c r="D311" s="74">
        <v>9</v>
      </c>
      <c r="E311" s="75">
        <v>1.000889679715E-3</v>
      </c>
      <c r="F311" s="8"/>
    </row>
    <row r="312" spans="2:6" ht="15" customHeight="1">
      <c r="B312" s="110"/>
      <c r="C312" s="73" t="s">
        <v>179</v>
      </c>
      <c r="D312" s="74">
        <v>1</v>
      </c>
      <c r="E312" s="75">
        <v>1.1120996441300001E-4</v>
      </c>
      <c r="F312" s="8"/>
    </row>
    <row r="313" spans="2:6" ht="15" customHeight="1">
      <c r="B313" s="109"/>
      <c r="C313" s="78" t="s">
        <v>12</v>
      </c>
      <c r="D313" s="77">
        <v>10</v>
      </c>
      <c r="E313" s="80">
        <v>1.1120996441279999E-3</v>
      </c>
      <c r="F313" s="8"/>
    </row>
    <row r="314" spans="2:6" ht="15" customHeight="1">
      <c r="B314" s="108" t="s">
        <v>79</v>
      </c>
      <c r="C314" s="73" t="s">
        <v>175</v>
      </c>
      <c r="D314" s="74">
        <v>9</v>
      </c>
      <c r="E314" s="75">
        <v>1.000889679715E-3</v>
      </c>
      <c r="F314" s="8"/>
    </row>
    <row r="315" spans="2:6" ht="15" customHeight="1">
      <c r="B315" s="109"/>
      <c r="C315" s="78" t="s">
        <v>12</v>
      </c>
      <c r="D315" s="77">
        <v>9</v>
      </c>
      <c r="E315" s="80">
        <v>1.000889679715E-3</v>
      </c>
      <c r="F315" s="8"/>
    </row>
    <row r="316" spans="2:6" ht="15" customHeight="1">
      <c r="B316" s="108" t="s">
        <v>68</v>
      </c>
      <c r="C316" s="73" t="s">
        <v>175</v>
      </c>
      <c r="D316" s="74">
        <v>3</v>
      </c>
      <c r="E316" s="75">
        <v>3.33629893238E-4</v>
      </c>
      <c r="F316" s="8"/>
    </row>
    <row r="317" spans="2:6" ht="15" customHeight="1">
      <c r="B317" s="110"/>
      <c r="C317" s="73" t="s">
        <v>177</v>
      </c>
      <c r="D317" s="74">
        <v>3</v>
      </c>
      <c r="E317" s="75">
        <v>3.33629893238E-4</v>
      </c>
      <c r="F317" s="8"/>
    </row>
    <row r="318" spans="2:6" ht="15" customHeight="1">
      <c r="B318" s="110"/>
      <c r="C318" s="73" t="s">
        <v>179</v>
      </c>
      <c r="D318" s="74">
        <v>1</v>
      </c>
      <c r="E318" s="75">
        <v>1.1120996441300001E-4</v>
      </c>
      <c r="F318" s="8"/>
    </row>
    <row r="319" spans="2:6" ht="15" customHeight="1">
      <c r="B319" s="109"/>
      <c r="C319" s="78" t="s">
        <v>12</v>
      </c>
      <c r="D319" s="77">
        <v>7</v>
      </c>
      <c r="E319" s="80">
        <v>7.7846975088999998E-4</v>
      </c>
      <c r="F319" s="8"/>
    </row>
    <row r="320" spans="2:6" ht="15" customHeight="1">
      <c r="B320" s="108" t="s">
        <v>50</v>
      </c>
      <c r="C320" s="73" t="s">
        <v>175</v>
      </c>
      <c r="D320" s="74">
        <v>6</v>
      </c>
      <c r="E320" s="75">
        <v>6.6725978647699997E-4</v>
      </c>
      <c r="F320" s="8"/>
    </row>
    <row r="321" spans="2:7" ht="15" customHeight="1">
      <c r="B321" s="109"/>
      <c r="C321" s="78" t="s">
        <v>12</v>
      </c>
      <c r="D321" s="77">
        <v>6</v>
      </c>
      <c r="E321" s="80">
        <v>6.6725978647699997E-4</v>
      </c>
      <c r="F321" s="8"/>
    </row>
    <row r="322" spans="2:7" ht="15" customHeight="1">
      <c r="B322" s="108" t="s">
        <v>71</v>
      </c>
      <c r="C322" s="73" t="s">
        <v>175</v>
      </c>
      <c r="D322" s="74">
        <v>3</v>
      </c>
      <c r="E322" s="75">
        <v>3.33629893238E-4</v>
      </c>
      <c r="F322" s="8"/>
    </row>
    <row r="323" spans="2:7" ht="15" customHeight="1">
      <c r="B323" s="110"/>
      <c r="C323" s="73" t="s">
        <v>176</v>
      </c>
      <c r="D323" s="74">
        <v>1</v>
      </c>
      <c r="E323" s="75">
        <v>1.1120996441300001E-4</v>
      </c>
      <c r="F323" s="8"/>
    </row>
    <row r="324" spans="2:7" ht="15" customHeight="1">
      <c r="B324" s="109"/>
      <c r="C324" s="78" t="s">
        <v>12</v>
      </c>
      <c r="D324" s="77">
        <v>4</v>
      </c>
      <c r="E324" s="80">
        <v>4.4483985765100001E-4</v>
      </c>
      <c r="F324" s="8"/>
    </row>
    <row r="325" spans="2:7" ht="15" customHeight="1">
      <c r="B325" s="108" t="s">
        <v>45</v>
      </c>
      <c r="C325" s="73" t="s">
        <v>175</v>
      </c>
      <c r="D325" s="74">
        <v>1</v>
      </c>
      <c r="E325" s="75">
        <v>1.1120996441300001E-4</v>
      </c>
      <c r="F325" s="8"/>
    </row>
    <row r="326" spans="2:7" ht="15" customHeight="1">
      <c r="B326" s="109"/>
      <c r="C326" s="78" t="s">
        <v>12</v>
      </c>
      <c r="D326" s="77">
        <v>1</v>
      </c>
      <c r="E326" s="80">
        <v>1.1120996441300001E-4</v>
      </c>
      <c r="F326" s="8"/>
    </row>
    <row r="327" spans="2:7" ht="15" customHeight="1">
      <c r="B327" s="108" t="s">
        <v>187</v>
      </c>
      <c r="C327" s="73" t="s">
        <v>175</v>
      </c>
      <c r="D327" s="74">
        <v>1</v>
      </c>
      <c r="E327" s="75">
        <v>1.1120996441300001E-4</v>
      </c>
      <c r="F327" s="8"/>
    </row>
    <row r="328" spans="2:7" ht="15" customHeight="1">
      <c r="B328" s="109"/>
      <c r="C328" s="78" t="s">
        <v>12</v>
      </c>
      <c r="D328" s="77">
        <v>1</v>
      </c>
      <c r="E328" s="80">
        <v>1.1120996441300001E-4</v>
      </c>
      <c r="F328" s="8"/>
    </row>
    <row r="329" spans="2:7" ht="15" customHeight="1">
      <c r="B329" s="108" t="s">
        <v>63</v>
      </c>
      <c r="C329" s="73" t="s">
        <v>175</v>
      </c>
      <c r="D329" s="74">
        <v>1</v>
      </c>
      <c r="E329" s="75">
        <v>1.1120996441300001E-4</v>
      </c>
      <c r="F329" s="8"/>
    </row>
    <row r="330" spans="2:7" ht="15" customHeight="1">
      <c r="B330" s="109"/>
      <c r="C330" s="78" t="s">
        <v>12</v>
      </c>
      <c r="D330" s="77">
        <v>1</v>
      </c>
      <c r="E330" s="80">
        <v>1.1120996441300001E-4</v>
      </c>
      <c r="F330" s="8"/>
    </row>
    <row r="331" spans="2:7" ht="15" customHeight="1">
      <c r="B331" s="108" t="s">
        <v>75</v>
      </c>
      <c r="C331" s="73" t="s">
        <v>175</v>
      </c>
      <c r="D331" s="74">
        <v>1</v>
      </c>
      <c r="E331" s="75">
        <v>1.1120996441300001E-4</v>
      </c>
      <c r="F331" s="8"/>
    </row>
    <row r="332" spans="2:7" ht="15" customHeight="1">
      <c r="B332" s="109"/>
      <c r="C332" s="78" t="s">
        <v>12</v>
      </c>
      <c r="D332" s="77">
        <v>1</v>
      </c>
      <c r="E332" s="80">
        <v>1.1120996441300001E-4</v>
      </c>
      <c r="F332" s="8"/>
    </row>
    <row r="333" spans="2:7" ht="15" customHeight="1">
      <c r="B333" s="108" t="s">
        <v>188</v>
      </c>
      <c r="C333" s="73" t="s">
        <v>175</v>
      </c>
      <c r="D333" s="74">
        <v>1</v>
      </c>
      <c r="E333" s="75">
        <v>1.1120996441300001E-4</v>
      </c>
      <c r="F333" s="8"/>
    </row>
    <row r="334" spans="2:7" ht="15" customHeight="1">
      <c r="B334" s="109"/>
      <c r="C334" s="78" t="s">
        <v>12</v>
      </c>
      <c r="D334" s="77">
        <v>1</v>
      </c>
      <c r="E334" s="80">
        <v>1.1120996441300001E-4</v>
      </c>
      <c r="F334" s="8"/>
    </row>
    <row r="335" spans="2:7" ht="15" customHeight="1">
      <c r="B335" s="111" t="s">
        <v>12</v>
      </c>
      <c r="C335" s="112"/>
      <c r="D335" s="90">
        <v>8992</v>
      </c>
      <c r="E335" s="81">
        <f>(E22+E35+E47+E57+E68+E79+E89+E100+E109+E121+E129+E139+E148+E158+E168+E175+E184+E193+E201+E211+E219+E227+E231+E239+E246+E252+E261+E268+E274+E280+E285+E290+E295+E302+E307+E310+E310+E313+E315+E319+E321+E324+E326+E328+E330+E332)</f>
        <v>1.0010008896797169</v>
      </c>
      <c r="F335" s="8"/>
    </row>
    <row r="336" spans="2:7" ht="15" customHeight="1">
      <c r="B336" s="44"/>
      <c r="C336" s="57"/>
      <c r="D336" s="57"/>
      <c r="E336" s="57"/>
      <c r="F336" s="57"/>
      <c r="G336" s="5"/>
    </row>
    <row r="337" spans="2:7" ht="15" customHeight="1">
      <c r="B337" s="44" t="s">
        <v>170</v>
      </c>
      <c r="D337" s="51"/>
      <c r="E337" s="52"/>
      <c r="F337" s="52"/>
      <c r="G337" s="5"/>
    </row>
    <row r="338" spans="2:7" ht="15" customHeight="1">
      <c r="B338" s="45" t="s">
        <v>3</v>
      </c>
      <c r="D338" s="51"/>
      <c r="E338" s="52"/>
      <c r="F338" s="52"/>
      <c r="G338" s="5"/>
    </row>
    <row r="339" spans="2:7" ht="15" customHeight="1">
      <c r="B339" s="46" t="s">
        <v>43</v>
      </c>
      <c r="D339" s="51"/>
      <c r="E339" s="52"/>
      <c r="F339" s="52"/>
      <c r="G339" s="5"/>
    </row>
    <row r="340" spans="2:7" ht="15" customHeight="1">
      <c r="B340" s="44" t="s">
        <v>4</v>
      </c>
      <c r="D340" s="51"/>
      <c r="E340" s="52"/>
      <c r="F340" s="52"/>
      <c r="G340" s="5"/>
    </row>
    <row r="341" spans="2:7" ht="15" customHeight="1">
      <c r="B341" s="44" t="s">
        <v>252</v>
      </c>
      <c r="D341" s="51"/>
      <c r="E341" s="52"/>
      <c r="F341" s="52"/>
    </row>
  </sheetData>
  <mergeCells count="48">
    <mergeCell ref="B335:C335"/>
    <mergeCell ref="B7:E8"/>
    <mergeCell ref="B10:B22"/>
    <mergeCell ref="B23:B35"/>
    <mergeCell ref="B36:B47"/>
    <mergeCell ref="B48:B57"/>
    <mergeCell ref="B58:B68"/>
    <mergeCell ref="B69:B79"/>
    <mergeCell ref="B80:B89"/>
    <mergeCell ref="B90:B100"/>
    <mergeCell ref="B101:B109"/>
    <mergeCell ref="B110:B121"/>
    <mergeCell ref="B122:B129"/>
    <mergeCell ref="B130:B139"/>
    <mergeCell ref="B185:B193"/>
    <mergeCell ref="B194:B201"/>
    <mergeCell ref="B140:B148"/>
    <mergeCell ref="B149:B158"/>
    <mergeCell ref="B159:B168"/>
    <mergeCell ref="B169:B175"/>
    <mergeCell ref="B176:B184"/>
    <mergeCell ref="B202:B211"/>
    <mergeCell ref="B212:B219"/>
    <mergeCell ref="B220:B227"/>
    <mergeCell ref="B228:B231"/>
    <mergeCell ref="B269:B274"/>
    <mergeCell ref="B232:B239"/>
    <mergeCell ref="B240:B246"/>
    <mergeCell ref="B247:B252"/>
    <mergeCell ref="B253:B261"/>
    <mergeCell ref="B262:B268"/>
    <mergeCell ref="B275:B280"/>
    <mergeCell ref="B281:B285"/>
    <mergeCell ref="B286:B290"/>
    <mergeCell ref="B291:B295"/>
    <mergeCell ref="B296:B302"/>
    <mergeCell ref="B329:B330"/>
    <mergeCell ref="B331:B332"/>
    <mergeCell ref="B333:B334"/>
    <mergeCell ref="B303:B307"/>
    <mergeCell ref="B308:B310"/>
    <mergeCell ref="B311:B313"/>
    <mergeCell ref="B314:B315"/>
    <mergeCell ref="B316:B319"/>
    <mergeCell ref="B320:B321"/>
    <mergeCell ref="B322:B324"/>
    <mergeCell ref="B325:B326"/>
    <mergeCell ref="B327:B32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6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6">
    <tabColor rgb="FFFFFF00"/>
  </sheetPr>
  <dimension ref="A1:F435"/>
  <sheetViews>
    <sheetView showGridLines="0" view="pageBreakPreview" zoomScale="85" zoomScaleNormal="100" zoomScaleSheetLayoutView="85" workbookViewId="0">
      <selection activeCell="G1" sqref="G1"/>
    </sheetView>
  </sheetViews>
  <sheetFormatPr baseColWidth="10" defaultColWidth="35" defaultRowHeight="15" customHeight="1"/>
  <cols>
    <col min="1" max="1" width="1" style="8" customWidth="1"/>
    <col min="2" max="2" width="22.85546875" style="9" customWidth="1"/>
    <col min="3" max="3" width="37.42578125" style="9" customWidth="1"/>
    <col min="4" max="4" width="14.28515625" style="9" customWidth="1"/>
    <col min="5" max="5" width="16.85546875" style="9" customWidth="1"/>
    <col min="6" max="16384" width="35" style="8"/>
  </cols>
  <sheetData>
    <row r="1" spans="1:6" s="10" customFormat="1" ht="12" customHeight="1">
      <c r="B1" s="13"/>
      <c r="C1" s="12"/>
      <c r="D1" s="12"/>
      <c r="E1" s="12"/>
    </row>
    <row r="2" spans="1:6" s="10" customFormat="1" ht="15" customHeight="1">
      <c r="C2" s="15"/>
    </row>
    <row r="3" spans="1:6" s="10" customFormat="1" ht="15" customHeight="1">
      <c r="C3" s="15"/>
    </row>
    <row r="4" spans="1:6" s="10" customFormat="1" ht="30" customHeight="1">
      <c r="C4" s="15"/>
      <c r="D4" s="14"/>
    </row>
    <row r="5" spans="1:6" s="10" customFormat="1" ht="15" customHeight="1">
      <c r="C5" s="15"/>
      <c r="D5" s="14"/>
    </row>
    <row r="6" spans="1:6" s="10" customFormat="1" ht="24" customHeight="1">
      <c r="B6" s="13"/>
      <c r="C6" s="12"/>
      <c r="D6" s="12"/>
      <c r="E6" s="12"/>
    </row>
    <row r="7" spans="1:6" s="10" customFormat="1" ht="26.25" customHeight="1">
      <c r="A7" s="11"/>
      <c r="B7" s="113"/>
      <c r="C7" s="113"/>
      <c r="D7" s="113"/>
      <c r="E7" s="113"/>
      <c r="F7" s="88"/>
    </row>
    <row r="8" spans="1:6" s="10" customFormat="1" ht="33" customHeight="1">
      <c r="A8" s="11"/>
      <c r="B8" s="113"/>
      <c r="C8" s="113"/>
      <c r="D8" s="113"/>
      <c r="E8" s="113"/>
    </row>
    <row r="9" spans="1:6" s="1" customFormat="1" ht="40.5" customHeight="1">
      <c r="B9" s="54" t="s">
        <v>5</v>
      </c>
      <c r="C9" s="55" t="s">
        <v>7</v>
      </c>
      <c r="D9" s="56" t="s">
        <v>1</v>
      </c>
      <c r="E9" s="54" t="s">
        <v>2</v>
      </c>
    </row>
    <row r="10" spans="1:6">
      <c r="B10" s="108" t="s">
        <v>113</v>
      </c>
      <c r="C10" s="73" t="s">
        <v>175</v>
      </c>
      <c r="D10" s="74">
        <v>49</v>
      </c>
      <c r="E10" s="75">
        <v>5.4492882562279998E-3</v>
      </c>
    </row>
    <row r="11" spans="1:6">
      <c r="B11" s="110"/>
      <c r="C11" s="73" t="s">
        <v>180</v>
      </c>
      <c r="D11" s="74">
        <v>6</v>
      </c>
      <c r="E11" s="75">
        <v>6.6725978647699997E-4</v>
      </c>
    </row>
    <row r="12" spans="1:6">
      <c r="B12" s="110"/>
      <c r="C12" s="73" t="s">
        <v>177</v>
      </c>
      <c r="D12" s="74">
        <v>2</v>
      </c>
      <c r="E12" s="75">
        <v>2.2241992882600001E-4</v>
      </c>
    </row>
    <row r="13" spans="1:6">
      <c r="B13" s="110"/>
      <c r="C13" s="73" t="s">
        <v>182</v>
      </c>
      <c r="D13" s="74">
        <v>8</v>
      </c>
      <c r="E13" s="75">
        <v>8.8967971530200002E-4</v>
      </c>
    </row>
    <row r="14" spans="1:6">
      <c r="B14" s="110"/>
      <c r="C14" s="73" t="s">
        <v>179</v>
      </c>
      <c r="D14" s="74">
        <v>10</v>
      </c>
      <c r="E14" s="75">
        <v>1.1120996441279999E-3</v>
      </c>
    </row>
    <row r="15" spans="1:6">
      <c r="B15" s="110"/>
      <c r="C15" s="73" t="s">
        <v>178</v>
      </c>
      <c r="D15" s="74">
        <v>11</v>
      </c>
      <c r="E15" s="75">
        <v>1.223309608541E-3</v>
      </c>
    </row>
    <row r="16" spans="1:6">
      <c r="B16" s="110"/>
      <c r="C16" s="73" t="s">
        <v>176</v>
      </c>
      <c r="D16" s="74">
        <v>12</v>
      </c>
      <c r="E16" s="75">
        <v>1.3345195729539999E-3</v>
      </c>
    </row>
    <row r="17" spans="2:5">
      <c r="B17" s="110"/>
      <c r="C17" s="73" t="s">
        <v>181</v>
      </c>
      <c r="D17" s="74">
        <v>3</v>
      </c>
      <c r="E17" s="75">
        <v>3.33629893238E-4</v>
      </c>
    </row>
    <row r="18" spans="2:5">
      <c r="B18" s="110"/>
      <c r="C18" s="73" t="s">
        <v>184</v>
      </c>
      <c r="D18" s="74">
        <v>1</v>
      </c>
      <c r="E18" s="75">
        <v>1.1120996441300001E-4</v>
      </c>
    </row>
    <row r="19" spans="2:5">
      <c r="B19" s="109"/>
      <c r="C19" s="78" t="s">
        <v>12</v>
      </c>
      <c r="D19" s="77">
        <v>102</v>
      </c>
      <c r="E19" s="80">
        <v>1.1343416370107001E-2</v>
      </c>
    </row>
    <row r="20" spans="2:5">
      <c r="B20" s="108" t="s">
        <v>114</v>
      </c>
      <c r="C20" s="73" t="s">
        <v>175</v>
      </c>
      <c r="D20" s="74">
        <v>145</v>
      </c>
      <c r="E20" s="75">
        <v>1.6125444839857998E-2</v>
      </c>
    </row>
    <row r="21" spans="2:5">
      <c r="B21" s="110"/>
      <c r="C21" s="73" t="s">
        <v>180</v>
      </c>
      <c r="D21" s="74">
        <v>8</v>
      </c>
      <c r="E21" s="75">
        <v>8.8967971530200002E-4</v>
      </c>
    </row>
    <row r="22" spans="2:5">
      <c r="B22" s="110"/>
      <c r="C22" s="73" t="s">
        <v>177</v>
      </c>
      <c r="D22" s="74">
        <v>30</v>
      </c>
      <c r="E22" s="75">
        <v>3.336298932384E-3</v>
      </c>
    </row>
    <row r="23" spans="2:5">
      <c r="B23" s="110"/>
      <c r="C23" s="73" t="s">
        <v>186</v>
      </c>
      <c r="D23" s="74">
        <v>1</v>
      </c>
      <c r="E23" s="75">
        <v>1.1120996441300001E-4</v>
      </c>
    </row>
    <row r="24" spans="2:5">
      <c r="B24" s="110"/>
      <c r="C24" s="73" t="s">
        <v>185</v>
      </c>
      <c r="D24" s="74">
        <v>1</v>
      </c>
      <c r="E24" s="75">
        <v>1.1120996441300001E-4</v>
      </c>
    </row>
    <row r="25" spans="2:5">
      <c r="B25" s="110"/>
      <c r="C25" s="73" t="s">
        <v>179</v>
      </c>
      <c r="D25" s="74">
        <v>11</v>
      </c>
      <c r="E25" s="75">
        <v>1.223309608541E-3</v>
      </c>
    </row>
    <row r="26" spans="2:5">
      <c r="B26" s="110"/>
      <c r="C26" s="73" t="s">
        <v>178</v>
      </c>
      <c r="D26" s="74">
        <v>8</v>
      </c>
      <c r="E26" s="75">
        <v>8.8967971530200002E-4</v>
      </c>
    </row>
    <row r="27" spans="2:5">
      <c r="B27" s="110"/>
      <c r="C27" s="73" t="s">
        <v>176</v>
      </c>
      <c r="D27" s="74">
        <v>13</v>
      </c>
      <c r="E27" s="75">
        <v>1.4457295373670001E-3</v>
      </c>
    </row>
    <row r="28" spans="2:5">
      <c r="B28" s="110"/>
      <c r="C28" s="73" t="s">
        <v>181</v>
      </c>
      <c r="D28" s="74">
        <v>1</v>
      </c>
      <c r="E28" s="75">
        <v>1.1120996441300001E-4</v>
      </c>
    </row>
    <row r="29" spans="2:5">
      <c r="B29" s="110"/>
      <c r="C29" s="73" t="s">
        <v>183</v>
      </c>
      <c r="D29" s="74">
        <v>1</v>
      </c>
      <c r="E29" s="75">
        <v>1.1120996441300001E-4</v>
      </c>
    </row>
    <row r="30" spans="2:5">
      <c r="B30" s="109"/>
      <c r="C30" s="78" t="s">
        <v>12</v>
      </c>
      <c r="D30" s="77">
        <v>219</v>
      </c>
      <c r="E30" s="80">
        <v>2.4354982206406001E-2</v>
      </c>
    </row>
    <row r="31" spans="2:5">
      <c r="B31" s="108" t="s">
        <v>115</v>
      </c>
      <c r="C31" s="73" t="s">
        <v>175</v>
      </c>
      <c r="D31" s="74">
        <v>58</v>
      </c>
      <c r="E31" s="75">
        <v>6.4501779359429998E-3</v>
      </c>
    </row>
    <row r="32" spans="2:5">
      <c r="B32" s="110"/>
      <c r="C32" s="73" t="s">
        <v>180</v>
      </c>
      <c r="D32" s="74">
        <v>5</v>
      </c>
      <c r="E32" s="75">
        <v>5.5604982206399996E-4</v>
      </c>
    </row>
    <row r="33" spans="2:5">
      <c r="B33" s="110"/>
      <c r="C33" s="73" t="s">
        <v>177</v>
      </c>
      <c r="D33" s="74">
        <v>42</v>
      </c>
      <c r="E33" s="75">
        <v>4.6708185053379999E-3</v>
      </c>
    </row>
    <row r="34" spans="2:5">
      <c r="B34" s="110"/>
      <c r="C34" s="73" t="s">
        <v>186</v>
      </c>
      <c r="D34" s="74">
        <v>1</v>
      </c>
      <c r="E34" s="75">
        <v>1.1120996441300001E-4</v>
      </c>
    </row>
    <row r="35" spans="2:5">
      <c r="B35" s="110"/>
      <c r="C35" s="73" t="s">
        <v>185</v>
      </c>
      <c r="D35" s="74">
        <v>2</v>
      </c>
      <c r="E35" s="75">
        <v>2.2241992882600001E-4</v>
      </c>
    </row>
    <row r="36" spans="2:5">
      <c r="B36" s="110"/>
      <c r="C36" s="73" t="s">
        <v>179</v>
      </c>
      <c r="D36" s="74">
        <v>7</v>
      </c>
      <c r="E36" s="75">
        <v>7.7846975088999998E-4</v>
      </c>
    </row>
    <row r="37" spans="2:5">
      <c r="B37" s="110"/>
      <c r="C37" s="73" t="s">
        <v>178</v>
      </c>
      <c r="D37" s="74">
        <v>7</v>
      </c>
      <c r="E37" s="75">
        <v>7.7846975088999998E-4</v>
      </c>
    </row>
    <row r="38" spans="2:5">
      <c r="B38" s="110"/>
      <c r="C38" s="73" t="s">
        <v>176</v>
      </c>
      <c r="D38" s="74">
        <v>3</v>
      </c>
      <c r="E38" s="75">
        <v>3.33629893238E-4</v>
      </c>
    </row>
    <row r="39" spans="2:5">
      <c r="B39" s="110"/>
      <c r="C39" s="73" t="s">
        <v>184</v>
      </c>
      <c r="D39" s="74">
        <v>2</v>
      </c>
      <c r="E39" s="75">
        <v>2.2241992882600001E-4</v>
      </c>
    </row>
    <row r="40" spans="2:5">
      <c r="B40" s="109"/>
      <c r="C40" s="78" t="s">
        <v>12</v>
      </c>
      <c r="D40" s="77">
        <v>127</v>
      </c>
      <c r="E40" s="80">
        <v>1.4123665480427001E-2</v>
      </c>
    </row>
    <row r="41" spans="2:5">
      <c r="B41" s="108" t="s">
        <v>116</v>
      </c>
      <c r="C41" s="73" t="s">
        <v>175</v>
      </c>
      <c r="D41" s="74">
        <v>16</v>
      </c>
      <c r="E41" s="75">
        <v>1.7793594306049999E-3</v>
      </c>
    </row>
    <row r="42" spans="2:5">
      <c r="B42" s="110"/>
      <c r="C42" s="73" t="s">
        <v>180</v>
      </c>
      <c r="D42" s="74">
        <v>2</v>
      </c>
      <c r="E42" s="75">
        <v>2.2241992882600001E-4</v>
      </c>
    </row>
    <row r="43" spans="2:5">
      <c r="B43" s="110"/>
      <c r="C43" s="73" t="s">
        <v>177</v>
      </c>
      <c r="D43" s="74">
        <v>13</v>
      </c>
      <c r="E43" s="75">
        <v>1.4457295373670001E-3</v>
      </c>
    </row>
    <row r="44" spans="2:5">
      <c r="B44" s="110"/>
      <c r="C44" s="73" t="s">
        <v>185</v>
      </c>
      <c r="D44" s="74">
        <v>1</v>
      </c>
      <c r="E44" s="75">
        <v>1.1120996441300001E-4</v>
      </c>
    </row>
    <row r="45" spans="2:5">
      <c r="B45" s="110"/>
      <c r="C45" s="73" t="s">
        <v>179</v>
      </c>
      <c r="D45" s="74">
        <v>3</v>
      </c>
      <c r="E45" s="75">
        <v>3.33629893238E-4</v>
      </c>
    </row>
    <row r="46" spans="2:5">
      <c r="B46" s="110"/>
      <c r="C46" s="73" t="s">
        <v>178</v>
      </c>
      <c r="D46" s="74">
        <v>2</v>
      </c>
      <c r="E46" s="75">
        <v>2.2241992882600001E-4</v>
      </c>
    </row>
    <row r="47" spans="2:5">
      <c r="B47" s="110"/>
      <c r="C47" s="73" t="s">
        <v>176</v>
      </c>
      <c r="D47" s="74">
        <v>5</v>
      </c>
      <c r="E47" s="75">
        <v>5.5604982206399996E-4</v>
      </c>
    </row>
    <row r="48" spans="2:5">
      <c r="B48" s="110"/>
      <c r="C48" s="73" t="s">
        <v>181</v>
      </c>
      <c r="D48" s="74">
        <v>1</v>
      </c>
      <c r="E48" s="75">
        <v>1.1120996441300001E-4</v>
      </c>
    </row>
    <row r="49" spans="2:5">
      <c r="B49" s="109"/>
      <c r="C49" s="78" t="s">
        <v>12</v>
      </c>
      <c r="D49" s="77">
        <v>43</v>
      </c>
      <c r="E49" s="80">
        <v>4.7820284697510001E-3</v>
      </c>
    </row>
    <row r="50" spans="2:5">
      <c r="B50" s="108" t="s">
        <v>117</v>
      </c>
      <c r="C50" s="73" t="s">
        <v>175</v>
      </c>
      <c r="D50" s="74">
        <v>7</v>
      </c>
      <c r="E50" s="75">
        <v>7.7846975088999998E-4</v>
      </c>
    </row>
    <row r="51" spans="2:5">
      <c r="B51" s="109"/>
      <c r="C51" s="78" t="s">
        <v>12</v>
      </c>
      <c r="D51" s="77">
        <v>7</v>
      </c>
      <c r="E51" s="80">
        <v>7.7846975088999998E-4</v>
      </c>
    </row>
    <row r="52" spans="2:5">
      <c r="B52" s="108" t="s">
        <v>118</v>
      </c>
      <c r="C52" s="73" t="s">
        <v>175</v>
      </c>
      <c r="D52" s="74">
        <v>7</v>
      </c>
      <c r="E52" s="75">
        <v>7.7846975088999998E-4</v>
      </c>
    </row>
    <row r="53" spans="2:5">
      <c r="B53" s="110"/>
      <c r="C53" s="73" t="s">
        <v>177</v>
      </c>
      <c r="D53" s="74">
        <v>1</v>
      </c>
      <c r="E53" s="75">
        <v>1.1120996441300001E-4</v>
      </c>
    </row>
    <row r="54" spans="2:5">
      <c r="B54" s="110"/>
      <c r="C54" s="73" t="s">
        <v>185</v>
      </c>
      <c r="D54" s="74">
        <v>1</v>
      </c>
      <c r="E54" s="75">
        <v>1.1120996441300001E-4</v>
      </c>
    </row>
    <row r="55" spans="2:5">
      <c r="B55" s="110"/>
      <c r="C55" s="73" t="s">
        <v>178</v>
      </c>
      <c r="D55" s="74">
        <v>1</v>
      </c>
      <c r="E55" s="75">
        <v>1.1120996441300001E-4</v>
      </c>
    </row>
    <row r="56" spans="2:5">
      <c r="B56" s="110"/>
      <c r="C56" s="73" t="s">
        <v>183</v>
      </c>
      <c r="D56" s="74">
        <v>1</v>
      </c>
      <c r="E56" s="75">
        <v>1.1120996441300001E-4</v>
      </c>
    </row>
    <row r="57" spans="2:5">
      <c r="B57" s="109"/>
      <c r="C57" s="78" t="s">
        <v>12</v>
      </c>
      <c r="D57" s="77">
        <v>11</v>
      </c>
      <c r="E57" s="80">
        <v>1.223309608541E-3</v>
      </c>
    </row>
    <row r="58" spans="2:5">
      <c r="B58" s="108" t="s">
        <v>119</v>
      </c>
      <c r="C58" s="73" t="s">
        <v>175</v>
      </c>
      <c r="D58" s="74">
        <v>3</v>
      </c>
      <c r="E58" s="75">
        <v>3.33629893238E-4</v>
      </c>
    </row>
    <row r="59" spans="2:5">
      <c r="B59" s="110"/>
      <c r="C59" s="73" t="s">
        <v>180</v>
      </c>
      <c r="D59" s="74">
        <v>1</v>
      </c>
      <c r="E59" s="75">
        <v>1.1120996441300001E-4</v>
      </c>
    </row>
    <row r="60" spans="2:5">
      <c r="B60" s="109"/>
      <c r="C60" s="78" t="s">
        <v>12</v>
      </c>
      <c r="D60" s="77">
        <v>4</v>
      </c>
      <c r="E60" s="80">
        <v>4.4483985765100001E-4</v>
      </c>
    </row>
    <row r="61" spans="2:5">
      <c r="B61" s="108" t="s">
        <v>120</v>
      </c>
      <c r="C61" s="73" t="s">
        <v>175</v>
      </c>
      <c r="D61" s="74">
        <v>879</v>
      </c>
      <c r="E61" s="75">
        <v>9.7753558718861003E-2</v>
      </c>
    </row>
    <row r="62" spans="2:5">
      <c r="B62" s="110"/>
      <c r="C62" s="73" t="s">
        <v>180</v>
      </c>
      <c r="D62" s="74">
        <v>76</v>
      </c>
      <c r="E62" s="75">
        <v>8.4519572953740008E-3</v>
      </c>
    </row>
    <row r="63" spans="2:5">
      <c r="B63" s="110"/>
      <c r="C63" s="73" t="s">
        <v>177</v>
      </c>
      <c r="D63" s="74">
        <v>183</v>
      </c>
      <c r="E63" s="75">
        <v>2.0351423487543999E-2</v>
      </c>
    </row>
    <row r="64" spans="2:5">
      <c r="B64" s="110"/>
      <c r="C64" s="73" t="s">
        <v>182</v>
      </c>
      <c r="D64" s="74">
        <v>5</v>
      </c>
      <c r="E64" s="75">
        <v>5.5604982206399996E-4</v>
      </c>
    </row>
    <row r="65" spans="2:5">
      <c r="B65" s="110"/>
      <c r="C65" s="73" t="s">
        <v>185</v>
      </c>
      <c r="D65" s="74">
        <v>23</v>
      </c>
      <c r="E65" s="75">
        <v>2.5578291814950002E-3</v>
      </c>
    </row>
    <row r="66" spans="2:5">
      <c r="B66" s="110"/>
      <c r="C66" s="73" t="s">
        <v>179</v>
      </c>
      <c r="D66" s="74">
        <v>109</v>
      </c>
      <c r="E66" s="75">
        <v>1.2121886120996E-2</v>
      </c>
    </row>
    <row r="67" spans="2:5">
      <c r="B67" s="110"/>
      <c r="C67" s="73" t="s">
        <v>178</v>
      </c>
      <c r="D67" s="74">
        <v>63</v>
      </c>
      <c r="E67" s="75">
        <v>7.0062277580070003E-3</v>
      </c>
    </row>
    <row r="68" spans="2:5">
      <c r="B68" s="110"/>
      <c r="C68" s="73" t="s">
        <v>176</v>
      </c>
      <c r="D68" s="74">
        <v>49</v>
      </c>
      <c r="E68" s="75">
        <v>5.4492882562279998E-3</v>
      </c>
    </row>
    <row r="69" spans="2:5">
      <c r="B69" s="110"/>
      <c r="C69" s="73" t="s">
        <v>181</v>
      </c>
      <c r="D69" s="74">
        <v>53</v>
      </c>
      <c r="E69" s="75">
        <v>5.8941281138790002E-3</v>
      </c>
    </row>
    <row r="70" spans="2:5">
      <c r="B70" s="110"/>
      <c r="C70" s="73" t="s">
        <v>184</v>
      </c>
      <c r="D70" s="74">
        <v>1</v>
      </c>
      <c r="E70" s="75">
        <v>1.1120996441300001E-4</v>
      </c>
    </row>
    <row r="71" spans="2:5">
      <c r="B71" s="110"/>
      <c r="C71" s="73" t="s">
        <v>183</v>
      </c>
      <c r="D71" s="74">
        <v>1</v>
      </c>
      <c r="E71" s="75">
        <v>1.1120996441300001E-4</v>
      </c>
    </row>
    <row r="72" spans="2:5">
      <c r="B72" s="109"/>
      <c r="C72" s="78" t="s">
        <v>12</v>
      </c>
      <c r="D72" s="77">
        <v>1442</v>
      </c>
      <c r="E72" s="80">
        <v>0.16036476868327401</v>
      </c>
    </row>
    <row r="73" spans="2:5">
      <c r="B73" s="108" t="s">
        <v>121</v>
      </c>
      <c r="C73" s="73" t="s">
        <v>175</v>
      </c>
      <c r="D73" s="74">
        <v>507</v>
      </c>
      <c r="E73" s="75">
        <v>5.6383451957295001E-2</v>
      </c>
    </row>
    <row r="74" spans="2:5">
      <c r="B74" s="110"/>
      <c r="C74" s="73" t="s">
        <v>180</v>
      </c>
      <c r="D74" s="74">
        <v>43</v>
      </c>
      <c r="E74" s="75">
        <v>4.7820284697510001E-3</v>
      </c>
    </row>
    <row r="75" spans="2:5">
      <c r="B75" s="110"/>
      <c r="C75" s="73" t="s">
        <v>177</v>
      </c>
      <c r="D75" s="74">
        <v>8</v>
      </c>
      <c r="E75" s="75">
        <v>8.8967971530200002E-4</v>
      </c>
    </row>
    <row r="76" spans="2:5">
      <c r="B76" s="110"/>
      <c r="C76" s="73" t="s">
        <v>182</v>
      </c>
      <c r="D76" s="74">
        <v>4</v>
      </c>
      <c r="E76" s="75">
        <v>4.4483985765100001E-4</v>
      </c>
    </row>
    <row r="77" spans="2:5">
      <c r="B77" s="110"/>
      <c r="C77" s="73" t="s">
        <v>186</v>
      </c>
      <c r="D77" s="74">
        <v>1</v>
      </c>
      <c r="E77" s="75">
        <v>1.1120996441300001E-4</v>
      </c>
    </row>
    <row r="78" spans="2:5">
      <c r="B78" s="110"/>
      <c r="C78" s="73" t="s">
        <v>185</v>
      </c>
      <c r="D78" s="74">
        <v>8</v>
      </c>
      <c r="E78" s="75">
        <v>8.8967971530200002E-4</v>
      </c>
    </row>
    <row r="79" spans="2:5">
      <c r="B79" s="110"/>
      <c r="C79" s="73" t="s">
        <v>179</v>
      </c>
      <c r="D79" s="74">
        <v>36</v>
      </c>
      <c r="E79" s="75">
        <v>4.0035587188610002E-3</v>
      </c>
    </row>
    <row r="80" spans="2:5">
      <c r="B80" s="110"/>
      <c r="C80" s="73" t="s">
        <v>178</v>
      </c>
      <c r="D80" s="74">
        <v>90</v>
      </c>
      <c r="E80" s="75">
        <v>1.0008896797153E-2</v>
      </c>
    </row>
    <row r="81" spans="2:5">
      <c r="B81" s="110"/>
      <c r="C81" s="73" t="s">
        <v>176</v>
      </c>
      <c r="D81" s="74">
        <v>66</v>
      </c>
      <c r="E81" s="75">
        <v>7.3398576512459998E-3</v>
      </c>
    </row>
    <row r="82" spans="2:5">
      <c r="B82" s="110"/>
      <c r="C82" s="73" t="s">
        <v>181</v>
      </c>
      <c r="D82" s="74">
        <v>7</v>
      </c>
      <c r="E82" s="75">
        <v>7.7846975088999998E-4</v>
      </c>
    </row>
    <row r="83" spans="2:5">
      <c r="B83" s="110"/>
      <c r="C83" s="73" t="s">
        <v>184</v>
      </c>
      <c r="D83" s="74">
        <v>3</v>
      </c>
      <c r="E83" s="75">
        <v>3.33629893238E-4</v>
      </c>
    </row>
    <row r="84" spans="2:5">
      <c r="B84" s="110"/>
      <c r="C84" s="73" t="s">
        <v>183</v>
      </c>
      <c r="D84" s="74">
        <v>10</v>
      </c>
      <c r="E84" s="75">
        <v>1.1120996441279999E-3</v>
      </c>
    </row>
    <row r="85" spans="2:5">
      <c r="B85" s="109"/>
      <c r="C85" s="78" t="s">
        <v>12</v>
      </c>
      <c r="D85" s="77">
        <v>783</v>
      </c>
      <c r="E85" s="80">
        <v>8.7077402135231005E-2</v>
      </c>
    </row>
    <row r="86" spans="2:5">
      <c r="B86" s="108" t="s">
        <v>122</v>
      </c>
      <c r="C86" s="73" t="s">
        <v>175</v>
      </c>
      <c r="D86" s="74">
        <v>1</v>
      </c>
      <c r="E86" s="75">
        <v>1.1120996441300001E-4</v>
      </c>
    </row>
    <row r="87" spans="2:5">
      <c r="B87" s="110"/>
      <c r="C87" s="73" t="s">
        <v>177</v>
      </c>
      <c r="D87" s="74">
        <v>1</v>
      </c>
      <c r="E87" s="75">
        <v>1.1120996441300001E-4</v>
      </c>
    </row>
    <row r="88" spans="2:5">
      <c r="B88" s="109"/>
      <c r="C88" s="78" t="s">
        <v>12</v>
      </c>
      <c r="D88" s="77">
        <v>2</v>
      </c>
      <c r="E88" s="80">
        <v>2.2241992882600001E-4</v>
      </c>
    </row>
    <row r="89" spans="2:5">
      <c r="B89" s="108" t="s">
        <v>123</v>
      </c>
      <c r="C89" s="73" t="s">
        <v>175</v>
      </c>
      <c r="D89" s="74">
        <v>267</v>
      </c>
      <c r="E89" s="75">
        <v>2.9693060498220999E-2</v>
      </c>
    </row>
    <row r="90" spans="2:5">
      <c r="B90" s="110"/>
      <c r="C90" s="73" t="s">
        <v>180</v>
      </c>
      <c r="D90" s="74">
        <v>18</v>
      </c>
      <c r="E90" s="75">
        <v>2.0017793594310001E-3</v>
      </c>
    </row>
    <row r="91" spans="2:5">
      <c r="B91" s="110"/>
      <c r="C91" s="73" t="s">
        <v>177</v>
      </c>
      <c r="D91" s="74">
        <v>66</v>
      </c>
      <c r="E91" s="75">
        <v>7.3398576512459998E-3</v>
      </c>
    </row>
    <row r="92" spans="2:5">
      <c r="B92" s="110"/>
      <c r="C92" s="73" t="s">
        <v>182</v>
      </c>
      <c r="D92" s="74">
        <v>35</v>
      </c>
      <c r="E92" s="75">
        <v>3.8923487544480001E-3</v>
      </c>
    </row>
    <row r="93" spans="2:5">
      <c r="B93" s="110"/>
      <c r="C93" s="73" t="s">
        <v>186</v>
      </c>
      <c r="D93" s="74">
        <v>10</v>
      </c>
      <c r="E93" s="75">
        <v>1.1120996441279999E-3</v>
      </c>
    </row>
    <row r="94" spans="2:5">
      <c r="B94" s="110"/>
      <c r="C94" s="73" t="s">
        <v>179</v>
      </c>
      <c r="D94" s="74">
        <v>51</v>
      </c>
      <c r="E94" s="75">
        <v>5.671708185053E-3</v>
      </c>
    </row>
    <row r="95" spans="2:5">
      <c r="B95" s="110"/>
      <c r="C95" s="73" t="s">
        <v>178</v>
      </c>
      <c r="D95" s="74">
        <v>40</v>
      </c>
      <c r="E95" s="75">
        <v>4.4483985765119997E-3</v>
      </c>
    </row>
    <row r="96" spans="2:5">
      <c r="B96" s="110"/>
      <c r="C96" s="73" t="s">
        <v>176</v>
      </c>
      <c r="D96" s="74">
        <v>122</v>
      </c>
      <c r="E96" s="75">
        <v>1.3567615658362999E-2</v>
      </c>
    </row>
    <row r="97" spans="2:5">
      <c r="B97" s="110"/>
      <c r="C97" s="73" t="s">
        <v>181</v>
      </c>
      <c r="D97" s="74">
        <v>7</v>
      </c>
      <c r="E97" s="75">
        <v>7.7846975088999998E-4</v>
      </c>
    </row>
    <row r="98" spans="2:5">
      <c r="B98" s="110"/>
      <c r="C98" s="73" t="s">
        <v>183</v>
      </c>
      <c r="D98" s="74">
        <v>15</v>
      </c>
      <c r="E98" s="75">
        <v>1.668149466192E-3</v>
      </c>
    </row>
    <row r="99" spans="2:5">
      <c r="B99" s="109"/>
      <c r="C99" s="78" t="s">
        <v>12</v>
      </c>
      <c r="D99" s="77">
        <v>631</v>
      </c>
      <c r="E99" s="80">
        <v>7.0173487544484006E-2</v>
      </c>
    </row>
    <row r="100" spans="2:5">
      <c r="B100" s="108" t="s">
        <v>124</v>
      </c>
      <c r="C100" s="73" t="s">
        <v>175</v>
      </c>
      <c r="D100" s="74">
        <v>103</v>
      </c>
      <c r="E100" s="75">
        <v>1.1454626334519999E-2</v>
      </c>
    </row>
    <row r="101" spans="2:5">
      <c r="B101" s="110"/>
      <c r="C101" s="73" t="s">
        <v>180</v>
      </c>
      <c r="D101" s="74">
        <v>10</v>
      </c>
      <c r="E101" s="75">
        <v>1.1120996441279999E-3</v>
      </c>
    </row>
    <row r="102" spans="2:5">
      <c r="B102" s="110"/>
      <c r="C102" s="73" t="s">
        <v>177</v>
      </c>
      <c r="D102" s="74">
        <v>5</v>
      </c>
      <c r="E102" s="75">
        <v>5.5604982206399996E-4</v>
      </c>
    </row>
    <row r="103" spans="2:5">
      <c r="B103" s="110"/>
      <c r="C103" s="73" t="s">
        <v>186</v>
      </c>
      <c r="D103" s="74">
        <v>3</v>
      </c>
      <c r="E103" s="75">
        <v>3.33629893238E-4</v>
      </c>
    </row>
    <row r="104" spans="2:5">
      <c r="B104" s="110"/>
      <c r="C104" s="73" t="s">
        <v>179</v>
      </c>
      <c r="D104" s="74">
        <v>14</v>
      </c>
      <c r="E104" s="75">
        <v>1.5569395017790001E-3</v>
      </c>
    </row>
    <row r="105" spans="2:5">
      <c r="B105" s="110"/>
      <c r="C105" s="73" t="s">
        <v>178</v>
      </c>
      <c r="D105" s="74">
        <v>11</v>
      </c>
      <c r="E105" s="75">
        <v>1.223309608541E-3</v>
      </c>
    </row>
    <row r="106" spans="2:5">
      <c r="B106" s="110"/>
      <c r="C106" s="73" t="s">
        <v>176</v>
      </c>
      <c r="D106" s="74">
        <v>9</v>
      </c>
      <c r="E106" s="75">
        <v>1.000889679715E-3</v>
      </c>
    </row>
    <row r="107" spans="2:5">
      <c r="B107" s="110"/>
      <c r="C107" s="73" t="s">
        <v>181</v>
      </c>
      <c r="D107" s="74">
        <v>5</v>
      </c>
      <c r="E107" s="75">
        <v>5.5604982206399996E-4</v>
      </c>
    </row>
    <row r="108" spans="2:5">
      <c r="B108" s="109"/>
      <c r="C108" s="78" t="s">
        <v>12</v>
      </c>
      <c r="D108" s="77">
        <v>160</v>
      </c>
      <c r="E108" s="80">
        <v>1.7793594306050001E-2</v>
      </c>
    </row>
    <row r="109" spans="2:5">
      <c r="B109" s="108" t="s">
        <v>172</v>
      </c>
      <c r="C109" s="73" t="s">
        <v>175</v>
      </c>
      <c r="D109" s="74">
        <v>1</v>
      </c>
      <c r="E109" s="75">
        <v>1.1120996441300001E-4</v>
      </c>
    </row>
    <row r="110" spans="2:5">
      <c r="B110" s="109"/>
      <c r="C110" s="78" t="s">
        <v>12</v>
      </c>
      <c r="D110" s="77">
        <v>1</v>
      </c>
      <c r="E110" s="80">
        <v>1.1120996441300001E-4</v>
      </c>
    </row>
    <row r="111" spans="2:5">
      <c r="B111" s="108" t="s">
        <v>125</v>
      </c>
      <c r="C111" s="73" t="s">
        <v>175</v>
      </c>
      <c r="D111" s="74">
        <v>14</v>
      </c>
      <c r="E111" s="75">
        <v>1.5569395017790001E-3</v>
      </c>
    </row>
    <row r="112" spans="2:5">
      <c r="B112" s="110"/>
      <c r="C112" s="73" t="s">
        <v>177</v>
      </c>
      <c r="D112" s="74">
        <v>2</v>
      </c>
      <c r="E112" s="75">
        <v>2.2241992882600001E-4</v>
      </c>
    </row>
    <row r="113" spans="2:5">
      <c r="B113" s="110"/>
      <c r="C113" s="73" t="s">
        <v>179</v>
      </c>
      <c r="D113" s="74">
        <v>1</v>
      </c>
      <c r="E113" s="75">
        <v>1.1120996441300001E-4</v>
      </c>
    </row>
    <row r="114" spans="2:5">
      <c r="B114" s="110"/>
      <c r="C114" s="73" t="s">
        <v>178</v>
      </c>
      <c r="D114" s="74">
        <v>1</v>
      </c>
      <c r="E114" s="75">
        <v>1.1120996441300001E-4</v>
      </c>
    </row>
    <row r="115" spans="2:5">
      <c r="B115" s="110"/>
      <c r="C115" s="73" t="s">
        <v>176</v>
      </c>
      <c r="D115" s="74">
        <v>6</v>
      </c>
      <c r="E115" s="75">
        <v>6.6725978647699997E-4</v>
      </c>
    </row>
    <row r="116" spans="2:5">
      <c r="B116" s="110"/>
      <c r="C116" s="73" t="s">
        <v>181</v>
      </c>
      <c r="D116" s="74">
        <v>1</v>
      </c>
      <c r="E116" s="75">
        <v>1.1120996441300001E-4</v>
      </c>
    </row>
    <row r="117" spans="2:5">
      <c r="B117" s="110"/>
      <c r="C117" s="73" t="s">
        <v>183</v>
      </c>
      <c r="D117" s="74">
        <v>2</v>
      </c>
      <c r="E117" s="75">
        <v>2.2241992882600001E-4</v>
      </c>
    </row>
    <row r="118" spans="2:5">
      <c r="B118" s="109"/>
      <c r="C118" s="78" t="s">
        <v>12</v>
      </c>
      <c r="D118" s="77">
        <v>27</v>
      </c>
      <c r="E118" s="80">
        <v>3.0026690391460002E-3</v>
      </c>
    </row>
    <row r="119" spans="2:5">
      <c r="B119" s="108" t="s">
        <v>126</v>
      </c>
      <c r="C119" s="73" t="s">
        <v>175</v>
      </c>
      <c r="D119" s="74">
        <v>25</v>
      </c>
      <c r="E119" s="75">
        <v>2.7802491103199999E-3</v>
      </c>
    </row>
    <row r="120" spans="2:5">
      <c r="B120" s="110"/>
      <c r="C120" s="73" t="s">
        <v>176</v>
      </c>
      <c r="D120" s="74">
        <v>1</v>
      </c>
      <c r="E120" s="75">
        <v>1.1120996441300001E-4</v>
      </c>
    </row>
    <row r="121" spans="2:5">
      <c r="B121" s="109"/>
      <c r="C121" s="78" t="s">
        <v>12</v>
      </c>
      <c r="D121" s="77">
        <v>26</v>
      </c>
      <c r="E121" s="80">
        <v>2.891459074733E-3</v>
      </c>
    </row>
    <row r="122" spans="2:5">
      <c r="B122" s="108" t="s">
        <v>127</v>
      </c>
      <c r="C122" s="73" t="s">
        <v>175</v>
      </c>
      <c r="D122" s="74">
        <v>96</v>
      </c>
      <c r="E122" s="75">
        <v>1.0676156583629999E-2</v>
      </c>
    </row>
    <row r="123" spans="2:5">
      <c r="B123" s="110"/>
      <c r="C123" s="73" t="s">
        <v>180</v>
      </c>
      <c r="D123" s="74">
        <v>7</v>
      </c>
      <c r="E123" s="75">
        <v>7.7846975088999998E-4</v>
      </c>
    </row>
    <row r="124" spans="2:5">
      <c r="B124" s="110"/>
      <c r="C124" s="73" t="s">
        <v>177</v>
      </c>
      <c r="D124" s="74">
        <v>11</v>
      </c>
      <c r="E124" s="75">
        <v>1.223309608541E-3</v>
      </c>
    </row>
    <row r="125" spans="2:5">
      <c r="B125" s="110"/>
      <c r="C125" s="73" t="s">
        <v>182</v>
      </c>
      <c r="D125" s="74">
        <v>2</v>
      </c>
      <c r="E125" s="75">
        <v>2.2241992882600001E-4</v>
      </c>
    </row>
    <row r="126" spans="2:5">
      <c r="B126" s="110"/>
      <c r="C126" s="73" t="s">
        <v>179</v>
      </c>
      <c r="D126" s="74">
        <v>8</v>
      </c>
      <c r="E126" s="75">
        <v>8.8967971530200002E-4</v>
      </c>
    </row>
    <row r="127" spans="2:5">
      <c r="B127" s="110"/>
      <c r="C127" s="73" t="s">
        <v>178</v>
      </c>
      <c r="D127" s="74">
        <v>5</v>
      </c>
      <c r="E127" s="75">
        <v>5.5604982206399996E-4</v>
      </c>
    </row>
    <row r="128" spans="2:5">
      <c r="B128" s="110"/>
      <c r="C128" s="73" t="s">
        <v>176</v>
      </c>
      <c r="D128" s="74">
        <v>15</v>
      </c>
      <c r="E128" s="75">
        <v>1.668149466192E-3</v>
      </c>
    </row>
    <row r="129" spans="2:5">
      <c r="B129" s="110"/>
      <c r="C129" s="73" t="s">
        <v>184</v>
      </c>
      <c r="D129" s="74">
        <v>8</v>
      </c>
      <c r="E129" s="75">
        <v>8.8967971530200002E-4</v>
      </c>
    </row>
    <row r="130" spans="2:5">
      <c r="B130" s="110"/>
      <c r="C130" s="73" t="s">
        <v>183</v>
      </c>
      <c r="D130" s="74">
        <v>1</v>
      </c>
      <c r="E130" s="75">
        <v>1.1120996441300001E-4</v>
      </c>
    </row>
    <row r="131" spans="2:5">
      <c r="B131" s="109"/>
      <c r="C131" s="78" t="s">
        <v>12</v>
      </c>
      <c r="D131" s="77">
        <v>153</v>
      </c>
      <c r="E131" s="80">
        <v>1.7015124555160001E-2</v>
      </c>
    </row>
    <row r="132" spans="2:5">
      <c r="B132" s="108" t="s">
        <v>128</v>
      </c>
      <c r="C132" s="73" t="s">
        <v>175</v>
      </c>
      <c r="D132" s="74">
        <v>304</v>
      </c>
      <c r="E132" s="75">
        <v>3.3807829181494997E-2</v>
      </c>
    </row>
    <row r="133" spans="2:5">
      <c r="B133" s="110"/>
      <c r="C133" s="73" t="s">
        <v>180</v>
      </c>
      <c r="D133" s="74">
        <v>41</v>
      </c>
      <c r="E133" s="75">
        <v>4.5596085409249998E-3</v>
      </c>
    </row>
    <row r="134" spans="2:5">
      <c r="B134" s="110"/>
      <c r="C134" s="73" t="s">
        <v>177</v>
      </c>
      <c r="D134" s="74">
        <v>16</v>
      </c>
      <c r="E134" s="75">
        <v>1.7793594306049999E-3</v>
      </c>
    </row>
    <row r="135" spans="2:5">
      <c r="B135" s="110"/>
      <c r="C135" s="73" t="s">
        <v>182</v>
      </c>
      <c r="D135" s="74">
        <v>1</v>
      </c>
      <c r="E135" s="75">
        <v>1.1120996441300001E-4</v>
      </c>
    </row>
    <row r="136" spans="2:5">
      <c r="B136" s="110"/>
      <c r="C136" s="73" t="s">
        <v>185</v>
      </c>
      <c r="D136" s="74">
        <v>2</v>
      </c>
      <c r="E136" s="75">
        <v>2.2241992882600001E-4</v>
      </c>
    </row>
    <row r="137" spans="2:5">
      <c r="B137" s="110"/>
      <c r="C137" s="73" t="s">
        <v>179</v>
      </c>
      <c r="D137" s="74">
        <v>32</v>
      </c>
      <c r="E137" s="75">
        <v>3.5587188612099998E-3</v>
      </c>
    </row>
    <row r="138" spans="2:5">
      <c r="B138" s="110"/>
      <c r="C138" s="73" t="s">
        <v>178</v>
      </c>
      <c r="D138" s="74">
        <v>78</v>
      </c>
      <c r="E138" s="75">
        <v>8.6743772241990001E-3</v>
      </c>
    </row>
    <row r="139" spans="2:5">
      <c r="B139" s="110"/>
      <c r="C139" s="73" t="s">
        <v>176</v>
      </c>
      <c r="D139" s="74">
        <v>39</v>
      </c>
      <c r="E139" s="75">
        <v>4.3371886120999997E-3</v>
      </c>
    </row>
    <row r="140" spans="2:5">
      <c r="B140" s="110"/>
      <c r="C140" s="73" t="s">
        <v>181</v>
      </c>
      <c r="D140" s="74">
        <v>5</v>
      </c>
      <c r="E140" s="75">
        <v>5.5604982206399996E-4</v>
      </c>
    </row>
    <row r="141" spans="2:5">
      <c r="B141" s="110"/>
      <c r="C141" s="73" t="s">
        <v>184</v>
      </c>
      <c r="D141" s="74">
        <v>44</v>
      </c>
      <c r="E141" s="75">
        <v>4.8932384341640002E-3</v>
      </c>
    </row>
    <row r="142" spans="2:5">
      <c r="B142" s="110"/>
      <c r="C142" s="73" t="s">
        <v>183</v>
      </c>
      <c r="D142" s="74">
        <v>10</v>
      </c>
      <c r="E142" s="75">
        <v>1.1120996441279999E-3</v>
      </c>
    </row>
    <row r="143" spans="2:5">
      <c r="B143" s="109"/>
      <c r="C143" s="78" t="s">
        <v>12</v>
      </c>
      <c r="D143" s="77">
        <v>572</v>
      </c>
      <c r="E143" s="80">
        <v>6.3612099644128006E-2</v>
      </c>
    </row>
    <row r="144" spans="2:5">
      <c r="B144" s="108" t="s">
        <v>129</v>
      </c>
      <c r="C144" s="73" t="s">
        <v>175</v>
      </c>
      <c r="D144" s="74">
        <v>63</v>
      </c>
      <c r="E144" s="75">
        <v>7.0062277580070003E-3</v>
      </c>
    </row>
    <row r="145" spans="2:5">
      <c r="B145" s="110"/>
      <c r="C145" s="73" t="s">
        <v>180</v>
      </c>
      <c r="D145" s="74">
        <v>1</v>
      </c>
      <c r="E145" s="75">
        <v>1.1120996441300001E-4</v>
      </c>
    </row>
    <row r="146" spans="2:5">
      <c r="B146" s="110"/>
      <c r="C146" s="73" t="s">
        <v>177</v>
      </c>
      <c r="D146" s="74">
        <v>9</v>
      </c>
      <c r="E146" s="75">
        <v>1.000889679715E-3</v>
      </c>
    </row>
    <row r="147" spans="2:5">
      <c r="B147" s="110"/>
      <c r="C147" s="73" t="s">
        <v>185</v>
      </c>
      <c r="D147" s="74">
        <v>2</v>
      </c>
      <c r="E147" s="75">
        <v>2.2241992882600001E-4</v>
      </c>
    </row>
    <row r="148" spans="2:5">
      <c r="B148" s="110"/>
      <c r="C148" s="73" t="s">
        <v>179</v>
      </c>
      <c r="D148" s="74">
        <v>14</v>
      </c>
      <c r="E148" s="75">
        <v>1.5569395017790001E-3</v>
      </c>
    </row>
    <row r="149" spans="2:5">
      <c r="B149" s="110"/>
      <c r="C149" s="73" t="s">
        <v>178</v>
      </c>
      <c r="D149" s="74">
        <v>10</v>
      </c>
      <c r="E149" s="75">
        <v>1.1120996441279999E-3</v>
      </c>
    </row>
    <row r="150" spans="2:5">
      <c r="B150" s="110"/>
      <c r="C150" s="73" t="s">
        <v>176</v>
      </c>
      <c r="D150" s="74">
        <v>4</v>
      </c>
      <c r="E150" s="75">
        <v>4.4483985765100001E-4</v>
      </c>
    </row>
    <row r="151" spans="2:5">
      <c r="B151" s="110"/>
      <c r="C151" s="73" t="s">
        <v>181</v>
      </c>
      <c r="D151" s="74">
        <v>6</v>
      </c>
      <c r="E151" s="75">
        <v>6.6725978647699997E-4</v>
      </c>
    </row>
    <row r="152" spans="2:5">
      <c r="B152" s="110"/>
      <c r="C152" s="73" t="s">
        <v>184</v>
      </c>
      <c r="D152" s="74">
        <v>1</v>
      </c>
      <c r="E152" s="75">
        <v>1.1120996441300001E-4</v>
      </c>
    </row>
    <row r="153" spans="2:5">
      <c r="B153" s="109"/>
      <c r="C153" s="78" t="s">
        <v>12</v>
      </c>
      <c r="D153" s="77">
        <v>110</v>
      </c>
      <c r="E153" s="80">
        <v>1.2233096085409E-2</v>
      </c>
    </row>
    <row r="154" spans="2:5">
      <c r="B154" s="108" t="s">
        <v>130</v>
      </c>
      <c r="C154" s="73" t="s">
        <v>175</v>
      </c>
      <c r="D154" s="74">
        <v>75</v>
      </c>
      <c r="E154" s="75">
        <v>8.3407473309610007E-3</v>
      </c>
    </row>
    <row r="155" spans="2:5">
      <c r="B155" s="110"/>
      <c r="C155" s="73" t="s">
        <v>180</v>
      </c>
      <c r="D155" s="74">
        <v>3</v>
      </c>
      <c r="E155" s="75">
        <v>3.33629893238E-4</v>
      </c>
    </row>
    <row r="156" spans="2:5">
      <c r="B156" s="110"/>
      <c r="C156" s="73" t="s">
        <v>177</v>
      </c>
      <c r="D156" s="74">
        <v>16</v>
      </c>
      <c r="E156" s="75">
        <v>1.7793594306049999E-3</v>
      </c>
    </row>
    <row r="157" spans="2:5">
      <c r="B157" s="110"/>
      <c r="C157" s="73" t="s">
        <v>182</v>
      </c>
      <c r="D157" s="74">
        <v>5</v>
      </c>
      <c r="E157" s="75">
        <v>5.5604982206399996E-4</v>
      </c>
    </row>
    <row r="158" spans="2:5">
      <c r="B158" s="110"/>
      <c r="C158" s="73" t="s">
        <v>179</v>
      </c>
      <c r="D158" s="74">
        <v>5</v>
      </c>
      <c r="E158" s="75">
        <v>5.5604982206399996E-4</v>
      </c>
    </row>
    <row r="159" spans="2:5">
      <c r="B159" s="110"/>
      <c r="C159" s="73" t="s">
        <v>178</v>
      </c>
      <c r="D159" s="74">
        <v>13</v>
      </c>
      <c r="E159" s="75">
        <v>1.4457295373670001E-3</v>
      </c>
    </row>
    <row r="160" spans="2:5">
      <c r="B160" s="110"/>
      <c r="C160" s="73" t="s">
        <v>176</v>
      </c>
      <c r="D160" s="74">
        <v>14</v>
      </c>
      <c r="E160" s="75">
        <v>1.5569395017790001E-3</v>
      </c>
    </row>
    <row r="161" spans="2:5">
      <c r="B161" s="110"/>
      <c r="C161" s="73" t="s">
        <v>181</v>
      </c>
      <c r="D161" s="74">
        <v>1</v>
      </c>
      <c r="E161" s="75">
        <v>1.1120996441300001E-4</v>
      </c>
    </row>
    <row r="162" spans="2:5">
      <c r="B162" s="110"/>
      <c r="C162" s="73" t="s">
        <v>184</v>
      </c>
      <c r="D162" s="74">
        <v>1</v>
      </c>
      <c r="E162" s="75">
        <v>1.1120996441300001E-4</v>
      </c>
    </row>
    <row r="163" spans="2:5">
      <c r="B163" s="109"/>
      <c r="C163" s="78" t="s">
        <v>12</v>
      </c>
      <c r="D163" s="77">
        <v>133</v>
      </c>
      <c r="E163" s="80">
        <v>1.4790925266904001E-2</v>
      </c>
    </row>
    <row r="164" spans="2:5">
      <c r="B164" s="108" t="s">
        <v>131</v>
      </c>
      <c r="C164" s="73" t="s">
        <v>175</v>
      </c>
      <c r="D164" s="74">
        <v>4</v>
      </c>
      <c r="E164" s="75">
        <v>4.4483985765100001E-4</v>
      </c>
    </row>
    <row r="165" spans="2:5">
      <c r="B165" s="110"/>
      <c r="C165" s="73" t="s">
        <v>180</v>
      </c>
      <c r="D165" s="74">
        <v>1</v>
      </c>
      <c r="E165" s="75">
        <v>1.1120996441300001E-4</v>
      </c>
    </row>
    <row r="166" spans="2:5">
      <c r="B166" s="110"/>
      <c r="C166" s="73" t="s">
        <v>182</v>
      </c>
      <c r="D166" s="74">
        <v>1</v>
      </c>
      <c r="E166" s="75">
        <v>1.1120996441300001E-4</v>
      </c>
    </row>
    <row r="167" spans="2:5">
      <c r="B167" s="110"/>
      <c r="C167" s="73" t="s">
        <v>181</v>
      </c>
      <c r="D167" s="74">
        <v>1</v>
      </c>
      <c r="E167" s="75">
        <v>1.1120996441300001E-4</v>
      </c>
    </row>
    <row r="168" spans="2:5">
      <c r="B168" s="109"/>
      <c r="C168" s="78" t="s">
        <v>12</v>
      </c>
      <c r="D168" s="77">
        <v>7</v>
      </c>
      <c r="E168" s="80">
        <v>7.7846975088999998E-4</v>
      </c>
    </row>
    <row r="169" spans="2:5">
      <c r="B169" s="108" t="s">
        <v>132</v>
      </c>
      <c r="C169" s="73" t="s">
        <v>175</v>
      </c>
      <c r="D169" s="74">
        <v>62</v>
      </c>
      <c r="E169" s="75">
        <v>6.8950177935940002E-3</v>
      </c>
    </row>
    <row r="170" spans="2:5">
      <c r="B170" s="110"/>
      <c r="C170" s="73" t="s">
        <v>180</v>
      </c>
      <c r="D170" s="74">
        <v>2</v>
      </c>
      <c r="E170" s="75">
        <v>2.2241992882600001E-4</v>
      </c>
    </row>
    <row r="171" spans="2:5">
      <c r="B171" s="110"/>
      <c r="C171" s="73" t="s">
        <v>177</v>
      </c>
      <c r="D171" s="74">
        <v>9</v>
      </c>
      <c r="E171" s="75">
        <v>1.000889679715E-3</v>
      </c>
    </row>
    <row r="172" spans="2:5">
      <c r="B172" s="110"/>
      <c r="C172" s="73" t="s">
        <v>182</v>
      </c>
      <c r="D172" s="74">
        <v>9</v>
      </c>
      <c r="E172" s="75">
        <v>1.000889679715E-3</v>
      </c>
    </row>
    <row r="173" spans="2:5">
      <c r="B173" s="110"/>
      <c r="C173" s="73" t="s">
        <v>186</v>
      </c>
      <c r="D173" s="74">
        <v>14</v>
      </c>
      <c r="E173" s="75">
        <v>1.5569395017790001E-3</v>
      </c>
    </row>
    <row r="174" spans="2:5">
      <c r="B174" s="110"/>
      <c r="C174" s="73" t="s">
        <v>185</v>
      </c>
      <c r="D174" s="74">
        <v>1</v>
      </c>
      <c r="E174" s="75">
        <v>1.1120996441300001E-4</v>
      </c>
    </row>
    <row r="175" spans="2:5">
      <c r="B175" s="110"/>
      <c r="C175" s="73" t="s">
        <v>179</v>
      </c>
      <c r="D175" s="74">
        <v>5</v>
      </c>
      <c r="E175" s="75">
        <v>5.5604982206399996E-4</v>
      </c>
    </row>
    <row r="176" spans="2:5">
      <c r="B176" s="110"/>
      <c r="C176" s="73" t="s">
        <v>178</v>
      </c>
      <c r="D176" s="74">
        <v>3</v>
      </c>
      <c r="E176" s="75">
        <v>3.33629893238E-4</v>
      </c>
    </row>
    <row r="177" spans="2:5">
      <c r="B177" s="110"/>
      <c r="C177" s="73" t="s">
        <v>176</v>
      </c>
      <c r="D177" s="74">
        <v>27</v>
      </c>
      <c r="E177" s="75">
        <v>3.0026690391460002E-3</v>
      </c>
    </row>
    <row r="178" spans="2:5">
      <c r="B178" s="110"/>
      <c r="C178" s="73" t="s">
        <v>181</v>
      </c>
      <c r="D178" s="74">
        <v>1</v>
      </c>
      <c r="E178" s="75">
        <v>1.1120996441300001E-4</v>
      </c>
    </row>
    <row r="179" spans="2:5">
      <c r="B179" s="110"/>
      <c r="C179" s="73" t="s">
        <v>183</v>
      </c>
      <c r="D179" s="74">
        <v>2</v>
      </c>
      <c r="E179" s="75">
        <v>2.2241992882600001E-4</v>
      </c>
    </row>
    <row r="180" spans="2:5">
      <c r="B180" s="109"/>
      <c r="C180" s="78" t="s">
        <v>12</v>
      </c>
      <c r="D180" s="77">
        <v>135</v>
      </c>
      <c r="E180" s="80">
        <v>1.5013345195730001E-2</v>
      </c>
    </row>
    <row r="181" spans="2:5">
      <c r="B181" s="108" t="s">
        <v>133</v>
      </c>
      <c r="C181" s="73" t="s">
        <v>175</v>
      </c>
      <c r="D181" s="74">
        <v>146</v>
      </c>
      <c r="E181" s="75">
        <v>1.6236654804270001E-2</v>
      </c>
    </row>
    <row r="182" spans="2:5">
      <c r="B182" s="110"/>
      <c r="C182" s="73" t="s">
        <v>180</v>
      </c>
      <c r="D182" s="74">
        <v>25</v>
      </c>
      <c r="E182" s="75">
        <v>2.7802491103199999E-3</v>
      </c>
    </row>
    <row r="183" spans="2:5">
      <c r="B183" s="110"/>
      <c r="C183" s="73" t="s">
        <v>177</v>
      </c>
      <c r="D183" s="74">
        <v>9</v>
      </c>
      <c r="E183" s="75">
        <v>1.000889679715E-3</v>
      </c>
    </row>
    <row r="184" spans="2:5">
      <c r="B184" s="110"/>
      <c r="C184" s="73" t="s">
        <v>182</v>
      </c>
      <c r="D184" s="74">
        <v>1</v>
      </c>
      <c r="E184" s="75">
        <v>1.1120996441300001E-4</v>
      </c>
    </row>
    <row r="185" spans="2:5">
      <c r="B185" s="110"/>
      <c r="C185" s="73" t="s">
        <v>185</v>
      </c>
      <c r="D185" s="74">
        <v>3</v>
      </c>
      <c r="E185" s="75">
        <v>3.33629893238E-4</v>
      </c>
    </row>
    <row r="186" spans="2:5">
      <c r="B186" s="110"/>
      <c r="C186" s="73" t="s">
        <v>179</v>
      </c>
      <c r="D186" s="74">
        <v>18</v>
      </c>
      <c r="E186" s="75">
        <v>2.0017793594310001E-3</v>
      </c>
    </row>
    <row r="187" spans="2:5">
      <c r="B187" s="110"/>
      <c r="C187" s="73" t="s">
        <v>178</v>
      </c>
      <c r="D187" s="74">
        <v>23</v>
      </c>
      <c r="E187" s="75">
        <v>2.5578291814950002E-3</v>
      </c>
    </row>
    <row r="188" spans="2:5">
      <c r="B188" s="110"/>
      <c r="C188" s="73" t="s">
        <v>176</v>
      </c>
      <c r="D188" s="74">
        <v>63</v>
      </c>
      <c r="E188" s="75">
        <v>7.0062277580070003E-3</v>
      </c>
    </row>
    <row r="189" spans="2:5">
      <c r="B189" s="110"/>
      <c r="C189" s="73" t="s">
        <v>181</v>
      </c>
      <c r="D189" s="74">
        <v>7</v>
      </c>
      <c r="E189" s="75">
        <v>7.7846975088999998E-4</v>
      </c>
    </row>
    <row r="190" spans="2:5">
      <c r="B190" s="110"/>
      <c r="C190" s="73" t="s">
        <v>184</v>
      </c>
      <c r="D190" s="74">
        <v>1</v>
      </c>
      <c r="E190" s="75">
        <v>1.1120996441300001E-4</v>
      </c>
    </row>
    <row r="191" spans="2:5">
      <c r="B191" s="110"/>
      <c r="C191" s="73" t="s">
        <v>183</v>
      </c>
      <c r="D191" s="74">
        <v>3</v>
      </c>
      <c r="E191" s="75">
        <v>3.33629893238E-4</v>
      </c>
    </row>
    <row r="192" spans="2:5">
      <c r="B192" s="109"/>
      <c r="C192" s="78" t="s">
        <v>12</v>
      </c>
      <c r="D192" s="77">
        <v>299</v>
      </c>
      <c r="E192" s="80">
        <v>3.3251779359431001E-2</v>
      </c>
    </row>
    <row r="193" spans="2:5">
      <c r="B193" s="108" t="s">
        <v>134</v>
      </c>
      <c r="C193" s="73" t="s">
        <v>175</v>
      </c>
      <c r="D193" s="74">
        <v>336</v>
      </c>
      <c r="E193" s="75">
        <v>3.7366548042704999E-2</v>
      </c>
    </row>
    <row r="194" spans="2:5">
      <c r="B194" s="110"/>
      <c r="C194" s="73" t="s">
        <v>180</v>
      </c>
      <c r="D194" s="74">
        <v>23</v>
      </c>
      <c r="E194" s="75">
        <v>2.5578291814950002E-3</v>
      </c>
    </row>
    <row r="195" spans="2:5">
      <c r="B195" s="110"/>
      <c r="C195" s="73" t="s">
        <v>177</v>
      </c>
      <c r="D195" s="74">
        <v>56</v>
      </c>
      <c r="E195" s="75">
        <v>6.2277580071169996E-3</v>
      </c>
    </row>
    <row r="196" spans="2:5">
      <c r="B196" s="110"/>
      <c r="C196" s="73" t="s">
        <v>182</v>
      </c>
      <c r="D196" s="74">
        <v>2</v>
      </c>
      <c r="E196" s="75">
        <v>2.2241992882600001E-4</v>
      </c>
    </row>
    <row r="197" spans="2:5">
      <c r="B197" s="110"/>
      <c r="C197" s="73" t="s">
        <v>185</v>
      </c>
      <c r="D197" s="74">
        <v>2</v>
      </c>
      <c r="E197" s="75">
        <v>2.2241992882600001E-4</v>
      </c>
    </row>
    <row r="198" spans="2:5">
      <c r="B198" s="110"/>
      <c r="C198" s="73" t="s">
        <v>179</v>
      </c>
      <c r="D198" s="74">
        <v>36</v>
      </c>
      <c r="E198" s="75">
        <v>4.0035587188610002E-3</v>
      </c>
    </row>
    <row r="199" spans="2:5">
      <c r="B199" s="110"/>
      <c r="C199" s="73" t="s">
        <v>178</v>
      </c>
      <c r="D199" s="74">
        <v>56</v>
      </c>
      <c r="E199" s="75">
        <v>6.2277580071169996E-3</v>
      </c>
    </row>
    <row r="200" spans="2:5">
      <c r="B200" s="110"/>
      <c r="C200" s="73" t="s">
        <v>176</v>
      </c>
      <c r="D200" s="74">
        <v>66</v>
      </c>
      <c r="E200" s="75">
        <v>7.3398576512459998E-3</v>
      </c>
    </row>
    <row r="201" spans="2:5">
      <c r="B201" s="110"/>
      <c r="C201" s="73" t="s">
        <v>181</v>
      </c>
      <c r="D201" s="74">
        <v>2</v>
      </c>
      <c r="E201" s="75">
        <v>2.2241992882600001E-4</v>
      </c>
    </row>
    <row r="202" spans="2:5">
      <c r="B202" s="110"/>
      <c r="C202" s="73" t="s">
        <v>184</v>
      </c>
      <c r="D202" s="74">
        <v>24</v>
      </c>
      <c r="E202" s="75">
        <v>2.6690391459069998E-3</v>
      </c>
    </row>
    <row r="203" spans="2:5">
      <c r="B203" s="110"/>
      <c r="C203" s="73" t="s">
        <v>183</v>
      </c>
      <c r="D203" s="74">
        <v>35</v>
      </c>
      <c r="E203" s="75">
        <v>3.8923487544480001E-3</v>
      </c>
    </row>
    <row r="204" spans="2:5">
      <c r="B204" s="109"/>
      <c r="C204" s="78" t="s">
        <v>12</v>
      </c>
      <c r="D204" s="77">
        <v>638</v>
      </c>
      <c r="E204" s="80">
        <v>7.0951957295373999E-2</v>
      </c>
    </row>
    <row r="205" spans="2:5">
      <c r="B205" s="108" t="s">
        <v>135</v>
      </c>
      <c r="C205" s="73" t="s">
        <v>175</v>
      </c>
      <c r="D205" s="74">
        <v>41</v>
      </c>
      <c r="E205" s="75">
        <v>4.5596085409249998E-3</v>
      </c>
    </row>
    <row r="206" spans="2:5">
      <c r="B206" s="110"/>
      <c r="C206" s="73" t="s">
        <v>180</v>
      </c>
      <c r="D206" s="74">
        <v>1</v>
      </c>
      <c r="E206" s="75">
        <v>1.1120996441300001E-4</v>
      </c>
    </row>
    <row r="207" spans="2:5">
      <c r="B207" s="110"/>
      <c r="C207" s="73" t="s">
        <v>177</v>
      </c>
      <c r="D207" s="74">
        <v>1</v>
      </c>
      <c r="E207" s="75">
        <v>1.1120996441300001E-4</v>
      </c>
    </row>
    <row r="208" spans="2:5">
      <c r="B208" s="110"/>
      <c r="C208" s="73" t="s">
        <v>182</v>
      </c>
      <c r="D208" s="74">
        <v>1</v>
      </c>
      <c r="E208" s="75">
        <v>1.1120996441300001E-4</v>
      </c>
    </row>
    <row r="209" spans="2:5">
      <c r="B209" s="110"/>
      <c r="C209" s="73" t="s">
        <v>179</v>
      </c>
      <c r="D209" s="74">
        <v>2</v>
      </c>
      <c r="E209" s="75">
        <v>2.2241992882600001E-4</v>
      </c>
    </row>
    <row r="210" spans="2:5">
      <c r="B210" s="110"/>
      <c r="C210" s="73" t="s">
        <v>178</v>
      </c>
      <c r="D210" s="74">
        <v>2</v>
      </c>
      <c r="E210" s="75">
        <v>2.2241992882600001E-4</v>
      </c>
    </row>
    <row r="211" spans="2:5">
      <c r="B211" s="110"/>
      <c r="C211" s="73" t="s">
        <v>176</v>
      </c>
      <c r="D211" s="74">
        <v>6</v>
      </c>
      <c r="E211" s="75">
        <v>6.6725978647699997E-4</v>
      </c>
    </row>
    <row r="212" spans="2:5">
      <c r="B212" s="109"/>
      <c r="C212" s="78" t="s">
        <v>12</v>
      </c>
      <c r="D212" s="77">
        <v>54</v>
      </c>
      <c r="E212" s="80">
        <v>6.0053380782920003E-3</v>
      </c>
    </row>
    <row r="213" spans="2:5">
      <c r="B213" s="108" t="s">
        <v>136</v>
      </c>
      <c r="C213" s="73" t="s">
        <v>175</v>
      </c>
      <c r="D213" s="74">
        <v>42</v>
      </c>
      <c r="E213" s="75">
        <v>4.6708185053379999E-3</v>
      </c>
    </row>
    <row r="214" spans="2:5">
      <c r="B214" s="110"/>
      <c r="C214" s="73" t="s">
        <v>180</v>
      </c>
      <c r="D214" s="74">
        <v>2</v>
      </c>
      <c r="E214" s="75">
        <v>2.2241992882600001E-4</v>
      </c>
    </row>
    <row r="215" spans="2:5">
      <c r="B215" s="110"/>
      <c r="C215" s="73" t="s">
        <v>177</v>
      </c>
      <c r="D215" s="74">
        <v>7</v>
      </c>
      <c r="E215" s="75">
        <v>7.7846975088999998E-4</v>
      </c>
    </row>
    <row r="216" spans="2:5">
      <c r="B216" s="110"/>
      <c r="C216" s="73" t="s">
        <v>182</v>
      </c>
      <c r="D216" s="74">
        <v>1</v>
      </c>
      <c r="E216" s="75">
        <v>1.1120996441300001E-4</v>
      </c>
    </row>
    <row r="217" spans="2:5">
      <c r="B217" s="110"/>
      <c r="C217" s="73" t="s">
        <v>185</v>
      </c>
      <c r="D217" s="74">
        <v>6</v>
      </c>
      <c r="E217" s="75">
        <v>6.6725978647699997E-4</v>
      </c>
    </row>
    <row r="218" spans="2:5">
      <c r="B218" s="110"/>
      <c r="C218" s="73" t="s">
        <v>179</v>
      </c>
      <c r="D218" s="74">
        <v>1</v>
      </c>
      <c r="E218" s="75">
        <v>1.1120996441300001E-4</v>
      </c>
    </row>
    <row r="219" spans="2:5">
      <c r="B219" s="110"/>
      <c r="C219" s="73" t="s">
        <v>178</v>
      </c>
      <c r="D219" s="74">
        <v>5</v>
      </c>
      <c r="E219" s="75">
        <v>5.5604982206399996E-4</v>
      </c>
    </row>
    <row r="220" spans="2:5">
      <c r="B220" s="110"/>
      <c r="C220" s="73" t="s">
        <v>176</v>
      </c>
      <c r="D220" s="74">
        <v>6</v>
      </c>
      <c r="E220" s="75">
        <v>6.6725978647699997E-4</v>
      </c>
    </row>
    <row r="221" spans="2:5">
      <c r="B221" s="110"/>
      <c r="C221" s="73" t="s">
        <v>181</v>
      </c>
      <c r="D221" s="74">
        <v>3</v>
      </c>
      <c r="E221" s="75">
        <v>3.33629893238E-4</v>
      </c>
    </row>
    <row r="222" spans="2:5">
      <c r="B222" s="109"/>
      <c r="C222" s="78" t="s">
        <v>12</v>
      </c>
      <c r="D222" s="77">
        <v>73</v>
      </c>
      <c r="E222" s="80">
        <v>8.1183274021350005E-3</v>
      </c>
    </row>
    <row r="223" spans="2:5">
      <c r="B223" s="108" t="s">
        <v>137</v>
      </c>
      <c r="C223" s="73" t="s">
        <v>175</v>
      </c>
      <c r="D223" s="74">
        <v>21</v>
      </c>
      <c r="E223" s="75">
        <v>2.335409252669E-3</v>
      </c>
    </row>
    <row r="224" spans="2:5">
      <c r="B224" s="110"/>
      <c r="C224" s="73" t="s">
        <v>177</v>
      </c>
      <c r="D224" s="74">
        <v>1</v>
      </c>
      <c r="E224" s="75">
        <v>1.1120996441300001E-4</v>
      </c>
    </row>
    <row r="225" spans="2:5">
      <c r="B225" s="110"/>
      <c r="C225" s="73" t="s">
        <v>182</v>
      </c>
      <c r="D225" s="74">
        <v>1</v>
      </c>
      <c r="E225" s="75">
        <v>1.1120996441300001E-4</v>
      </c>
    </row>
    <row r="226" spans="2:5">
      <c r="B226" s="110"/>
      <c r="C226" s="73" t="s">
        <v>179</v>
      </c>
      <c r="D226" s="74">
        <v>1</v>
      </c>
      <c r="E226" s="75">
        <v>1.1120996441300001E-4</v>
      </c>
    </row>
    <row r="227" spans="2:5">
      <c r="B227" s="110"/>
      <c r="C227" s="73" t="s">
        <v>178</v>
      </c>
      <c r="D227" s="74">
        <v>1</v>
      </c>
      <c r="E227" s="75">
        <v>1.1120996441300001E-4</v>
      </c>
    </row>
    <row r="228" spans="2:5">
      <c r="B228" s="110"/>
      <c r="C228" s="73" t="s">
        <v>176</v>
      </c>
      <c r="D228" s="74">
        <v>4</v>
      </c>
      <c r="E228" s="75">
        <v>4.4483985765100001E-4</v>
      </c>
    </row>
    <row r="229" spans="2:5">
      <c r="B229" s="109"/>
      <c r="C229" s="78" t="s">
        <v>12</v>
      </c>
      <c r="D229" s="77">
        <v>29</v>
      </c>
      <c r="E229" s="80">
        <v>3.225088967972E-3</v>
      </c>
    </row>
    <row r="230" spans="2:5">
      <c r="B230" s="108" t="s">
        <v>171</v>
      </c>
      <c r="C230" s="73" t="s">
        <v>175</v>
      </c>
      <c r="D230" s="74">
        <v>3</v>
      </c>
      <c r="E230" s="75">
        <v>3.33629893238E-4</v>
      </c>
    </row>
    <row r="231" spans="2:5">
      <c r="B231" s="109"/>
      <c r="C231" s="78" t="s">
        <v>12</v>
      </c>
      <c r="D231" s="77">
        <v>3</v>
      </c>
      <c r="E231" s="80">
        <v>3.33629893238E-4</v>
      </c>
    </row>
    <row r="232" spans="2:5">
      <c r="B232" s="108" t="s">
        <v>173</v>
      </c>
      <c r="C232" s="73" t="s">
        <v>175</v>
      </c>
      <c r="D232" s="74">
        <v>1</v>
      </c>
      <c r="E232" s="75">
        <v>1.1120996441300001E-4</v>
      </c>
    </row>
    <row r="233" spans="2:5">
      <c r="B233" s="109"/>
      <c r="C233" s="78" t="s">
        <v>12</v>
      </c>
      <c r="D233" s="77">
        <v>1</v>
      </c>
      <c r="E233" s="80">
        <v>1.1120996441300001E-4</v>
      </c>
    </row>
    <row r="234" spans="2:5">
      <c r="B234" s="108" t="s">
        <v>138</v>
      </c>
      <c r="C234" s="73" t="s">
        <v>175</v>
      </c>
      <c r="D234" s="74">
        <v>22</v>
      </c>
      <c r="E234" s="75">
        <v>2.4466192170820001E-3</v>
      </c>
    </row>
    <row r="235" spans="2:5">
      <c r="B235" s="110"/>
      <c r="C235" s="73" t="s">
        <v>180</v>
      </c>
      <c r="D235" s="74">
        <v>3</v>
      </c>
      <c r="E235" s="75">
        <v>3.33629893238E-4</v>
      </c>
    </row>
    <row r="236" spans="2:5">
      <c r="B236" s="110"/>
      <c r="C236" s="73" t="s">
        <v>177</v>
      </c>
      <c r="D236" s="74">
        <v>5</v>
      </c>
      <c r="E236" s="75">
        <v>5.5604982206399996E-4</v>
      </c>
    </row>
    <row r="237" spans="2:5">
      <c r="B237" s="110"/>
      <c r="C237" s="73" t="s">
        <v>178</v>
      </c>
      <c r="D237" s="74">
        <v>5</v>
      </c>
      <c r="E237" s="75">
        <v>5.5604982206399996E-4</v>
      </c>
    </row>
    <row r="238" spans="2:5">
      <c r="B238" s="110"/>
      <c r="C238" s="73" t="s">
        <v>176</v>
      </c>
      <c r="D238" s="74">
        <v>9</v>
      </c>
      <c r="E238" s="75">
        <v>1.000889679715E-3</v>
      </c>
    </row>
    <row r="239" spans="2:5">
      <c r="B239" s="109"/>
      <c r="C239" s="78" t="s">
        <v>12</v>
      </c>
      <c r="D239" s="77">
        <v>44</v>
      </c>
      <c r="E239" s="80">
        <v>4.8932384341640002E-3</v>
      </c>
    </row>
    <row r="240" spans="2:5">
      <c r="B240" s="108" t="s">
        <v>139</v>
      </c>
      <c r="C240" s="73" t="s">
        <v>175</v>
      </c>
      <c r="D240" s="74">
        <v>12</v>
      </c>
      <c r="E240" s="75">
        <v>1.3345195729539999E-3</v>
      </c>
    </row>
    <row r="241" spans="2:5">
      <c r="B241" s="110"/>
      <c r="C241" s="73" t="s">
        <v>180</v>
      </c>
      <c r="D241" s="74">
        <v>1</v>
      </c>
      <c r="E241" s="75">
        <v>1.1120996441300001E-4</v>
      </c>
    </row>
    <row r="242" spans="2:5">
      <c r="B242" s="110"/>
      <c r="C242" s="73" t="s">
        <v>177</v>
      </c>
      <c r="D242" s="74">
        <v>1</v>
      </c>
      <c r="E242" s="75">
        <v>1.1120996441300001E-4</v>
      </c>
    </row>
    <row r="243" spans="2:5">
      <c r="B243" s="110"/>
      <c r="C243" s="73" t="s">
        <v>179</v>
      </c>
      <c r="D243" s="74">
        <v>1</v>
      </c>
      <c r="E243" s="75">
        <v>1.1120996441300001E-4</v>
      </c>
    </row>
    <row r="244" spans="2:5">
      <c r="B244" s="110"/>
      <c r="C244" s="73" t="s">
        <v>178</v>
      </c>
      <c r="D244" s="74">
        <v>2</v>
      </c>
      <c r="E244" s="75">
        <v>2.2241992882600001E-4</v>
      </c>
    </row>
    <row r="245" spans="2:5">
      <c r="B245" s="110"/>
      <c r="C245" s="73" t="s">
        <v>176</v>
      </c>
      <c r="D245" s="74">
        <v>2</v>
      </c>
      <c r="E245" s="75">
        <v>2.2241992882600001E-4</v>
      </c>
    </row>
    <row r="246" spans="2:5">
      <c r="B246" s="109"/>
      <c r="C246" s="78" t="s">
        <v>12</v>
      </c>
      <c r="D246" s="77">
        <v>19</v>
      </c>
      <c r="E246" s="80">
        <v>2.1129893238430002E-3</v>
      </c>
    </row>
    <row r="247" spans="2:5">
      <c r="B247" s="108" t="s">
        <v>140</v>
      </c>
      <c r="C247" s="73" t="s">
        <v>175</v>
      </c>
      <c r="D247" s="74">
        <v>386</v>
      </c>
      <c r="E247" s="75">
        <v>4.2927046263345002E-2</v>
      </c>
    </row>
    <row r="248" spans="2:5">
      <c r="B248" s="110"/>
      <c r="C248" s="73" t="s">
        <v>180</v>
      </c>
      <c r="D248" s="74">
        <v>39</v>
      </c>
      <c r="E248" s="75">
        <v>4.3371886120999997E-3</v>
      </c>
    </row>
    <row r="249" spans="2:5">
      <c r="B249" s="110"/>
      <c r="C249" s="73" t="s">
        <v>177</v>
      </c>
      <c r="D249" s="74">
        <v>404</v>
      </c>
      <c r="E249" s="75">
        <v>4.4928825622776003E-2</v>
      </c>
    </row>
    <row r="250" spans="2:5">
      <c r="B250" s="110"/>
      <c r="C250" s="73" t="s">
        <v>182</v>
      </c>
      <c r="D250" s="74">
        <v>8</v>
      </c>
      <c r="E250" s="75">
        <v>8.8967971530200002E-4</v>
      </c>
    </row>
    <row r="251" spans="2:5">
      <c r="B251" s="110"/>
      <c r="C251" s="73" t="s">
        <v>185</v>
      </c>
      <c r="D251" s="74">
        <v>7</v>
      </c>
      <c r="E251" s="75">
        <v>7.7846975088999998E-4</v>
      </c>
    </row>
    <row r="252" spans="2:5">
      <c r="B252" s="110"/>
      <c r="C252" s="73" t="s">
        <v>179</v>
      </c>
      <c r="D252" s="74">
        <v>55</v>
      </c>
      <c r="E252" s="75">
        <v>6.1165480427050004E-3</v>
      </c>
    </row>
    <row r="253" spans="2:5">
      <c r="B253" s="110"/>
      <c r="C253" s="73" t="s">
        <v>178</v>
      </c>
      <c r="D253" s="74">
        <v>85</v>
      </c>
      <c r="E253" s="75">
        <v>9.452846975089E-3</v>
      </c>
    </row>
    <row r="254" spans="2:5">
      <c r="B254" s="110"/>
      <c r="C254" s="73" t="s">
        <v>176</v>
      </c>
      <c r="D254" s="74">
        <v>398</v>
      </c>
      <c r="E254" s="75">
        <v>4.4261565836298998E-2</v>
      </c>
    </row>
    <row r="255" spans="2:5">
      <c r="B255" s="110"/>
      <c r="C255" s="73" t="s">
        <v>181</v>
      </c>
      <c r="D255" s="74">
        <v>2</v>
      </c>
      <c r="E255" s="75">
        <v>2.2241992882600001E-4</v>
      </c>
    </row>
    <row r="256" spans="2:5">
      <c r="B256" s="110"/>
      <c r="C256" s="73" t="s">
        <v>184</v>
      </c>
      <c r="D256" s="74">
        <v>3</v>
      </c>
      <c r="E256" s="75">
        <v>3.33629893238E-4</v>
      </c>
    </row>
    <row r="257" spans="2:5">
      <c r="B257" s="110"/>
      <c r="C257" s="73" t="s">
        <v>183</v>
      </c>
      <c r="D257" s="74">
        <v>14</v>
      </c>
      <c r="E257" s="75">
        <v>1.5569395017790001E-3</v>
      </c>
    </row>
    <row r="258" spans="2:5">
      <c r="B258" s="109"/>
      <c r="C258" s="78" t="s">
        <v>12</v>
      </c>
      <c r="D258" s="77">
        <v>1401</v>
      </c>
      <c r="E258" s="80">
        <v>0.15580516014234899</v>
      </c>
    </row>
    <row r="259" spans="2:5">
      <c r="B259" s="108" t="s">
        <v>141</v>
      </c>
      <c r="C259" s="73" t="s">
        <v>175</v>
      </c>
      <c r="D259" s="74">
        <v>71</v>
      </c>
      <c r="E259" s="75">
        <v>7.8959074733099995E-3</v>
      </c>
    </row>
    <row r="260" spans="2:5">
      <c r="B260" s="110"/>
      <c r="C260" s="73" t="s">
        <v>180</v>
      </c>
      <c r="D260" s="74">
        <v>3</v>
      </c>
      <c r="E260" s="75">
        <v>3.33629893238E-4</v>
      </c>
    </row>
    <row r="261" spans="2:5">
      <c r="B261" s="110"/>
      <c r="C261" s="73" t="s">
        <v>177</v>
      </c>
      <c r="D261" s="74">
        <v>1</v>
      </c>
      <c r="E261" s="75">
        <v>1.1120996441300001E-4</v>
      </c>
    </row>
    <row r="262" spans="2:5">
      <c r="B262" s="110"/>
      <c r="C262" s="73" t="s">
        <v>182</v>
      </c>
      <c r="D262" s="74">
        <v>1</v>
      </c>
      <c r="E262" s="75">
        <v>1.1120996441300001E-4</v>
      </c>
    </row>
    <row r="263" spans="2:5">
      <c r="B263" s="110"/>
      <c r="C263" s="73" t="s">
        <v>186</v>
      </c>
      <c r="D263" s="74">
        <v>1</v>
      </c>
      <c r="E263" s="75">
        <v>1.1120996441300001E-4</v>
      </c>
    </row>
    <row r="264" spans="2:5">
      <c r="B264" s="110"/>
      <c r="C264" s="73" t="s">
        <v>179</v>
      </c>
      <c r="D264" s="74">
        <v>23</v>
      </c>
      <c r="E264" s="75">
        <v>2.5578291814950002E-3</v>
      </c>
    </row>
    <row r="265" spans="2:5">
      <c r="B265" s="110"/>
      <c r="C265" s="73" t="s">
        <v>178</v>
      </c>
      <c r="D265" s="74">
        <v>9</v>
      </c>
      <c r="E265" s="75">
        <v>1.000889679715E-3</v>
      </c>
    </row>
    <row r="266" spans="2:5">
      <c r="B266" s="110"/>
      <c r="C266" s="73" t="s">
        <v>176</v>
      </c>
      <c r="D266" s="74">
        <v>33</v>
      </c>
      <c r="E266" s="75">
        <v>3.6699288256229999E-3</v>
      </c>
    </row>
    <row r="267" spans="2:5">
      <c r="B267" s="110"/>
      <c r="C267" s="73" t="s">
        <v>181</v>
      </c>
      <c r="D267" s="74">
        <v>6</v>
      </c>
      <c r="E267" s="75">
        <v>6.6725978647699997E-4</v>
      </c>
    </row>
    <row r="268" spans="2:5">
      <c r="B268" s="109"/>
      <c r="C268" s="78" t="s">
        <v>12</v>
      </c>
      <c r="D268" s="77">
        <v>148</v>
      </c>
      <c r="E268" s="80">
        <v>1.6459074733096001E-2</v>
      </c>
    </row>
    <row r="269" spans="2:5">
      <c r="B269" s="108" t="s">
        <v>142</v>
      </c>
      <c r="C269" s="73" t="s">
        <v>175</v>
      </c>
      <c r="D269" s="74">
        <v>61</v>
      </c>
      <c r="E269" s="75">
        <v>6.7838078291810001E-3</v>
      </c>
    </row>
    <row r="270" spans="2:5">
      <c r="B270" s="110"/>
      <c r="C270" s="73" t="s">
        <v>180</v>
      </c>
      <c r="D270" s="74">
        <v>9</v>
      </c>
      <c r="E270" s="75">
        <v>1.000889679715E-3</v>
      </c>
    </row>
    <row r="271" spans="2:5">
      <c r="B271" s="110"/>
      <c r="C271" s="73" t="s">
        <v>177</v>
      </c>
      <c r="D271" s="74">
        <v>3</v>
      </c>
      <c r="E271" s="75">
        <v>3.33629893238E-4</v>
      </c>
    </row>
    <row r="272" spans="2:5">
      <c r="B272" s="110"/>
      <c r="C272" s="73" t="s">
        <v>185</v>
      </c>
      <c r="D272" s="74">
        <v>17</v>
      </c>
      <c r="E272" s="75">
        <v>1.890569395018E-3</v>
      </c>
    </row>
    <row r="273" spans="2:5">
      <c r="B273" s="110"/>
      <c r="C273" s="73" t="s">
        <v>179</v>
      </c>
      <c r="D273" s="74">
        <v>12</v>
      </c>
      <c r="E273" s="75">
        <v>1.3345195729539999E-3</v>
      </c>
    </row>
    <row r="274" spans="2:5">
      <c r="B274" s="110"/>
      <c r="C274" s="73" t="s">
        <v>178</v>
      </c>
      <c r="D274" s="74">
        <v>3</v>
      </c>
      <c r="E274" s="75">
        <v>3.33629893238E-4</v>
      </c>
    </row>
    <row r="275" spans="2:5">
      <c r="B275" s="110"/>
      <c r="C275" s="73" t="s">
        <v>176</v>
      </c>
      <c r="D275" s="74">
        <v>2</v>
      </c>
      <c r="E275" s="75">
        <v>2.2241992882600001E-4</v>
      </c>
    </row>
    <row r="276" spans="2:5">
      <c r="B276" s="109"/>
      <c r="C276" s="78" t="s">
        <v>12</v>
      </c>
      <c r="D276" s="77">
        <v>107</v>
      </c>
      <c r="E276" s="80">
        <v>1.1899466192171001E-2</v>
      </c>
    </row>
    <row r="277" spans="2:5">
      <c r="B277" s="108" t="s">
        <v>143</v>
      </c>
      <c r="C277" s="73" t="s">
        <v>175</v>
      </c>
      <c r="D277" s="74">
        <v>87</v>
      </c>
      <c r="E277" s="75">
        <v>9.6752669039150002E-3</v>
      </c>
    </row>
    <row r="278" spans="2:5">
      <c r="B278" s="110"/>
      <c r="C278" s="73" t="s">
        <v>177</v>
      </c>
      <c r="D278" s="74">
        <v>8</v>
      </c>
      <c r="E278" s="75">
        <v>8.8967971530200002E-4</v>
      </c>
    </row>
    <row r="279" spans="2:5">
      <c r="B279" s="110"/>
      <c r="C279" s="73" t="s">
        <v>182</v>
      </c>
      <c r="D279" s="74">
        <v>2</v>
      </c>
      <c r="E279" s="75">
        <v>2.2241992882600001E-4</v>
      </c>
    </row>
    <row r="280" spans="2:5">
      <c r="B280" s="110"/>
      <c r="C280" s="73" t="s">
        <v>185</v>
      </c>
      <c r="D280" s="74">
        <v>1</v>
      </c>
      <c r="E280" s="75">
        <v>1.1120996441300001E-4</v>
      </c>
    </row>
    <row r="281" spans="2:5">
      <c r="B281" s="110"/>
      <c r="C281" s="73" t="s">
        <v>179</v>
      </c>
      <c r="D281" s="74">
        <v>5</v>
      </c>
      <c r="E281" s="75">
        <v>5.5604982206399996E-4</v>
      </c>
    </row>
    <row r="282" spans="2:5">
      <c r="B282" s="110"/>
      <c r="C282" s="73" t="s">
        <v>176</v>
      </c>
      <c r="D282" s="74">
        <v>6</v>
      </c>
      <c r="E282" s="75">
        <v>6.6725978647699997E-4</v>
      </c>
    </row>
    <row r="283" spans="2:5">
      <c r="B283" s="110"/>
      <c r="C283" s="73" t="s">
        <v>181</v>
      </c>
      <c r="D283" s="74">
        <v>1</v>
      </c>
      <c r="E283" s="75">
        <v>1.1120996441300001E-4</v>
      </c>
    </row>
    <row r="284" spans="2:5">
      <c r="B284" s="109"/>
      <c r="C284" s="78" t="s">
        <v>12</v>
      </c>
      <c r="D284" s="77">
        <v>110</v>
      </c>
      <c r="E284" s="80">
        <v>1.2233096085409E-2</v>
      </c>
    </row>
    <row r="285" spans="2:5">
      <c r="B285" s="108" t="s">
        <v>144</v>
      </c>
      <c r="C285" s="73" t="s">
        <v>175</v>
      </c>
      <c r="D285" s="74">
        <v>56</v>
      </c>
      <c r="E285" s="75">
        <v>6.2277580071169996E-3</v>
      </c>
    </row>
    <row r="286" spans="2:5">
      <c r="B286" s="110"/>
      <c r="C286" s="73" t="s">
        <v>180</v>
      </c>
      <c r="D286" s="74">
        <v>1</v>
      </c>
      <c r="E286" s="75">
        <v>1.1120996441300001E-4</v>
      </c>
    </row>
    <row r="287" spans="2:5">
      <c r="B287" s="110"/>
      <c r="C287" s="73" t="s">
        <v>177</v>
      </c>
      <c r="D287" s="74">
        <v>4</v>
      </c>
      <c r="E287" s="75">
        <v>4.4483985765100001E-4</v>
      </c>
    </row>
    <row r="288" spans="2:5">
      <c r="B288" s="110"/>
      <c r="C288" s="73" t="s">
        <v>186</v>
      </c>
      <c r="D288" s="74">
        <v>1</v>
      </c>
      <c r="E288" s="75">
        <v>1.1120996441300001E-4</v>
      </c>
    </row>
    <row r="289" spans="2:5">
      <c r="B289" s="110"/>
      <c r="C289" s="73" t="s">
        <v>179</v>
      </c>
      <c r="D289" s="74">
        <v>8</v>
      </c>
      <c r="E289" s="75">
        <v>8.8967971530200002E-4</v>
      </c>
    </row>
    <row r="290" spans="2:5">
      <c r="B290" s="110"/>
      <c r="C290" s="73" t="s">
        <v>178</v>
      </c>
      <c r="D290" s="74">
        <v>8</v>
      </c>
      <c r="E290" s="75">
        <v>8.8967971530200002E-4</v>
      </c>
    </row>
    <row r="291" spans="2:5">
      <c r="B291" s="110"/>
      <c r="C291" s="73" t="s">
        <v>176</v>
      </c>
      <c r="D291" s="74">
        <v>6</v>
      </c>
      <c r="E291" s="75">
        <v>6.6725978647699997E-4</v>
      </c>
    </row>
    <row r="292" spans="2:5">
      <c r="B292" s="110"/>
      <c r="C292" s="73" t="s">
        <v>181</v>
      </c>
      <c r="D292" s="74">
        <v>2</v>
      </c>
      <c r="E292" s="75">
        <v>2.2241992882600001E-4</v>
      </c>
    </row>
    <row r="293" spans="2:5">
      <c r="B293" s="110"/>
      <c r="C293" s="73" t="s">
        <v>183</v>
      </c>
      <c r="D293" s="74">
        <v>2</v>
      </c>
      <c r="E293" s="75">
        <v>2.2241992882600001E-4</v>
      </c>
    </row>
    <row r="294" spans="2:5">
      <c r="B294" s="109"/>
      <c r="C294" s="78" t="s">
        <v>12</v>
      </c>
      <c r="D294" s="77">
        <v>88</v>
      </c>
      <c r="E294" s="80">
        <v>9.7864768683269994E-3</v>
      </c>
    </row>
    <row r="295" spans="2:5">
      <c r="B295" s="108" t="s">
        <v>145</v>
      </c>
      <c r="C295" s="73" t="s">
        <v>175</v>
      </c>
      <c r="D295" s="74">
        <v>8</v>
      </c>
      <c r="E295" s="75">
        <v>8.8967971530200002E-4</v>
      </c>
    </row>
    <row r="296" spans="2:5">
      <c r="B296" s="110"/>
      <c r="C296" s="73" t="s">
        <v>177</v>
      </c>
      <c r="D296" s="74">
        <v>5</v>
      </c>
      <c r="E296" s="75">
        <v>5.5604982206399996E-4</v>
      </c>
    </row>
    <row r="297" spans="2:5">
      <c r="B297" s="110"/>
      <c r="C297" s="73" t="s">
        <v>179</v>
      </c>
      <c r="D297" s="74">
        <v>1</v>
      </c>
      <c r="E297" s="75">
        <v>1.1120996441300001E-4</v>
      </c>
    </row>
    <row r="298" spans="2:5">
      <c r="B298" s="110"/>
      <c r="C298" s="73" t="s">
        <v>178</v>
      </c>
      <c r="D298" s="74">
        <v>1</v>
      </c>
      <c r="E298" s="75">
        <v>1.1120996441300001E-4</v>
      </c>
    </row>
    <row r="299" spans="2:5">
      <c r="B299" s="110"/>
      <c r="C299" s="73" t="s">
        <v>176</v>
      </c>
      <c r="D299" s="74">
        <v>1</v>
      </c>
      <c r="E299" s="75">
        <v>1.1120996441300001E-4</v>
      </c>
    </row>
    <row r="300" spans="2:5">
      <c r="B300" s="109"/>
      <c r="C300" s="78" t="s">
        <v>12</v>
      </c>
      <c r="D300" s="77">
        <v>16</v>
      </c>
      <c r="E300" s="80">
        <v>1.7793594306049999E-3</v>
      </c>
    </row>
    <row r="301" spans="2:5">
      <c r="B301" s="108" t="s">
        <v>146</v>
      </c>
      <c r="C301" s="73" t="s">
        <v>175</v>
      </c>
      <c r="D301" s="74">
        <v>14</v>
      </c>
      <c r="E301" s="75">
        <v>1.5569395017790001E-3</v>
      </c>
    </row>
    <row r="302" spans="2:5">
      <c r="B302" s="110"/>
      <c r="C302" s="73" t="s">
        <v>180</v>
      </c>
      <c r="D302" s="74">
        <v>1</v>
      </c>
      <c r="E302" s="75">
        <v>1.1120996441300001E-4</v>
      </c>
    </row>
    <row r="303" spans="2:5">
      <c r="B303" s="110"/>
      <c r="C303" s="73" t="s">
        <v>177</v>
      </c>
      <c r="D303" s="74">
        <v>1</v>
      </c>
      <c r="E303" s="75">
        <v>1.1120996441300001E-4</v>
      </c>
    </row>
    <row r="304" spans="2:5">
      <c r="B304" s="110"/>
      <c r="C304" s="73" t="s">
        <v>186</v>
      </c>
      <c r="D304" s="74">
        <v>2</v>
      </c>
      <c r="E304" s="75">
        <v>2.2241992882600001E-4</v>
      </c>
    </row>
    <row r="305" spans="2:5">
      <c r="B305" s="110"/>
      <c r="C305" s="73" t="s">
        <v>179</v>
      </c>
      <c r="D305" s="74">
        <v>3</v>
      </c>
      <c r="E305" s="75">
        <v>3.33629893238E-4</v>
      </c>
    </row>
    <row r="306" spans="2:5">
      <c r="B306" s="110"/>
      <c r="C306" s="73" t="s">
        <v>178</v>
      </c>
      <c r="D306" s="74">
        <v>6</v>
      </c>
      <c r="E306" s="75">
        <v>6.6725978647699997E-4</v>
      </c>
    </row>
    <row r="307" spans="2:5">
      <c r="B307" s="110"/>
      <c r="C307" s="73" t="s">
        <v>176</v>
      </c>
      <c r="D307" s="74">
        <v>2</v>
      </c>
      <c r="E307" s="75">
        <v>2.2241992882600001E-4</v>
      </c>
    </row>
    <row r="308" spans="2:5">
      <c r="B308" s="110"/>
      <c r="C308" s="73" t="s">
        <v>181</v>
      </c>
      <c r="D308" s="74">
        <v>2</v>
      </c>
      <c r="E308" s="75">
        <v>2.2241992882600001E-4</v>
      </c>
    </row>
    <row r="309" spans="2:5">
      <c r="B309" s="110"/>
      <c r="C309" s="73" t="s">
        <v>184</v>
      </c>
      <c r="D309" s="74">
        <v>1</v>
      </c>
      <c r="E309" s="75">
        <v>1.1120996441300001E-4</v>
      </c>
    </row>
    <row r="310" spans="2:5">
      <c r="B310" s="109"/>
      <c r="C310" s="78" t="s">
        <v>12</v>
      </c>
      <c r="D310" s="77">
        <v>32</v>
      </c>
      <c r="E310" s="80">
        <v>3.5587188612099998E-3</v>
      </c>
    </row>
    <row r="311" spans="2:5">
      <c r="B311" s="108" t="s">
        <v>147</v>
      </c>
      <c r="C311" s="73" t="s">
        <v>175</v>
      </c>
      <c r="D311" s="74">
        <v>96</v>
      </c>
      <c r="E311" s="75">
        <v>1.0676156583629999E-2</v>
      </c>
    </row>
    <row r="312" spans="2:5">
      <c r="B312" s="110"/>
      <c r="C312" s="73" t="s">
        <v>180</v>
      </c>
      <c r="D312" s="74">
        <v>19</v>
      </c>
      <c r="E312" s="75">
        <v>2.1129893238430002E-3</v>
      </c>
    </row>
    <row r="313" spans="2:5">
      <c r="B313" s="110"/>
      <c r="C313" s="73" t="s">
        <v>177</v>
      </c>
      <c r="D313" s="74">
        <v>15</v>
      </c>
      <c r="E313" s="75">
        <v>1.668149466192E-3</v>
      </c>
    </row>
    <row r="314" spans="2:5">
      <c r="B314" s="110"/>
      <c r="C314" s="73" t="s">
        <v>185</v>
      </c>
      <c r="D314" s="74">
        <v>2</v>
      </c>
      <c r="E314" s="75">
        <v>2.2241992882600001E-4</v>
      </c>
    </row>
    <row r="315" spans="2:5">
      <c r="B315" s="110"/>
      <c r="C315" s="73" t="s">
        <v>179</v>
      </c>
      <c r="D315" s="74">
        <v>11</v>
      </c>
      <c r="E315" s="75">
        <v>1.223309608541E-3</v>
      </c>
    </row>
    <row r="316" spans="2:5">
      <c r="B316" s="110"/>
      <c r="C316" s="73" t="s">
        <v>178</v>
      </c>
      <c r="D316" s="74">
        <v>15</v>
      </c>
      <c r="E316" s="75">
        <v>1.668149466192E-3</v>
      </c>
    </row>
    <row r="317" spans="2:5">
      <c r="B317" s="110"/>
      <c r="C317" s="73" t="s">
        <v>176</v>
      </c>
      <c r="D317" s="74">
        <v>26</v>
      </c>
      <c r="E317" s="75">
        <v>2.891459074733E-3</v>
      </c>
    </row>
    <row r="318" spans="2:5">
      <c r="B318" s="110"/>
      <c r="C318" s="73" t="s">
        <v>181</v>
      </c>
      <c r="D318" s="74">
        <v>3</v>
      </c>
      <c r="E318" s="75">
        <v>3.33629893238E-4</v>
      </c>
    </row>
    <row r="319" spans="2:5">
      <c r="B319" s="110"/>
      <c r="C319" s="73" t="s">
        <v>183</v>
      </c>
      <c r="D319" s="74">
        <v>1</v>
      </c>
      <c r="E319" s="75">
        <v>1.1120996441300001E-4</v>
      </c>
    </row>
    <row r="320" spans="2:5">
      <c r="B320" s="109"/>
      <c r="C320" s="78" t="s">
        <v>12</v>
      </c>
      <c r="D320" s="77">
        <v>188</v>
      </c>
      <c r="E320" s="80">
        <v>2.0907473309609001E-2</v>
      </c>
    </row>
    <row r="321" spans="2:5">
      <c r="B321" s="108" t="s">
        <v>148</v>
      </c>
      <c r="C321" s="73" t="s">
        <v>175</v>
      </c>
      <c r="D321" s="74">
        <v>51</v>
      </c>
      <c r="E321" s="75">
        <v>5.671708185053E-3</v>
      </c>
    </row>
    <row r="322" spans="2:5">
      <c r="B322" s="110"/>
      <c r="C322" s="73" t="s">
        <v>180</v>
      </c>
      <c r="D322" s="74">
        <v>2</v>
      </c>
      <c r="E322" s="75">
        <v>2.2241992882600001E-4</v>
      </c>
    </row>
    <row r="323" spans="2:5">
      <c r="B323" s="110"/>
      <c r="C323" s="73" t="s">
        <v>177</v>
      </c>
      <c r="D323" s="74">
        <v>6</v>
      </c>
      <c r="E323" s="75">
        <v>6.6725978647699997E-4</v>
      </c>
    </row>
    <row r="324" spans="2:5">
      <c r="B324" s="110"/>
      <c r="C324" s="73" t="s">
        <v>182</v>
      </c>
      <c r="D324" s="74">
        <v>20</v>
      </c>
      <c r="E324" s="75">
        <v>2.2241992882559999E-3</v>
      </c>
    </row>
    <row r="325" spans="2:5">
      <c r="B325" s="110"/>
      <c r="C325" s="73" t="s">
        <v>186</v>
      </c>
      <c r="D325" s="74">
        <v>1</v>
      </c>
      <c r="E325" s="75">
        <v>1.1120996441300001E-4</v>
      </c>
    </row>
    <row r="326" spans="2:5">
      <c r="B326" s="110"/>
      <c r="C326" s="73" t="s">
        <v>179</v>
      </c>
      <c r="D326" s="74">
        <v>1</v>
      </c>
      <c r="E326" s="75">
        <v>1.1120996441300001E-4</v>
      </c>
    </row>
    <row r="327" spans="2:5">
      <c r="B327" s="110"/>
      <c r="C327" s="73" t="s">
        <v>178</v>
      </c>
      <c r="D327" s="74">
        <v>8</v>
      </c>
      <c r="E327" s="75">
        <v>8.8967971530200002E-4</v>
      </c>
    </row>
    <row r="328" spans="2:5">
      <c r="B328" s="110"/>
      <c r="C328" s="73" t="s">
        <v>176</v>
      </c>
      <c r="D328" s="74">
        <v>22</v>
      </c>
      <c r="E328" s="75">
        <v>2.4466192170820001E-3</v>
      </c>
    </row>
    <row r="329" spans="2:5">
      <c r="B329" s="109"/>
      <c r="C329" s="78" t="s">
        <v>12</v>
      </c>
      <c r="D329" s="77">
        <v>111</v>
      </c>
      <c r="E329" s="80">
        <v>1.2344306049822E-2</v>
      </c>
    </row>
    <row r="330" spans="2:5">
      <c r="B330" s="108" t="s">
        <v>149</v>
      </c>
      <c r="C330" s="73" t="s">
        <v>175</v>
      </c>
      <c r="D330" s="74">
        <v>48</v>
      </c>
      <c r="E330" s="75">
        <v>5.3380782918149997E-3</v>
      </c>
    </row>
    <row r="331" spans="2:5">
      <c r="B331" s="110"/>
      <c r="C331" s="73" t="s">
        <v>177</v>
      </c>
      <c r="D331" s="74">
        <v>10</v>
      </c>
      <c r="E331" s="75">
        <v>1.1120996441279999E-3</v>
      </c>
    </row>
    <row r="332" spans="2:5">
      <c r="B332" s="110"/>
      <c r="C332" s="73" t="s">
        <v>185</v>
      </c>
      <c r="D332" s="74">
        <v>1</v>
      </c>
      <c r="E332" s="75">
        <v>1.1120996441300001E-4</v>
      </c>
    </row>
    <row r="333" spans="2:5">
      <c r="B333" s="110"/>
      <c r="C333" s="73" t="s">
        <v>179</v>
      </c>
      <c r="D333" s="74">
        <v>11</v>
      </c>
      <c r="E333" s="75">
        <v>1.223309608541E-3</v>
      </c>
    </row>
    <row r="334" spans="2:5">
      <c r="B334" s="110"/>
      <c r="C334" s="73" t="s">
        <v>178</v>
      </c>
      <c r="D334" s="74">
        <v>1</v>
      </c>
      <c r="E334" s="75">
        <v>1.1120996441300001E-4</v>
      </c>
    </row>
    <row r="335" spans="2:5">
      <c r="B335" s="109"/>
      <c r="C335" s="78" t="s">
        <v>12</v>
      </c>
      <c r="D335" s="77">
        <v>71</v>
      </c>
      <c r="E335" s="80">
        <v>7.8959074733099995E-3</v>
      </c>
    </row>
    <row r="336" spans="2:5">
      <c r="B336" s="108" t="s">
        <v>150</v>
      </c>
      <c r="C336" s="73" t="s">
        <v>175</v>
      </c>
      <c r="D336" s="74">
        <v>33</v>
      </c>
      <c r="E336" s="75">
        <v>3.6699288256229999E-3</v>
      </c>
    </row>
    <row r="337" spans="2:5">
      <c r="B337" s="110"/>
      <c r="C337" s="73" t="s">
        <v>180</v>
      </c>
      <c r="D337" s="74">
        <v>2</v>
      </c>
      <c r="E337" s="75">
        <v>2.2241992882600001E-4</v>
      </c>
    </row>
    <row r="338" spans="2:5">
      <c r="B338" s="110"/>
      <c r="C338" s="73" t="s">
        <v>177</v>
      </c>
      <c r="D338" s="74">
        <v>8</v>
      </c>
      <c r="E338" s="75">
        <v>8.8967971530200002E-4</v>
      </c>
    </row>
    <row r="339" spans="2:5">
      <c r="B339" s="110"/>
      <c r="C339" s="73" t="s">
        <v>182</v>
      </c>
      <c r="D339" s="74">
        <v>3</v>
      </c>
      <c r="E339" s="75">
        <v>3.33629893238E-4</v>
      </c>
    </row>
    <row r="340" spans="2:5">
      <c r="B340" s="110"/>
      <c r="C340" s="73" t="s">
        <v>179</v>
      </c>
      <c r="D340" s="74">
        <v>5</v>
      </c>
      <c r="E340" s="75">
        <v>5.5604982206399996E-4</v>
      </c>
    </row>
    <row r="341" spans="2:5">
      <c r="B341" s="110"/>
      <c r="C341" s="73" t="s">
        <v>178</v>
      </c>
      <c r="D341" s="74">
        <v>17</v>
      </c>
      <c r="E341" s="75">
        <v>1.890569395018E-3</v>
      </c>
    </row>
    <row r="342" spans="2:5">
      <c r="B342" s="110"/>
      <c r="C342" s="73" t="s">
        <v>176</v>
      </c>
      <c r="D342" s="74">
        <v>25</v>
      </c>
      <c r="E342" s="75">
        <v>2.7802491103199999E-3</v>
      </c>
    </row>
    <row r="343" spans="2:5">
      <c r="B343" s="110"/>
      <c r="C343" s="73" t="s">
        <v>183</v>
      </c>
      <c r="D343" s="74">
        <v>3</v>
      </c>
      <c r="E343" s="75">
        <v>3.33629893238E-4</v>
      </c>
    </row>
    <row r="344" spans="2:5">
      <c r="B344" s="109"/>
      <c r="C344" s="78" t="s">
        <v>12</v>
      </c>
      <c r="D344" s="77">
        <v>96</v>
      </c>
      <c r="E344" s="80">
        <v>1.0676156583629999E-2</v>
      </c>
    </row>
    <row r="345" spans="2:5">
      <c r="B345" s="108" t="s">
        <v>151</v>
      </c>
      <c r="C345" s="73" t="s">
        <v>175</v>
      </c>
      <c r="D345" s="74">
        <v>93</v>
      </c>
      <c r="E345" s="75">
        <v>1.0342526690391001E-2</v>
      </c>
    </row>
    <row r="346" spans="2:5">
      <c r="B346" s="110"/>
      <c r="C346" s="73" t="s">
        <v>180</v>
      </c>
      <c r="D346" s="74">
        <v>3</v>
      </c>
      <c r="E346" s="75">
        <v>3.33629893238E-4</v>
      </c>
    </row>
    <row r="347" spans="2:5">
      <c r="B347" s="110"/>
      <c r="C347" s="73" t="s">
        <v>177</v>
      </c>
      <c r="D347" s="74">
        <v>8</v>
      </c>
      <c r="E347" s="75">
        <v>8.8967971530200002E-4</v>
      </c>
    </row>
    <row r="348" spans="2:5">
      <c r="B348" s="110"/>
      <c r="C348" s="73" t="s">
        <v>179</v>
      </c>
      <c r="D348" s="74">
        <v>5</v>
      </c>
      <c r="E348" s="75">
        <v>5.5604982206399996E-4</v>
      </c>
    </row>
    <row r="349" spans="2:5">
      <c r="B349" s="110"/>
      <c r="C349" s="73" t="s">
        <v>178</v>
      </c>
      <c r="D349" s="74">
        <v>5</v>
      </c>
      <c r="E349" s="75">
        <v>5.5604982206399996E-4</v>
      </c>
    </row>
    <row r="350" spans="2:5">
      <c r="B350" s="110"/>
      <c r="C350" s="73" t="s">
        <v>176</v>
      </c>
      <c r="D350" s="74">
        <v>14</v>
      </c>
      <c r="E350" s="75">
        <v>1.5569395017790001E-3</v>
      </c>
    </row>
    <row r="351" spans="2:5">
      <c r="B351" s="110"/>
      <c r="C351" s="73" t="s">
        <v>181</v>
      </c>
      <c r="D351" s="74">
        <v>1</v>
      </c>
      <c r="E351" s="75">
        <v>1.1120996441300001E-4</v>
      </c>
    </row>
    <row r="352" spans="2:5">
      <c r="B352" s="109"/>
      <c r="C352" s="78" t="s">
        <v>12</v>
      </c>
      <c r="D352" s="77">
        <v>129</v>
      </c>
      <c r="E352" s="80">
        <v>1.4346085409252999E-2</v>
      </c>
    </row>
    <row r="353" spans="2:5">
      <c r="B353" s="108" t="s">
        <v>152</v>
      </c>
      <c r="C353" s="73" t="s">
        <v>175</v>
      </c>
      <c r="D353" s="74">
        <v>133</v>
      </c>
      <c r="E353" s="75">
        <v>1.4790925266904001E-2</v>
      </c>
    </row>
    <row r="354" spans="2:5">
      <c r="B354" s="110"/>
      <c r="C354" s="73" t="s">
        <v>180</v>
      </c>
      <c r="D354" s="74">
        <v>10</v>
      </c>
      <c r="E354" s="75">
        <v>1.1120996441279999E-3</v>
      </c>
    </row>
    <row r="355" spans="2:5">
      <c r="B355" s="110"/>
      <c r="C355" s="73" t="s">
        <v>177</v>
      </c>
      <c r="D355" s="74">
        <v>27</v>
      </c>
      <c r="E355" s="75">
        <v>3.0026690391460002E-3</v>
      </c>
    </row>
    <row r="356" spans="2:5">
      <c r="B356" s="110"/>
      <c r="C356" s="73" t="s">
        <v>182</v>
      </c>
      <c r="D356" s="74">
        <v>1</v>
      </c>
      <c r="E356" s="75">
        <v>1.1120996441300001E-4</v>
      </c>
    </row>
    <row r="357" spans="2:5">
      <c r="B357" s="110"/>
      <c r="C357" s="73" t="s">
        <v>185</v>
      </c>
      <c r="D357" s="74">
        <v>2</v>
      </c>
      <c r="E357" s="75">
        <v>2.2241992882600001E-4</v>
      </c>
    </row>
    <row r="358" spans="2:5">
      <c r="B358" s="110"/>
      <c r="C358" s="73" t="s">
        <v>179</v>
      </c>
      <c r="D358" s="74">
        <v>22</v>
      </c>
      <c r="E358" s="75">
        <v>2.4466192170820001E-3</v>
      </c>
    </row>
    <row r="359" spans="2:5">
      <c r="B359" s="110"/>
      <c r="C359" s="73" t="s">
        <v>178</v>
      </c>
      <c r="D359" s="74">
        <v>6</v>
      </c>
      <c r="E359" s="75">
        <v>6.6725978647699997E-4</v>
      </c>
    </row>
    <row r="360" spans="2:5">
      <c r="B360" s="110"/>
      <c r="C360" s="73" t="s">
        <v>176</v>
      </c>
      <c r="D360" s="74">
        <v>13</v>
      </c>
      <c r="E360" s="75">
        <v>1.4457295373670001E-3</v>
      </c>
    </row>
    <row r="361" spans="2:5">
      <c r="B361" s="110"/>
      <c r="C361" s="73" t="s">
        <v>181</v>
      </c>
      <c r="D361" s="74">
        <v>3</v>
      </c>
      <c r="E361" s="75">
        <v>3.33629893238E-4</v>
      </c>
    </row>
    <row r="362" spans="2:5">
      <c r="B362" s="110"/>
      <c r="C362" s="73" t="s">
        <v>184</v>
      </c>
      <c r="D362" s="74">
        <v>2</v>
      </c>
      <c r="E362" s="75">
        <v>2.2241992882600001E-4</v>
      </c>
    </row>
    <row r="363" spans="2:5">
      <c r="B363" s="110"/>
      <c r="C363" s="73" t="s">
        <v>183</v>
      </c>
      <c r="D363" s="74">
        <v>3</v>
      </c>
      <c r="E363" s="75">
        <v>3.33629893238E-4</v>
      </c>
    </row>
    <row r="364" spans="2:5">
      <c r="B364" s="109"/>
      <c r="C364" s="78" t="s">
        <v>12</v>
      </c>
      <c r="D364" s="77">
        <v>222</v>
      </c>
      <c r="E364" s="80">
        <v>2.4688612099644E-2</v>
      </c>
    </row>
    <row r="365" spans="2:5">
      <c r="B365" s="108" t="s">
        <v>153</v>
      </c>
      <c r="C365" s="73" t="s">
        <v>175</v>
      </c>
      <c r="D365" s="74">
        <v>40</v>
      </c>
      <c r="E365" s="75">
        <v>4.4483985765119997E-3</v>
      </c>
    </row>
    <row r="366" spans="2:5">
      <c r="B366" s="110"/>
      <c r="C366" s="73" t="s">
        <v>177</v>
      </c>
      <c r="D366" s="74">
        <v>3</v>
      </c>
      <c r="E366" s="75">
        <v>3.33629893238E-4</v>
      </c>
    </row>
    <row r="367" spans="2:5">
      <c r="B367" s="110"/>
      <c r="C367" s="73" t="s">
        <v>182</v>
      </c>
      <c r="D367" s="74">
        <v>1</v>
      </c>
      <c r="E367" s="75">
        <v>1.1120996441300001E-4</v>
      </c>
    </row>
    <row r="368" spans="2:5">
      <c r="B368" s="110"/>
      <c r="C368" s="73" t="s">
        <v>185</v>
      </c>
      <c r="D368" s="74">
        <v>1</v>
      </c>
      <c r="E368" s="75">
        <v>1.1120996441300001E-4</v>
      </c>
    </row>
    <row r="369" spans="2:5">
      <c r="B369" s="110"/>
      <c r="C369" s="73" t="s">
        <v>179</v>
      </c>
      <c r="D369" s="74">
        <v>3</v>
      </c>
      <c r="E369" s="75">
        <v>3.33629893238E-4</v>
      </c>
    </row>
    <row r="370" spans="2:5">
      <c r="B370" s="110"/>
      <c r="C370" s="73" t="s">
        <v>178</v>
      </c>
      <c r="D370" s="74">
        <v>2</v>
      </c>
      <c r="E370" s="75">
        <v>2.2241992882600001E-4</v>
      </c>
    </row>
    <row r="371" spans="2:5">
      <c r="B371" s="110"/>
      <c r="C371" s="73" t="s">
        <v>176</v>
      </c>
      <c r="D371" s="74">
        <v>4</v>
      </c>
      <c r="E371" s="75">
        <v>4.4483985765100001E-4</v>
      </c>
    </row>
    <row r="372" spans="2:5">
      <c r="B372" s="110"/>
      <c r="C372" s="73" t="s">
        <v>183</v>
      </c>
      <c r="D372" s="74">
        <v>2</v>
      </c>
      <c r="E372" s="75">
        <v>2.2241992882600001E-4</v>
      </c>
    </row>
    <row r="373" spans="2:5">
      <c r="B373" s="109"/>
      <c r="C373" s="78" t="s">
        <v>12</v>
      </c>
      <c r="D373" s="77">
        <v>56</v>
      </c>
      <c r="E373" s="80">
        <v>6.2277580071169996E-3</v>
      </c>
    </row>
    <row r="374" spans="2:5">
      <c r="B374" s="108" t="s">
        <v>154</v>
      </c>
      <c r="C374" s="73" t="s">
        <v>175</v>
      </c>
      <c r="D374" s="74">
        <v>39</v>
      </c>
      <c r="E374" s="75">
        <v>4.3371886120999997E-3</v>
      </c>
    </row>
    <row r="375" spans="2:5">
      <c r="B375" s="110"/>
      <c r="C375" s="73" t="s">
        <v>180</v>
      </c>
      <c r="D375" s="74">
        <v>5</v>
      </c>
      <c r="E375" s="75">
        <v>5.5604982206399996E-4</v>
      </c>
    </row>
    <row r="376" spans="2:5">
      <c r="B376" s="110"/>
      <c r="C376" s="73" t="s">
        <v>177</v>
      </c>
      <c r="D376" s="74">
        <v>6</v>
      </c>
      <c r="E376" s="75">
        <v>6.6725978647699997E-4</v>
      </c>
    </row>
    <row r="377" spans="2:5">
      <c r="B377" s="110"/>
      <c r="C377" s="73" t="s">
        <v>182</v>
      </c>
      <c r="D377" s="74">
        <v>1</v>
      </c>
      <c r="E377" s="75">
        <v>1.1120996441300001E-4</v>
      </c>
    </row>
    <row r="378" spans="2:5">
      <c r="B378" s="110"/>
      <c r="C378" s="73" t="s">
        <v>186</v>
      </c>
      <c r="D378" s="74">
        <v>2</v>
      </c>
      <c r="E378" s="75">
        <v>2.2241992882600001E-4</v>
      </c>
    </row>
    <row r="379" spans="2:5">
      <c r="B379" s="110"/>
      <c r="C379" s="73" t="s">
        <v>179</v>
      </c>
      <c r="D379" s="74">
        <v>6</v>
      </c>
      <c r="E379" s="75">
        <v>6.6725978647699997E-4</v>
      </c>
    </row>
    <row r="380" spans="2:5">
      <c r="B380" s="110"/>
      <c r="C380" s="73" t="s">
        <v>178</v>
      </c>
      <c r="D380" s="74">
        <v>4</v>
      </c>
      <c r="E380" s="75">
        <v>4.4483985765100001E-4</v>
      </c>
    </row>
    <row r="381" spans="2:5">
      <c r="B381" s="110"/>
      <c r="C381" s="73" t="s">
        <v>176</v>
      </c>
      <c r="D381" s="74">
        <v>3</v>
      </c>
      <c r="E381" s="75">
        <v>3.33629893238E-4</v>
      </c>
    </row>
    <row r="382" spans="2:5">
      <c r="B382" s="110"/>
      <c r="C382" s="73" t="s">
        <v>181</v>
      </c>
      <c r="D382" s="74">
        <v>1</v>
      </c>
      <c r="E382" s="75">
        <v>1.1120996441300001E-4</v>
      </c>
    </row>
    <row r="383" spans="2:5">
      <c r="B383" s="109"/>
      <c r="C383" s="78" t="s">
        <v>12</v>
      </c>
      <c r="D383" s="77">
        <v>67</v>
      </c>
      <c r="E383" s="80">
        <v>7.4510676156579999E-3</v>
      </c>
    </row>
    <row r="384" spans="2:5">
      <c r="B384" s="108" t="s">
        <v>155</v>
      </c>
      <c r="C384" s="73" t="s">
        <v>175</v>
      </c>
      <c r="D384" s="74">
        <v>39</v>
      </c>
      <c r="E384" s="75">
        <v>4.3371886120999997E-3</v>
      </c>
    </row>
    <row r="385" spans="2:5">
      <c r="B385" s="110"/>
      <c r="C385" s="73" t="s">
        <v>180</v>
      </c>
      <c r="D385" s="74">
        <v>4</v>
      </c>
      <c r="E385" s="75">
        <v>4.4483985765100001E-4</v>
      </c>
    </row>
    <row r="386" spans="2:5">
      <c r="B386" s="110"/>
      <c r="C386" s="73" t="s">
        <v>177</v>
      </c>
      <c r="D386" s="74">
        <v>13</v>
      </c>
      <c r="E386" s="75">
        <v>1.4457295373670001E-3</v>
      </c>
    </row>
    <row r="387" spans="2:5">
      <c r="B387" s="110"/>
      <c r="C387" s="73" t="s">
        <v>182</v>
      </c>
      <c r="D387" s="74">
        <v>6</v>
      </c>
      <c r="E387" s="75">
        <v>6.6725978647699997E-4</v>
      </c>
    </row>
    <row r="388" spans="2:5">
      <c r="B388" s="110"/>
      <c r="C388" s="73" t="s">
        <v>185</v>
      </c>
      <c r="D388" s="74">
        <v>1</v>
      </c>
      <c r="E388" s="75">
        <v>1.1120996441300001E-4</v>
      </c>
    </row>
    <row r="389" spans="2:5">
      <c r="B389" s="110"/>
      <c r="C389" s="73" t="s">
        <v>179</v>
      </c>
      <c r="D389" s="74">
        <v>5</v>
      </c>
      <c r="E389" s="75">
        <v>5.5604982206399996E-4</v>
      </c>
    </row>
    <row r="390" spans="2:5">
      <c r="B390" s="110"/>
      <c r="C390" s="73" t="s">
        <v>178</v>
      </c>
      <c r="D390" s="74">
        <v>5</v>
      </c>
      <c r="E390" s="75">
        <v>5.5604982206399996E-4</v>
      </c>
    </row>
    <row r="391" spans="2:5">
      <c r="B391" s="110"/>
      <c r="C391" s="73" t="s">
        <v>176</v>
      </c>
      <c r="D391" s="74">
        <v>4</v>
      </c>
      <c r="E391" s="75">
        <v>4.4483985765100001E-4</v>
      </c>
    </row>
    <row r="392" spans="2:5">
      <c r="B392" s="110"/>
      <c r="C392" s="73" t="s">
        <v>181</v>
      </c>
      <c r="D392" s="74">
        <v>1</v>
      </c>
      <c r="E392" s="75">
        <v>1.1120996441300001E-4</v>
      </c>
    </row>
    <row r="393" spans="2:5">
      <c r="B393" s="110"/>
      <c r="C393" s="73" t="s">
        <v>183</v>
      </c>
      <c r="D393" s="74">
        <v>1</v>
      </c>
      <c r="E393" s="75">
        <v>1.1120996441300001E-4</v>
      </c>
    </row>
    <row r="394" spans="2:5">
      <c r="B394" s="109"/>
      <c r="C394" s="78" t="s">
        <v>12</v>
      </c>
      <c r="D394" s="77">
        <v>79</v>
      </c>
      <c r="E394" s="80">
        <v>8.7855871886120002E-3</v>
      </c>
    </row>
    <row r="395" spans="2:5">
      <c r="B395" s="108" t="s">
        <v>156</v>
      </c>
      <c r="C395" s="73" t="s">
        <v>175</v>
      </c>
      <c r="D395" s="74">
        <v>67</v>
      </c>
      <c r="E395" s="75">
        <v>7.4510676156579999E-3</v>
      </c>
    </row>
    <row r="396" spans="2:5">
      <c r="B396" s="110"/>
      <c r="C396" s="73" t="s">
        <v>180</v>
      </c>
      <c r="D396" s="74">
        <v>2</v>
      </c>
      <c r="E396" s="75">
        <v>2.2241992882600001E-4</v>
      </c>
    </row>
    <row r="397" spans="2:5">
      <c r="B397" s="110"/>
      <c r="C397" s="73" t="s">
        <v>177</v>
      </c>
      <c r="D397" s="74">
        <v>29</v>
      </c>
      <c r="E397" s="75">
        <v>3.225088967972E-3</v>
      </c>
    </row>
    <row r="398" spans="2:5">
      <c r="B398" s="110"/>
      <c r="C398" s="73" t="s">
        <v>182</v>
      </c>
      <c r="D398" s="74">
        <v>2</v>
      </c>
      <c r="E398" s="75">
        <v>2.2241992882600001E-4</v>
      </c>
    </row>
    <row r="399" spans="2:5">
      <c r="B399" s="110"/>
      <c r="C399" s="73" t="s">
        <v>186</v>
      </c>
      <c r="D399" s="74">
        <v>1</v>
      </c>
      <c r="E399" s="75">
        <v>1.1120996441300001E-4</v>
      </c>
    </row>
    <row r="400" spans="2:5">
      <c r="B400" s="110"/>
      <c r="C400" s="73" t="s">
        <v>179</v>
      </c>
      <c r="D400" s="74">
        <v>1</v>
      </c>
      <c r="E400" s="75">
        <v>1.1120996441300001E-4</v>
      </c>
    </row>
    <row r="401" spans="2:5">
      <c r="B401" s="110"/>
      <c r="C401" s="73" t="s">
        <v>178</v>
      </c>
      <c r="D401" s="74">
        <v>3</v>
      </c>
      <c r="E401" s="75">
        <v>3.33629893238E-4</v>
      </c>
    </row>
    <row r="402" spans="2:5">
      <c r="B402" s="110"/>
      <c r="C402" s="73" t="s">
        <v>176</v>
      </c>
      <c r="D402" s="74">
        <v>16</v>
      </c>
      <c r="E402" s="75">
        <v>1.7793594306049999E-3</v>
      </c>
    </row>
    <row r="403" spans="2:5">
      <c r="B403" s="110"/>
      <c r="C403" s="73" t="s">
        <v>181</v>
      </c>
      <c r="D403" s="74">
        <v>1</v>
      </c>
      <c r="E403" s="75">
        <v>1.1120996441300001E-4</v>
      </c>
    </row>
    <row r="404" spans="2:5">
      <c r="B404" s="110"/>
      <c r="C404" s="73" t="s">
        <v>184</v>
      </c>
      <c r="D404" s="74">
        <v>4</v>
      </c>
      <c r="E404" s="75">
        <v>4.4483985765100001E-4</v>
      </c>
    </row>
    <row r="405" spans="2:5">
      <c r="B405" s="110"/>
      <c r="C405" s="73" t="s">
        <v>183</v>
      </c>
      <c r="D405" s="74">
        <v>2</v>
      </c>
      <c r="E405" s="75">
        <v>2.2241992882600001E-4</v>
      </c>
    </row>
    <row r="406" spans="2:5">
      <c r="B406" s="109"/>
      <c r="C406" s="78" t="s">
        <v>12</v>
      </c>
      <c r="D406" s="77">
        <v>128</v>
      </c>
      <c r="E406" s="80">
        <v>1.4234875444839999E-2</v>
      </c>
    </row>
    <row r="407" spans="2:5">
      <c r="B407" s="108" t="s">
        <v>157</v>
      </c>
      <c r="C407" s="73" t="s">
        <v>175</v>
      </c>
      <c r="D407" s="74">
        <v>30</v>
      </c>
      <c r="E407" s="75">
        <v>3.336298932384E-3</v>
      </c>
    </row>
    <row r="408" spans="2:5" ht="15" customHeight="1">
      <c r="B408" s="110"/>
      <c r="C408" s="73" t="s">
        <v>177</v>
      </c>
      <c r="D408" s="74">
        <v>6</v>
      </c>
      <c r="E408" s="75">
        <v>6.6725978647699997E-4</v>
      </c>
    </row>
    <row r="409" spans="2:5" ht="15" customHeight="1">
      <c r="B409" s="110"/>
      <c r="C409" s="73" t="s">
        <v>185</v>
      </c>
      <c r="D409" s="74">
        <v>1</v>
      </c>
      <c r="E409" s="75">
        <v>1.1120996441300001E-4</v>
      </c>
    </row>
    <row r="410" spans="2:5" ht="15" customHeight="1">
      <c r="B410" s="110"/>
      <c r="C410" s="73" t="s">
        <v>179</v>
      </c>
      <c r="D410" s="74">
        <v>3</v>
      </c>
      <c r="E410" s="75">
        <v>3.33629893238E-4</v>
      </c>
    </row>
    <row r="411" spans="2:5" ht="15" customHeight="1">
      <c r="B411" s="110"/>
      <c r="C411" s="73" t="s">
        <v>178</v>
      </c>
      <c r="D411" s="74">
        <v>3</v>
      </c>
      <c r="E411" s="75">
        <v>3.33629893238E-4</v>
      </c>
    </row>
    <row r="412" spans="2:5" ht="15" customHeight="1">
      <c r="B412" s="110"/>
      <c r="C412" s="73" t="s">
        <v>176</v>
      </c>
      <c r="D412" s="74">
        <v>3</v>
      </c>
      <c r="E412" s="75">
        <v>3.33629893238E-4</v>
      </c>
    </row>
    <row r="413" spans="2:5" ht="15" customHeight="1">
      <c r="B413" s="110"/>
      <c r="C413" s="73" t="s">
        <v>184</v>
      </c>
      <c r="D413" s="74">
        <v>2</v>
      </c>
      <c r="E413" s="75">
        <v>2.2241992882600001E-4</v>
      </c>
    </row>
    <row r="414" spans="2:5" ht="15" customHeight="1">
      <c r="B414" s="109"/>
      <c r="C414" s="78" t="s">
        <v>12</v>
      </c>
      <c r="D414" s="77">
        <v>48</v>
      </c>
      <c r="E414" s="80">
        <v>5.3380782918149997E-3</v>
      </c>
    </row>
    <row r="415" spans="2:5" ht="15" customHeight="1">
      <c r="B415" s="108" t="s">
        <v>158</v>
      </c>
      <c r="C415" s="73" t="s">
        <v>175</v>
      </c>
      <c r="D415" s="74">
        <v>7</v>
      </c>
      <c r="E415" s="75">
        <v>7.7846975088999998E-4</v>
      </c>
    </row>
    <row r="416" spans="2:5" ht="15" customHeight="1">
      <c r="B416" s="109"/>
      <c r="C416" s="78" t="s">
        <v>12</v>
      </c>
      <c r="D416" s="77">
        <v>7</v>
      </c>
      <c r="E416" s="80">
        <v>7.7846975088999998E-4</v>
      </c>
    </row>
    <row r="417" spans="2:5" ht="15" customHeight="1">
      <c r="B417" s="108" t="s">
        <v>86</v>
      </c>
      <c r="C417" s="73" t="s">
        <v>175</v>
      </c>
      <c r="D417" s="74">
        <v>20</v>
      </c>
      <c r="E417" s="75">
        <v>2.2241992882559999E-3</v>
      </c>
    </row>
    <row r="418" spans="2:5" ht="15" customHeight="1">
      <c r="B418" s="110"/>
      <c r="C418" s="73" t="s">
        <v>180</v>
      </c>
      <c r="D418" s="74">
        <v>1</v>
      </c>
      <c r="E418" s="75">
        <v>1.1120996441300001E-4</v>
      </c>
    </row>
    <row r="419" spans="2:5" ht="15" customHeight="1">
      <c r="B419" s="110"/>
      <c r="C419" s="73" t="s">
        <v>185</v>
      </c>
      <c r="D419" s="74">
        <v>1</v>
      </c>
      <c r="E419" s="75">
        <v>1.1120996441300001E-4</v>
      </c>
    </row>
    <row r="420" spans="2:5" ht="15" customHeight="1">
      <c r="B420" s="110"/>
      <c r="C420" s="73" t="s">
        <v>179</v>
      </c>
      <c r="D420" s="74">
        <v>3</v>
      </c>
      <c r="E420" s="75">
        <v>3.33629893238E-4</v>
      </c>
    </row>
    <row r="421" spans="2:5" ht="15" customHeight="1">
      <c r="B421" s="110"/>
      <c r="C421" s="73" t="s">
        <v>178</v>
      </c>
      <c r="D421" s="74">
        <v>2</v>
      </c>
      <c r="E421" s="75">
        <v>2.2241992882600001E-4</v>
      </c>
    </row>
    <row r="422" spans="2:5" ht="15" customHeight="1">
      <c r="B422" s="110"/>
      <c r="C422" s="73" t="s">
        <v>176</v>
      </c>
      <c r="D422" s="74">
        <v>1</v>
      </c>
      <c r="E422" s="75">
        <v>1.1120996441300001E-4</v>
      </c>
    </row>
    <row r="423" spans="2:5" ht="15" customHeight="1">
      <c r="B423" s="109"/>
      <c r="C423" s="78" t="s">
        <v>12</v>
      </c>
      <c r="D423" s="77">
        <v>28</v>
      </c>
      <c r="E423" s="80">
        <v>3.1138790035589998E-3</v>
      </c>
    </row>
    <row r="424" spans="2:5" ht="15" customHeight="1">
      <c r="B424" s="108" t="s">
        <v>159</v>
      </c>
      <c r="C424" s="73" t="s">
        <v>175</v>
      </c>
      <c r="D424" s="74">
        <v>2</v>
      </c>
      <c r="E424" s="75">
        <v>2.2241992882600001E-4</v>
      </c>
    </row>
    <row r="425" spans="2:5" ht="15" customHeight="1">
      <c r="B425" s="110"/>
      <c r="C425" s="73" t="s">
        <v>179</v>
      </c>
      <c r="D425" s="74">
        <v>1</v>
      </c>
      <c r="E425" s="75">
        <v>1.1120996441300001E-4</v>
      </c>
    </row>
    <row r="426" spans="2:5" ht="15" customHeight="1">
      <c r="B426" s="110"/>
      <c r="C426" s="73" t="s">
        <v>176</v>
      </c>
      <c r="D426" s="74">
        <v>1</v>
      </c>
      <c r="E426" s="75">
        <v>1.1120996441300001E-4</v>
      </c>
    </row>
    <row r="427" spans="2:5" ht="15" customHeight="1">
      <c r="B427" s="110"/>
      <c r="C427" s="73" t="s">
        <v>183</v>
      </c>
      <c r="D427" s="74">
        <v>1</v>
      </c>
      <c r="E427" s="75">
        <v>1.1120996441300001E-4</v>
      </c>
    </row>
    <row r="428" spans="2:5" ht="15" customHeight="1">
      <c r="B428" s="109"/>
      <c r="C428" s="78" t="s">
        <v>12</v>
      </c>
      <c r="D428" s="77">
        <v>5</v>
      </c>
      <c r="E428" s="80">
        <v>5.5604982206399996E-4</v>
      </c>
    </row>
    <row r="429" spans="2:5" ht="15" customHeight="1">
      <c r="B429" s="111" t="s">
        <v>253</v>
      </c>
      <c r="C429" s="112"/>
      <c r="D429" s="82">
        <v>8992</v>
      </c>
      <c r="E429" s="81">
        <v>1</v>
      </c>
    </row>
    <row r="430" spans="2:5" ht="15" customHeight="1">
      <c r="B430" s="57"/>
      <c r="C430" s="57"/>
      <c r="D430" s="57"/>
      <c r="E430" s="57"/>
    </row>
    <row r="431" spans="2:5" ht="15" customHeight="1">
      <c r="B431" s="44" t="s">
        <v>170</v>
      </c>
      <c r="D431" s="57"/>
      <c r="E431" s="57"/>
    </row>
    <row r="432" spans="2:5" ht="15" customHeight="1">
      <c r="B432" s="45" t="s">
        <v>3</v>
      </c>
      <c r="D432" s="57"/>
      <c r="E432" s="57"/>
    </row>
    <row r="433" spans="2:5" ht="15" customHeight="1">
      <c r="B433" s="46" t="s">
        <v>43</v>
      </c>
      <c r="D433" s="57"/>
      <c r="E433" s="57"/>
    </row>
    <row r="434" spans="2:5" ht="15" customHeight="1">
      <c r="B434" s="44" t="s">
        <v>4</v>
      </c>
      <c r="D434" s="57"/>
      <c r="E434" s="57"/>
    </row>
    <row r="435" spans="2:5" ht="15" customHeight="1">
      <c r="B435" s="44" t="s">
        <v>252</v>
      </c>
      <c r="D435" s="57"/>
      <c r="E435" s="57"/>
    </row>
  </sheetData>
  <mergeCells count="53">
    <mergeCell ref="B429:C429"/>
    <mergeCell ref="B417:B423"/>
    <mergeCell ref="B424:B428"/>
    <mergeCell ref="B374:B383"/>
    <mergeCell ref="B384:B394"/>
    <mergeCell ref="B395:B406"/>
    <mergeCell ref="B407:B414"/>
    <mergeCell ref="B415:B416"/>
    <mergeCell ref="B330:B335"/>
    <mergeCell ref="B336:B344"/>
    <mergeCell ref="B345:B352"/>
    <mergeCell ref="B353:B364"/>
    <mergeCell ref="B365:B373"/>
    <mergeCell ref="B285:B294"/>
    <mergeCell ref="B295:B300"/>
    <mergeCell ref="B301:B310"/>
    <mergeCell ref="B311:B320"/>
    <mergeCell ref="B321:B329"/>
    <mergeCell ref="B240:B246"/>
    <mergeCell ref="B247:B258"/>
    <mergeCell ref="B259:B268"/>
    <mergeCell ref="B269:B276"/>
    <mergeCell ref="B277:B284"/>
    <mergeCell ref="B213:B222"/>
    <mergeCell ref="B223:B229"/>
    <mergeCell ref="B230:B231"/>
    <mergeCell ref="B232:B233"/>
    <mergeCell ref="B234:B239"/>
    <mergeCell ref="B164:B168"/>
    <mergeCell ref="B169:B180"/>
    <mergeCell ref="B181:B192"/>
    <mergeCell ref="B193:B204"/>
    <mergeCell ref="B205:B212"/>
    <mergeCell ref="B119:B121"/>
    <mergeCell ref="B122:B131"/>
    <mergeCell ref="B132:B143"/>
    <mergeCell ref="B144:B153"/>
    <mergeCell ref="B154:B163"/>
    <mergeCell ref="B86:B88"/>
    <mergeCell ref="B89:B99"/>
    <mergeCell ref="B100:B108"/>
    <mergeCell ref="B109:B110"/>
    <mergeCell ref="B111:B118"/>
    <mergeCell ref="B50:B51"/>
    <mergeCell ref="B52:B57"/>
    <mergeCell ref="B58:B60"/>
    <mergeCell ref="B61:B72"/>
    <mergeCell ref="B73:B85"/>
    <mergeCell ref="B7:E8"/>
    <mergeCell ref="B10:B19"/>
    <mergeCell ref="B20:B30"/>
    <mergeCell ref="B31:B40"/>
    <mergeCell ref="B41:B4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7">
    <tabColor rgb="FF92D050"/>
  </sheetPr>
  <dimension ref="B1:G42"/>
  <sheetViews>
    <sheetView showGridLines="0" view="pageBreakPreview" zoomScale="90" zoomScaleNormal="100" zoomScaleSheetLayoutView="90" workbookViewId="0">
      <selection activeCell="I16" sqref="I16"/>
    </sheetView>
  </sheetViews>
  <sheetFormatPr baseColWidth="10" defaultColWidth="11.42578125" defaultRowHeight="15"/>
  <cols>
    <col min="1" max="1" width="9.28515625" style="5" customWidth="1"/>
    <col min="2" max="2" width="34.5703125" style="5" customWidth="1"/>
    <col min="3" max="3" width="15.85546875" style="5" customWidth="1"/>
    <col min="4" max="4" width="12.7109375" style="5" customWidth="1"/>
    <col min="5" max="5" width="5.7109375" style="5" customWidth="1"/>
    <col min="6" max="16384" width="11.42578125" style="5"/>
  </cols>
  <sheetData>
    <row r="1" spans="2:7" s="1" customFormat="1" ht="15" customHeight="1"/>
    <row r="2" spans="2:7" s="1" customFormat="1" ht="15" customHeight="1"/>
    <row r="3" spans="2:7" s="1" customFormat="1" ht="15" customHeight="1"/>
    <row r="4" spans="2:7" s="1" customFormat="1" ht="30" customHeight="1">
      <c r="C4" s="3"/>
    </row>
    <row r="5" spans="2:7" s="1" customFormat="1" ht="15" customHeight="1">
      <c r="C5" s="3"/>
    </row>
    <row r="6" spans="2:7" s="1" customFormat="1" ht="15" customHeight="1">
      <c r="C6" s="3"/>
    </row>
    <row r="7" spans="2:7" s="1" customFormat="1" ht="15" customHeight="1">
      <c r="B7" s="107" t="s">
        <v>36</v>
      </c>
      <c r="C7" s="107"/>
      <c r="D7" s="58"/>
      <c r="G7" s="89"/>
    </row>
    <row r="8" spans="2:7" s="1" customFormat="1" ht="15" customHeight="1">
      <c r="B8" s="107"/>
      <c r="C8" s="107"/>
      <c r="D8" s="58"/>
    </row>
    <row r="9" spans="2:7" s="1" customFormat="1" ht="33" customHeight="1">
      <c r="B9" s="107"/>
      <c r="C9" s="107"/>
      <c r="D9" s="58"/>
    </row>
    <row r="10" spans="2:7" s="1" customFormat="1" ht="4.5" customHeight="1">
      <c r="B10" s="50"/>
      <c r="C10" s="50"/>
      <c r="D10" s="58"/>
    </row>
    <row r="11" spans="2:7" s="1" customFormat="1" ht="40.5" customHeight="1">
      <c r="B11" s="47" t="s">
        <v>10</v>
      </c>
      <c r="C11" s="48" t="s">
        <v>9</v>
      </c>
      <c r="D11" s="49" t="s">
        <v>2</v>
      </c>
    </row>
    <row r="12" spans="2:7" ht="15" customHeight="1">
      <c r="B12" s="76" t="s">
        <v>89</v>
      </c>
      <c r="C12" s="74">
        <v>60</v>
      </c>
      <c r="D12" s="75">
        <v>6.6725978647690001E-3</v>
      </c>
    </row>
    <row r="13" spans="2:7" ht="15" customHeight="1">
      <c r="B13" s="76" t="s">
        <v>90</v>
      </c>
      <c r="C13" s="74">
        <v>25</v>
      </c>
      <c r="D13" s="75">
        <v>2.7802491103199999E-3</v>
      </c>
    </row>
    <row r="14" spans="2:7" ht="15" customHeight="1">
      <c r="B14" s="76" t="s">
        <v>91</v>
      </c>
      <c r="C14" s="74">
        <v>36</v>
      </c>
      <c r="D14" s="75">
        <v>4.0035587188610002E-3</v>
      </c>
    </row>
    <row r="15" spans="2:7" ht="15" customHeight="1">
      <c r="B15" s="76" t="s">
        <v>92</v>
      </c>
      <c r="C15" s="74">
        <v>103</v>
      </c>
      <c r="D15" s="75">
        <v>1.1454626334519999E-2</v>
      </c>
    </row>
    <row r="16" spans="2:7" ht="15" customHeight="1">
      <c r="B16" s="76" t="s">
        <v>93</v>
      </c>
      <c r="C16" s="74">
        <v>89</v>
      </c>
      <c r="D16" s="75">
        <v>9.8976868327399995E-3</v>
      </c>
    </row>
    <row r="17" spans="2:4" ht="15" customHeight="1">
      <c r="B17" s="76" t="s">
        <v>94</v>
      </c>
      <c r="C17" s="74">
        <v>110</v>
      </c>
      <c r="D17" s="75">
        <v>1.2233096085409E-2</v>
      </c>
    </row>
    <row r="18" spans="2:4" ht="15" customHeight="1">
      <c r="B18" s="76" t="s">
        <v>95</v>
      </c>
      <c r="C18" s="74">
        <v>569</v>
      </c>
      <c r="D18" s="75">
        <v>6.3278469750890007E-2</v>
      </c>
    </row>
    <row r="19" spans="2:4" ht="15" customHeight="1">
      <c r="B19" s="76" t="s">
        <v>96</v>
      </c>
      <c r="C19" s="74">
        <v>1078</v>
      </c>
      <c r="D19" s="75">
        <v>0.119884341637011</v>
      </c>
    </row>
    <row r="20" spans="2:4" ht="15" customHeight="1">
      <c r="B20" s="76" t="s">
        <v>97</v>
      </c>
      <c r="C20" s="74">
        <v>95</v>
      </c>
      <c r="D20" s="75">
        <v>1.0564946619216999E-2</v>
      </c>
    </row>
    <row r="21" spans="2:4" ht="15" customHeight="1">
      <c r="B21" s="76" t="s">
        <v>98</v>
      </c>
      <c r="C21" s="74">
        <v>214</v>
      </c>
      <c r="D21" s="75">
        <v>2.3798932384342001E-2</v>
      </c>
    </row>
    <row r="22" spans="2:4" ht="15" customHeight="1">
      <c r="B22" s="76" t="s">
        <v>99</v>
      </c>
      <c r="C22" s="74">
        <v>454</v>
      </c>
      <c r="D22" s="75">
        <v>5.0489323843415999E-2</v>
      </c>
    </row>
    <row r="23" spans="2:4" ht="15" customHeight="1">
      <c r="B23" s="76" t="s">
        <v>100</v>
      </c>
      <c r="C23" s="74">
        <v>3290</v>
      </c>
      <c r="D23" s="75">
        <v>0.36588078291814902</v>
      </c>
    </row>
    <row r="24" spans="2:4" ht="15" customHeight="1">
      <c r="B24" s="76" t="s">
        <v>101</v>
      </c>
      <c r="C24" s="74">
        <v>90</v>
      </c>
      <c r="D24" s="75">
        <v>1.0008896797153E-2</v>
      </c>
    </row>
    <row r="25" spans="2:4" ht="15" customHeight="1">
      <c r="B25" s="76" t="s">
        <v>102</v>
      </c>
      <c r="C25" s="74">
        <v>489</v>
      </c>
      <c r="D25" s="75">
        <v>5.4381672597865E-2</v>
      </c>
    </row>
    <row r="26" spans="2:4" ht="15" customHeight="1">
      <c r="B26" s="76" t="s">
        <v>103</v>
      </c>
      <c r="C26" s="74">
        <v>1836</v>
      </c>
      <c r="D26" s="75">
        <v>0.20418149466192201</v>
      </c>
    </row>
    <row r="27" spans="2:4" ht="15" customHeight="1">
      <c r="B27" s="76" t="s">
        <v>104</v>
      </c>
      <c r="C27" s="74">
        <v>33</v>
      </c>
      <c r="D27" s="75">
        <v>3.6699288256229999E-3</v>
      </c>
    </row>
    <row r="28" spans="2:4" ht="15" customHeight="1">
      <c r="B28" s="76" t="s">
        <v>105</v>
      </c>
      <c r="C28" s="74">
        <v>27</v>
      </c>
      <c r="D28" s="75">
        <v>3.0026690391460002E-3</v>
      </c>
    </row>
    <row r="29" spans="2:4" ht="15" customHeight="1">
      <c r="B29" s="76" t="s">
        <v>106</v>
      </c>
      <c r="C29" s="74">
        <v>16</v>
      </c>
      <c r="D29" s="75">
        <v>1.7793594306049999E-3</v>
      </c>
    </row>
    <row r="30" spans="2:4" ht="15" customHeight="1">
      <c r="B30" s="76" t="s">
        <v>107</v>
      </c>
      <c r="C30" s="74">
        <v>8</v>
      </c>
      <c r="D30" s="75">
        <v>8.8967971530200002E-4</v>
      </c>
    </row>
    <row r="31" spans="2:4" ht="15" customHeight="1">
      <c r="B31" s="76" t="s">
        <v>108</v>
      </c>
      <c r="C31" s="74">
        <v>85</v>
      </c>
      <c r="D31" s="75">
        <v>9.452846975089E-3</v>
      </c>
    </row>
    <row r="32" spans="2:4" ht="15" customHeight="1">
      <c r="B32" s="76" t="s">
        <v>109</v>
      </c>
      <c r="C32" s="74">
        <v>265</v>
      </c>
      <c r="D32" s="75">
        <v>2.9470640569394999E-2</v>
      </c>
    </row>
    <row r="33" spans="2:4" ht="15" customHeight="1">
      <c r="B33" s="76" t="s">
        <v>110</v>
      </c>
      <c r="C33" s="74">
        <v>11</v>
      </c>
      <c r="D33" s="75">
        <v>1.223309608541E-3</v>
      </c>
    </row>
    <row r="34" spans="2:4" ht="15" customHeight="1">
      <c r="B34" s="76" t="s">
        <v>111</v>
      </c>
      <c r="C34" s="74">
        <v>7</v>
      </c>
      <c r="D34" s="75">
        <v>7.7846975088999998E-4</v>
      </c>
    </row>
    <row r="35" spans="2:4" ht="15" customHeight="1">
      <c r="B35" s="76" t="s">
        <v>112</v>
      </c>
      <c r="C35" s="74">
        <v>2</v>
      </c>
      <c r="D35" s="75">
        <v>2.2241992882600001E-4</v>
      </c>
    </row>
    <row r="36" spans="2:4" ht="15" customHeight="1">
      <c r="B36" s="91" t="s">
        <v>12</v>
      </c>
      <c r="C36" s="42">
        <f>SUM(C12,C13,C14,C15,C16,C17,C18,C19,C20,C21,C22,C23,C24,C25,C26,C27,C28,C29,C30,C31,C32,C33,C34,C35)</f>
        <v>8992</v>
      </c>
      <c r="D36" s="43">
        <v>1</v>
      </c>
    </row>
    <row r="37" spans="2:4" ht="16.5">
      <c r="B37" s="52"/>
      <c r="C37" s="52"/>
      <c r="D37" s="52"/>
    </row>
    <row r="38" spans="2:4" ht="16.5">
      <c r="B38" s="44" t="s">
        <v>170</v>
      </c>
      <c r="C38" s="52"/>
      <c r="D38" s="52"/>
    </row>
    <row r="39" spans="2:4" ht="16.5">
      <c r="B39" s="45" t="s">
        <v>3</v>
      </c>
      <c r="C39" s="52"/>
      <c r="D39" s="52"/>
    </row>
    <row r="40" spans="2:4" ht="16.5">
      <c r="B40" s="46" t="s">
        <v>43</v>
      </c>
      <c r="C40" s="52"/>
      <c r="D40" s="52"/>
    </row>
    <row r="41" spans="2:4" ht="16.5">
      <c r="B41" s="44" t="s">
        <v>4</v>
      </c>
      <c r="C41" s="52"/>
      <c r="D41" s="52"/>
    </row>
    <row r="42" spans="2:4" ht="16.5">
      <c r="B42" s="44" t="s">
        <v>252</v>
      </c>
      <c r="C42" s="52"/>
      <c r="D42" s="52"/>
    </row>
  </sheetData>
  <mergeCells count="1">
    <mergeCell ref="B7:C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8">
    <tabColor rgb="FF92D050"/>
  </sheetPr>
  <dimension ref="A1:G536"/>
  <sheetViews>
    <sheetView showGridLines="0" view="pageBreakPreview" topLeftCell="A502" zoomScale="90" zoomScaleNormal="110" zoomScaleSheetLayoutView="90" workbookViewId="0">
      <selection activeCell="E544" sqref="E544"/>
    </sheetView>
  </sheetViews>
  <sheetFormatPr baseColWidth="10" defaultColWidth="35" defaultRowHeight="15" customHeight="1"/>
  <cols>
    <col min="1" max="1" width="1" style="8" customWidth="1"/>
    <col min="2" max="2" width="18.28515625" style="9" customWidth="1"/>
    <col min="3" max="3" width="24" style="9" customWidth="1"/>
    <col min="4" max="4" width="17.42578125" style="9" customWidth="1"/>
    <col min="5" max="5" width="26.5703125" style="8" customWidth="1"/>
    <col min="6" max="16384" width="35" style="8"/>
  </cols>
  <sheetData>
    <row r="1" spans="1:5" s="10" customFormat="1" ht="12" customHeight="1">
      <c r="B1" s="13"/>
      <c r="C1" s="12"/>
      <c r="D1" s="12"/>
    </row>
    <row r="2" spans="1:5" s="10" customFormat="1" ht="15" customHeight="1">
      <c r="C2" s="15"/>
    </row>
    <row r="3" spans="1:5" s="10" customFormat="1" ht="15" customHeight="1">
      <c r="C3" s="15"/>
    </row>
    <row r="4" spans="1:5" s="10" customFormat="1" ht="30" customHeight="1">
      <c r="C4" s="15"/>
    </row>
    <row r="5" spans="1:5" s="10" customFormat="1" ht="15" customHeight="1">
      <c r="C5" s="15"/>
    </row>
    <row r="6" spans="1:5" s="10" customFormat="1" ht="24" customHeight="1">
      <c r="B6" s="13"/>
      <c r="C6" s="13"/>
      <c r="D6" s="13"/>
      <c r="E6" s="13"/>
    </row>
    <row r="7" spans="1:5" s="10" customFormat="1" ht="26.25" customHeight="1">
      <c r="A7" s="11"/>
      <c r="B7" s="13"/>
      <c r="C7" s="13"/>
      <c r="D7" s="13"/>
      <c r="E7" s="13"/>
    </row>
    <row r="8" spans="1:5" s="10" customFormat="1" ht="33" customHeight="1">
      <c r="A8" s="11"/>
      <c r="B8" s="37"/>
      <c r="C8" s="37"/>
      <c r="D8" s="37"/>
      <c r="E8" s="37"/>
    </row>
    <row r="9" spans="1:5" s="1" customFormat="1" ht="40.5" customHeight="1">
      <c r="B9" s="54" t="s">
        <v>11</v>
      </c>
      <c r="C9" s="83" t="s">
        <v>8</v>
      </c>
      <c r="D9" s="56" t="s">
        <v>1</v>
      </c>
      <c r="E9" s="54" t="s">
        <v>2</v>
      </c>
    </row>
    <row r="10" spans="1:5" ht="15" customHeight="1">
      <c r="B10" s="108" t="s">
        <v>89</v>
      </c>
      <c r="C10" s="73" t="s">
        <v>46</v>
      </c>
      <c r="D10" s="74">
        <v>2</v>
      </c>
      <c r="E10" s="75">
        <v>2.2241992882600001E-4</v>
      </c>
    </row>
    <row r="11" spans="1:5" ht="15" customHeight="1">
      <c r="B11" s="110"/>
      <c r="C11" s="73" t="s">
        <v>48</v>
      </c>
      <c r="D11" s="74">
        <v>17</v>
      </c>
      <c r="E11" s="75">
        <v>1.890569395018E-3</v>
      </c>
    </row>
    <row r="12" spans="1:5" ht="15" customHeight="1">
      <c r="B12" s="110"/>
      <c r="C12" s="73" t="s">
        <v>49</v>
      </c>
      <c r="D12" s="74">
        <v>4</v>
      </c>
      <c r="E12" s="75">
        <v>4.4483985765100001E-4</v>
      </c>
    </row>
    <row r="13" spans="1:5" ht="15" customHeight="1">
      <c r="B13" s="110"/>
      <c r="C13" s="73" t="s">
        <v>53</v>
      </c>
      <c r="D13" s="74">
        <v>1</v>
      </c>
      <c r="E13" s="75">
        <v>1.1120996441300001E-4</v>
      </c>
    </row>
    <row r="14" spans="1:5" ht="15" customHeight="1">
      <c r="B14" s="110"/>
      <c r="C14" s="73" t="s">
        <v>54</v>
      </c>
      <c r="D14" s="74">
        <v>1</v>
      </c>
      <c r="E14" s="75">
        <v>1.1120996441300001E-4</v>
      </c>
    </row>
    <row r="15" spans="1:5" ht="15" customHeight="1">
      <c r="B15" s="110"/>
      <c r="C15" s="73" t="s">
        <v>56</v>
      </c>
      <c r="D15" s="74">
        <v>7</v>
      </c>
      <c r="E15" s="75">
        <v>7.7846975088999998E-4</v>
      </c>
    </row>
    <row r="16" spans="1:5" ht="15" customHeight="1">
      <c r="B16" s="110"/>
      <c r="C16" s="73" t="s">
        <v>60</v>
      </c>
      <c r="D16" s="74">
        <v>1</v>
      </c>
      <c r="E16" s="75">
        <v>1.1120996441300001E-4</v>
      </c>
    </row>
    <row r="17" spans="2:5" ht="15" customHeight="1">
      <c r="B17" s="110"/>
      <c r="C17" s="73" t="s">
        <v>64</v>
      </c>
      <c r="D17" s="74">
        <v>2</v>
      </c>
      <c r="E17" s="75">
        <v>2.2241992882600001E-4</v>
      </c>
    </row>
    <row r="18" spans="2:5" ht="15" customHeight="1">
      <c r="B18" s="110"/>
      <c r="C18" s="73" t="s">
        <v>70</v>
      </c>
      <c r="D18" s="74">
        <v>1</v>
      </c>
      <c r="E18" s="75">
        <v>1.1120996441300001E-4</v>
      </c>
    </row>
    <row r="19" spans="2:5" ht="15" customHeight="1">
      <c r="B19" s="110"/>
      <c r="C19" s="73" t="s">
        <v>74</v>
      </c>
      <c r="D19" s="74">
        <v>1</v>
      </c>
      <c r="E19" s="75">
        <v>1.1120996441300001E-4</v>
      </c>
    </row>
    <row r="20" spans="2:5" ht="15" customHeight="1">
      <c r="B20" s="110"/>
      <c r="C20" s="73" t="s">
        <v>77</v>
      </c>
      <c r="D20" s="74">
        <v>10</v>
      </c>
      <c r="E20" s="75">
        <v>1.1120996441279999E-3</v>
      </c>
    </row>
    <row r="21" spans="2:5" ht="15" customHeight="1">
      <c r="B21" s="110"/>
      <c r="C21" s="73" t="s">
        <v>83</v>
      </c>
      <c r="D21" s="74">
        <v>11</v>
      </c>
      <c r="E21" s="75">
        <v>1.223309608541E-3</v>
      </c>
    </row>
    <row r="22" spans="2:5" ht="15" customHeight="1">
      <c r="B22" s="110"/>
      <c r="C22" s="73" t="s">
        <v>84</v>
      </c>
      <c r="D22" s="74">
        <v>1</v>
      </c>
      <c r="E22" s="75">
        <v>1.1120996441300001E-4</v>
      </c>
    </row>
    <row r="23" spans="2:5" ht="15" customHeight="1">
      <c r="B23" s="110"/>
      <c r="C23" s="73" t="s">
        <v>86</v>
      </c>
      <c r="D23" s="74">
        <v>1</v>
      </c>
      <c r="E23" s="75">
        <v>1.1120996441300001E-4</v>
      </c>
    </row>
    <row r="24" spans="2:5" ht="15" customHeight="1">
      <c r="B24" s="109"/>
      <c r="C24" s="78" t="s">
        <v>12</v>
      </c>
      <c r="D24" s="77">
        <v>60</v>
      </c>
      <c r="E24" s="80">
        <v>6.6725978647690001E-3</v>
      </c>
    </row>
    <row r="25" spans="2:5" ht="15" customHeight="1">
      <c r="B25" s="108" t="s">
        <v>189</v>
      </c>
      <c r="C25" s="73" t="s">
        <v>44</v>
      </c>
      <c r="D25" s="74">
        <v>1</v>
      </c>
      <c r="E25" s="75">
        <v>1.1120996441300001E-4</v>
      </c>
    </row>
    <row r="26" spans="2:5" ht="15" customHeight="1">
      <c r="B26" s="110"/>
      <c r="C26" s="73" t="s">
        <v>48</v>
      </c>
      <c r="D26" s="74">
        <v>6</v>
      </c>
      <c r="E26" s="75">
        <v>6.6725978647699997E-4</v>
      </c>
    </row>
    <row r="27" spans="2:5" ht="15" customHeight="1">
      <c r="B27" s="110"/>
      <c r="C27" s="73" t="s">
        <v>49</v>
      </c>
      <c r="D27" s="74">
        <v>1</v>
      </c>
      <c r="E27" s="75">
        <v>1.1120996441300001E-4</v>
      </c>
    </row>
    <row r="28" spans="2:5" ht="15" customHeight="1">
      <c r="B28" s="110"/>
      <c r="C28" s="73" t="s">
        <v>54</v>
      </c>
      <c r="D28" s="74">
        <v>1</v>
      </c>
      <c r="E28" s="75">
        <v>1.1120996441300001E-4</v>
      </c>
    </row>
    <row r="29" spans="2:5" ht="15" customHeight="1">
      <c r="B29" s="110"/>
      <c r="C29" s="73" t="s">
        <v>56</v>
      </c>
      <c r="D29" s="74">
        <v>2</v>
      </c>
      <c r="E29" s="75">
        <v>2.2241992882600001E-4</v>
      </c>
    </row>
    <row r="30" spans="2:5" ht="15" customHeight="1">
      <c r="B30" s="110"/>
      <c r="C30" s="73" t="s">
        <v>57</v>
      </c>
      <c r="D30" s="74">
        <v>1</v>
      </c>
      <c r="E30" s="75">
        <v>1.1120996441300001E-4</v>
      </c>
    </row>
    <row r="31" spans="2:5" ht="15" customHeight="1">
      <c r="B31" s="110"/>
      <c r="C31" s="73" t="s">
        <v>66</v>
      </c>
      <c r="D31" s="74">
        <v>2</v>
      </c>
      <c r="E31" s="75">
        <v>2.2241992882600001E-4</v>
      </c>
    </row>
    <row r="32" spans="2:5" ht="15" customHeight="1">
      <c r="B32" s="110"/>
      <c r="C32" s="73" t="s">
        <v>69</v>
      </c>
      <c r="D32" s="74">
        <v>1</v>
      </c>
      <c r="E32" s="75">
        <v>1.1120996441300001E-4</v>
      </c>
    </row>
    <row r="33" spans="2:5" ht="15" customHeight="1">
      <c r="B33" s="110"/>
      <c r="C33" s="73" t="s">
        <v>70</v>
      </c>
      <c r="D33" s="74">
        <v>1</v>
      </c>
      <c r="E33" s="75">
        <v>1.1120996441300001E-4</v>
      </c>
    </row>
    <row r="34" spans="2:5" ht="15" customHeight="1">
      <c r="B34" s="110"/>
      <c r="C34" s="73" t="s">
        <v>72</v>
      </c>
      <c r="D34" s="74">
        <v>1</v>
      </c>
      <c r="E34" s="75">
        <v>1.1120996441300001E-4</v>
      </c>
    </row>
    <row r="35" spans="2:5" ht="15" customHeight="1">
      <c r="B35" s="110"/>
      <c r="C35" s="73" t="s">
        <v>77</v>
      </c>
      <c r="D35" s="74">
        <v>4</v>
      </c>
      <c r="E35" s="75">
        <v>4.4483985765100001E-4</v>
      </c>
    </row>
    <row r="36" spans="2:5" ht="15" customHeight="1">
      <c r="B36" s="110"/>
      <c r="C36" s="73" t="s">
        <v>83</v>
      </c>
      <c r="D36" s="74">
        <v>4</v>
      </c>
      <c r="E36" s="75">
        <v>4.4483985765100001E-4</v>
      </c>
    </row>
    <row r="37" spans="2:5" ht="15" customHeight="1">
      <c r="B37" s="109"/>
      <c r="C37" s="78" t="s">
        <v>12</v>
      </c>
      <c r="D37" s="77">
        <v>25</v>
      </c>
      <c r="E37" s="80">
        <v>2.7802491103199999E-3</v>
      </c>
    </row>
    <row r="38" spans="2:5" ht="15" customHeight="1">
      <c r="B38" s="108" t="s">
        <v>190</v>
      </c>
      <c r="C38" s="73" t="s">
        <v>47</v>
      </c>
      <c r="D38" s="74">
        <v>2</v>
      </c>
      <c r="E38" s="75">
        <v>2.2241992882600001E-4</v>
      </c>
    </row>
    <row r="39" spans="2:5" ht="15" customHeight="1">
      <c r="B39" s="110"/>
      <c r="C39" s="73" t="s">
        <v>48</v>
      </c>
      <c r="D39" s="74">
        <v>9</v>
      </c>
      <c r="E39" s="75">
        <v>1.000889679715E-3</v>
      </c>
    </row>
    <row r="40" spans="2:5" ht="15" customHeight="1">
      <c r="B40" s="110"/>
      <c r="C40" s="73" t="s">
        <v>49</v>
      </c>
      <c r="D40" s="74">
        <v>2</v>
      </c>
      <c r="E40" s="75">
        <v>2.2241992882600001E-4</v>
      </c>
    </row>
    <row r="41" spans="2:5" ht="15" customHeight="1">
      <c r="B41" s="110"/>
      <c r="C41" s="73" t="s">
        <v>54</v>
      </c>
      <c r="D41" s="74">
        <v>1</v>
      </c>
      <c r="E41" s="75">
        <v>1.1120996441300001E-4</v>
      </c>
    </row>
    <row r="42" spans="2:5" ht="15" customHeight="1">
      <c r="B42" s="110"/>
      <c r="C42" s="73" t="s">
        <v>56</v>
      </c>
      <c r="D42" s="74">
        <v>1</v>
      </c>
      <c r="E42" s="75">
        <v>1.1120996441300001E-4</v>
      </c>
    </row>
    <row r="43" spans="2:5" ht="15" customHeight="1">
      <c r="B43" s="110"/>
      <c r="C43" s="73" t="s">
        <v>60</v>
      </c>
      <c r="D43" s="74">
        <v>1</v>
      </c>
      <c r="E43" s="75">
        <v>1.1120996441300001E-4</v>
      </c>
    </row>
    <row r="44" spans="2:5" ht="15" customHeight="1">
      <c r="B44" s="110"/>
      <c r="C44" s="73" t="s">
        <v>66</v>
      </c>
      <c r="D44" s="74">
        <v>1</v>
      </c>
      <c r="E44" s="75">
        <v>1.1120996441300001E-4</v>
      </c>
    </row>
    <row r="45" spans="2:5" ht="15" customHeight="1">
      <c r="B45" s="110"/>
      <c r="C45" s="73" t="s">
        <v>70</v>
      </c>
      <c r="D45" s="74">
        <v>3</v>
      </c>
      <c r="E45" s="75">
        <v>3.33629893238E-4</v>
      </c>
    </row>
    <row r="46" spans="2:5" ht="15" customHeight="1">
      <c r="B46" s="110"/>
      <c r="C46" s="73" t="s">
        <v>72</v>
      </c>
      <c r="D46" s="74">
        <v>1</v>
      </c>
      <c r="E46" s="75">
        <v>1.1120996441300001E-4</v>
      </c>
    </row>
    <row r="47" spans="2:5" ht="15" customHeight="1">
      <c r="B47" s="110"/>
      <c r="C47" s="73" t="s">
        <v>74</v>
      </c>
      <c r="D47" s="74">
        <v>1</v>
      </c>
      <c r="E47" s="75">
        <v>1.1120996441300001E-4</v>
      </c>
    </row>
    <row r="48" spans="2:5" ht="15" customHeight="1">
      <c r="B48" s="110"/>
      <c r="C48" s="73" t="s">
        <v>77</v>
      </c>
      <c r="D48" s="74">
        <v>4</v>
      </c>
      <c r="E48" s="75">
        <v>4.4483985765100001E-4</v>
      </c>
    </row>
    <row r="49" spans="2:5" ht="15" customHeight="1">
      <c r="B49" s="110"/>
      <c r="C49" s="73" t="s">
        <v>83</v>
      </c>
      <c r="D49" s="74">
        <v>8</v>
      </c>
      <c r="E49" s="75">
        <v>8.8967971530200002E-4</v>
      </c>
    </row>
    <row r="50" spans="2:5" ht="15" customHeight="1">
      <c r="B50" s="110"/>
      <c r="C50" s="73" t="s">
        <v>86</v>
      </c>
      <c r="D50" s="74">
        <v>1</v>
      </c>
      <c r="E50" s="75">
        <v>1.1120996441300001E-4</v>
      </c>
    </row>
    <row r="51" spans="2:5" ht="15" customHeight="1">
      <c r="B51" s="110"/>
      <c r="C51" s="73" t="s">
        <v>87</v>
      </c>
      <c r="D51" s="74">
        <v>1</v>
      </c>
      <c r="E51" s="75">
        <v>1.1120996441300001E-4</v>
      </c>
    </row>
    <row r="52" spans="2:5" ht="15" customHeight="1">
      <c r="B52" s="109"/>
      <c r="C52" s="78" t="s">
        <v>12</v>
      </c>
      <c r="D52" s="77">
        <v>36</v>
      </c>
      <c r="E52" s="80">
        <v>4.0035587188610002E-3</v>
      </c>
    </row>
    <row r="53" spans="2:5" ht="15" customHeight="1">
      <c r="B53" s="108" t="s">
        <v>191</v>
      </c>
      <c r="C53" s="73" t="s">
        <v>46</v>
      </c>
      <c r="D53" s="74">
        <v>3</v>
      </c>
      <c r="E53" s="75">
        <v>3.33629893238E-4</v>
      </c>
    </row>
    <row r="54" spans="2:5" ht="15" customHeight="1">
      <c r="B54" s="110"/>
      <c r="C54" s="73" t="s">
        <v>48</v>
      </c>
      <c r="D54" s="74">
        <v>20</v>
      </c>
      <c r="E54" s="75">
        <v>2.2241992882559999E-3</v>
      </c>
    </row>
    <row r="55" spans="2:5" ht="15" customHeight="1">
      <c r="B55" s="110"/>
      <c r="C55" s="73" t="s">
        <v>49</v>
      </c>
      <c r="D55" s="74">
        <v>7</v>
      </c>
      <c r="E55" s="75">
        <v>7.7846975088999998E-4</v>
      </c>
    </row>
    <row r="56" spans="2:5" ht="15" customHeight="1">
      <c r="B56" s="110"/>
      <c r="C56" s="73" t="s">
        <v>56</v>
      </c>
      <c r="D56" s="74">
        <v>10</v>
      </c>
      <c r="E56" s="75">
        <v>1.1120996441279999E-3</v>
      </c>
    </row>
    <row r="57" spans="2:5" ht="15" customHeight="1">
      <c r="B57" s="110"/>
      <c r="C57" s="73" t="s">
        <v>57</v>
      </c>
      <c r="D57" s="74">
        <v>4</v>
      </c>
      <c r="E57" s="75">
        <v>4.4483985765100001E-4</v>
      </c>
    </row>
    <row r="58" spans="2:5" ht="15" customHeight="1">
      <c r="B58" s="110"/>
      <c r="C58" s="73" t="s">
        <v>58</v>
      </c>
      <c r="D58" s="74">
        <v>2</v>
      </c>
      <c r="E58" s="75">
        <v>2.2241992882600001E-4</v>
      </c>
    </row>
    <row r="59" spans="2:5" ht="15" customHeight="1">
      <c r="B59" s="110"/>
      <c r="C59" s="73" t="s">
        <v>59</v>
      </c>
      <c r="D59" s="74">
        <v>2</v>
      </c>
      <c r="E59" s="75">
        <v>2.2241992882600001E-4</v>
      </c>
    </row>
    <row r="60" spans="2:5" ht="15" customHeight="1">
      <c r="B60" s="110"/>
      <c r="C60" s="73" t="s">
        <v>60</v>
      </c>
      <c r="D60" s="74">
        <v>2</v>
      </c>
      <c r="E60" s="75">
        <v>2.2241992882600001E-4</v>
      </c>
    </row>
    <row r="61" spans="2:5" ht="15" customHeight="1">
      <c r="B61" s="110"/>
      <c r="C61" s="73" t="s">
        <v>64</v>
      </c>
      <c r="D61" s="74">
        <v>1</v>
      </c>
      <c r="E61" s="75">
        <v>1.1120996441300001E-4</v>
      </c>
    </row>
    <row r="62" spans="2:5" ht="15" customHeight="1">
      <c r="B62" s="110"/>
      <c r="C62" s="73" t="s">
        <v>66</v>
      </c>
      <c r="D62" s="74">
        <v>1</v>
      </c>
      <c r="E62" s="75">
        <v>1.1120996441300001E-4</v>
      </c>
    </row>
    <row r="63" spans="2:5" ht="15" customHeight="1">
      <c r="B63" s="110"/>
      <c r="C63" s="73" t="s">
        <v>67</v>
      </c>
      <c r="D63" s="74">
        <v>1</v>
      </c>
      <c r="E63" s="75">
        <v>1.1120996441300001E-4</v>
      </c>
    </row>
    <row r="64" spans="2:5" ht="15" customHeight="1">
      <c r="B64" s="110"/>
      <c r="C64" s="73" t="s">
        <v>70</v>
      </c>
      <c r="D64" s="74">
        <v>2</v>
      </c>
      <c r="E64" s="75">
        <v>2.2241992882600001E-4</v>
      </c>
    </row>
    <row r="65" spans="2:5" ht="15" customHeight="1">
      <c r="B65" s="110"/>
      <c r="C65" s="73" t="s">
        <v>72</v>
      </c>
      <c r="D65" s="74">
        <v>4</v>
      </c>
      <c r="E65" s="75">
        <v>4.4483985765100001E-4</v>
      </c>
    </row>
    <row r="66" spans="2:5" ht="15" customHeight="1">
      <c r="B66" s="110"/>
      <c r="C66" s="73" t="s">
        <v>74</v>
      </c>
      <c r="D66" s="74">
        <v>2</v>
      </c>
      <c r="E66" s="75">
        <v>2.2241992882600001E-4</v>
      </c>
    </row>
    <row r="67" spans="2:5" ht="15" customHeight="1">
      <c r="B67" s="110"/>
      <c r="C67" s="73" t="s">
        <v>77</v>
      </c>
      <c r="D67" s="74">
        <v>27</v>
      </c>
      <c r="E67" s="75">
        <v>3.0026690391460002E-3</v>
      </c>
    </row>
    <row r="68" spans="2:5" ht="15" customHeight="1">
      <c r="B68" s="110"/>
      <c r="C68" s="73" t="s">
        <v>80</v>
      </c>
      <c r="D68" s="74">
        <v>1</v>
      </c>
      <c r="E68" s="75">
        <v>1.1120996441300001E-4</v>
      </c>
    </row>
    <row r="69" spans="2:5" ht="15" customHeight="1">
      <c r="B69" s="110"/>
      <c r="C69" s="73" t="s">
        <v>82</v>
      </c>
      <c r="D69" s="74">
        <v>3</v>
      </c>
      <c r="E69" s="75">
        <v>3.33629893238E-4</v>
      </c>
    </row>
    <row r="70" spans="2:5" ht="15" customHeight="1">
      <c r="B70" s="110"/>
      <c r="C70" s="73" t="s">
        <v>83</v>
      </c>
      <c r="D70" s="74">
        <v>9</v>
      </c>
      <c r="E70" s="75">
        <v>1.000889679715E-3</v>
      </c>
    </row>
    <row r="71" spans="2:5" ht="15" customHeight="1">
      <c r="B71" s="110"/>
      <c r="C71" s="73" t="s">
        <v>84</v>
      </c>
      <c r="D71" s="74">
        <v>1</v>
      </c>
      <c r="E71" s="75">
        <v>1.1120996441300001E-4</v>
      </c>
    </row>
    <row r="72" spans="2:5" ht="15" customHeight="1">
      <c r="B72" s="110"/>
      <c r="C72" s="73" t="s">
        <v>86</v>
      </c>
      <c r="D72" s="74">
        <v>1</v>
      </c>
      <c r="E72" s="75">
        <v>1.1120996441300001E-4</v>
      </c>
    </row>
    <row r="73" spans="2:5" ht="15" customHeight="1">
      <c r="B73" s="109"/>
      <c r="C73" s="78" t="s">
        <v>12</v>
      </c>
      <c r="D73" s="77">
        <v>103</v>
      </c>
      <c r="E73" s="80">
        <v>1.1454626334519999E-2</v>
      </c>
    </row>
    <row r="74" spans="2:5" ht="15" customHeight="1">
      <c r="B74" s="108" t="s">
        <v>192</v>
      </c>
      <c r="C74" s="73" t="s">
        <v>46</v>
      </c>
      <c r="D74" s="74">
        <v>4</v>
      </c>
      <c r="E74" s="75">
        <v>4.4483985765100001E-4</v>
      </c>
    </row>
    <row r="75" spans="2:5" ht="15" customHeight="1">
      <c r="B75" s="110"/>
      <c r="C75" s="73" t="s">
        <v>48</v>
      </c>
      <c r="D75" s="74">
        <v>9</v>
      </c>
      <c r="E75" s="75">
        <v>1.000889679715E-3</v>
      </c>
    </row>
    <row r="76" spans="2:5" ht="15" customHeight="1">
      <c r="B76" s="110"/>
      <c r="C76" s="73" t="s">
        <v>49</v>
      </c>
      <c r="D76" s="74">
        <v>8</v>
      </c>
      <c r="E76" s="75">
        <v>8.8967971530200002E-4</v>
      </c>
    </row>
    <row r="77" spans="2:5" ht="15" customHeight="1">
      <c r="B77" s="110"/>
      <c r="C77" s="73" t="s">
        <v>53</v>
      </c>
      <c r="D77" s="74">
        <v>1</v>
      </c>
      <c r="E77" s="75">
        <v>1.1120996441300001E-4</v>
      </c>
    </row>
    <row r="78" spans="2:5" ht="15" customHeight="1">
      <c r="B78" s="110"/>
      <c r="C78" s="73" t="s">
        <v>54</v>
      </c>
      <c r="D78" s="74">
        <v>1</v>
      </c>
      <c r="E78" s="75">
        <v>1.1120996441300001E-4</v>
      </c>
    </row>
    <row r="79" spans="2:5" ht="15" customHeight="1">
      <c r="B79" s="110"/>
      <c r="C79" s="73" t="s">
        <v>56</v>
      </c>
      <c r="D79" s="74">
        <v>10</v>
      </c>
      <c r="E79" s="75">
        <v>1.1120996441279999E-3</v>
      </c>
    </row>
    <row r="80" spans="2:5" ht="15" customHeight="1">
      <c r="B80" s="110"/>
      <c r="C80" s="73" t="s">
        <v>57</v>
      </c>
      <c r="D80" s="74">
        <v>4</v>
      </c>
      <c r="E80" s="75">
        <v>4.4483985765100001E-4</v>
      </c>
    </row>
    <row r="81" spans="2:5" ht="15" customHeight="1">
      <c r="B81" s="110"/>
      <c r="C81" s="73" t="s">
        <v>58</v>
      </c>
      <c r="D81" s="74">
        <v>1</v>
      </c>
      <c r="E81" s="75">
        <v>1.1120996441300001E-4</v>
      </c>
    </row>
    <row r="82" spans="2:5" ht="15" customHeight="1">
      <c r="B82" s="110"/>
      <c r="C82" s="73" t="s">
        <v>59</v>
      </c>
      <c r="D82" s="74">
        <v>4</v>
      </c>
      <c r="E82" s="75">
        <v>4.4483985765100001E-4</v>
      </c>
    </row>
    <row r="83" spans="2:5" ht="15" customHeight="1">
      <c r="B83" s="110"/>
      <c r="C83" s="73" t="s">
        <v>60</v>
      </c>
      <c r="D83" s="74">
        <v>1</v>
      </c>
      <c r="E83" s="75">
        <v>1.1120996441300001E-4</v>
      </c>
    </row>
    <row r="84" spans="2:5" ht="15" customHeight="1">
      <c r="B84" s="110"/>
      <c r="C84" s="73" t="s">
        <v>66</v>
      </c>
      <c r="D84" s="74">
        <v>1</v>
      </c>
      <c r="E84" s="75">
        <v>1.1120996441300001E-4</v>
      </c>
    </row>
    <row r="85" spans="2:5" ht="15" customHeight="1">
      <c r="B85" s="110"/>
      <c r="C85" s="73" t="s">
        <v>67</v>
      </c>
      <c r="D85" s="74">
        <v>2</v>
      </c>
      <c r="E85" s="75">
        <v>2.2241992882600001E-4</v>
      </c>
    </row>
    <row r="86" spans="2:5" ht="15" customHeight="1">
      <c r="B86" s="110"/>
      <c r="C86" s="73" t="s">
        <v>69</v>
      </c>
      <c r="D86" s="74">
        <v>2</v>
      </c>
      <c r="E86" s="75">
        <v>2.2241992882600001E-4</v>
      </c>
    </row>
    <row r="87" spans="2:5" ht="15" customHeight="1">
      <c r="B87" s="110"/>
      <c r="C87" s="73" t="s">
        <v>74</v>
      </c>
      <c r="D87" s="74">
        <v>1</v>
      </c>
      <c r="E87" s="75">
        <v>1.1120996441300001E-4</v>
      </c>
    </row>
    <row r="88" spans="2:5" ht="15" customHeight="1">
      <c r="B88" s="110"/>
      <c r="C88" s="73" t="s">
        <v>77</v>
      </c>
      <c r="D88" s="74">
        <v>13</v>
      </c>
      <c r="E88" s="75">
        <v>1.4457295373670001E-3</v>
      </c>
    </row>
    <row r="89" spans="2:5" ht="15" customHeight="1">
      <c r="B89" s="110"/>
      <c r="C89" s="73" t="s">
        <v>82</v>
      </c>
      <c r="D89" s="74">
        <v>2</v>
      </c>
      <c r="E89" s="75">
        <v>2.2241992882600001E-4</v>
      </c>
    </row>
    <row r="90" spans="2:5" ht="15" customHeight="1">
      <c r="B90" s="110"/>
      <c r="C90" s="73" t="s">
        <v>83</v>
      </c>
      <c r="D90" s="74">
        <v>22</v>
      </c>
      <c r="E90" s="75">
        <v>2.4466192170820001E-3</v>
      </c>
    </row>
    <row r="91" spans="2:5" ht="15" customHeight="1">
      <c r="B91" s="110"/>
      <c r="C91" s="73" t="s">
        <v>84</v>
      </c>
      <c r="D91" s="74">
        <v>1</v>
      </c>
      <c r="E91" s="75">
        <v>1.1120996441300001E-4</v>
      </c>
    </row>
    <row r="92" spans="2:5" ht="15" customHeight="1">
      <c r="B92" s="110"/>
      <c r="C92" s="73" t="s">
        <v>87</v>
      </c>
      <c r="D92" s="74">
        <v>2</v>
      </c>
      <c r="E92" s="75">
        <v>2.2241992882600001E-4</v>
      </c>
    </row>
    <row r="93" spans="2:5" ht="15" customHeight="1">
      <c r="B93" s="109"/>
      <c r="C93" s="78" t="s">
        <v>12</v>
      </c>
      <c r="D93" s="77">
        <v>89</v>
      </c>
      <c r="E93" s="80">
        <v>9.8976868327399995E-3</v>
      </c>
    </row>
    <row r="94" spans="2:5" ht="15" customHeight="1">
      <c r="B94" s="108" t="s">
        <v>193</v>
      </c>
      <c r="C94" s="73" t="s">
        <v>47</v>
      </c>
      <c r="D94" s="74">
        <v>2</v>
      </c>
      <c r="E94" s="75">
        <v>2.2241992882600001E-4</v>
      </c>
    </row>
    <row r="95" spans="2:5" ht="15" customHeight="1">
      <c r="B95" s="110"/>
      <c r="C95" s="73" t="s">
        <v>48</v>
      </c>
      <c r="D95" s="74">
        <v>21</v>
      </c>
      <c r="E95" s="75">
        <v>2.335409252669E-3</v>
      </c>
    </row>
    <row r="96" spans="2:5" ht="15" customHeight="1">
      <c r="B96" s="110"/>
      <c r="C96" s="73" t="s">
        <v>49</v>
      </c>
      <c r="D96" s="74">
        <v>6</v>
      </c>
      <c r="E96" s="75">
        <v>6.6725978647699997E-4</v>
      </c>
    </row>
    <row r="97" spans="2:5" ht="15" customHeight="1">
      <c r="B97" s="110"/>
      <c r="C97" s="73" t="s">
        <v>53</v>
      </c>
      <c r="D97" s="74">
        <v>1</v>
      </c>
      <c r="E97" s="75">
        <v>1.1120996441300001E-4</v>
      </c>
    </row>
    <row r="98" spans="2:5" ht="15" customHeight="1">
      <c r="B98" s="110"/>
      <c r="C98" s="73" t="s">
        <v>54</v>
      </c>
      <c r="D98" s="74">
        <v>2</v>
      </c>
      <c r="E98" s="75">
        <v>2.2241992882600001E-4</v>
      </c>
    </row>
    <row r="99" spans="2:5" ht="15" customHeight="1">
      <c r="B99" s="110"/>
      <c r="C99" s="73" t="s">
        <v>56</v>
      </c>
      <c r="D99" s="74">
        <v>13</v>
      </c>
      <c r="E99" s="75">
        <v>1.4457295373670001E-3</v>
      </c>
    </row>
    <row r="100" spans="2:5" ht="15" customHeight="1">
      <c r="B100" s="110"/>
      <c r="C100" s="73" t="s">
        <v>57</v>
      </c>
      <c r="D100" s="74">
        <v>5</v>
      </c>
      <c r="E100" s="75">
        <v>5.5604982206399996E-4</v>
      </c>
    </row>
    <row r="101" spans="2:5" ht="15" customHeight="1">
      <c r="B101" s="110"/>
      <c r="C101" s="73" t="s">
        <v>58</v>
      </c>
      <c r="D101" s="74">
        <v>2</v>
      </c>
      <c r="E101" s="75">
        <v>2.2241992882600001E-4</v>
      </c>
    </row>
    <row r="102" spans="2:5" ht="15" customHeight="1">
      <c r="B102" s="110"/>
      <c r="C102" s="73" t="s">
        <v>59</v>
      </c>
      <c r="D102" s="74">
        <v>3</v>
      </c>
      <c r="E102" s="75">
        <v>3.33629893238E-4</v>
      </c>
    </row>
    <row r="103" spans="2:5" ht="15" customHeight="1">
      <c r="B103" s="110"/>
      <c r="C103" s="73" t="s">
        <v>60</v>
      </c>
      <c r="D103" s="74">
        <v>1</v>
      </c>
      <c r="E103" s="75">
        <v>1.1120996441300001E-4</v>
      </c>
    </row>
    <row r="104" spans="2:5" ht="15" customHeight="1">
      <c r="B104" s="110"/>
      <c r="C104" s="73" t="s">
        <v>64</v>
      </c>
      <c r="D104" s="74">
        <v>3</v>
      </c>
      <c r="E104" s="75">
        <v>3.33629893238E-4</v>
      </c>
    </row>
    <row r="105" spans="2:5" ht="15" customHeight="1">
      <c r="B105" s="110"/>
      <c r="C105" s="73" t="s">
        <v>65</v>
      </c>
      <c r="D105" s="74">
        <v>1</v>
      </c>
      <c r="E105" s="75">
        <v>1.1120996441300001E-4</v>
      </c>
    </row>
    <row r="106" spans="2:5" ht="15" customHeight="1">
      <c r="B106" s="110"/>
      <c r="C106" s="73" t="s">
        <v>66</v>
      </c>
      <c r="D106" s="74">
        <v>1</v>
      </c>
      <c r="E106" s="75">
        <v>1.1120996441300001E-4</v>
      </c>
    </row>
    <row r="107" spans="2:5" ht="15" customHeight="1">
      <c r="B107" s="110"/>
      <c r="C107" s="73" t="s">
        <v>69</v>
      </c>
      <c r="D107" s="74">
        <v>1</v>
      </c>
      <c r="E107" s="75">
        <v>1.1120996441300001E-4</v>
      </c>
    </row>
    <row r="108" spans="2:5" ht="15" customHeight="1">
      <c r="B108" s="110"/>
      <c r="C108" s="73" t="s">
        <v>70</v>
      </c>
      <c r="D108" s="74">
        <v>3</v>
      </c>
      <c r="E108" s="75">
        <v>3.33629893238E-4</v>
      </c>
    </row>
    <row r="109" spans="2:5" ht="15" customHeight="1">
      <c r="B109" s="110"/>
      <c r="C109" s="73" t="s">
        <v>72</v>
      </c>
      <c r="D109" s="74">
        <v>2</v>
      </c>
      <c r="E109" s="75">
        <v>2.2241992882600001E-4</v>
      </c>
    </row>
    <row r="110" spans="2:5" ht="15" customHeight="1">
      <c r="B110" s="110"/>
      <c r="C110" s="73" t="s">
        <v>74</v>
      </c>
      <c r="D110" s="74">
        <v>2</v>
      </c>
      <c r="E110" s="75">
        <v>2.2241992882600001E-4</v>
      </c>
    </row>
    <row r="111" spans="2:5" ht="15" customHeight="1">
      <c r="B111" s="110"/>
      <c r="C111" s="73" t="s">
        <v>77</v>
      </c>
      <c r="D111" s="74">
        <v>20</v>
      </c>
      <c r="E111" s="75">
        <v>2.2241992882559999E-3</v>
      </c>
    </row>
    <row r="112" spans="2:5" ht="15" customHeight="1">
      <c r="B112" s="110"/>
      <c r="C112" s="73" t="s">
        <v>78</v>
      </c>
      <c r="D112" s="74">
        <v>1</v>
      </c>
      <c r="E112" s="75">
        <v>1.1120996441300001E-4</v>
      </c>
    </row>
    <row r="113" spans="2:5" ht="15" customHeight="1">
      <c r="B113" s="110"/>
      <c r="C113" s="73" t="s">
        <v>82</v>
      </c>
      <c r="D113" s="74">
        <v>2</v>
      </c>
      <c r="E113" s="75">
        <v>2.2241992882600001E-4</v>
      </c>
    </row>
    <row r="114" spans="2:5" ht="15" customHeight="1">
      <c r="B114" s="110"/>
      <c r="C114" s="73" t="s">
        <v>83</v>
      </c>
      <c r="D114" s="74">
        <v>16</v>
      </c>
      <c r="E114" s="75">
        <v>1.7793594306049999E-3</v>
      </c>
    </row>
    <row r="115" spans="2:5" ht="15" customHeight="1">
      <c r="B115" s="110"/>
      <c r="C115" s="73" t="s">
        <v>86</v>
      </c>
      <c r="D115" s="74">
        <v>1</v>
      </c>
      <c r="E115" s="75">
        <v>1.1120996441300001E-4</v>
      </c>
    </row>
    <row r="116" spans="2:5" ht="15" customHeight="1">
      <c r="B116" s="110"/>
      <c r="C116" s="73" t="s">
        <v>88</v>
      </c>
      <c r="D116" s="74">
        <v>1</v>
      </c>
      <c r="E116" s="75">
        <v>1.1120996441300001E-4</v>
      </c>
    </row>
    <row r="117" spans="2:5" ht="15" customHeight="1">
      <c r="B117" s="109"/>
      <c r="C117" s="78" t="s">
        <v>12</v>
      </c>
      <c r="D117" s="77">
        <v>110</v>
      </c>
      <c r="E117" s="80">
        <v>1.2233096085409E-2</v>
      </c>
    </row>
    <row r="118" spans="2:5" ht="15" customHeight="1">
      <c r="B118" s="108" t="s">
        <v>194</v>
      </c>
      <c r="C118" s="73" t="s">
        <v>44</v>
      </c>
      <c r="D118" s="74">
        <v>2</v>
      </c>
      <c r="E118" s="75">
        <v>2.2241992882600001E-4</v>
      </c>
    </row>
    <row r="119" spans="2:5" ht="15" customHeight="1">
      <c r="B119" s="110"/>
      <c r="C119" s="73" t="s">
        <v>46</v>
      </c>
      <c r="D119" s="74">
        <v>8</v>
      </c>
      <c r="E119" s="75">
        <v>8.8967971530200002E-4</v>
      </c>
    </row>
    <row r="120" spans="2:5" ht="15" customHeight="1">
      <c r="B120" s="110"/>
      <c r="C120" s="73" t="s">
        <v>47</v>
      </c>
      <c r="D120" s="74">
        <v>13</v>
      </c>
      <c r="E120" s="75">
        <v>1.4457295373670001E-3</v>
      </c>
    </row>
    <row r="121" spans="2:5" ht="15" customHeight="1">
      <c r="B121" s="110"/>
      <c r="C121" s="73" t="s">
        <v>48</v>
      </c>
      <c r="D121" s="74">
        <v>130</v>
      </c>
      <c r="E121" s="75">
        <v>1.4457295373665E-2</v>
      </c>
    </row>
    <row r="122" spans="2:5" ht="15" customHeight="1">
      <c r="B122" s="110"/>
      <c r="C122" s="73" t="s">
        <v>49</v>
      </c>
      <c r="D122" s="74">
        <v>55</v>
      </c>
      <c r="E122" s="75">
        <v>6.1165480427050004E-3</v>
      </c>
    </row>
    <row r="123" spans="2:5" ht="15" customHeight="1">
      <c r="B123" s="110"/>
      <c r="C123" s="73" t="s">
        <v>53</v>
      </c>
      <c r="D123" s="74">
        <v>6</v>
      </c>
      <c r="E123" s="75">
        <v>6.6725978647699997E-4</v>
      </c>
    </row>
    <row r="124" spans="2:5" ht="15" customHeight="1">
      <c r="B124" s="110"/>
      <c r="C124" s="73" t="s">
        <v>54</v>
      </c>
      <c r="D124" s="74">
        <v>4</v>
      </c>
      <c r="E124" s="75">
        <v>4.4483985765100001E-4</v>
      </c>
    </row>
    <row r="125" spans="2:5" ht="15" customHeight="1">
      <c r="B125" s="110"/>
      <c r="C125" s="73" t="s">
        <v>55</v>
      </c>
      <c r="D125" s="74">
        <v>4</v>
      </c>
      <c r="E125" s="75">
        <v>4.4483985765100001E-4</v>
      </c>
    </row>
    <row r="126" spans="2:5" ht="15" customHeight="1">
      <c r="B126" s="110"/>
      <c r="C126" s="73" t="s">
        <v>56</v>
      </c>
      <c r="D126" s="74">
        <v>41</v>
      </c>
      <c r="E126" s="75">
        <v>4.5596085409249998E-3</v>
      </c>
    </row>
    <row r="127" spans="2:5" ht="15" customHeight="1">
      <c r="B127" s="110"/>
      <c r="C127" s="73" t="s">
        <v>57</v>
      </c>
      <c r="D127" s="74">
        <v>22</v>
      </c>
      <c r="E127" s="75">
        <v>2.4466192170820001E-3</v>
      </c>
    </row>
    <row r="128" spans="2:5" ht="15" customHeight="1">
      <c r="B128" s="110"/>
      <c r="C128" s="73" t="s">
        <v>58</v>
      </c>
      <c r="D128" s="74">
        <v>7</v>
      </c>
      <c r="E128" s="75">
        <v>7.7846975088999998E-4</v>
      </c>
    </row>
    <row r="129" spans="2:5" ht="15" customHeight="1">
      <c r="B129" s="110"/>
      <c r="C129" s="73" t="s">
        <v>59</v>
      </c>
      <c r="D129" s="74">
        <v>7</v>
      </c>
      <c r="E129" s="75">
        <v>7.7846975088999998E-4</v>
      </c>
    </row>
    <row r="130" spans="2:5" ht="15" customHeight="1">
      <c r="B130" s="110"/>
      <c r="C130" s="73" t="s">
        <v>60</v>
      </c>
      <c r="D130" s="74">
        <v>8</v>
      </c>
      <c r="E130" s="75">
        <v>8.8967971530200002E-4</v>
      </c>
    </row>
    <row r="131" spans="2:5" ht="15" customHeight="1">
      <c r="B131" s="110"/>
      <c r="C131" s="73" t="s">
        <v>62</v>
      </c>
      <c r="D131" s="74">
        <v>1</v>
      </c>
      <c r="E131" s="75">
        <v>1.1120996441300001E-4</v>
      </c>
    </row>
    <row r="132" spans="2:5" ht="15" customHeight="1">
      <c r="B132" s="110"/>
      <c r="C132" s="73" t="s">
        <v>64</v>
      </c>
      <c r="D132" s="74">
        <v>6</v>
      </c>
      <c r="E132" s="75">
        <v>6.6725978647699997E-4</v>
      </c>
    </row>
    <row r="133" spans="2:5" ht="15" customHeight="1">
      <c r="B133" s="110"/>
      <c r="C133" s="73" t="s">
        <v>65</v>
      </c>
      <c r="D133" s="74">
        <v>2</v>
      </c>
      <c r="E133" s="75">
        <v>2.2241992882600001E-4</v>
      </c>
    </row>
    <row r="134" spans="2:5" ht="15" customHeight="1">
      <c r="B134" s="110"/>
      <c r="C134" s="73" t="s">
        <v>66</v>
      </c>
      <c r="D134" s="74">
        <v>2</v>
      </c>
      <c r="E134" s="75">
        <v>2.2241992882600001E-4</v>
      </c>
    </row>
    <row r="135" spans="2:5" ht="15" customHeight="1">
      <c r="B135" s="110"/>
      <c r="C135" s="73" t="s">
        <v>67</v>
      </c>
      <c r="D135" s="74">
        <v>4</v>
      </c>
      <c r="E135" s="75">
        <v>4.4483985765100001E-4</v>
      </c>
    </row>
    <row r="136" spans="2:5" ht="15" customHeight="1">
      <c r="B136" s="110"/>
      <c r="C136" s="73" t="s">
        <v>68</v>
      </c>
      <c r="D136" s="74">
        <v>1</v>
      </c>
      <c r="E136" s="75">
        <v>1.1120996441300001E-4</v>
      </c>
    </row>
    <row r="137" spans="2:5" ht="15" customHeight="1">
      <c r="B137" s="110"/>
      <c r="C137" s="73" t="s">
        <v>69</v>
      </c>
      <c r="D137" s="74">
        <v>2</v>
      </c>
      <c r="E137" s="75">
        <v>2.2241992882600001E-4</v>
      </c>
    </row>
    <row r="138" spans="2:5" ht="15" customHeight="1">
      <c r="B138" s="110"/>
      <c r="C138" s="73" t="s">
        <v>70</v>
      </c>
      <c r="D138" s="74">
        <v>16</v>
      </c>
      <c r="E138" s="75">
        <v>1.7793594306049999E-3</v>
      </c>
    </row>
    <row r="139" spans="2:5" ht="15" customHeight="1">
      <c r="B139" s="110"/>
      <c r="C139" s="73" t="s">
        <v>72</v>
      </c>
      <c r="D139" s="74">
        <v>4</v>
      </c>
      <c r="E139" s="75">
        <v>4.4483985765100001E-4</v>
      </c>
    </row>
    <row r="140" spans="2:5" ht="15" customHeight="1">
      <c r="B140" s="110"/>
      <c r="C140" s="73" t="s">
        <v>73</v>
      </c>
      <c r="D140" s="74">
        <v>1</v>
      </c>
      <c r="E140" s="75">
        <v>1.1120996441300001E-4</v>
      </c>
    </row>
    <row r="141" spans="2:5" ht="15" customHeight="1">
      <c r="B141" s="110"/>
      <c r="C141" s="73" t="s">
        <v>74</v>
      </c>
      <c r="D141" s="74">
        <v>4</v>
      </c>
      <c r="E141" s="75">
        <v>4.4483985765100001E-4</v>
      </c>
    </row>
    <row r="142" spans="2:5" ht="15" customHeight="1">
      <c r="B142" s="110"/>
      <c r="C142" s="73" t="s">
        <v>76</v>
      </c>
      <c r="D142" s="74">
        <v>3</v>
      </c>
      <c r="E142" s="75">
        <v>3.33629893238E-4</v>
      </c>
    </row>
    <row r="143" spans="2:5" ht="15" customHeight="1">
      <c r="B143" s="110"/>
      <c r="C143" s="73" t="s">
        <v>77</v>
      </c>
      <c r="D143" s="74">
        <v>70</v>
      </c>
      <c r="E143" s="75">
        <v>7.7846975088970002E-3</v>
      </c>
    </row>
    <row r="144" spans="2:5" ht="15" customHeight="1">
      <c r="B144" s="110"/>
      <c r="C144" s="73" t="s">
        <v>80</v>
      </c>
      <c r="D144" s="74">
        <v>2</v>
      </c>
      <c r="E144" s="75">
        <v>2.2241992882600001E-4</v>
      </c>
    </row>
    <row r="145" spans="2:5" ht="15" customHeight="1">
      <c r="B145" s="110"/>
      <c r="C145" s="73" t="s">
        <v>82</v>
      </c>
      <c r="D145" s="74">
        <v>5</v>
      </c>
      <c r="E145" s="75">
        <v>5.5604982206399996E-4</v>
      </c>
    </row>
    <row r="146" spans="2:5" ht="15" customHeight="1">
      <c r="B146" s="110"/>
      <c r="C146" s="73" t="s">
        <v>83</v>
      </c>
      <c r="D146" s="74">
        <v>128</v>
      </c>
      <c r="E146" s="75">
        <v>1.4234875444839999E-2</v>
      </c>
    </row>
    <row r="147" spans="2:5" ht="15" customHeight="1">
      <c r="B147" s="110"/>
      <c r="C147" s="73" t="s">
        <v>84</v>
      </c>
      <c r="D147" s="74">
        <v>6</v>
      </c>
      <c r="E147" s="75">
        <v>6.6725978647699997E-4</v>
      </c>
    </row>
    <row r="148" spans="2:5" ht="15" customHeight="1">
      <c r="B148" s="110"/>
      <c r="C148" s="73" t="s">
        <v>85</v>
      </c>
      <c r="D148" s="74">
        <v>2</v>
      </c>
      <c r="E148" s="75">
        <v>2.2241992882600001E-4</v>
      </c>
    </row>
    <row r="149" spans="2:5" ht="15" customHeight="1">
      <c r="B149" s="110"/>
      <c r="C149" s="73" t="s">
        <v>87</v>
      </c>
      <c r="D149" s="74">
        <v>1</v>
      </c>
      <c r="E149" s="75">
        <v>1.1120996441300001E-4</v>
      </c>
    </row>
    <row r="150" spans="2:5" ht="15" customHeight="1">
      <c r="B150" s="110"/>
      <c r="C150" s="73" t="s">
        <v>88</v>
      </c>
      <c r="D150" s="74">
        <v>2</v>
      </c>
      <c r="E150" s="75">
        <v>2.2241992882600001E-4</v>
      </c>
    </row>
    <row r="151" spans="2:5" ht="15" customHeight="1">
      <c r="B151" s="109"/>
      <c r="C151" s="78" t="s">
        <v>12</v>
      </c>
      <c r="D151" s="77">
        <v>569</v>
      </c>
      <c r="E151" s="80">
        <v>6.3278469750890007E-2</v>
      </c>
    </row>
    <row r="152" spans="2:5" ht="15" customHeight="1">
      <c r="B152" s="108" t="s">
        <v>96</v>
      </c>
      <c r="C152" s="73" t="s">
        <v>44</v>
      </c>
      <c r="D152" s="74">
        <v>1</v>
      </c>
      <c r="E152" s="75">
        <v>1.1120996441300001E-4</v>
      </c>
    </row>
    <row r="153" spans="2:5" ht="15" customHeight="1">
      <c r="B153" s="110"/>
      <c r="C153" s="73" t="s">
        <v>46</v>
      </c>
      <c r="D153" s="74">
        <v>8</v>
      </c>
      <c r="E153" s="75">
        <v>8.8967971530200002E-4</v>
      </c>
    </row>
    <row r="154" spans="2:5" ht="15" customHeight="1">
      <c r="B154" s="110"/>
      <c r="C154" s="73" t="s">
        <v>47</v>
      </c>
      <c r="D154" s="74">
        <v>22</v>
      </c>
      <c r="E154" s="75">
        <v>2.4466192170820001E-3</v>
      </c>
    </row>
    <row r="155" spans="2:5" ht="15" customHeight="1">
      <c r="B155" s="110"/>
      <c r="C155" s="73" t="s">
        <v>48</v>
      </c>
      <c r="D155" s="74">
        <v>192</v>
      </c>
      <c r="E155" s="75">
        <v>2.1352313167259999E-2</v>
      </c>
    </row>
    <row r="156" spans="2:5" ht="15" customHeight="1">
      <c r="B156" s="110"/>
      <c r="C156" s="73" t="s">
        <v>49</v>
      </c>
      <c r="D156" s="74">
        <v>65</v>
      </c>
      <c r="E156" s="75">
        <v>7.2286476868329997E-3</v>
      </c>
    </row>
    <row r="157" spans="2:5" ht="15" customHeight="1">
      <c r="B157" s="110"/>
      <c r="C157" s="73" t="s">
        <v>50</v>
      </c>
      <c r="D157" s="74">
        <v>1</v>
      </c>
      <c r="E157" s="75">
        <v>1.1120996441300001E-4</v>
      </c>
    </row>
    <row r="158" spans="2:5" ht="15" customHeight="1">
      <c r="B158" s="110"/>
      <c r="C158" s="73" t="s">
        <v>51</v>
      </c>
      <c r="D158" s="74">
        <v>1</v>
      </c>
      <c r="E158" s="75">
        <v>1.1120996441300001E-4</v>
      </c>
    </row>
    <row r="159" spans="2:5" ht="15" customHeight="1">
      <c r="B159" s="110"/>
      <c r="C159" s="73" t="s">
        <v>53</v>
      </c>
      <c r="D159" s="74">
        <v>18</v>
      </c>
      <c r="E159" s="75">
        <v>2.0017793594310001E-3</v>
      </c>
    </row>
    <row r="160" spans="2:5" ht="15" customHeight="1">
      <c r="B160" s="110"/>
      <c r="C160" s="73" t="s">
        <v>54</v>
      </c>
      <c r="D160" s="74">
        <v>30</v>
      </c>
      <c r="E160" s="75">
        <v>3.336298932384E-3</v>
      </c>
    </row>
    <row r="161" spans="2:5" ht="15" customHeight="1">
      <c r="B161" s="110"/>
      <c r="C161" s="73" t="s">
        <v>55</v>
      </c>
      <c r="D161" s="74">
        <v>7</v>
      </c>
      <c r="E161" s="75">
        <v>7.7846975088999998E-4</v>
      </c>
    </row>
    <row r="162" spans="2:5" ht="15" customHeight="1">
      <c r="B162" s="110"/>
      <c r="C162" s="73" t="s">
        <v>56</v>
      </c>
      <c r="D162" s="74">
        <v>143</v>
      </c>
      <c r="E162" s="75">
        <v>1.5903024911032002E-2</v>
      </c>
    </row>
    <row r="163" spans="2:5" ht="15" customHeight="1">
      <c r="B163" s="110"/>
      <c r="C163" s="73" t="s">
        <v>57</v>
      </c>
      <c r="D163" s="74">
        <v>71</v>
      </c>
      <c r="E163" s="75">
        <v>7.8959074733099995E-3</v>
      </c>
    </row>
    <row r="164" spans="2:5" ht="15" customHeight="1">
      <c r="B164" s="110"/>
      <c r="C164" s="73" t="s">
        <v>58</v>
      </c>
      <c r="D164" s="74">
        <v>10</v>
      </c>
      <c r="E164" s="75">
        <v>1.1120996441279999E-3</v>
      </c>
    </row>
    <row r="165" spans="2:5" ht="15" customHeight="1">
      <c r="B165" s="110"/>
      <c r="C165" s="73" t="s">
        <v>59</v>
      </c>
      <c r="D165" s="74">
        <v>11</v>
      </c>
      <c r="E165" s="75">
        <v>1.223309608541E-3</v>
      </c>
    </row>
    <row r="166" spans="2:5" ht="15" customHeight="1">
      <c r="B166" s="110"/>
      <c r="C166" s="73" t="s">
        <v>60</v>
      </c>
      <c r="D166" s="74">
        <v>13</v>
      </c>
      <c r="E166" s="75">
        <v>1.4457295373670001E-3</v>
      </c>
    </row>
    <row r="167" spans="2:5" ht="15" customHeight="1">
      <c r="B167" s="110"/>
      <c r="C167" s="73" t="s">
        <v>63</v>
      </c>
      <c r="D167" s="74">
        <v>1</v>
      </c>
      <c r="E167" s="75">
        <v>1.1120996441300001E-4</v>
      </c>
    </row>
    <row r="168" spans="2:5" ht="15" customHeight="1">
      <c r="B168" s="110"/>
      <c r="C168" s="73" t="s">
        <v>64</v>
      </c>
      <c r="D168" s="74">
        <v>13</v>
      </c>
      <c r="E168" s="75">
        <v>1.4457295373670001E-3</v>
      </c>
    </row>
    <row r="169" spans="2:5" ht="15" customHeight="1">
      <c r="B169" s="110"/>
      <c r="C169" s="73" t="s">
        <v>65</v>
      </c>
      <c r="D169" s="74">
        <v>4</v>
      </c>
      <c r="E169" s="75">
        <v>4.4483985765100001E-4</v>
      </c>
    </row>
    <row r="170" spans="2:5" ht="15" customHeight="1">
      <c r="B170" s="110"/>
      <c r="C170" s="73" t="s">
        <v>66</v>
      </c>
      <c r="D170" s="74">
        <v>4</v>
      </c>
      <c r="E170" s="75">
        <v>4.4483985765100001E-4</v>
      </c>
    </row>
    <row r="171" spans="2:5" ht="15" customHeight="1">
      <c r="B171" s="110"/>
      <c r="C171" s="73" t="s">
        <v>67</v>
      </c>
      <c r="D171" s="74">
        <v>6</v>
      </c>
      <c r="E171" s="75">
        <v>6.6725978647699997E-4</v>
      </c>
    </row>
    <row r="172" spans="2:5" ht="15" customHeight="1">
      <c r="B172" s="110"/>
      <c r="C172" s="73" t="s">
        <v>69</v>
      </c>
      <c r="D172" s="74">
        <v>9</v>
      </c>
      <c r="E172" s="75">
        <v>1.000889679715E-3</v>
      </c>
    </row>
    <row r="173" spans="2:5" ht="15" customHeight="1">
      <c r="B173" s="110"/>
      <c r="C173" s="73" t="s">
        <v>70</v>
      </c>
      <c r="D173" s="74">
        <v>23</v>
      </c>
      <c r="E173" s="75">
        <v>2.5578291814950002E-3</v>
      </c>
    </row>
    <row r="174" spans="2:5" ht="15" customHeight="1">
      <c r="B174" s="110"/>
      <c r="C174" s="73" t="s">
        <v>72</v>
      </c>
      <c r="D174" s="74">
        <v>12</v>
      </c>
      <c r="E174" s="75">
        <v>1.3345195729539999E-3</v>
      </c>
    </row>
    <row r="175" spans="2:5" ht="15" customHeight="1">
      <c r="B175" s="110"/>
      <c r="C175" s="73" t="s">
        <v>73</v>
      </c>
      <c r="D175" s="74">
        <v>1</v>
      </c>
      <c r="E175" s="75">
        <v>1.1120996441300001E-4</v>
      </c>
    </row>
    <row r="176" spans="2:5" ht="15" customHeight="1">
      <c r="B176" s="110"/>
      <c r="C176" s="73" t="s">
        <v>74</v>
      </c>
      <c r="D176" s="74">
        <v>26</v>
      </c>
      <c r="E176" s="75">
        <v>2.891459074733E-3</v>
      </c>
    </row>
    <row r="177" spans="2:5" ht="15" customHeight="1">
      <c r="B177" s="110"/>
      <c r="C177" s="73" t="s">
        <v>75</v>
      </c>
      <c r="D177" s="74">
        <v>1</v>
      </c>
      <c r="E177" s="75">
        <v>1.1120996441300001E-4</v>
      </c>
    </row>
    <row r="178" spans="2:5" ht="15" customHeight="1">
      <c r="B178" s="110"/>
      <c r="C178" s="73" t="s">
        <v>76</v>
      </c>
      <c r="D178" s="74">
        <v>10</v>
      </c>
      <c r="E178" s="75">
        <v>1.1120996441279999E-3</v>
      </c>
    </row>
    <row r="179" spans="2:5" ht="15" customHeight="1">
      <c r="B179" s="110"/>
      <c r="C179" s="73" t="s">
        <v>77</v>
      </c>
      <c r="D179" s="74">
        <v>144</v>
      </c>
      <c r="E179" s="75">
        <v>1.6014234875445E-2</v>
      </c>
    </row>
    <row r="180" spans="2:5" ht="15" customHeight="1">
      <c r="B180" s="110"/>
      <c r="C180" s="73" t="s">
        <v>79</v>
      </c>
      <c r="D180" s="74">
        <v>1</v>
      </c>
      <c r="E180" s="75">
        <v>1.1120996441300001E-4</v>
      </c>
    </row>
    <row r="181" spans="2:5" ht="15" customHeight="1">
      <c r="B181" s="110"/>
      <c r="C181" s="73" t="s">
        <v>80</v>
      </c>
      <c r="D181" s="74">
        <v>2</v>
      </c>
      <c r="E181" s="75">
        <v>2.2241992882600001E-4</v>
      </c>
    </row>
    <row r="182" spans="2:5" ht="15" customHeight="1">
      <c r="B182" s="110"/>
      <c r="C182" s="73" t="s">
        <v>81</v>
      </c>
      <c r="D182" s="74">
        <v>4</v>
      </c>
      <c r="E182" s="75">
        <v>4.4483985765100001E-4</v>
      </c>
    </row>
    <row r="183" spans="2:5" ht="15" customHeight="1">
      <c r="B183" s="110"/>
      <c r="C183" s="73" t="s">
        <v>82</v>
      </c>
      <c r="D183" s="74">
        <v>23</v>
      </c>
      <c r="E183" s="75">
        <v>2.5578291814950002E-3</v>
      </c>
    </row>
    <row r="184" spans="2:5" ht="15" customHeight="1">
      <c r="B184" s="110"/>
      <c r="C184" s="73" t="s">
        <v>83</v>
      </c>
      <c r="D184" s="74">
        <v>174</v>
      </c>
      <c r="E184" s="75">
        <v>1.9350533807829001E-2</v>
      </c>
    </row>
    <row r="185" spans="2:5" ht="15" customHeight="1">
      <c r="B185" s="110"/>
      <c r="C185" s="73" t="s">
        <v>84</v>
      </c>
      <c r="D185" s="74">
        <v>15</v>
      </c>
      <c r="E185" s="75">
        <v>1.668149466192E-3</v>
      </c>
    </row>
    <row r="186" spans="2:5" ht="15" customHeight="1">
      <c r="B186" s="110"/>
      <c r="C186" s="73" t="s">
        <v>85</v>
      </c>
      <c r="D186" s="74">
        <v>3</v>
      </c>
      <c r="E186" s="75">
        <v>3.33629893238E-4</v>
      </c>
    </row>
    <row r="187" spans="2:5" ht="15" customHeight="1">
      <c r="B187" s="110"/>
      <c r="C187" s="73" t="s">
        <v>86</v>
      </c>
      <c r="D187" s="74">
        <v>5</v>
      </c>
      <c r="E187" s="75">
        <v>5.5604982206399996E-4</v>
      </c>
    </row>
    <row r="188" spans="2:5" ht="15" customHeight="1">
      <c r="B188" s="110"/>
      <c r="C188" s="73" t="s">
        <v>87</v>
      </c>
      <c r="D188" s="74">
        <v>3</v>
      </c>
      <c r="E188" s="75">
        <v>3.33629893238E-4</v>
      </c>
    </row>
    <row r="189" spans="2:5" ht="15" customHeight="1">
      <c r="B189" s="110"/>
      <c r="C189" s="73" t="s">
        <v>88</v>
      </c>
      <c r="D189" s="74">
        <v>1</v>
      </c>
      <c r="E189" s="75">
        <v>1.1120996441300001E-4</v>
      </c>
    </row>
    <row r="190" spans="2:5" ht="15" customHeight="1">
      <c r="B190" s="109"/>
      <c r="C190" s="78" t="s">
        <v>12</v>
      </c>
      <c r="D190" s="77">
        <v>1078</v>
      </c>
      <c r="E190" s="80">
        <v>0.119884341637011</v>
      </c>
    </row>
    <row r="191" spans="2:5" ht="15" customHeight="1">
      <c r="B191" s="108" t="s">
        <v>195</v>
      </c>
      <c r="C191" s="73" t="s">
        <v>46</v>
      </c>
      <c r="D191" s="74">
        <v>1</v>
      </c>
      <c r="E191" s="75">
        <v>1.1120996441300001E-4</v>
      </c>
    </row>
    <row r="192" spans="2:5" ht="15" customHeight="1">
      <c r="B192" s="110"/>
      <c r="C192" s="73" t="s">
        <v>47</v>
      </c>
      <c r="D192" s="74">
        <v>2</v>
      </c>
      <c r="E192" s="75">
        <v>2.2241992882600001E-4</v>
      </c>
    </row>
    <row r="193" spans="2:5" ht="15" customHeight="1">
      <c r="B193" s="110"/>
      <c r="C193" s="73" t="s">
        <v>48</v>
      </c>
      <c r="D193" s="74">
        <v>13</v>
      </c>
      <c r="E193" s="75">
        <v>1.4457295373670001E-3</v>
      </c>
    </row>
    <row r="194" spans="2:5" ht="15" customHeight="1">
      <c r="B194" s="110"/>
      <c r="C194" s="73" t="s">
        <v>49</v>
      </c>
      <c r="D194" s="74">
        <v>4</v>
      </c>
      <c r="E194" s="75">
        <v>4.4483985765100001E-4</v>
      </c>
    </row>
    <row r="195" spans="2:5" ht="15" customHeight="1">
      <c r="B195" s="110"/>
      <c r="C195" s="73" t="s">
        <v>53</v>
      </c>
      <c r="D195" s="74">
        <v>1</v>
      </c>
      <c r="E195" s="75">
        <v>1.1120996441300001E-4</v>
      </c>
    </row>
    <row r="196" spans="2:5" ht="15" customHeight="1">
      <c r="B196" s="110"/>
      <c r="C196" s="73" t="s">
        <v>54</v>
      </c>
      <c r="D196" s="74">
        <v>2</v>
      </c>
      <c r="E196" s="75">
        <v>2.2241992882600001E-4</v>
      </c>
    </row>
    <row r="197" spans="2:5" ht="15" customHeight="1">
      <c r="B197" s="110"/>
      <c r="C197" s="73" t="s">
        <v>56</v>
      </c>
      <c r="D197" s="74">
        <v>4</v>
      </c>
      <c r="E197" s="75">
        <v>4.4483985765100001E-4</v>
      </c>
    </row>
    <row r="198" spans="2:5" ht="15" customHeight="1">
      <c r="B198" s="110"/>
      <c r="C198" s="73" t="s">
        <v>57</v>
      </c>
      <c r="D198" s="74">
        <v>5</v>
      </c>
      <c r="E198" s="75">
        <v>5.5604982206399996E-4</v>
      </c>
    </row>
    <row r="199" spans="2:5" ht="15" customHeight="1">
      <c r="B199" s="110"/>
      <c r="C199" s="73" t="s">
        <v>58</v>
      </c>
      <c r="D199" s="74">
        <v>1</v>
      </c>
      <c r="E199" s="75">
        <v>1.1120996441300001E-4</v>
      </c>
    </row>
    <row r="200" spans="2:5" ht="15" customHeight="1">
      <c r="B200" s="110"/>
      <c r="C200" s="73" t="s">
        <v>59</v>
      </c>
      <c r="D200" s="74">
        <v>3</v>
      </c>
      <c r="E200" s="75">
        <v>3.33629893238E-4</v>
      </c>
    </row>
    <row r="201" spans="2:5" ht="15" customHeight="1">
      <c r="B201" s="110"/>
      <c r="C201" s="73" t="s">
        <v>60</v>
      </c>
      <c r="D201" s="74">
        <v>2</v>
      </c>
      <c r="E201" s="75">
        <v>2.2241992882600001E-4</v>
      </c>
    </row>
    <row r="202" spans="2:5" ht="15" customHeight="1">
      <c r="B202" s="110"/>
      <c r="C202" s="73" t="s">
        <v>61</v>
      </c>
      <c r="D202" s="74">
        <v>1</v>
      </c>
      <c r="E202" s="75">
        <v>1.1120996441300001E-4</v>
      </c>
    </row>
    <row r="203" spans="2:5" ht="15" customHeight="1">
      <c r="B203" s="110"/>
      <c r="C203" s="73" t="s">
        <v>64</v>
      </c>
      <c r="D203" s="74">
        <v>2</v>
      </c>
      <c r="E203" s="75">
        <v>2.2241992882600001E-4</v>
      </c>
    </row>
    <row r="204" spans="2:5" ht="15" customHeight="1">
      <c r="B204" s="110"/>
      <c r="C204" s="73" t="s">
        <v>65</v>
      </c>
      <c r="D204" s="74">
        <v>2</v>
      </c>
      <c r="E204" s="75">
        <v>2.2241992882600001E-4</v>
      </c>
    </row>
    <row r="205" spans="2:5" ht="15" customHeight="1">
      <c r="B205" s="110"/>
      <c r="C205" s="73" t="s">
        <v>66</v>
      </c>
      <c r="D205" s="74">
        <v>1</v>
      </c>
      <c r="E205" s="75">
        <v>1.1120996441300001E-4</v>
      </c>
    </row>
    <row r="206" spans="2:5" ht="15" customHeight="1">
      <c r="B206" s="110"/>
      <c r="C206" s="73" t="s">
        <v>67</v>
      </c>
      <c r="D206" s="74">
        <v>1</v>
      </c>
      <c r="E206" s="75">
        <v>1.1120996441300001E-4</v>
      </c>
    </row>
    <row r="207" spans="2:5" ht="15" customHeight="1">
      <c r="B207" s="110"/>
      <c r="C207" s="73" t="s">
        <v>70</v>
      </c>
      <c r="D207" s="74">
        <v>1</v>
      </c>
      <c r="E207" s="75">
        <v>1.1120996441300001E-4</v>
      </c>
    </row>
    <row r="208" spans="2:5" ht="15" customHeight="1">
      <c r="B208" s="110"/>
      <c r="C208" s="73" t="s">
        <v>74</v>
      </c>
      <c r="D208" s="74">
        <v>5</v>
      </c>
      <c r="E208" s="75">
        <v>5.5604982206399996E-4</v>
      </c>
    </row>
    <row r="209" spans="2:5" ht="15" customHeight="1">
      <c r="B209" s="110"/>
      <c r="C209" s="73" t="s">
        <v>76</v>
      </c>
      <c r="D209" s="74">
        <v>1</v>
      </c>
      <c r="E209" s="75">
        <v>1.1120996441300001E-4</v>
      </c>
    </row>
    <row r="210" spans="2:5" ht="15" customHeight="1">
      <c r="B210" s="110"/>
      <c r="C210" s="73" t="s">
        <v>77</v>
      </c>
      <c r="D210" s="74">
        <v>19</v>
      </c>
      <c r="E210" s="75">
        <v>2.1129893238430002E-3</v>
      </c>
    </row>
    <row r="211" spans="2:5" ht="15" customHeight="1">
      <c r="B211" s="110"/>
      <c r="C211" s="73" t="s">
        <v>80</v>
      </c>
      <c r="D211" s="74">
        <v>1</v>
      </c>
      <c r="E211" s="75">
        <v>1.1120996441300001E-4</v>
      </c>
    </row>
    <row r="212" spans="2:5" ht="15" customHeight="1">
      <c r="B212" s="110"/>
      <c r="C212" s="73" t="s">
        <v>82</v>
      </c>
      <c r="D212" s="74">
        <v>1</v>
      </c>
      <c r="E212" s="75">
        <v>1.1120996441300001E-4</v>
      </c>
    </row>
    <row r="213" spans="2:5" ht="15" customHeight="1">
      <c r="B213" s="110"/>
      <c r="C213" s="73" t="s">
        <v>83</v>
      </c>
      <c r="D213" s="74">
        <v>20</v>
      </c>
      <c r="E213" s="75">
        <v>2.2241992882559999E-3</v>
      </c>
    </row>
    <row r="214" spans="2:5" ht="15" customHeight="1">
      <c r="B214" s="110"/>
      <c r="C214" s="73" t="s">
        <v>86</v>
      </c>
      <c r="D214" s="74">
        <v>2</v>
      </c>
      <c r="E214" s="75">
        <v>2.2241992882600001E-4</v>
      </c>
    </row>
    <row r="215" spans="2:5" ht="15" customHeight="1">
      <c r="B215" s="109"/>
      <c r="C215" s="78" t="s">
        <v>12</v>
      </c>
      <c r="D215" s="77">
        <v>95</v>
      </c>
      <c r="E215" s="80">
        <v>1.0564946619216999E-2</v>
      </c>
    </row>
    <row r="216" spans="2:5" ht="15" customHeight="1">
      <c r="B216" s="108" t="s">
        <v>196</v>
      </c>
      <c r="C216" s="73" t="s">
        <v>46</v>
      </c>
      <c r="D216" s="74">
        <v>4</v>
      </c>
      <c r="E216" s="75">
        <v>4.4483985765100001E-4</v>
      </c>
    </row>
    <row r="217" spans="2:5" ht="15" customHeight="1">
      <c r="B217" s="110"/>
      <c r="C217" s="73" t="s">
        <v>47</v>
      </c>
      <c r="D217" s="74">
        <v>3</v>
      </c>
      <c r="E217" s="75">
        <v>3.33629893238E-4</v>
      </c>
    </row>
    <row r="218" spans="2:5" ht="15" customHeight="1">
      <c r="B218" s="110"/>
      <c r="C218" s="73" t="s">
        <v>48</v>
      </c>
      <c r="D218" s="74">
        <v>27</v>
      </c>
      <c r="E218" s="75">
        <v>3.0026690391460002E-3</v>
      </c>
    </row>
    <row r="219" spans="2:5" ht="15" customHeight="1">
      <c r="B219" s="110"/>
      <c r="C219" s="73" t="s">
        <v>49</v>
      </c>
      <c r="D219" s="74">
        <v>21</v>
      </c>
      <c r="E219" s="75">
        <v>2.335409252669E-3</v>
      </c>
    </row>
    <row r="220" spans="2:5" ht="15" customHeight="1">
      <c r="B220" s="110"/>
      <c r="C220" s="73" t="s">
        <v>53</v>
      </c>
      <c r="D220" s="74">
        <v>3</v>
      </c>
      <c r="E220" s="75">
        <v>3.33629893238E-4</v>
      </c>
    </row>
    <row r="221" spans="2:5" ht="15" customHeight="1">
      <c r="B221" s="110"/>
      <c r="C221" s="73" t="s">
        <v>54</v>
      </c>
      <c r="D221" s="74">
        <v>3</v>
      </c>
      <c r="E221" s="75">
        <v>3.33629893238E-4</v>
      </c>
    </row>
    <row r="222" spans="2:5" ht="15" customHeight="1">
      <c r="B222" s="110"/>
      <c r="C222" s="73" t="s">
        <v>56</v>
      </c>
      <c r="D222" s="74">
        <v>15</v>
      </c>
      <c r="E222" s="75">
        <v>1.668149466192E-3</v>
      </c>
    </row>
    <row r="223" spans="2:5" ht="15" customHeight="1">
      <c r="B223" s="110"/>
      <c r="C223" s="73" t="s">
        <v>57</v>
      </c>
      <c r="D223" s="74">
        <v>7</v>
      </c>
      <c r="E223" s="75">
        <v>7.7846975088999998E-4</v>
      </c>
    </row>
    <row r="224" spans="2:5" ht="15" customHeight="1">
      <c r="B224" s="110"/>
      <c r="C224" s="73" t="s">
        <v>58</v>
      </c>
      <c r="D224" s="74">
        <v>4</v>
      </c>
      <c r="E224" s="75">
        <v>4.4483985765100001E-4</v>
      </c>
    </row>
    <row r="225" spans="2:5" ht="15" customHeight="1">
      <c r="B225" s="110"/>
      <c r="C225" s="73" t="s">
        <v>59</v>
      </c>
      <c r="D225" s="74">
        <v>7</v>
      </c>
      <c r="E225" s="75">
        <v>7.7846975088999998E-4</v>
      </c>
    </row>
    <row r="226" spans="2:5" ht="15" customHeight="1">
      <c r="B226" s="110"/>
      <c r="C226" s="73" t="s">
        <v>60</v>
      </c>
      <c r="D226" s="74">
        <v>3</v>
      </c>
      <c r="E226" s="75">
        <v>3.33629893238E-4</v>
      </c>
    </row>
    <row r="227" spans="2:5" ht="15" customHeight="1">
      <c r="B227" s="110"/>
      <c r="C227" s="73" t="s">
        <v>61</v>
      </c>
      <c r="D227" s="74">
        <v>1</v>
      </c>
      <c r="E227" s="75">
        <v>1.1120996441300001E-4</v>
      </c>
    </row>
    <row r="228" spans="2:5" ht="15" customHeight="1">
      <c r="B228" s="110"/>
      <c r="C228" s="73" t="s">
        <v>64</v>
      </c>
      <c r="D228" s="74">
        <v>6</v>
      </c>
      <c r="E228" s="75">
        <v>6.6725978647699997E-4</v>
      </c>
    </row>
    <row r="229" spans="2:5" ht="15" customHeight="1">
      <c r="B229" s="110"/>
      <c r="C229" s="73" t="s">
        <v>65</v>
      </c>
      <c r="D229" s="74">
        <v>1</v>
      </c>
      <c r="E229" s="75">
        <v>1.1120996441300001E-4</v>
      </c>
    </row>
    <row r="230" spans="2:5" ht="15" customHeight="1">
      <c r="B230" s="110"/>
      <c r="C230" s="73" t="s">
        <v>68</v>
      </c>
      <c r="D230" s="74">
        <v>1</v>
      </c>
      <c r="E230" s="75">
        <v>1.1120996441300001E-4</v>
      </c>
    </row>
    <row r="231" spans="2:5" ht="15" customHeight="1">
      <c r="B231" s="110"/>
      <c r="C231" s="73" t="s">
        <v>69</v>
      </c>
      <c r="D231" s="74">
        <v>2</v>
      </c>
      <c r="E231" s="75">
        <v>2.2241992882600001E-4</v>
      </c>
    </row>
    <row r="232" spans="2:5" ht="15" customHeight="1">
      <c r="B232" s="110"/>
      <c r="C232" s="73" t="s">
        <v>70</v>
      </c>
      <c r="D232" s="74">
        <v>1</v>
      </c>
      <c r="E232" s="75">
        <v>1.1120996441300001E-4</v>
      </c>
    </row>
    <row r="233" spans="2:5" ht="15" customHeight="1">
      <c r="B233" s="110"/>
      <c r="C233" s="73" t="s">
        <v>72</v>
      </c>
      <c r="D233" s="74">
        <v>1</v>
      </c>
      <c r="E233" s="75">
        <v>1.1120996441300001E-4</v>
      </c>
    </row>
    <row r="234" spans="2:5" ht="15" customHeight="1">
      <c r="B234" s="110"/>
      <c r="C234" s="73" t="s">
        <v>74</v>
      </c>
      <c r="D234" s="74">
        <v>2</v>
      </c>
      <c r="E234" s="75">
        <v>2.2241992882600001E-4</v>
      </c>
    </row>
    <row r="235" spans="2:5" ht="15" customHeight="1">
      <c r="B235" s="110"/>
      <c r="C235" s="73" t="s">
        <v>76</v>
      </c>
      <c r="D235" s="74">
        <v>1</v>
      </c>
      <c r="E235" s="75">
        <v>1.1120996441300001E-4</v>
      </c>
    </row>
    <row r="236" spans="2:5" ht="15" customHeight="1">
      <c r="B236" s="110"/>
      <c r="C236" s="73" t="s">
        <v>77</v>
      </c>
      <c r="D236" s="74">
        <v>50</v>
      </c>
      <c r="E236" s="75">
        <v>5.5604982206409999E-3</v>
      </c>
    </row>
    <row r="237" spans="2:5" ht="15" customHeight="1">
      <c r="B237" s="110"/>
      <c r="C237" s="73" t="s">
        <v>82</v>
      </c>
      <c r="D237" s="74">
        <v>6</v>
      </c>
      <c r="E237" s="75">
        <v>6.6725978647699997E-4</v>
      </c>
    </row>
    <row r="238" spans="2:5" ht="15" customHeight="1">
      <c r="B238" s="110"/>
      <c r="C238" s="73" t="s">
        <v>83</v>
      </c>
      <c r="D238" s="74">
        <v>40</v>
      </c>
      <c r="E238" s="75">
        <v>4.4483985765119997E-3</v>
      </c>
    </row>
    <row r="239" spans="2:5" ht="15" customHeight="1">
      <c r="B239" s="110"/>
      <c r="C239" s="73" t="s">
        <v>84</v>
      </c>
      <c r="D239" s="74">
        <v>2</v>
      </c>
      <c r="E239" s="75">
        <v>2.2241992882600001E-4</v>
      </c>
    </row>
    <row r="240" spans="2:5" ht="15" customHeight="1">
      <c r="B240" s="110"/>
      <c r="C240" s="73" t="s">
        <v>85</v>
      </c>
      <c r="D240" s="74">
        <v>2</v>
      </c>
      <c r="E240" s="75">
        <v>2.2241992882600001E-4</v>
      </c>
    </row>
    <row r="241" spans="2:5" ht="15" customHeight="1">
      <c r="B241" s="110"/>
      <c r="C241" s="73" t="s">
        <v>86</v>
      </c>
      <c r="D241" s="74">
        <v>1</v>
      </c>
      <c r="E241" s="75">
        <v>1.1120996441300001E-4</v>
      </c>
    </row>
    <row r="242" spans="2:5" ht="15" customHeight="1">
      <c r="B242" s="109"/>
      <c r="C242" s="78" t="s">
        <v>12</v>
      </c>
      <c r="D242" s="77">
        <v>214</v>
      </c>
      <c r="E242" s="80">
        <v>2.3798932384342001E-2</v>
      </c>
    </row>
    <row r="243" spans="2:5" ht="15" customHeight="1">
      <c r="B243" s="108" t="s">
        <v>197</v>
      </c>
      <c r="C243" s="73" t="s">
        <v>44</v>
      </c>
      <c r="D243" s="74">
        <v>1</v>
      </c>
      <c r="E243" s="75">
        <v>1.1120996441300001E-4</v>
      </c>
    </row>
    <row r="244" spans="2:5" ht="15" customHeight="1">
      <c r="B244" s="110"/>
      <c r="C244" s="73" t="s">
        <v>46</v>
      </c>
      <c r="D244" s="74">
        <v>6</v>
      </c>
      <c r="E244" s="75">
        <v>6.6725978647699997E-4</v>
      </c>
    </row>
    <row r="245" spans="2:5" ht="15" customHeight="1">
      <c r="B245" s="110"/>
      <c r="C245" s="73" t="s">
        <v>47</v>
      </c>
      <c r="D245" s="74">
        <v>11</v>
      </c>
      <c r="E245" s="75">
        <v>1.223309608541E-3</v>
      </c>
    </row>
    <row r="246" spans="2:5" ht="15" customHeight="1">
      <c r="B246" s="110"/>
      <c r="C246" s="73" t="s">
        <v>48</v>
      </c>
      <c r="D246" s="74">
        <v>97</v>
      </c>
      <c r="E246" s="75">
        <v>1.0787366548042999E-2</v>
      </c>
    </row>
    <row r="247" spans="2:5" ht="15" customHeight="1">
      <c r="B247" s="110"/>
      <c r="C247" s="73" t="s">
        <v>49</v>
      </c>
      <c r="D247" s="74">
        <v>44</v>
      </c>
      <c r="E247" s="75">
        <v>4.8932384341640002E-3</v>
      </c>
    </row>
    <row r="248" spans="2:5" ht="15" customHeight="1">
      <c r="B248" s="110"/>
      <c r="C248" s="73" t="s">
        <v>53</v>
      </c>
      <c r="D248" s="74">
        <v>11</v>
      </c>
      <c r="E248" s="75">
        <v>1.223309608541E-3</v>
      </c>
    </row>
    <row r="249" spans="2:5" ht="15" customHeight="1">
      <c r="B249" s="110"/>
      <c r="C249" s="73" t="s">
        <v>54</v>
      </c>
      <c r="D249" s="74">
        <v>5</v>
      </c>
      <c r="E249" s="75">
        <v>5.5604982206399996E-4</v>
      </c>
    </row>
    <row r="250" spans="2:5" ht="15" customHeight="1">
      <c r="B250" s="110"/>
      <c r="C250" s="73" t="s">
        <v>55</v>
      </c>
      <c r="D250" s="74">
        <v>1</v>
      </c>
      <c r="E250" s="75">
        <v>1.1120996441300001E-4</v>
      </c>
    </row>
    <row r="251" spans="2:5" ht="15" customHeight="1">
      <c r="B251" s="110"/>
      <c r="C251" s="73" t="s">
        <v>56</v>
      </c>
      <c r="D251" s="74">
        <v>28</v>
      </c>
      <c r="E251" s="75">
        <v>3.1138790035589998E-3</v>
      </c>
    </row>
    <row r="252" spans="2:5" ht="15" customHeight="1">
      <c r="B252" s="110"/>
      <c r="C252" s="73" t="s">
        <v>57</v>
      </c>
      <c r="D252" s="74">
        <v>22</v>
      </c>
      <c r="E252" s="75">
        <v>2.4466192170820001E-3</v>
      </c>
    </row>
    <row r="253" spans="2:5" ht="15" customHeight="1">
      <c r="B253" s="110"/>
      <c r="C253" s="73" t="s">
        <v>58</v>
      </c>
      <c r="D253" s="74">
        <v>2</v>
      </c>
      <c r="E253" s="75">
        <v>2.2241992882600001E-4</v>
      </c>
    </row>
    <row r="254" spans="2:5" ht="15" customHeight="1">
      <c r="B254" s="110"/>
      <c r="C254" s="73" t="s">
        <v>59</v>
      </c>
      <c r="D254" s="74">
        <v>5</v>
      </c>
      <c r="E254" s="75">
        <v>5.5604982206399996E-4</v>
      </c>
    </row>
    <row r="255" spans="2:5" ht="15" customHeight="1">
      <c r="B255" s="110"/>
      <c r="C255" s="73" t="s">
        <v>60</v>
      </c>
      <c r="D255" s="74">
        <v>6</v>
      </c>
      <c r="E255" s="75">
        <v>6.6725978647699997E-4</v>
      </c>
    </row>
    <row r="256" spans="2:5" ht="15" customHeight="1">
      <c r="B256" s="110"/>
      <c r="C256" s="73" t="s">
        <v>61</v>
      </c>
      <c r="D256" s="74">
        <v>1</v>
      </c>
      <c r="E256" s="75">
        <v>1.1120996441300001E-4</v>
      </c>
    </row>
    <row r="257" spans="2:5" ht="15" customHeight="1">
      <c r="B257" s="110"/>
      <c r="C257" s="73" t="s">
        <v>64</v>
      </c>
      <c r="D257" s="74">
        <v>5</v>
      </c>
      <c r="E257" s="75">
        <v>5.5604982206399996E-4</v>
      </c>
    </row>
    <row r="258" spans="2:5" ht="15" customHeight="1">
      <c r="B258" s="110"/>
      <c r="C258" s="73" t="s">
        <v>65</v>
      </c>
      <c r="D258" s="74">
        <v>2</v>
      </c>
      <c r="E258" s="75">
        <v>2.2241992882600001E-4</v>
      </c>
    </row>
    <row r="259" spans="2:5" ht="15" customHeight="1">
      <c r="B259" s="110"/>
      <c r="C259" s="73" t="s">
        <v>67</v>
      </c>
      <c r="D259" s="74">
        <v>4</v>
      </c>
      <c r="E259" s="75">
        <v>4.4483985765100001E-4</v>
      </c>
    </row>
    <row r="260" spans="2:5" ht="15" customHeight="1">
      <c r="B260" s="110"/>
      <c r="C260" s="73" t="s">
        <v>69</v>
      </c>
      <c r="D260" s="74">
        <v>4</v>
      </c>
      <c r="E260" s="75">
        <v>4.4483985765100001E-4</v>
      </c>
    </row>
    <row r="261" spans="2:5" ht="15" customHeight="1">
      <c r="B261" s="110"/>
      <c r="C261" s="73" t="s">
        <v>70</v>
      </c>
      <c r="D261" s="74">
        <v>16</v>
      </c>
      <c r="E261" s="75">
        <v>1.7793594306049999E-3</v>
      </c>
    </row>
    <row r="262" spans="2:5" ht="15" customHeight="1">
      <c r="B262" s="110"/>
      <c r="C262" s="73" t="s">
        <v>72</v>
      </c>
      <c r="D262" s="74">
        <v>4</v>
      </c>
      <c r="E262" s="75">
        <v>4.4483985765100001E-4</v>
      </c>
    </row>
    <row r="263" spans="2:5" ht="15" customHeight="1">
      <c r="B263" s="110"/>
      <c r="C263" s="73" t="s">
        <v>73</v>
      </c>
      <c r="D263" s="74">
        <v>1</v>
      </c>
      <c r="E263" s="75">
        <v>1.1120996441300001E-4</v>
      </c>
    </row>
    <row r="264" spans="2:5" ht="15" customHeight="1">
      <c r="B264" s="110"/>
      <c r="C264" s="73" t="s">
        <v>74</v>
      </c>
      <c r="D264" s="74">
        <v>4</v>
      </c>
      <c r="E264" s="75">
        <v>4.4483985765100001E-4</v>
      </c>
    </row>
    <row r="265" spans="2:5" ht="15" customHeight="1">
      <c r="B265" s="110"/>
      <c r="C265" s="73" t="s">
        <v>76</v>
      </c>
      <c r="D265" s="74">
        <v>4</v>
      </c>
      <c r="E265" s="75">
        <v>4.4483985765100001E-4</v>
      </c>
    </row>
    <row r="266" spans="2:5" ht="15" customHeight="1">
      <c r="B266" s="110"/>
      <c r="C266" s="73" t="s">
        <v>77</v>
      </c>
      <c r="D266" s="74">
        <v>39</v>
      </c>
      <c r="E266" s="75">
        <v>4.3371886120999997E-3</v>
      </c>
    </row>
    <row r="267" spans="2:5" ht="15" customHeight="1">
      <c r="B267" s="110"/>
      <c r="C267" s="73" t="s">
        <v>78</v>
      </c>
      <c r="D267" s="74">
        <v>2</v>
      </c>
      <c r="E267" s="75">
        <v>2.2241992882600001E-4</v>
      </c>
    </row>
    <row r="268" spans="2:5" ht="15" customHeight="1">
      <c r="B268" s="110"/>
      <c r="C268" s="73" t="s">
        <v>79</v>
      </c>
      <c r="D268" s="74">
        <v>3</v>
      </c>
      <c r="E268" s="75">
        <v>3.33629893238E-4</v>
      </c>
    </row>
    <row r="269" spans="2:5" ht="15" customHeight="1">
      <c r="B269" s="110"/>
      <c r="C269" s="73" t="s">
        <v>80</v>
      </c>
      <c r="D269" s="74">
        <v>5</v>
      </c>
      <c r="E269" s="75">
        <v>5.5604982206399996E-4</v>
      </c>
    </row>
    <row r="270" spans="2:5" ht="15" customHeight="1">
      <c r="B270" s="110"/>
      <c r="C270" s="73" t="s">
        <v>82</v>
      </c>
      <c r="D270" s="74">
        <v>11</v>
      </c>
      <c r="E270" s="75">
        <v>1.223309608541E-3</v>
      </c>
    </row>
    <row r="271" spans="2:5" ht="15" customHeight="1">
      <c r="B271" s="110"/>
      <c r="C271" s="73" t="s">
        <v>83</v>
      </c>
      <c r="D271" s="74">
        <v>99</v>
      </c>
      <c r="E271" s="75">
        <v>1.1009786476868001E-2</v>
      </c>
    </row>
    <row r="272" spans="2:5" ht="15" customHeight="1">
      <c r="B272" s="110"/>
      <c r="C272" s="73" t="s">
        <v>84</v>
      </c>
      <c r="D272" s="74">
        <v>4</v>
      </c>
      <c r="E272" s="75">
        <v>4.4483985765100001E-4</v>
      </c>
    </row>
    <row r="273" spans="2:5" ht="15" customHeight="1">
      <c r="B273" s="110"/>
      <c r="C273" s="73" t="s">
        <v>85</v>
      </c>
      <c r="D273" s="74">
        <v>3</v>
      </c>
      <c r="E273" s="75">
        <v>3.33629893238E-4</v>
      </c>
    </row>
    <row r="274" spans="2:5" ht="15" customHeight="1">
      <c r="B274" s="110"/>
      <c r="C274" s="73" t="s">
        <v>86</v>
      </c>
      <c r="D274" s="74">
        <v>3</v>
      </c>
      <c r="E274" s="75">
        <v>3.33629893238E-4</v>
      </c>
    </row>
    <row r="275" spans="2:5" ht="15" customHeight="1">
      <c r="B275" s="110"/>
      <c r="C275" s="73" t="s">
        <v>87</v>
      </c>
      <c r="D275" s="74">
        <v>1</v>
      </c>
      <c r="E275" s="75">
        <v>1.1120996441300001E-4</v>
      </c>
    </row>
    <row r="276" spans="2:5" ht="15" customHeight="1">
      <c r="B276" s="109"/>
      <c r="C276" s="78" t="s">
        <v>12</v>
      </c>
      <c r="D276" s="77">
        <v>454</v>
      </c>
      <c r="E276" s="80">
        <v>5.0489323843415999E-2</v>
      </c>
    </row>
    <row r="277" spans="2:5" ht="15" customHeight="1">
      <c r="B277" s="108" t="s">
        <v>100</v>
      </c>
      <c r="C277" s="73" t="s">
        <v>44</v>
      </c>
      <c r="D277" s="74">
        <v>7</v>
      </c>
      <c r="E277" s="75">
        <v>7.7846975088999998E-4</v>
      </c>
    </row>
    <row r="278" spans="2:5" ht="15" customHeight="1">
      <c r="B278" s="110"/>
      <c r="C278" s="73" t="s">
        <v>45</v>
      </c>
      <c r="D278" s="74">
        <v>1</v>
      </c>
      <c r="E278" s="75">
        <v>1.1120996441300001E-4</v>
      </c>
    </row>
    <row r="279" spans="2:5" ht="15" customHeight="1">
      <c r="B279" s="110"/>
      <c r="C279" s="73" t="s">
        <v>46</v>
      </c>
      <c r="D279" s="74">
        <v>29</v>
      </c>
      <c r="E279" s="75">
        <v>3.225088967972E-3</v>
      </c>
    </row>
    <row r="280" spans="2:5" ht="15" customHeight="1">
      <c r="B280" s="110"/>
      <c r="C280" s="73" t="s">
        <v>47</v>
      </c>
      <c r="D280" s="74">
        <v>66</v>
      </c>
      <c r="E280" s="75">
        <v>7.3398576512459998E-3</v>
      </c>
    </row>
    <row r="281" spans="2:5" ht="15" customHeight="1">
      <c r="B281" s="110"/>
      <c r="C281" s="73" t="s">
        <v>48</v>
      </c>
      <c r="D281" s="74">
        <v>483</v>
      </c>
      <c r="E281" s="75">
        <v>5.3714412811388002E-2</v>
      </c>
    </row>
    <row r="282" spans="2:5" ht="15" customHeight="1">
      <c r="B282" s="110"/>
      <c r="C282" s="73" t="s">
        <v>49</v>
      </c>
      <c r="D282" s="74">
        <v>240</v>
      </c>
      <c r="E282" s="75">
        <v>2.6690391459075001E-2</v>
      </c>
    </row>
    <row r="283" spans="2:5" ht="15" customHeight="1">
      <c r="B283" s="110"/>
      <c r="C283" s="73" t="s">
        <v>50</v>
      </c>
      <c r="D283" s="74">
        <v>3</v>
      </c>
      <c r="E283" s="75">
        <v>3.33629893238E-4</v>
      </c>
    </row>
    <row r="284" spans="2:5" ht="15" customHeight="1">
      <c r="B284" s="110"/>
      <c r="C284" s="73" t="s">
        <v>51</v>
      </c>
      <c r="D284" s="74">
        <v>6</v>
      </c>
      <c r="E284" s="75">
        <v>6.6725978647699997E-4</v>
      </c>
    </row>
    <row r="285" spans="2:5" ht="15" customHeight="1">
      <c r="B285" s="110"/>
      <c r="C285" s="73" t="s">
        <v>53</v>
      </c>
      <c r="D285" s="74">
        <v>68</v>
      </c>
      <c r="E285" s="75">
        <v>7.562277580071E-3</v>
      </c>
    </row>
    <row r="286" spans="2:5" ht="15" customHeight="1">
      <c r="B286" s="110"/>
      <c r="C286" s="73" t="s">
        <v>54</v>
      </c>
      <c r="D286" s="74">
        <v>57</v>
      </c>
      <c r="E286" s="75">
        <v>6.3389679715299997E-3</v>
      </c>
    </row>
    <row r="287" spans="2:5" ht="15" customHeight="1">
      <c r="B287" s="110"/>
      <c r="C287" s="73" t="s">
        <v>55</v>
      </c>
      <c r="D287" s="74">
        <v>9</v>
      </c>
      <c r="E287" s="75">
        <v>1.000889679715E-3</v>
      </c>
    </row>
    <row r="288" spans="2:5" ht="15" customHeight="1">
      <c r="B288" s="110"/>
      <c r="C288" s="73" t="s">
        <v>56</v>
      </c>
      <c r="D288" s="74">
        <v>364</v>
      </c>
      <c r="E288" s="75">
        <v>4.0480427046263E-2</v>
      </c>
    </row>
    <row r="289" spans="2:5" ht="15" customHeight="1">
      <c r="B289" s="110"/>
      <c r="C289" s="73" t="s">
        <v>57</v>
      </c>
      <c r="D289" s="74">
        <v>211</v>
      </c>
      <c r="E289" s="75">
        <v>2.3465302491102999E-2</v>
      </c>
    </row>
    <row r="290" spans="2:5" ht="15" customHeight="1">
      <c r="B290" s="110"/>
      <c r="C290" s="73" t="s">
        <v>58</v>
      </c>
      <c r="D290" s="74">
        <v>40</v>
      </c>
      <c r="E290" s="75">
        <v>4.4483985765119997E-3</v>
      </c>
    </row>
    <row r="291" spans="2:5" ht="15" customHeight="1">
      <c r="B291" s="110"/>
      <c r="C291" s="73" t="s">
        <v>59</v>
      </c>
      <c r="D291" s="74">
        <v>30</v>
      </c>
      <c r="E291" s="75">
        <v>3.336298932384E-3</v>
      </c>
    </row>
    <row r="292" spans="2:5" ht="15" customHeight="1">
      <c r="B292" s="110"/>
      <c r="C292" s="73" t="s">
        <v>60</v>
      </c>
      <c r="D292" s="74">
        <v>36</v>
      </c>
      <c r="E292" s="75">
        <v>4.0035587188610002E-3</v>
      </c>
    </row>
    <row r="293" spans="2:5" ht="15" customHeight="1">
      <c r="B293" s="110"/>
      <c r="C293" s="73" t="s">
        <v>61</v>
      </c>
      <c r="D293" s="74">
        <v>10</v>
      </c>
      <c r="E293" s="75">
        <v>1.1120996441279999E-3</v>
      </c>
    </row>
    <row r="294" spans="2:5" ht="15" customHeight="1">
      <c r="B294" s="110"/>
      <c r="C294" s="73" t="s">
        <v>62</v>
      </c>
      <c r="D294" s="74">
        <v>5</v>
      </c>
      <c r="E294" s="75">
        <v>5.5604982206399996E-4</v>
      </c>
    </row>
    <row r="295" spans="2:5" ht="15" customHeight="1">
      <c r="B295" s="110"/>
      <c r="C295" s="73" t="s">
        <v>64</v>
      </c>
      <c r="D295" s="74">
        <v>33</v>
      </c>
      <c r="E295" s="75">
        <v>3.6699288256229999E-3</v>
      </c>
    </row>
    <row r="296" spans="2:5" ht="15" customHeight="1">
      <c r="B296" s="110"/>
      <c r="C296" s="73" t="s">
        <v>65</v>
      </c>
      <c r="D296" s="74">
        <v>24</v>
      </c>
      <c r="E296" s="75">
        <v>2.6690391459069998E-3</v>
      </c>
    </row>
    <row r="297" spans="2:5" ht="15" customHeight="1">
      <c r="B297" s="110"/>
      <c r="C297" s="73" t="s">
        <v>66</v>
      </c>
      <c r="D297" s="74">
        <v>7</v>
      </c>
      <c r="E297" s="75">
        <v>7.7846975088999998E-4</v>
      </c>
    </row>
    <row r="298" spans="2:5" ht="15" customHeight="1">
      <c r="B298" s="110"/>
      <c r="C298" s="73" t="s">
        <v>67</v>
      </c>
      <c r="D298" s="74">
        <v>20</v>
      </c>
      <c r="E298" s="75">
        <v>2.2241992882559999E-3</v>
      </c>
    </row>
    <row r="299" spans="2:5" ht="15" customHeight="1">
      <c r="B299" s="110"/>
      <c r="C299" s="73" t="s">
        <v>68</v>
      </c>
      <c r="D299" s="74">
        <v>3</v>
      </c>
      <c r="E299" s="75">
        <v>3.33629893238E-4</v>
      </c>
    </row>
    <row r="300" spans="2:5" ht="15" customHeight="1">
      <c r="B300" s="110"/>
      <c r="C300" s="73" t="s">
        <v>69</v>
      </c>
      <c r="D300" s="74">
        <v>41</v>
      </c>
      <c r="E300" s="75">
        <v>4.5596085409249998E-3</v>
      </c>
    </row>
    <row r="301" spans="2:5" ht="15" customHeight="1">
      <c r="B301" s="110"/>
      <c r="C301" s="73" t="s">
        <v>70</v>
      </c>
      <c r="D301" s="74">
        <v>46</v>
      </c>
      <c r="E301" s="75">
        <v>5.1156583629890003E-3</v>
      </c>
    </row>
    <row r="302" spans="2:5" ht="15" customHeight="1">
      <c r="B302" s="110"/>
      <c r="C302" s="73" t="s">
        <v>71</v>
      </c>
      <c r="D302" s="74">
        <v>2</v>
      </c>
      <c r="E302" s="75">
        <v>2.2241992882600001E-4</v>
      </c>
    </row>
    <row r="303" spans="2:5" ht="15" customHeight="1">
      <c r="B303" s="110"/>
      <c r="C303" s="73" t="s">
        <v>72</v>
      </c>
      <c r="D303" s="74">
        <v>25</v>
      </c>
      <c r="E303" s="75">
        <v>2.7802491103199999E-3</v>
      </c>
    </row>
    <row r="304" spans="2:5" ht="15" customHeight="1">
      <c r="B304" s="110"/>
      <c r="C304" s="73" t="s">
        <v>73</v>
      </c>
      <c r="D304" s="74">
        <v>5</v>
      </c>
      <c r="E304" s="75">
        <v>5.5604982206399996E-4</v>
      </c>
    </row>
    <row r="305" spans="2:5" ht="15" customHeight="1">
      <c r="B305" s="110"/>
      <c r="C305" s="73" t="s">
        <v>74</v>
      </c>
      <c r="D305" s="74">
        <v>35</v>
      </c>
      <c r="E305" s="75">
        <v>3.8923487544480001E-3</v>
      </c>
    </row>
    <row r="306" spans="2:5" ht="15" customHeight="1">
      <c r="B306" s="110"/>
      <c r="C306" s="73" t="s">
        <v>76</v>
      </c>
      <c r="D306" s="74">
        <v>26</v>
      </c>
      <c r="E306" s="75">
        <v>2.891459074733E-3</v>
      </c>
    </row>
    <row r="307" spans="2:5" ht="15" customHeight="1">
      <c r="B307" s="110"/>
      <c r="C307" s="73" t="s">
        <v>77</v>
      </c>
      <c r="D307" s="74">
        <v>523</v>
      </c>
      <c r="E307" s="75">
        <v>5.8162811387899999E-2</v>
      </c>
    </row>
    <row r="308" spans="2:5" ht="15" customHeight="1">
      <c r="B308" s="110"/>
      <c r="C308" s="73" t="s">
        <v>78</v>
      </c>
      <c r="D308" s="74">
        <v>10</v>
      </c>
      <c r="E308" s="75">
        <v>1.1120996441279999E-3</v>
      </c>
    </row>
    <row r="309" spans="2:5" ht="15" customHeight="1">
      <c r="B309" s="110"/>
      <c r="C309" s="73" t="s">
        <v>79</v>
      </c>
      <c r="D309" s="74">
        <v>1</v>
      </c>
      <c r="E309" s="75">
        <v>1.1120996441300001E-4</v>
      </c>
    </row>
    <row r="310" spans="2:5" ht="15" customHeight="1">
      <c r="B310" s="110"/>
      <c r="C310" s="73" t="s">
        <v>80</v>
      </c>
      <c r="D310" s="74">
        <v>17</v>
      </c>
      <c r="E310" s="75">
        <v>1.890569395018E-3</v>
      </c>
    </row>
    <row r="311" spans="2:5" ht="15" customHeight="1">
      <c r="B311" s="110"/>
      <c r="C311" s="73" t="s">
        <v>81</v>
      </c>
      <c r="D311" s="74">
        <v>4</v>
      </c>
      <c r="E311" s="75">
        <v>4.4483985765100001E-4</v>
      </c>
    </row>
    <row r="312" spans="2:5" ht="15" customHeight="1">
      <c r="B312" s="110"/>
      <c r="C312" s="73" t="s">
        <v>82</v>
      </c>
      <c r="D312" s="74">
        <v>84</v>
      </c>
      <c r="E312" s="75">
        <v>9.3416370106759999E-3</v>
      </c>
    </row>
    <row r="313" spans="2:5" ht="15" customHeight="1">
      <c r="B313" s="110"/>
      <c r="C313" s="73" t="s">
        <v>83</v>
      </c>
      <c r="D313" s="74">
        <v>644</v>
      </c>
      <c r="E313" s="75">
        <v>7.1619217081850997E-2</v>
      </c>
    </row>
    <row r="314" spans="2:5" ht="15" customHeight="1">
      <c r="B314" s="110"/>
      <c r="C314" s="73" t="s">
        <v>84</v>
      </c>
      <c r="D314" s="74">
        <v>23</v>
      </c>
      <c r="E314" s="75">
        <v>2.5578291814950002E-3</v>
      </c>
    </row>
    <row r="315" spans="2:5" ht="15" customHeight="1">
      <c r="B315" s="110"/>
      <c r="C315" s="73" t="s">
        <v>85</v>
      </c>
      <c r="D315" s="74">
        <v>12</v>
      </c>
      <c r="E315" s="75">
        <v>1.3345195729539999E-3</v>
      </c>
    </row>
    <row r="316" spans="2:5" ht="15" customHeight="1">
      <c r="B316" s="110"/>
      <c r="C316" s="73" t="s">
        <v>86</v>
      </c>
      <c r="D316" s="74">
        <v>23</v>
      </c>
      <c r="E316" s="75">
        <v>2.5578291814950002E-3</v>
      </c>
    </row>
    <row r="317" spans="2:5" ht="15" customHeight="1">
      <c r="B317" s="110"/>
      <c r="C317" s="73" t="s">
        <v>87</v>
      </c>
      <c r="D317" s="74">
        <v>12</v>
      </c>
      <c r="E317" s="75">
        <v>1.3345195729539999E-3</v>
      </c>
    </row>
    <row r="318" spans="2:5" ht="15" customHeight="1">
      <c r="B318" s="110"/>
      <c r="C318" s="73" t="s">
        <v>88</v>
      </c>
      <c r="D318" s="74">
        <v>5</v>
      </c>
      <c r="E318" s="75">
        <v>5.5604982206399996E-4</v>
      </c>
    </row>
    <row r="319" spans="2:5" ht="15" customHeight="1">
      <c r="B319" s="109"/>
      <c r="C319" s="78" t="s">
        <v>12</v>
      </c>
      <c r="D319" s="77">
        <v>3290</v>
      </c>
      <c r="E319" s="80">
        <v>0.36588078291814902</v>
      </c>
    </row>
    <row r="320" spans="2:5" ht="15" customHeight="1">
      <c r="B320" s="108" t="s">
        <v>101</v>
      </c>
      <c r="C320" s="73" t="s">
        <v>46</v>
      </c>
      <c r="D320" s="74">
        <v>1</v>
      </c>
      <c r="E320" s="75">
        <v>1.1120996441300001E-4</v>
      </c>
    </row>
    <row r="321" spans="2:5" ht="15" customHeight="1">
      <c r="B321" s="110"/>
      <c r="C321" s="73" t="s">
        <v>48</v>
      </c>
      <c r="D321" s="74">
        <v>19</v>
      </c>
      <c r="E321" s="75">
        <v>2.1129893238430002E-3</v>
      </c>
    </row>
    <row r="322" spans="2:5" ht="15" customHeight="1">
      <c r="B322" s="110"/>
      <c r="C322" s="73" t="s">
        <v>49</v>
      </c>
      <c r="D322" s="74">
        <v>3</v>
      </c>
      <c r="E322" s="75">
        <v>3.33629893238E-4</v>
      </c>
    </row>
    <row r="323" spans="2:5" ht="15" customHeight="1">
      <c r="B323" s="110"/>
      <c r="C323" s="73" t="s">
        <v>53</v>
      </c>
      <c r="D323" s="74">
        <v>3</v>
      </c>
      <c r="E323" s="75">
        <v>3.33629893238E-4</v>
      </c>
    </row>
    <row r="324" spans="2:5" ht="15" customHeight="1">
      <c r="B324" s="110"/>
      <c r="C324" s="73" t="s">
        <v>54</v>
      </c>
      <c r="D324" s="74">
        <v>2</v>
      </c>
      <c r="E324" s="75">
        <v>2.2241992882600001E-4</v>
      </c>
    </row>
    <row r="325" spans="2:5" ht="15" customHeight="1">
      <c r="B325" s="110"/>
      <c r="C325" s="73" t="s">
        <v>56</v>
      </c>
      <c r="D325" s="74">
        <v>7</v>
      </c>
      <c r="E325" s="75">
        <v>7.7846975088999998E-4</v>
      </c>
    </row>
    <row r="326" spans="2:5" ht="15" customHeight="1">
      <c r="B326" s="110"/>
      <c r="C326" s="73" t="s">
        <v>57</v>
      </c>
      <c r="D326" s="74">
        <v>6</v>
      </c>
      <c r="E326" s="75">
        <v>6.6725978647699997E-4</v>
      </c>
    </row>
    <row r="327" spans="2:5" ht="15" customHeight="1">
      <c r="B327" s="110"/>
      <c r="C327" s="73" t="s">
        <v>58</v>
      </c>
      <c r="D327" s="74">
        <v>1</v>
      </c>
      <c r="E327" s="75">
        <v>1.1120996441300001E-4</v>
      </c>
    </row>
    <row r="328" spans="2:5" ht="15" customHeight="1">
      <c r="B328" s="110"/>
      <c r="C328" s="73" t="s">
        <v>62</v>
      </c>
      <c r="D328" s="74">
        <v>1</v>
      </c>
      <c r="E328" s="75">
        <v>1.1120996441300001E-4</v>
      </c>
    </row>
    <row r="329" spans="2:5" ht="15" customHeight="1">
      <c r="B329" s="110"/>
      <c r="C329" s="73" t="s">
        <v>64</v>
      </c>
      <c r="D329" s="74">
        <v>1</v>
      </c>
      <c r="E329" s="75">
        <v>1.1120996441300001E-4</v>
      </c>
    </row>
    <row r="330" spans="2:5" ht="15" customHeight="1">
      <c r="B330" s="110"/>
      <c r="C330" s="73" t="s">
        <v>65</v>
      </c>
      <c r="D330" s="74">
        <v>1</v>
      </c>
      <c r="E330" s="75">
        <v>1.1120996441300001E-4</v>
      </c>
    </row>
    <row r="331" spans="2:5" ht="15" customHeight="1">
      <c r="B331" s="110"/>
      <c r="C331" s="73" t="s">
        <v>67</v>
      </c>
      <c r="D331" s="74">
        <v>1</v>
      </c>
      <c r="E331" s="75">
        <v>1.1120996441300001E-4</v>
      </c>
    </row>
    <row r="332" spans="2:5" ht="15" customHeight="1">
      <c r="B332" s="110"/>
      <c r="C332" s="73" t="s">
        <v>70</v>
      </c>
      <c r="D332" s="74">
        <v>5</v>
      </c>
      <c r="E332" s="75">
        <v>5.5604982206399996E-4</v>
      </c>
    </row>
    <row r="333" spans="2:5" ht="15" customHeight="1">
      <c r="B333" s="110"/>
      <c r="C333" s="73" t="s">
        <v>71</v>
      </c>
      <c r="D333" s="74">
        <v>1</v>
      </c>
      <c r="E333" s="75">
        <v>1.1120996441300001E-4</v>
      </c>
    </row>
    <row r="334" spans="2:5" ht="15" customHeight="1">
      <c r="B334" s="110"/>
      <c r="C334" s="73" t="s">
        <v>72</v>
      </c>
      <c r="D334" s="74">
        <v>1</v>
      </c>
      <c r="E334" s="75">
        <v>1.1120996441300001E-4</v>
      </c>
    </row>
    <row r="335" spans="2:5" ht="15" customHeight="1">
      <c r="B335" s="110"/>
      <c r="C335" s="73" t="s">
        <v>77</v>
      </c>
      <c r="D335" s="74">
        <v>9</v>
      </c>
      <c r="E335" s="75">
        <v>1.000889679715E-3</v>
      </c>
    </row>
    <row r="336" spans="2:5" ht="15" customHeight="1">
      <c r="B336" s="110"/>
      <c r="C336" s="73" t="s">
        <v>82</v>
      </c>
      <c r="D336" s="74">
        <v>1</v>
      </c>
      <c r="E336" s="75">
        <v>1.1120996441300001E-4</v>
      </c>
    </row>
    <row r="337" spans="2:5" ht="15" customHeight="1">
      <c r="B337" s="110"/>
      <c r="C337" s="73" t="s">
        <v>83</v>
      </c>
      <c r="D337" s="74">
        <v>27</v>
      </c>
      <c r="E337" s="75">
        <v>3.0026690391460002E-3</v>
      </c>
    </row>
    <row r="338" spans="2:5" ht="15" customHeight="1">
      <c r="B338" s="109"/>
      <c r="C338" s="78" t="s">
        <v>12</v>
      </c>
      <c r="D338" s="77">
        <v>90</v>
      </c>
      <c r="E338" s="80">
        <v>1.0008896797153E-2</v>
      </c>
    </row>
    <row r="339" spans="2:5" ht="15" customHeight="1">
      <c r="B339" s="108" t="s">
        <v>102</v>
      </c>
      <c r="C339" s="73" t="s">
        <v>44</v>
      </c>
      <c r="D339" s="74">
        <v>1</v>
      </c>
      <c r="E339" s="75">
        <v>1.1120996441300001E-4</v>
      </c>
    </row>
    <row r="340" spans="2:5" ht="15" customHeight="1">
      <c r="B340" s="110"/>
      <c r="C340" s="73" t="s">
        <v>46</v>
      </c>
      <c r="D340" s="74">
        <v>4</v>
      </c>
      <c r="E340" s="75">
        <v>4.4483985765100001E-4</v>
      </c>
    </row>
    <row r="341" spans="2:5" ht="15" customHeight="1">
      <c r="B341" s="110"/>
      <c r="C341" s="73" t="s">
        <v>47</v>
      </c>
      <c r="D341" s="74">
        <v>17</v>
      </c>
      <c r="E341" s="75">
        <v>1.890569395018E-3</v>
      </c>
    </row>
    <row r="342" spans="2:5" ht="15" customHeight="1">
      <c r="B342" s="110"/>
      <c r="C342" s="73" t="s">
        <v>48</v>
      </c>
      <c r="D342" s="74">
        <v>80</v>
      </c>
      <c r="E342" s="75">
        <v>8.8967971530250003E-3</v>
      </c>
    </row>
    <row r="343" spans="2:5" ht="15" customHeight="1">
      <c r="B343" s="110"/>
      <c r="C343" s="73" t="s">
        <v>49</v>
      </c>
      <c r="D343" s="74">
        <v>37</v>
      </c>
      <c r="E343" s="75">
        <v>4.1147686832740003E-3</v>
      </c>
    </row>
    <row r="344" spans="2:5" ht="15" customHeight="1">
      <c r="B344" s="110"/>
      <c r="C344" s="73" t="s">
        <v>51</v>
      </c>
      <c r="D344" s="74">
        <v>1</v>
      </c>
      <c r="E344" s="75">
        <v>1.1120996441300001E-4</v>
      </c>
    </row>
    <row r="345" spans="2:5" ht="15" customHeight="1">
      <c r="B345" s="110"/>
      <c r="C345" s="73" t="s">
        <v>53</v>
      </c>
      <c r="D345" s="74">
        <v>13</v>
      </c>
      <c r="E345" s="75">
        <v>1.4457295373670001E-3</v>
      </c>
    </row>
    <row r="346" spans="2:5" ht="15" customHeight="1">
      <c r="B346" s="110"/>
      <c r="C346" s="73" t="s">
        <v>54</v>
      </c>
      <c r="D346" s="74">
        <v>10</v>
      </c>
      <c r="E346" s="75">
        <v>1.1120996441279999E-3</v>
      </c>
    </row>
    <row r="347" spans="2:5" ht="15" customHeight="1">
      <c r="B347" s="110"/>
      <c r="C347" s="73" t="s">
        <v>55</v>
      </c>
      <c r="D347" s="74">
        <v>3</v>
      </c>
      <c r="E347" s="75">
        <v>3.33629893238E-4</v>
      </c>
    </row>
    <row r="348" spans="2:5" ht="15" customHeight="1">
      <c r="B348" s="110"/>
      <c r="C348" s="73" t="s">
        <v>56</v>
      </c>
      <c r="D348" s="74">
        <v>34</v>
      </c>
      <c r="E348" s="75">
        <v>3.781138790036E-3</v>
      </c>
    </row>
    <row r="349" spans="2:5" ht="15" customHeight="1">
      <c r="B349" s="110"/>
      <c r="C349" s="73" t="s">
        <v>57</v>
      </c>
      <c r="D349" s="74">
        <v>25</v>
      </c>
      <c r="E349" s="75">
        <v>2.7802491103199999E-3</v>
      </c>
    </row>
    <row r="350" spans="2:5" ht="15" customHeight="1">
      <c r="B350" s="110"/>
      <c r="C350" s="73" t="s">
        <v>58</v>
      </c>
      <c r="D350" s="74">
        <v>3</v>
      </c>
      <c r="E350" s="75">
        <v>3.33629893238E-4</v>
      </c>
    </row>
    <row r="351" spans="2:5" ht="15" customHeight="1">
      <c r="B351" s="110"/>
      <c r="C351" s="73" t="s">
        <v>59</v>
      </c>
      <c r="D351" s="74">
        <v>10</v>
      </c>
      <c r="E351" s="75">
        <v>1.1120996441279999E-3</v>
      </c>
    </row>
    <row r="352" spans="2:5" ht="15" customHeight="1">
      <c r="B352" s="110"/>
      <c r="C352" s="73" t="s">
        <v>60</v>
      </c>
      <c r="D352" s="74">
        <v>11</v>
      </c>
      <c r="E352" s="75">
        <v>1.223309608541E-3</v>
      </c>
    </row>
    <row r="353" spans="2:5" ht="15" customHeight="1">
      <c r="B353" s="110"/>
      <c r="C353" s="73" t="s">
        <v>62</v>
      </c>
      <c r="D353" s="74">
        <v>2</v>
      </c>
      <c r="E353" s="75">
        <v>2.2241992882600001E-4</v>
      </c>
    </row>
    <row r="354" spans="2:5" ht="15" customHeight="1">
      <c r="B354" s="110"/>
      <c r="C354" s="73" t="s">
        <v>64</v>
      </c>
      <c r="D354" s="74">
        <v>2</v>
      </c>
      <c r="E354" s="75">
        <v>2.2241992882600001E-4</v>
      </c>
    </row>
    <row r="355" spans="2:5" ht="15" customHeight="1">
      <c r="B355" s="110"/>
      <c r="C355" s="73" t="s">
        <v>65</v>
      </c>
      <c r="D355" s="74">
        <v>5</v>
      </c>
      <c r="E355" s="75">
        <v>5.5604982206399996E-4</v>
      </c>
    </row>
    <row r="356" spans="2:5" ht="15" customHeight="1">
      <c r="B356" s="110"/>
      <c r="C356" s="73" t="s">
        <v>66</v>
      </c>
      <c r="D356" s="74">
        <v>2</v>
      </c>
      <c r="E356" s="75">
        <v>2.2241992882600001E-4</v>
      </c>
    </row>
    <row r="357" spans="2:5" ht="15" customHeight="1">
      <c r="B357" s="110"/>
      <c r="C357" s="73" t="s">
        <v>67</v>
      </c>
      <c r="D357" s="74">
        <v>4</v>
      </c>
      <c r="E357" s="75">
        <v>4.4483985765100001E-4</v>
      </c>
    </row>
    <row r="358" spans="2:5" ht="15" customHeight="1">
      <c r="B358" s="110"/>
      <c r="C358" s="73" t="s">
        <v>69</v>
      </c>
      <c r="D358" s="74">
        <v>5</v>
      </c>
      <c r="E358" s="75">
        <v>5.5604982206399996E-4</v>
      </c>
    </row>
    <row r="359" spans="2:5" ht="15" customHeight="1">
      <c r="B359" s="110"/>
      <c r="C359" s="73" t="s">
        <v>70</v>
      </c>
      <c r="D359" s="74">
        <v>8</v>
      </c>
      <c r="E359" s="75">
        <v>8.8967971530200002E-4</v>
      </c>
    </row>
    <row r="360" spans="2:5" ht="15" customHeight="1">
      <c r="B360" s="110"/>
      <c r="C360" s="73" t="s">
        <v>72</v>
      </c>
      <c r="D360" s="74">
        <v>1</v>
      </c>
      <c r="E360" s="75">
        <v>1.1120996441300001E-4</v>
      </c>
    </row>
    <row r="361" spans="2:5" ht="15" customHeight="1">
      <c r="B361" s="110"/>
      <c r="C361" s="73" t="s">
        <v>73</v>
      </c>
      <c r="D361" s="74">
        <v>1</v>
      </c>
      <c r="E361" s="75">
        <v>1.1120996441300001E-4</v>
      </c>
    </row>
    <row r="362" spans="2:5" ht="15" customHeight="1">
      <c r="B362" s="110"/>
      <c r="C362" s="73" t="s">
        <v>74</v>
      </c>
      <c r="D362" s="74">
        <v>11</v>
      </c>
      <c r="E362" s="75">
        <v>1.223309608541E-3</v>
      </c>
    </row>
    <row r="363" spans="2:5" ht="15" customHeight="1">
      <c r="B363" s="110"/>
      <c r="C363" s="73" t="s">
        <v>76</v>
      </c>
      <c r="D363" s="74">
        <v>2</v>
      </c>
      <c r="E363" s="75">
        <v>2.2241992882600001E-4</v>
      </c>
    </row>
    <row r="364" spans="2:5" ht="15" customHeight="1">
      <c r="B364" s="110"/>
      <c r="C364" s="73" t="s">
        <v>77</v>
      </c>
      <c r="D364" s="74">
        <v>74</v>
      </c>
      <c r="E364" s="75">
        <v>8.2295373665480006E-3</v>
      </c>
    </row>
    <row r="365" spans="2:5" ht="15" customHeight="1">
      <c r="B365" s="110"/>
      <c r="C365" s="73" t="s">
        <v>78</v>
      </c>
      <c r="D365" s="74">
        <v>1</v>
      </c>
      <c r="E365" s="75">
        <v>1.1120996441300001E-4</v>
      </c>
    </row>
    <row r="366" spans="2:5" ht="15" customHeight="1">
      <c r="B366" s="110"/>
      <c r="C366" s="73" t="s">
        <v>79</v>
      </c>
      <c r="D366" s="74">
        <v>1</v>
      </c>
      <c r="E366" s="75">
        <v>1.1120996441300001E-4</v>
      </c>
    </row>
    <row r="367" spans="2:5" ht="15" customHeight="1">
      <c r="B367" s="110"/>
      <c r="C367" s="73" t="s">
        <v>188</v>
      </c>
      <c r="D367" s="74">
        <v>1</v>
      </c>
      <c r="E367" s="75">
        <v>1.1120996441300001E-4</v>
      </c>
    </row>
    <row r="368" spans="2:5" ht="15" customHeight="1">
      <c r="B368" s="110"/>
      <c r="C368" s="73" t="s">
        <v>80</v>
      </c>
      <c r="D368" s="74">
        <v>3</v>
      </c>
      <c r="E368" s="75">
        <v>3.33629893238E-4</v>
      </c>
    </row>
    <row r="369" spans="2:5" ht="15" customHeight="1">
      <c r="B369" s="110"/>
      <c r="C369" s="73" t="s">
        <v>81</v>
      </c>
      <c r="D369" s="74">
        <v>1</v>
      </c>
      <c r="E369" s="75">
        <v>1.1120996441300001E-4</v>
      </c>
    </row>
    <row r="370" spans="2:5" ht="15" customHeight="1">
      <c r="B370" s="110"/>
      <c r="C370" s="73" t="s">
        <v>82</v>
      </c>
      <c r="D370" s="74">
        <v>11</v>
      </c>
      <c r="E370" s="75">
        <v>1.223309608541E-3</v>
      </c>
    </row>
    <row r="371" spans="2:5" ht="15" customHeight="1">
      <c r="B371" s="110"/>
      <c r="C371" s="73" t="s">
        <v>83</v>
      </c>
      <c r="D371" s="74">
        <v>93</v>
      </c>
      <c r="E371" s="75">
        <v>1.0342526690391001E-2</v>
      </c>
    </row>
    <row r="372" spans="2:5" ht="15" customHeight="1">
      <c r="B372" s="110"/>
      <c r="C372" s="73" t="s">
        <v>84</v>
      </c>
      <c r="D372" s="74">
        <v>3</v>
      </c>
      <c r="E372" s="75">
        <v>3.33629893238E-4</v>
      </c>
    </row>
    <row r="373" spans="2:5" ht="15" customHeight="1">
      <c r="B373" s="110"/>
      <c r="C373" s="73" t="s">
        <v>85</v>
      </c>
      <c r="D373" s="74">
        <v>1</v>
      </c>
      <c r="E373" s="75">
        <v>1.1120996441300001E-4</v>
      </c>
    </row>
    <row r="374" spans="2:5" ht="15" customHeight="1">
      <c r="B374" s="110"/>
      <c r="C374" s="73" t="s">
        <v>86</v>
      </c>
      <c r="D374" s="74">
        <v>4</v>
      </c>
      <c r="E374" s="75">
        <v>4.4483985765100001E-4</v>
      </c>
    </row>
    <row r="375" spans="2:5" ht="15" customHeight="1">
      <c r="B375" s="110"/>
      <c r="C375" s="73" t="s">
        <v>87</v>
      </c>
      <c r="D375" s="74">
        <v>3</v>
      </c>
      <c r="E375" s="75">
        <v>3.33629893238E-4</v>
      </c>
    </row>
    <row r="376" spans="2:5" ht="15" customHeight="1">
      <c r="B376" s="110"/>
      <c r="C376" s="73" t="s">
        <v>88</v>
      </c>
      <c r="D376" s="74">
        <v>1</v>
      </c>
      <c r="E376" s="75">
        <v>1.1120996441300001E-4</v>
      </c>
    </row>
    <row r="377" spans="2:5" ht="15" customHeight="1">
      <c r="B377" s="109"/>
      <c r="C377" s="78" t="s">
        <v>12</v>
      </c>
      <c r="D377" s="77">
        <v>489</v>
      </c>
      <c r="E377" s="80">
        <v>5.4381672597865E-2</v>
      </c>
    </row>
    <row r="378" spans="2:5" ht="15" customHeight="1">
      <c r="B378" s="108" t="s">
        <v>103</v>
      </c>
      <c r="C378" s="73" t="s">
        <v>44</v>
      </c>
      <c r="D378" s="74">
        <v>4</v>
      </c>
      <c r="E378" s="75">
        <v>4.4483985765100001E-4</v>
      </c>
    </row>
    <row r="379" spans="2:5" ht="15" customHeight="1">
      <c r="B379" s="110"/>
      <c r="C379" s="73" t="s">
        <v>46</v>
      </c>
      <c r="D379" s="74">
        <v>20</v>
      </c>
      <c r="E379" s="75">
        <v>2.2241992882559999E-3</v>
      </c>
    </row>
    <row r="380" spans="2:5" ht="15" customHeight="1">
      <c r="B380" s="110"/>
      <c r="C380" s="73" t="s">
        <v>47</v>
      </c>
      <c r="D380" s="74">
        <v>42</v>
      </c>
      <c r="E380" s="75">
        <v>4.6708185053379999E-3</v>
      </c>
    </row>
    <row r="381" spans="2:5" ht="15" customHeight="1">
      <c r="B381" s="110"/>
      <c r="C381" s="73" t="s">
        <v>48</v>
      </c>
      <c r="D381" s="74">
        <v>311</v>
      </c>
      <c r="E381" s="75">
        <v>3.4586298932383998E-2</v>
      </c>
    </row>
    <row r="382" spans="2:5" ht="15" customHeight="1">
      <c r="B382" s="110"/>
      <c r="C382" s="73" t="s">
        <v>49</v>
      </c>
      <c r="D382" s="74">
        <v>121</v>
      </c>
      <c r="E382" s="75">
        <v>1.3456405693949999E-2</v>
      </c>
    </row>
    <row r="383" spans="2:5" ht="15" customHeight="1">
      <c r="B383" s="110"/>
      <c r="C383" s="73" t="s">
        <v>50</v>
      </c>
      <c r="D383" s="74">
        <v>2</v>
      </c>
      <c r="E383" s="75">
        <v>2.2241992882600001E-4</v>
      </c>
    </row>
    <row r="384" spans="2:5" ht="15" customHeight="1">
      <c r="B384" s="110"/>
      <c r="C384" s="73" t="s">
        <v>53</v>
      </c>
      <c r="D384" s="74">
        <v>38</v>
      </c>
      <c r="E384" s="75">
        <v>4.2259786476870004E-3</v>
      </c>
    </row>
    <row r="385" spans="2:5" ht="15" customHeight="1">
      <c r="B385" s="110"/>
      <c r="C385" s="73" t="s">
        <v>54</v>
      </c>
      <c r="D385" s="74">
        <v>25</v>
      </c>
      <c r="E385" s="75">
        <v>2.7802491103199999E-3</v>
      </c>
    </row>
    <row r="386" spans="2:5" ht="15" customHeight="1">
      <c r="B386" s="110"/>
      <c r="C386" s="73" t="s">
        <v>55</v>
      </c>
      <c r="D386" s="74">
        <v>6</v>
      </c>
      <c r="E386" s="75">
        <v>6.6725978647699997E-4</v>
      </c>
    </row>
    <row r="387" spans="2:5" ht="15" customHeight="1">
      <c r="B387" s="110"/>
      <c r="C387" s="73" t="s">
        <v>56</v>
      </c>
      <c r="D387" s="74">
        <v>197</v>
      </c>
      <c r="E387" s="75">
        <v>2.1908362989323998E-2</v>
      </c>
    </row>
    <row r="388" spans="2:5" ht="15" customHeight="1">
      <c r="B388" s="110"/>
      <c r="C388" s="73" t="s">
        <v>57</v>
      </c>
      <c r="D388" s="74">
        <v>89</v>
      </c>
      <c r="E388" s="75">
        <v>9.8976868327399995E-3</v>
      </c>
    </row>
    <row r="389" spans="2:5" ht="15" customHeight="1">
      <c r="B389" s="110"/>
      <c r="C389" s="73" t="s">
        <v>58</v>
      </c>
      <c r="D389" s="74">
        <v>17</v>
      </c>
      <c r="E389" s="75">
        <v>1.890569395018E-3</v>
      </c>
    </row>
    <row r="390" spans="2:5" ht="15" customHeight="1">
      <c r="B390" s="110"/>
      <c r="C390" s="73" t="s">
        <v>59</v>
      </c>
      <c r="D390" s="74">
        <v>16</v>
      </c>
      <c r="E390" s="75">
        <v>1.7793594306049999E-3</v>
      </c>
    </row>
    <row r="391" spans="2:5" ht="15" customHeight="1">
      <c r="B391" s="110"/>
      <c r="C391" s="73" t="s">
        <v>60</v>
      </c>
      <c r="D391" s="74">
        <v>12</v>
      </c>
      <c r="E391" s="75">
        <v>1.3345195729539999E-3</v>
      </c>
    </row>
    <row r="392" spans="2:5" ht="15" customHeight="1">
      <c r="B392" s="110"/>
      <c r="C392" s="73" t="s">
        <v>61</v>
      </c>
      <c r="D392" s="74">
        <v>1</v>
      </c>
      <c r="E392" s="75">
        <v>1.1120996441300001E-4</v>
      </c>
    </row>
    <row r="393" spans="2:5" ht="15" customHeight="1">
      <c r="B393" s="110"/>
      <c r="C393" s="73" t="s">
        <v>62</v>
      </c>
      <c r="D393" s="74">
        <v>1</v>
      </c>
      <c r="E393" s="75">
        <v>1.1120996441300001E-4</v>
      </c>
    </row>
    <row r="394" spans="2:5" ht="15" customHeight="1">
      <c r="B394" s="110"/>
      <c r="C394" s="73" t="s">
        <v>64</v>
      </c>
      <c r="D394" s="74">
        <v>17</v>
      </c>
      <c r="E394" s="75">
        <v>1.890569395018E-3</v>
      </c>
    </row>
    <row r="395" spans="2:5" ht="15" customHeight="1">
      <c r="B395" s="110"/>
      <c r="C395" s="73" t="s">
        <v>65</v>
      </c>
      <c r="D395" s="74">
        <v>7</v>
      </c>
      <c r="E395" s="75">
        <v>7.7846975088999998E-4</v>
      </c>
    </row>
    <row r="396" spans="2:5" ht="15" customHeight="1">
      <c r="B396" s="110"/>
      <c r="C396" s="73" t="s">
        <v>66</v>
      </c>
      <c r="D396" s="74">
        <v>1</v>
      </c>
      <c r="E396" s="75">
        <v>1.1120996441300001E-4</v>
      </c>
    </row>
    <row r="397" spans="2:5" ht="15" customHeight="1">
      <c r="B397" s="110"/>
      <c r="C397" s="73" t="s">
        <v>67</v>
      </c>
      <c r="D397" s="74">
        <v>12</v>
      </c>
      <c r="E397" s="75">
        <v>1.3345195729539999E-3</v>
      </c>
    </row>
    <row r="398" spans="2:5" ht="15" customHeight="1">
      <c r="B398" s="110"/>
      <c r="C398" s="73" t="s">
        <v>68</v>
      </c>
      <c r="D398" s="74">
        <v>1</v>
      </c>
      <c r="E398" s="75">
        <v>1.1120996441300001E-4</v>
      </c>
    </row>
    <row r="399" spans="2:5" ht="15" customHeight="1">
      <c r="B399" s="110"/>
      <c r="C399" s="73" t="s">
        <v>69</v>
      </c>
      <c r="D399" s="74">
        <v>17</v>
      </c>
      <c r="E399" s="75">
        <v>1.890569395018E-3</v>
      </c>
    </row>
    <row r="400" spans="2:5" ht="15" customHeight="1">
      <c r="B400" s="110"/>
      <c r="C400" s="73" t="s">
        <v>70</v>
      </c>
      <c r="D400" s="74">
        <v>46</v>
      </c>
      <c r="E400" s="75">
        <v>5.1156583629890003E-3</v>
      </c>
    </row>
    <row r="401" spans="2:5" ht="15" customHeight="1">
      <c r="B401" s="110"/>
      <c r="C401" s="73" t="s">
        <v>72</v>
      </c>
      <c r="D401" s="74">
        <v>14</v>
      </c>
      <c r="E401" s="75">
        <v>1.5569395017790001E-3</v>
      </c>
    </row>
    <row r="402" spans="2:5" ht="15" customHeight="1">
      <c r="B402" s="110"/>
      <c r="C402" s="73" t="s">
        <v>73</v>
      </c>
      <c r="D402" s="74">
        <v>4</v>
      </c>
      <c r="E402" s="75">
        <v>4.4483985765100001E-4</v>
      </c>
    </row>
    <row r="403" spans="2:5" ht="15" customHeight="1">
      <c r="B403" s="110"/>
      <c r="C403" s="73" t="s">
        <v>74</v>
      </c>
      <c r="D403" s="74">
        <v>20</v>
      </c>
      <c r="E403" s="75">
        <v>2.2241992882559999E-3</v>
      </c>
    </row>
    <row r="404" spans="2:5" ht="15" customHeight="1">
      <c r="B404" s="110"/>
      <c r="C404" s="73" t="s">
        <v>76</v>
      </c>
      <c r="D404" s="74">
        <v>11</v>
      </c>
      <c r="E404" s="75">
        <v>1.223309608541E-3</v>
      </c>
    </row>
    <row r="405" spans="2:5" ht="15" customHeight="1">
      <c r="B405" s="110"/>
      <c r="C405" s="73" t="s">
        <v>77</v>
      </c>
      <c r="D405" s="74">
        <v>289</v>
      </c>
      <c r="E405" s="75">
        <v>3.2139679715302003E-2</v>
      </c>
    </row>
    <row r="406" spans="2:5" ht="15" customHeight="1">
      <c r="B406" s="110"/>
      <c r="C406" s="73" t="s">
        <v>78</v>
      </c>
      <c r="D406" s="74">
        <v>2</v>
      </c>
      <c r="E406" s="75">
        <v>2.2241992882600001E-4</v>
      </c>
    </row>
    <row r="407" spans="2:5" ht="15" customHeight="1">
      <c r="B407" s="110"/>
      <c r="C407" s="73" t="s">
        <v>79</v>
      </c>
      <c r="D407" s="74">
        <v>3</v>
      </c>
      <c r="E407" s="75">
        <v>3.33629893238E-4</v>
      </c>
    </row>
    <row r="408" spans="2:5" ht="15" customHeight="1">
      <c r="B408" s="110"/>
      <c r="C408" s="73" t="s">
        <v>80</v>
      </c>
      <c r="D408" s="74">
        <v>11</v>
      </c>
      <c r="E408" s="75">
        <v>1.223309608541E-3</v>
      </c>
    </row>
    <row r="409" spans="2:5" ht="15" customHeight="1">
      <c r="B409" s="110"/>
      <c r="C409" s="73" t="s">
        <v>81</v>
      </c>
      <c r="D409" s="74">
        <v>3</v>
      </c>
      <c r="E409" s="75">
        <v>3.33629893238E-4</v>
      </c>
    </row>
    <row r="410" spans="2:5" ht="15" customHeight="1">
      <c r="B410" s="110"/>
      <c r="C410" s="73" t="s">
        <v>82</v>
      </c>
      <c r="D410" s="74">
        <v>33</v>
      </c>
      <c r="E410" s="75">
        <v>3.6699288256229999E-3</v>
      </c>
    </row>
    <row r="411" spans="2:5" ht="15" customHeight="1">
      <c r="B411" s="110"/>
      <c r="C411" s="73" t="s">
        <v>83</v>
      </c>
      <c r="D411" s="74">
        <v>396</v>
      </c>
      <c r="E411" s="75">
        <v>4.4039145907473001E-2</v>
      </c>
    </row>
    <row r="412" spans="2:5" ht="15" customHeight="1">
      <c r="B412" s="110"/>
      <c r="C412" s="73" t="s">
        <v>84</v>
      </c>
      <c r="D412" s="74">
        <v>28</v>
      </c>
      <c r="E412" s="75">
        <v>3.1138790035589998E-3</v>
      </c>
    </row>
    <row r="413" spans="2:5" ht="15" customHeight="1">
      <c r="B413" s="110"/>
      <c r="C413" s="73" t="s">
        <v>85</v>
      </c>
      <c r="D413" s="74">
        <v>2</v>
      </c>
      <c r="E413" s="75">
        <v>2.2241992882600001E-4</v>
      </c>
    </row>
    <row r="414" spans="2:5" ht="15" customHeight="1">
      <c r="B414" s="110"/>
      <c r="C414" s="73" t="s">
        <v>86</v>
      </c>
      <c r="D414" s="74">
        <v>7</v>
      </c>
      <c r="E414" s="75">
        <v>7.7846975088999998E-4</v>
      </c>
    </row>
    <row r="415" spans="2:5" ht="15" customHeight="1">
      <c r="B415" s="110"/>
      <c r="C415" s="73" t="s">
        <v>87</v>
      </c>
      <c r="D415" s="74">
        <v>5</v>
      </c>
      <c r="E415" s="75">
        <v>5.5604982206399996E-4</v>
      </c>
    </row>
    <row r="416" spans="2:5" ht="15" customHeight="1">
      <c r="B416" s="110"/>
      <c r="C416" s="73" t="s">
        <v>88</v>
      </c>
      <c r="D416" s="74">
        <v>5</v>
      </c>
      <c r="E416" s="75">
        <v>5.5604982206399996E-4</v>
      </c>
    </row>
    <row r="417" spans="2:5" ht="15" customHeight="1">
      <c r="B417" s="109"/>
      <c r="C417" s="78" t="s">
        <v>12</v>
      </c>
      <c r="D417" s="77">
        <v>1836</v>
      </c>
      <c r="E417" s="80">
        <v>0.20418149466192201</v>
      </c>
    </row>
    <row r="418" spans="2:5" ht="15" customHeight="1">
      <c r="B418" s="108" t="s">
        <v>198</v>
      </c>
      <c r="C418" s="73" t="s">
        <v>46</v>
      </c>
      <c r="D418" s="74">
        <v>1</v>
      </c>
      <c r="E418" s="75">
        <v>1.1120996441300001E-4</v>
      </c>
    </row>
    <row r="419" spans="2:5" ht="15" customHeight="1">
      <c r="B419" s="110"/>
      <c r="C419" s="73" t="s">
        <v>48</v>
      </c>
      <c r="D419" s="74">
        <v>7</v>
      </c>
      <c r="E419" s="75">
        <v>7.7846975088999998E-4</v>
      </c>
    </row>
    <row r="420" spans="2:5" ht="15" customHeight="1">
      <c r="B420" s="110"/>
      <c r="C420" s="73" t="s">
        <v>49</v>
      </c>
      <c r="D420" s="74">
        <v>3</v>
      </c>
      <c r="E420" s="75">
        <v>3.33629893238E-4</v>
      </c>
    </row>
    <row r="421" spans="2:5" ht="15" customHeight="1">
      <c r="B421" s="110"/>
      <c r="C421" s="73" t="s">
        <v>53</v>
      </c>
      <c r="D421" s="74">
        <v>1</v>
      </c>
      <c r="E421" s="75">
        <v>1.1120996441300001E-4</v>
      </c>
    </row>
    <row r="422" spans="2:5" ht="15" customHeight="1">
      <c r="B422" s="110"/>
      <c r="C422" s="73" t="s">
        <v>54</v>
      </c>
      <c r="D422" s="74">
        <v>2</v>
      </c>
      <c r="E422" s="75">
        <v>2.2241992882600001E-4</v>
      </c>
    </row>
    <row r="423" spans="2:5" ht="15" customHeight="1">
      <c r="B423" s="110"/>
      <c r="C423" s="73" t="s">
        <v>56</v>
      </c>
      <c r="D423" s="74">
        <v>2</v>
      </c>
      <c r="E423" s="75">
        <v>2.2241992882600001E-4</v>
      </c>
    </row>
    <row r="424" spans="2:5" ht="15" customHeight="1">
      <c r="B424" s="110"/>
      <c r="C424" s="73" t="s">
        <v>59</v>
      </c>
      <c r="D424" s="74">
        <v>2</v>
      </c>
      <c r="E424" s="75">
        <v>2.2241992882600001E-4</v>
      </c>
    </row>
    <row r="425" spans="2:5" ht="15" customHeight="1">
      <c r="B425" s="110"/>
      <c r="C425" s="73" t="s">
        <v>77</v>
      </c>
      <c r="D425" s="74">
        <v>2</v>
      </c>
      <c r="E425" s="75">
        <v>2.2241992882600001E-4</v>
      </c>
    </row>
    <row r="426" spans="2:5" ht="15" customHeight="1">
      <c r="B426" s="110"/>
      <c r="C426" s="73" t="s">
        <v>82</v>
      </c>
      <c r="D426" s="74">
        <v>1</v>
      </c>
      <c r="E426" s="75">
        <v>1.1120996441300001E-4</v>
      </c>
    </row>
    <row r="427" spans="2:5" ht="15" customHeight="1">
      <c r="B427" s="110"/>
      <c r="C427" s="73" t="s">
        <v>83</v>
      </c>
      <c r="D427" s="74">
        <v>11</v>
      </c>
      <c r="E427" s="75">
        <v>1.223309608541E-3</v>
      </c>
    </row>
    <row r="428" spans="2:5" ht="15" customHeight="1">
      <c r="B428" s="110"/>
      <c r="C428" s="73" t="s">
        <v>85</v>
      </c>
      <c r="D428" s="74">
        <v>1</v>
      </c>
      <c r="E428" s="75">
        <v>1.1120996441300001E-4</v>
      </c>
    </row>
    <row r="429" spans="2:5" ht="15" customHeight="1">
      <c r="B429" s="109"/>
      <c r="C429" s="78" t="s">
        <v>12</v>
      </c>
      <c r="D429" s="77">
        <v>33</v>
      </c>
      <c r="E429" s="80">
        <v>3.6699288256229999E-3</v>
      </c>
    </row>
    <row r="430" spans="2:5" ht="15" customHeight="1">
      <c r="B430" s="108" t="s">
        <v>199</v>
      </c>
      <c r="C430" s="73" t="s">
        <v>46</v>
      </c>
      <c r="D430" s="74">
        <v>1</v>
      </c>
      <c r="E430" s="75">
        <v>1.1120996441300001E-4</v>
      </c>
    </row>
    <row r="431" spans="2:5" ht="15" customHeight="1">
      <c r="B431" s="110"/>
      <c r="C431" s="73" t="s">
        <v>47</v>
      </c>
      <c r="D431" s="74">
        <v>1</v>
      </c>
      <c r="E431" s="75">
        <v>1.1120996441300001E-4</v>
      </c>
    </row>
    <row r="432" spans="2:5" ht="15" customHeight="1">
      <c r="B432" s="110"/>
      <c r="C432" s="73" t="s">
        <v>48</v>
      </c>
      <c r="D432" s="74">
        <v>9</v>
      </c>
      <c r="E432" s="75">
        <v>1.000889679715E-3</v>
      </c>
    </row>
    <row r="433" spans="2:5" ht="15" customHeight="1">
      <c r="B433" s="110"/>
      <c r="C433" s="73" t="s">
        <v>51</v>
      </c>
      <c r="D433" s="74">
        <v>1</v>
      </c>
      <c r="E433" s="75">
        <v>1.1120996441300001E-4</v>
      </c>
    </row>
    <row r="434" spans="2:5" ht="15" customHeight="1">
      <c r="B434" s="110"/>
      <c r="C434" s="73" t="s">
        <v>56</v>
      </c>
      <c r="D434" s="74">
        <v>3</v>
      </c>
      <c r="E434" s="75">
        <v>3.33629893238E-4</v>
      </c>
    </row>
    <row r="435" spans="2:5" ht="15" customHeight="1">
      <c r="B435" s="110"/>
      <c r="C435" s="73" t="s">
        <v>57</v>
      </c>
      <c r="D435" s="74">
        <v>3</v>
      </c>
      <c r="E435" s="75">
        <v>3.33629893238E-4</v>
      </c>
    </row>
    <row r="436" spans="2:5" ht="15" customHeight="1">
      <c r="B436" s="110"/>
      <c r="C436" s="73" t="s">
        <v>59</v>
      </c>
      <c r="D436" s="74">
        <v>1</v>
      </c>
      <c r="E436" s="75">
        <v>1.1120996441300001E-4</v>
      </c>
    </row>
    <row r="437" spans="2:5" ht="15" customHeight="1">
      <c r="B437" s="110"/>
      <c r="C437" s="73" t="s">
        <v>60</v>
      </c>
      <c r="D437" s="74">
        <v>1</v>
      </c>
      <c r="E437" s="75">
        <v>1.1120996441300001E-4</v>
      </c>
    </row>
    <row r="438" spans="2:5" ht="15" customHeight="1">
      <c r="B438" s="110"/>
      <c r="C438" s="73" t="s">
        <v>76</v>
      </c>
      <c r="D438" s="74">
        <v>1</v>
      </c>
      <c r="E438" s="75">
        <v>1.1120996441300001E-4</v>
      </c>
    </row>
    <row r="439" spans="2:5" ht="15" customHeight="1">
      <c r="B439" s="110"/>
      <c r="C439" s="73" t="s">
        <v>77</v>
      </c>
      <c r="D439" s="74">
        <v>2</v>
      </c>
      <c r="E439" s="75">
        <v>2.2241992882600001E-4</v>
      </c>
    </row>
    <row r="440" spans="2:5" ht="15" customHeight="1">
      <c r="B440" s="110"/>
      <c r="C440" s="73" t="s">
        <v>83</v>
      </c>
      <c r="D440" s="74">
        <v>4</v>
      </c>
      <c r="E440" s="75">
        <v>4.4483985765100001E-4</v>
      </c>
    </row>
    <row r="441" spans="2:5" ht="15" customHeight="1">
      <c r="B441" s="109"/>
      <c r="C441" s="78" t="s">
        <v>12</v>
      </c>
      <c r="D441" s="77">
        <v>27</v>
      </c>
      <c r="E441" s="80">
        <v>3.0026690391460002E-3</v>
      </c>
    </row>
    <row r="442" spans="2:5" ht="15" customHeight="1">
      <c r="B442" s="108" t="s">
        <v>200</v>
      </c>
      <c r="C442" s="73" t="s">
        <v>48</v>
      </c>
      <c r="D442" s="74">
        <v>7</v>
      </c>
      <c r="E442" s="75">
        <v>7.7846975088999998E-4</v>
      </c>
    </row>
    <row r="443" spans="2:5" ht="15" customHeight="1">
      <c r="B443" s="110"/>
      <c r="C443" s="73" t="s">
        <v>49</v>
      </c>
      <c r="D443" s="74">
        <v>2</v>
      </c>
      <c r="E443" s="75">
        <v>2.2241992882600001E-4</v>
      </c>
    </row>
    <row r="444" spans="2:5" ht="15" customHeight="1">
      <c r="B444" s="110"/>
      <c r="C444" s="73" t="s">
        <v>56</v>
      </c>
      <c r="D444" s="74">
        <v>1</v>
      </c>
      <c r="E444" s="75">
        <v>1.1120996441300001E-4</v>
      </c>
    </row>
    <row r="445" spans="2:5" ht="15" customHeight="1">
      <c r="B445" s="110"/>
      <c r="C445" s="73" t="s">
        <v>57</v>
      </c>
      <c r="D445" s="74">
        <v>1</v>
      </c>
      <c r="E445" s="75">
        <v>1.1120996441300001E-4</v>
      </c>
    </row>
    <row r="446" spans="2:5" ht="15" customHeight="1">
      <c r="B446" s="110"/>
      <c r="C446" s="73" t="s">
        <v>77</v>
      </c>
      <c r="D446" s="74">
        <v>2</v>
      </c>
      <c r="E446" s="75">
        <v>2.2241992882600001E-4</v>
      </c>
    </row>
    <row r="447" spans="2:5" ht="15" customHeight="1">
      <c r="B447" s="110"/>
      <c r="C447" s="73" t="s">
        <v>83</v>
      </c>
      <c r="D447" s="74">
        <v>3</v>
      </c>
      <c r="E447" s="75">
        <v>3.33629893238E-4</v>
      </c>
    </row>
    <row r="448" spans="2:5" ht="15" customHeight="1">
      <c r="B448" s="109"/>
      <c r="C448" s="78" t="s">
        <v>12</v>
      </c>
      <c r="D448" s="77">
        <v>16</v>
      </c>
      <c r="E448" s="80">
        <v>1.7793594306049999E-3</v>
      </c>
    </row>
    <row r="449" spans="2:5" ht="15" customHeight="1">
      <c r="B449" s="108" t="s">
        <v>201</v>
      </c>
      <c r="C449" s="73" t="s">
        <v>48</v>
      </c>
      <c r="D449" s="74">
        <v>1</v>
      </c>
      <c r="E449" s="75">
        <v>1.1120996441300001E-4</v>
      </c>
    </row>
    <row r="450" spans="2:5" ht="15" customHeight="1">
      <c r="B450" s="110"/>
      <c r="C450" s="73" t="s">
        <v>49</v>
      </c>
      <c r="D450" s="74">
        <v>1</v>
      </c>
      <c r="E450" s="75">
        <v>1.1120996441300001E-4</v>
      </c>
    </row>
    <row r="451" spans="2:5" ht="15" customHeight="1">
      <c r="B451" s="110"/>
      <c r="C451" s="73" t="s">
        <v>54</v>
      </c>
      <c r="D451" s="74">
        <v>1</v>
      </c>
      <c r="E451" s="75">
        <v>1.1120996441300001E-4</v>
      </c>
    </row>
    <row r="452" spans="2:5" ht="15" customHeight="1">
      <c r="B452" s="110"/>
      <c r="C452" s="73" t="s">
        <v>59</v>
      </c>
      <c r="D452" s="74">
        <v>1</v>
      </c>
      <c r="E452" s="75">
        <v>1.1120996441300001E-4</v>
      </c>
    </row>
    <row r="453" spans="2:5" ht="15" customHeight="1">
      <c r="B453" s="110"/>
      <c r="C453" s="73" t="s">
        <v>69</v>
      </c>
      <c r="D453" s="74">
        <v>1</v>
      </c>
      <c r="E453" s="75">
        <v>1.1120996441300001E-4</v>
      </c>
    </row>
    <row r="454" spans="2:5" ht="15" customHeight="1">
      <c r="B454" s="110"/>
      <c r="C454" s="73" t="s">
        <v>83</v>
      </c>
      <c r="D454" s="74">
        <v>2</v>
      </c>
      <c r="E454" s="75">
        <v>2.2241992882600001E-4</v>
      </c>
    </row>
    <row r="455" spans="2:5" ht="15" customHeight="1">
      <c r="B455" s="110"/>
      <c r="C455" s="73" t="s">
        <v>84</v>
      </c>
      <c r="D455" s="74">
        <v>1</v>
      </c>
      <c r="E455" s="75">
        <v>1.1120996441300001E-4</v>
      </c>
    </row>
    <row r="456" spans="2:5" ht="15" customHeight="1">
      <c r="B456" s="109"/>
      <c r="C456" s="78" t="s">
        <v>12</v>
      </c>
      <c r="D456" s="77">
        <v>8</v>
      </c>
      <c r="E456" s="80">
        <v>8.8967971530200002E-4</v>
      </c>
    </row>
    <row r="457" spans="2:5" ht="15" customHeight="1">
      <c r="B457" s="108" t="s">
        <v>108</v>
      </c>
      <c r="C457" s="73" t="s">
        <v>44</v>
      </c>
      <c r="D457" s="74">
        <v>1</v>
      </c>
      <c r="E457" s="75">
        <v>1.1120996441300001E-4</v>
      </c>
    </row>
    <row r="458" spans="2:5" ht="15" customHeight="1">
      <c r="B458" s="110"/>
      <c r="C458" s="73" t="s">
        <v>46</v>
      </c>
      <c r="D458" s="74">
        <v>1</v>
      </c>
      <c r="E458" s="75">
        <v>1.1120996441300001E-4</v>
      </c>
    </row>
    <row r="459" spans="2:5" ht="15" customHeight="1">
      <c r="B459" s="110"/>
      <c r="C459" s="73" t="s">
        <v>47</v>
      </c>
      <c r="D459" s="74">
        <v>2</v>
      </c>
      <c r="E459" s="75">
        <v>2.2241992882600001E-4</v>
      </c>
    </row>
    <row r="460" spans="2:5" ht="15" customHeight="1">
      <c r="B460" s="110"/>
      <c r="C460" s="73" t="s">
        <v>48</v>
      </c>
      <c r="D460" s="74">
        <v>20</v>
      </c>
      <c r="E460" s="75">
        <v>2.2241992882559999E-3</v>
      </c>
    </row>
    <row r="461" spans="2:5" ht="15" customHeight="1">
      <c r="B461" s="110"/>
      <c r="C461" s="73" t="s">
        <v>53</v>
      </c>
      <c r="D461" s="74">
        <v>2</v>
      </c>
      <c r="E461" s="75">
        <v>2.2241992882600001E-4</v>
      </c>
    </row>
    <row r="462" spans="2:5" ht="15" customHeight="1">
      <c r="B462" s="110"/>
      <c r="C462" s="73" t="s">
        <v>55</v>
      </c>
      <c r="D462" s="74">
        <v>1</v>
      </c>
      <c r="E462" s="75">
        <v>1.1120996441300001E-4</v>
      </c>
    </row>
    <row r="463" spans="2:5" ht="15" customHeight="1">
      <c r="B463" s="110"/>
      <c r="C463" s="73" t="s">
        <v>56</v>
      </c>
      <c r="D463" s="74">
        <v>11</v>
      </c>
      <c r="E463" s="75">
        <v>1.223309608541E-3</v>
      </c>
    </row>
    <row r="464" spans="2:5" ht="15" customHeight="1">
      <c r="B464" s="110"/>
      <c r="C464" s="73" t="s">
        <v>57</v>
      </c>
      <c r="D464" s="74">
        <v>5</v>
      </c>
      <c r="E464" s="75">
        <v>5.5604982206399996E-4</v>
      </c>
    </row>
    <row r="465" spans="2:5" ht="15" customHeight="1">
      <c r="B465" s="110"/>
      <c r="C465" s="73" t="s">
        <v>58</v>
      </c>
      <c r="D465" s="74">
        <v>1</v>
      </c>
      <c r="E465" s="75">
        <v>1.1120996441300001E-4</v>
      </c>
    </row>
    <row r="466" spans="2:5" ht="15" customHeight="1">
      <c r="B466" s="110"/>
      <c r="C466" s="73" t="s">
        <v>61</v>
      </c>
      <c r="D466" s="74">
        <v>2</v>
      </c>
      <c r="E466" s="75">
        <v>2.2241992882600001E-4</v>
      </c>
    </row>
    <row r="467" spans="2:5" ht="15" customHeight="1">
      <c r="B467" s="110"/>
      <c r="C467" s="73" t="s">
        <v>64</v>
      </c>
      <c r="D467" s="74">
        <v>1</v>
      </c>
      <c r="E467" s="75">
        <v>1.1120996441300001E-4</v>
      </c>
    </row>
    <row r="468" spans="2:5" ht="15" customHeight="1">
      <c r="B468" s="110"/>
      <c r="C468" s="73" t="s">
        <v>65</v>
      </c>
      <c r="D468" s="74">
        <v>1</v>
      </c>
      <c r="E468" s="75">
        <v>1.1120996441300001E-4</v>
      </c>
    </row>
    <row r="469" spans="2:5" ht="15" customHeight="1">
      <c r="B469" s="110"/>
      <c r="C469" s="73" t="s">
        <v>67</v>
      </c>
      <c r="D469" s="74">
        <v>2</v>
      </c>
      <c r="E469" s="75">
        <v>2.2241992882600001E-4</v>
      </c>
    </row>
    <row r="470" spans="2:5" ht="15" customHeight="1">
      <c r="B470" s="110"/>
      <c r="C470" s="73" t="s">
        <v>69</v>
      </c>
      <c r="D470" s="74">
        <v>1</v>
      </c>
      <c r="E470" s="75">
        <v>1.1120996441300001E-4</v>
      </c>
    </row>
    <row r="471" spans="2:5" ht="15" customHeight="1">
      <c r="B471" s="110"/>
      <c r="C471" s="73" t="s">
        <v>72</v>
      </c>
      <c r="D471" s="74">
        <v>1</v>
      </c>
      <c r="E471" s="75">
        <v>1.1120996441300001E-4</v>
      </c>
    </row>
    <row r="472" spans="2:5" ht="15" customHeight="1">
      <c r="B472" s="110"/>
      <c r="C472" s="73" t="s">
        <v>73</v>
      </c>
      <c r="D472" s="74">
        <v>1</v>
      </c>
      <c r="E472" s="75">
        <v>1.1120996441300001E-4</v>
      </c>
    </row>
    <row r="473" spans="2:5" ht="15" customHeight="1">
      <c r="B473" s="110"/>
      <c r="C473" s="73" t="s">
        <v>74</v>
      </c>
      <c r="D473" s="74">
        <v>2</v>
      </c>
      <c r="E473" s="75">
        <v>2.2241992882600001E-4</v>
      </c>
    </row>
    <row r="474" spans="2:5" ht="15" customHeight="1">
      <c r="B474" s="110"/>
      <c r="C474" s="73" t="s">
        <v>76</v>
      </c>
      <c r="D474" s="74">
        <v>1</v>
      </c>
      <c r="E474" s="75">
        <v>1.1120996441300001E-4</v>
      </c>
    </row>
    <row r="475" spans="2:5" ht="15" customHeight="1">
      <c r="B475" s="110"/>
      <c r="C475" s="73" t="s">
        <v>77</v>
      </c>
      <c r="D475" s="74">
        <v>9</v>
      </c>
      <c r="E475" s="75">
        <v>1.000889679715E-3</v>
      </c>
    </row>
    <row r="476" spans="2:5" ht="15" customHeight="1">
      <c r="B476" s="110"/>
      <c r="C476" s="73" t="s">
        <v>82</v>
      </c>
      <c r="D476" s="74">
        <v>2</v>
      </c>
      <c r="E476" s="75">
        <v>2.2241992882600001E-4</v>
      </c>
    </row>
    <row r="477" spans="2:5" ht="15" customHeight="1">
      <c r="B477" s="110"/>
      <c r="C477" s="73" t="s">
        <v>83</v>
      </c>
      <c r="D477" s="74">
        <v>15</v>
      </c>
      <c r="E477" s="75">
        <v>1.668149466192E-3</v>
      </c>
    </row>
    <row r="478" spans="2:5" ht="15" customHeight="1">
      <c r="B478" s="110"/>
      <c r="C478" s="73" t="s">
        <v>84</v>
      </c>
      <c r="D478" s="74">
        <v>2</v>
      </c>
      <c r="E478" s="75">
        <v>2.2241992882600001E-4</v>
      </c>
    </row>
    <row r="479" spans="2:5" ht="15" customHeight="1">
      <c r="B479" s="110"/>
      <c r="C479" s="73" t="s">
        <v>87</v>
      </c>
      <c r="D479" s="74">
        <v>1</v>
      </c>
      <c r="E479" s="75">
        <v>1.1120996441300001E-4</v>
      </c>
    </row>
    <row r="480" spans="2:5" ht="15" customHeight="1">
      <c r="B480" s="109"/>
      <c r="C480" s="78" t="s">
        <v>12</v>
      </c>
      <c r="D480" s="77">
        <v>85</v>
      </c>
      <c r="E480" s="80">
        <v>9.452846975089E-3</v>
      </c>
    </row>
    <row r="481" spans="2:5" ht="15" customHeight="1">
      <c r="B481" s="108" t="s">
        <v>109</v>
      </c>
      <c r="C481" s="73" t="s">
        <v>46</v>
      </c>
      <c r="D481" s="74">
        <v>4</v>
      </c>
      <c r="E481" s="75">
        <v>4.4483985765100001E-4</v>
      </c>
    </row>
    <row r="482" spans="2:5" ht="15" customHeight="1">
      <c r="B482" s="110"/>
      <c r="C482" s="73" t="s">
        <v>47</v>
      </c>
      <c r="D482" s="74">
        <v>5</v>
      </c>
      <c r="E482" s="75">
        <v>5.5604982206399996E-4</v>
      </c>
    </row>
    <row r="483" spans="2:5" ht="15" customHeight="1">
      <c r="B483" s="110"/>
      <c r="C483" s="73" t="s">
        <v>48</v>
      </c>
      <c r="D483" s="74">
        <v>48</v>
      </c>
      <c r="E483" s="75">
        <v>5.3380782918149997E-3</v>
      </c>
    </row>
    <row r="484" spans="2:5" ht="15" customHeight="1">
      <c r="B484" s="110"/>
      <c r="C484" s="73" t="s">
        <v>49</v>
      </c>
      <c r="D484" s="74">
        <v>12</v>
      </c>
      <c r="E484" s="75">
        <v>1.3345195729539999E-3</v>
      </c>
    </row>
    <row r="485" spans="2:5" ht="15" customHeight="1">
      <c r="B485" s="110"/>
      <c r="C485" s="73" t="s">
        <v>51</v>
      </c>
      <c r="D485" s="74">
        <v>1</v>
      </c>
      <c r="E485" s="75">
        <v>1.1120996441300001E-4</v>
      </c>
    </row>
    <row r="486" spans="2:5" ht="15" customHeight="1">
      <c r="B486" s="110"/>
      <c r="C486" s="73" t="s">
        <v>53</v>
      </c>
      <c r="D486" s="74">
        <v>9</v>
      </c>
      <c r="E486" s="75">
        <v>1.000889679715E-3</v>
      </c>
    </row>
    <row r="487" spans="2:5" ht="15" customHeight="1">
      <c r="B487" s="110"/>
      <c r="C487" s="73" t="s">
        <v>54</v>
      </c>
      <c r="D487" s="74">
        <v>8</v>
      </c>
      <c r="E487" s="75">
        <v>8.8967971530200002E-4</v>
      </c>
    </row>
    <row r="488" spans="2:5" ht="15" customHeight="1">
      <c r="B488" s="110"/>
      <c r="C488" s="73" t="s">
        <v>187</v>
      </c>
      <c r="D488" s="74">
        <v>1</v>
      </c>
      <c r="E488" s="75">
        <v>1.1120996441300001E-4</v>
      </c>
    </row>
    <row r="489" spans="2:5" ht="15" customHeight="1">
      <c r="B489" s="110"/>
      <c r="C489" s="73" t="s">
        <v>56</v>
      </c>
      <c r="D489" s="74">
        <v>36</v>
      </c>
      <c r="E489" s="75">
        <v>4.0035587188610002E-3</v>
      </c>
    </row>
    <row r="490" spans="2:5" ht="15" customHeight="1">
      <c r="B490" s="110"/>
      <c r="C490" s="73" t="s">
        <v>57</v>
      </c>
      <c r="D490" s="74">
        <v>13</v>
      </c>
      <c r="E490" s="75">
        <v>1.4457295373670001E-3</v>
      </c>
    </row>
    <row r="491" spans="2:5" ht="15" customHeight="1">
      <c r="B491" s="110"/>
      <c r="C491" s="73" t="s">
        <v>58</v>
      </c>
      <c r="D491" s="74">
        <v>2</v>
      </c>
      <c r="E491" s="75">
        <v>2.2241992882600001E-4</v>
      </c>
    </row>
    <row r="492" spans="2:5" ht="15" customHeight="1">
      <c r="B492" s="110"/>
      <c r="C492" s="73" t="s">
        <v>59</v>
      </c>
      <c r="D492" s="74">
        <v>1</v>
      </c>
      <c r="E492" s="75">
        <v>1.1120996441300001E-4</v>
      </c>
    </row>
    <row r="493" spans="2:5" ht="15" customHeight="1">
      <c r="B493" s="110"/>
      <c r="C493" s="73" t="s">
        <v>60</v>
      </c>
      <c r="D493" s="74">
        <v>3</v>
      </c>
      <c r="E493" s="75">
        <v>3.33629893238E-4</v>
      </c>
    </row>
    <row r="494" spans="2:5" ht="15" customHeight="1">
      <c r="B494" s="110"/>
      <c r="C494" s="73" t="s">
        <v>64</v>
      </c>
      <c r="D494" s="74">
        <v>3</v>
      </c>
      <c r="E494" s="75">
        <v>3.33629893238E-4</v>
      </c>
    </row>
    <row r="495" spans="2:5" ht="15" customHeight="1">
      <c r="B495" s="110"/>
      <c r="C495" s="73" t="s">
        <v>65</v>
      </c>
      <c r="D495" s="74">
        <v>1</v>
      </c>
      <c r="E495" s="75">
        <v>1.1120996441300001E-4</v>
      </c>
    </row>
    <row r="496" spans="2:5" ht="15" customHeight="1">
      <c r="B496" s="110"/>
      <c r="C496" s="73" t="s">
        <v>67</v>
      </c>
      <c r="D496" s="74">
        <v>2</v>
      </c>
      <c r="E496" s="75">
        <v>2.2241992882600001E-4</v>
      </c>
    </row>
    <row r="497" spans="2:5" ht="15" customHeight="1">
      <c r="B497" s="110"/>
      <c r="C497" s="73" t="s">
        <v>68</v>
      </c>
      <c r="D497" s="74">
        <v>1</v>
      </c>
      <c r="E497" s="75">
        <v>1.1120996441300001E-4</v>
      </c>
    </row>
    <row r="498" spans="2:5" ht="15" customHeight="1">
      <c r="B498" s="110"/>
      <c r="C498" s="73" t="s">
        <v>69</v>
      </c>
      <c r="D498" s="74">
        <v>1</v>
      </c>
      <c r="E498" s="75">
        <v>1.1120996441300001E-4</v>
      </c>
    </row>
    <row r="499" spans="2:5" ht="15" customHeight="1">
      <c r="B499" s="110"/>
      <c r="C499" s="73" t="s">
        <v>70</v>
      </c>
      <c r="D499" s="74">
        <v>4</v>
      </c>
      <c r="E499" s="75">
        <v>4.4483985765100001E-4</v>
      </c>
    </row>
    <row r="500" spans="2:5" ht="15" customHeight="1">
      <c r="B500" s="110"/>
      <c r="C500" s="73" t="s">
        <v>71</v>
      </c>
      <c r="D500" s="74">
        <v>1</v>
      </c>
      <c r="E500" s="75">
        <v>1.1120996441300001E-4</v>
      </c>
    </row>
    <row r="501" spans="2:5" ht="15" customHeight="1">
      <c r="B501" s="110"/>
      <c r="C501" s="73" t="s">
        <v>73</v>
      </c>
      <c r="D501" s="74">
        <v>1</v>
      </c>
      <c r="E501" s="75">
        <v>1.1120996441300001E-4</v>
      </c>
    </row>
    <row r="502" spans="2:5" ht="15" customHeight="1">
      <c r="B502" s="110"/>
      <c r="C502" s="73" t="s">
        <v>76</v>
      </c>
      <c r="D502" s="74">
        <v>2</v>
      </c>
      <c r="E502" s="75">
        <v>2.2241992882600001E-4</v>
      </c>
    </row>
    <row r="503" spans="2:5" ht="15" customHeight="1">
      <c r="B503" s="110"/>
      <c r="C503" s="73" t="s">
        <v>77</v>
      </c>
      <c r="D503" s="74">
        <v>36</v>
      </c>
      <c r="E503" s="75">
        <v>4.0035587188610002E-3</v>
      </c>
    </row>
    <row r="504" spans="2:5" ht="15" customHeight="1">
      <c r="B504" s="110"/>
      <c r="C504" s="73" t="s">
        <v>80</v>
      </c>
      <c r="D504" s="74">
        <v>2</v>
      </c>
      <c r="E504" s="75">
        <v>2.2241992882600001E-4</v>
      </c>
    </row>
    <row r="505" spans="2:5" ht="15" customHeight="1">
      <c r="B505" s="110"/>
      <c r="C505" s="73" t="s">
        <v>81</v>
      </c>
      <c r="D505" s="74">
        <v>1</v>
      </c>
      <c r="E505" s="75">
        <v>1.1120996441300001E-4</v>
      </c>
    </row>
    <row r="506" spans="2:5" ht="15" customHeight="1">
      <c r="B506" s="110"/>
      <c r="C506" s="73" t="s">
        <v>82</v>
      </c>
      <c r="D506" s="74">
        <v>6</v>
      </c>
      <c r="E506" s="75">
        <v>6.6725978647699997E-4</v>
      </c>
    </row>
    <row r="507" spans="2:5" ht="15" customHeight="1">
      <c r="B507" s="110"/>
      <c r="C507" s="73" t="s">
        <v>83</v>
      </c>
      <c r="D507" s="74">
        <v>52</v>
      </c>
      <c r="E507" s="75">
        <v>5.7829181494660001E-3</v>
      </c>
    </row>
    <row r="508" spans="2:5" ht="15" customHeight="1">
      <c r="B508" s="110"/>
      <c r="C508" s="73" t="s">
        <v>84</v>
      </c>
      <c r="D508" s="74">
        <v>2</v>
      </c>
      <c r="E508" s="75">
        <v>2.2241992882600001E-4</v>
      </c>
    </row>
    <row r="509" spans="2:5" ht="15" customHeight="1">
      <c r="B509" s="110"/>
      <c r="C509" s="73" t="s">
        <v>85</v>
      </c>
      <c r="D509" s="74">
        <v>1</v>
      </c>
      <c r="E509" s="75">
        <v>1.1120996441300001E-4</v>
      </c>
    </row>
    <row r="510" spans="2:5" ht="15" customHeight="1">
      <c r="B510" s="110"/>
      <c r="C510" s="73" t="s">
        <v>86</v>
      </c>
      <c r="D510" s="74">
        <v>2</v>
      </c>
      <c r="E510" s="75">
        <v>2.2241992882600001E-4</v>
      </c>
    </row>
    <row r="511" spans="2:5" ht="15" customHeight="1">
      <c r="B511" s="110"/>
      <c r="C511" s="73" t="s">
        <v>87</v>
      </c>
      <c r="D511" s="74">
        <v>3</v>
      </c>
      <c r="E511" s="75">
        <v>3.33629893238E-4</v>
      </c>
    </row>
    <row r="512" spans="2:5" ht="15" customHeight="1">
      <c r="B512" s="110"/>
      <c r="C512" s="73" t="s">
        <v>88</v>
      </c>
      <c r="D512" s="74">
        <v>1</v>
      </c>
      <c r="E512" s="75">
        <v>1.1120996441300001E-4</v>
      </c>
    </row>
    <row r="513" spans="2:5" ht="15" customHeight="1">
      <c r="B513" s="109"/>
      <c r="C513" s="78" t="s">
        <v>12</v>
      </c>
      <c r="D513" s="77">
        <v>265</v>
      </c>
      <c r="E513" s="80">
        <v>2.9470640569394999E-2</v>
      </c>
    </row>
    <row r="514" spans="2:5" ht="15" customHeight="1">
      <c r="B514" s="108" t="s">
        <v>110</v>
      </c>
      <c r="C514" s="73" t="s">
        <v>47</v>
      </c>
      <c r="D514" s="74">
        <v>3</v>
      </c>
      <c r="E514" s="75">
        <v>3.33629893238E-4</v>
      </c>
    </row>
    <row r="515" spans="2:5" ht="15" customHeight="1">
      <c r="B515" s="110"/>
      <c r="C515" s="73" t="s">
        <v>48</v>
      </c>
      <c r="D515" s="74">
        <v>2</v>
      </c>
      <c r="E515" s="75">
        <v>2.2241992882600001E-4</v>
      </c>
    </row>
    <row r="516" spans="2:5" ht="15" customHeight="1">
      <c r="B516" s="110"/>
      <c r="C516" s="73" t="s">
        <v>72</v>
      </c>
      <c r="D516" s="74">
        <v>2</v>
      </c>
      <c r="E516" s="75">
        <v>2.2241992882600001E-4</v>
      </c>
    </row>
    <row r="517" spans="2:5" ht="15" customHeight="1">
      <c r="B517" s="110"/>
      <c r="C517" s="73" t="s">
        <v>77</v>
      </c>
      <c r="D517" s="74">
        <v>1</v>
      </c>
      <c r="E517" s="75">
        <v>1.1120996441300001E-4</v>
      </c>
    </row>
    <row r="518" spans="2:5" ht="15" customHeight="1">
      <c r="B518" s="110"/>
      <c r="C518" s="73" t="s">
        <v>83</v>
      </c>
      <c r="D518" s="74">
        <v>3</v>
      </c>
      <c r="E518" s="75">
        <v>3.33629893238E-4</v>
      </c>
    </row>
    <row r="519" spans="2:5" ht="15" customHeight="1">
      <c r="B519" s="109"/>
      <c r="C519" s="78" t="s">
        <v>12</v>
      </c>
      <c r="D519" s="77">
        <v>11</v>
      </c>
      <c r="E519" s="80">
        <v>1.223309608541E-3</v>
      </c>
    </row>
    <row r="520" spans="2:5" ht="15" customHeight="1">
      <c r="B520" s="108" t="s">
        <v>111</v>
      </c>
      <c r="C520" s="73" t="s">
        <v>46</v>
      </c>
      <c r="D520" s="74">
        <v>1</v>
      </c>
      <c r="E520" s="75">
        <v>1.1120996441300001E-4</v>
      </c>
    </row>
    <row r="521" spans="2:5" ht="15" customHeight="1">
      <c r="B521" s="110"/>
      <c r="C521" s="73" t="s">
        <v>48</v>
      </c>
      <c r="D521" s="74">
        <v>2</v>
      </c>
      <c r="E521" s="75">
        <v>2.2241992882600001E-4</v>
      </c>
    </row>
    <row r="522" spans="2:5" ht="15" customHeight="1">
      <c r="B522" s="110"/>
      <c r="C522" s="73" t="s">
        <v>53</v>
      </c>
      <c r="D522" s="74">
        <v>1</v>
      </c>
      <c r="E522" s="75">
        <v>1.1120996441300001E-4</v>
      </c>
    </row>
    <row r="523" spans="2:5" ht="15" customHeight="1">
      <c r="B523" s="110"/>
      <c r="C523" s="73" t="s">
        <v>64</v>
      </c>
      <c r="D523" s="74">
        <v>1</v>
      </c>
      <c r="E523" s="75">
        <v>1.1120996441300001E-4</v>
      </c>
    </row>
    <row r="524" spans="2:5" ht="15" customHeight="1">
      <c r="B524" s="110"/>
      <c r="C524" s="73" t="s">
        <v>83</v>
      </c>
      <c r="D524" s="74">
        <v>2</v>
      </c>
      <c r="E524" s="75">
        <v>2.2241992882600001E-4</v>
      </c>
    </row>
    <row r="525" spans="2:5" ht="15" customHeight="1">
      <c r="B525" s="109"/>
      <c r="C525" s="78" t="s">
        <v>12</v>
      </c>
      <c r="D525" s="77">
        <v>7</v>
      </c>
      <c r="E525" s="80">
        <v>7.7846975088999998E-4</v>
      </c>
    </row>
    <row r="526" spans="2:5" ht="15" customHeight="1">
      <c r="B526" s="108" t="s">
        <v>112</v>
      </c>
      <c r="C526" s="73" t="s">
        <v>46</v>
      </c>
      <c r="D526" s="74">
        <v>1</v>
      </c>
      <c r="E526" s="75">
        <v>1.1120996441300001E-4</v>
      </c>
    </row>
    <row r="527" spans="2:5" ht="15" customHeight="1">
      <c r="B527" s="110"/>
      <c r="C527" s="73" t="s">
        <v>57</v>
      </c>
      <c r="D527" s="74">
        <v>1</v>
      </c>
      <c r="E527" s="75">
        <v>1.1120996441300001E-4</v>
      </c>
    </row>
    <row r="528" spans="2:5" ht="15" customHeight="1">
      <c r="B528" s="109"/>
      <c r="C528" s="78" t="s">
        <v>12</v>
      </c>
      <c r="D528" s="77">
        <v>2</v>
      </c>
      <c r="E528" s="80">
        <v>2.2241992882600001E-4</v>
      </c>
    </row>
    <row r="529" spans="2:7" ht="15" customHeight="1">
      <c r="B529" s="114" t="s">
        <v>12</v>
      </c>
      <c r="C529" s="114"/>
      <c r="D529" s="42">
        <f>(D24+D37+D52+D73+D93+D117+D151+D190+D215+D242+D276+D319+D338+D377+D417+D429+D441+D448+D456+D480+D513+D519+D525+D528)</f>
        <v>8992</v>
      </c>
      <c r="E529" s="43">
        <f>(E24+E37+E52+E73+E93+E117+E151+E190+E215+E242+E276+E319+E338+E377+E417+E429+E441+E448+E456+E480+E513+E519+E525+E528)</f>
        <v>1.0000000000000011</v>
      </c>
    </row>
    <row r="530" spans="2:7" ht="15" customHeight="1">
      <c r="B530" s="57"/>
      <c r="C530" s="57"/>
      <c r="D530" s="57"/>
      <c r="E530" s="57"/>
    </row>
    <row r="531" spans="2:7" ht="15" customHeight="1">
      <c r="B531" s="44" t="s">
        <v>170</v>
      </c>
      <c r="D531" s="51"/>
      <c r="E531" s="52"/>
      <c r="F531" s="5"/>
      <c r="G531" s="5"/>
    </row>
    <row r="532" spans="2:7" ht="15" customHeight="1">
      <c r="B532" s="45" t="s">
        <v>3</v>
      </c>
      <c r="D532" s="51"/>
      <c r="E532" s="52"/>
      <c r="F532" s="5"/>
      <c r="G532" s="5"/>
    </row>
    <row r="533" spans="2:7" ht="15" customHeight="1">
      <c r="B533" s="46" t="s">
        <v>43</v>
      </c>
      <c r="D533" s="51"/>
      <c r="E533" s="52"/>
      <c r="F533" s="5"/>
      <c r="G533" s="5"/>
    </row>
    <row r="534" spans="2:7" ht="15" customHeight="1">
      <c r="B534" s="44" t="s">
        <v>4</v>
      </c>
      <c r="D534" s="51"/>
      <c r="E534" s="52"/>
      <c r="F534" s="5"/>
      <c r="G534" s="5"/>
    </row>
    <row r="535" spans="2:7" ht="15" customHeight="1">
      <c r="B535" s="44" t="s">
        <v>252</v>
      </c>
      <c r="D535" s="51"/>
      <c r="E535" s="52"/>
      <c r="F535" s="5"/>
      <c r="G535" s="5"/>
    </row>
    <row r="536" spans="2:7" ht="15" customHeight="1">
      <c r="B536" s="57"/>
      <c r="C536" s="57"/>
      <c r="D536" s="57"/>
      <c r="E536" s="57"/>
    </row>
  </sheetData>
  <mergeCells count="25">
    <mergeCell ref="B94:B117"/>
    <mergeCell ref="B118:B151"/>
    <mergeCell ref="B152:B190"/>
    <mergeCell ref="B191:B215"/>
    <mergeCell ref="B216:B242"/>
    <mergeCell ref="B10:B24"/>
    <mergeCell ref="B25:B37"/>
    <mergeCell ref="B38:B52"/>
    <mergeCell ref="B53:B73"/>
    <mergeCell ref="B74:B93"/>
    <mergeCell ref="B243:B276"/>
    <mergeCell ref="B277:B319"/>
    <mergeCell ref="B320:B338"/>
    <mergeCell ref="B339:B377"/>
    <mergeCell ref="B378:B417"/>
    <mergeCell ref="B418:B429"/>
    <mergeCell ref="B430:B441"/>
    <mergeCell ref="B442:B448"/>
    <mergeCell ref="B449:B456"/>
    <mergeCell ref="B457:B480"/>
    <mergeCell ref="B481:B513"/>
    <mergeCell ref="B514:B519"/>
    <mergeCell ref="B529:C529"/>
    <mergeCell ref="B520:B525"/>
    <mergeCell ref="B526:B52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9">
    <tabColor rgb="FF92D050"/>
  </sheetPr>
  <dimension ref="A1:E696"/>
  <sheetViews>
    <sheetView showGridLines="0" view="pageBreakPreview" zoomScale="85" zoomScaleNormal="85" zoomScaleSheetLayoutView="85" workbookViewId="0">
      <selection activeCell="F11" sqref="F11"/>
    </sheetView>
  </sheetViews>
  <sheetFormatPr baseColWidth="10" defaultColWidth="35" defaultRowHeight="15" customHeight="1"/>
  <cols>
    <col min="1" max="1" width="1" style="8" customWidth="1"/>
    <col min="2" max="2" width="22.85546875" style="9" customWidth="1"/>
    <col min="3" max="3" width="39.140625" style="9" customWidth="1"/>
    <col min="4" max="4" width="14.28515625" style="9" customWidth="1"/>
    <col min="5" max="5" width="16.85546875" style="9" customWidth="1"/>
    <col min="6" max="16384" width="35" style="8"/>
  </cols>
  <sheetData>
    <row r="1" spans="1:5" s="10" customFormat="1" ht="12" customHeight="1">
      <c r="B1" s="13"/>
      <c r="C1" s="12"/>
      <c r="D1" s="12"/>
      <c r="E1" s="12"/>
    </row>
    <row r="2" spans="1:5" s="10" customFormat="1" ht="15" customHeight="1">
      <c r="C2" s="15"/>
    </row>
    <row r="3" spans="1:5" s="10" customFormat="1" ht="15" customHeight="1">
      <c r="C3" s="15"/>
    </row>
    <row r="4" spans="1:5" s="10" customFormat="1" ht="30" customHeight="1">
      <c r="C4" s="15"/>
      <c r="D4" s="14"/>
    </row>
    <row r="5" spans="1:5" s="10" customFormat="1" ht="15" customHeight="1">
      <c r="C5" s="15"/>
      <c r="D5" s="14"/>
    </row>
    <row r="6" spans="1:5" s="10" customFormat="1" ht="24" customHeight="1">
      <c r="B6" s="13"/>
      <c r="C6" s="12"/>
      <c r="D6" s="12"/>
      <c r="E6" s="12"/>
    </row>
    <row r="7" spans="1:5" s="10" customFormat="1" ht="26.25" customHeight="1">
      <c r="A7" s="11"/>
      <c r="B7" s="113"/>
      <c r="C7" s="113"/>
      <c r="D7" s="113"/>
      <c r="E7" s="113"/>
    </row>
    <row r="8" spans="1:5" s="10" customFormat="1" ht="33" customHeight="1">
      <c r="A8" s="11"/>
      <c r="B8" s="113"/>
      <c r="C8" s="113"/>
      <c r="D8" s="113"/>
      <c r="E8" s="113"/>
    </row>
    <row r="9" spans="1:5" s="1" customFormat="1" ht="40.5" customHeight="1">
      <c r="B9" s="54" t="s">
        <v>5</v>
      </c>
      <c r="C9" s="55" t="s">
        <v>10</v>
      </c>
      <c r="D9" s="56" t="s">
        <v>1</v>
      </c>
      <c r="E9" s="54" t="s">
        <v>2</v>
      </c>
    </row>
    <row r="10" spans="1:5" ht="15" customHeight="1">
      <c r="B10" s="108" t="s">
        <v>113</v>
      </c>
      <c r="C10" s="76" t="s">
        <v>90</v>
      </c>
      <c r="D10" s="74">
        <v>2</v>
      </c>
      <c r="E10" s="75">
        <v>2.2241992882600001E-4</v>
      </c>
    </row>
    <row r="11" spans="1:5" ht="15" customHeight="1">
      <c r="B11" s="110"/>
      <c r="C11" s="76" t="s">
        <v>91</v>
      </c>
      <c r="D11" s="74">
        <v>1</v>
      </c>
      <c r="E11" s="75">
        <v>1.1120996441300001E-4</v>
      </c>
    </row>
    <row r="12" spans="1:5" ht="15" customHeight="1">
      <c r="B12" s="110"/>
      <c r="C12" s="76" t="s">
        <v>92</v>
      </c>
      <c r="D12" s="74">
        <v>4</v>
      </c>
      <c r="E12" s="75">
        <v>4.4483985765100001E-4</v>
      </c>
    </row>
    <row r="13" spans="1:5" ht="15" customHeight="1">
      <c r="B13" s="110"/>
      <c r="C13" s="76" t="s">
        <v>93</v>
      </c>
      <c r="D13" s="74">
        <v>1</v>
      </c>
      <c r="E13" s="75">
        <v>1.1120996441300001E-4</v>
      </c>
    </row>
    <row r="14" spans="1:5" ht="15" customHeight="1">
      <c r="B14" s="110"/>
      <c r="C14" s="76" t="s">
        <v>94</v>
      </c>
      <c r="D14" s="74">
        <v>2</v>
      </c>
      <c r="E14" s="75">
        <v>2.2241992882600001E-4</v>
      </c>
    </row>
    <row r="15" spans="1:5" ht="15" customHeight="1">
      <c r="B15" s="110"/>
      <c r="C15" s="76" t="s">
        <v>95</v>
      </c>
      <c r="D15" s="74">
        <v>8</v>
      </c>
      <c r="E15" s="75">
        <v>8.8967971530200002E-4</v>
      </c>
    </row>
    <row r="16" spans="1:5" ht="15" customHeight="1">
      <c r="B16" s="110"/>
      <c r="C16" s="76" t="s">
        <v>96</v>
      </c>
      <c r="D16" s="74">
        <v>13</v>
      </c>
      <c r="E16" s="75">
        <v>1.4457295373670001E-3</v>
      </c>
    </row>
    <row r="17" spans="2:5" ht="15" customHeight="1">
      <c r="B17" s="110"/>
      <c r="C17" s="76" t="s">
        <v>98</v>
      </c>
      <c r="D17" s="74">
        <v>1</v>
      </c>
      <c r="E17" s="75">
        <v>1.1120996441300001E-4</v>
      </c>
    </row>
    <row r="18" spans="2:5" ht="15" customHeight="1">
      <c r="B18" s="110"/>
      <c r="C18" s="76" t="s">
        <v>99</v>
      </c>
      <c r="D18" s="74">
        <v>5</v>
      </c>
      <c r="E18" s="75">
        <v>5.5604982206399996E-4</v>
      </c>
    </row>
    <row r="19" spans="2:5" ht="15" customHeight="1">
      <c r="B19" s="110"/>
      <c r="C19" s="76" t="s">
        <v>100</v>
      </c>
      <c r="D19" s="74">
        <v>39</v>
      </c>
      <c r="E19" s="75">
        <v>4.3371886120999997E-3</v>
      </c>
    </row>
    <row r="20" spans="2:5" ht="15" customHeight="1">
      <c r="B20" s="110"/>
      <c r="C20" s="76" t="s">
        <v>101</v>
      </c>
      <c r="D20" s="74">
        <v>1</v>
      </c>
      <c r="E20" s="75">
        <v>1.1120996441300001E-4</v>
      </c>
    </row>
    <row r="21" spans="2:5" ht="15" customHeight="1">
      <c r="B21" s="110"/>
      <c r="C21" s="76" t="s">
        <v>102</v>
      </c>
      <c r="D21" s="74">
        <v>2</v>
      </c>
      <c r="E21" s="75">
        <v>2.2241992882600001E-4</v>
      </c>
    </row>
    <row r="22" spans="2:5" ht="15" customHeight="1">
      <c r="B22" s="110"/>
      <c r="C22" s="76" t="s">
        <v>103</v>
      </c>
      <c r="D22" s="74">
        <v>17</v>
      </c>
      <c r="E22" s="75">
        <v>1.890569395018E-3</v>
      </c>
    </row>
    <row r="23" spans="2:5" ht="15" customHeight="1">
      <c r="B23" s="110"/>
      <c r="C23" s="76" t="s">
        <v>104</v>
      </c>
      <c r="D23" s="74">
        <v>1</v>
      </c>
      <c r="E23" s="75">
        <v>1.1120996441300001E-4</v>
      </c>
    </row>
    <row r="24" spans="2:5" ht="15" customHeight="1">
      <c r="B24" s="110"/>
      <c r="C24" s="76" t="s">
        <v>108</v>
      </c>
      <c r="D24" s="74">
        <v>1</v>
      </c>
      <c r="E24" s="75">
        <v>1.1120996441300001E-4</v>
      </c>
    </row>
    <row r="25" spans="2:5" ht="15" customHeight="1">
      <c r="B25" s="110"/>
      <c r="C25" s="76" t="s">
        <v>109</v>
      </c>
      <c r="D25" s="74">
        <v>2</v>
      </c>
      <c r="E25" s="75">
        <v>2.2241992882600001E-4</v>
      </c>
    </row>
    <row r="26" spans="2:5" ht="15" customHeight="1">
      <c r="B26" s="110"/>
      <c r="C26" s="76" t="s">
        <v>110</v>
      </c>
      <c r="D26" s="74">
        <v>2</v>
      </c>
      <c r="E26" s="75">
        <v>2.2241992882600001E-4</v>
      </c>
    </row>
    <row r="27" spans="2:5" ht="15" customHeight="1">
      <c r="B27" s="109"/>
      <c r="C27" s="79" t="s">
        <v>12</v>
      </c>
      <c r="D27" s="77">
        <v>102</v>
      </c>
      <c r="E27" s="80">
        <v>1.1343416370107001E-2</v>
      </c>
    </row>
    <row r="28" spans="2:5" ht="15" customHeight="1">
      <c r="B28" s="108" t="s">
        <v>114</v>
      </c>
      <c r="C28" s="76" t="s">
        <v>89</v>
      </c>
      <c r="D28" s="74">
        <v>1</v>
      </c>
      <c r="E28" s="75">
        <v>1.1120996441300001E-4</v>
      </c>
    </row>
    <row r="29" spans="2:5" ht="15" customHeight="1">
      <c r="B29" s="110"/>
      <c r="C29" s="76" t="s">
        <v>90</v>
      </c>
      <c r="D29" s="74">
        <v>1</v>
      </c>
      <c r="E29" s="75">
        <v>1.1120996441300001E-4</v>
      </c>
    </row>
    <row r="30" spans="2:5" ht="15" customHeight="1">
      <c r="B30" s="110"/>
      <c r="C30" s="76" t="s">
        <v>91</v>
      </c>
      <c r="D30" s="74">
        <v>1</v>
      </c>
      <c r="E30" s="75">
        <v>1.1120996441300001E-4</v>
      </c>
    </row>
    <row r="31" spans="2:5" ht="15" customHeight="1">
      <c r="B31" s="110"/>
      <c r="C31" s="76" t="s">
        <v>92</v>
      </c>
      <c r="D31" s="74">
        <v>1</v>
      </c>
      <c r="E31" s="75">
        <v>1.1120996441300001E-4</v>
      </c>
    </row>
    <row r="32" spans="2:5" ht="15" customHeight="1">
      <c r="B32" s="110"/>
      <c r="C32" s="76" t="s">
        <v>93</v>
      </c>
      <c r="D32" s="74">
        <v>1</v>
      </c>
      <c r="E32" s="75">
        <v>1.1120996441300001E-4</v>
      </c>
    </row>
    <row r="33" spans="2:5" ht="15" customHeight="1">
      <c r="B33" s="110"/>
      <c r="C33" s="76" t="s">
        <v>94</v>
      </c>
      <c r="D33" s="74">
        <v>3</v>
      </c>
      <c r="E33" s="75">
        <v>3.33629893238E-4</v>
      </c>
    </row>
    <row r="34" spans="2:5" ht="15" customHeight="1">
      <c r="B34" s="110"/>
      <c r="C34" s="76" t="s">
        <v>95</v>
      </c>
      <c r="D34" s="74">
        <v>8</v>
      </c>
      <c r="E34" s="75">
        <v>8.8967971530200002E-4</v>
      </c>
    </row>
    <row r="35" spans="2:5" ht="15" customHeight="1">
      <c r="B35" s="110"/>
      <c r="C35" s="76" t="s">
        <v>96</v>
      </c>
      <c r="D35" s="74">
        <v>38</v>
      </c>
      <c r="E35" s="75">
        <v>4.2259786476870004E-3</v>
      </c>
    </row>
    <row r="36" spans="2:5" ht="15" customHeight="1">
      <c r="B36" s="110"/>
      <c r="C36" s="76" t="s">
        <v>97</v>
      </c>
      <c r="D36" s="74">
        <v>3</v>
      </c>
      <c r="E36" s="75">
        <v>3.33629893238E-4</v>
      </c>
    </row>
    <row r="37" spans="2:5" ht="15" customHeight="1">
      <c r="B37" s="110"/>
      <c r="C37" s="76" t="s">
        <v>98</v>
      </c>
      <c r="D37" s="74">
        <v>5</v>
      </c>
      <c r="E37" s="75">
        <v>5.5604982206399996E-4</v>
      </c>
    </row>
    <row r="38" spans="2:5" ht="15" customHeight="1">
      <c r="B38" s="110"/>
      <c r="C38" s="76" t="s">
        <v>99</v>
      </c>
      <c r="D38" s="74">
        <v>6</v>
      </c>
      <c r="E38" s="75">
        <v>6.6725978647699997E-4</v>
      </c>
    </row>
    <row r="39" spans="2:5" ht="15" customHeight="1">
      <c r="B39" s="110"/>
      <c r="C39" s="76" t="s">
        <v>100</v>
      </c>
      <c r="D39" s="74">
        <v>89</v>
      </c>
      <c r="E39" s="75">
        <v>9.8976868327399995E-3</v>
      </c>
    </row>
    <row r="40" spans="2:5" ht="15" customHeight="1">
      <c r="B40" s="110"/>
      <c r="C40" s="76" t="s">
        <v>101</v>
      </c>
      <c r="D40" s="74">
        <v>2</v>
      </c>
      <c r="E40" s="75">
        <v>2.2241992882600001E-4</v>
      </c>
    </row>
    <row r="41" spans="2:5" ht="15" customHeight="1">
      <c r="B41" s="110"/>
      <c r="C41" s="76" t="s">
        <v>102</v>
      </c>
      <c r="D41" s="74">
        <v>13</v>
      </c>
      <c r="E41" s="75">
        <v>1.4457295373670001E-3</v>
      </c>
    </row>
    <row r="42" spans="2:5" ht="15" customHeight="1">
      <c r="B42" s="110"/>
      <c r="C42" s="76" t="s">
        <v>103</v>
      </c>
      <c r="D42" s="74">
        <v>32</v>
      </c>
      <c r="E42" s="75">
        <v>3.5587188612099998E-3</v>
      </c>
    </row>
    <row r="43" spans="2:5" ht="15" customHeight="1">
      <c r="B43" s="110"/>
      <c r="C43" s="76" t="s">
        <v>104</v>
      </c>
      <c r="D43" s="74">
        <v>2</v>
      </c>
      <c r="E43" s="75">
        <v>2.2241992882600001E-4</v>
      </c>
    </row>
    <row r="44" spans="2:5" ht="15" customHeight="1">
      <c r="B44" s="110"/>
      <c r="C44" s="76" t="s">
        <v>107</v>
      </c>
      <c r="D44" s="74">
        <v>1</v>
      </c>
      <c r="E44" s="75">
        <v>1.1120996441300001E-4</v>
      </c>
    </row>
    <row r="45" spans="2:5" ht="15" customHeight="1">
      <c r="B45" s="110"/>
      <c r="C45" s="76" t="s">
        <v>108</v>
      </c>
      <c r="D45" s="74">
        <v>2</v>
      </c>
      <c r="E45" s="75">
        <v>2.2241992882600001E-4</v>
      </c>
    </row>
    <row r="46" spans="2:5" ht="15" customHeight="1">
      <c r="B46" s="110"/>
      <c r="C46" s="76" t="s">
        <v>109</v>
      </c>
      <c r="D46" s="74">
        <v>10</v>
      </c>
      <c r="E46" s="75">
        <v>1.1120996441279999E-3</v>
      </c>
    </row>
    <row r="47" spans="2:5" ht="15" customHeight="1">
      <c r="B47" s="109"/>
      <c r="C47" s="79" t="s">
        <v>12</v>
      </c>
      <c r="D47" s="77">
        <v>219</v>
      </c>
      <c r="E47" s="80">
        <v>2.4354982206406001E-2</v>
      </c>
    </row>
    <row r="48" spans="2:5" ht="15" customHeight="1">
      <c r="B48" s="108" t="s">
        <v>115</v>
      </c>
      <c r="C48" s="76" t="s">
        <v>89</v>
      </c>
      <c r="D48" s="74">
        <v>1</v>
      </c>
      <c r="E48" s="75">
        <v>1.1120996441300001E-4</v>
      </c>
    </row>
    <row r="49" spans="2:5" ht="15" customHeight="1">
      <c r="B49" s="110"/>
      <c r="C49" s="76" t="s">
        <v>92</v>
      </c>
      <c r="D49" s="74">
        <v>1</v>
      </c>
      <c r="E49" s="75">
        <v>1.1120996441300001E-4</v>
      </c>
    </row>
    <row r="50" spans="2:5" ht="15" customHeight="1">
      <c r="B50" s="110"/>
      <c r="C50" s="76" t="s">
        <v>93</v>
      </c>
      <c r="D50" s="74">
        <v>2</v>
      </c>
      <c r="E50" s="75">
        <v>2.2241992882600001E-4</v>
      </c>
    </row>
    <row r="51" spans="2:5" ht="15" customHeight="1">
      <c r="B51" s="110"/>
      <c r="C51" s="76" t="s">
        <v>94</v>
      </c>
      <c r="D51" s="74">
        <v>1</v>
      </c>
      <c r="E51" s="75">
        <v>1.1120996441300001E-4</v>
      </c>
    </row>
    <row r="52" spans="2:5" ht="15" customHeight="1">
      <c r="B52" s="110"/>
      <c r="C52" s="76" t="s">
        <v>95</v>
      </c>
      <c r="D52" s="74">
        <v>6</v>
      </c>
      <c r="E52" s="75">
        <v>6.6725978647699997E-4</v>
      </c>
    </row>
    <row r="53" spans="2:5" ht="15" customHeight="1">
      <c r="B53" s="110"/>
      <c r="C53" s="76" t="s">
        <v>96</v>
      </c>
      <c r="D53" s="74">
        <v>23</v>
      </c>
      <c r="E53" s="75">
        <v>2.5578291814950002E-3</v>
      </c>
    </row>
    <row r="54" spans="2:5" ht="15" customHeight="1">
      <c r="B54" s="110"/>
      <c r="C54" s="76" t="s">
        <v>97</v>
      </c>
      <c r="D54" s="74">
        <v>8</v>
      </c>
      <c r="E54" s="75">
        <v>8.8967971530200002E-4</v>
      </c>
    </row>
    <row r="55" spans="2:5" ht="15" customHeight="1">
      <c r="B55" s="110"/>
      <c r="C55" s="76" t="s">
        <v>98</v>
      </c>
      <c r="D55" s="74">
        <v>4</v>
      </c>
      <c r="E55" s="75">
        <v>4.4483985765100001E-4</v>
      </c>
    </row>
    <row r="56" spans="2:5" ht="15" customHeight="1">
      <c r="B56" s="110"/>
      <c r="C56" s="76" t="s">
        <v>99</v>
      </c>
      <c r="D56" s="74">
        <v>7</v>
      </c>
      <c r="E56" s="75">
        <v>7.7846975088999998E-4</v>
      </c>
    </row>
    <row r="57" spans="2:5" ht="15" customHeight="1">
      <c r="B57" s="110"/>
      <c r="C57" s="76" t="s">
        <v>100</v>
      </c>
      <c r="D57" s="74">
        <v>39</v>
      </c>
      <c r="E57" s="75">
        <v>4.3371886120999997E-3</v>
      </c>
    </row>
    <row r="58" spans="2:5" ht="15" customHeight="1">
      <c r="B58" s="110"/>
      <c r="C58" s="76" t="s">
        <v>102</v>
      </c>
      <c r="D58" s="74">
        <v>4</v>
      </c>
      <c r="E58" s="75">
        <v>4.4483985765100001E-4</v>
      </c>
    </row>
    <row r="59" spans="2:5" ht="15" customHeight="1">
      <c r="B59" s="110"/>
      <c r="C59" s="76" t="s">
        <v>103</v>
      </c>
      <c r="D59" s="74">
        <v>25</v>
      </c>
      <c r="E59" s="75">
        <v>2.7802491103199999E-3</v>
      </c>
    </row>
    <row r="60" spans="2:5" ht="15" customHeight="1">
      <c r="B60" s="110"/>
      <c r="C60" s="76" t="s">
        <v>108</v>
      </c>
      <c r="D60" s="74">
        <v>1</v>
      </c>
      <c r="E60" s="75">
        <v>1.1120996441300001E-4</v>
      </c>
    </row>
    <row r="61" spans="2:5" ht="15" customHeight="1">
      <c r="B61" s="110"/>
      <c r="C61" s="76" t="s">
        <v>109</v>
      </c>
      <c r="D61" s="74">
        <v>3</v>
      </c>
      <c r="E61" s="75">
        <v>3.33629893238E-4</v>
      </c>
    </row>
    <row r="62" spans="2:5" ht="15" customHeight="1">
      <c r="B62" s="110"/>
      <c r="C62" s="76" t="s">
        <v>110</v>
      </c>
      <c r="D62" s="74">
        <v>2</v>
      </c>
      <c r="E62" s="75">
        <v>2.2241992882600001E-4</v>
      </c>
    </row>
    <row r="63" spans="2:5" ht="15" customHeight="1">
      <c r="B63" s="109"/>
      <c r="C63" s="79" t="s">
        <v>12</v>
      </c>
      <c r="D63" s="77">
        <v>127</v>
      </c>
      <c r="E63" s="80">
        <v>1.4123665480427001E-2</v>
      </c>
    </row>
    <row r="64" spans="2:5" ht="15" customHeight="1">
      <c r="B64" s="108" t="s">
        <v>116</v>
      </c>
      <c r="C64" s="76" t="s">
        <v>93</v>
      </c>
      <c r="D64" s="74">
        <v>1</v>
      </c>
      <c r="E64" s="75">
        <v>1.1120996441300001E-4</v>
      </c>
    </row>
    <row r="65" spans="2:5" ht="15" customHeight="1">
      <c r="B65" s="110"/>
      <c r="C65" s="76" t="s">
        <v>95</v>
      </c>
      <c r="D65" s="74">
        <v>5</v>
      </c>
      <c r="E65" s="75">
        <v>5.5604982206399996E-4</v>
      </c>
    </row>
    <row r="66" spans="2:5" ht="15" customHeight="1">
      <c r="B66" s="110"/>
      <c r="C66" s="76" t="s">
        <v>96</v>
      </c>
      <c r="D66" s="74">
        <v>8</v>
      </c>
      <c r="E66" s="75">
        <v>8.8967971530200002E-4</v>
      </c>
    </row>
    <row r="67" spans="2:5" ht="15" customHeight="1">
      <c r="B67" s="110"/>
      <c r="C67" s="76" t="s">
        <v>98</v>
      </c>
      <c r="D67" s="74">
        <v>1</v>
      </c>
      <c r="E67" s="75">
        <v>1.1120996441300001E-4</v>
      </c>
    </row>
    <row r="68" spans="2:5" ht="15" customHeight="1">
      <c r="B68" s="110"/>
      <c r="C68" s="76" t="s">
        <v>99</v>
      </c>
      <c r="D68" s="74">
        <v>1</v>
      </c>
      <c r="E68" s="75">
        <v>1.1120996441300001E-4</v>
      </c>
    </row>
    <row r="69" spans="2:5" ht="15" customHeight="1">
      <c r="B69" s="110"/>
      <c r="C69" s="76" t="s">
        <v>100</v>
      </c>
      <c r="D69" s="74">
        <v>14</v>
      </c>
      <c r="E69" s="75">
        <v>1.5569395017790001E-3</v>
      </c>
    </row>
    <row r="70" spans="2:5" ht="15" customHeight="1">
      <c r="B70" s="110"/>
      <c r="C70" s="76" t="s">
        <v>102</v>
      </c>
      <c r="D70" s="74">
        <v>3</v>
      </c>
      <c r="E70" s="75">
        <v>3.33629893238E-4</v>
      </c>
    </row>
    <row r="71" spans="2:5" ht="15" customHeight="1">
      <c r="B71" s="110"/>
      <c r="C71" s="76" t="s">
        <v>103</v>
      </c>
      <c r="D71" s="74">
        <v>8</v>
      </c>
      <c r="E71" s="75">
        <v>8.8967971530200002E-4</v>
      </c>
    </row>
    <row r="72" spans="2:5" ht="15" customHeight="1">
      <c r="B72" s="110"/>
      <c r="C72" s="76" t="s">
        <v>108</v>
      </c>
      <c r="D72" s="74">
        <v>1</v>
      </c>
      <c r="E72" s="75">
        <v>1.1120996441300001E-4</v>
      </c>
    </row>
    <row r="73" spans="2:5" ht="15" customHeight="1">
      <c r="B73" s="110"/>
      <c r="C73" s="76" t="s">
        <v>109</v>
      </c>
      <c r="D73" s="74">
        <v>1</v>
      </c>
      <c r="E73" s="75">
        <v>1.1120996441300001E-4</v>
      </c>
    </row>
    <row r="74" spans="2:5" ht="15" customHeight="1">
      <c r="B74" s="109"/>
      <c r="C74" s="79" t="s">
        <v>12</v>
      </c>
      <c r="D74" s="77">
        <v>43</v>
      </c>
      <c r="E74" s="80">
        <v>4.7820284697510001E-3</v>
      </c>
    </row>
    <row r="75" spans="2:5" ht="15" customHeight="1">
      <c r="B75" s="108" t="s">
        <v>117</v>
      </c>
      <c r="C75" s="76" t="s">
        <v>96</v>
      </c>
      <c r="D75" s="74">
        <v>1</v>
      </c>
      <c r="E75" s="75">
        <v>1.1120996441300001E-4</v>
      </c>
    </row>
    <row r="76" spans="2:5" ht="15" customHeight="1">
      <c r="B76" s="110"/>
      <c r="C76" s="76" t="s">
        <v>100</v>
      </c>
      <c r="D76" s="74">
        <v>3</v>
      </c>
      <c r="E76" s="75">
        <v>3.33629893238E-4</v>
      </c>
    </row>
    <row r="77" spans="2:5" ht="15" customHeight="1">
      <c r="B77" s="110"/>
      <c r="C77" s="76" t="s">
        <v>102</v>
      </c>
      <c r="D77" s="74">
        <v>1</v>
      </c>
      <c r="E77" s="75">
        <v>1.1120996441300001E-4</v>
      </c>
    </row>
    <row r="78" spans="2:5" ht="15" customHeight="1">
      <c r="B78" s="110"/>
      <c r="C78" s="76" t="s">
        <v>103</v>
      </c>
      <c r="D78" s="74">
        <v>2</v>
      </c>
      <c r="E78" s="75">
        <v>2.2241992882600001E-4</v>
      </c>
    </row>
    <row r="79" spans="2:5" ht="15" customHeight="1">
      <c r="B79" s="109"/>
      <c r="C79" s="79" t="s">
        <v>12</v>
      </c>
      <c r="D79" s="77">
        <v>7</v>
      </c>
      <c r="E79" s="80">
        <v>7.7846975088999998E-4</v>
      </c>
    </row>
    <row r="80" spans="2:5" ht="15" customHeight="1">
      <c r="B80" s="108" t="s">
        <v>118</v>
      </c>
      <c r="C80" s="76" t="s">
        <v>96</v>
      </c>
      <c r="D80" s="74">
        <v>1</v>
      </c>
      <c r="E80" s="75">
        <v>1.1120996441300001E-4</v>
      </c>
    </row>
    <row r="81" spans="2:5" ht="15" customHeight="1">
      <c r="B81" s="110"/>
      <c r="C81" s="76" t="s">
        <v>97</v>
      </c>
      <c r="D81" s="74">
        <v>1</v>
      </c>
      <c r="E81" s="75">
        <v>1.1120996441300001E-4</v>
      </c>
    </row>
    <row r="82" spans="2:5" ht="15" customHeight="1">
      <c r="B82" s="110"/>
      <c r="C82" s="76" t="s">
        <v>98</v>
      </c>
      <c r="D82" s="74">
        <v>1</v>
      </c>
      <c r="E82" s="75">
        <v>1.1120996441300001E-4</v>
      </c>
    </row>
    <row r="83" spans="2:5" ht="15" customHeight="1">
      <c r="B83" s="110"/>
      <c r="C83" s="76" t="s">
        <v>100</v>
      </c>
      <c r="D83" s="74">
        <v>2</v>
      </c>
      <c r="E83" s="75">
        <v>2.2241992882600001E-4</v>
      </c>
    </row>
    <row r="84" spans="2:5" ht="15" customHeight="1">
      <c r="B84" s="110"/>
      <c r="C84" s="76" t="s">
        <v>103</v>
      </c>
      <c r="D84" s="74">
        <v>5</v>
      </c>
      <c r="E84" s="75">
        <v>5.5604982206399996E-4</v>
      </c>
    </row>
    <row r="85" spans="2:5" ht="15" customHeight="1">
      <c r="B85" s="110"/>
      <c r="C85" s="76" t="s">
        <v>109</v>
      </c>
      <c r="D85" s="74">
        <v>1</v>
      </c>
      <c r="E85" s="75">
        <v>1.1120996441300001E-4</v>
      </c>
    </row>
    <row r="86" spans="2:5" ht="15" customHeight="1">
      <c r="B86" s="109"/>
      <c r="C86" s="79" t="s">
        <v>12</v>
      </c>
      <c r="D86" s="77">
        <v>11</v>
      </c>
      <c r="E86" s="80">
        <v>1.223309608541E-3</v>
      </c>
    </row>
    <row r="87" spans="2:5" ht="15" customHeight="1">
      <c r="B87" s="108" t="s">
        <v>119</v>
      </c>
      <c r="C87" s="76" t="s">
        <v>95</v>
      </c>
      <c r="D87" s="74">
        <v>1</v>
      </c>
      <c r="E87" s="75">
        <v>1.1120996441300001E-4</v>
      </c>
    </row>
    <row r="88" spans="2:5" ht="15" customHeight="1">
      <c r="B88" s="110"/>
      <c r="C88" s="76" t="s">
        <v>96</v>
      </c>
      <c r="D88" s="74">
        <v>1</v>
      </c>
      <c r="E88" s="75">
        <v>1.1120996441300001E-4</v>
      </c>
    </row>
    <row r="89" spans="2:5" ht="15" customHeight="1">
      <c r="B89" s="110"/>
      <c r="C89" s="76" t="s">
        <v>106</v>
      </c>
      <c r="D89" s="74">
        <v>1</v>
      </c>
      <c r="E89" s="75">
        <v>1.1120996441300001E-4</v>
      </c>
    </row>
    <row r="90" spans="2:5" ht="15" customHeight="1">
      <c r="B90" s="110"/>
      <c r="C90" s="76" t="s">
        <v>109</v>
      </c>
      <c r="D90" s="74">
        <v>1</v>
      </c>
      <c r="E90" s="75">
        <v>1.1120996441300001E-4</v>
      </c>
    </row>
    <row r="91" spans="2:5" ht="15" customHeight="1">
      <c r="B91" s="109"/>
      <c r="C91" s="79" t="s">
        <v>12</v>
      </c>
      <c r="D91" s="77">
        <v>4</v>
      </c>
      <c r="E91" s="80">
        <v>4.4483985765100001E-4</v>
      </c>
    </row>
    <row r="92" spans="2:5" ht="15" customHeight="1">
      <c r="B92" s="108" t="s">
        <v>120</v>
      </c>
      <c r="C92" s="76" t="s">
        <v>89</v>
      </c>
      <c r="D92" s="74">
        <v>7</v>
      </c>
      <c r="E92" s="75">
        <v>7.7846975088999998E-4</v>
      </c>
    </row>
    <row r="93" spans="2:5" ht="15" customHeight="1">
      <c r="B93" s="110"/>
      <c r="C93" s="76" t="s">
        <v>90</v>
      </c>
      <c r="D93" s="74">
        <v>3</v>
      </c>
      <c r="E93" s="75">
        <v>3.33629893238E-4</v>
      </c>
    </row>
    <row r="94" spans="2:5" ht="15" customHeight="1">
      <c r="B94" s="110"/>
      <c r="C94" s="76" t="s">
        <v>91</v>
      </c>
      <c r="D94" s="74">
        <v>2</v>
      </c>
      <c r="E94" s="75">
        <v>2.2241992882600001E-4</v>
      </c>
    </row>
    <row r="95" spans="2:5" ht="15" customHeight="1">
      <c r="B95" s="110"/>
      <c r="C95" s="76" t="s">
        <v>92</v>
      </c>
      <c r="D95" s="74">
        <v>14</v>
      </c>
      <c r="E95" s="75">
        <v>1.5569395017790001E-3</v>
      </c>
    </row>
    <row r="96" spans="2:5" ht="15" customHeight="1">
      <c r="B96" s="110"/>
      <c r="C96" s="76" t="s">
        <v>93</v>
      </c>
      <c r="D96" s="74">
        <v>14</v>
      </c>
      <c r="E96" s="75">
        <v>1.5569395017790001E-3</v>
      </c>
    </row>
    <row r="97" spans="2:5" ht="15" customHeight="1">
      <c r="B97" s="110"/>
      <c r="C97" s="76" t="s">
        <v>94</v>
      </c>
      <c r="D97" s="74">
        <v>21</v>
      </c>
      <c r="E97" s="75">
        <v>2.335409252669E-3</v>
      </c>
    </row>
    <row r="98" spans="2:5" ht="15" customHeight="1">
      <c r="B98" s="110"/>
      <c r="C98" s="76" t="s">
        <v>95</v>
      </c>
      <c r="D98" s="74">
        <v>62</v>
      </c>
      <c r="E98" s="75">
        <v>6.8950177935940002E-3</v>
      </c>
    </row>
    <row r="99" spans="2:5" ht="15" customHeight="1">
      <c r="B99" s="110"/>
      <c r="C99" s="76" t="s">
        <v>96</v>
      </c>
      <c r="D99" s="74">
        <v>210</v>
      </c>
      <c r="E99" s="75">
        <v>2.3354092526690001E-2</v>
      </c>
    </row>
    <row r="100" spans="2:5" ht="15" customHeight="1">
      <c r="B100" s="110"/>
      <c r="C100" s="76" t="s">
        <v>97</v>
      </c>
      <c r="D100" s="74">
        <v>8</v>
      </c>
      <c r="E100" s="75">
        <v>8.8967971530200002E-4</v>
      </c>
    </row>
    <row r="101" spans="2:5" ht="15" customHeight="1">
      <c r="B101" s="110"/>
      <c r="C101" s="76" t="s">
        <v>98</v>
      </c>
      <c r="D101" s="74">
        <v>22</v>
      </c>
      <c r="E101" s="75">
        <v>2.4466192170820001E-3</v>
      </c>
    </row>
    <row r="102" spans="2:5" ht="15" customHeight="1">
      <c r="B102" s="110"/>
      <c r="C102" s="76" t="s">
        <v>99</v>
      </c>
      <c r="D102" s="74">
        <v>53</v>
      </c>
      <c r="E102" s="75">
        <v>5.8941281138790002E-3</v>
      </c>
    </row>
    <row r="103" spans="2:5" ht="15" customHeight="1">
      <c r="B103" s="110"/>
      <c r="C103" s="76" t="s">
        <v>100</v>
      </c>
      <c r="D103" s="74">
        <v>590</v>
      </c>
      <c r="E103" s="75">
        <v>6.5613879003559E-2</v>
      </c>
    </row>
    <row r="104" spans="2:5" ht="15" customHeight="1">
      <c r="B104" s="110"/>
      <c r="C104" s="76" t="s">
        <v>101</v>
      </c>
      <c r="D104" s="74">
        <v>13</v>
      </c>
      <c r="E104" s="75">
        <v>1.4457295373670001E-3</v>
      </c>
    </row>
    <row r="105" spans="2:5" ht="15" customHeight="1">
      <c r="B105" s="110"/>
      <c r="C105" s="76" t="s">
        <v>102</v>
      </c>
      <c r="D105" s="74">
        <v>62</v>
      </c>
      <c r="E105" s="75">
        <v>6.8950177935940002E-3</v>
      </c>
    </row>
    <row r="106" spans="2:5" ht="15" customHeight="1">
      <c r="B106" s="110"/>
      <c r="C106" s="76" t="s">
        <v>103</v>
      </c>
      <c r="D106" s="74">
        <v>288</v>
      </c>
      <c r="E106" s="75">
        <v>3.202846975089E-2</v>
      </c>
    </row>
    <row r="107" spans="2:5" ht="15" customHeight="1">
      <c r="B107" s="110"/>
      <c r="C107" s="76" t="s">
        <v>104</v>
      </c>
      <c r="D107" s="74">
        <v>3</v>
      </c>
      <c r="E107" s="75">
        <v>3.33629893238E-4</v>
      </c>
    </row>
    <row r="108" spans="2:5" ht="15" customHeight="1">
      <c r="B108" s="110"/>
      <c r="C108" s="76" t="s">
        <v>105</v>
      </c>
      <c r="D108" s="74">
        <v>7</v>
      </c>
      <c r="E108" s="75">
        <v>7.7846975088999998E-4</v>
      </c>
    </row>
    <row r="109" spans="2:5" ht="15" customHeight="1">
      <c r="B109" s="110"/>
      <c r="C109" s="76" t="s">
        <v>106</v>
      </c>
      <c r="D109" s="74">
        <v>2</v>
      </c>
      <c r="E109" s="75">
        <v>2.2241992882600001E-4</v>
      </c>
    </row>
    <row r="110" spans="2:5" ht="15" customHeight="1">
      <c r="B110" s="110"/>
      <c r="C110" s="76" t="s">
        <v>108</v>
      </c>
      <c r="D110" s="74">
        <v>16</v>
      </c>
      <c r="E110" s="75">
        <v>1.7793594306049999E-3</v>
      </c>
    </row>
    <row r="111" spans="2:5" ht="15" customHeight="1">
      <c r="B111" s="110"/>
      <c r="C111" s="76" t="s">
        <v>109</v>
      </c>
      <c r="D111" s="74">
        <v>44</v>
      </c>
      <c r="E111" s="75">
        <v>4.8932384341640002E-3</v>
      </c>
    </row>
    <row r="112" spans="2:5" ht="15" customHeight="1">
      <c r="B112" s="110"/>
      <c r="C112" s="76" t="s">
        <v>112</v>
      </c>
      <c r="D112" s="74">
        <v>1</v>
      </c>
      <c r="E112" s="75">
        <v>1.1120996441300001E-4</v>
      </c>
    </row>
    <row r="113" spans="2:5" ht="15" customHeight="1">
      <c r="B113" s="109"/>
      <c r="C113" s="79" t="s">
        <v>12</v>
      </c>
      <c r="D113" s="77">
        <v>1442</v>
      </c>
      <c r="E113" s="80">
        <v>0.16036476868327401</v>
      </c>
    </row>
    <row r="114" spans="2:5" ht="15" customHeight="1">
      <c r="B114" s="108" t="s">
        <v>121</v>
      </c>
      <c r="C114" s="76" t="s">
        <v>89</v>
      </c>
      <c r="D114" s="74">
        <v>3</v>
      </c>
      <c r="E114" s="75">
        <v>3.33629893238E-4</v>
      </c>
    </row>
    <row r="115" spans="2:5" ht="15" customHeight="1">
      <c r="B115" s="110"/>
      <c r="C115" s="76" t="s">
        <v>90</v>
      </c>
      <c r="D115" s="74">
        <v>2</v>
      </c>
      <c r="E115" s="75">
        <v>2.2241992882600001E-4</v>
      </c>
    </row>
    <row r="116" spans="2:5" ht="15" customHeight="1">
      <c r="B116" s="110"/>
      <c r="C116" s="76" t="s">
        <v>91</v>
      </c>
      <c r="D116" s="74">
        <v>2</v>
      </c>
      <c r="E116" s="75">
        <v>2.2241992882600001E-4</v>
      </c>
    </row>
    <row r="117" spans="2:5" ht="15" customHeight="1">
      <c r="B117" s="110"/>
      <c r="C117" s="76" t="s">
        <v>92</v>
      </c>
      <c r="D117" s="74">
        <v>1</v>
      </c>
      <c r="E117" s="75">
        <v>1.1120996441300001E-4</v>
      </c>
    </row>
    <row r="118" spans="2:5" ht="15" customHeight="1">
      <c r="B118" s="110"/>
      <c r="C118" s="76" t="s">
        <v>93</v>
      </c>
      <c r="D118" s="74">
        <v>10</v>
      </c>
      <c r="E118" s="75">
        <v>1.1120996441279999E-3</v>
      </c>
    </row>
    <row r="119" spans="2:5" ht="15" customHeight="1">
      <c r="B119" s="110"/>
      <c r="C119" s="76" t="s">
        <v>94</v>
      </c>
      <c r="D119" s="74">
        <v>3</v>
      </c>
      <c r="E119" s="75">
        <v>3.33629893238E-4</v>
      </c>
    </row>
    <row r="120" spans="2:5" ht="15" customHeight="1">
      <c r="B120" s="110"/>
      <c r="C120" s="76" t="s">
        <v>95</v>
      </c>
      <c r="D120" s="74">
        <v>38</v>
      </c>
      <c r="E120" s="75">
        <v>4.2259786476870004E-3</v>
      </c>
    </row>
    <row r="121" spans="2:5" ht="15" customHeight="1">
      <c r="B121" s="110"/>
      <c r="C121" s="76" t="s">
        <v>96</v>
      </c>
      <c r="D121" s="74">
        <v>73</v>
      </c>
      <c r="E121" s="75">
        <v>8.1183274021350005E-3</v>
      </c>
    </row>
    <row r="122" spans="2:5" ht="15" customHeight="1">
      <c r="B122" s="110"/>
      <c r="C122" s="76" t="s">
        <v>97</v>
      </c>
      <c r="D122" s="74">
        <v>4</v>
      </c>
      <c r="E122" s="75">
        <v>4.4483985765100001E-4</v>
      </c>
    </row>
    <row r="123" spans="2:5" ht="15" customHeight="1">
      <c r="B123" s="110"/>
      <c r="C123" s="76" t="s">
        <v>98</v>
      </c>
      <c r="D123" s="74">
        <v>17</v>
      </c>
      <c r="E123" s="75">
        <v>1.890569395018E-3</v>
      </c>
    </row>
    <row r="124" spans="2:5" ht="15" customHeight="1">
      <c r="B124" s="110"/>
      <c r="C124" s="76" t="s">
        <v>99</v>
      </c>
      <c r="D124" s="74">
        <v>40</v>
      </c>
      <c r="E124" s="75">
        <v>4.4483985765119997E-3</v>
      </c>
    </row>
    <row r="125" spans="2:5" ht="15" customHeight="1">
      <c r="B125" s="110"/>
      <c r="C125" s="76" t="s">
        <v>100</v>
      </c>
      <c r="D125" s="74">
        <v>300</v>
      </c>
      <c r="E125" s="75">
        <v>3.3362989323842997E-2</v>
      </c>
    </row>
    <row r="126" spans="2:5" ht="15" customHeight="1">
      <c r="B126" s="110"/>
      <c r="C126" s="76" t="s">
        <v>101</v>
      </c>
      <c r="D126" s="74">
        <v>14</v>
      </c>
      <c r="E126" s="75">
        <v>1.5569395017790001E-3</v>
      </c>
    </row>
    <row r="127" spans="2:5" ht="15" customHeight="1">
      <c r="B127" s="110"/>
      <c r="C127" s="76" t="s">
        <v>102</v>
      </c>
      <c r="D127" s="74">
        <v>48</v>
      </c>
      <c r="E127" s="75">
        <v>5.3380782918149997E-3</v>
      </c>
    </row>
    <row r="128" spans="2:5" ht="15" customHeight="1">
      <c r="B128" s="110"/>
      <c r="C128" s="76" t="s">
        <v>103</v>
      </c>
      <c r="D128" s="74">
        <v>192</v>
      </c>
      <c r="E128" s="75">
        <v>2.1352313167259999E-2</v>
      </c>
    </row>
    <row r="129" spans="2:5" ht="15" customHeight="1">
      <c r="B129" s="110"/>
      <c r="C129" s="76" t="s">
        <v>104</v>
      </c>
      <c r="D129" s="74">
        <v>4</v>
      </c>
      <c r="E129" s="75">
        <v>4.4483985765100001E-4</v>
      </c>
    </row>
    <row r="130" spans="2:5" ht="15" customHeight="1">
      <c r="B130" s="110"/>
      <c r="C130" s="76" t="s">
        <v>105</v>
      </c>
      <c r="D130" s="74">
        <v>2</v>
      </c>
      <c r="E130" s="75">
        <v>2.2241992882600001E-4</v>
      </c>
    </row>
    <row r="131" spans="2:5" ht="15" customHeight="1">
      <c r="B131" s="110"/>
      <c r="C131" s="76" t="s">
        <v>106</v>
      </c>
      <c r="D131" s="74">
        <v>3</v>
      </c>
      <c r="E131" s="75">
        <v>3.33629893238E-4</v>
      </c>
    </row>
    <row r="132" spans="2:5" ht="15" customHeight="1">
      <c r="B132" s="110"/>
      <c r="C132" s="76" t="s">
        <v>108</v>
      </c>
      <c r="D132" s="74">
        <v>4</v>
      </c>
      <c r="E132" s="75">
        <v>4.4483985765100001E-4</v>
      </c>
    </row>
    <row r="133" spans="2:5" ht="15" customHeight="1">
      <c r="B133" s="110"/>
      <c r="C133" s="76" t="s">
        <v>109</v>
      </c>
      <c r="D133" s="74">
        <v>21</v>
      </c>
      <c r="E133" s="75">
        <v>2.335409252669E-3</v>
      </c>
    </row>
    <row r="134" spans="2:5" ht="15" customHeight="1">
      <c r="B134" s="110"/>
      <c r="C134" s="76" t="s">
        <v>110</v>
      </c>
      <c r="D134" s="74">
        <v>1</v>
      </c>
      <c r="E134" s="75">
        <v>1.1120996441300001E-4</v>
      </c>
    </row>
    <row r="135" spans="2:5" ht="15" customHeight="1">
      <c r="B135" s="110"/>
      <c r="C135" s="76" t="s">
        <v>111</v>
      </c>
      <c r="D135" s="74">
        <v>1</v>
      </c>
      <c r="E135" s="75">
        <v>1.1120996441300001E-4</v>
      </c>
    </row>
    <row r="136" spans="2:5" ht="15" customHeight="1">
      <c r="B136" s="109"/>
      <c r="C136" s="79" t="s">
        <v>12</v>
      </c>
      <c r="D136" s="77">
        <v>783</v>
      </c>
      <c r="E136" s="80">
        <v>8.7077402135231005E-2</v>
      </c>
    </row>
    <row r="137" spans="2:5" ht="15" customHeight="1">
      <c r="B137" s="108" t="s">
        <v>122</v>
      </c>
      <c r="C137" s="76" t="s">
        <v>103</v>
      </c>
      <c r="D137" s="74">
        <v>2</v>
      </c>
      <c r="E137" s="75">
        <v>2.2241992882600001E-4</v>
      </c>
    </row>
    <row r="138" spans="2:5" ht="15" customHeight="1">
      <c r="B138" s="109"/>
      <c r="C138" s="79" t="s">
        <v>12</v>
      </c>
      <c r="D138" s="77">
        <v>2</v>
      </c>
      <c r="E138" s="80">
        <v>2.2241992882600001E-4</v>
      </c>
    </row>
    <row r="139" spans="2:5" ht="15" customHeight="1">
      <c r="B139" s="108" t="s">
        <v>123</v>
      </c>
      <c r="C139" s="76" t="s">
        <v>89</v>
      </c>
      <c r="D139" s="74">
        <v>4</v>
      </c>
      <c r="E139" s="75">
        <v>4.4483985765100001E-4</v>
      </c>
    </row>
    <row r="140" spans="2:5" ht="15" customHeight="1">
      <c r="B140" s="110"/>
      <c r="C140" s="76" t="s">
        <v>90</v>
      </c>
      <c r="D140" s="74">
        <v>1</v>
      </c>
      <c r="E140" s="75">
        <v>1.1120996441300001E-4</v>
      </c>
    </row>
    <row r="141" spans="2:5" ht="15" customHeight="1">
      <c r="B141" s="110"/>
      <c r="C141" s="76" t="s">
        <v>91</v>
      </c>
      <c r="D141" s="74">
        <v>2</v>
      </c>
      <c r="E141" s="75">
        <v>2.2241992882600001E-4</v>
      </c>
    </row>
    <row r="142" spans="2:5" ht="15" customHeight="1">
      <c r="B142" s="110"/>
      <c r="C142" s="76" t="s">
        <v>92</v>
      </c>
      <c r="D142" s="74">
        <v>7</v>
      </c>
      <c r="E142" s="75">
        <v>7.7846975088999998E-4</v>
      </c>
    </row>
    <row r="143" spans="2:5" ht="15" customHeight="1">
      <c r="B143" s="110"/>
      <c r="C143" s="76" t="s">
        <v>93</v>
      </c>
      <c r="D143" s="74">
        <v>8</v>
      </c>
      <c r="E143" s="75">
        <v>8.8967971530200002E-4</v>
      </c>
    </row>
    <row r="144" spans="2:5" ht="15" customHeight="1">
      <c r="B144" s="110"/>
      <c r="C144" s="76" t="s">
        <v>94</v>
      </c>
      <c r="D144" s="74">
        <v>7</v>
      </c>
      <c r="E144" s="75">
        <v>7.7846975088999998E-4</v>
      </c>
    </row>
    <row r="145" spans="2:5" ht="15" customHeight="1">
      <c r="B145" s="110"/>
      <c r="C145" s="76" t="s">
        <v>95</v>
      </c>
      <c r="D145" s="74">
        <v>56</v>
      </c>
      <c r="E145" s="75">
        <v>6.2277580071169996E-3</v>
      </c>
    </row>
    <row r="146" spans="2:5" ht="15" customHeight="1">
      <c r="B146" s="110"/>
      <c r="C146" s="76" t="s">
        <v>96</v>
      </c>
      <c r="D146" s="74">
        <v>63</v>
      </c>
      <c r="E146" s="75">
        <v>7.0062277580070003E-3</v>
      </c>
    </row>
    <row r="147" spans="2:5" ht="15" customHeight="1">
      <c r="B147" s="110"/>
      <c r="C147" s="76" t="s">
        <v>97</v>
      </c>
      <c r="D147" s="74">
        <v>4</v>
      </c>
      <c r="E147" s="75">
        <v>4.4483985765100001E-4</v>
      </c>
    </row>
    <row r="148" spans="2:5" ht="15" customHeight="1">
      <c r="B148" s="110"/>
      <c r="C148" s="76" t="s">
        <v>98</v>
      </c>
      <c r="D148" s="74">
        <v>20</v>
      </c>
      <c r="E148" s="75">
        <v>2.2241992882559999E-3</v>
      </c>
    </row>
    <row r="149" spans="2:5" ht="15" customHeight="1">
      <c r="B149" s="110"/>
      <c r="C149" s="76" t="s">
        <v>99</v>
      </c>
      <c r="D149" s="74">
        <v>44</v>
      </c>
      <c r="E149" s="75">
        <v>4.8932384341640002E-3</v>
      </c>
    </row>
    <row r="150" spans="2:5" ht="15" customHeight="1">
      <c r="B150" s="110"/>
      <c r="C150" s="76" t="s">
        <v>100</v>
      </c>
      <c r="D150" s="74">
        <v>239</v>
      </c>
      <c r="E150" s="75">
        <v>2.6579181494661999E-2</v>
      </c>
    </row>
    <row r="151" spans="2:5" ht="15" customHeight="1">
      <c r="B151" s="110"/>
      <c r="C151" s="76" t="s">
        <v>101</v>
      </c>
      <c r="D151" s="74">
        <v>3</v>
      </c>
      <c r="E151" s="75">
        <v>3.33629893238E-4</v>
      </c>
    </row>
    <row r="152" spans="2:5" ht="15" customHeight="1">
      <c r="B152" s="110"/>
      <c r="C152" s="76" t="s">
        <v>102</v>
      </c>
      <c r="D152" s="74">
        <v>38</v>
      </c>
      <c r="E152" s="75">
        <v>4.2259786476870004E-3</v>
      </c>
    </row>
    <row r="153" spans="2:5" ht="15" customHeight="1">
      <c r="B153" s="110"/>
      <c r="C153" s="76" t="s">
        <v>103</v>
      </c>
      <c r="D153" s="74">
        <v>117</v>
      </c>
      <c r="E153" s="75">
        <v>1.3011565836299E-2</v>
      </c>
    </row>
    <row r="154" spans="2:5" ht="15" customHeight="1">
      <c r="B154" s="110"/>
      <c r="C154" s="76" t="s">
        <v>104</v>
      </c>
      <c r="D154" s="74">
        <v>2</v>
      </c>
      <c r="E154" s="75">
        <v>2.2241992882600001E-4</v>
      </c>
    </row>
    <row r="155" spans="2:5" ht="15" customHeight="1">
      <c r="B155" s="110"/>
      <c r="C155" s="76" t="s">
        <v>106</v>
      </c>
      <c r="D155" s="74">
        <v>2</v>
      </c>
      <c r="E155" s="75">
        <v>2.2241992882600001E-4</v>
      </c>
    </row>
    <row r="156" spans="2:5" ht="15" customHeight="1">
      <c r="B156" s="110"/>
      <c r="C156" s="76" t="s">
        <v>107</v>
      </c>
      <c r="D156" s="74">
        <v>1</v>
      </c>
      <c r="E156" s="75">
        <v>1.1120996441300001E-4</v>
      </c>
    </row>
    <row r="157" spans="2:5" ht="15" customHeight="1">
      <c r="B157" s="110"/>
      <c r="C157" s="76" t="s">
        <v>109</v>
      </c>
      <c r="D157" s="74">
        <v>13</v>
      </c>
      <c r="E157" s="75">
        <v>1.4457295373670001E-3</v>
      </c>
    </row>
    <row r="158" spans="2:5" ht="15" customHeight="1">
      <c r="B158" s="109"/>
      <c r="C158" s="79" t="s">
        <v>12</v>
      </c>
      <c r="D158" s="77">
        <v>631</v>
      </c>
      <c r="E158" s="80">
        <v>7.0173487544484006E-2</v>
      </c>
    </row>
    <row r="159" spans="2:5" ht="15" customHeight="1">
      <c r="B159" s="108" t="s">
        <v>124</v>
      </c>
      <c r="C159" s="76" t="s">
        <v>89</v>
      </c>
      <c r="D159" s="74">
        <v>3</v>
      </c>
      <c r="E159" s="75">
        <v>3.33629893238E-4</v>
      </c>
    </row>
    <row r="160" spans="2:5" ht="15" customHeight="1">
      <c r="B160" s="110"/>
      <c r="C160" s="76" t="s">
        <v>92</v>
      </c>
      <c r="D160" s="74">
        <v>2</v>
      </c>
      <c r="E160" s="75">
        <v>2.2241992882600001E-4</v>
      </c>
    </row>
    <row r="161" spans="2:5" ht="15" customHeight="1">
      <c r="B161" s="110"/>
      <c r="C161" s="76" t="s">
        <v>94</v>
      </c>
      <c r="D161" s="74">
        <v>2</v>
      </c>
      <c r="E161" s="75">
        <v>2.2241992882600001E-4</v>
      </c>
    </row>
    <row r="162" spans="2:5" ht="15" customHeight="1">
      <c r="B162" s="110"/>
      <c r="C162" s="76" t="s">
        <v>95</v>
      </c>
      <c r="D162" s="74">
        <v>11</v>
      </c>
      <c r="E162" s="75">
        <v>1.223309608541E-3</v>
      </c>
    </row>
    <row r="163" spans="2:5" ht="15" customHeight="1">
      <c r="B163" s="110"/>
      <c r="C163" s="76" t="s">
        <v>96</v>
      </c>
      <c r="D163" s="74">
        <v>26</v>
      </c>
      <c r="E163" s="75">
        <v>2.891459074733E-3</v>
      </c>
    </row>
    <row r="164" spans="2:5" ht="15" customHeight="1">
      <c r="B164" s="110"/>
      <c r="C164" s="76" t="s">
        <v>97</v>
      </c>
      <c r="D164" s="74">
        <v>3</v>
      </c>
      <c r="E164" s="75">
        <v>3.33629893238E-4</v>
      </c>
    </row>
    <row r="165" spans="2:5" ht="15" customHeight="1">
      <c r="B165" s="110"/>
      <c r="C165" s="76" t="s">
        <v>98</v>
      </c>
      <c r="D165" s="74">
        <v>8</v>
      </c>
      <c r="E165" s="75">
        <v>8.8967971530200002E-4</v>
      </c>
    </row>
    <row r="166" spans="2:5" ht="15" customHeight="1">
      <c r="B166" s="110"/>
      <c r="C166" s="76" t="s">
        <v>99</v>
      </c>
      <c r="D166" s="74">
        <v>9</v>
      </c>
      <c r="E166" s="75">
        <v>1.000889679715E-3</v>
      </c>
    </row>
    <row r="167" spans="2:5" ht="15" customHeight="1">
      <c r="B167" s="110"/>
      <c r="C167" s="76" t="s">
        <v>100</v>
      </c>
      <c r="D167" s="74">
        <v>57</v>
      </c>
      <c r="E167" s="75">
        <v>6.3389679715299997E-3</v>
      </c>
    </row>
    <row r="168" spans="2:5" ht="15" customHeight="1">
      <c r="B168" s="110"/>
      <c r="C168" s="76" t="s">
        <v>101</v>
      </c>
      <c r="D168" s="74">
        <v>1</v>
      </c>
      <c r="E168" s="75">
        <v>1.1120996441300001E-4</v>
      </c>
    </row>
    <row r="169" spans="2:5" ht="15" customHeight="1">
      <c r="B169" s="110"/>
      <c r="C169" s="76" t="s">
        <v>102</v>
      </c>
      <c r="D169" s="74">
        <v>6</v>
      </c>
      <c r="E169" s="75">
        <v>6.6725978647699997E-4</v>
      </c>
    </row>
    <row r="170" spans="2:5" ht="15" customHeight="1">
      <c r="B170" s="110"/>
      <c r="C170" s="76" t="s">
        <v>103</v>
      </c>
      <c r="D170" s="74">
        <v>23</v>
      </c>
      <c r="E170" s="75">
        <v>2.5578291814950002E-3</v>
      </c>
    </row>
    <row r="171" spans="2:5" ht="15" customHeight="1">
      <c r="B171" s="110"/>
      <c r="C171" s="76" t="s">
        <v>105</v>
      </c>
      <c r="D171" s="74">
        <v>1</v>
      </c>
      <c r="E171" s="75">
        <v>1.1120996441300001E-4</v>
      </c>
    </row>
    <row r="172" spans="2:5" ht="15" customHeight="1">
      <c r="B172" s="110"/>
      <c r="C172" s="76" t="s">
        <v>108</v>
      </c>
      <c r="D172" s="74">
        <v>2</v>
      </c>
      <c r="E172" s="75">
        <v>2.2241992882600001E-4</v>
      </c>
    </row>
    <row r="173" spans="2:5" ht="15" customHeight="1">
      <c r="B173" s="110"/>
      <c r="C173" s="76" t="s">
        <v>109</v>
      </c>
      <c r="D173" s="74">
        <v>5</v>
      </c>
      <c r="E173" s="75">
        <v>5.5604982206399996E-4</v>
      </c>
    </row>
    <row r="174" spans="2:5" ht="15" customHeight="1">
      <c r="B174" s="110"/>
      <c r="C174" s="76" t="s">
        <v>111</v>
      </c>
      <c r="D174" s="74">
        <v>1</v>
      </c>
      <c r="E174" s="75">
        <v>1.1120996441300001E-4</v>
      </c>
    </row>
    <row r="175" spans="2:5" ht="15" customHeight="1">
      <c r="B175" s="109"/>
      <c r="C175" s="79" t="s">
        <v>12</v>
      </c>
      <c r="D175" s="77">
        <v>160</v>
      </c>
      <c r="E175" s="80">
        <v>1.7793594306050001E-2</v>
      </c>
    </row>
    <row r="176" spans="2:5" ht="15" customHeight="1">
      <c r="B176" s="108" t="s">
        <v>172</v>
      </c>
      <c r="C176" s="76" t="s">
        <v>101</v>
      </c>
      <c r="D176" s="74">
        <v>1</v>
      </c>
      <c r="E176" s="75">
        <v>1.1120996441300001E-4</v>
      </c>
    </row>
    <row r="177" spans="2:5" ht="15" customHeight="1">
      <c r="B177" s="109"/>
      <c r="C177" s="79" t="s">
        <v>12</v>
      </c>
      <c r="D177" s="77">
        <v>1</v>
      </c>
      <c r="E177" s="80">
        <v>1.1120996441300001E-4</v>
      </c>
    </row>
    <row r="178" spans="2:5" ht="15" customHeight="1">
      <c r="B178" s="108" t="s">
        <v>125</v>
      </c>
      <c r="C178" s="76" t="s">
        <v>92</v>
      </c>
      <c r="D178" s="74">
        <v>1</v>
      </c>
      <c r="E178" s="75">
        <v>1.1120996441300001E-4</v>
      </c>
    </row>
    <row r="179" spans="2:5" ht="15" customHeight="1">
      <c r="B179" s="110"/>
      <c r="C179" s="76" t="s">
        <v>94</v>
      </c>
      <c r="D179" s="74">
        <v>1</v>
      </c>
      <c r="E179" s="75">
        <v>1.1120996441300001E-4</v>
      </c>
    </row>
    <row r="180" spans="2:5" ht="15" customHeight="1">
      <c r="B180" s="110"/>
      <c r="C180" s="76" t="s">
        <v>95</v>
      </c>
      <c r="D180" s="74">
        <v>2</v>
      </c>
      <c r="E180" s="75">
        <v>2.2241992882600001E-4</v>
      </c>
    </row>
    <row r="181" spans="2:5" ht="15" customHeight="1">
      <c r="B181" s="110"/>
      <c r="C181" s="76" t="s">
        <v>96</v>
      </c>
      <c r="D181" s="74">
        <v>1</v>
      </c>
      <c r="E181" s="75">
        <v>1.1120996441300001E-4</v>
      </c>
    </row>
    <row r="182" spans="2:5" ht="15" customHeight="1">
      <c r="B182" s="110"/>
      <c r="C182" s="76" t="s">
        <v>99</v>
      </c>
      <c r="D182" s="74">
        <v>2</v>
      </c>
      <c r="E182" s="75">
        <v>2.2241992882600001E-4</v>
      </c>
    </row>
    <row r="183" spans="2:5" ht="15" customHeight="1">
      <c r="B183" s="110"/>
      <c r="C183" s="76" t="s">
        <v>100</v>
      </c>
      <c r="D183" s="74">
        <v>7</v>
      </c>
      <c r="E183" s="75">
        <v>7.7846975088999998E-4</v>
      </c>
    </row>
    <row r="184" spans="2:5" ht="15" customHeight="1">
      <c r="B184" s="110"/>
      <c r="C184" s="76" t="s">
        <v>101</v>
      </c>
      <c r="D184" s="74">
        <v>1</v>
      </c>
      <c r="E184" s="75">
        <v>1.1120996441300001E-4</v>
      </c>
    </row>
    <row r="185" spans="2:5" ht="15" customHeight="1">
      <c r="B185" s="110"/>
      <c r="C185" s="76" t="s">
        <v>102</v>
      </c>
      <c r="D185" s="74">
        <v>2</v>
      </c>
      <c r="E185" s="75">
        <v>2.2241992882600001E-4</v>
      </c>
    </row>
    <row r="186" spans="2:5" ht="15" customHeight="1">
      <c r="B186" s="110"/>
      <c r="C186" s="76" t="s">
        <v>103</v>
      </c>
      <c r="D186" s="74">
        <v>6</v>
      </c>
      <c r="E186" s="75">
        <v>6.6725978647699997E-4</v>
      </c>
    </row>
    <row r="187" spans="2:5" ht="15" customHeight="1">
      <c r="B187" s="110"/>
      <c r="C187" s="76" t="s">
        <v>109</v>
      </c>
      <c r="D187" s="74">
        <v>4</v>
      </c>
      <c r="E187" s="75">
        <v>4.4483985765100001E-4</v>
      </c>
    </row>
    <row r="188" spans="2:5" ht="15" customHeight="1">
      <c r="B188" s="109"/>
      <c r="C188" s="79" t="s">
        <v>12</v>
      </c>
      <c r="D188" s="77">
        <v>27</v>
      </c>
      <c r="E188" s="80">
        <v>3.0026690391460002E-3</v>
      </c>
    </row>
    <row r="189" spans="2:5" ht="15" customHeight="1">
      <c r="B189" s="108" t="s">
        <v>126</v>
      </c>
      <c r="C189" s="76" t="s">
        <v>96</v>
      </c>
      <c r="D189" s="74">
        <v>3</v>
      </c>
      <c r="E189" s="75">
        <v>3.33629893238E-4</v>
      </c>
    </row>
    <row r="190" spans="2:5" ht="15" customHeight="1">
      <c r="B190" s="110"/>
      <c r="C190" s="76" t="s">
        <v>99</v>
      </c>
      <c r="D190" s="74">
        <v>3</v>
      </c>
      <c r="E190" s="75">
        <v>3.33629893238E-4</v>
      </c>
    </row>
    <row r="191" spans="2:5" ht="15" customHeight="1">
      <c r="B191" s="110"/>
      <c r="C191" s="76" t="s">
        <v>100</v>
      </c>
      <c r="D191" s="74">
        <v>10</v>
      </c>
      <c r="E191" s="75">
        <v>1.1120996441279999E-3</v>
      </c>
    </row>
    <row r="192" spans="2:5" ht="15" customHeight="1">
      <c r="B192" s="110"/>
      <c r="C192" s="76" t="s">
        <v>101</v>
      </c>
      <c r="D192" s="74">
        <v>1</v>
      </c>
      <c r="E192" s="75">
        <v>1.1120996441300001E-4</v>
      </c>
    </row>
    <row r="193" spans="2:5" ht="15" customHeight="1">
      <c r="B193" s="110"/>
      <c r="C193" s="76" t="s">
        <v>102</v>
      </c>
      <c r="D193" s="74">
        <v>2</v>
      </c>
      <c r="E193" s="75">
        <v>2.2241992882600001E-4</v>
      </c>
    </row>
    <row r="194" spans="2:5" ht="15" customHeight="1">
      <c r="B194" s="110"/>
      <c r="C194" s="76" t="s">
        <v>103</v>
      </c>
      <c r="D194" s="74">
        <v>4</v>
      </c>
      <c r="E194" s="75">
        <v>4.4483985765100001E-4</v>
      </c>
    </row>
    <row r="195" spans="2:5" ht="15" customHeight="1">
      <c r="B195" s="110"/>
      <c r="C195" s="76" t="s">
        <v>105</v>
      </c>
      <c r="D195" s="74">
        <v>1</v>
      </c>
      <c r="E195" s="75">
        <v>1.1120996441300001E-4</v>
      </c>
    </row>
    <row r="196" spans="2:5" ht="15" customHeight="1">
      <c r="B196" s="110"/>
      <c r="C196" s="76" t="s">
        <v>109</v>
      </c>
      <c r="D196" s="74">
        <v>2</v>
      </c>
      <c r="E196" s="75">
        <v>2.2241992882600001E-4</v>
      </c>
    </row>
    <row r="197" spans="2:5" ht="15" customHeight="1">
      <c r="B197" s="109"/>
      <c r="C197" s="79" t="s">
        <v>12</v>
      </c>
      <c r="D197" s="77">
        <v>26</v>
      </c>
      <c r="E197" s="80">
        <v>2.891459074733E-3</v>
      </c>
    </row>
    <row r="198" spans="2:5" ht="15" customHeight="1">
      <c r="B198" s="115" t="s">
        <v>127</v>
      </c>
      <c r="C198" s="84" t="s">
        <v>89</v>
      </c>
      <c r="D198" s="74">
        <v>1</v>
      </c>
      <c r="E198" s="75">
        <v>1.1120996441300001E-4</v>
      </c>
    </row>
    <row r="199" spans="2:5" ht="15" customHeight="1">
      <c r="B199" s="116"/>
      <c r="C199" s="76" t="s">
        <v>91</v>
      </c>
      <c r="D199" s="74">
        <v>1</v>
      </c>
      <c r="E199" s="75">
        <v>1.1120996441300001E-4</v>
      </c>
    </row>
    <row r="200" spans="2:5" ht="15" customHeight="1">
      <c r="B200" s="116"/>
      <c r="C200" s="76" t="s">
        <v>92</v>
      </c>
      <c r="D200" s="74">
        <v>5</v>
      </c>
      <c r="E200" s="75">
        <v>5.5604982206399996E-4</v>
      </c>
    </row>
    <row r="201" spans="2:5" ht="15" customHeight="1">
      <c r="B201" s="116"/>
      <c r="C201" s="76" t="s">
        <v>93</v>
      </c>
      <c r="D201" s="74">
        <v>2</v>
      </c>
      <c r="E201" s="75">
        <v>2.2241992882600001E-4</v>
      </c>
    </row>
    <row r="202" spans="2:5" ht="15" customHeight="1">
      <c r="B202" s="116"/>
      <c r="C202" s="76" t="s">
        <v>94</v>
      </c>
      <c r="D202" s="74">
        <v>3</v>
      </c>
      <c r="E202" s="75">
        <v>3.33629893238E-4</v>
      </c>
    </row>
    <row r="203" spans="2:5" ht="15" customHeight="1">
      <c r="B203" s="116"/>
      <c r="C203" s="76" t="s">
        <v>95</v>
      </c>
      <c r="D203" s="74">
        <v>15</v>
      </c>
      <c r="E203" s="75">
        <v>1.668149466192E-3</v>
      </c>
    </row>
    <row r="204" spans="2:5" ht="15" customHeight="1">
      <c r="B204" s="116"/>
      <c r="C204" s="76" t="s">
        <v>96</v>
      </c>
      <c r="D204" s="74">
        <v>23</v>
      </c>
      <c r="E204" s="75">
        <v>2.5578291814950002E-3</v>
      </c>
    </row>
    <row r="205" spans="2:5" ht="15" customHeight="1">
      <c r="B205" s="116"/>
      <c r="C205" s="76" t="s">
        <v>97</v>
      </c>
      <c r="D205" s="74">
        <v>2</v>
      </c>
      <c r="E205" s="75">
        <v>2.2241992882600001E-4</v>
      </c>
    </row>
    <row r="206" spans="2:5" ht="15" customHeight="1">
      <c r="B206" s="116"/>
      <c r="C206" s="76" t="s">
        <v>99</v>
      </c>
      <c r="D206" s="74">
        <v>17</v>
      </c>
      <c r="E206" s="75">
        <v>1.890569395018E-3</v>
      </c>
    </row>
    <row r="207" spans="2:5" ht="15" customHeight="1">
      <c r="B207" s="116"/>
      <c r="C207" s="76" t="s">
        <v>100</v>
      </c>
      <c r="D207" s="74">
        <v>44</v>
      </c>
      <c r="E207" s="75">
        <v>4.8932384341640002E-3</v>
      </c>
    </row>
    <row r="208" spans="2:5" ht="15" customHeight="1">
      <c r="B208" s="116"/>
      <c r="C208" s="76" t="s">
        <v>101</v>
      </c>
      <c r="D208" s="74">
        <v>6</v>
      </c>
      <c r="E208" s="75">
        <v>6.6725978647699997E-4</v>
      </c>
    </row>
    <row r="209" spans="2:5" ht="15" customHeight="1">
      <c r="B209" s="116"/>
      <c r="C209" s="76" t="s">
        <v>102</v>
      </c>
      <c r="D209" s="74">
        <v>7</v>
      </c>
      <c r="E209" s="75">
        <v>7.7846975088999998E-4</v>
      </c>
    </row>
    <row r="210" spans="2:5" ht="15" customHeight="1">
      <c r="B210" s="116"/>
      <c r="C210" s="76" t="s">
        <v>103</v>
      </c>
      <c r="D210" s="74">
        <v>19</v>
      </c>
      <c r="E210" s="75">
        <v>2.1129893238430002E-3</v>
      </c>
    </row>
    <row r="211" spans="2:5" ht="15" customHeight="1">
      <c r="B211" s="116"/>
      <c r="C211" s="76" t="s">
        <v>106</v>
      </c>
      <c r="D211" s="74">
        <v>1</v>
      </c>
      <c r="E211" s="75">
        <v>1.1120996441300001E-4</v>
      </c>
    </row>
    <row r="212" spans="2:5" ht="15" customHeight="1">
      <c r="B212" s="116"/>
      <c r="C212" s="76" t="s">
        <v>108</v>
      </c>
      <c r="D212" s="74">
        <v>3</v>
      </c>
      <c r="E212" s="75">
        <v>3.33629893238E-4</v>
      </c>
    </row>
    <row r="213" spans="2:5" ht="15" customHeight="1">
      <c r="B213" s="116"/>
      <c r="C213" s="76" t="s">
        <v>109</v>
      </c>
      <c r="D213" s="74">
        <v>4</v>
      </c>
      <c r="E213" s="75">
        <v>4.4483985765100001E-4</v>
      </c>
    </row>
    <row r="214" spans="2:5" ht="15" customHeight="1">
      <c r="B214" s="117"/>
      <c r="C214" s="79" t="s">
        <v>12</v>
      </c>
      <c r="D214" s="77">
        <v>153</v>
      </c>
      <c r="E214" s="80">
        <v>1.7015124555160001E-2</v>
      </c>
    </row>
    <row r="215" spans="2:5" ht="15" customHeight="1">
      <c r="B215" s="108" t="s">
        <v>128</v>
      </c>
      <c r="C215" s="76" t="s">
        <v>89</v>
      </c>
      <c r="D215" s="74">
        <v>7</v>
      </c>
      <c r="E215" s="75">
        <v>7.7846975088999998E-4</v>
      </c>
    </row>
    <row r="216" spans="2:5" ht="15" customHeight="1">
      <c r="B216" s="110"/>
      <c r="C216" s="76" t="s">
        <v>90</v>
      </c>
      <c r="D216" s="74">
        <v>1</v>
      </c>
      <c r="E216" s="75">
        <v>1.1120996441300001E-4</v>
      </c>
    </row>
    <row r="217" spans="2:5" ht="15" customHeight="1">
      <c r="B217" s="110"/>
      <c r="C217" s="76" t="s">
        <v>91</v>
      </c>
      <c r="D217" s="74">
        <v>4</v>
      </c>
      <c r="E217" s="75">
        <v>4.4483985765100001E-4</v>
      </c>
    </row>
    <row r="218" spans="2:5" ht="15" customHeight="1">
      <c r="B218" s="110"/>
      <c r="C218" s="76" t="s">
        <v>92</v>
      </c>
      <c r="D218" s="74">
        <v>5</v>
      </c>
      <c r="E218" s="75">
        <v>5.5604982206399996E-4</v>
      </c>
    </row>
    <row r="219" spans="2:5" ht="15" customHeight="1">
      <c r="B219" s="110"/>
      <c r="C219" s="76" t="s">
        <v>93</v>
      </c>
      <c r="D219" s="74">
        <v>7</v>
      </c>
      <c r="E219" s="75">
        <v>7.7846975088999998E-4</v>
      </c>
    </row>
    <row r="220" spans="2:5" ht="15" customHeight="1">
      <c r="B220" s="110"/>
      <c r="C220" s="76" t="s">
        <v>94</v>
      </c>
      <c r="D220" s="74">
        <v>10</v>
      </c>
      <c r="E220" s="75">
        <v>1.1120996441279999E-3</v>
      </c>
    </row>
    <row r="221" spans="2:5" ht="15" customHeight="1">
      <c r="B221" s="110"/>
      <c r="C221" s="76" t="s">
        <v>95</v>
      </c>
      <c r="D221" s="74">
        <v>51</v>
      </c>
      <c r="E221" s="75">
        <v>5.671708185053E-3</v>
      </c>
    </row>
    <row r="222" spans="2:5" ht="15" customHeight="1">
      <c r="B222" s="110"/>
      <c r="C222" s="76" t="s">
        <v>96</v>
      </c>
      <c r="D222" s="74">
        <v>56</v>
      </c>
      <c r="E222" s="75">
        <v>6.2277580071169996E-3</v>
      </c>
    </row>
    <row r="223" spans="2:5" ht="15" customHeight="1">
      <c r="B223" s="110"/>
      <c r="C223" s="76" t="s">
        <v>97</v>
      </c>
      <c r="D223" s="74">
        <v>2</v>
      </c>
      <c r="E223" s="75">
        <v>2.2241992882600001E-4</v>
      </c>
    </row>
    <row r="224" spans="2:5" ht="15" customHeight="1">
      <c r="B224" s="110"/>
      <c r="C224" s="76" t="s">
        <v>98</v>
      </c>
      <c r="D224" s="74">
        <v>11</v>
      </c>
      <c r="E224" s="75">
        <v>1.223309608541E-3</v>
      </c>
    </row>
    <row r="225" spans="2:5" ht="15" customHeight="1">
      <c r="B225" s="110"/>
      <c r="C225" s="76" t="s">
        <v>99</v>
      </c>
      <c r="D225" s="74">
        <v>40</v>
      </c>
      <c r="E225" s="75">
        <v>4.4483985765119997E-3</v>
      </c>
    </row>
    <row r="226" spans="2:5" ht="15" customHeight="1">
      <c r="B226" s="110"/>
      <c r="C226" s="76" t="s">
        <v>100</v>
      </c>
      <c r="D226" s="74">
        <v>190</v>
      </c>
      <c r="E226" s="75">
        <v>2.1129893238433999E-2</v>
      </c>
    </row>
    <row r="227" spans="2:5" ht="15" customHeight="1">
      <c r="B227" s="110"/>
      <c r="C227" s="76" t="s">
        <v>101</v>
      </c>
      <c r="D227" s="74">
        <v>8</v>
      </c>
      <c r="E227" s="75">
        <v>8.8967971530200002E-4</v>
      </c>
    </row>
    <row r="228" spans="2:5" ht="15" customHeight="1">
      <c r="B228" s="110"/>
      <c r="C228" s="76" t="s">
        <v>102</v>
      </c>
      <c r="D228" s="74">
        <v>32</v>
      </c>
      <c r="E228" s="75">
        <v>3.5587188612099998E-3</v>
      </c>
    </row>
    <row r="229" spans="2:5" ht="15" customHeight="1">
      <c r="B229" s="110"/>
      <c r="C229" s="76" t="s">
        <v>103</v>
      </c>
      <c r="D229" s="74">
        <v>116</v>
      </c>
      <c r="E229" s="75">
        <v>1.2900355871886E-2</v>
      </c>
    </row>
    <row r="230" spans="2:5" ht="15" customHeight="1">
      <c r="B230" s="110"/>
      <c r="C230" s="76" t="s">
        <v>104</v>
      </c>
      <c r="D230" s="74">
        <v>5</v>
      </c>
      <c r="E230" s="75">
        <v>5.5604982206399996E-4</v>
      </c>
    </row>
    <row r="231" spans="2:5" ht="15" customHeight="1">
      <c r="B231" s="110"/>
      <c r="C231" s="76" t="s">
        <v>105</v>
      </c>
      <c r="D231" s="74">
        <v>1</v>
      </c>
      <c r="E231" s="75">
        <v>1.1120996441300001E-4</v>
      </c>
    </row>
    <row r="232" spans="2:5" ht="15" customHeight="1">
      <c r="B232" s="110"/>
      <c r="C232" s="76" t="s">
        <v>107</v>
      </c>
      <c r="D232" s="74">
        <v>1</v>
      </c>
      <c r="E232" s="75">
        <v>1.1120996441300001E-4</v>
      </c>
    </row>
    <row r="233" spans="2:5" ht="15" customHeight="1">
      <c r="B233" s="110"/>
      <c r="C233" s="76" t="s">
        <v>108</v>
      </c>
      <c r="D233" s="74">
        <v>8</v>
      </c>
      <c r="E233" s="75">
        <v>8.8967971530200002E-4</v>
      </c>
    </row>
    <row r="234" spans="2:5" ht="15" customHeight="1">
      <c r="B234" s="110"/>
      <c r="C234" s="76" t="s">
        <v>109</v>
      </c>
      <c r="D234" s="74">
        <v>16</v>
      </c>
      <c r="E234" s="75">
        <v>1.7793594306049999E-3</v>
      </c>
    </row>
    <row r="235" spans="2:5" ht="15" customHeight="1">
      <c r="B235" s="110"/>
      <c r="C235" s="76" t="s">
        <v>111</v>
      </c>
      <c r="D235" s="74">
        <v>1</v>
      </c>
      <c r="E235" s="75">
        <v>1.1120996441300001E-4</v>
      </c>
    </row>
    <row r="236" spans="2:5" ht="15" customHeight="1">
      <c r="B236" s="109"/>
      <c r="C236" s="79" t="s">
        <v>12</v>
      </c>
      <c r="D236" s="77">
        <v>572</v>
      </c>
      <c r="E236" s="80">
        <v>6.3612099644128006E-2</v>
      </c>
    </row>
    <row r="237" spans="2:5" ht="15" customHeight="1">
      <c r="B237" s="108" t="s">
        <v>129</v>
      </c>
      <c r="C237" s="76" t="s">
        <v>92</v>
      </c>
      <c r="D237" s="74">
        <v>1</v>
      </c>
      <c r="E237" s="75">
        <v>1.1120996441300001E-4</v>
      </c>
    </row>
    <row r="238" spans="2:5" ht="15" customHeight="1">
      <c r="B238" s="110"/>
      <c r="C238" s="76" t="s">
        <v>93</v>
      </c>
      <c r="D238" s="74">
        <v>1</v>
      </c>
      <c r="E238" s="75">
        <v>1.1120996441300001E-4</v>
      </c>
    </row>
    <row r="239" spans="2:5" ht="15" customHeight="1">
      <c r="B239" s="110"/>
      <c r="C239" s="76" t="s">
        <v>95</v>
      </c>
      <c r="D239" s="74">
        <v>8</v>
      </c>
      <c r="E239" s="75">
        <v>8.8967971530200002E-4</v>
      </c>
    </row>
    <row r="240" spans="2:5" ht="15" customHeight="1">
      <c r="B240" s="110"/>
      <c r="C240" s="76" t="s">
        <v>96</v>
      </c>
      <c r="D240" s="74">
        <v>13</v>
      </c>
      <c r="E240" s="75">
        <v>1.4457295373670001E-3</v>
      </c>
    </row>
    <row r="241" spans="2:5" ht="15" customHeight="1">
      <c r="B241" s="110"/>
      <c r="C241" s="76" t="s">
        <v>97</v>
      </c>
      <c r="D241" s="74">
        <v>3</v>
      </c>
      <c r="E241" s="75">
        <v>3.33629893238E-4</v>
      </c>
    </row>
    <row r="242" spans="2:5" ht="15" customHeight="1">
      <c r="B242" s="110"/>
      <c r="C242" s="76" t="s">
        <v>98</v>
      </c>
      <c r="D242" s="74">
        <v>1</v>
      </c>
      <c r="E242" s="75">
        <v>1.1120996441300001E-4</v>
      </c>
    </row>
    <row r="243" spans="2:5" ht="15" customHeight="1">
      <c r="B243" s="110"/>
      <c r="C243" s="76" t="s">
        <v>99</v>
      </c>
      <c r="D243" s="74">
        <v>7</v>
      </c>
      <c r="E243" s="75">
        <v>7.7846975088999998E-4</v>
      </c>
    </row>
    <row r="244" spans="2:5" ht="15" customHeight="1">
      <c r="B244" s="110"/>
      <c r="C244" s="76" t="s">
        <v>100</v>
      </c>
      <c r="D244" s="74">
        <v>41</v>
      </c>
      <c r="E244" s="75">
        <v>4.5596085409249998E-3</v>
      </c>
    </row>
    <row r="245" spans="2:5" ht="15" customHeight="1">
      <c r="B245" s="110"/>
      <c r="C245" s="76" t="s">
        <v>102</v>
      </c>
      <c r="D245" s="74">
        <v>10</v>
      </c>
      <c r="E245" s="75">
        <v>1.1120996441279999E-3</v>
      </c>
    </row>
    <row r="246" spans="2:5" ht="15" customHeight="1">
      <c r="B246" s="110"/>
      <c r="C246" s="76" t="s">
        <v>103</v>
      </c>
      <c r="D246" s="74">
        <v>18</v>
      </c>
      <c r="E246" s="75">
        <v>2.0017793594310001E-3</v>
      </c>
    </row>
    <row r="247" spans="2:5" ht="15" customHeight="1">
      <c r="B247" s="110"/>
      <c r="C247" s="76" t="s">
        <v>108</v>
      </c>
      <c r="D247" s="74">
        <v>1</v>
      </c>
      <c r="E247" s="75">
        <v>1.1120996441300001E-4</v>
      </c>
    </row>
    <row r="248" spans="2:5" ht="15" customHeight="1">
      <c r="B248" s="110"/>
      <c r="C248" s="76" t="s">
        <v>109</v>
      </c>
      <c r="D248" s="74">
        <v>6</v>
      </c>
      <c r="E248" s="75">
        <v>6.6725978647699997E-4</v>
      </c>
    </row>
    <row r="249" spans="2:5" ht="15" customHeight="1">
      <c r="B249" s="109"/>
      <c r="C249" s="79" t="s">
        <v>12</v>
      </c>
      <c r="D249" s="77">
        <v>110</v>
      </c>
      <c r="E249" s="80">
        <v>1.2233096085409E-2</v>
      </c>
    </row>
    <row r="250" spans="2:5" ht="15" customHeight="1">
      <c r="B250" s="108" t="s">
        <v>130</v>
      </c>
      <c r="C250" s="76" t="s">
        <v>92</v>
      </c>
      <c r="D250" s="74">
        <v>2</v>
      </c>
      <c r="E250" s="75">
        <v>2.2241992882600001E-4</v>
      </c>
    </row>
    <row r="251" spans="2:5" ht="15" customHeight="1">
      <c r="B251" s="110"/>
      <c r="C251" s="76" t="s">
        <v>93</v>
      </c>
      <c r="D251" s="74">
        <v>5</v>
      </c>
      <c r="E251" s="75">
        <v>5.5604982206399996E-4</v>
      </c>
    </row>
    <row r="252" spans="2:5" ht="15" customHeight="1">
      <c r="B252" s="110"/>
      <c r="C252" s="76" t="s">
        <v>94</v>
      </c>
      <c r="D252" s="74">
        <v>3</v>
      </c>
      <c r="E252" s="75">
        <v>3.33629893238E-4</v>
      </c>
    </row>
    <row r="253" spans="2:5" ht="15" customHeight="1">
      <c r="B253" s="110"/>
      <c r="C253" s="76" t="s">
        <v>95</v>
      </c>
      <c r="D253" s="74">
        <v>4</v>
      </c>
      <c r="E253" s="75">
        <v>4.4483985765100001E-4</v>
      </c>
    </row>
    <row r="254" spans="2:5" ht="15" customHeight="1">
      <c r="B254" s="110"/>
      <c r="C254" s="76" t="s">
        <v>96</v>
      </c>
      <c r="D254" s="74">
        <v>15</v>
      </c>
      <c r="E254" s="75">
        <v>1.668149466192E-3</v>
      </c>
    </row>
    <row r="255" spans="2:5" ht="15" customHeight="1">
      <c r="B255" s="110"/>
      <c r="C255" s="76" t="s">
        <v>97</v>
      </c>
      <c r="D255" s="74">
        <v>3</v>
      </c>
      <c r="E255" s="75">
        <v>3.33629893238E-4</v>
      </c>
    </row>
    <row r="256" spans="2:5" ht="15" customHeight="1">
      <c r="B256" s="110"/>
      <c r="C256" s="76" t="s">
        <v>98</v>
      </c>
      <c r="D256" s="74">
        <v>7</v>
      </c>
      <c r="E256" s="75">
        <v>7.7846975088999998E-4</v>
      </c>
    </row>
    <row r="257" spans="2:5" ht="15" customHeight="1">
      <c r="B257" s="110"/>
      <c r="C257" s="76" t="s">
        <v>99</v>
      </c>
      <c r="D257" s="74">
        <v>5</v>
      </c>
      <c r="E257" s="75">
        <v>5.5604982206399996E-4</v>
      </c>
    </row>
    <row r="258" spans="2:5" ht="15" customHeight="1">
      <c r="B258" s="110"/>
      <c r="C258" s="76" t="s">
        <v>100</v>
      </c>
      <c r="D258" s="74">
        <v>43</v>
      </c>
      <c r="E258" s="75">
        <v>4.7820284697510001E-3</v>
      </c>
    </row>
    <row r="259" spans="2:5" ht="15" customHeight="1">
      <c r="B259" s="110"/>
      <c r="C259" s="76" t="s">
        <v>101</v>
      </c>
      <c r="D259" s="74">
        <v>1</v>
      </c>
      <c r="E259" s="75">
        <v>1.1120996441300001E-4</v>
      </c>
    </row>
    <row r="260" spans="2:5" ht="15" customHeight="1">
      <c r="B260" s="110"/>
      <c r="C260" s="76" t="s">
        <v>102</v>
      </c>
      <c r="D260" s="74">
        <v>13</v>
      </c>
      <c r="E260" s="75">
        <v>1.4457295373670001E-3</v>
      </c>
    </row>
    <row r="261" spans="2:5" ht="15" customHeight="1">
      <c r="B261" s="110"/>
      <c r="C261" s="76" t="s">
        <v>103</v>
      </c>
      <c r="D261" s="74">
        <v>23</v>
      </c>
      <c r="E261" s="75">
        <v>2.5578291814950002E-3</v>
      </c>
    </row>
    <row r="262" spans="2:5" ht="15" customHeight="1">
      <c r="B262" s="110"/>
      <c r="C262" s="76" t="s">
        <v>104</v>
      </c>
      <c r="D262" s="74">
        <v>1</v>
      </c>
      <c r="E262" s="75">
        <v>1.1120996441300001E-4</v>
      </c>
    </row>
    <row r="263" spans="2:5" ht="15" customHeight="1">
      <c r="B263" s="110"/>
      <c r="C263" s="76" t="s">
        <v>105</v>
      </c>
      <c r="D263" s="74">
        <v>1</v>
      </c>
      <c r="E263" s="75">
        <v>1.1120996441300001E-4</v>
      </c>
    </row>
    <row r="264" spans="2:5" ht="15" customHeight="1">
      <c r="B264" s="110"/>
      <c r="C264" s="76" t="s">
        <v>107</v>
      </c>
      <c r="D264" s="74">
        <v>1</v>
      </c>
      <c r="E264" s="75">
        <v>1.1120996441300001E-4</v>
      </c>
    </row>
    <row r="265" spans="2:5" ht="15" customHeight="1">
      <c r="B265" s="110"/>
      <c r="C265" s="76" t="s">
        <v>108</v>
      </c>
      <c r="D265" s="74">
        <v>2</v>
      </c>
      <c r="E265" s="75">
        <v>2.2241992882600001E-4</v>
      </c>
    </row>
    <row r="266" spans="2:5" ht="15" customHeight="1">
      <c r="B266" s="110"/>
      <c r="C266" s="76" t="s">
        <v>109</v>
      </c>
      <c r="D266" s="74">
        <v>4</v>
      </c>
      <c r="E266" s="75">
        <v>4.4483985765100001E-4</v>
      </c>
    </row>
    <row r="267" spans="2:5" ht="15" customHeight="1">
      <c r="B267" s="109"/>
      <c r="C267" s="79" t="s">
        <v>12</v>
      </c>
      <c r="D267" s="77">
        <v>133</v>
      </c>
      <c r="E267" s="80">
        <v>1.4790925266904001E-2</v>
      </c>
    </row>
    <row r="268" spans="2:5" ht="15" customHeight="1">
      <c r="B268" s="108" t="s">
        <v>131</v>
      </c>
      <c r="C268" s="76" t="s">
        <v>97</v>
      </c>
      <c r="D268" s="74">
        <v>1</v>
      </c>
      <c r="E268" s="75">
        <v>1.1120996441300001E-4</v>
      </c>
    </row>
    <row r="269" spans="2:5" ht="15" customHeight="1">
      <c r="B269" s="110"/>
      <c r="C269" s="76" t="s">
        <v>100</v>
      </c>
      <c r="D269" s="74">
        <v>3</v>
      </c>
      <c r="E269" s="75">
        <v>3.33629893238E-4</v>
      </c>
    </row>
    <row r="270" spans="2:5" ht="15" customHeight="1">
      <c r="B270" s="110"/>
      <c r="C270" s="76" t="s">
        <v>102</v>
      </c>
      <c r="D270" s="74">
        <v>1</v>
      </c>
      <c r="E270" s="75">
        <v>1.1120996441300001E-4</v>
      </c>
    </row>
    <row r="271" spans="2:5" ht="15" customHeight="1">
      <c r="B271" s="110"/>
      <c r="C271" s="76" t="s">
        <v>103</v>
      </c>
      <c r="D271" s="74">
        <v>2</v>
      </c>
      <c r="E271" s="75">
        <v>2.2241992882600001E-4</v>
      </c>
    </row>
    <row r="272" spans="2:5" ht="15" customHeight="1">
      <c r="B272" s="109"/>
      <c r="C272" s="79" t="s">
        <v>12</v>
      </c>
      <c r="D272" s="77">
        <v>7</v>
      </c>
      <c r="E272" s="80">
        <v>7.7846975088999998E-4</v>
      </c>
    </row>
    <row r="273" spans="2:5" ht="15" customHeight="1">
      <c r="B273" s="108" t="s">
        <v>132</v>
      </c>
      <c r="C273" s="76" t="s">
        <v>89</v>
      </c>
      <c r="D273" s="74">
        <v>1</v>
      </c>
      <c r="E273" s="75">
        <v>1.1120996441300001E-4</v>
      </c>
    </row>
    <row r="274" spans="2:5" ht="15" customHeight="1">
      <c r="B274" s="110"/>
      <c r="C274" s="76" t="s">
        <v>90</v>
      </c>
      <c r="D274" s="74">
        <v>1</v>
      </c>
      <c r="E274" s="75">
        <v>1.1120996441300001E-4</v>
      </c>
    </row>
    <row r="275" spans="2:5" ht="15" customHeight="1">
      <c r="B275" s="110"/>
      <c r="C275" s="76" t="s">
        <v>91</v>
      </c>
      <c r="D275" s="74">
        <v>3</v>
      </c>
      <c r="E275" s="75">
        <v>3.33629893238E-4</v>
      </c>
    </row>
    <row r="276" spans="2:5" ht="15" customHeight="1">
      <c r="B276" s="110"/>
      <c r="C276" s="76" t="s">
        <v>92</v>
      </c>
      <c r="D276" s="74">
        <v>2</v>
      </c>
      <c r="E276" s="75">
        <v>2.2241992882600001E-4</v>
      </c>
    </row>
    <row r="277" spans="2:5" ht="15" customHeight="1">
      <c r="B277" s="110"/>
      <c r="C277" s="76" t="s">
        <v>94</v>
      </c>
      <c r="D277" s="74">
        <v>3</v>
      </c>
      <c r="E277" s="75">
        <v>3.33629893238E-4</v>
      </c>
    </row>
    <row r="278" spans="2:5" ht="15" customHeight="1">
      <c r="B278" s="110"/>
      <c r="C278" s="76" t="s">
        <v>95</v>
      </c>
      <c r="D278" s="74">
        <v>14</v>
      </c>
      <c r="E278" s="75">
        <v>1.5569395017790001E-3</v>
      </c>
    </row>
    <row r="279" spans="2:5" ht="15" customHeight="1">
      <c r="B279" s="110"/>
      <c r="C279" s="76" t="s">
        <v>96</v>
      </c>
      <c r="D279" s="74">
        <v>16</v>
      </c>
      <c r="E279" s="75">
        <v>1.7793594306049999E-3</v>
      </c>
    </row>
    <row r="280" spans="2:5" ht="15" customHeight="1">
      <c r="B280" s="110"/>
      <c r="C280" s="76" t="s">
        <v>97</v>
      </c>
      <c r="D280" s="74">
        <v>1</v>
      </c>
      <c r="E280" s="75">
        <v>1.1120996441300001E-4</v>
      </c>
    </row>
    <row r="281" spans="2:5" ht="15" customHeight="1">
      <c r="B281" s="110"/>
      <c r="C281" s="76" t="s">
        <v>98</v>
      </c>
      <c r="D281" s="74">
        <v>1</v>
      </c>
      <c r="E281" s="75">
        <v>1.1120996441300001E-4</v>
      </c>
    </row>
    <row r="282" spans="2:5" ht="15" customHeight="1">
      <c r="B282" s="110"/>
      <c r="C282" s="76" t="s">
        <v>99</v>
      </c>
      <c r="D282" s="74">
        <v>11</v>
      </c>
      <c r="E282" s="75">
        <v>1.223309608541E-3</v>
      </c>
    </row>
    <row r="283" spans="2:5" ht="15" customHeight="1">
      <c r="B283" s="110"/>
      <c r="C283" s="76" t="s">
        <v>100</v>
      </c>
      <c r="D283" s="74">
        <v>30</v>
      </c>
      <c r="E283" s="75">
        <v>3.336298932384E-3</v>
      </c>
    </row>
    <row r="284" spans="2:5" ht="15" customHeight="1">
      <c r="B284" s="110"/>
      <c r="C284" s="76" t="s">
        <v>101</v>
      </c>
      <c r="D284" s="74">
        <v>5</v>
      </c>
      <c r="E284" s="75">
        <v>5.5604982206399996E-4</v>
      </c>
    </row>
    <row r="285" spans="2:5" ht="15" customHeight="1">
      <c r="B285" s="110"/>
      <c r="C285" s="76" t="s">
        <v>102</v>
      </c>
      <c r="D285" s="74">
        <v>9</v>
      </c>
      <c r="E285" s="75">
        <v>1.000889679715E-3</v>
      </c>
    </row>
    <row r="286" spans="2:5" ht="15" customHeight="1">
      <c r="B286" s="110"/>
      <c r="C286" s="76" t="s">
        <v>103</v>
      </c>
      <c r="D286" s="74">
        <v>35</v>
      </c>
      <c r="E286" s="75">
        <v>3.8923487544480001E-3</v>
      </c>
    </row>
    <row r="287" spans="2:5" ht="15" customHeight="1">
      <c r="B287" s="110"/>
      <c r="C287" s="76" t="s">
        <v>109</v>
      </c>
      <c r="D287" s="74">
        <v>3</v>
      </c>
      <c r="E287" s="75">
        <v>3.33629893238E-4</v>
      </c>
    </row>
    <row r="288" spans="2:5" ht="15" customHeight="1">
      <c r="B288" s="109"/>
      <c r="C288" s="79" t="s">
        <v>12</v>
      </c>
      <c r="D288" s="77">
        <v>135</v>
      </c>
      <c r="E288" s="80">
        <v>1.5013345195730001E-2</v>
      </c>
    </row>
    <row r="289" spans="2:5" ht="15" customHeight="1">
      <c r="B289" s="108" t="s">
        <v>133</v>
      </c>
      <c r="C289" s="76" t="s">
        <v>89</v>
      </c>
      <c r="D289" s="74">
        <v>1</v>
      </c>
      <c r="E289" s="75">
        <v>1.1120996441300001E-4</v>
      </c>
    </row>
    <row r="290" spans="2:5" ht="15" customHeight="1">
      <c r="B290" s="110"/>
      <c r="C290" s="76" t="s">
        <v>91</v>
      </c>
      <c r="D290" s="74">
        <v>2</v>
      </c>
      <c r="E290" s="75">
        <v>2.2241992882600001E-4</v>
      </c>
    </row>
    <row r="291" spans="2:5" ht="15" customHeight="1">
      <c r="B291" s="110"/>
      <c r="C291" s="76" t="s">
        <v>92</v>
      </c>
      <c r="D291" s="74">
        <v>2</v>
      </c>
      <c r="E291" s="75">
        <v>2.2241992882600001E-4</v>
      </c>
    </row>
    <row r="292" spans="2:5" ht="15" customHeight="1">
      <c r="B292" s="110"/>
      <c r="C292" s="76" t="s">
        <v>93</v>
      </c>
      <c r="D292" s="74">
        <v>2</v>
      </c>
      <c r="E292" s="75">
        <v>2.2241992882600001E-4</v>
      </c>
    </row>
    <row r="293" spans="2:5" ht="15" customHeight="1">
      <c r="B293" s="110"/>
      <c r="C293" s="76" t="s">
        <v>94</v>
      </c>
      <c r="D293" s="74">
        <v>2</v>
      </c>
      <c r="E293" s="75">
        <v>2.2241992882600001E-4</v>
      </c>
    </row>
    <row r="294" spans="2:5" ht="15" customHeight="1">
      <c r="B294" s="110"/>
      <c r="C294" s="76" t="s">
        <v>95</v>
      </c>
      <c r="D294" s="74">
        <v>16</v>
      </c>
      <c r="E294" s="75">
        <v>1.7793594306049999E-3</v>
      </c>
    </row>
    <row r="295" spans="2:5" ht="15" customHeight="1">
      <c r="B295" s="110"/>
      <c r="C295" s="76" t="s">
        <v>96</v>
      </c>
      <c r="D295" s="74">
        <v>32</v>
      </c>
      <c r="E295" s="75">
        <v>3.5587188612099998E-3</v>
      </c>
    </row>
    <row r="296" spans="2:5" ht="15" customHeight="1">
      <c r="B296" s="110"/>
      <c r="C296" s="76" t="s">
        <v>97</v>
      </c>
      <c r="D296" s="74">
        <v>3</v>
      </c>
      <c r="E296" s="75">
        <v>3.33629893238E-4</v>
      </c>
    </row>
    <row r="297" spans="2:5" ht="15" customHeight="1">
      <c r="B297" s="110"/>
      <c r="C297" s="76" t="s">
        <v>98</v>
      </c>
      <c r="D297" s="74">
        <v>8</v>
      </c>
      <c r="E297" s="75">
        <v>8.8967971530200002E-4</v>
      </c>
    </row>
    <row r="298" spans="2:5" ht="15" customHeight="1">
      <c r="B298" s="110"/>
      <c r="C298" s="76" t="s">
        <v>99</v>
      </c>
      <c r="D298" s="74">
        <v>19</v>
      </c>
      <c r="E298" s="75">
        <v>2.1129893238430002E-3</v>
      </c>
    </row>
    <row r="299" spans="2:5" ht="15" customHeight="1">
      <c r="B299" s="110"/>
      <c r="C299" s="76" t="s">
        <v>100</v>
      </c>
      <c r="D299" s="74">
        <v>109</v>
      </c>
      <c r="E299" s="75">
        <v>1.2121886120996E-2</v>
      </c>
    </row>
    <row r="300" spans="2:5" ht="15" customHeight="1">
      <c r="B300" s="110"/>
      <c r="C300" s="76" t="s">
        <v>101</v>
      </c>
      <c r="D300" s="74">
        <v>1</v>
      </c>
      <c r="E300" s="75">
        <v>1.1120996441300001E-4</v>
      </c>
    </row>
    <row r="301" spans="2:5" ht="15" customHeight="1">
      <c r="B301" s="110"/>
      <c r="C301" s="76" t="s">
        <v>102</v>
      </c>
      <c r="D301" s="74">
        <v>23</v>
      </c>
      <c r="E301" s="75">
        <v>2.5578291814950002E-3</v>
      </c>
    </row>
    <row r="302" spans="2:5" ht="15" customHeight="1">
      <c r="B302" s="110"/>
      <c r="C302" s="76" t="s">
        <v>103</v>
      </c>
      <c r="D302" s="74">
        <v>64</v>
      </c>
      <c r="E302" s="75">
        <v>7.1174377224199996E-3</v>
      </c>
    </row>
    <row r="303" spans="2:5" ht="15" customHeight="1">
      <c r="B303" s="110"/>
      <c r="C303" s="76" t="s">
        <v>104</v>
      </c>
      <c r="D303" s="74">
        <v>1</v>
      </c>
      <c r="E303" s="75">
        <v>1.1120996441300001E-4</v>
      </c>
    </row>
    <row r="304" spans="2:5" ht="15" customHeight="1">
      <c r="B304" s="110"/>
      <c r="C304" s="76" t="s">
        <v>105</v>
      </c>
      <c r="D304" s="74">
        <v>1</v>
      </c>
      <c r="E304" s="75">
        <v>1.1120996441300001E-4</v>
      </c>
    </row>
    <row r="305" spans="2:5" ht="15" customHeight="1">
      <c r="B305" s="110"/>
      <c r="C305" s="76" t="s">
        <v>108</v>
      </c>
      <c r="D305" s="74">
        <v>3</v>
      </c>
      <c r="E305" s="75">
        <v>3.33629893238E-4</v>
      </c>
    </row>
    <row r="306" spans="2:5" ht="15" customHeight="1">
      <c r="B306" s="110"/>
      <c r="C306" s="76" t="s">
        <v>109</v>
      </c>
      <c r="D306" s="74">
        <v>7</v>
      </c>
      <c r="E306" s="75">
        <v>7.7846975088999998E-4</v>
      </c>
    </row>
    <row r="307" spans="2:5" ht="15" customHeight="1">
      <c r="B307" s="110"/>
      <c r="C307" s="76" t="s">
        <v>110</v>
      </c>
      <c r="D307" s="74">
        <v>3</v>
      </c>
      <c r="E307" s="75">
        <v>3.33629893238E-4</v>
      </c>
    </row>
    <row r="308" spans="2:5" ht="15" customHeight="1">
      <c r="B308" s="109"/>
      <c r="C308" s="79" t="s">
        <v>12</v>
      </c>
      <c r="D308" s="77">
        <v>299</v>
      </c>
      <c r="E308" s="80">
        <v>3.3251779359431001E-2</v>
      </c>
    </row>
    <row r="309" spans="2:5" ht="15" customHeight="1">
      <c r="B309" s="108" t="s">
        <v>134</v>
      </c>
      <c r="C309" s="76" t="s">
        <v>89</v>
      </c>
      <c r="D309" s="74">
        <v>8</v>
      </c>
      <c r="E309" s="75">
        <v>8.8967971530200002E-4</v>
      </c>
    </row>
    <row r="310" spans="2:5" ht="15" customHeight="1">
      <c r="B310" s="110"/>
      <c r="C310" s="76" t="s">
        <v>90</v>
      </c>
      <c r="D310" s="74">
        <v>2</v>
      </c>
      <c r="E310" s="75">
        <v>2.2241992882600001E-4</v>
      </c>
    </row>
    <row r="311" spans="2:5" ht="15" customHeight="1">
      <c r="B311" s="110"/>
      <c r="C311" s="76" t="s">
        <v>91</v>
      </c>
      <c r="D311" s="74">
        <v>5</v>
      </c>
      <c r="E311" s="75">
        <v>5.5604982206399996E-4</v>
      </c>
    </row>
    <row r="312" spans="2:5" ht="15" customHeight="1">
      <c r="B312" s="110"/>
      <c r="C312" s="76" t="s">
        <v>92</v>
      </c>
      <c r="D312" s="74">
        <v>2</v>
      </c>
      <c r="E312" s="75">
        <v>2.2241992882600001E-4</v>
      </c>
    </row>
    <row r="313" spans="2:5" ht="15" customHeight="1">
      <c r="B313" s="110"/>
      <c r="C313" s="76" t="s">
        <v>93</v>
      </c>
      <c r="D313" s="74">
        <v>1</v>
      </c>
      <c r="E313" s="75">
        <v>1.1120996441300001E-4</v>
      </c>
    </row>
    <row r="314" spans="2:5" ht="15" customHeight="1">
      <c r="B314" s="110"/>
      <c r="C314" s="76" t="s">
        <v>94</v>
      </c>
      <c r="D314" s="74">
        <v>9</v>
      </c>
      <c r="E314" s="75">
        <v>1.000889679715E-3</v>
      </c>
    </row>
    <row r="315" spans="2:5" ht="15" customHeight="1">
      <c r="B315" s="110"/>
      <c r="C315" s="76" t="s">
        <v>95</v>
      </c>
      <c r="D315" s="74">
        <v>57</v>
      </c>
      <c r="E315" s="75">
        <v>6.3389679715299997E-3</v>
      </c>
    </row>
    <row r="316" spans="2:5" ht="15" customHeight="1">
      <c r="B316" s="110"/>
      <c r="C316" s="76" t="s">
        <v>96</v>
      </c>
      <c r="D316" s="74">
        <v>77</v>
      </c>
      <c r="E316" s="75">
        <v>8.563167259786E-3</v>
      </c>
    </row>
    <row r="317" spans="2:5" ht="15" customHeight="1">
      <c r="B317" s="110"/>
      <c r="C317" s="76" t="s">
        <v>97</v>
      </c>
      <c r="D317" s="74">
        <v>5</v>
      </c>
      <c r="E317" s="75">
        <v>5.5604982206399996E-4</v>
      </c>
    </row>
    <row r="318" spans="2:5" ht="15" customHeight="1">
      <c r="B318" s="110"/>
      <c r="C318" s="76" t="s">
        <v>98</v>
      </c>
      <c r="D318" s="74">
        <v>8</v>
      </c>
      <c r="E318" s="75">
        <v>8.8967971530200002E-4</v>
      </c>
    </row>
    <row r="319" spans="2:5" ht="15" customHeight="1">
      <c r="B319" s="110"/>
      <c r="C319" s="76" t="s">
        <v>99</v>
      </c>
      <c r="D319" s="74">
        <v>40</v>
      </c>
      <c r="E319" s="75">
        <v>4.4483985765119997E-3</v>
      </c>
    </row>
    <row r="320" spans="2:5" ht="15" customHeight="1">
      <c r="B320" s="110"/>
      <c r="C320" s="76" t="s">
        <v>100</v>
      </c>
      <c r="D320" s="74">
        <v>218</v>
      </c>
      <c r="E320" s="75">
        <v>2.4243772241992999E-2</v>
      </c>
    </row>
    <row r="321" spans="2:5" ht="15" customHeight="1">
      <c r="B321" s="110"/>
      <c r="C321" s="76" t="s">
        <v>101</v>
      </c>
      <c r="D321" s="74">
        <v>4</v>
      </c>
      <c r="E321" s="75">
        <v>4.4483985765100001E-4</v>
      </c>
    </row>
    <row r="322" spans="2:5" ht="15" customHeight="1">
      <c r="B322" s="110"/>
      <c r="C322" s="76" t="s">
        <v>102</v>
      </c>
      <c r="D322" s="74">
        <v>27</v>
      </c>
      <c r="E322" s="75">
        <v>3.0026690391460002E-3</v>
      </c>
    </row>
    <row r="323" spans="2:5" ht="15" customHeight="1">
      <c r="B323" s="110"/>
      <c r="C323" s="76" t="s">
        <v>103</v>
      </c>
      <c r="D323" s="74">
        <v>137</v>
      </c>
      <c r="E323" s="75">
        <v>1.5235765124555E-2</v>
      </c>
    </row>
    <row r="324" spans="2:5" ht="15" customHeight="1">
      <c r="B324" s="110"/>
      <c r="C324" s="76" t="s">
        <v>104</v>
      </c>
      <c r="D324" s="74">
        <v>4</v>
      </c>
      <c r="E324" s="75">
        <v>4.4483985765100001E-4</v>
      </c>
    </row>
    <row r="325" spans="2:5" ht="15" customHeight="1">
      <c r="B325" s="110"/>
      <c r="C325" s="76" t="s">
        <v>105</v>
      </c>
      <c r="D325" s="74">
        <v>1</v>
      </c>
      <c r="E325" s="75">
        <v>1.1120996441300001E-4</v>
      </c>
    </row>
    <row r="326" spans="2:5" ht="15" customHeight="1">
      <c r="B326" s="110"/>
      <c r="C326" s="76" t="s">
        <v>106</v>
      </c>
      <c r="D326" s="74">
        <v>3</v>
      </c>
      <c r="E326" s="75">
        <v>3.33629893238E-4</v>
      </c>
    </row>
    <row r="327" spans="2:5" ht="15" customHeight="1">
      <c r="B327" s="110"/>
      <c r="C327" s="76" t="s">
        <v>107</v>
      </c>
      <c r="D327" s="74">
        <v>1</v>
      </c>
      <c r="E327" s="75">
        <v>1.1120996441300001E-4</v>
      </c>
    </row>
    <row r="328" spans="2:5" ht="15" customHeight="1">
      <c r="B328" s="110"/>
      <c r="C328" s="76" t="s">
        <v>108</v>
      </c>
      <c r="D328" s="74">
        <v>8</v>
      </c>
      <c r="E328" s="75">
        <v>8.8967971530200002E-4</v>
      </c>
    </row>
    <row r="329" spans="2:5" ht="15" customHeight="1">
      <c r="B329" s="110"/>
      <c r="C329" s="76" t="s">
        <v>109</v>
      </c>
      <c r="D329" s="74">
        <v>20</v>
      </c>
      <c r="E329" s="75">
        <v>2.2241992882559999E-3</v>
      </c>
    </row>
    <row r="330" spans="2:5" ht="15" customHeight="1">
      <c r="B330" s="110"/>
      <c r="C330" s="76" t="s">
        <v>111</v>
      </c>
      <c r="D330" s="74">
        <v>1</v>
      </c>
      <c r="E330" s="75">
        <v>1.1120996441300001E-4</v>
      </c>
    </row>
    <row r="331" spans="2:5" ht="15" customHeight="1">
      <c r="B331" s="109"/>
      <c r="C331" s="79" t="s">
        <v>12</v>
      </c>
      <c r="D331" s="77">
        <v>638</v>
      </c>
      <c r="E331" s="80">
        <v>7.0951957295373999E-2</v>
      </c>
    </row>
    <row r="332" spans="2:5" ht="15" customHeight="1">
      <c r="B332" s="108" t="s">
        <v>135</v>
      </c>
      <c r="C332" s="76" t="s">
        <v>91</v>
      </c>
      <c r="D332" s="74">
        <v>1</v>
      </c>
      <c r="E332" s="75">
        <v>1.1120996441300001E-4</v>
      </c>
    </row>
    <row r="333" spans="2:5" ht="15" customHeight="1">
      <c r="B333" s="110"/>
      <c r="C333" s="76" t="s">
        <v>92</v>
      </c>
      <c r="D333" s="74">
        <v>1</v>
      </c>
      <c r="E333" s="75">
        <v>1.1120996441300001E-4</v>
      </c>
    </row>
    <row r="334" spans="2:5" ht="15" customHeight="1">
      <c r="B334" s="110"/>
      <c r="C334" s="76" t="s">
        <v>93</v>
      </c>
      <c r="D334" s="74">
        <v>2</v>
      </c>
      <c r="E334" s="75">
        <v>2.2241992882600001E-4</v>
      </c>
    </row>
    <row r="335" spans="2:5" ht="15" customHeight="1">
      <c r="B335" s="110"/>
      <c r="C335" s="76" t="s">
        <v>94</v>
      </c>
      <c r="D335" s="74">
        <v>1</v>
      </c>
      <c r="E335" s="75">
        <v>1.1120996441300001E-4</v>
      </c>
    </row>
    <row r="336" spans="2:5" ht="15" customHeight="1">
      <c r="B336" s="110"/>
      <c r="C336" s="76" t="s">
        <v>95</v>
      </c>
      <c r="D336" s="74">
        <v>5</v>
      </c>
      <c r="E336" s="75">
        <v>5.5604982206399996E-4</v>
      </c>
    </row>
    <row r="337" spans="2:5" ht="15" customHeight="1">
      <c r="B337" s="110"/>
      <c r="C337" s="76" t="s">
        <v>96</v>
      </c>
      <c r="D337" s="74">
        <v>4</v>
      </c>
      <c r="E337" s="75">
        <v>4.4483985765100001E-4</v>
      </c>
    </row>
    <row r="338" spans="2:5" ht="15" customHeight="1">
      <c r="B338" s="110"/>
      <c r="C338" s="76" t="s">
        <v>97</v>
      </c>
      <c r="D338" s="74">
        <v>3</v>
      </c>
      <c r="E338" s="75">
        <v>3.33629893238E-4</v>
      </c>
    </row>
    <row r="339" spans="2:5" ht="15" customHeight="1">
      <c r="B339" s="110"/>
      <c r="C339" s="76" t="s">
        <v>98</v>
      </c>
      <c r="D339" s="74">
        <v>1</v>
      </c>
      <c r="E339" s="75">
        <v>1.1120996441300001E-4</v>
      </c>
    </row>
    <row r="340" spans="2:5" ht="15" customHeight="1">
      <c r="B340" s="110"/>
      <c r="C340" s="76" t="s">
        <v>99</v>
      </c>
      <c r="D340" s="74">
        <v>3</v>
      </c>
      <c r="E340" s="75">
        <v>3.33629893238E-4</v>
      </c>
    </row>
    <row r="341" spans="2:5" ht="15" customHeight="1">
      <c r="B341" s="110"/>
      <c r="C341" s="76" t="s">
        <v>100</v>
      </c>
      <c r="D341" s="74">
        <v>14</v>
      </c>
      <c r="E341" s="75">
        <v>1.5569395017790001E-3</v>
      </c>
    </row>
    <row r="342" spans="2:5" ht="15" customHeight="1">
      <c r="B342" s="110"/>
      <c r="C342" s="76" t="s">
        <v>101</v>
      </c>
      <c r="D342" s="74">
        <v>1</v>
      </c>
      <c r="E342" s="75">
        <v>1.1120996441300001E-4</v>
      </c>
    </row>
    <row r="343" spans="2:5" ht="15" customHeight="1">
      <c r="B343" s="110"/>
      <c r="C343" s="76" t="s">
        <v>102</v>
      </c>
      <c r="D343" s="74">
        <v>4</v>
      </c>
      <c r="E343" s="75">
        <v>4.4483985765100001E-4</v>
      </c>
    </row>
    <row r="344" spans="2:5" ht="15" customHeight="1">
      <c r="B344" s="110"/>
      <c r="C344" s="76" t="s">
        <v>103</v>
      </c>
      <c r="D344" s="74">
        <v>9</v>
      </c>
      <c r="E344" s="75">
        <v>1.000889679715E-3</v>
      </c>
    </row>
    <row r="345" spans="2:5" ht="15" customHeight="1">
      <c r="B345" s="110"/>
      <c r="C345" s="76" t="s">
        <v>104</v>
      </c>
      <c r="D345" s="74">
        <v>1</v>
      </c>
      <c r="E345" s="75">
        <v>1.1120996441300001E-4</v>
      </c>
    </row>
    <row r="346" spans="2:5" ht="15" customHeight="1">
      <c r="B346" s="110"/>
      <c r="C346" s="76" t="s">
        <v>105</v>
      </c>
      <c r="D346" s="74">
        <v>1</v>
      </c>
      <c r="E346" s="75">
        <v>1.1120996441300001E-4</v>
      </c>
    </row>
    <row r="347" spans="2:5" ht="15" customHeight="1">
      <c r="B347" s="110"/>
      <c r="C347" s="76" t="s">
        <v>107</v>
      </c>
      <c r="D347" s="74">
        <v>1</v>
      </c>
      <c r="E347" s="75">
        <v>1.1120996441300001E-4</v>
      </c>
    </row>
    <row r="348" spans="2:5" ht="15" customHeight="1">
      <c r="B348" s="110"/>
      <c r="C348" s="76" t="s">
        <v>109</v>
      </c>
      <c r="D348" s="74">
        <v>2</v>
      </c>
      <c r="E348" s="75">
        <v>2.2241992882600001E-4</v>
      </c>
    </row>
    <row r="349" spans="2:5" ht="15" customHeight="1">
      <c r="B349" s="109"/>
      <c r="C349" s="79" t="s">
        <v>12</v>
      </c>
      <c r="D349" s="77">
        <v>54</v>
      </c>
      <c r="E349" s="80">
        <v>6.0053380782920003E-3</v>
      </c>
    </row>
    <row r="350" spans="2:5" ht="15" customHeight="1">
      <c r="B350" s="108" t="s">
        <v>136</v>
      </c>
      <c r="C350" s="76" t="s">
        <v>95</v>
      </c>
      <c r="D350" s="74">
        <v>4</v>
      </c>
      <c r="E350" s="75">
        <v>4.4483985765100001E-4</v>
      </c>
    </row>
    <row r="351" spans="2:5" ht="15" customHeight="1">
      <c r="B351" s="110"/>
      <c r="C351" s="76" t="s">
        <v>96</v>
      </c>
      <c r="D351" s="74">
        <v>10</v>
      </c>
      <c r="E351" s="75">
        <v>1.1120996441279999E-3</v>
      </c>
    </row>
    <row r="352" spans="2:5" ht="15" customHeight="1">
      <c r="B352" s="110"/>
      <c r="C352" s="76" t="s">
        <v>97</v>
      </c>
      <c r="D352" s="74">
        <v>1</v>
      </c>
      <c r="E352" s="75">
        <v>1.1120996441300001E-4</v>
      </c>
    </row>
    <row r="353" spans="2:5" ht="15" customHeight="1">
      <c r="B353" s="110"/>
      <c r="C353" s="76" t="s">
        <v>98</v>
      </c>
      <c r="D353" s="74">
        <v>2</v>
      </c>
      <c r="E353" s="75">
        <v>2.2241992882600001E-4</v>
      </c>
    </row>
    <row r="354" spans="2:5" ht="15" customHeight="1">
      <c r="B354" s="110"/>
      <c r="C354" s="76" t="s">
        <v>99</v>
      </c>
      <c r="D354" s="74">
        <v>5</v>
      </c>
      <c r="E354" s="75">
        <v>5.5604982206399996E-4</v>
      </c>
    </row>
    <row r="355" spans="2:5" ht="15" customHeight="1">
      <c r="B355" s="110"/>
      <c r="C355" s="76" t="s">
        <v>100</v>
      </c>
      <c r="D355" s="74">
        <v>27</v>
      </c>
      <c r="E355" s="75">
        <v>3.0026690391460002E-3</v>
      </c>
    </row>
    <row r="356" spans="2:5" ht="15" customHeight="1">
      <c r="B356" s="110"/>
      <c r="C356" s="76" t="s">
        <v>101</v>
      </c>
      <c r="D356" s="74">
        <v>2</v>
      </c>
      <c r="E356" s="75">
        <v>2.2241992882600001E-4</v>
      </c>
    </row>
    <row r="357" spans="2:5" ht="15" customHeight="1">
      <c r="B357" s="110"/>
      <c r="C357" s="76" t="s">
        <v>102</v>
      </c>
      <c r="D357" s="74">
        <v>6</v>
      </c>
      <c r="E357" s="75">
        <v>6.6725978647699997E-4</v>
      </c>
    </row>
    <row r="358" spans="2:5" ht="15" customHeight="1">
      <c r="B358" s="110"/>
      <c r="C358" s="76" t="s">
        <v>103</v>
      </c>
      <c r="D358" s="74">
        <v>12</v>
      </c>
      <c r="E358" s="75">
        <v>1.3345195729539999E-3</v>
      </c>
    </row>
    <row r="359" spans="2:5" ht="15" customHeight="1">
      <c r="B359" s="110"/>
      <c r="C359" s="76" t="s">
        <v>109</v>
      </c>
      <c r="D359" s="74">
        <v>4</v>
      </c>
      <c r="E359" s="75">
        <v>4.4483985765100001E-4</v>
      </c>
    </row>
    <row r="360" spans="2:5" ht="15" customHeight="1">
      <c r="B360" s="109"/>
      <c r="C360" s="79" t="s">
        <v>12</v>
      </c>
      <c r="D360" s="77">
        <v>73</v>
      </c>
      <c r="E360" s="80">
        <v>8.1183274021350005E-3</v>
      </c>
    </row>
    <row r="361" spans="2:5" ht="15" customHeight="1">
      <c r="B361" s="108" t="s">
        <v>137</v>
      </c>
      <c r="C361" s="76" t="s">
        <v>91</v>
      </c>
      <c r="D361" s="74">
        <v>1</v>
      </c>
      <c r="E361" s="75">
        <v>1.1120996441300001E-4</v>
      </c>
    </row>
    <row r="362" spans="2:5" ht="15" customHeight="1">
      <c r="B362" s="110"/>
      <c r="C362" s="76" t="s">
        <v>93</v>
      </c>
      <c r="D362" s="74">
        <v>1</v>
      </c>
      <c r="E362" s="75">
        <v>1.1120996441300001E-4</v>
      </c>
    </row>
    <row r="363" spans="2:5" ht="15" customHeight="1">
      <c r="B363" s="110"/>
      <c r="C363" s="76" t="s">
        <v>95</v>
      </c>
      <c r="D363" s="74">
        <v>1</v>
      </c>
      <c r="E363" s="75">
        <v>1.1120996441300001E-4</v>
      </c>
    </row>
    <row r="364" spans="2:5" ht="15" customHeight="1">
      <c r="B364" s="110"/>
      <c r="C364" s="76" t="s">
        <v>96</v>
      </c>
      <c r="D364" s="74">
        <v>3</v>
      </c>
      <c r="E364" s="75">
        <v>3.33629893238E-4</v>
      </c>
    </row>
    <row r="365" spans="2:5" ht="15" customHeight="1">
      <c r="B365" s="110"/>
      <c r="C365" s="76" t="s">
        <v>99</v>
      </c>
      <c r="D365" s="74">
        <v>1</v>
      </c>
      <c r="E365" s="75">
        <v>1.1120996441300001E-4</v>
      </c>
    </row>
    <row r="366" spans="2:5" ht="15" customHeight="1">
      <c r="B366" s="110"/>
      <c r="C366" s="76" t="s">
        <v>100</v>
      </c>
      <c r="D366" s="74">
        <v>9</v>
      </c>
      <c r="E366" s="75">
        <v>1.000889679715E-3</v>
      </c>
    </row>
    <row r="367" spans="2:5" ht="15" customHeight="1">
      <c r="B367" s="110"/>
      <c r="C367" s="76" t="s">
        <v>102</v>
      </c>
      <c r="D367" s="74">
        <v>1</v>
      </c>
      <c r="E367" s="75">
        <v>1.1120996441300001E-4</v>
      </c>
    </row>
    <row r="368" spans="2:5" ht="15" customHeight="1">
      <c r="B368" s="110"/>
      <c r="C368" s="76" t="s">
        <v>103</v>
      </c>
      <c r="D368" s="74">
        <v>6</v>
      </c>
      <c r="E368" s="75">
        <v>6.6725978647699997E-4</v>
      </c>
    </row>
    <row r="369" spans="2:5" ht="15" customHeight="1">
      <c r="B369" s="110"/>
      <c r="C369" s="76" t="s">
        <v>108</v>
      </c>
      <c r="D369" s="74">
        <v>1</v>
      </c>
      <c r="E369" s="75">
        <v>1.1120996441300001E-4</v>
      </c>
    </row>
    <row r="370" spans="2:5" ht="15" customHeight="1">
      <c r="B370" s="110"/>
      <c r="C370" s="76" t="s">
        <v>109</v>
      </c>
      <c r="D370" s="74">
        <v>5</v>
      </c>
      <c r="E370" s="75">
        <v>5.5604982206399996E-4</v>
      </c>
    </row>
    <row r="371" spans="2:5" ht="15" customHeight="1">
      <c r="B371" s="109"/>
      <c r="C371" s="79" t="s">
        <v>12</v>
      </c>
      <c r="D371" s="77">
        <v>29</v>
      </c>
      <c r="E371" s="80">
        <v>3.225088967972E-3</v>
      </c>
    </row>
    <row r="372" spans="2:5" ht="15" customHeight="1">
      <c r="B372" s="108" t="s">
        <v>171</v>
      </c>
      <c r="C372" s="76" t="s">
        <v>100</v>
      </c>
      <c r="D372" s="74">
        <v>2</v>
      </c>
      <c r="E372" s="75">
        <v>2.2241992882600001E-4</v>
      </c>
    </row>
    <row r="373" spans="2:5" ht="15" customHeight="1">
      <c r="B373" s="110"/>
      <c r="C373" s="76" t="s">
        <v>101</v>
      </c>
      <c r="D373" s="74">
        <v>1</v>
      </c>
      <c r="E373" s="75">
        <v>1.1120996441300001E-4</v>
      </c>
    </row>
    <row r="374" spans="2:5" ht="15" customHeight="1">
      <c r="B374" s="109"/>
      <c r="C374" s="79" t="s">
        <v>12</v>
      </c>
      <c r="D374" s="77">
        <v>3</v>
      </c>
      <c r="E374" s="80">
        <v>3.33629893238E-4</v>
      </c>
    </row>
    <row r="375" spans="2:5" ht="15" customHeight="1">
      <c r="B375" s="108" t="s">
        <v>173</v>
      </c>
      <c r="C375" s="76" t="s">
        <v>109</v>
      </c>
      <c r="D375" s="74">
        <v>1</v>
      </c>
      <c r="E375" s="75">
        <v>1.1120996441300001E-4</v>
      </c>
    </row>
    <row r="376" spans="2:5" ht="15" customHeight="1">
      <c r="B376" s="109"/>
      <c r="C376" s="79" t="s">
        <v>12</v>
      </c>
      <c r="D376" s="77">
        <v>1</v>
      </c>
      <c r="E376" s="80">
        <v>1.1120996441300001E-4</v>
      </c>
    </row>
    <row r="377" spans="2:5" ht="15" customHeight="1">
      <c r="B377" s="108" t="s">
        <v>138</v>
      </c>
      <c r="C377" s="76" t="s">
        <v>90</v>
      </c>
      <c r="D377" s="74">
        <v>2</v>
      </c>
      <c r="E377" s="75">
        <v>2.2241992882600001E-4</v>
      </c>
    </row>
    <row r="378" spans="2:5" ht="15" customHeight="1">
      <c r="B378" s="110"/>
      <c r="C378" s="76" t="s">
        <v>91</v>
      </c>
      <c r="D378" s="74">
        <v>1</v>
      </c>
      <c r="E378" s="75">
        <v>1.1120996441300001E-4</v>
      </c>
    </row>
    <row r="379" spans="2:5" ht="15" customHeight="1">
      <c r="B379" s="110"/>
      <c r="C379" s="76" t="s">
        <v>92</v>
      </c>
      <c r="D379" s="74">
        <v>1</v>
      </c>
      <c r="E379" s="75">
        <v>1.1120996441300001E-4</v>
      </c>
    </row>
    <row r="380" spans="2:5" ht="15" customHeight="1">
      <c r="B380" s="110"/>
      <c r="C380" s="76" t="s">
        <v>93</v>
      </c>
      <c r="D380" s="74">
        <v>1</v>
      </c>
      <c r="E380" s="75">
        <v>1.1120996441300001E-4</v>
      </c>
    </row>
    <row r="381" spans="2:5" ht="15" customHeight="1">
      <c r="B381" s="110"/>
      <c r="C381" s="76" t="s">
        <v>94</v>
      </c>
      <c r="D381" s="74">
        <v>1</v>
      </c>
      <c r="E381" s="75">
        <v>1.1120996441300001E-4</v>
      </c>
    </row>
    <row r="382" spans="2:5" ht="15" customHeight="1">
      <c r="B382" s="110"/>
      <c r="C382" s="76" t="s">
        <v>95</v>
      </c>
      <c r="D382" s="74">
        <v>2</v>
      </c>
      <c r="E382" s="75">
        <v>2.2241992882600001E-4</v>
      </c>
    </row>
    <row r="383" spans="2:5" ht="15" customHeight="1">
      <c r="B383" s="110"/>
      <c r="C383" s="76" t="s">
        <v>96</v>
      </c>
      <c r="D383" s="74">
        <v>4</v>
      </c>
      <c r="E383" s="75">
        <v>4.4483985765100001E-4</v>
      </c>
    </row>
    <row r="384" spans="2:5" ht="15" customHeight="1">
      <c r="B384" s="110"/>
      <c r="C384" s="76" t="s">
        <v>97</v>
      </c>
      <c r="D384" s="74">
        <v>2</v>
      </c>
      <c r="E384" s="75">
        <v>2.2241992882600001E-4</v>
      </c>
    </row>
    <row r="385" spans="2:5" ht="15" customHeight="1">
      <c r="B385" s="110"/>
      <c r="C385" s="76" t="s">
        <v>98</v>
      </c>
      <c r="D385" s="74">
        <v>1</v>
      </c>
      <c r="E385" s="75">
        <v>1.1120996441300001E-4</v>
      </c>
    </row>
    <row r="386" spans="2:5" ht="15" customHeight="1">
      <c r="B386" s="110"/>
      <c r="C386" s="76" t="s">
        <v>99</v>
      </c>
      <c r="D386" s="74">
        <v>1</v>
      </c>
      <c r="E386" s="75">
        <v>1.1120996441300001E-4</v>
      </c>
    </row>
    <row r="387" spans="2:5" ht="15" customHeight="1">
      <c r="B387" s="110"/>
      <c r="C387" s="76" t="s">
        <v>100</v>
      </c>
      <c r="D387" s="74">
        <v>18</v>
      </c>
      <c r="E387" s="75">
        <v>2.0017793594310001E-3</v>
      </c>
    </row>
    <row r="388" spans="2:5" ht="15" customHeight="1">
      <c r="B388" s="110"/>
      <c r="C388" s="76" t="s">
        <v>102</v>
      </c>
      <c r="D388" s="74">
        <v>2</v>
      </c>
      <c r="E388" s="75">
        <v>2.2241992882600001E-4</v>
      </c>
    </row>
    <row r="389" spans="2:5" ht="15" customHeight="1">
      <c r="B389" s="110"/>
      <c r="C389" s="76" t="s">
        <v>103</v>
      </c>
      <c r="D389" s="74">
        <v>6</v>
      </c>
      <c r="E389" s="75">
        <v>6.6725978647699997E-4</v>
      </c>
    </row>
    <row r="390" spans="2:5" ht="15" customHeight="1">
      <c r="B390" s="110"/>
      <c r="C390" s="76" t="s">
        <v>108</v>
      </c>
      <c r="D390" s="74">
        <v>2</v>
      </c>
      <c r="E390" s="75">
        <v>2.2241992882600001E-4</v>
      </c>
    </row>
    <row r="391" spans="2:5" ht="15" customHeight="1">
      <c r="B391" s="109"/>
      <c r="C391" s="79" t="s">
        <v>12</v>
      </c>
      <c r="D391" s="77">
        <v>44</v>
      </c>
      <c r="E391" s="80">
        <v>4.8932384341640002E-3</v>
      </c>
    </row>
    <row r="392" spans="2:5" ht="15" customHeight="1">
      <c r="B392" s="108" t="s">
        <v>139</v>
      </c>
      <c r="C392" s="76" t="s">
        <v>95</v>
      </c>
      <c r="D392" s="74">
        <v>1</v>
      </c>
      <c r="E392" s="75">
        <v>1.1120996441300001E-4</v>
      </c>
    </row>
    <row r="393" spans="2:5" ht="15" customHeight="1">
      <c r="B393" s="110"/>
      <c r="C393" s="76" t="s">
        <v>96</v>
      </c>
      <c r="D393" s="74">
        <v>2</v>
      </c>
      <c r="E393" s="75">
        <v>2.2241992882600001E-4</v>
      </c>
    </row>
    <row r="394" spans="2:5" ht="15" customHeight="1">
      <c r="B394" s="110"/>
      <c r="C394" s="76" t="s">
        <v>99</v>
      </c>
      <c r="D394" s="74">
        <v>1</v>
      </c>
      <c r="E394" s="75">
        <v>1.1120996441300001E-4</v>
      </c>
    </row>
    <row r="395" spans="2:5" ht="15" customHeight="1">
      <c r="B395" s="110"/>
      <c r="C395" s="76" t="s">
        <v>100</v>
      </c>
      <c r="D395" s="74">
        <v>7</v>
      </c>
      <c r="E395" s="75">
        <v>7.7846975088999998E-4</v>
      </c>
    </row>
    <row r="396" spans="2:5" ht="15" customHeight="1">
      <c r="B396" s="110"/>
      <c r="C396" s="76" t="s">
        <v>102</v>
      </c>
      <c r="D396" s="74">
        <v>1</v>
      </c>
      <c r="E396" s="75">
        <v>1.1120996441300001E-4</v>
      </c>
    </row>
    <row r="397" spans="2:5" ht="15" customHeight="1">
      <c r="B397" s="110"/>
      <c r="C397" s="76" t="s">
        <v>103</v>
      </c>
      <c r="D397" s="74">
        <v>4</v>
      </c>
      <c r="E397" s="75">
        <v>4.4483985765100001E-4</v>
      </c>
    </row>
    <row r="398" spans="2:5" ht="15" customHeight="1">
      <c r="B398" s="110"/>
      <c r="C398" s="76" t="s">
        <v>108</v>
      </c>
      <c r="D398" s="74">
        <v>1</v>
      </c>
      <c r="E398" s="75">
        <v>1.1120996441300001E-4</v>
      </c>
    </row>
    <row r="399" spans="2:5" ht="15" customHeight="1">
      <c r="B399" s="110"/>
      <c r="C399" s="76" t="s">
        <v>109</v>
      </c>
      <c r="D399" s="74">
        <v>2</v>
      </c>
      <c r="E399" s="75">
        <v>2.2241992882600001E-4</v>
      </c>
    </row>
    <row r="400" spans="2:5" ht="15" customHeight="1">
      <c r="B400" s="109"/>
      <c r="C400" s="79" t="s">
        <v>12</v>
      </c>
      <c r="D400" s="77">
        <v>19</v>
      </c>
      <c r="E400" s="80">
        <v>2.1129893238430002E-3</v>
      </c>
    </row>
    <row r="401" spans="2:5" ht="15" customHeight="1">
      <c r="B401" s="108" t="s">
        <v>140</v>
      </c>
      <c r="C401" s="76" t="s">
        <v>89</v>
      </c>
      <c r="D401" s="74">
        <v>10</v>
      </c>
      <c r="E401" s="75">
        <v>1.1120996441279999E-3</v>
      </c>
    </row>
    <row r="402" spans="2:5" ht="15" customHeight="1">
      <c r="B402" s="110"/>
      <c r="C402" s="76" t="s">
        <v>90</v>
      </c>
      <c r="D402" s="74">
        <v>4</v>
      </c>
      <c r="E402" s="75">
        <v>4.4483985765100001E-4</v>
      </c>
    </row>
    <row r="403" spans="2:5" ht="15" customHeight="1">
      <c r="B403" s="110"/>
      <c r="C403" s="76" t="s">
        <v>91</v>
      </c>
      <c r="D403" s="74">
        <v>4</v>
      </c>
      <c r="E403" s="75">
        <v>4.4483985765100001E-4</v>
      </c>
    </row>
    <row r="404" spans="2:5" ht="15" customHeight="1">
      <c r="B404" s="110"/>
      <c r="C404" s="76" t="s">
        <v>92</v>
      </c>
      <c r="D404" s="74">
        <v>28</v>
      </c>
      <c r="E404" s="75">
        <v>3.1138790035589998E-3</v>
      </c>
    </row>
    <row r="405" spans="2:5" ht="15" customHeight="1">
      <c r="B405" s="110"/>
      <c r="C405" s="76" t="s">
        <v>93</v>
      </c>
      <c r="D405" s="74">
        <v>14</v>
      </c>
      <c r="E405" s="75">
        <v>1.5569395017790001E-3</v>
      </c>
    </row>
    <row r="406" spans="2:5" ht="15" customHeight="1">
      <c r="B406" s="110"/>
      <c r="C406" s="76" t="s">
        <v>94</v>
      </c>
      <c r="D406" s="74">
        <v>21</v>
      </c>
      <c r="E406" s="75">
        <v>2.335409252669E-3</v>
      </c>
    </row>
    <row r="407" spans="2:5" ht="15" customHeight="1">
      <c r="B407" s="110"/>
      <c r="C407" s="76" t="s">
        <v>95</v>
      </c>
      <c r="D407" s="74">
        <v>78</v>
      </c>
      <c r="E407" s="75">
        <v>8.6743772241990001E-3</v>
      </c>
    </row>
    <row r="408" spans="2:5" ht="15" customHeight="1">
      <c r="B408" s="110"/>
      <c r="C408" s="76" t="s">
        <v>96</v>
      </c>
      <c r="D408" s="74">
        <v>155</v>
      </c>
      <c r="E408" s="75">
        <v>1.7237544483986001E-2</v>
      </c>
    </row>
    <row r="409" spans="2:5" ht="15" customHeight="1">
      <c r="B409" s="110"/>
      <c r="C409" s="76" t="s">
        <v>97</v>
      </c>
      <c r="D409" s="74">
        <v>19</v>
      </c>
      <c r="E409" s="75">
        <v>2.1129893238430002E-3</v>
      </c>
    </row>
    <row r="410" spans="2:5" ht="15" customHeight="1">
      <c r="B410" s="110"/>
      <c r="C410" s="76" t="s">
        <v>98</v>
      </c>
      <c r="D410" s="74">
        <v>52</v>
      </c>
      <c r="E410" s="75">
        <v>5.7829181494660001E-3</v>
      </c>
    </row>
    <row r="411" spans="2:5" ht="15" customHeight="1">
      <c r="B411" s="110"/>
      <c r="C411" s="76" t="s">
        <v>99</v>
      </c>
      <c r="D411" s="74">
        <v>41</v>
      </c>
      <c r="E411" s="75">
        <v>4.5596085409249998E-3</v>
      </c>
    </row>
    <row r="412" spans="2:5" ht="15" customHeight="1">
      <c r="B412" s="110"/>
      <c r="C412" s="76" t="s">
        <v>100</v>
      </c>
      <c r="D412" s="74">
        <v>540</v>
      </c>
      <c r="E412" s="75">
        <v>6.0053380782917998E-2</v>
      </c>
    </row>
    <row r="413" spans="2:5" ht="15" customHeight="1">
      <c r="B413" s="110"/>
      <c r="C413" s="76" t="s">
        <v>101</v>
      </c>
      <c r="D413" s="74">
        <v>9</v>
      </c>
      <c r="E413" s="75">
        <v>1.000889679715E-3</v>
      </c>
    </row>
    <row r="414" spans="2:5" ht="15" customHeight="1">
      <c r="B414" s="110"/>
      <c r="C414" s="76" t="s">
        <v>102</v>
      </c>
      <c r="D414" s="74">
        <v>77</v>
      </c>
      <c r="E414" s="75">
        <v>8.563167259786E-3</v>
      </c>
    </row>
    <row r="415" spans="2:5" ht="15" customHeight="1">
      <c r="B415" s="110"/>
      <c r="C415" s="76" t="s">
        <v>103</v>
      </c>
      <c r="D415" s="74">
        <v>296</v>
      </c>
      <c r="E415" s="75">
        <v>3.2918149466192002E-2</v>
      </c>
    </row>
    <row r="416" spans="2:5" ht="15" customHeight="1">
      <c r="B416" s="110"/>
      <c r="C416" s="76" t="s">
        <v>104</v>
      </c>
      <c r="D416" s="74">
        <v>3</v>
      </c>
      <c r="E416" s="75">
        <v>3.33629893238E-4</v>
      </c>
    </row>
    <row r="417" spans="2:5" ht="15" customHeight="1">
      <c r="B417" s="110"/>
      <c r="C417" s="76" t="s">
        <v>105</v>
      </c>
      <c r="D417" s="74">
        <v>2</v>
      </c>
      <c r="E417" s="75">
        <v>2.2241992882600001E-4</v>
      </c>
    </row>
    <row r="418" spans="2:5" ht="15" customHeight="1">
      <c r="B418" s="110"/>
      <c r="C418" s="76" t="s">
        <v>106</v>
      </c>
      <c r="D418" s="74">
        <v>2</v>
      </c>
      <c r="E418" s="75">
        <v>2.2241992882600001E-4</v>
      </c>
    </row>
    <row r="419" spans="2:5" ht="15" customHeight="1">
      <c r="B419" s="110"/>
      <c r="C419" s="76" t="s">
        <v>108</v>
      </c>
      <c r="D419" s="74">
        <v>9</v>
      </c>
      <c r="E419" s="75">
        <v>1.000889679715E-3</v>
      </c>
    </row>
    <row r="420" spans="2:5" ht="15" customHeight="1">
      <c r="B420" s="110"/>
      <c r="C420" s="76" t="s">
        <v>109</v>
      </c>
      <c r="D420" s="74">
        <v>36</v>
      </c>
      <c r="E420" s="75">
        <v>4.0035587188610002E-3</v>
      </c>
    </row>
    <row r="421" spans="2:5" ht="15" customHeight="1">
      <c r="B421" s="110"/>
      <c r="C421" s="76" t="s">
        <v>110</v>
      </c>
      <c r="D421" s="74">
        <v>1</v>
      </c>
      <c r="E421" s="75">
        <v>1.1120996441300001E-4</v>
      </c>
    </row>
    <row r="422" spans="2:5" ht="15" customHeight="1">
      <c r="B422" s="109"/>
      <c r="C422" s="79" t="s">
        <v>12</v>
      </c>
      <c r="D422" s="77">
        <v>1401</v>
      </c>
      <c r="E422" s="80">
        <v>0.15580516014234899</v>
      </c>
    </row>
    <row r="423" spans="2:5" ht="15" customHeight="1">
      <c r="B423" s="108" t="s">
        <v>141</v>
      </c>
      <c r="C423" s="76" t="s">
        <v>90</v>
      </c>
      <c r="D423" s="74">
        <v>1</v>
      </c>
      <c r="E423" s="75">
        <v>1.1120996441300001E-4</v>
      </c>
    </row>
    <row r="424" spans="2:5" ht="15" customHeight="1">
      <c r="B424" s="110"/>
      <c r="C424" s="76" t="s">
        <v>92</v>
      </c>
      <c r="D424" s="74">
        <v>2</v>
      </c>
      <c r="E424" s="75">
        <v>2.2241992882600001E-4</v>
      </c>
    </row>
    <row r="425" spans="2:5" ht="15" customHeight="1">
      <c r="B425" s="110"/>
      <c r="C425" s="76" t="s">
        <v>93</v>
      </c>
      <c r="D425" s="74">
        <v>3</v>
      </c>
      <c r="E425" s="75">
        <v>3.33629893238E-4</v>
      </c>
    </row>
    <row r="426" spans="2:5" ht="15" customHeight="1">
      <c r="B426" s="110"/>
      <c r="C426" s="76" t="s">
        <v>94</v>
      </c>
      <c r="D426" s="74">
        <v>2</v>
      </c>
      <c r="E426" s="75">
        <v>2.2241992882600001E-4</v>
      </c>
    </row>
    <row r="427" spans="2:5" ht="15" customHeight="1">
      <c r="B427" s="110"/>
      <c r="C427" s="76" t="s">
        <v>95</v>
      </c>
      <c r="D427" s="74">
        <v>6</v>
      </c>
      <c r="E427" s="75">
        <v>6.6725978647699997E-4</v>
      </c>
    </row>
    <row r="428" spans="2:5" ht="15" customHeight="1">
      <c r="B428" s="110"/>
      <c r="C428" s="76" t="s">
        <v>96</v>
      </c>
      <c r="D428" s="74">
        <v>15</v>
      </c>
      <c r="E428" s="75">
        <v>1.668149466192E-3</v>
      </c>
    </row>
    <row r="429" spans="2:5" ht="15" customHeight="1">
      <c r="B429" s="110"/>
      <c r="C429" s="76" t="s">
        <v>97</v>
      </c>
      <c r="D429" s="74">
        <v>1</v>
      </c>
      <c r="E429" s="75">
        <v>1.1120996441300001E-4</v>
      </c>
    </row>
    <row r="430" spans="2:5" ht="15" customHeight="1">
      <c r="B430" s="110"/>
      <c r="C430" s="76" t="s">
        <v>98</v>
      </c>
      <c r="D430" s="74">
        <v>4</v>
      </c>
      <c r="E430" s="75">
        <v>4.4483985765100001E-4</v>
      </c>
    </row>
    <row r="431" spans="2:5" ht="15" customHeight="1">
      <c r="B431" s="110"/>
      <c r="C431" s="76" t="s">
        <v>99</v>
      </c>
      <c r="D431" s="74">
        <v>5</v>
      </c>
      <c r="E431" s="75">
        <v>5.5604982206399996E-4</v>
      </c>
    </row>
    <row r="432" spans="2:5" ht="15" customHeight="1">
      <c r="B432" s="110"/>
      <c r="C432" s="76" t="s">
        <v>100</v>
      </c>
      <c r="D432" s="74">
        <v>65</v>
      </c>
      <c r="E432" s="75">
        <v>7.2286476868329997E-3</v>
      </c>
    </row>
    <row r="433" spans="2:5" ht="15" customHeight="1">
      <c r="B433" s="110"/>
      <c r="C433" s="76" t="s">
        <v>101</v>
      </c>
      <c r="D433" s="74">
        <v>1</v>
      </c>
      <c r="E433" s="75">
        <v>1.1120996441300001E-4</v>
      </c>
    </row>
    <row r="434" spans="2:5" ht="15" customHeight="1">
      <c r="B434" s="110"/>
      <c r="C434" s="76" t="s">
        <v>102</v>
      </c>
      <c r="D434" s="74">
        <v>6</v>
      </c>
      <c r="E434" s="75">
        <v>6.6725978647699997E-4</v>
      </c>
    </row>
    <row r="435" spans="2:5" ht="15" customHeight="1">
      <c r="B435" s="110"/>
      <c r="C435" s="76" t="s">
        <v>103</v>
      </c>
      <c r="D435" s="74">
        <v>31</v>
      </c>
      <c r="E435" s="75">
        <v>3.4475088967970001E-3</v>
      </c>
    </row>
    <row r="436" spans="2:5" ht="15" customHeight="1">
      <c r="B436" s="110"/>
      <c r="C436" s="76" t="s">
        <v>107</v>
      </c>
      <c r="D436" s="74">
        <v>1</v>
      </c>
      <c r="E436" s="75">
        <v>1.1120996441300001E-4</v>
      </c>
    </row>
    <row r="437" spans="2:5" ht="15" customHeight="1">
      <c r="B437" s="110"/>
      <c r="C437" s="76" t="s">
        <v>108</v>
      </c>
      <c r="D437" s="74">
        <v>2</v>
      </c>
      <c r="E437" s="75">
        <v>2.2241992882600001E-4</v>
      </c>
    </row>
    <row r="438" spans="2:5" ht="15" customHeight="1">
      <c r="B438" s="110"/>
      <c r="C438" s="76" t="s">
        <v>109</v>
      </c>
      <c r="D438" s="74">
        <v>3</v>
      </c>
      <c r="E438" s="75">
        <v>3.33629893238E-4</v>
      </c>
    </row>
    <row r="439" spans="2:5" ht="15" customHeight="1">
      <c r="B439" s="109"/>
      <c r="C439" s="79" t="s">
        <v>12</v>
      </c>
      <c r="D439" s="77">
        <v>148</v>
      </c>
      <c r="E439" s="80">
        <v>1.6459074733096001E-2</v>
      </c>
    </row>
    <row r="440" spans="2:5" ht="15" customHeight="1">
      <c r="B440" s="108" t="s">
        <v>142</v>
      </c>
      <c r="C440" s="76" t="s">
        <v>89</v>
      </c>
      <c r="D440" s="74">
        <v>1</v>
      </c>
      <c r="E440" s="75">
        <v>1.1120996441300001E-4</v>
      </c>
    </row>
    <row r="441" spans="2:5" ht="15" customHeight="1">
      <c r="B441" s="110"/>
      <c r="C441" s="76" t="s">
        <v>93</v>
      </c>
      <c r="D441" s="74">
        <v>1</v>
      </c>
      <c r="E441" s="75">
        <v>1.1120996441300001E-4</v>
      </c>
    </row>
    <row r="442" spans="2:5" ht="15" customHeight="1">
      <c r="B442" s="110"/>
      <c r="C442" s="76" t="s">
        <v>94</v>
      </c>
      <c r="D442" s="74">
        <v>1</v>
      </c>
      <c r="E442" s="75">
        <v>1.1120996441300001E-4</v>
      </c>
    </row>
    <row r="443" spans="2:5" ht="15" customHeight="1">
      <c r="B443" s="110"/>
      <c r="C443" s="76" t="s">
        <v>95</v>
      </c>
      <c r="D443" s="74">
        <v>3</v>
      </c>
      <c r="E443" s="75">
        <v>3.33629893238E-4</v>
      </c>
    </row>
    <row r="444" spans="2:5" ht="15" customHeight="1">
      <c r="B444" s="110"/>
      <c r="C444" s="76" t="s">
        <v>96</v>
      </c>
      <c r="D444" s="74">
        <v>9</v>
      </c>
      <c r="E444" s="75">
        <v>1.000889679715E-3</v>
      </c>
    </row>
    <row r="445" spans="2:5" ht="15" customHeight="1">
      <c r="B445" s="110"/>
      <c r="C445" s="76" t="s">
        <v>98</v>
      </c>
      <c r="D445" s="74">
        <v>1</v>
      </c>
      <c r="E445" s="75">
        <v>1.1120996441300001E-4</v>
      </c>
    </row>
    <row r="446" spans="2:5" ht="15" customHeight="1">
      <c r="B446" s="110"/>
      <c r="C446" s="76" t="s">
        <v>99</v>
      </c>
      <c r="D446" s="74">
        <v>6</v>
      </c>
      <c r="E446" s="75">
        <v>6.6725978647699997E-4</v>
      </c>
    </row>
    <row r="447" spans="2:5" ht="15" customHeight="1">
      <c r="B447" s="110"/>
      <c r="C447" s="76" t="s">
        <v>100</v>
      </c>
      <c r="D447" s="74">
        <v>41</v>
      </c>
      <c r="E447" s="75">
        <v>4.5596085409249998E-3</v>
      </c>
    </row>
    <row r="448" spans="2:5" ht="15" customHeight="1">
      <c r="B448" s="110"/>
      <c r="C448" s="76" t="s">
        <v>101</v>
      </c>
      <c r="D448" s="74">
        <v>1</v>
      </c>
      <c r="E448" s="75">
        <v>1.1120996441300001E-4</v>
      </c>
    </row>
    <row r="449" spans="2:5" ht="15" customHeight="1">
      <c r="B449" s="110"/>
      <c r="C449" s="76" t="s">
        <v>102</v>
      </c>
      <c r="D449" s="74">
        <v>7</v>
      </c>
      <c r="E449" s="75">
        <v>7.7846975088999998E-4</v>
      </c>
    </row>
    <row r="450" spans="2:5" ht="15" customHeight="1">
      <c r="B450" s="110"/>
      <c r="C450" s="76" t="s">
        <v>103</v>
      </c>
      <c r="D450" s="74">
        <v>28</v>
      </c>
      <c r="E450" s="75">
        <v>3.1138790035589998E-3</v>
      </c>
    </row>
    <row r="451" spans="2:5" ht="15" customHeight="1">
      <c r="B451" s="110"/>
      <c r="C451" s="76" t="s">
        <v>104</v>
      </c>
      <c r="D451" s="74">
        <v>1</v>
      </c>
      <c r="E451" s="75">
        <v>1.1120996441300001E-4</v>
      </c>
    </row>
    <row r="452" spans="2:5" ht="15" customHeight="1">
      <c r="B452" s="110"/>
      <c r="C452" s="76" t="s">
        <v>108</v>
      </c>
      <c r="D452" s="74">
        <v>1</v>
      </c>
      <c r="E452" s="75">
        <v>1.1120996441300001E-4</v>
      </c>
    </row>
    <row r="453" spans="2:5" ht="15" customHeight="1">
      <c r="B453" s="110"/>
      <c r="C453" s="76" t="s">
        <v>109</v>
      </c>
      <c r="D453" s="74">
        <v>5</v>
      </c>
      <c r="E453" s="75">
        <v>5.5604982206399996E-4</v>
      </c>
    </row>
    <row r="454" spans="2:5" ht="15" customHeight="1">
      <c r="B454" s="110"/>
      <c r="C454" s="76" t="s">
        <v>111</v>
      </c>
      <c r="D454" s="74">
        <v>1</v>
      </c>
      <c r="E454" s="75">
        <v>1.1120996441300001E-4</v>
      </c>
    </row>
    <row r="455" spans="2:5" ht="15" customHeight="1">
      <c r="B455" s="109"/>
      <c r="C455" s="79" t="s">
        <v>12</v>
      </c>
      <c r="D455" s="77">
        <v>107</v>
      </c>
      <c r="E455" s="80">
        <v>1.1899466192171001E-2</v>
      </c>
    </row>
    <row r="456" spans="2:5" ht="15" customHeight="1">
      <c r="B456" s="108" t="s">
        <v>143</v>
      </c>
      <c r="C456" s="76" t="s">
        <v>90</v>
      </c>
      <c r="D456" s="74">
        <v>2</v>
      </c>
      <c r="E456" s="75">
        <v>2.2241992882600001E-4</v>
      </c>
    </row>
    <row r="457" spans="2:5" ht="15" customHeight="1">
      <c r="B457" s="110"/>
      <c r="C457" s="76" t="s">
        <v>92</v>
      </c>
      <c r="D457" s="74">
        <v>2</v>
      </c>
      <c r="E457" s="75">
        <v>2.2241992882600001E-4</v>
      </c>
    </row>
    <row r="458" spans="2:5" ht="15" customHeight="1">
      <c r="B458" s="110"/>
      <c r="C458" s="76" t="s">
        <v>93</v>
      </c>
      <c r="D458" s="74">
        <v>1</v>
      </c>
      <c r="E458" s="75">
        <v>1.1120996441300001E-4</v>
      </c>
    </row>
    <row r="459" spans="2:5" ht="15" customHeight="1">
      <c r="B459" s="110"/>
      <c r="C459" s="76" t="s">
        <v>95</v>
      </c>
      <c r="D459" s="74">
        <v>7</v>
      </c>
      <c r="E459" s="75">
        <v>7.7846975088999998E-4</v>
      </c>
    </row>
    <row r="460" spans="2:5" ht="15" customHeight="1">
      <c r="B460" s="110"/>
      <c r="C460" s="76" t="s">
        <v>96</v>
      </c>
      <c r="D460" s="74">
        <v>10</v>
      </c>
      <c r="E460" s="75">
        <v>1.1120996441279999E-3</v>
      </c>
    </row>
    <row r="461" spans="2:5" ht="15" customHeight="1">
      <c r="B461" s="110"/>
      <c r="C461" s="76" t="s">
        <v>99</v>
      </c>
      <c r="D461" s="74">
        <v>3</v>
      </c>
      <c r="E461" s="75">
        <v>3.33629893238E-4</v>
      </c>
    </row>
    <row r="462" spans="2:5" ht="15" customHeight="1">
      <c r="B462" s="110"/>
      <c r="C462" s="76" t="s">
        <v>100</v>
      </c>
      <c r="D462" s="74">
        <v>45</v>
      </c>
      <c r="E462" s="75">
        <v>5.0044483985770003E-3</v>
      </c>
    </row>
    <row r="463" spans="2:5" ht="15" customHeight="1">
      <c r="B463" s="110"/>
      <c r="C463" s="76" t="s">
        <v>101</v>
      </c>
      <c r="D463" s="74">
        <v>1</v>
      </c>
      <c r="E463" s="75">
        <v>1.1120996441300001E-4</v>
      </c>
    </row>
    <row r="464" spans="2:5" ht="15" customHeight="1">
      <c r="B464" s="110"/>
      <c r="C464" s="76" t="s">
        <v>102</v>
      </c>
      <c r="D464" s="74">
        <v>9</v>
      </c>
      <c r="E464" s="75">
        <v>1.000889679715E-3</v>
      </c>
    </row>
    <row r="465" spans="2:5" ht="15" customHeight="1">
      <c r="B465" s="110"/>
      <c r="C465" s="76" t="s">
        <v>103</v>
      </c>
      <c r="D465" s="74">
        <v>22</v>
      </c>
      <c r="E465" s="75">
        <v>2.4466192170820001E-3</v>
      </c>
    </row>
    <row r="466" spans="2:5" ht="15" customHeight="1">
      <c r="B466" s="110"/>
      <c r="C466" s="76" t="s">
        <v>104</v>
      </c>
      <c r="D466" s="74">
        <v>2</v>
      </c>
      <c r="E466" s="75">
        <v>2.2241992882600001E-4</v>
      </c>
    </row>
    <row r="467" spans="2:5" ht="15" customHeight="1">
      <c r="B467" s="110"/>
      <c r="C467" s="76" t="s">
        <v>105</v>
      </c>
      <c r="D467" s="74">
        <v>1</v>
      </c>
      <c r="E467" s="75">
        <v>1.1120996441300001E-4</v>
      </c>
    </row>
    <row r="468" spans="2:5" ht="15" customHeight="1">
      <c r="B468" s="110"/>
      <c r="C468" s="76" t="s">
        <v>109</v>
      </c>
      <c r="D468" s="74">
        <v>5</v>
      </c>
      <c r="E468" s="75">
        <v>5.5604982206399996E-4</v>
      </c>
    </row>
    <row r="469" spans="2:5" ht="15" customHeight="1">
      <c r="B469" s="109"/>
      <c r="C469" s="79" t="s">
        <v>12</v>
      </c>
      <c r="D469" s="77">
        <v>110</v>
      </c>
      <c r="E469" s="80">
        <v>1.2233096085409E-2</v>
      </c>
    </row>
    <row r="470" spans="2:5" ht="15" customHeight="1">
      <c r="B470" s="108" t="s">
        <v>144</v>
      </c>
      <c r="C470" s="76" t="s">
        <v>89</v>
      </c>
      <c r="D470" s="74">
        <v>2</v>
      </c>
      <c r="E470" s="75">
        <v>2.2241992882600001E-4</v>
      </c>
    </row>
    <row r="471" spans="2:5" ht="15" customHeight="1">
      <c r="B471" s="110"/>
      <c r="C471" s="76" t="s">
        <v>92</v>
      </c>
      <c r="D471" s="74">
        <v>3</v>
      </c>
      <c r="E471" s="75">
        <v>3.33629893238E-4</v>
      </c>
    </row>
    <row r="472" spans="2:5" ht="15" customHeight="1">
      <c r="B472" s="110"/>
      <c r="C472" s="76" t="s">
        <v>93</v>
      </c>
      <c r="D472" s="74">
        <v>2</v>
      </c>
      <c r="E472" s="75">
        <v>2.2241992882600001E-4</v>
      </c>
    </row>
    <row r="473" spans="2:5" ht="15" customHeight="1">
      <c r="B473" s="110"/>
      <c r="C473" s="76" t="s">
        <v>95</v>
      </c>
      <c r="D473" s="74">
        <v>9</v>
      </c>
      <c r="E473" s="75">
        <v>1.000889679715E-3</v>
      </c>
    </row>
    <row r="474" spans="2:5" ht="15" customHeight="1">
      <c r="B474" s="110"/>
      <c r="C474" s="76" t="s">
        <v>96</v>
      </c>
      <c r="D474" s="74">
        <v>7</v>
      </c>
      <c r="E474" s="75">
        <v>7.7846975088999998E-4</v>
      </c>
    </row>
    <row r="475" spans="2:5" ht="15" customHeight="1">
      <c r="B475" s="110"/>
      <c r="C475" s="76" t="s">
        <v>97</v>
      </c>
      <c r="D475" s="74">
        <v>1</v>
      </c>
      <c r="E475" s="75">
        <v>1.1120996441300001E-4</v>
      </c>
    </row>
    <row r="476" spans="2:5" ht="15" customHeight="1">
      <c r="B476" s="110"/>
      <c r="C476" s="76" t="s">
        <v>98</v>
      </c>
      <c r="D476" s="74">
        <v>4</v>
      </c>
      <c r="E476" s="75">
        <v>4.4483985765100001E-4</v>
      </c>
    </row>
    <row r="477" spans="2:5" ht="15" customHeight="1">
      <c r="B477" s="110"/>
      <c r="C477" s="76" t="s">
        <v>99</v>
      </c>
      <c r="D477" s="74">
        <v>5</v>
      </c>
      <c r="E477" s="75">
        <v>5.5604982206399996E-4</v>
      </c>
    </row>
    <row r="478" spans="2:5" ht="15" customHeight="1">
      <c r="B478" s="110"/>
      <c r="C478" s="76" t="s">
        <v>100</v>
      </c>
      <c r="D478" s="74">
        <v>28</v>
      </c>
      <c r="E478" s="75">
        <v>3.1138790035589998E-3</v>
      </c>
    </row>
    <row r="479" spans="2:5" ht="15" customHeight="1">
      <c r="B479" s="110"/>
      <c r="C479" s="76" t="s">
        <v>101</v>
      </c>
      <c r="D479" s="74">
        <v>1</v>
      </c>
      <c r="E479" s="75">
        <v>1.1120996441300001E-4</v>
      </c>
    </row>
    <row r="480" spans="2:5" ht="15" customHeight="1">
      <c r="B480" s="110"/>
      <c r="C480" s="76" t="s">
        <v>102</v>
      </c>
      <c r="D480" s="74">
        <v>3</v>
      </c>
      <c r="E480" s="75">
        <v>3.33629893238E-4</v>
      </c>
    </row>
    <row r="481" spans="2:5" ht="15" customHeight="1">
      <c r="B481" s="110"/>
      <c r="C481" s="76" t="s">
        <v>103</v>
      </c>
      <c r="D481" s="74">
        <v>17</v>
      </c>
      <c r="E481" s="75">
        <v>1.890569395018E-3</v>
      </c>
    </row>
    <row r="482" spans="2:5" ht="15" customHeight="1">
      <c r="B482" s="110"/>
      <c r="C482" s="76" t="s">
        <v>104</v>
      </c>
      <c r="D482" s="74">
        <v>1</v>
      </c>
      <c r="E482" s="75">
        <v>1.1120996441300001E-4</v>
      </c>
    </row>
    <row r="483" spans="2:5" ht="15" customHeight="1">
      <c r="B483" s="110"/>
      <c r="C483" s="76" t="s">
        <v>108</v>
      </c>
      <c r="D483" s="74">
        <v>1</v>
      </c>
      <c r="E483" s="75">
        <v>1.1120996441300001E-4</v>
      </c>
    </row>
    <row r="484" spans="2:5" ht="15" customHeight="1">
      <c r="B484" s="110"/>
      <c r="C484" s="76" t="s">
        <v>109</v>
      </c>
      <c r="D484" s="74">
        <v>3</v>
      </c>
      <c r="E484" s="75">
        <v>3.33629893238E-4</v>
      </c>
    </row>
    <row r="485" spans="2:5" ht="15" customHeight="1">
      <c r="B485" s="110"/>
      <c r="C485" s="76" t="s">
        <v>111</v>
      </c>
      <c r="D485" s="74">
        <v>1</v>
      </c>
      <c r="E485" s="75">
        <v>1.1120996441300001E-4</v>
      </c>
    </row>
    <row r="486" spans="2:5" ht="15" customHeight="1">
      <c r="B486" s="109"/>
      <c r="C486" s="79" t="s">
        <v>12</v>
      </c>
      <c r="D486" s="77">
        <v>88</v>
      </c>
      <c r="E486" s="80">
        <v>9.7864768683269994E-3</v>
      </c>
    </row>
    <row r="487" spans="2:5" ht="15" customHeight="1">
      <c r="B487" s="108" t="s">
        <v>145</v>
      </c>
      <c r="C487" s="76" t="s">
        <v>94</v>
      </c>
      <c r="D487" s="74">
        <v>1</v>
      </c>
      <c r="E487" s="75">
        <v>1.1120996441300001E-4</v>
      </c>
    </row>
    <row r="488" spans="2:5" ht="15" customHeight="1">
      <c r="B488" s="110"/>
      <c r="C488" s="76" t="s">
        <v>98</v>
      </c>
      <c r="D488" s="74">
        <v>1</v>
      </c>
      <c r="E488" s="75">
        <v>1.1120996441300001E-4</v>
      </c>
    </row>
    <row r="489" spans="2:5" ht="15" customHeight="1">
      <c r="B489" s="110"/>
      <c r="C489" s="76" t="s">
        <v>99</v>
      </c>
      <c r="D489" s="74">
        <v>2</v>
      </c>
      <c r="E489" s="75">
        <v>2.2241992882600001E-4</v>
      </c>
    </row>
    <row r="490" spans="2:5" ht="15" customHeight="1">
      <c r="B490" s="110"/>
      <c r="C490" s="76" t="s">
        <v>100</v>
      </c>
      <c r="D490" s="74">
        <v>8</v>
      </c>
      <c r="E490" s="75">
        <v>8.8967971530200002E-4</v>
      </c>
    </row>
    <row r="491" spans="2:5" ht="15" customHeight="1">
      <c r="B491" s="110"/>
      <c r="C491" s="76" t="s">
        <v>102</v>
      </c>
      <c r="D491" s="74">
        <v>2</v>
      </c>
      <c r="E491" s="75">
        <v>2.2241992882600001E-4</v>
      </c>
    </row>
    <row r="492" spans="2:5" ht="15" customHeight="1">
      <c r="B492" s="110"/>
      <c r="C492" s="76" t="s">
        <v>103</v>
      </c>
      <c r="D492" s="74">
        <v>2</v>
      </c>
      <c r="E492" s="75">
        <v>2.2241992882600001E-4</v>
      </c>
    </row>
    <row r="493" spans="2:5" ht="15" customHeight="1">
      <c r="B493" s="109"/>
      <c r="C493" s="79" t="s">
        <v>12</v>
      </c>
      <c r="D493" s="77">
        <v>16</v>
      </c>
      <c r="E493" s="80">
        <v>1.7793594306049999E-3</v>
      </c>
    </row>
    <row r="494" spans="2:5" ht="15" customHeight="1">
      <c r="B494" s="108" t="s">
        <v>146</v>
      </c>
      <c r="C494" s="76" t="s">
        <v>93</v>
      </c>
      <c r="D494" s="74">
        <v>1</v>
      </c>
      <c r="E494" s="75">
        <v>1.1120996441300001E-4</v>
      </c>
    </row>
    <row r="495" spans="2:5" ht="15" customHeight="1">
      <c r="B495" s="110"/>
      <c r="C495" s="76" t="s">
        <v>95</v>
      </c>
      <c r="D495" s="74">
        <v>4</v>
      </c>
      <c r="E495" s="75">
        <v>4.4483985765100001E-4</v>
      </c>
    </row>
    <row r="496" spans="2:5" ht="15" customHeight="1">
      <c r="B496" s="110"/>
      <c r="C496" s="76" t="s">
        <v>96</v>
      </c>
      <c r="D496" s="74">
        <v>2</v>
      </c>
      <c r="E496" s="75">
        <v>2.2241992882600001E-4</v>
      </c>
    </row>
    <row r="497" spans="2:5" ht="15" customHeight="1">
      <c r="B497" s="110"/>
      <c r="C497" s="76" t="s">
        <v>99</v>
      </c>
      <c r="D497" s="74">
        <v>3</v>
      </c>
      <c r="E497" s="75">
        <v>3.33629893238E-4</v>
      </c>
    </row>
    <row r="498" spans="2:5" ht="15" customHeight="1">
      <c r="B498" s="110"/>
      <c r="C498" s="76" t="s">
        <v>100</v>
      </c>
      <c r="D498" s="74">
        <v>16</v>
      </c>
      <c r="E498" s="75">
        <v>1.7793594306049999E-3</v>
      </c>
    </row>
    <row r="499" spans="2:5" ht="15" customHeight="1">
      <c r="B499" s="110"/>
      <c r="C499" s="76" t="s">
        <v>101</v>
      </c>
      <c r="D499" s="74">
        <v>1</v>
      </c>
      <c r="E499" s="75">
        <v>1.1120996441300001E-4</v>
      </c>
    </row>
    <row r="500" spans="2:5" ht="15" customHeight="1">
      <c r="B500" s="110"/>
      <c r="C500" s="76" t="s">
        <v>102</v>
      </c>
      <c r="D500" s="74">
        <v>1</v>
      </c>
      <c r="E500" s="75">
        <v>1.1120996441300001E-4</v>
      </c>
    </row>
    <row r="501" spans="2:5" ht="15" customHeight="1">
      <c r="B501" s="110"/>
      <c r="C501" s="76" t="s">
        <v>103</v>
      </c>
      <c r="D501" s="74">
        <v>4</v>
      </c>
      <c r="E501" s="75">
        <v>4.4483985765100001E-4</v>
      </c>
    </row>
    <row r="502" spans="2:5" ht="15" customHeight="1">
      <c r="B502" s="109"/>
      <c r="C502" s="79" t="s">
        <v>12</v>
      </c>
      <c r="D502" s="77">
        <v>32</v>
      </c>
      <c r="E502" s="80">
        <v>3.5587188612099998E-3</v>
      </c>
    </row>
    <row r="503" spans="2:5" ht="15" customHeight="1">
      <c r="B503" s="108" t="s">
        <v>147</v>
      </c>
      <c r="C503" s="76" t="s">
        <v>89</v>
      </c>
      <c r="D503" s="74">
        <v>1</v>
      </c>
      <c r="E503" s="75">
        <v>1.1120996441300001E-4</v>
      </c>
    </row>
    <row r="504" spans="2:5" ht="15" customHeight="1">
      <c r="B504" s="110"/>
      <c r="C504" s="76" t="s">
        <v>90</v>
      </c>
      <c r="D504" s="74">
        <v>1</v>
      </c>
      <c r="E504" s="75">
        <v>1.1120996441300001E-4</v>
      </c>
    </row>
    <row r="505" spans="2:5" ht="15" customHeight="1">
      <c r="B505" s="110"/>
      <c r="C505" s="76" t="s">
        <v>91</v>
      </c>
      <c r="D505" s="74">
        <v>1</v>
      </c>
      <c r="E505" s="75">
        <v>1.1120996441300001E-4</v>
      </c>
    </row>
    <row r="506" spans="2:5" ht="15" customHeight="1">
      <c r="B506" s="110"/>
      <c r="C506" s="76" t="s">
        <v>92</v>
      </c>
      <c r="D506" s="74">
        <v>3</v>
      </c>
      <c r="E506" s="75">
        <v>3.33629893238E-4</v>
      </c>
    </row>
    <row r="507" spans="2:5" ht="15" customHeight="1">
      <c r="B507" s="110"/>
      <c r="C507" s="76" t="s">
        <v>93</v>
      </c>
      <c r="D507" s="74">
        <v>1</v>
      </c>
      <c r="E507" s="75">
        <v>1.1120996441300001E-4</v>
      </c>
    </row>
    <row r="508" spans="2:5" ht="15" customHeight="1">
      <c r="B508" s="110"/>
      <c r="C508" s="76" t="s">
        <v>94</v>
      </c>
      <c r="D508" s="74">
        <v>2</v>
      </c>
      <c r="E508" s="75">
        <v>2.2241992882600001E-4</v>
      </c>
    </row>
    <row r="509" spans="2:5" ht="15" customHeight="1">
      <c r="B509" s="110"/>
      <c r="C509" s="76" t="s">
        <v>95</v>
      </c>
      <c r="D509" s="74">
        <v>6</v>
      </c>
      <c r="E509" s="75">
        <v>6.6725978647699997E-4</v>
      </c>
    </row>
    <row r="510" spans="2:5" ht="15" customHeight="1">
      <c r="B510" s="110"/>
      <c r="C510" s="76" t="s">
        <v>96</v>
      </c>
      <c r="D510" s="74">
        <v>31</v>
      </c>
      <c r="E510" s="75">
        <v>3.4475088967970001E-3</v>
      </c>
    </row>
    <row r="511" spans="2:5" ht="15" customHeight="1">
      <c r="B511" s="110"/>
      <c r="C511" s="76" t="s">
        <v>97</v>
      </c>
      <c r="D511" s="74">
        <v>6</v>
      </c>
      <c r="E511" s="75">
        <v>6.6725978647699997E-4</v>
      </c>
    </row>
    <row r="512" spans="2:5" ht="15" customHeight="1">
      <c r="B512" s="110"/>
      <c r="C512" s="76" t="s">
        <v>98</v>
      </c>
      <c r="D512" s="74">
        <v>3</v>
      </c>
      <c r="E512" s="75">
        <v>3.33629893238E-4</v>
      </c>
    </row>
    <row r="513" spans="2:5" ht="15" customHeight="1">
      <c r="B513" s="110"/>
      <c r="C513" s="76" t="s">
        <v>99</v>
      </c>
      <c r="D513" s="74">
        <v>10</v>
      </c>
      <c r="E513" s="75">
        <v>1.1120996441279999E-3</v>
      </c>
    </row>
    <row r="514" spans="2:5" ht="15" customHeight="1">
      <c r="B514" s="110"/>
      <c r="C514" s="76" t="s">
        <v>100</v>
      </c>
      <c r="D514" s="74">
        <v>66</v>
      </c>
      <c r="E514" s="75">
        <v>7.3398576512459998E-3</v>
      </c>
    </row>
    <row r="515" spans="2:5" ht="15" customHeight="1">
      <c r="B515" s="110"/>
      <c r="C515" s="76" t="s">
        <v>102</v>
      </c>
      <c r="D515" s="74">
        <v>15</v>
      </c>
      <c r="E515" s="75">
        <v>1.668149466192E-3</v>
      </c>
    </row>
    <row r="516" spans="2:5" ht="15" customHeight="1">
      <c r="B516" s="110"/>
      <c r="C516" s="76" t="s">
        <v>103</v>
      </c>
      <c r="D516" s="74">
        <v>37</v>
      </c>
      <c r="E516" s="75">
        <v>4.1147686832740003E-3</v>
      </c>
    </row>
    <row r="517" spans="2:5" ht="15" customHeight="1">
      <c r="B517" s="110"/>
      <c r="C517" s="76" t="s">
        <v>108</v>
      </c>
      <c r="D517" s="74">
        <v>2</v>
      </c>
      <c r="E517" s="75">
        <v>2.2241992882600001E-4</v>
      </c>
    </row>
    <row r="518" spans="2:5" ht="15" customHeight="1">
      <c r="B518" s="110"/>
      <c r="C518" s="76" t="s">
        <v>109</v>
      </c>
      <c r="D518" s="74">
        <v>3</v>
      </c>
      <c r="E518" s="75">
        <v>3.33629893238E-4</v>
      </c>
    </row>
    <row r="519" spans="2:5" ht="15" customHeight="1">
      <c r="B519" s="109"/>
      <c r="C519" s="79" t="s">
        <v>12</v>
      </c>
      <c r="D519" s="77">
        <v>188</v>
      </c>
      <c r="E519" s="80">
        <v>2.0907473309609001E-2</v>
      </c>
    </row>
    <row r="520" spans="2:5" ht="15" customHeight="1">
      <c r="B520" s="108" t="s">
        <v>148</v>
      </c>
      <c r="C520" s="76" t="s">
        <v>89</v>
      </c>
      <c r="D520" s="74">
        <v>2</v>
      </c>
      <c r="E520" s="75">
        <v>2.2241992882600001E-4</v>
      </c>
    </row>
    <row r="521" spans="2:5" ht="15" customHeight="1">
      <c r="B521" s="110"/>
      <c r="C521" s="76" t="s">
        <v>92</v>
      </c>
      <c r="D521" s="74">
        <v>1</v>
      </c>
      <c r="E521" s="75">
        <v>1.1120996441300001E-4</v>
      </c>
    </row>
    <row r="522" spans="2:5" ht="15" customHeight="1">
      <c r="B522" s="110"/>
      <c r="C522" s="76" t="s">
        <v>95</v>
      </c>
      <c r="D522" s="74">
        <v>5</v>
      </c>
      <c r="E522" s="75">
        <v>5.5604982206399996E-4</v>
      </c>
    </row>
    <row r="523" spans="2:5" ht="15" customHeight="1">
      <c r="B523" s="110"/>
      <c r="C523" s="76" t="s">
        <v>96</v>
      </c>
      <c r="D523" s="74">
        <v>18</v>
      </c>
      <c r="E523" s="75">
        <v>2.0017793594310001E-3</v>
      </c>
    </row>
    <row r="524" spans="2:5" ht="15" customHeight="1">
      <c r="B524" s="110"/>
      <c r="C524" s="76" t="s">
        <v>97</v>
      </c>
      <c r="D524" s="74">
        <v>3</v>
      </c>
      <c r="E524" s="75">
        <v>3.33629893238E-4</v>
      </c>
    </row>
    <row r="525" spans="2:5" ht="15" customHeight="1">
      <c r="B525" s="110"/>
      <c r="C525" s="76" t="s">
        <v>98</v>
      </c>
      <c r="D525" s="74">
        <v>3</v>
      </c>
      <c r="E525" s="75">
        <v>3.33629893238E-4</v>
      </c>
    </row>
    <row r="526" spans="2:5" ht="15" customHeight="1">
      <c r="B526" s="110"/>
      <c r="C526" s="76" t="s">
        <v>99</v>
      </c>
      <c r="D526" s="74">
        <v>12</v>
      </c>
      <c r="E526" s="75">
        <v>1.3345195729539999E-3</v>
      </c>
    </row>
    <row r="527" spans="2:5" ht="15" customHeight="1">
      <c r="B527" s="110"/>
      <c r="C527" s="76" t="s">
        <v>100</v>
      </c>
      <c r="D527" s="74">
        <v>31</v>
      </c>
      <c r="E527" s="75">
        <v>3.4475088967970001E-3</v>
      </c>
    </row>
    <row r="528" spans="2:5" ht="15" customHeight="1">
      <c r="B528" s="110"/>
      <c r="C528" s="76" t="s">
        <v>101</v>
      </c>
      <c r="D528" s="74">
        <v>1</v>
      </c>
      <c r="E528" s="75">
        <v>1.1120996441300001E-4</v>
      </c>
    </row>
    <row r="529" spans="2:5" ht="15" customHeight="1">
      <c r="B529" s="110"/>
      <c r="C529" s="76" t="s">
        <v>102</v>
      </c>
      <c r="D529" s="74">
        <v>2</v>
      </c>
      <c r="E529" s="75">
        <v>2.2241992882600001E-4</v>
      </c>
    </row>
    <row r="530" spans="2:5" ht="15" customHeight="1">
      <c r="B530" s="110"/>
      <c r="C530" s="76" t="s">
        <v>103</v>
      </c>
      <c r="D530" s="74">
        <v>30</v>
      </c>
      <c r="E530" s="75">
        <v>3.336298932384E-3</v>
      </c>
    </row>
    <row r="531" spans="2:5" ht="15" customHeight="1">
      <c r="B531" s="110"/>
      <c r="C531" s="76" t="s">
        <v>108</v>
      </c>
      <c r="D531" s="74">
        <v>1</v>
      </c>
      <c r="E531" s="75">
        <v>1.1120996441300001E-4</v>
      </c>
    </row>
    <row r="532" spans="2:5" ht="15" customHeight="1">
      <c r="B532" s="110"/>
      <c r="C532" s="76" t="s">
        <v>109</v>
      </c>
      <c r="D532" s="74">
        <v>2</v>
      </c>
      <c r="E532" s="75">
        <v>2.2241992882600001E-4</v>
      </c>
    </row>
    <row r="533" spans="2:5" ht="15" customHeight="1">
      <c r="B533" s="109"/>
      <c r="C533" s="79" t="s">
        <v>12</v>
      </c>
      <c r="D533" s="77">
        <v>111</v>
      </c>
      <c r="E533" s="80">
        <v>1.2344306049822E-2</v>
      </c>
    </row>
    <row r="534" spans="2:5" ht="15" customHeight="1">
      <c r="B534" s="108" t="s">
        <v>149</v>
      </c>
      <c r="C534" s="76" t="s">
        <v>94</v>
      </c>
      <c r="D534" s="74">
        <v>1</v>
      </c>
      <c r="E534" s="75">
        <v>1.1120996441300001E-4</v>
      </c>
    </row>
    <row r="535" spans="2:5" ht="15" customHeight="1">
      <c r="B535" s="110"/>
      <c r="C535" s="76" t="s">
        <v>95</v>
      </c>
      <c r="D535" s="74">
        <v>4</v>
      </c>
      <c r="E535" s="75">
        <v>4.4483985765100001E-4</v>
      </c>
    </row>
    <row r="536" spans="2:5" ht="15" customHeight="1">
      <c r="B536" s="110"/>
      <c r="C536" s="76" t="s">
        <v>96</v>
      </c>
      <c r="D536" s="74">
        <v>9</v>
      </c>
      <c r="E536" s="75">
        <v>1.000889679715E-3</v>
      </c>
    </row>
    <row r="537" spans="2:5" ht="15" customHeight="1">
      <c r="B537" s="110"/>
      <c r="C537" s="76" t="s">
        <v>97</v>
      </c>
      <c r="D537" s="74">
        <v>2</v>
      </c>
      <c r="E537" s="75">
        <v>2.2241992882600001E-4</v>
      </c>
    </row>
    <row r="538" spans="2:5" ht="15" customHeight="1">
      <c r="B538" s="110"/>
      <c r="C538" s="76" t="s">
        <v>98</v>
      </c>
      <c r="D538" s="74">
        <v>2</v>
      </c>
      <c r="E538" s="75">
        <v>2.2241992882600001E-4</v>
      </c>
    </row>
    <row r="539" spans="2:5" ht="15" customHeight="1">
      <c r="B539" s="110"/>
      <c r="C539" s="76" t="s">
        <v>99</v>
      </c>
      <c r="D539" s="74">
        <v>2</v>
      </c>
      <c r="E539" s="75">
        <v>2.2241992882600001E-4</v>
      </c>
    </row>
    <row r="540" spans="2:5" ht="15" customHeight="1">
      <c r="B540" s="110"/>
      <c r="C540" s="76" t="s">
        <v>100</v>
      </c>
      <c r="D540" s="74">
        <v>33</v>
      </c>
      <c r="E540" s="75">
        <v>3.6699288256229999E-3</v>
      </c>
    </row>
    <row r="541" spans="2:5" ht="15" customHeight="1">
      <c r="B541" s="110"/>
      <c r="C541" s="76" t="s">
        <v>101</v>
      </c>
      <c r="D541" s="74">
        <v>1</v>
      </c>
      <c r="E541" s="75">
        <v>1.1120996441300001E-4</v>
      </c>
    </row>
    <row r="542" spans="2:5" ht="15" customHeight="1">
      <c r="B542" s="110"/>
      <c r="C542" s="76" t="s">
        <v>102</v>
      </c>
      <c r="D542" s="74">
        <v>6</v>
      </c>
      <c r="E542" s="75">
        <v>6.6725978647699997E-4</v>
      </c>
    </row>
    <row r="543" spans="2:5" ht="15" customHeight="1">
      <c r="B543" s="110"/>
      <c r="C543" s="76" t="s">
        <v>103</v>
      </c>
      <c r="D543" s="74">
        <v>8</v>
      </c>
      <c r="E543" s="75">
        <v>8.8967971530200002E-4</v>
      </c>
    </row>
    <row r="544" spans="2:5" ht="15" customHeight="1">
      <c r="B544" s="110"/>
      <c r="C544" s="76" t="s">
        <v>108</v>
      </c>
      <c r="D544" s="74">
        <v>1</v>
      </c>
      <c r="E544" s="75">
        <v>1.1120996441300001E-4</v>
      </c>
    </row>
    <row r="545" spans="2:5" ht="15" customHeight="1">
      <c r="B545" s="110"/>
      <c r="C545" s="76" t="s">
        <v>109</v>
      </c>
      <c r="D545" s="74">
        <v>2</v>
      </c>
      <c r="E545" s="75">
        <v>2.2241992882600001E-4</v>
      </c>
    </row>
    <row r="546" spans="2:5" ht="15" customHeight="1">
      <c r="B546" s="109"/>
      <c r="C546" s="79" t="s">
        <v>12</v>
      </c>
      <c r="D546" s="77">
        <v>71</v>
      </c>
      <c r="E546" s="80">
        <v>7.8959074733099995E-3</v>
      </c>
    </row>
    <row r="547" spans="2:5" ht="15" customHeight="1">
      <c r="B547" s="108" t="s">
        <v>150</v>
      </c>
      <c r="C547" s="76" t="s">
        <v>89</v>
      </c>
      <c r="D547" s="74">
        <v>1</v>
      </c>
      <c r="E547" s="75">
        <v>1.1120996441300001E-4</v>
      </c>
    </row>
    <row r="548" spans="2:5" ht="15" customHeight="1">
      <c r="B548" s="110"/>
      <c r="C548" s="76" t="s">
        <v>92</v>
      </c>
      <c r="D548" s="74">
        <v>1</v>
      </c>
      <c r="E548" s="75">
        <v>1.1120996441300001E-4</v>
      </c>
    </row>
    <row r="549" spans="2:5" ht="15" customHeight="1">
      <c r="B549" s="110"/>
      <c r="C549" s="76" t="s">
        <v>95</v>
      </c>
      <c r="D549" s="74">
        <v>6</v>
      </c>
      <c r="E549" s="75">
        <v>6.6725978647699997E-4</v>
      </c>
    </row>
    <row r="550" spans="2:5" ht="15" customHeight="1">
      <c r="B550" s="110"/>
      <c r="C550" s="76" t="s">
        <v>96</v>
      </c>
      <c r="D550" s="74">
        <v>15</v>
      </c>
      <c r="E550" s="75">
        <v>1.668149466192E-3</v>
      </c>
    </row>
    <row r="551" spans="2:5" ht="15" customHeight="1">
      <c r="B551" s="110"/>
      <c r="C551" s="76" t="s">
        <v>98</v>
      </c>
      <c r="D551" s="74">
        <v>2</v>
      </c>
      <c r="E551" s="75">
        <v>2.2241992882600001E-4</v>
      </c>
    </row>
    <row r="552" spans="2:5" ht="15" customHeight="1">
      <c r="B552" s="110"/>
      <c r="C552" s="76" t="s">
        <v>99</v>
      </c>
      <c r="D552" s="74">
        <v>4</v>
      </c>
      <c r="E552" s="75">
        <v>4.4483985765100001E-4</v>
      </c>
    </row>
    <row r="553" spans="2:5" ht="15" customHeight="1">
      <c r="B553" s="110"/>
      <c r="C553" s="76" t="s">
        <v>100</v>
      </c>
      <c r="D553" s="74">
        <v>27</v>
      </c>
      <c r="E553" s="75">
        <v>3.0026690391460002E-3</v>
      </c>
    </row>
    <row r="554" spans="2:5" ht="15" customHeight="1">
      <c r="B554" s="110"/>
      <c r="C554" s="76" t="s">
        <v>102</v>
      </c>
      <c r="D554" s="74">
        <v>2</v>
      </c>
      <c r="E554" s="75">
        <v>2.2241992882600001E-4</v>
      </c>
    </row>
    <row r="555" spans="2:5" ht="15" customHeight="1">
      <c r="B555" s="110"/>
      <c r="C555" s="76" t="s">
        <v>103</v>
      </c>
      <c r="D555" s="74">
        <v>32</v>
      </c>
      <c r="E555" s="75">
        <v>3.5587188612099998E-3</v>
      </c>
    </row>
    <row r="556" spans="2:5" ht="15" customHeight="1">
      <c r="B556" s="110"/>
      <c r="C556" s="76" t="s">
        <v>107</v>
      </c>
      <c r="D556" s="74">
        <v>1</v>
      </c>
      <c r="E556" s="75">
        <v>1.1120996441300001E-4</v>
      </c>
    </row>
    <row r="557" spans="2:5" ht="15" customHeight="1">
      <c r="B557" s="110"/>
      <c r="C557" s="76" t="s">
        <v>108</v>
      </c>
      <c r="D557" s="74">
        <v>2</v>
      </c>
      <c r="E557" s="75">
        <v>2.2241992882600001E-4</v>
      </c>
    </row>
    <row r="558" spans="2:5" ht="15" customHeight="1">
      <c r="B558" s="110"/>
      <c r="C558" s="76" t="s">
        <v>109</v>
      </c>
      <c r="D558" s="74">
        <v>3</v>
      </c>
      <c r="E558" s="75">
        <v>3.33629893238E-4</v>
      </c>
    </row>
    <row r="559" spans="2:5" ht="15" customHeight="1">
      <c r="B559" s="109"/>
      <c r="C559" s="79" t="s">
        <v>12</v>
      </c>
      <c r="D559" s="77">
        <v>96</v>
      </c>
      <c r="E559" s="80">
        <v>1.0676156583629999E-2</v>
      </c>
    </row>
    <row r="560" spans="2:5" ht="15" customHeight="1">
      <c r="B560" s="108" t="s">
        <v>151</v>
      </c>
      <c r="C560" s="76" t="s">
        <v>91</v>
      </c>
      <c r="D560" s="74">
        <v>1</v>
      </c>
      <c r="E560" s="75">
        <v>1.1120996441300001E-4</v>
      </c>
    </row>
    <row r="561" spans="2:5" ht="15" customHeight="1">
      <c r="B561" s="110"/>
      <c r="C561" s="76" t="s">
        <v>95</v>
      </c>
      <c r="D561" s="74">
        <v>16</v>
      </c>
      <c r="E561" s="75">
        <v>1.7793594306049999E-3</v>
      </c>
    </row>
    <row r="562" spans="2:5" ht="15" customHeight="1">
      <c r="B562" s="110"/>
      <c r="C562" s="76" t="s">
        <v>96</v>
      </c>
      <c r="D562" s="74">
        <v>12</v>
      </c>
      <c r="E562" s="75">
        <v>1.3345195729539999E-3</v>
      </c>
    </row>
    <row r="563" spans="2:5" ht="15" customHeight="1">
      <c r="B563" s="110"/>
      <c r="C563" s="76" t="s">
        <v>97</v>
      </c>
      <c r="D563" s="74">
        <v>1</v>
      </c>
      <c r="E563" s="75">
        <v>1.1120996441300001E-4</v>
      </c>
    </row>
    <row r="564" spans="2:5" ht="15" customHeight="1">
      <c r="B564" s="110"/>
      <c r="C564" s="76" t="s">
        <v>98</v>
      </c>
      <c r="D564" s="74">
        <v>5</v>
      </c>
      <c r="E564" s="75">
        <v>5.5604982206399996E-4</v>
      </c>
    </row>
    <row r="565" spans="2:5" ht="15" customHeight="1">
      <c r="B565" s="110"/>
      <c r="C565" s="76" t="s">
        <v>99</v>
      </c>
      <c r="D565" s="74">
        <v>5</v>
      </c>
      <c r="E565" s="75">
        <v>5.5604982206399996E-4</v>
      </c>
    </row>
    <row r="566" spans="2:5" ht="15" customHeight="1">
      <c r="B566" s="110"/>
      <c r="C566" s="76" t="s">
        <v>100</v>
      </c>
      <c r="D566" s="74">
        <v>53</v>
      </c>
      <c r="E566" s="75">
        <v>5.8941281138790002E-3</v>
      </c>
    </row>
    <row r="567" spans="2:5" ht="15" customHeight="1">
      <c r="B567" s="110"/>
      <c r="C567" s="76" t="s">
        <v>101</v>
      </c>
      <c r="D567" s="74">
        <v>1</v>
      </c>
      <c r="E567" s="75">
        <v>1.1120996441300001E-4</v>
      </c>
    </row>
    <row r="568" spans="2:5" ht="15" customHeight="1">
      <c r="B568" s="110"/>
      <c r="C568" s="76" t="s">
        <v>103</v>
      </c>
      <c r="D568" s="74">
        <v>30</v>
      </c>
      <c r="E568" s="75">
        <v>3.336298932384E-3</v>
      </c>
    </row>
    <row r="569" spans="2:5" ht="15" customHeight="1">
      <c r="B569" s="110"/>
      <c r="C569" s="76" t="s">
        <v>108</v>
      </c>
      <c r="D569" s="74">
        <v>2</v>
      </c>
      <c r="E569" s="75">
        <v>2.2241992882600001E-4</v>
      </c>
    </row>
    <row r="570" spans="2:5" ht="15" customHeight="1">
      <c r="B570" s="110"/>
      <c r="C570" s="76" t="s">
        <v>109</v>
      </c>
      <c r="D570" s="74">
        <v>3</v>
      </c>
      <c r="E570" s="75">
        <v>3.33629893238E-4</v>
      </c>
    </row>
    <row r="571" spans="2:5" ht="15" customHeight="1">
      <c r="B571" s="109"/>
      <c r="C571" s="79" t="s">
        <v>12</v>
      </c>
      <c r="D571" s="77">
        <v>129</v>
      </c>
      <c r="E571" s="80">
        <v>1.4346085409252999E-2</v>
      </c>
    </row>
    <row r="572" spans="2:5" ht="15" customHeight="1">
      <c r="B572" s="108" t="s">
        <v>152</v>
      </c>
      <c r="C572" s="76" t="s">
        <v>89</v>
      </c>
      <c r="D572" s="74">
        <v>1</v>
      </c>
      <c r="E572" s="75">
        <v>1.1120996441300001E-4</v>
      </c>
    </row>
    <row r="573" spans="2:5" ht="15" customHeight="1">
      <c r="B573" s="110"/>
      <c r="C573" s="76" t="s">
        <v>90</v>
      </c>
      <c r="D573" s="74">
        <v>1</v>
      </c>
      <c r="E573" s="75">
        <v>1.1120996441300001E-4</v>
      </c>
    </row>
    <row r="574" spans="2:5" ht="15" customHeight="1">
      <c r="B574" s="110"/>
      <c r="C574" s="76" t="s">
        <v>92</v>
      </c>
      <c r="D574" s="74">
        <v>5</v>
      </c>
      <c r="E574" s="75">
        <v>5.5604982206399996E-4</v>
      </c>
    </row>
    <row r="575" spans="2:5" ht="15" customHeight="1">
      <c r="B575" s="110"/>
      <c r="C575" s="76" t="s">
        <v>93</v>
      </c>
      <c r="D575" s="74">
        <v>4</v>
      </c>
      <c r="E575" s="75">
        <v>4.4483985765100001E-4</v>
      </c>
    </row>
    <row r="576" spans="2:5" ht="15" customHeight="1">
      <c r="B576" s="110"/>
      <c r="C576" s="76" t="s">
        <v>94</v>
      </c>
      <c r="D576" s="74">
        <v>1</v>
      </c>
      <c r="E576" s="75">
        <v>1.1120996441300001E-4</v>
      </c>
    </row>
    <row r="577" spans="2:5" ht="15" customHeight="1">
      <c r="B577" s="110"/>
      <c r="C577" s="76" t="s">
        <v>95</v>
      </c>
      <c r="D577" s="74">
        <v>24</v>
      </c>
      <c r="E577" s="75">
        <v>2.6690391459069998E-3</v>
      </c>
    </row>
    <row r="578" spans="2:5" ht="15" customHeight="1">
      <c r="B578" s="110"/>
      <c r="C578" s="76" t="s">
        <v>96</v>
      </c>
      <c r="D578" s="74">
        <v>22</v>
      </c>
      <c r="E578" s="75">
        <v>2.4466192170820001E-3</v>
      </c>
    </row>
    <row r="579" spans="2:5" ht="15" customHeight="1">
      <c r="B579" s="110"/>
      <c r="C579" s="76" t="s">
        <v>98</v>
      </c>
      <c r="D579" s="74">
        <v>6</v>
      </c>
      <c r="E579" s="75">
        <v>6.6725978647699997E-4</v>
      </c>
    </row>
    <row r="580" spans="2:5" ht="15" customHeight="1">
      <c r="B580" s="110"/>
      <c r="C580" s="76" t="s">
        <v>99</v>
      </c>
      <c r="D580" s="74">
        <v>13</v>
      </c>
      <c r="E580" s="75">
        <v>1.4457295373670001E-3</v>
      </c>
    </row>
    <row r="581" spans="2:5" ht="15" customHeight="1">
      <c r="B581" s="110"/>
      <c r="C581" s="76" t="s">
        <v>100</v>
      </c>
      <c r="D581" s="74">
        <v>62</v>
      </c>
      <c r="E581" s="75">
        <v>6.8950177935940002E-3</v>
      </c>
    </row>
    <row r="582" spans="2:5" ht="15" customHeight="1">
      <c r="B582" s="110"/>
      <c r="C582" s="76" t="s">
        <v>101</v>
      </c>
      <c r="D582" s="74">
        <v>3</v>
      </c>
      <c r="E582" s="75">
        <v>3.33629893238E-4</v>
      </c>
    </row>
    <row r="583" spans="2:5" ht="15" customHeight="1">
      <c r="B583" s="110"/>
      <c r="C583" s="76" t="s">
        <v>102</v>
      </c>
      <c r="D583" s="74">
        <v>15</v>
      </c>
      <c r="E583" s="75">
        <v>1.668149466192E-3</v>
      </c>
    </row>
    <row r="584" spans="2:5" ht="15" customHeight="1">
      <c r="B584" s="110"/>
      <c r="C584" s="76" t="s">
        <v>103</v>
      </c>
      <c r="D584" s="74">
        <v>50</v>
      </c>
      <c r="E584" s="75">
        <v>5.5604982206409999E-3</v>
      </c>
    </row>
    <row r="585" spans="2:5" ht="15" customHeight="1">
      <c r="B585" s="110"/>
      <c r="C585" s="76" t="s">
        <v>105</v>
      </c>
      <c r="D585" s="74">
        <v>4</v>
      </c>
      <c r="E585" s="75">
        <v>4.4483985765100001E-4</v>
      </c>
    </row>
    <row r="586" spans="2:5" ht="15" customHeight="1">
      <c r="B586" s="110"/>
      <c r="C586" s="76" t="s">
        <v>108</v>
      </c>
      <c r="D586" s="74">
        <v>5</v>
      </c>
      <c r="E586" s="75">
        <v>5.5604982206399996E-4</v>
      </c>
    </row>
    <row r="587" spans="2:5" ht="15" customHeight="1">
      <c r="B587" s="110"/>
      <c r="C587" s="76" t="s">
        <v>109</v>
      </c>
      <c r="D587" s="74">
        <v>6</v>
      </c>
      <c r="E587" s="75">
        <v>6.6725978647699997E-4</v>
      </c>
    </row>
    <row r="588" spans="2:5" ht="15" customHeight="1">
      <c r="B588" s="109"/>
      <c r="C588" s="79" t="s">
        <v>12</v>
      </c>
      <c r="D588" s="77">
        <v>222</v>
      </c>
      <c r="E588" s="80">
        <v>2.4688612099644E-2</v>
      </c>
    </row>
    <row r="589" spans="2:5" ht="15" customHeight="1">
      <c r="B589" s="108" t="s">
        <v>153</v>
      </c>
      <c r="C589" s="76" t="s">
        <v>92</v>
      </c>
      <c r="D589" s="74">
        <v>2</v>
      </c>
      <c r="E589" s="75">
        <v>2.2241992882600001E-4</v>
      </c>
    </row>
    <row r="590" spans="2:5" ht="15" customHeight="1">
      <c r="B590" s="110"/>
      <c r="C590" s="76" t="s">
        <v>94</v>
      </c>
      <c r="D590" s="74">
        <v>2</v>
      </c>
      <c r="E590" s="75">
        <v>2.2241992882600001E-4</v>
      </c>
    </row>
    <row r="591" spans="2:5" ht="15" customHeight="1">
      <c r="B591" s="110"/>
      <c r="C591" s="76" t="s">
        <v>95</v>
      </c>
      <c r="D591" s="74">
        <v>3</v>
      </c>
      <c r="E591" s="75">
        <v>3.33629893238E-4</v>
      </c>
    </row>
    <row r="592" spans="2:5" ht="15" customHeight="1">
      <c r="B592" s="110"/>
      <c r="C592" s="76" t="s">
        <v>96</v>
      </c>
      <c r="D592" s="74">
        <v>4</v>
      </c>
      <c r="E592" s="75">
        <v>4.4483985765100001E-4</v>
      </c>
    </row>
    <row r="593" spans="2:5" ht="15" customHeight="1">
      <c r="B593" s="110"/>
      <c r="C593" s="76" t="s">
        <v>97</v>
      </c>
      <c r="D593" s="74">
        <v>1</v>
      </c>
      <c r="E593" s="75">
        <v>1.1120996441300001E-4</v>
      </c>
    </row>
    <row r="594" spans="2:5" ht="15" customHeight="1">
      <c r="B594" s="110"/>
      <c r="C594" s="76" t="s">
        <v>98</v>
      </c>
      <c r="D594" s="74">
        <v>1</v>
      </c>
      <c r="E594" s="75">
        <v>1.1120996441300001E-4</v>
      </c>
    </row>
    <row r="595" spans="2:5" ht="15" customHeight="1">
      <c r="B595" s="110"/>
      <c r="C595" s="76" t="s">
        <v>99</v>
      </c>
      <c r="D595" s="74">
        <v>4</v>
      </c>
      <c r="E595" s="75">
        <v>4.4483985765100001E-4</v>
      </c>
    </row>
    <row r="596" spans="2:5" ht="15" customHeight="1">
      <c r="B596" s="110"/>
      <c r="C596" s="76" t="s">
        <v>100</v>
      </c>
      <c r="D596" s="74">
        <v>18</v>
      </c>
      <c r="E596" s="75">
        <v>2.0017793594310001E-3</v>
      </c>
    </row>
    <row r="597" spans="2:5" ht="15" customHeight="1">
      <c r="B597" s="110"/>
      <c r="C597" s="76" t="s">
        <v>101</v>
      </c>
      <c r="D597" s="74">
        <v>1</v>
      </c>
      <c r="E597" s="75">
        <v>1.1120996441300001E-4</v>
      </c>
    </row>
    <row r="598" spans="2:5" ht="15" customHeight="1">
      <c r="B598" s="110"/>
      <c r="C598" s="76" t="s">
        <v>102</v>
      </c>
      <c r="D598" s="74">
        <v>3</v>
      </c>
      <c r="E598" s="75">
        <v>3.33629893238E-4</v>
      </c>
    </row>
    <row r="599" spans="2:5" ht="15" customHeight="1">
      <c r="B599" s="110"/>
      <c r="C599" s="76" t="s">
        <v>103</v>
      </c>
      <c r="D599" s="74">
        <v>14</v>
      </c>
      <c r="E599" s="75">
        <v>1.5569395017790001E-3</v>
      </c>
    </row>
    <row r="600" spans="2:5" ht="15" customHeight="1">
      <c r="B600" s="110"/>
      <c r="C600" s="76" t="s">
        <v>108</v>
      </c>
      <c r="D600" s="74">
        <v>1</v>
      </c>
      <c r="E600" s="75">
        <v>1.1120996441300001E-4</v>
      </c>
    </row>
    <row r="601" spans="2:5" ht="15" customHeight="1">
      <c r="B601" s="110"/>
      <c r="C601" s="76" t="s">
        <v>109</v>
      </c>
      <c r="D601" s="74">
        <v>1</v>
      </c>
      <c r="E601" s="75">
        <v>1.1120996441300001E-4</v>
      </c>
    </row>
    <row r="602" spans="2:5" ht="15" customHeight="1">
      <c r="B602" s="110"/>
      <c r="C602" s="76" t="s">
        <v>111</v>
      </c>
      <c r="D602" s="74">
        <v>1</v>
      </c>
      <c r="E602" s="75">
        <v>1.1120996441300001E-4</v>
      </c>
    </row>
    <row r="603" spans="2:5" ht="15" customHeight="1">
      <c r="B603" s="109"/>
      <c r="C603" s="79" t="s">
        <v>12</v>
      </c>
      <c r="D603" s="77">
        <v>56</v>
      </c>
      <c r="E603" s="80">
        <v>6.2277580071169996E-3</v>
      </c>
    </row>
    <row r="604" spans="2:5" ht="15" customHeight="1">
      <c r="B604" s="108" t="s">
        <v>154</v>
      </c>
      <c r="C604" s="76" t="s">
        <v>91</v>
      </c>
      <c r="D604" s="74">
        <v>1</v>
      </c>
      <c r="E604" s="75">
        <v>1.1120996441300001E-4</v>
      </c>
    </row>
    <row r="605" spans="2:5" ht="15" customHeight="1">
      <c r="B605" s="110"/>
      <c r="C605" s="76" t="s">
        <v>92</v>
      </c>
      <c r="D605" s="74">
        <v>1</v>
      </c>
      <c r="E605" s="75">
        <v>1.1120996441300001E-4</v>
      </c>
    </row>
    <row r="606" spans="2:5" ht="15" customHeight="1">
      <c r="B606" s="110"/>
      <c r="C606" s="76" t="s">
        <v>94</v>
      </c>
      <c r="D606" s="74">
        <v>4</v>
      </c>
      <c r="E606" s="75">
        <v>4.4483985765100001E-4</v>
      </c>
    </row>
    <row r="607" spans="2:5" ht="15" customHeight="1">
      <c r="B607" s="110"/>
      <c r="C607" s="76" t="s">
        <v>95</v>
      </c>
      <c r="D607" s="74">
        <v>6</v>
      </c>
      <c r="E607" s="75">
        <v>6.6725978647699997E-4</v>
      </c>
    </row>
    <row r="608" spans="2:5" ht="15" customHeight="1">
      <c r="B608" s="110"/>
      <c r="C608" s="76" t="s">
        <v>96</v>
      </c>
      <c r="D608" s="74">
        <v>5</v>
      </c>
      <c r="E608" s="75">
        <v>5.5604982206399996E-4</v>
      </c>
    </row>
    <row r="609" spans="2:5" ht="15" customHeight="1">
      <c r="B609" s="110"/>
      <c r="C609" s="76" t="s">
        <v>98</v>
      </c>
      <c r="D609" s="74">
        <v>1</v>
      </c>
      <c r="E609" s="75">
        <v>1.1120996441300001E-4</v>
      </c>
    </row>
    <row r="610" spans="2:5" ht="15" customHeight="1">
      <c r="B610" s="110"/>
      <c r="C610" s="76" t="s">
        <v>99</v>
      </c>
      <c r="D610" s="74">
        <v>4</v>
      </c>
      <c r="E610" s="75">
        <v>4.4483985765100001E-4</v>
      </c>
    </row>
    <row r="611" spans="2:5" ht="15" customHeight="1">
      <c r="B611" s="110"/>
      <c r="C611" s="76" t="s">
        <v>100</v>
      </c>
      <c r="D611" s="74">
        <v>27</v>
      </c>
      <c r="E611" s="75">
        <v>3.0026690391460002E-3</v>
      </c>
    </row>
    <row r="612" spans="2:5" ht="15" customHeight="1">
      <c r="B612" s="110"/>
      <c r="C612" s="76" t="s">
        <v>101</v>
      </c>
      <c r="D612" s="74">
        <v>2</v>
      </c>
      <c r="E612" s="75">
        <v>2.2241992882600001E-4</v>
      </c>
    </row>
    <row r="613" spans="2:5" ht="15" customHeight="1">
      <c r="B613" s="110"/>
      <c r="C613" s="76" t="s">
        <v>102</v>
      </c>
      <c r="D613" s="74">
        <v>5</v>
      </c>
      <c r="E613" s="75">
        <v>5.5604982206399996E-4</v>
      </c>
    </row>
    <row r="614" spans="2:5" ht="15" customHeight="1">
      <c r="B614" s="110"/>
      <c r="C614" s="76" t="s">
        <v>103</v>
      </c>
      <c r="D614" s="74">
        <v>9</v>
      </c>
      <c r="E614" s="75">
        <v>1.000889679715E-3</v>
      </c>
    </row>
    <row r="615" spans="2:5" ht="15" customHeight="1">
      <c r="B615" s="110"/>
      <c r="C615" s="76" t="s">
        <v>105</v>
      </c>
      <c r="D615" s="74">
        <v>1</v>
      </c>
      <c r="E615" s="75">
        <v>1.1120996441300001E-4</v>
      </c>
    </row>
    <row r="616" spans="2:5" ht="15" customHeight="1">
      <c r="B616" s="110"/>
      <c r="C616" s="76" t="s">
        <v>109</v>
      </c>
      <c r="D616" s="74">
        <v>1</v>
      </c>
      <c r="E616" s="75">
        <v>1.1120996441300001E-4</v>
      </c>
    </row>
    <row r="617" spans="2:5" ht="15" customHeight="1">
      <c r="B617" s="109"/>
      <c r="C617" s="79" t="s">
        <v>12</v>
      </c>
      <c r="D617" s="77">
        <v>67</v>
      </c>
      <c r="E617" s="80">
        <v>7.4510676156579999E-3</v>
      </c>
    </row>
    <row r="618" spans="2:5" ht="15" customHeight="1">
      <c r="B618" s="108" t="s">
        <v>155</v>
      </c>
      <c r="C618" s="76" t="s">
        <v>89</v>
      </c>
      <c r="D618" s="74">
        <v>2</v>
      </c>
      <c r="E618" s="75">
        <v>2.2241992882600001E-4</v>
      </c>
    </row>
    <row r="619" spans="2:5" ht="15" customHeight="1">
      <c r="B619" s="110"/>
      <c r="C619" s="76" t="s">
        <v>90</v>
      </c>
      <c r="D619" s="74">
        <v>1</v>
      </c>
      <c r="E619" s="75">
        <v>1.1120996441300001E-4</v>
      </c>
    </row>
    <row r="620" spans="2:5" ht="15" customHeight="1">
      <c r="B620" s="110"/>
      <c r="C620" s="76" t="s">
        <v>91</v>
      </c>
      <c r="D620" s="74">
        <v>1</v>
      </c>
      <c r="E620" s="75">
        <v>1.1120996441300001E-4</v>
      </c>
    </row>
    <row r="621" spans="2:5" ht="15" customHeight="1">
      <c r="B621" s="110"/>
      <c r="C621" s="76" t="s">
        <v>92</v>
      </c>
      <c r="D621" s="74">
        <v>1</v>
      </c>
      <c r="E621" s="75">
        <v>1.1120996441300001E-4</v>
      </c>
    </row>
    <row r="622" spans="2:5" ht="15" customHeight="1">
      <c r="B622" s="110"/>
      <c r="C622" s="76" t="s">
        <v>94</v>
      </c>
      <c r="D622" s="74">
        <v>1</v>
      </c>
      <c r="E622" s="75">
        <v>1.1120996441300001E-4</v>
      </c>
    </row>
    <row r="623" spans="2:5" ht="15" customHeight="1">
      <c r="B623" s="110"/>
      <c r="C623" s="76" t="s">
        <v>95</v>
      </c>
      <c r="D623" s="74">
        <v>7</v>
      </c>
      <c r="E623" s="75">
        <v>7.7846975088999998E-4</v>
      </c>
    </row>
    <row r="624" spans="2:5" ht="15" customHeight="1">
      <c r="B624" s="110"/>
      <c r="C624" s="76" t="s">
        <v>96</v>
      </c>
      <c r="D624" s="74">
        <v>14</v>
      </c>
      <c r="E624" s="75">
        <v>1.5569395017790001E-3</v>
      </c>
    </row>
    <row r="625" spans="2:5" ht="15" customHeight="1">
      <c r="B625" s="110"/>
      <c r="C625" s="76" t="s">
        <v>97</v>
      </c>
      <c r="D625" s="74">
        <v>1</v>
      </c>
      <c r="E625" s="75">
        <v>1.1120996441300001E-4</v>
      </c>
    </row>
    <row r="626" spans="2:5" ht="15" customHeight="1">
      <c r="B626" s="110"/>
      <c r="C626" s="76" t="s">
        <v>98</v>
      </c>
      <c r="D626" s="74">
        <v>1</v>
      </c>
      <c r="E626" s="75">
        <v>1.1120996441300001E-4</v>
      </c>
    </row>
    <row r="627" spans="2:5" ht="15" customHeight="1">
      <c r="B627" s="110"/>
      <c r="C627" s="76" t="s">
        <v>99</v>
      </c>
      <c r="D627" s="74">
        <v>3</v>
      </c>
      <c r="E627" s="75">
        <v>3.33629893238E-4</v>
      </c>
    </row>
    <row r="628" spans="2:5" ht="15" customHeight="1">
      <c r="B628" s="110"/>
      <c r="C628" s="76" t="s">
        <v>100</v>
      </c>
      <c r="D628" s="74">
        <v>19</v>
      </c>
      <c r="E628" s="75">
        <v>2.1129893238430002E-3</v>
      </c>
    </row>
    <row r="629" spans="2:5" ht="15" customHeight="1">
      <c r="B629" s="110"/>
      <c r="C629" s="76" t="s">
        <v>102</v>
      </c>
      <c r="D629" s="74">
        <v>6</v>
      </c>
      <c r="E629" s="75">
        <v>6.6725978647699997E-4</v>
      </c>
    </row>
    <row r="630" spans="2:5" ht="15" customHeight="1">
      <c r="B630" s="110"/>
      <c r="C630" s="76" t="s">
        <v>103</v>
      </c>
      <c r="D630" s="74">
        <v>18</v>
      </c>
      <c r="E630" s="75">
        <v>2.0017793594310001E-3</v>
      </c>
    </row>
    <row r="631" spans="2:5" ht="15" customHeight="1">
      <c r="B631" s="110"/>
      <c r="C631" s="76" t="s">
        <v>105</v>
      </c>
      <c r="D631" s="74">
        <v>2</v>
      </c>
      <c r="E631" s="75">
        <v>2.2241992882600001E-4</v>
      </c>
    </row>
    <row r="632" spans="2:5" ht="15" customHeight="1">
      <c r="B632" s="110"/>
      <c r="C632" s="76" t="s">
        <v>109</v>
      </c>
      <c r="D632" s="74">
        <v>2</v>
      </c>
      <c r="E632" s="75">
        <v>2.2241992882600001E-4</v>
      </c>
    </row>
    <row r="633" spans="2:5" ht="15" customHeight="1">
      <c r="B633" s="109"/>
      <c r="C633" s="79" t="s">
        <v>12</v>
      </c>
      <c r="D633" s="77">
        <v>79</v>
      </c>
      <c r="E633" s="80">
        <v>8.7855871886120002E-3</v>
      </c>
    </row>
    <row r="634" spans="2:5" ht="15" customHeight="1">
      <c r="B634" s="108" t="s">
        <v>156</v>
      </c>
      <c r="C634" s="76" t="s">
        <v>89</v>
      </c>
      <c r="D634" s="74">
        <v>2</v>
      </c>
      <c r="E634" s="75">
        <v>2.2241992882600001E-4</v>
      </c>
    </row>
    <row r="635" spans="2:5" ht="15" customHeight="1">
      <c r="B635" s="110"/>
      <c r="C635" s="76" t="s">
        <v>91</v>
      </c>
      <c r="D635" s="74">
        <v>1</v>
      </c>
      <c r="E635" s="75">
        <v>1.1120996441300001E-4</v>
      </c>
    </row>
    <row r="636" spans="2:5" ht="15" customHeight="1">
      <c r="B636" s="110"/>
      <c r="C636" s="76" t="s">
        <v>92</v>
      </c>
      <c r="D636" s="74">
        <v>1</v>
      </c>
      <c r="E636" s="75">
        <v>1.1120996441300001E-4</v>
      </c>
    </row>
    <row r="637" spans="2:5" ht="15" customHeight="1">
      <c r="B637" s="110"/>
      <c r="C637" s="76" t="s">
        <v>93</v>
      </c>
      <c r="D637" s="74">
        <v>1</v>
      </c>
      <c r="E637" s="75">
        <v>1.1120996441300001E-4</v>
      </c>
    </row>
    <row r="638" spans="2:5" ht="15" customHeight="1">
      <c r="B638" s="110"/>
      <c r="C638" s="76" t="s">
        <v>94</v>
      </c>
      <c r="D638" s="74">
        <v>1</v>
      </c>
      <c r="E638" s="75">
        <v>1.1120996441300001E-4</v>
      </c>
    </row>
    <row r="639" spans="2:5" ht="15" customHeight="1">
      <c r="B639" s="110"/>
      <c r="C639" s="76" t="s">
        <v>95</v>
      </c>
      <c r="D639" s="74">
        <v>7</v>
      </c>
      <c r="E639" s="75">
        <v>7.7846975088999998E-4</v>
      </c>
    </row>
    <row r="640" spans="2:5" ht="15" customHeight="1">
      <c r="B640" s="110"/>
      <c r="C640" s="76" t="s">
        <v>96</v>
      </c>
      <c r="D640" s="74">
        <v>25</v>
      </c>
      <c r="E640" s="75">
        <v>2.7802491103199999E-3</v>
      </c>
    </row>
    <row r="641" spans="2:5" ht="15" customHeight="1">
      <c r="B641" s="110"/>
      <c r="C641" s="76" t="s">
        <v>97</v>
      </c>
      <c r="D641" s="74">
        <v>1</v>
      </c>
      <c r="E641" s="75">
        <v>1.1120996441300001E-4</v>
      </c>
    </row>
    <row r="642" spans="2:5" ht="15" customHeight="1">
      <c r="B642" s="110"/>
      <c r="C642" s="76" t="s">
        <v>98</v>
      </c>
      <c r="D642" s="74">
        <v>6</v>
      </c>
      <c r="E642" s="75">
        <v>6.6725978647699997E-4</v>
      </c>
    </row>
    <row r="643" spans="2:5" ht="15" customHeight="1">
      <c r="B643" s="110"/>
      <c r="C643" s="76" t="s">
        <v>99</v>
      </c>
      <c r="D643" s="74">
        <v>6</v>
      </c>
      <c r="E643" s="75">
        <v>6.6725978647699997E-4</v>
      </c>
    </row>
    <row r="644" spans="2:5" ht="15" customHeight="1">
      <c r="B644" s="110"/>
      <c r="C644" s="76" t="s">
        <v>100</v>
      </c>
      <c r="D644" s="74">
        <v>32</v>
      </c>
      <c r="E644" s="75">
        <v>3.5587188612099998E-3</v>
      </c>
    </row>
    <row r="645" spans="2:5" ht="15" customHeight="1">
      <c r="B645" s="110"/>
      <c r="C645" s="76" t="s">
        <v>101</v>
      </c>
      <c r="D645" s="74">
        <v>1</v>
      </c>
      <c r="E645" s="75">
        <v>1.1120996441300001E-4</v>
      </c>
    </row>
    <row r="646" spans="2:5" ht="15" customHeight="1">
      <c r="B646" s="110"/>
      <c r="C646" s="76" t="s">
        <v>102</v>
      </c>
      <c r="D646" s="74">
        <v>6</v>
      </c>
      <c r="E646" s="75">
        <v>6.6725978647699997E-4</v>
      </c>
    </row>
    <row r="647" spans="2:5" ht="15" customHeight="1">
      <c r="B647" s="110"/>
      <c r="C647" s="76" t="s">
        <v>103</v>
      </c>
      <c r="D647" s="74">
        <v>23</v>
      </c>
      <c r="E647" s="75">
        <v>2.5578291814950002E-3</v>
      </c>
    </row>
    <row r="648" spans="2:5" ht="15" customHeight="1">
      <c r="B648" s="110"/>
      <c r="C648" s="76" t="s">
        <v>104</v>
      </c>
      <c r="D648" s="74">
        <v>1</v>
      </c>
      <c r="E648" s="75">
        <v>1.1120996441300001E-4</v>
      </c>
    </row>
    <row r="649" spans="2:5" ht="15" customHeight="1">
      <c r="B649" s="110"/>
      <c r="C649" s="76" t="s">
        <v>106</v>
      </c>
      <c r="D649" s="74">
        <v>2</v>
      </c>
      <c r="E649" s="75">
        <v>2.2241992882600001E-4</v>
      </c>
    </row>
    <row r="650" spans="2:5" ht="15" customHeight="1">
      <c r="B650" s="110"/>
      <c r="C650" s="76" t="s">
        <v>108</v>
      </c>
      <c r="D650" s="74">
        <v>2</v>
      </c>
      <c r="E650" s="75">
        <v>2.2241992882600001E-4</v>
      </c>
    </row>
    <row r="651" spans="2:5" ht="15" customHeight="1">
      <c r="B651" s="110"/>
      <c r="C651" s="76" t="s">
        <v>109</v>
      </c>
      <c r="D651" s="74">
        <v>8</v>
      </c>
      <c r="E651" s="75">
        <v>8.8967971530200002E-4</v>
      </c>
    </row>
    <row r="652" spans="2:5" ht="15" customHeight="1">
      <c r="B652" s="110"/>
      <c r="C652" s="76" t="s">
        <v>110</v>
      </c>
      <c r="D652" s="74">
        <v>2</v>
      </c>
      <c r="E652" s="75">
        <v>2.2241992882600001E-4</v>
      </c>
    </row>
    <row r="653" spans="2:5" ht="15" customHeight="1">
      <c r="B653" s="109"/>
      <c r="C653" s="79" t="s">
        <v>12</v>
      </c>
      <c r="D653" s="77">
        <v>128</v>
      </c>
      <c r="E653" s="80">
        <v>1.4234875444839999E-2</v>
      </c>
    </row>
    <row r="654" spans="2:5" ht="15" customHeight="1">
      <c r="B654" s="108" t="s">
        <v>157</v>
      </c>
      <c r="C654" s="76" t="s">
        <v>89</v>
      </c>
      <c r="D654" s="74">
        <v>1</v>
      </c>
      <c r="E654" s="75">
        <v>1.1120996441300001E-4</v>
      </c>
    </row>
    <row r="655" spans="2:5" ht="15" customHeight="1">
      <c r="B655" s="110"/>
      <c r="C655" s="76" t="s">
        <v>91</v>
      </c>
      <c r="D655" s="74">
        <v>1</v>
      </c>
      <c r="E655" s="75">
        <v>1.1120996441300001E-4</v>
      </c>
    </row>
    <row r="656" spans="2:5" ht="15" customHeight="1">
      <c r="B656" s="110"/>
      <c r="C656" s="76" t="s">
        <v>92</v>
      </c>
      <c r="D656" s="74">
        <v>1</v>
      </c>
      <c r="E656" s="75">
        <v>1.1120996441300001E-4</v>
      </c>
    </row>
    <row r="657" spans="2:5" ht="15" customHeight="1">
      <c r="B657" s="110"/>
      <c r="C657" s="76" t="s">
        <v>94</v>
      </c>
      <c r="D657" s="74">
        <v>1</v>
      </c>
      <c r="E657" s="75">
        <v>1.1120996441300001E-4</v>
      </c>
    </row>
    <row r="658" spans="2:5" ht="15" customHeight="1">
      <c r="B658" s="110"/>
      <c r="C658" s="76" t="s">
        <v>96</v>
      </c>
      <c r="D658" s="74">
        <v>6</v>
      </c>
      <c r="E658" s="75">
        <v>6.6725978647699997E-4</v>
      </c>
    </row>
    <row r="659" spans="2:5" ht="15" customHeight="1">
      <c r="B659" s="110"/>
      <c r="C659" s="76" t="s">
        <v>97</v>
      </c>
      <c r="D659" s="74">
        <v>2</v>
      </c>
      <c r="E659" s="75">
        <v>2.2241992882600001E-4</v>
      </c>
    </row>
    <row r="660" spans="2:5" ht="15" customHeight="1">
      <c r="B660" s="110"/>
      <c r="C660" s="76" t="s">
        <v>98</v>
      </c>
      <c r="D660" s="74">
        <v>1</v>
      </c>
      <c r="E660" s="75">
        <v>1.1120996441300001E-4</v>
      </c>
    </row>
    <row r="661" spans="2:5" ht="15" customHeight="1">
      <c r="B661" s="110"/>
      <c r="C661" s="76" t="s">
        <v>99</v>
      </c>
      <c r="D661" s="74">
        <v>3</v>
      </c>
      <c r="E661" s="75">
        <v>3.33629893238E-4</v>
      </c>
    </row>
    <row r="662" spans="2:5" ht="15" customHeight="1">
      <c r="B662" s="110"/>
      <c r="C662" s="76" t="s">
        <v>100</v>
      </c>
      <c r="D662" s="74">
        <v>22</v>
      </c>
      <c r="E662" s="75">
        <v>2.4466192170820001E-3</v>
      </c>
    </row>
    <row r="663" spans="2:5" ht="15" customHeight="1">
      <c r="B663" s="110"/>
      <c r="C663" s="76" t="s">
        <v>102</v>
      </c>
      <c r="D663" s="74">
        <v>3</v>
      </c>
      <c r="E663" s="75">
        <v>3.33629893238E-4</v>
      </c>
    </row>
    <row r="664" spans="2:5" ht="15" customHeight="1">
      <c r="B664" s="110"/>
      <c r="C664" s="76" t="s">
        <v>103</v>
      </c>
      <c r="D664" s="74">
        <v>6</v>
      </c>
      <c r="E664" s="75">
        <v>6.6725978647699997E-4</v>
      </c>
    </row>
    <row r="665" spans="2:5" ht="15" customHeight="1">
      <c r="B665" s="110"/>
      <c r="C665" s="76" t="s">
        <v>109</v>
      </c>
      <c r="D665" s="74">
        <v>1</v>
      </c>
      <c r="E665" s="75">
        <v>1.1120996441300001E-4</v>
      </c>
    </row>
    <row r="666" spans="2:5" ht="15" customHeight="1">
      <c r="B666" s="109"/>
      <c r="C666" s="79" t="s">
        <v>12</v>
      </c>
      <c r="D666" s="77">
        <v>48</v>
      </c>
      <c r="E666" s="80">
        <v>5.3380782918149997E-3</v>
      </c>
    </row>
    <row r="667" spans="2:5" ht="15" customHeight="1">
      <c r="B667" s="108" t="s">
        <v>158</v>
      </c>
      <c r="C667" s="76" t="s">
        <v>93</v>
      </c>
      <c r="D667" s="74">
        <v>1</v>
      </c>
      <c r="E667" s="75">
        <v>1.1120996441300001E-4</v>
      </c>
    </row>
    <row r="668" spans="2:5" ht="15" customHeight="1">
      <c r="B668" s="110"/>
      <c r="C668" s="76" t="s">
        <v>96</v>
      </c>
      <c r="D668" s="74">
        <v>1</v>
      </c>
      <c r="E668" s="75">
        <v>1.1120996441300001E-4</v>
      </c>
    </row>
    <row r="669" spans="2:5" ht="15" customHeight="1">
      <c r="B669" s="110"/>
      <c r="C669" s="76" t="s">
        <v>100</v>
      </c>
      <c r="D669" s="74">
        <v>1</v>
      </c>
      <c r="E669" s="75">
        <v>1.1120996441300001E-4</v>
      </c>
    </row>
    <row r="670" spans="2:5" ht="15" customHeight="1">
      <c r="B670" s="110"/>
      <c r="C670" s="76" t="s">
        <v>102</v>
      </c>
      <c r="D670" s="74">
        <v>1</v>
      </c>
      <c r="E670" s="75">
        <v>1.1120996441300001E-4</v>
      </c>
    </row>
    <row r="671" spans="2:5" ht="15" customHeight="1">
      <c r="B671" s="110"/>
      <c r="C671" s="76" t="s">
        <v>103</v>
      </c>
      <c r="D671" s="74">
        <v>1</v>
      </c>
      <c r="E671" s="75">
        <v>1.1120996441300001E-4</v>
      </c>
    </row>
    <row r="672" spans="2:5" ht="15" customHeight="1">
      <c r="B672" s="110"/>
      <c r="C672" s="76" t="s">
        <v>105</v>
      </c>
      <c r="D672" s="74">
        <v>1</v>
      </c>
      <c r="E672" s="75">
        <v>1.1120996441300001E-4</v>
      </c>
    </row>
    <row r="673" spans="2:5" ht="15" customHeight="1">
      <c r="B673" s="110"/>
      <c r="C673" s="76" t="s">
        <v>112</v>
      </c>
      <c r="D673" s="74">
        <v>1</v>
      </c>
      <c r="E673" s="75">
        <v>1.1120996441300001E-4</v>
      </c>
    </row>
    <row r="674" spans="2:5" ht="15" customHeight="1">
      <c r="B674" s="109"/>
      <c r="C674" s="79" t="s">
        <v>12</v>
      </c>
      <c r="D674" s="77">
        <v>7</v>
      </c>
      <c r="E674" s="80">
        <v>7.7846975088999998E-4</v>
      </c>
    </row>
    <row r="675" spans="2:5" ht="15" customHeight="1">
      <c r="B675" s="108" t="s">
        <v>86</v>
      </c>
      <c r="C675" s="76" t="s">
        <v>95</v>
      </c>
      <c r="D675" s="74">
        <v>3</v>
      </c>
      <c r="E675" s="75">
        <v>3.33629893238E-4</v>
      </c>
    </row>
    <row r="676" spans="2:5" ht="15" customHeight="1">
      <c r="B676" s="110"/>
      <c r="C676" s="76" t="s">
        <v>96</v>
      </c>
      <c r="D676" s="74">
        <v>2</v>
      </c>
      <c r="E676" s="75">
        <v>2.2241992882600001E-4</v>
      </c>
    </row>
    <row r="677" spans="2:5" ht="15" customHeight="1">
      <c r="B677" s="110"/>
      <c r="C677" s="76" t="s">
        <v>98</v>
      </c>
      <c r="D677" s="74">
        <v>2</v>
      </c>
      <c r="E677" s="75">
        <v>2.2241992882600001E-4</v>
      </c>
    </row>
    <row r="678" spans="2:5" ht="15" customHeight="1">
      <c r="B678" s="110"/>
      <c r="C678" s="76" t="s">
        <v>99</v>
      </c>
      <c r="D678" s="74">
        <v>2</v>
      </c>
      <c r="E678" s="75">
        <v>2.2241992882600001E-4</v>
      </c>
    </row>
    <row r="679" spans="2:5" ht="15" customHeight="1">
      <c r="B679" s="110"/>
      <c r="C679" s="76" t="s">
        <v>100</v>
      </c>
      <c r="D679" s="74">
        <v>11</v>
      </c>
      <c r="E679" s="75">
        <v>1.223309608541E-3</v>
      </c>
    </row>
    <row r="680" spans="2:5" ht="15" customHeight="1">
      <c r="B680" s="110"/>
      <c r="C680" s="76" t="s">
        <v>102</v>
      </c>
      <c r="D680" s="74">
        <v>3</v>
      </c>
      <c r="E680" s="75">
        <v>3.33629893238E-4</v>
      </c>
    </row>
    <row r="681" spans="2:5" ht="15" customHeight="1">
      <c r="B681" s="110"/>
      <c r="C681" s="76" t="s">
        <v>103</v>
      </c>
      <c r="D681" s="74">
        <v>4</v>
      </c>
      <c r="E681" s="75">
        <v>4.4483985765100001E-4</v>
      </c>
    </row>
    <row r="682" spans="2:5" ht="15" customHeight="1">
      <c r="B682" s="110"/>
      <c r="C682" s="76" t="s">
        <v>104</v>
      </c>
      <c r="D682" s="74">
        <v>1</v>
      </c>
      <c r="E682" s="75">
        <v>1.1120996441300001E-4</v>
      </c>
    </row>
    <row r="683" spans="2:5" ht="15" customHeight="1">
      <c r="B683" s="109"/>
      <c r="C683" s="79" t="s">
        <v>12</v>
      </c>
      <c r="D683" s="77">
        <v>28</v>
      </c>
      <c r="E683" s="80">
        <v>3.1138790035589998E-3</v>
      </c>
    </row>
    <row r="684" spans="2:5" ht="15" customHeight="1">
      <c r="B684" s="108" t="s">
        <v>159</v>
      </c>
      <c r="C684" s="76" t="s">
        <v>93</v>
      </c>
      <c r="D684" s="74">
        <v>1</v>
      </c>
      <c r="E684" s="75">
        <v>1.1120996441300001E-4</v>
      </c>
    </row>
    <row r="685" spans="2:5" ht="15" customHeight="1">
      <c r="B685" s="110"/>
      <c r="C685" s="76" t="s">
        <v>99</v>
      </c>
      <c r="D685" s="74">
        <v>1</v>
      </c>
      <c r="E685" s="75">
        <v>1.1120996441300001E-4</v>
      </c>
    </row>
    <row r="686" spans="2:5" ht="15" customHeight="1">
      <c r="B686" s="110"/>
      <c r="C686" s="76" t="s">
        <v>100</v>
      </c>
      <c r="D686" s="74">
        <v>1</v>
      </c>
      <c r="E686" s="75">
        <v>1.1120996441300001E-4</v>
      </c>
    </row>
    <row r="687" spans="2:5" ht="15" customHeight="1">
      <c r="B687" s="110"/>
      <c r="C687" s="76" t="s">
        <v>103</v>
      </c>
      <c r="D687" s="74">
        <v>2</v>
      </c>
      <c r="E687" s="75">
        <v>2.2241992882600001E-4</v>
      </c>
    </row>
    <row r="688" spans="2:5" ht="15" customHeight="1">
      <c r="B688" s="109"/>
      <c r="C688" s="79" t="s">
        <v>12</v>
      </c>
      <c r="D688" s="77">
        <v>5</v>
      </c>
      <c r="E688" s="80">
        <v>5.5604982206399996E-4</v>
      </c>
    </row>
    <row r="689" spans="2:5" ht="15" customHeight="1">
      <c r="B689" s="111" t="s">
        <v>12</v>
      </c>
      <c r="C689" s="112"/>
      <c r="D689" s="82">
        <v>8992</v>
      </c>
      <c r="E689" s="81">
        <v>1</v>
      </c>
    </row>
    <row r="690" spans="2:5" ht="15" customHeight="1">
      <c r="B690" s="57"/>
      <c r="C690" s="57"/>
      <c r="D690" s="57"/>
      <c r="E690" s="57"/>
    </row>
    <row r="691" spans="2:5" ht="15" customHeight="1">
      <c r="B691" s="44" t="s">
        <v>170</v>
      </c>
      <c r="C691" s="57"/>
      <c r="D691" s="57"/>
      <c r="E691" s="57"/>
    </row>
    <row r="692" spans="2:5" ht="15" customHeight="1">
      <c r="B692" s="45" t="s">
        <v>3</v>
      </c>
      <c r="C692" s="57"/>
      <c r="D692" s="57"/>
      <c r="E692" s="57"/>
    </row>
    <row r="693" spans="2:5" ht="15" customHeight="1">
      <c r="B693" s="46" t="s">
        <v>43</v>
      </c>
      <c r="C693" s="57"/>
      <c r="D693" s="57"/>
      <c r="E693" s="57"/>
    </row>
    <row r="694" spans="2:5" ht="15" customHeight="1">
      <c r="B694" s="44" t="s">
        <v>4</v>
      </c>
      <c r="C694" s="57"/>
      <c r="D694" s="57"/>
      <c r="E694" s="57"/>
    </row>
    <row r="695" spans="2:5" ht="15" customHeight="1">
      <c r="B695" s="44" t="s">
        <v>252</v>
      </c>
      <c r="C695" s="57"/>
      <c r="D695" s="57"/>
      <c r="E695" s="57"/>
    </row>
    <row r="696" spans="2:5" ht="15" customHeight="1">
      <c r="B696" s="57"/>
      <c r="C696" s="57"/>
      <c r="D696" s="57"/>
      <c r="E696" s="57"/>
    </row>
  </sheetData>
  <mergeCells count="53">
    <mergeCell ref="B689:C689"/>
    <mergeCell ref="B675:B683"/>
    <mergeCell ref="B684:B688"/>
    <mergeCell ref="B604:B617"/>
    <mergeCell ref="B618:B633"/>
    <mergeCell ref="B634:B653"/>
    <mergeCell ref="B654:B666"/>
    <mergeCell ref="B667:B674"/>
    <mergeCell ref="B534:B546"/>
    <mergeCell ref="B547:B559"/>
    <mergeCell ref="B560:B571"/>
    <mergeCell ref="B572:B588"/>
    <mergeCell ref="B589:B603"/>
    <mergeCell ref="B470:B486"/>
    <mergeCell ref="B487:B493"/>
    <mergeCell ref="B494:B502"/>
    <mergeCell ref="B503:B519"/>
    <mergeCell ref="B520:B533"/>
    <mergeCell ref="B392:B400"/>
    <mergeCell ref="B401:B422"/>
    <mergeCell ref="B423:B439"/>
    <mergeCell ref="B440:B455"/>
    <mergeCell ref="B456:B469"/>
    <mergeCell ref="B350:B360"/>
    <mergeCell ref="B361:B371"/>
    <mergeCell ref="B372:B374"/>
    <mergeCell ref="B375:B376"/>
    <mergeCell ref="B377:B391"/>
    <mergeCell ref="B268:B272"/>
    <mergeCell ref="B273:B288"/>
    <mergeCell ref="B289:B308"/>
    <mergeCell ref="B309:B331"/>
    <mergeCell ref="B332:B349"/>
    <mergeCell ref="B189:B197"/>
    <mergeCell ref="B198:B214"/>
    <mergeCell ref="B215:B236"/>
    <mergeCell ref="B237:B249"/>
    <mergeCell ref="B250:B267"/>
    <mergeCell ref="B137:B138"/>
    <mergeCell ref="B139:B158"/>
    <mergeCell ref="B159:B175"/>
    <mergeCell ref="B176:B177"/>
    <mergeCell ref="B178:B188"/>
    <mergeCell ref="B75:B79"/>
    <mergeCell ref="B80:B86"/>
    <mergeCell ref="B87:B91"/>
    <mergeCell ref="B92:B113"/>
    <mergeCell ref="B114:B136"/>
    <mergeCell ref="B7:E8"/>
    <mergeCell ref="B10:B27"/>
    <mergeCell ref="B28:B47"/>
    <mergeCell ref="B48:B63"/>
    <mergeCell ref="B64:B7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" manualBreakCount="1">
    <brk id="377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0">
    <tabColor theme="9" tint="0.39997558519241921"/>
  </sheetPr>
  <dimension ref="A1:H20"/>
  <sheetViews>
    <sheetView showGridLines="0" view="pageBreakPreview" zoomScale="85" zoomScaleNormal="100" zoomScaleSheetLayoutView="85" workbookViewId="0">
      <selection activeCell="M24" sqref="M24"/>
    </sheetView>
  </sheetViews>
  <sheetFormatPr baseColWidth="10" defaultColWidth="11.42578125" defaultRowHeight="15"/>
  <cols>
    <col min="1" max="1" width="9.28515625" style="5" customWidth="1"/>
    <col min="2" max="2" width="21.7109375" style="5" customWidth="1"/>
    <col min="3" max="3" width="17.7109375" style="5" customWidth="1"/>
    <col min="4" max="4" width="12.5703125" style="5" customWidth="1"/>
    <col min="5" max="5" width="5.7109375" style="5" customWidth="1"/>
    <col min="6" max="16384" width="11.42578125" style="5"/>
  </cols>
  <sheetData>
    <row r="1" spans="1:8" s="1" customFormat="1" ht="15" customHeight="1"/>
    <row r="2" spans="1:8" s="1" customFormat="1" ht="15" customHeight="1"/>
    <row r="3" spans="1:8" s="1" customFormat="1" ht="15" customHeight="1"/>
    <row r="4" spans="1:8" s="1" customFormat="1" ht="30" customHeight="1">
      <c r="C4" s="3"/>
    </row>
    <row r="5" spans="1:8" s="1" customFormat="1" ht="15" customHeight="1">
      <c r="C5" s="3"/>
    </row>
    <row r="6" spans="1:8" s="1" customFormat="1" ht="15" customHeight="1">
      <c r="C6" s="3"/>
    </row>
    <row r="7" spans="1:8" s="1" customFormat="1" ht="15" customHeight="1">
      <c r="B7" s="107" t="s">
        <v>35</v>
      </c>
      <c r="C7" s="107"/>
      <c r="D7" s="107"/>
    </row>
    <row r="8" spans="1:8" s="1" customFormat="1" ht="15" customHeight="1">
      <c r="B8" s="107"/>
      <c r="C8" s="107"/>
      <c r="D8" s="107"/>
      <c r="H8" s="89"/>
    </row>
    <row r="9" spans="1:8" s="1" customFormat="1" ht="33" customHeight="1">
      <c r="B9" s="107"/>
      <c r="C9" s="107"/>
      <c r="D9" s="107"/>
    </row>
    <row r="10" spans="1:8" s="1" customFormat="1" ht="4.5" customHeight="1">
      <c r="B10" s="4"/>
      <c r="C10" s="4"/>
    </row>
    <row r="11" spans="1:8" s="1" customFormat="1" ht="39" customHeight="1">
      <c r="B11" s="92" t="s">
        <v>13</v>
      </c>
      <c r="C11" s="48" t="s">
        <v>1</v>
      </c>
      <c r="D11" s="49" t="s">
        <v>2</v>
      </c>
      <c r="E11" s="58"/>
      <c r="F11" s="58"/>
    </row>
    <row r="12" spans="1:8" ht="15" customHeight="1">
      <c r="B12" s="94" t="s">
        <v>202</v>
      </c>
      <c r="C12" s="74">
        <v>2970</v>
      </c>
      <c r="D12" s="75">
        <v>0.33029359430604999</v>
      </c>
      <c r="E12" s="52"/>
      <c r="F12" s="52"/>
    </row>
    <row r="13" spans="1:8" ht="15" customHeight="1">
      <c r="B13" s="94" t="s">
        <v>203</v>
      </c>
      <c r="C13" s="74">
        <v>6022</v>
      </c>
      <c r="D13" s="75">
        <v>0.66970640569395001</v>
      </c>
      <c r="E13" s="52"/>
      <c r="F13" s="52"/>
    </row>
    <row r="14" spans="1:8" ht="16.5">
      <c r="B14" s="95" t="s">
        <v>12</v>
      </c>
      <c r="C14" s="42">
        <f>(C12+C13)</f>
        <v>8992</v>
      </c>
      <c r="D14" s="43">
        <f>(D12+D13)</f>
        <v>1</v>
      </c>
      <c r="E14" s="52"/>
      <c r="F14" s="52"/>
    </row>
    <row r="15" spans="1:8" s="6" customFormat="1" ht="16.5">
      <c r="A15" s="5"/>
      <c r="B15" s="52"/>
      <c r="C15" s="51"/>
      <c r="D15" s="52"/>
      <c r="E15" s="52"/>
      <c r="F15" s="52"/>
    </row>
    <row r="16" spans="1:8" s="6" customFormat="1" ht="16.5">
      <c r="A16" s="5"/>
      <c r="B16" s="44" t="s">
        <v>170</v>
      </c>
      <c r="C16" s="52"/>
      <c r="D16" s="52"/>
      <c r="E16" s="52"/>
      <c r="F16" s="52"/>
    </row>
    <row r="17" spans="2:6" ht="16.5">
      <c r="B17" s="45" t="s">
        <v>3</v>
      </c>
      <c r="C17" s="52"/>
      <c r="D17" s="52"/>
      <c r="E17" s="52"/>
      <c r="F17" s="52"/>
    </row>
    <row r="18" spans="2:6" ht="16.5">
      <c r="B18" s="46" t="s">
        <v>43</v>
      </c>
      <c r="C18" s="52"/>
      <c r="D18" s="52"/>
      <c r="E18" s="52"/>
      <c r="F18" s="52"/>
    </row>
    <row r="19" spans="2:6" ht="16.5">
      <c r="B19" s="44" t="s">
        <v>4</v>
      </c>
      <c r="C19" s="52"/>
      <c r="D19" s="52"/>
      <c r="E19" s="52"/>
      <c r="F19" s="52"/>
    </row>
    <row r="20" spans="2:6" ht="16.5">
      <c r="B20" s="44" t="s">
        <v>252</v>
      </c>
      <c r="C20" s="52"/>
      <c r="D20" s="52"/>
      <c r="E20" s="52"/>
      <c r="F20" s="5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1">
    <tabColor rgb="FF00B050"/>
  </sheetPr>
  <dimension ref="A1:F170"/>
  <sheetViews>
    <sheetView showGridLines="0" view="pageBreakPreview" topLeftCell="A129" zoomScale="90" zoomScaleNormal="100" zoomScaleSheetLayoutView="90" workbookViewId="0">
      <selection activeCell="E163" sqref="E163"/>
    </sheetView>
  </sheetViews>
  <sheetFormatPr baseColWidth="10" defaultColWidth="11.42578125" defaultRowHeight="11.25"/>
  <cols>
    <col min="1" max="1" width="5.7109375" style="1" customWidth="1"/>
    <col min="2" max="2" width="23" style="10" customWidth="1"/>
    <col min="3" max="3" width="20.28515625" style="10" customWidth="1"/>
    <col min="4" max="4" width="15.5703125" style="14" customWidth="1"/>
    <col min="5" max="5" width="15.140625" style="10" bestFit="1" customWidth="1"/>
    <col min="6" max="6" width="5.7109375" style="1" customWidth="1"/>
    <col min="7" max="16384" width="11.42578125" style="1"/>
  </cols>
  <sheetData>
    <row r="1" spans="1:6" s="5" customFormat="1" ht="15">
      <c r="B1" s="10"/>
      <c r="C1" s="10"/>
    </row>
    <row r="2" spans="1:6" s="10" customFormat="1">
      <c r="B2" s="17"/>
    </row>
    <row r="3" spans="1:6" ht="15" customHeight="1">
      <c r="B3" s="18"/>
      <c r="C3" s="2"/>
      <c r="D3" s="1"/>
      <c r="F3" s="10"/>
    </row>
    <row r="4" spans="1:6" ht="30" customHeight="1">
      <c r="B4" s="18"/>
      <c r="C4" s="2"/>
      <c r="D4" s="1"/>
      <c r="F4" s="10"/>
    </row>
    <row r="5" spans="1:6" ht="15" customHeight="1">
      <c r="B5" s="18"/>
      <c r="C5" s="2"/>
      <c r="D5" s="1"/>
      <c r="F5" s="10"/>
    </row>
    <row r="6" spans="1:6" s="10" customFormat="1">
      <c r="B6" s="13"/>
      <c r="C6" s="12"/>
    </row>
    <row r="7" spans="1:6" s="10" customFormat="1">
      <c r="B7" s="17"/>
    </row>
    <row r="8" spans="1:6" s="5" customFormat="1" ht="15" customHeight="1">
      <c r="B8" s="107" t="s">
        <v>38</v>
      </c>
      <c r="C8" s="107"/>
      <c r="D8" s="107"/>
      <c r="E8" s="107"/>
    </row>
    <row r="9" spans="1:6" s="5" customFormat="1" ht="15" customHeight="1">
      <c r="B9" s="107"/>
      <c r="C9" s="107"/>
      <c r="D9" s="107"/>
      <c r="E9" s="107"/>
      <c r="F9" s="16"/>
    </row>
    <row r="10" spans="1:6" s="5" customFormat="1" ht="15" customHeight="1">
      <c r="B10" s="107"/>
      <c r="C10" s="107"/>
      <c r="D10" s="107"/>
      <c r="E10" s="107"/>
      <c r="F10" s="16"/>
    </row>
    <row r="11" spans="1:6" s="5" customFormat="1" ht="15" customHeight="1">
      <c r="B11" s="107"/>
      <c r="C11" s="107"/>
      <c r="D11" s="107"/>
      <c r="E11" s="107"/>
    </row>
    <row r="12" spans="1:6" s="5" customFormat="1" ht="15" customHeight="1">
      <c r="B12" s="31"/>
      <c r="C12" s="31"/>
      <c r="D12" s="31"/>
      <c r="E12" s="31"/>
    </row>
    <row r="13" spans="1:6" s="5" customFormat="1" ht="36.950000000000003" customHeight="1">
      <c r="A13" s="52"/>
      <c r="B13" s="61" t="s">
        <v>5</v>
      </c>
      <c r="C13" s="61" t="s">
        <v>13</v>
      </c>
      <c r="D13" s="61" t="s">
        <v>1</v>
      </c>
      <c r="E13" s="61" t="s">
        <v>2</v>
      </c>
      <c r="F13" s="52"/>
    </row>
    <row r="14" spans="1:6" ht="15" customHeight="1">
      <c r="A14" s="58"/>
      <c r="B14" s="108" t="s">
        <v>113</v>
      </c>
      <c r="C14" s="73" t="s">
        <v>202</v>
      </c>
      <c r="D14" s="74">
        <v>36</v>
      </c>
      <c r="E14" s="75">
        <v>4.0035587188610002E-3</v>
      </c>
      <c r="F14" s="58"/>
    </row>
    <row r="15" spans="1:6" ht="15" customHeight="1">
      <c r="A15" s="58"/>
      <c r="B15" s="110"/>
      <c r="C15" s="73" t="s">
        <v>203</v>
      </c>
      <c r="D15" s="74">
        <v>66</v>
      </c>
      <c r="E15" s="75">
        <v>7.3398576512459998E-3</v>
      </c>
      <c r="F15" s="58"/>
    </row>
    <row r="16" spans="1:6" ht="15" customHeight="1">
      <c r="A16" s="58"/>
      <c r="B16" s="109"/>
      <c r="C16" s="78" t="s">
        <v>12</v>
      </c>
      <c r="D16" s="77">
        <v>102</v>
      </c>
      <c r="E16" s="80">
        <v>1.1343416370107001E-2</v>
      </c>
      <c r="F16" s="58"/>
    </row>
    <row r="17" spans="1:6" ht="15" customHeight="1">
      <c r="A17" s="58"/>
      <c r="B17" s="108" t="s">
        <v>114</v>
      </c>
      <c r="C17" s="73" t="s">
        <v>202</v>
      </c>
      <c r="D17" s="74">
        <v>66</v>
      </c>
      <c r="E17" s="75">
        <v>7.3398576512459998E-3</v>
      </c>
      <c r="F17" s="58"/>
    </row>
    <row r="18" spans="1:6" ht="15" customHeight="1">
      <c r="A18" s="58"/>
      <c r="B18" s="110"/>
      <c r="C18" s="73" t="s">
        <v>203</v>
      </c>
      <c r="D18" s="74">
        <v>153</v>
      </c>
      <c r="E18" s="75">
        <v>1.7015124555160001E-2</v>
      </c>
      <c r="F18" s="58"/>
    </row>
    <row r="19" spans="1:6" s="10" customFormat="1" ht="15" customHeight="1">
      <c r="A19" s="58"/>
      <c r="B19" s="109"/>
      <c r="C19" s="78" t="s">
        <v>12</v>
      </c>
      <c r="D19" s="77">
        <v>219</v>
      </c>
      <c r="E19" s="80">
        <v>2.4354982206406001E-2</v>
      </c>
      <c r="F19" s="59"/>
    </row>
    <row r="20" spans="1:6" s="10" customFormat="1" ht="15" customHeight="1">
      <c r="A20" s="58"/>
      <c r="B20" s="108" t="s">
        <v>115</v>
      </c>
      <c r="C20" s="73" t="s">
        <v>202</v>
      </c>
      <c r="D20" s="74">
        <v>38</v>
      </c>
      <c r="E20" s="75">
        <v>4.2259786476870004E-3</v>
      </c>
      <c r="F20" s="59"/>
    </row>
    <row r="21" spans="1:6" s="10" customFormat="1" ht="15" customHeight="1">
      <c r="A21" s="58"/>
      <c r="B21" s="110"/>
      <c r="C21" s="73" t="s">
        <v>203</v>
      </c>
      <c r="D21" s="74">
        <v>89</v>
      </c>
      <c r="E21" s="75">
        <v>9.8976868327399995E-3</v>
      </c>
      <c r="F21" s="59"/>
    </row>
    <row r="22" spans="1:6" s="10" customFormat="1" ht="15" customHeight="1">
      <c r="A22" s="58"/>
      <c r="B22" s="109"/>
      <c r="C22" s="78" t="s">
        <v>12</v>
      </c>
      <c r="D22" s="77">
        <v>127</v>
      </c>
      <c r="E22" s="80">
        <v>1.4123665480427001E-2</v>
      </c>
      <c r="F22" s="59"/>
    </row>
    <row r="23" spans="1:6" s="10" customFormat="1" ht="15" customHeight="1">
      <c r="A23" s="58"/>
      <c r="B23" s="108" t="s">
        <v>116</v>
      </c>
      <c r="C23" s="73" t="s">
        <v>202</v>
      </c>
      <c r="D23" s="74">
        <v>14</v>
      </c>
      <c r="E23" s="75">
        <v>1.5569395017790001E-3</v>
      </c>
      <c r="F23" s="59"/>
    </row>
    <row r="24" spans="1:6" ht="15" customHeight="1">
      <c r="A24" s="58"/>
      <c r="B24" s="110"/>
      <c r="C24" s="73" t="s">
        <v>203</v>
      </c>
      <c r="D24" s="74">
        <v>29</v>
      </c>
      <c r="E24" s="75">
        <v>3.225088967972E-3</v>
      </c>
      <c r="F24" s="58"/>
    </row>
    <row r="25" spans="1:6" ht="15" customHeight="1">
      <c r="A25" s="58"/>
      <c r="B25" s="109"/>
      <c r="C25" s="78" t="s">
        <v>12</v>
      </c>
      <c r="D25" s="77">
        <v>43</v>
      </c>
      <c r="E25" s="80">
        <v>4.7820284697510001E-3</v>
      </c>
      <c r="F25" s="58"/>
    </row>
    <row r="26" spans="1:6" ht="15" customHeight="1">
      <c r="A26" s="58"/>
      <c r="B26" s="108" t="s">
        <v>117</v>
      </c>
      <c r="C26" s="73" t="s">
        <v>202</v>
      </c>
      <c r="D26" s="74">
        <v>3</v>
      </c>
      <c r="E26" s="75">
        <v>3.33629893238E-4</v>
      </c>
      <c r="F26" s="58"/>
    </row>
    <row r="27" spans="1:6" ht="15" customHeight="1">
      <c r="A27" s="58"/>
      <c r="B27" s="110"/>
      <c r="C27" s="73" t="s">
        <v>203</v>
      </c>
      <c r="D27" s="74">
        <v>4</v>
      </c>
      <c r="E27" s="75">
        <v>4.4483985765100001E-4</v>
      </c>
      <c r="F27" s="58"/>
    </row>
    <row r="28" spans="1:6" ht="15" customHeight="1">
      <c r="A28" s="58"/>
      <c r="B28" s="109"/>
      <c r="C28" s="78" t="s">
        <v>12</v>
      </c>
      <c r="D28" s="77">
        <v>7</v>
      </c>
      <c r="E28" s="80">
        <v>7.7846975088999998E-4</v>
      </c>
      <c r="F28" s="58"/>
    </row>
    <row r="29" spans="1:6" ht="15" customHeight="1">
      <c r="A29" s="58"/>
      <c r="B29" s="108" t="s">
        <v>118</v>
      </c>
      <c r="C29" s="73" t="s">
        <v>202</v>
      </c>
      <c r="D29" s="74">
        <v>3</v>
      </c>
      <c r="E29" s="75">
        <v>3.33629893238E-4</v>
      </c>
      <c r="F29" s="58"/>
    </row>
    <row r="30" spans="1:6" ht="15" customHeight="1">
      <c r="A30" s="58"/>
      <c r="B30" s="110"/>
      <c r="C30" s="73" t="s">
        <v>203</v>
      </c>
      <c r="D30" s="74">
        <v>8</v>
      </c>
      <c r="E30" s="75">
        <v>8.8967971530200002E-4</v>
      </c>
      <c r="F30" s="58"/>
    </row>
    <row r="31" spans="1:6" ht="15" customHeight="1">
      <c r="A31" s="58"/>
      <c r="B31" s="109"/>
      <c r="C31" s="78" t="s">
        <v>12</v>
      </c>
      <c r="D31" s="77">
        <v>11</v>
      </c>
      <c r="E31" s="80">
        <v>1.223309608541E-3</v>
      </c>
      <c r="F31" s="58"/>
    </row>
    <row r="32" spans="1:6" ht="15" customHeight="1">
      <c r="A32" s="58"/>
      <c r="B32" s="108" t="s">
        <v>119</v>
      </c>
      <c r="C32" s="73" t="s">
        <v>202</v>
      </c>
      <c r="D32" s="74">
        <v>3</v>
      </c>
      <c r="E32" s="75">
        <v>3.33629893238E-4</v>
      </c>
      <c r="F32" s="58"/>
    </row>
    <row r="33" spans="1:6" ht="15" customHeight="1">
      <c r="A33" s="58"/>
      <c r="B33" s="110"/>
      <c r="C33" s="73" t="s">
        <v>203</v>
      </c>
      <c r="D33" s="74">
        <v>1</v>
      </c>
      <c r="E33" s="75">
        <v>1.1120996441300001E-4</v>
      </c>
      <c r="F33" s="58"/>
    </row>
    <row r="34" spans="1:6" ht="15" customHeight="1">
      <c r="A34" s="58"/>
      <c r="B34" s="109"/>
      <c r="C34" s="78" t="s">
        <v>12</v>
      </c>
      <c r="D34" s="77">
        <v>4</v>
      </c>
      <c r="E34" s="80">
        <v>4.4483985765100001E-4</v>
      </c>
      <c r="F34" s="58"/>
    </row>
    <row r="35" spans="1:6" ht="15" customHeight="1">
      <c r="A35" s="58"/>
      <c r="B35" s="108" t="s">
        <v>120</v>
      </c>
      <c r="C35" s="73" t="s">
        <v>202</v>
      </c>
      <c r="D35" s="74">
        <v>511</v>
      </c>
      <c r="E35" s="75">
        <v>5.6828291814947002E-2</v>
      </c>
      <c r="F35" s="58"/>
    </row>
    <row r="36" spans="1:6" ht="15" customHeight="1">
      <c r="A36" s="58"/>
      <c r="B36" s="110"/>
      <c r="C36" s="73" t="s">
        <v>203</v>
      </c>
      <c r="D36" s="74">
        <v>931</v>
      </c>
      <c r="E36" s="75">
        <v>0.103536476868327</v>
      </c>
      <c r="F36" s="58"/>
    </row>
    <row r="37" spans="1:6" ht="15" customHeight="1">
      <c r="A37" s="58"/>
      <c r="B37" s="109"/>
      <c r="C37" s="78" t="s">
        <v>12</v>
      </c>
      <c r="D37" s="77">
        <v>1442</v>
      </c>
      <c r="E37" s="80">
        <v>0.16036476868327401</v>
      </c>
      <c r="F37" s="58"/>
    </row>
    <row r="38" spans="1:6" ht="15" customHeight="1">
      <c r="A38" s="58"/>
      <c r="B38" s="108" t="s">
        <v>121</v>
      </c>
      <c r="C38" s="73" t="s">
        <v>202</v>
      </c>
      <c r="D38" s="74">
        <v>236</v>
      </c>
      <c r="E38" s="75">
        <v>2.6245551601423001E-2</v>
      </c>
      <c r="F38" s="58"/>
    </row>
    <row r="39" spans="1:6" ht="15" customHeight="1">
      <c r="A39" s="58"/>
      <c r="B39" s="110"/>
      <c r="C39" s="73" t="s">
        <v>203</v>
      </c>
      <c r="D39" s="74">
        <v>547</v>
      </c>
      <c r="E39" s="75">
        <v>6.0831850533807998E-2</v>
      </c>
      <c r="F39" s="58"/>
    </row>
    <row r="40" spans="1:6" ht="15" customHeight="1">
      <c r="A40" s="58"/>
      <c r="B40" s="109"/>
      <c r="C40" s="78" t="s">
        <v>12</v>
      </c>
      <c r="D40" s="77">
        <v>783</v>
      </c>
      <c r="E40" s="80">
        <v>8.7077402135231005E-2</v>
      </c>
      <c r="F40" s="58"/>
    </row>
    <row r="41" spans="1:6" ht="15" customHeight="1">
      <c r="A41" s="58"/>
      <c r="B41" s="108" t="s">
        <v>122</v>
      </c>
      <c r="C41" s="73" t="s">
        <v>202</v>
      </c>
      <c r="D41" s="74">
        <v>2</v>
      </c>
      <c r="E41" s="75">
        <v>2.2241992882600001E-4</v>
      </c>
      <c r="F41" s="58"/>
    </row>
    <row r="42" spans="1:6" ht="15" customHeight="1">
      <c r="A42" s="58"/>
      <c r="B42" s="109"/>
      <c r="C42" s="78" t="s">
        <v>12</v>
      </c>
      <c r="D42" s="77">
        <v>2</v>
      </c>
      <c r="E42" s="80">
        <v>2.2241992882600001E-4</v>
      </c>
      <c r="F42" s="58"/>
    </row>
    <row r="43" spans="1:6" ht="15" customHeight="1">
      <c r="A43" s="58"/>
      <c r="B43" s="108" t="s">
        <v>123</v>
      </c>
      <c r="C43" s="73" t="s">
        <v>202</v>
      </c>
      <c r="D43" s="74">
        <v>187</v>
      </c>
      <c r="E43" s="75">
        <v>2.0796263345195999E-2</v>
      </c>
      <c r="F43" s="58"/>
    </row>
    <row r="44" spans="1:6" ht="15" customHeight="1">
      <c r="A44" s="58"/>
      <c r="B44" s="110"/>
      <c r="C44" s="73" t="s">
        <v>203</v>
      </c>
      <c r="D44" s="74">
        <v>444</v>
      </c>
      <c r="E44" s="75">
        <v>4.9377224199288E-2</v>
      </c>
      <c r="F44" s="58"/>
    </row>
    <row r="45" spans="1:6" ht="15" customHeight="1">
      <c r="A45" s="58"/>
      <c r="B45" s="109"/>
      <c r="C45" s="78" t="s">
        <v>12</v>
      </c>
      <c r="D45" s="77">
        <v>631</v>
      </c>
      <c r="E45" s="80">
        <v>7.0173487544484006E-2</v>
      </c>
      <c r="F45" s="58"/>
    </row>
    <row r="46" spans="1:6" ht="15" customHeight="1">
      <c r="A46" s="58"/>
      <c r="B46" s="108" t="s">
        <v>124</v>
      </c>
      <c r="C46" s="73" t="s">
        <v>202</v>
      </c>
      <c r="D46" s="74">
        <v>54</v>
      </c>
      <c r="E46" s="75">
        <v>6.0053380782920003E-3</v>
      </c>
      <c r="F46" s="58"/>
    </row>
    <row r="47" spans="1:6" ht="15" customHeight="1">
      <c r="A47" s="58"/>
      <c r="B47" s="110"/>
      <c r="C47" s="73" t="s">
        <v>203</v>
      </c>
      <c r="D47" s="74">
        <v>106</v>
      </c>
      <c r="E47" s="75">
        <v>1.1788256227758E-2</v>
      </c>
      <c r="F47" s="58"/>
    </row>
    <row r="48" spans="1:6" ht="15" customHeight="1">
      <c r="A48" s="58"/>
      <c r="B48" s="109"/>
      <c r="C48" s="78" t="s">
        <v>12</v>
      </c>
      <c r="D48" s="77">
        <v>160</v>
      </c>
      <c r="E48" s="80">
        <v>1.7793594306050001E-2</v>
      </c>
      <c r="F48" s="58"/>
    </row>
    <row r="49" spans="1:6" ht="15" customHeight="1">
      <c r="A49" s="58"/>
      <c r="B49" s="108" t="s">
        <v>172</v>
      </c>
      <c r="C49" s="73" t="s">
        <v>203</v>
      </c>
      <c r="D49" s="74">
        <v>1</v>
      </c>
      <c r="E49" s="75">
        <v>1.1120996441300001E-4</v>
      </c>
      <c r="F49" s="58"/>
    </row>
    <row r="50" spans="1:6" ht="15" customHeight="1">
      <c r="A50" s="58"/>
      <c r="B50" s="109"/>
      <c r="C50" s="78" t="s">
        <v>12</v>
      </c>
      <c r="D50" s="77">
        <v>1</v>
      </c>
      <c r="E50" s="80">
        <v>1.1120996441300001E-4</v>
      </c>
      <c r="F50" s="58"/>
    </row>
    <row r="51" spans="1:6" ht="15" customHeight="1">
      <c r="A51" s="58"/>
      <c r="B51" s="108" t="s">
        <v>125</v>
      </c>
      <c r="C51" s="73" t="s">
        <v>202</v>
      </c>
      <c r="D51" s="74">
        <v>17</v>
      </c>
      <c r="E51" s="75">
        <v>1.890569395018E-3</v>
      </c>
      <c r="F51" s="58"/>
    </row>
    <row r="52" spans="1:6" ht="15" customHeight="1">
      <c r="A52" s="58"/>
      <c r="B52" s="110"/>
      <c r="C52" s="73" t="s">
        <v>203</v>
      </c>
      <c r="D52" s="74">
        <v>10</v>
      </c>
      <c r="E52" s="75">
        <v>1.1120996441279999E-3</v>
      </c>
      <c r="F52" s="58"/>
    </row>
    <row r="53" spans="1:6" ht="15" customHeight="1">
      <c r="A53" s="58"/>
      <c r="B53" s="109"/>
      <c r="C53" s="78" t="s">
        <v>12</v>
      </c>
      <c r="D53" s="77">
        <v>27</v>
      </c>
      <c r="E53" s="80">
        <v>3.0026690391460002E-3</v>
      </c>
      <c r="F53" s="58"/>
    </row>
    <row r="54" spans="1:6" ht="15" customHeight="1">
      <c r="A54" s="58"/>
      <c r="B54" s="108" t="s">
        <v>126</v>
      </c>
      <c r="C54" s="73" t="s">
        <v>202</v>
      </c>
      <c r="D54" s="74">
        <v>8</v>
      </c>
      <c r="E54" s="75">
        <v>8.8967971530200002E-4</v>
      </c>
      <c r="F54" s="58"/>
    </row>
    <row r="55" spans="1:6" ht="15" customHeight="1">
      <c r="A55" s="58"/>
      <c r="B55" s="110"/>
      <c r="C55" s="73" t="s">
        <v>203</v>
      </c>
      <c r="D55" s="74">
        <v>18</v>
      </c>
      <c r="E55" s="75">
        <v>2.0017793594310001E-3</v>
      </c>
      <c r="F55" s="58"/>
    </row>
    <row r="56" spans="1:6" ht="15" customHeight="1">
      <c r="A56" s="58"/>
      <c r="B56" s="109"/>
      <c r="C56" s="78" t="s">
        <v>12</v>
      </c>
      <c r="D56" s="77">
        <v>26</v>
      </c>
      <c r="E56" s="80">
        <v>2.891459074733E-3</v>
      </c>
      <c r="F56" s="58"/>
    </row>
    <row r="57" spans="1:6" ht="15" customHeight="1">
      <c r="A57" s="58"/>
      <c r="B57" s="108" t="s">
        <v>127</v>
      </c>
      <c r="C57" s="73" t="s">
        <v>202</v>
      </c>
      <c r="D57" s="74">
        <v>63</v>
      </c>
      <c r="E57" s="75">
        <v>7.0062277580070003E-3</v>
      </c>
      <c r="F57" s="58"/>
    </row>
    <row r="58" spans="1:6" ht="15" customHeight="1">
      <c r="A58" s="58"/>
      <c r="B58" s="110"/>
      <c r="C58" s="73" t="s">
        <v>203</v>
      </c>
      <c r="D58" s="74">
        <v>90</v>
      </c>
      <c r="E58" s="75">
        <v>1.0008896797153E-2</v>
      </c>
      <c r="F58" s="58"/>
    </row>
    <row r="59" spans="1:6" ht="15" customHeight="1">
      <c r="A59" s="58"/>
      <c r="B59" s="109"/>
      <c r="C59" s="78" t="s">
        <v>12</v>
      </c>
      <c r="D59" s="77">
        <v>153</v>
      </c>
      <c r="E59" s="80">
        <v>1.7015124555160001E-2</v>
      </c>
      <c r="F59" s="58"/>
    </row>
    <row r="60" spans="1:6" ht="15" customHeight="1">
      <c r="A60" s="58"/>
      <c r="B60" s="108" t="s">
        <v>128</v>
      </c>
      <c r="C60" s="73" t="s">
        <v>202</v>
      </c>
      <c r="D60" s="74">
        <v>209</v>
      </c>
      <c r="E60" s="75">
        <v>2.3242882562278001E-2</v>
      </c>
      <c r="F60" s="58"/>
    </row>
    <row r="61" spans="1:6" ht="15" customHeight="1">
      <c r="A61" s="58"/>
      <c r="B61" s="110"/>
      <c r="C61" s="73" t="s">
        <v>203</v>
      </c>
      <c r="D61" s="74">
        <v>363</v>
      </c>
      <c r="E61" s="75">
        <v>4.0369217081850997E-2</v>
      </c>
      <c r="F61" s="58"/>
    </row>
    <row r="62" spans="1:6" ht="15" customHeight="1">
      <c r="A62" s="58"/>
      <c r="B62" s="109"/>
      <c r="C62" s="78" t="s">
        <v>12</v>
      </c>
      <c r="D62" s="77">
        <v>572</v>
      </c>
      <c r="E62" s="80">
        <v>6.3612099644128006E-2</v>
      </c>
      <c r="F62" s="58"/>
    </row>
    <row r="63" spans="1:6" ht="15" customHeight="1">
      <c r="A63" s="58"/>
      <c r="B63" s="108" t="s">
        <v>129</v>
      </c>
      <c r="C63" s="73" t="s">
        <v>202</v>
      </c>
      <c r="D63" s="74">
        <v>34</v>
      </c>
      <c r="E63" s="75">
        <v>3.781138790036E-3</v>
      </c>
      <c r="F63" s="58"/>
    </row>
    <row r="64" spans="1:6" ht="15" customHeight="1">
      <c r="A64" s="58"/>
      <c r="B64" s="110"/>
      <c r="C64" s="73" t="s">
        <v>203</v>
      </c>
      <c r="D64" s="74">
        <v>76</v>
      </c>
      <c r="E64" s="75">
        <v>8.4519572953740008E-3</v>
      </c>
      <c r="F64" s="58"/>
    </row>
    <row r="65" spans="1:6" ht="15" customHeight="1">
      <c r="A65" s="58"/>
      <c r="B65" s="109"/>
      <c r="C65" s="78" t="s">
        <v>12</v>
      </c>
      <c r="D65" s="77">
        <v>110</v>
      </c>
      <c r="E65" s="80">
        <v>1.2233096085409E-2</v>
      </c>
      <c r="F65" s="58"/>
    </row>
    <row r="66" spans="1:6" ht="15" customHeight="1">
      <c r="A66" s="58"/>
      <c r="B66" s="108" t="s">
        <v>130</v>
      </c>
      <c r="C66" s="73" t="s">
        <v>202</v>
      </c>
      <c r="D66" s="74">
        <v>42</v>
      </c>
      <c r="E66" s="75">
        <v>4.6708185053379999E-3</v>
      </c>
      <c r="F66" s="58"/>
    </row>
    <row r="67" spans="1:6" ht="15" customHeight="1">
      <c r="A67" s="58"/>
      <c r="B67" s="110"/>
      <c r="C67" s="73" t="s">
        <v>203</v>
      </c>
      <c r="D67" s="74">
        <v>91</v>
      </c>
      <c r="E67" s="75">
        <v>1.0120106761566E-2</v>
      </c>
      <c r="F67" s="58"/>
    </row>
    <row r="68" spans="1:6" ht="15" customHeight="1">
      <c r="A68" s="58"/>
      <c r="B68" s="109"/>
      <c r="C68" s="78" t="s">
        <v>12</v>
      </c>
      <c r="D68" s="77">
        <v>133</v>
      </c>
      <c r="E68" s="80">
        <v>1.4790925266904001E-2</v>
      </c>
      <c r="F68" s="58"/>
    </row>
    <row r="69" spans="1:6" ht="15" customHeight="1">
      <c r="A69" s="58"/>
      <c r="B69" s="108" t="s">
        <v>131</v>
      </c>
      <c r="C69" s="73" t="s">
        <v>202</v>
      </c>
      <c r="D69" s="74">
        <v>4</v>
      </c>
      <c r="E69" s="75">
        <v>4.4483985765100001E-4</v>
      </c>
      <c r="F69" s="58"/>
    </row>
    <row r="70" spans="1:6" ht="15" customHeight="1">
      <c r="A70" s="58"/>
      <c r="B70" s="110"/>
      <c r="C70" s="73" t="s">
        <v>203</v>
      </c>
      <c r="D70" s="74">
        <v>3</v>
      </c>
      <c r="E70" s="75">
        <v>3.33629893238E-4</v>
      </c>
      <c r="F70" s="58"/>
    </row>
    <row r="71" spans="1:6" ht="15" customHeight="1">
      <c r="A71" s="58"/>
      <c r="B71" s="109"/>
      <c r="C71" s="78" t="s">
        <v>12</v>
      </c>
      <c r="D71" s="77">
        <v>7</v>
      </c>
      <c r="E71" s="80">
        <v>7.7846975088999998E-4</v>
      </c>
      <c r="F71" s="58"/>
    </row>
    <row r="72" spans="1:6" ht="15" customHeight="1">
      <c r="A72" s="58"/>
      <c r="B72" s="108" t="s">
        <v>132</v>
      </c>
      <c r="C72" s="73" t="s">
        <v>202</v>
      </c>
      <c r="D72" s="74">
        <v>48</v>
      </c>
      <c r="E72" s="75">
        <v>5.3380782918149997E-3</v>
      </c>
      <c r="F72" s="58"/>
    </row>
    <row r="73" spans="1:6" ht="15" customHeight="1">
      <c r="A73" s="58"/>
      <c r="B73" s="110"/>
      <c r="C73" s="73" t="s">
        <v>203</v>
      </c>
      <c r="D73" s="74">
        <v>87</v>
      </c>
      <c r="E73" s="75">
        <v>9.6752669039150002E-3</v>
      </c>
      <c r="F73" s="58"/>
    </row>
    <row r="74" spans="1:6" ht="15" customHeight="1">
      <c r="A74" s="58"/>
      <c r="B74" s="109"/>
      <c r="C74" s="78" t="s">
        <v>12</v>
      </c>
      <c r="D74" s="77">
        <v>135</v>
      </c>
      <c r="E74" s="80">
        <v>1.5013345195730001E-2</v>
      </c>
      <c r="F74" s="58"/>
    </row>
    <row r="75" spans="1:6" ht="15" customHeight="1">
      <c r="A75" s="58"/>
      <c r="B75" s="108" t="s">
        <v>133</v>
      </c>
      <c r="C75" s="73" t="s">
        <v>202</v>
      </c>
      <c r="D75" s="74">
        <v>91</v>
      </c>
      <c r="E75" s="75">
        <v>1.0120106761566E-2</v>
      </c>
      <c r="F75" s="58"/>
    </row>
    <row r="76" spans="1:6" ht="15" customHeight="1">
      <c r="A76" s="58"/>
      <c r="B76" s="110"/>
      <c r="C76" s="73" t="s">
        <v>203</v>
      </c>
      <c r="D76" s="74">
        <v>208</v>
      </c>
      <c r="E76" s="75">
        <v>2.3131672597865E-2</v>
      </c>
      <c r="F76" s="58"/>
    </row>
    <row r="77" spans="1:6" ht="15" customHeight="1">
      <c r="A77" s="58"/>
      <c r="B77" s="109"/>
      <c r="C77" s="78" t="s">
        <v>12</v>
      </c>
      <c r="D77" s="77">
        <v>299</v>
      </c>
      <c r="E77" s="80">
        <v>3.3251779359431001E-2</v>
      </c>
      <c r="F77" s="58"/>
    </row>
    <row r="78" spans="1:6" ht="15" customHeight="1">
      <c r="A78" s="58"/>
      <c r="B78" s="108" t="s">
        <v>134</v>
      </c>
      <c r="C78" s="73" t="s">
        <v>202</v>
      </c>
      <c r="D78" s="74">
        <v>247</v>
      </c>
      <c r="E78" s="75">
        <v>2.7468861209964002E-2</v>
      </c>
      <c r="F78" s="58"/>
    </row>
    <row r="79" spans="1:6" ht="15" customHeight="1">
      <c r="A79" s="58"/>
      <c r="B79" s="110"/>
      <c r="C79" s="73" t="s">
        <v>203</v>
      </c>
      <c r="D79" s="74">
        <v>391</v>
      </c>
      <c r="E79" s="75">
        <v>4.3483096085408998E-2</v>
      </c>
      <c r="F79" s="58"/>
    </row>
    <row r="80" spans="1:6" ht="15" customHeight="1">
      <c r="A80" s="58"/>
      <c r="B80" s="109"/>
      <c r="C80" s="78" t="s">
        <v>12</v>
      </c>
      <c r="D80" s="77">
        <v>638</v>
      </c>
      <c r="E80" s="80">
        <v>7.0951957295373999E-2</v>
      </c>
      <c r="F80" s="58"/>
    </row>
    <row r="81" spans="1:6" ht="15" customHeight="1">
      <c r="A81" s="58"/>
      <c r="B81" s="108" t="s">
        <v>135</v>
      </c>
      <c r="C81" s="73" t="s">
        <v>202</v>
      </c>
      <c r="D81" s="74">
        <v>22</v>
      </c>
      <c r="E81" s="75">
        <v>2.4466192170820001E-3</v>
      </c>
      <c r="F81" s="58"/>
    </row>
    <row r="82" spans="1:6" ht="15" customHeight="1">
      <c r="A82" s="58"/>
      <c r="B82" s="110"/>
      <c r="C82" s="73" t="s">
        <v>203</v>
      </c>
      <c r="D82" s="74">
        <v>32</v>
      </c>
      <c r="E82" s="75">
        <v>3.5587188612099998E-3</v>
      </c>
      <c r="F82" s="58"/>
    </row>
    <row r="83" spans="1:6" ht="15" customHeight="1">
      <c r="A83" s="58"/>
      <c r="B83" s="109"/>
      <c r="C83" s="78" t="s">
        <v>12</v>
      </c>
      <c r="D83" s="77">
        <v>54</v>
      </c>
      <c r="E83" s="80">
        <v>6.0053380782920003E-3</v>
      </c>
      <c r="F83" s="58"/>
    </row>
    <row r="84" spans="1:6" ht="15" customHeight="1">
      <c r="A84" s="58"/>
      <c r="B84" s="108" t="s">
        <v>136</v>
      </c>
      <c r="C84" s="73" t="s">
        <v>202</v>
      </c>
      <c r="D84" s="74">
        <v>23</v>
      </c>
      <c r="E84" s="75">
        <v>2.5578291814950002E-3</v>
      </c>
      <c r="F84" s="58"/>
    </row>
    <row r="85" spans="1:6" ht="15" customHeight="1">
      <c r="A85" s="58"/>
      <c r="B85" s="110"/>
      <c r="C85" s="73" t="s">
        <v>203</v>
      </c>
      <c r="D85" s="74">
        <v>50</v>
      </c>
      <c r="E85" s="75">
        <v>5.5604982206409999E-3</v>
      </c>
      <c r="F85" s="58"/>
    </row>
    <row r="86" spans="1:6" ht="15" customHeight="1">
      <c r="A86" s="58"/>
      <c r="B86" s="109"/>
      <c r="C86" s="78" t="s">
        <v>12</v>
      </c>
      <c r="D86" s="77">
        <v>73</v>
      </c>
      <c r="E86" s="80">
        <v>8.1183274021350005E-3</v>
      </c>
      <c r="F86" s="58"/>
    </row>
    <row r="87" spans="1:6" ht="15" customHeight="1">
      <c r="A87" s="58"/>
      <c r="B87" s="108" t="s">
        <v>137</v>
      </c>
      <c r="C87" s="73" t="s">
        <v>202</v>
      </c>
      <c r="D87" s="74">
        <v>11</v>
      </c>
      <c r="E87" s="75">
        <v>1.223309608541E-3</v>
      </c>
      <c r="F87" s="58"/>
    </row>
    <row r="88" spans="1:6" ht="15" customHeight="1">
      <c r="A88" s="58"/>
      <c r="B88" s="110"/>
      <c r="C88" s="73" t="s">
        <v>203</v>
      </c>
      <c r="D88" s="74">
        <v>18</v>
      </c>
      <c r="E88" s="75">
        <v>2.0017793594310001E-3</v>
      </c>
      <c r="F88" s="58"/>
    </row>
    <row r="89" spans="1:6" ht="15" customHeight="1">
      <c r="A89" s="58"/>
      <c r="B89" s="109"/>
      <c r="C89" s="78" t="s">
        <v>12</v>
      </c>
      <c r="D89" s="77">
        <v>29</v>
      </c>
      <c r="E89" s="80">
        <v>3.225088967972E-3</v>
      </c>
      <c r="F89" s="58"/>
    </row>
    <row r="90" spans="1:6" ht="15" customHeight="1">
      <c r="A90" s="58"/>
      <c r="B90" s="108" t="s">
        <v>171</v>
      </c>
      <c r="C90" s="73" t="s">
        <v>203</v>
      </c>
      <c r="D90" s="74">
        <v>3</v>
      </c>
      <c r="E90" s="75">
        <v>3.33629893238E-4</v>
      </c>
      <c r="F90" s="58"/>
    </row>
    <row r="91" spans="1:6" ht="15" customHeight="1">
      <c r="A91" s="58"/>
      <c r="B91" s="109"/>
      <c r="C91" s="78" t="s">
        <v>12</v>
      </c>
      <c r="D91" s="77">
        <v>3</v>
      </c>
      <c r="E91" s="80">
        <v>3.33629893238E-4</v>
      </c>
      <c r="F91" s="58"/>
    </row>
    <row r="92" spans="1:6" ht="15" customHeight="1">
      <c r="A92" s="58"/>
      <c r="B92" s="108" t="s">
        <v>173</v>
      </c>
      <c r="C92" s="73" t="s">
        <v>202</v>
      </c>
      <c r="D92" s="74">
        <v>1</v>
      </c>
      <c r="E92" s="75">
        <v>1.1120996441300001E-4</v>
      </c>
      <c r="F92" s="58"/>
    </row>
    <row r="93" spans="1:6" ht="15" customHeight="1">
      <c r="A93" s="58"/>
      <c r="B93" s="109"/>
      <c r="C93" s="78" t="s">
        <v>12</v>
      </c>
      <c r="D93" s="77">
        <v>1</v>
      </c>
      <c r="E93" s="80">
        <v>1.1120996441300001E-4</v>
      </c>
      <c r="F93" s="58"/>
    </row>
    <row r="94" spans="1:6" ht="15" customHeight="1">
      <c r="A94" s="58"/>
      <c r="B94" s="108" t="s">
        <v>138</v>
      </c>
      <c r="C94" s="73" t="s">
        <v>202</v>
      </c>
      <c r="D94" s="74">
        <v>12</v>
      </c>
      <c r="E94" s="75">
        <v>1.3345195729539999E-3</v>
      </c>
      <c r="F94" s="58"/>
    </row>
    <row r="95" spans="1:6" ht="15" customHeight="1">
      <c r="A95" s="58"/>
      <c r="B95" s="110"/>
      <c r="C95" s="73" t="s">
        <v>203</v>
      </c>
      <c r="D95" s="74">
        <v>32</v>
      </c>
      <c r="E95" s="75">
        <v>3.5587188612099998E-3</v>
      </c>
      <c r="F95" s="58"/>
    </row>
    <row r="96" spans="1:6" ht="15" customHeight="1">
      <c r="A96" s="58"/>
      <c r="B96" s="109"/>
      <c r="C96" s="78" t="s">
        <v>12</v>
      </c>
      <c r="D96" s="77">
        <v>44</v>
      </c>
      <c r="E96" s="80">
        <v>4.8932384341640002E-3</v>
      </c>
      <c r="F96" s="58"/>
    </row>
    <row r="97" spans="1:6" ht="15" customHeight="1">
      <c r="A97" s="58"/>
      <c r="B97" s="108" t="s">
        <v>139</v>
      </c>
      <c r="C97" s="73" t="s">
        <v>202</v>
      </c>
      <c r="D97" s="74">
        <v>5</v>
      </c>
      <c r="E97" s="75">
        <v>5.5604982206399996E-4</v>
      </c>
      <c r="F97" s="58"/>
    </row>
    <row r="98" spans="1:6" ht="15" customHeight="1">
      <c r="A98" s="58"/>
      <c r="B98" s="110"/>
      <c r="C98" s="73" t="s">
        <v>203</v>
      </c>
      <c r="D98" s="74">
        <v>14</v>
      </c>
      <c r="E98" s="75">
        <v>1.5569395017790001E-3</v>
      </c>
      <c r="F98" s="58"/>
    </row>
    <row r="99" spans="1:6" ht="15" customHeight="1">
      <c r="A99" s="58"/>
      <c r="B99" s="109"/>
      <c r="C99" s="78" t="s">
        <v>12</v>
      </c>
      <c r="D99" s="77">
        <v>19</v>
      </c>
      <c r="E99" s="80">
        <v>2.1129893238430002E-3</v>
      </c>
      <c r="F99" s="58"/>
    </row>
    <row r="100" spans="1:6" ht="15" customHeight="1">
      <c r="A100" s="58"/>
      <c r="B100" s="108" t="s">
        <v>140</v>
      </c>
      <c r="C100" s="73" t="s">
        <v>202</v>
      </c>
      <c r="D100" s="74">
        <v>450</v>
      </c>
      <c r="E100" s="75">
        <v>5.0044483985764998E-2</v>
      </c>
      <c r="F100" s="58"/>
    </row>
    <row r="101" spans="1:6" ht="15" customHeight="1">
      <c r="A101" s="58"/>
      <c r="B101" s="110"/>
      <c r="C101" s="73" t="s">
        <v>203</v>
      </c>
      <c r="D101" s="74">
        <v>951</v>
      </c>
      <c r="E101" s="75">
        <v>0.10576067615658399</v>
      </c>
      <c r="F101" s="58"/>
    </row>
    <row r="102" spans="1:6" ht="15" customHeight="1">
      <c r="A102" s="58"/>
      <c r="B102" s="109"/>
      <c r="C102" s="78" t="s">
        <v>12</v>
      </c>
      <c r="D102" s="77">
        <v>1401</v>
      </c>
      <c r="E102" s="80">
        <v>0.15580516014234899</v>
      </c>
      <c r="F102" s="58"/>
    </row>
    <row r="103" spans="1:6" ht="15" customHeight="1">
      <c r="A103" s="58"/>
      <c r="B103" s="108" t="s">
        <v>141</v>
      </c>
      <c r="C103" s="73" t="s">
        <v>202</v>
      </c>
      <c r="D103" s="74">
        <v>40</v>
      </c>
      <c r="E103" s="75">
        <v>4.4483985765119997E-3</v>
      </c>
      <c r="F103" s="58"/>
    </row>
    <row r="104" spans="1:6" ht="15" customHeight="1">
      <c r="A104" s="58"/>
      <c r="B104" s="110"/>
      <c r="C104" s="73" t="s">
        <v>203</v>
      </c>
      <c r="D104" s="74">
        <v>108</v>
      </c>
      <c r="E104" s="75">
        <v>1.2010676156584001E-2</v>
      </c>
      <c r="F104" s="58"/>
    </row>
    <row r="105" spans="1:6" ht="15" customHeight="1">
      <c r="A105" s="58"/>
      <c r="B105" s="109"/>
      <c r="C105" s="78" t="s">
        <v>12</v>
      </c>
      <c r="D105" s="77">
        <v>148</v>
      </c>
      <c r="E105" s="80">
        <v>1.6459074733096001E-2</v>
      </c>
      <c r="F105" s="58"/>
    </row>
    <row r="106" spans="1:6" ht="15" customHeight="1">
      <c r="A106" s="58"/>
      <c r="B106" s="108" t="s">
        <v>142</v>
      </c>
      <c r="C106" s="73" t="s">
        <v>202</v>
      </c>
      <c r="D106" s="74">
        <v>33</v>
      </c>
      <c r="E106" s="75">
        <v>3.6699288256229999E-3</v>
      </c>
      <c r="F106" s="58"/>
    </row>
    <row r="107" spans="1:6" ht="15" customHeight="1">
      <c r="A107" s="58"/>
      <c r="B107" s="110"/>
      <c r="C107" s="73" t="s">
        <v>203</v>
      </c>
      <c r="D107" s="74">
        <v>74</v>
      </c>
      <c r="E107" s="75">
        <v>8.2295373665480006E-3</v>
      </c>
      <c r="F107" s="58"/>
    </row>
    <row r="108" spans="1:6" ht="15" customHeight="1">
      <c r="A108" s="58"/>
      <c r="B108" s="109"/>
      <c r="C108" s="78" t="s">
        <v>12</v>
      </c>
      <c r="D108" s="77">
        <v>107</v>
      </c>
      <c r="E108" s="80">
        <v>1.1899466192171001E-2</v>
      </c>
      <c r="F108" s="58"/>
    </row>
    <row r="109" spans="1:6" ht="15" customHeight="1">
      <c r="A109" s="58"/>
      <c r="B109" s="108" t="s">
        <v>143</v>
      </c>
      <c r="C109" s="73" t="s">
        <v>202</v>
      </c>
      <c r="D109" s="74">
        <v>32</v>
      </c>
      <c r="E109" s="75">
        <v>3.5587188612099998E-3</v>
      </c>
      <c r="F109" s="58"/>
    </row>
    <row r="110" spans="1:6" ht="15" customHeight="1">
      <c r="A110" s="58"/>
      <c r="B110" s="110"/>
      <c r="C110" s="73" t="s">
        <v>203</v>
      </c>
      <c r="D110" s="74">
        <v>78</v>
      </c>
      <c r="E110" s="75">
        <v>8.6743772241990001E-3</v>
      </c>
      <c r="F110" s="58"/>
    </row>
    <row r="111" spans="1:6" ht="15" customHeight="1">
      <c r="A111" s="58"/>
      <c r="B111" s="109"/>
      <c r="C111" s="78" t="s">
        <v>12</v>
      </c>
      <c r="D111" s="77">
        <v>110</v>
      </c>
      <c r="E111" s="80">
        <v>1.2233096085409E-2</v>
      </c>
      <c r="F111" s="58"/>
    </row>
    <row r="112" spans="1:6" ht="15" customHeight="1">
      <c r="A112" s="58"/>
      <c r="B112" s="108" t="s">
        <v>144</v>
      </c>
      <c r="C112" s="73" t="s">
        <v>202</v>
      </c>
      <c r="D112" s="74">
        <v>22</v>
      </c>
      <c r="E112" s="75">
        <v>2.4466192170820001E-3</v>
      </c>
      <c r="F112" s="58"/>
    </row>
    <row r="113" spans="1:6" ht="15" customHeight="1">
      <c r="A113" s="58"/>
      <c r="B113" s="110"/>
      <c r="C113" s="73" t="s">
        <v>203</v>
      </c>
      <c r="D113" s="74">
        <v>66</v>
      </c>
      <c r="E113" s="75">
        <v>7.3398576512459998E-3</v>
      </c>
      <c r="F113" s="58"/>
    </row>
    <row r="114" spans="1:6" ht="15" customHeight="1">
      <c r="A114" s="58"/>
      <c r="B114" s="109"/>
      <c r="C114" s="78" t="s">
        <v>12</v>
      </c>
      <c r="D114" s="77">
        <v>88</v>
      </c>
      <c r="E114" s="80">
        <v>9.7864768683269994E-3</v>
      </c>
      <c r="F114" s="58"/>
    </row>
    <row r="115" spans="1:6" ht="15" customHeight="1">
      <c r="A115" s="58"/>
      <c r="B115" s="108" t="s">
        <v>145</v>
      </c>
      <c r="C115" s="73" t="s">
        <v>202</v>
      </c>
      <c r="D115" s="74">
        <v>4</v>
      </c>
      <c r="E115" s="75">
        <v>4.4483985765100001E-4</v>
      </c>
      <c r="F115" s="58"/>
    </row>
    <row r="116" spans="1:6" ht="15" customHeight="1">
      <c r="A116" s="58"/>
      <c r="B116" s="110"/>
      <c r="C116" s="73" t="s">
        <v>203</v>
      </c>
      <c r="D116" s="74">
        <v>12</v>
      </c>
      <c r="E116" s="75">
        <v>1.3345195729539999E-3</v>
      </c>
      <c r="F116" s="58"/>
    </row>
    <row r="117" spans="1:6" ht="15" customHeight="1">
      <c r="A117" s="58"/>
      <c r="B117" s="109"/>
      <c r="C117" s="78" t="s">
        <v>12</v>
      </c>
      <c r="D117" s="77">
        <v>16</v>
      </c>
      <c r="E117" s="80">
        <v>1.7793594306049999E-3</v>
      </c>
      <c r="F117" s="58"/>
    </row>
    <row r="118" spans="1:6" ht="15" customHeight="1">
      <c r="A118" s="58"/>
      <c r="B118" s="108" t="s">
        <v>146</v>
      </c>
      <c r="C118" s="73" t="s">
        <v>202</v>
      </c>
      <c r="D118" s="74">
        <v>2</v>
      </c>
      <c r="E118" s="75">
        <v>2.2241992882600001E-4</v>
      </c>
      <c r="F118" s="58"/>
    </row>
    <row r="119" spans="1:6" ht="15" customHeight="1">
      <c r="A119" s="58"/>
      <c r="B119" s="110"/>
      <c r="C119" s="73" t="s">
        <v>203</v>
      </c>
      <c r="D119" s="74">
        <v>30</v>
      </c>
      <c r="E119" s="75">
        <v>3.336298932384E-3</v>
      </c>
      <c r="F119" s="58"/>
    </row>
    <row r="120" spans="1:6" ht="15" customHeight="1">
      <c r="A120" s="58"/>
      <c r="B120" s="109"/>
      <c r="C120" s="78" t="s">
        <v>12</v>
      </c>
      <c r="D120" s="77">
        <v>32</v>
      </c>
      <c r="E120" s="80">
        <v>3.5587188612099998E-3</v>
      </c>
      <c r="F120" s="58"/>
    </row>
    <row r="121" spans="1:6" ht="15" customHeight="1">
      <c r="A121" s="58"/>
      <c r="B121" s="108" t="s">
        <v>147</v>
      </c>
      <c r="C121" s="73" t="s">
        <v>202</v>
      </c>
      <c r="D121" s="74">
        <v>43</v>
      </c>
      <c r="E121" s="75">
        <v>4.7820284697510001E-3</v>
      </c>
      <c r="F121" s="58"/>
    </row>
    <row r="122" spans="1:6" ht="15" customHeight="1">
      <c r="A122" s="58"/>
      <c r="B122" s="110"/>
      <c r="C122" s="73" t="s">
        <v>203</v>
      </c>
      <c r="D122" s="74">
        <v>145</v>
      </c>
      <c r="E122" s="75">
        <v>1.6125444839857998E-2</v>
      </c>
      <c r="F122" s="58"/>
    </row>
    <row r="123" spans="1:6" ht="15" customHeight="1">
      <c r="A123" s="58"/>
      <c r="B123" s="109"/>
      <c r="C123" s="78" t="s">
        <v>12</v>
      </c>
      <c r="D123" s="77">
        <v>188</v>
      </c>
      <c r="E123" s="80">
        <v>2.0907473309609001E-2</v>
      </c>
      <c r="F123" s="58"/>
    </row>
    <row r="124" spans="1:6" ht="15" customHeight="1">
      <c r="A124" s="58"/>
      <c r="B124" s="108" t="s">
        <v>148</v>
      </c>
      <c r="C124" s="73" t="s">
        <v>202</v>
      </c>
      <c r="D124" s="74">
        <v>37</v>
      </c>
      <c r="E124" s="75">
        <v>4.1147686832740003E-3</v>
      </c>
      <c r="F124" s="58"/>
    </row>
    <row r="125" spans="1:6" ht="15" customHeight="1">
      <c r="A125" s="58"/>
      <c r="B125" s="110"/>
      <c r="C125" s="73" t="s">
        <v>203</v>
      </c>
      <c r="D125" s="74">
        <v>74</v>
      </c>
      <c r="E125" s="75">
        <v>8.2295373665480006E-3</v>
      </c>
      <c r="F125" s="58"/>
    </row>
    <row r="126" spans="1:6" ht="15" customHeight="1">
      <c r="A126" s="58"/>
      <c r="B126" s="109"/>
      <c r="C126" s="78" t="s">
        <v>12</v>
      </c>
      <c r="D126" s="77">
        <v>111</v>
      </c>
      <c r="E126" s="80">
        <v>1.2344306049822E-2</v>
      </c>
      <c r="F126" s="58"/>
    </row>
    <row r="127" spans="1:6" ht="15" customHeight="1">
      <c r="A127" s="58"/>
      <c r="B127" s="108" t="s">
        <v>149</v>
      </c>
      <c r="C127" s="73" t="s">
        <v>202</v>
      </c>
      <c r="D127" s="74">
        <v>17</v>
      </c>
      <c r="E127" s="75">
        <v>1.890569395018E-3</v>
      </c>
      <c r="F127" s="58"/>
    </row>
    <row r="128" spans="1:6" ht="15" customHeight="1">
      <c r="A128" s="58"/>
      <c r="B128" s="110"/>
      <c r="C128" s="73" t="s">
        <v>203</v>
      </c>
      <c r="D128" s="74">
        <v>54</v>
      </c>
      <c r="E128" s="75">
        <v>6.0053380782920003E-3</v>
      </c>
      <c r="F128" s="58"/>
    </row>
    <row r="129" spans="1:6" ht="15" customHeight="1">
      <c r="A129" s="58"/>
      <c r="B129" s="109"/>
      <c r="C129" s="78" t="s">
        <v>12</v>
      </c>
      <c r="D129" s="77">
        <v>71</v>
      </c>
      <c r="E129" s="80">
        <v>7.8959074733099995E-3</v>
      </c>
      <c r="F129" s="58"/>
    </row>
    <row r="130" spans="1:6" ht="15" customHeight="1">
      <c r="A130" s="58"/>
      <c r="B130" s="108" t="s">
        <v>150</v>
      </c>
      <c r="C130" s="73" t="s">
        <v>202</v>
      </c>
      <c r="D130" s="74">
        <v>35</v>
      </c>
      <c r="E130" s="75">
        <v>3.8923487544480001E-3</v>
      </c>
      <c r="F130" s="58"/>
    </row>
    <row r="131" spans="1:6" ht="15" customHeight="1">
      <c r="A131" s="58"/>
      <c r="B131" s="110"/>
      <c r="C131" s="73" t="s">
        <v>203</v>
      </c>
      <c r="D131" s="74">
        <v>61</v>
      </c>
      <c r="E131" s="75">
        <v>6.7838078291810001E-3</v>
      </c>
      <c r="F131" s="58"/>
    </row>
    <row r="132" spans="1:6" ht="15" customHeight="1">
      <c r="A132" s="58"/>
      <c r="B132" s="109"/>
      <c r="C132" s="78" t="s">
        <v>12</v>
      </c>
      <c r="D132" s="77">
        <v>96</v>
      </c>
      <c r="E132" s="80">
        <v>1.0676156583629999E-2</v>
      </c>
      <c r="F132" s="58"/>
    </row>
    <row r="133" spans="1:6" ht="15" customHeight="1">
      <c r="A133" s="58"/>
      <c r="B133" s="108" t="s">
        <v>151</v>
      </c>
      <c r="C133" s="73" t="s">
        <v>202</v>
      </c>
      <c r="D133" s="74">
        <v>33</v>
      </c>
      <c r="E133" s="75">
        <v>3.6699288256229999E-3</v>
      </c>
      <c r="F133" s="58"/>
    </row>
    <row r="134" spans="1:6" ht="15" customHeight="1">
      <c r="A134" s="58"/>
      <c r="B134" s="110"/>
      <c r="C134" s="73" t="s">
        <v>203</v>
      </c>
      <c r="D134" s="74">
        <v>96</v>
      </c>
      <c r="E134" s="75">
        <v>1.0676156583629999E-2</v>
      </c>
      <c r="F134" s="58"/>
    </row>
    <row r="135" spans="1:6" ht="15" customHeight="1">
      <c r="A135" s="58"/>
      <c r="B135" s="109"/>
      <c r="C135" s="78" t="s">
        <v>12</v>
      </c>
      <c r="D135" s="77">
        <v>129</v>
      </c>
      <c r="E135" s="80">
        <v>1.4346085409252999E-2</v>
      </c>
      <c r="F135" s="58"/>
    </row>
    <row r="136" spans="1:6" ht="15" customHeight="1">
      <c r="A136" s="58"/>
      <c r="B136" s="108" t="s">
        <v>152</v>
      </c>
      <c r="C136" s="73" t="s">
        <v>202</v>
      </c>
      <c r="D136" s="74">
        <v>94</v>
      </c>
      <c r="E136" s="75">
        <v>1.0453736654803999E-2</v>
      </c>
      <c r="F136" s="58"/>
    </row>
    <row r="137" spans="1:6" ht="15" customHeight="1">
      <c r="A137" s="58"/>
      <c r="B137" s="110"/>
      <c r="C137" s="73" t="s">
        <v>203</v>
      </c>
      <c r="D137" s="74">
        <v>128</v>
      </c>
      <c r="E137" s="75">
        <v>1.4234875444839999E-2</v>
      </c>
      <c r="F137" s="58"/>
    </row>
    <row r="138" spans="1:6" ht="15" customHeight="1">
      <c r="A138" s="58"/>
      <c r="B138" s="109"/>
      <c r="C138" s="78" t="s">
        <v>12</v>
      </c>
      <c r="D138" s="77">
        <v>222</v>
      </c>
      <c r="E138" s="80">
        <v>2.4688612099644E-2</v>
      </c>
      <c r="F138" s="58"/>
    </row>
    <row r="139" spans="1:6" ht="15" customHeight="1">
      <c r="A139" s="58"/>
      <c r="B139" s="108" t="s">
        <v>153</v>
      </c>
      <c r="C139" s="73" t="s">
        <v>202</v>
      </c>
      <c r="D139" s="74">
        <v>18</v>
      </c>
      <c r="E139" s="75">
        <v>2.0017793594310001E-3</v>
      </c>
      <c r="F139" s="58"/>
    </row>
    <row r="140" spans="1:6" ht="15" customHeight="1">
      <c r="A140" s="58"/>
      <c r="B140" s="110"/>
      <c r="C140" s="73" t="s">
        <v>203</v>
      </c>
      <c r="D140" s="74">
        <v>38</v>
      </c>
      <c r="E140" s="75">
        <v>4.2259786476870004E-3</v>
      </c>
      <c r="F140" s="58"/>
    </row>
    <row r="141" spans="1:6" ht="15" customHeight="1">
      <c r="A141" s="58"/>
      <c r="B141" s="109"/>
      <c r="C141" s="78" t="s">
        <v>12</v>
      </c>
      <c r="D141" s="77">
        <v>56</v>
      </c>
      <c r="E141" s="80">
        <v>6.2277580071169996E-3</v>
      </c>
      <c r="F141" s="58"/>
    </row>
    <row r="142" spans="1:6" ht="15" customHeight="1">
      <c r="A142" s="58"/>
      <c r="B142" s="108" t="s">
        <v>154</v>
      </c>
      <c r="C142" s="73" t="s">
        <v>202</v>
      </c>
      <c r="D142" s="74">
        <v>21</v>
      </c>
      <c r="E142" s="75">
        <v>2.335409252669E-3</v>
      </c>
      <c r="F142" s="58"/>
    </row>
    <row r="143" spans="1:6" ht="15" customHeight="1">
      <c r="A143" s="58"/>
      <c r="B143" s="110"/>
      <c r="C143" s="73" t="s">
        <v>203</v>
      </c>
      <c r="D143" s="74">
        <v>46</v>
      </c>
      <c r="E143" s="75">
        <v>5.1156583629890003E-3</v>
      </c>
      <c r="F143" s="58"/>
    </row>
    <row r="144" spans="1:6" ht="15" customHeight="1">
      <c r="A144" s="58"/>
      <c r="B144" s="109"/>
      <c r="C144" s="78" t="s">
        <v>12</v>
      </c>
      <c r="D144" s="77">
        <v>67</v>
      </c>
      <c r="E144" s="80">
        <v>7.4510676156579999E-3</v>
      </c>
      <c r="F144" s="58"/>
    </row>
    <row r="145" spans="1:6" ht="15" customHeight="1">
      <c r="A145" s="58"/>
      <c r="B145" s="108" t="s">
        <v>155</v>
      </c>
      <c r="C145" s="73" t="s">
        <v>202</v>
      </c>
      <c r="D145" s="74">
        <v>29</v>
      </c>
      <c r="E145" s="75">
        <v>3.225088967972E-3</v>
      </c>
      <c r="F145" s="58"/>
    </row>
    <row r="146" spans="1:6" ht="15" customHeight="1">
      <c r="A146" s="58"/>
      <c r="B146" s="110"/>
      <c r="C146" s="73" t="s">
        <v>203</v>
      </c>
      <c r="D146" s="74">
        <v>50</v>
      </c>
      <c r="E146" s="75">
        <v>5.5604982206409999E-3</v>
      </c>
      <c r="F146" s="58"/>
    </row>
    <row r="147" spans="1:6" ht="15" customHeight="1">
      <c r="A147" s="58"/>
      <c r="B147" s="109"/>
      <c r="C147" s="78" t="s">
        <v>12</v>
      </c>
      <c r="D147" s="77">
        <v>79</v>
      </c>
      <c r="E147" s="80">
        <v>8.7855871886120002E-3</v>
      </c>
      <c r="F147" s="58"/>
    </row>
    <row r="148" spans="1:6" ht="15" customHeight="1">
      <c r="A148" s="58"/>
      <c r="B148" s="108" t="s">
        <v>156</v>
      </c>
      <c r="C148" s="73" t="s">
        <v>202</v>
      </c>
      <c r="D148" s="74">
        <v>46</v>
      </c>
      <c r="E148" s="75">
        <v>5.1156583629890003E-3</v>
      </c>
      <c r="F148" s="58"/>
    </row>
    <row r="149" spans="1:6" ht="15" customHeight="1">
      <c r="A149" s="58"/>
      <c r="B149" s="110"/>
      <c r="C149" s="73" t="s">
        <v>203</v>
      </c>
      <c r="D149" s="74">
        <v>82</v>
      </c>
      <c r="E149" s="75">
        <v>9.1192170818510006E-3</v>
      </c>
      <c r="F149" s="58"/>
    </row>
    <row r="150" spans="1:6" ht="15" customHeight="1">
      <c r="A150" s="58"/>
      <c r="B150" s="109"/>
      <c r="C150" s="78" t="s">
        <v>12</v>
      </c>
      <c r="D150" s="77">
        <v>128</v>
      </c>
      <c r="E150" s="80">
        <v>1.4234875444839999E-2</v>
      </c>
      <c r="F150" s="58"/>
    </row>
    <row r="151" spans="1:6" ht="15" customHeight="1">
      <c r="A151" s="58"/>
      <c r="B151" s="108" t="s">
        <v>157</v>
      </c>
      <c r="C151" s="73" t="s">
        <v>202</v>
      </c>
      <c r="D151" s="74">
        <v>12</v>
      </c>
      <c r="E151" s="75">
        <v>1.3345195729539999E-3</v>
      </c>
      <c r="F151" s="58"/>
    </row>
    <row r="152" spans="1:6" ht="15" customHeight="1">
      <c r="A152" s="58"/>
      <c r="B152" s="110"/>
      <c r="C152" s="73" t="s">
        <v>203</v>
      </c>
      <c r="D152" s="74">
        <v>36</v>
      </c>
      <c r="E152" s="75">
        <v>4.0035587188610002E-3</v>
      </c>
      <c r="F152" s="58"/>
    </row>
    <row r="153" spans="1:6" ht="15" customHeight="1">
      <c r="A153" s="58"/>
      <c r="B153" s="109"/>
      <c r="C153" s="78" t="s">
        <v>12</v>
      </c>
      <c r="D153" s="77">
        <v>48</v>
      </c>
      <c r="E153" s="80">
        <v>5.3380782918149997E-3</v>
      </c>
      <c r="F153" s="58"/>
    </row>
    <row r="154" spans="1:6" ht="15" customHeight="1">
      <c r="A154" s="58"/>
      <c r="B154" s="108" t="s">
        <v>158</v>
      </c>
      <c r="C154" s="73" t="s">
        <v>202</v>
      </c>
      <c r="D154" s="74">
        <v>3</v>
      </c>
      <c r="E154" s="75">
        <v>3.33629893238E-4</v>
      </c>
      <c r="F154" s="58"/>
    </row>
    <row r="155" spans="1:6" ht="15" customHeight="1">
      <c r="A155" s="58"/>
      <c r="B155" s="110"/>
      <c r="C155" s="73" t="s">
        <v>203</v>
      </c>
      <c r="D155" s="74">
        <v>4</v>
      </c>
      <c r="E155" s="75">
        <v>4.4483985765100001E-4</v>
      </c>
      <c r="F155" s="58"/>
    </row>
    <row r="156" spans="1:6" ht="15" customHeight="1">
      <c r="A156" s="58"/>
      <c r="B156" s="109"/>
      <c r="C156" s="78" t="s">
        <v>12</v>
      </c>
      <c r="D156" s="77">
        <v>7</v>
      </c>
      <c r="E156" s="80">
        <v>7.7846975088999998E-4</v>
      </c>
      <c r="F156" s="58"/>
    </row>
    <row r="157" spans="1:6" ht="15" customHeight="1">
      <c r="A157" s="58"/>
      <c r="B157" s="108" t="s">
        <v>86</v>
      </c>
      <c r="C157" s="73" t="s">
        <v>202</v>
      </c>
      <c r="D157" s="74">
        <v>6</v>
      </c>
      <c r="E157" s="75">
        <v>6.6725978647699997E-4</v>
      </c>
      <c r="F157" s="58"/>
    </row>
    <row r="158" spans="1:6" ht="15" customHeight="1">
      <c r="A158" s="58"/>
      <c r="B158" s="110"/>
      <c r="C158" s="73" t="s">
        <v>203</v>
      </c>
      <c r="D158" s="74">
        <v>22</v>
      </c>
      <c r="E158" s="75">
        <v>2.4466192170820001E-3</v>
      </c>
      <c r="F158" s="58"/>
    </row>
    <row r="159" spans="1:6" ht="15" customHeight="1">
      <c r="A159" s="58"/>
      <c r="B159" s="109"/>
      <c r="C159" s="78" t="s">
        <v>12</v>
      </c>
      <c r="D159" s="77">
        <v>28</v>
      </c>
      <c r="E159" s="80">
        <v>3.1138790035589998E-3</v>
      </c>
      <c r="F159" s="58"/>
    </row>
    <row r="160" spans="1:6" ht="15" customHeight="1">
      <c r="A160" s="58"/>
      <c r="B160" s="108" t="s">
        <v>159</v>
      </c>
      <c r="C160" s="73" t="s">
        <v>202</v>
      </c>
      <c r="D160" s="74">
        <v>3</v>
      </c>
      <c r="E160" s="75">
        <v>3.33629893238E-4</v>
      </c>
      <c r="F160" s="58"/>
    </row>
    <row r="161" spans="1:6" ht="15" customHeight="1">
      <c r="A161" s="58"/>
      <c r="B161" s="110"/>
      <c r="C161" s="73" t="s">
        <v>203</v>
      </c>
      <c r="D161" s="74">
        <v>2</v>
      </c>
      <c r="E161" s="75">
        <v>2.2241992882600001E-4</v>
      </c>
      <c r="F161" s="58"/>
    </row>
    <row r="162" spans="1:6" ht="15" customHeight="1">
      <c r="A162" s="58"/>
      <c r="B162" s="109"/>
      <c r="C162" s="78" t="s">
        <v>12</v>
      </c>
      <c r="D162" s="77">
        <v>5</v>
      </c>
      <c r="E162" s="80">
        <v>5.5604982206399996E-4</v>
      </c>
      <c r="F162" s="58"/>
    </row>
    <row r="163" spans="1:6" ht="14.25">
      <c r="A163" s="58"/>
      <c r="B163" s="118" t="s">
        <v>12</v>
      </c>
      <c r="C163" s="119"/>
      <c r="D163" s="82">
        <v>8992</v>
      </c>
      <c r="E163" s="81">
        <v>1</v>
      </c>
      <c r="F163" s="58"/>
    </row>
    <row r="164" spans="1:6" ht="12.75">
      <c r="A164" s="58"/>
      <c r="B164" s="59"/>
      <c r="C164" s="59"/>
      <c r="D164" s="60"/>
      <c r="E164" s="59"/>
      <c r="F164" s="58"/>
    </row>
    <row r="165" spans="1:6" ht="12.75">
      <c r="A165" s="58"/>
      <c r="B165" s="44" t="s">
        <v>170</v>
      </c>
      <c r="C165" s="59"/>
      <c r="D165" s="60"/>
      <c r="E165" s="59"/>
      <c r="F165" s="58"/>
    </row>
    <row r="166" spans="1:6" ht="12.75">
      <c r="B166" s="45" t="s">
        <v>3</v>
      </c>
      <c r="C166" s="59"/>
      <c r="D166" s="60"/>
      <c r="E166" s="59"/>
      <c r="F166" s="58"/>
    </row>
    <row r="167" spans="1:6" ht="12.75">
      <c r="B167" s="46" t="s">
        <v>43</v>
      </c>
      <c r="C167" s="59"/>
      <c r="D167" s="60"/>
      <c r="E167" s="59"/>
      <c r="F167" s="58"/>
    </row>
    <row r="168" spans="1:6" ht="12.75">
      <c r="B168" s="44" t="s">
        <v>4</v>
      </c>
      <c r="C168" s="59"/>
      <c r="D168" s="60"/>
      <c r="E168" s="59"/>
      <c r="F168" s="58"/>
    </row>
    <row r="169" spans="1:6" ht="12.75">
      <c r="B169" s="44" t="s">
        <v>252</v>
      </c>
      <c r="C169" s="59"/>
      <c r="D169" s="60"/>
      <c r="E169" s="59"/>
      <c r="F169" s="58"/>
    </row>
    <row r="170" spans="1:6" ht="16.5">
      <c r="B170" s="51"/>
      <c r="C170" s="59"/>
      <c r="D170" s="60"/>
      <c r="E170" s="59"/>
      <c r="F170" s="58"/>
    </row>
  </sheetData>
  <mergeCells count="53">
    <mergeCell ref="B163:C163"/>
    <mergeCell ref="B157:B159"/>
    <mergeCell ref="B160:B162"/>
    <mergeCell ref="B142:B144"/>
    <mergeCell ref="B145:B147"/>
    <mergeCell ref="B148:B150"/>
    <mergeCell ref="B151:B153"/>
    <mergeCell ref="B154:B156"/>
    <mergeCell ref="B127:B129"/>
    <mergeCell ref="B130:B132"/>
    <mergeCell ref="B133:B135"/>
    <mergeCell ref="B136:B138"/>
    <mergeCell ref="B139:B141"/>
    <mergeCell ref="B112:B114"/>
    <mergeCell ref="B115:B117"/>
    <mergeCell ref="B118:B120"/>
    <mergeCell ref="B121:B123"/>
    <mergeCell ref="B124:B126"/>
    <mergeCell ref="B97:B99"/>
    <mergeCell ref="B100:B102"/>
    <mergeCell ref="B103:B105"/>
    <mergeCell ref="B106:B108"/>
    <mergeCell ref="B109:B111"/>
    <mergeCell ref="B84:B86"/>
    <mergeCell ref="B87:B89"/>
    <mergeCell ref="B90:B91"/>
    <mergeCell ref="B92:B93"/>
    <mergeCell ref="B94:B96"/>
    <mergeCell ref="B69:B71"/>
    <mergeCell ref="B72:B74"/>
    <mergeCell ref="B75:B77"/>
    <mergeCell ref="B78:B80"/>
    <mergeCell ref="B81:B83"/>
    <mergeCell ref="B54:B56"/>
    <mergeCell ref="B57:B59"/>
    <mergeCell ref="B60:B62"/>
    <mergeCell ref="B63:B65"/>
    <mergeCell ref="B66:B68"/>
    <mergeCell ref="B41:B42"/>
    <mergeCell ref="B43:B45"/>
    <mergeCell ref="B46:B48"/>
    <mergeCell ref="B49:B50"/>
    <mergeCell ref="B51:B53"/>
    <mergeCell ref="B26:B28"/>
    <mergeCell ref="B29:B31"/>
    <mergeCell ref="B32:B34"/>
    <mergeCell ref="B35:B37"/>
    <mergeCell ref="B38:B40"/>
    <mergeCell ref="B8:E11"/>
    <mergeCell ref="B14:B16"/>
    <mergeCell ref="B17:B19"/>
    <mergeCell ref="B20:B22"/>
    <mergeCell ref="B23:B25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rowBreaks count="2" manualBreakCount="2">
    <brk id="61" max="16383" man="1"/>
    <brk id="111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4">
    <tabColor rgb="FF00B050"/>
  </sheetPr>
  <dimension ref="A1:I152"/>
  <sheetViews>
    <sheetView showGridLines="0" view="pageBreakPreview" zoomScale="145" zoomScaleNormal="98" zoomScaleSheetLayoutView="145" workbookViewId="0">
      <selection activeCell="B8" sqref="B8:E10"/>
    </sheetView>
  </sheetViews>
  <sheetFormatPr baseColWidth="10" defaultColWidth="11.42578125" defaultRowHeight="11.25"/>
  <cols>
    <col min="1" max="1" width="5.7109375" style="1" customWidth="1"/>
    <col min="2" max="3" width="22.7109375" style="10" customWidth="1"/>
    <col min="4" max="4" width="14.42578125" style="10" customWidth="1"/>
    <col min="5" max="5" width="13.28515625" style="1" customWidth="1"/>
    <col min="6" max="16384" width="11.42578125" style="1"/>
  </cols>
  <sheetData>
    <row r="1" spans="2:9" s="5" customFormat="1" ht="15">
      <c r="B1" s="10"/>
      <c r="C1" s="10"/>
    </row>
    <row r="2" spans="2:9" s="10" customFormat="1">
      <c r="B2" s="17"/>
    </row>
    <row r="3" spans="2:9" ht="15" customHeight="1">
      <c r="B3" s="18"/>
      <c r="C3" s="2"/>
      <c r="E3" s="10"/>
    </row>
    <row r="4" spans="2:9" ht="30" customHeight="1">
      <c r="B4" s="18"/>
      <c r="C4" s="2"/>
      <c r="E4" s="10"/>
    </row>
    <row r="5" spans="2:9" ht="15" customHeight="1">
      <c r="B5" s="18"/>
      <c r="C5" s="2"/>
      <c r="E5" s="10"/>
    </row>
    <row r="6" spans="2:9" s="10" customFormat="1">
      <c r="B6" s="13"/>
      <c r="C6" s="12"/>
    </row>
    <row r="7" spans="2:9" s="10" customFormat="1">
      <c r="B7" s="17"/>
    </row>
    <row r="8" spans="2:9" s="5" customFormat="1" ht="15" customHeight="1">
      <c r="B8" s="107" t="s">
        <v>256</v>
      </c>
      <c r="C8" s="107"/>
      <c r="D8" s="107"/>
      <c r="E8" s="107"/>
    </row>
    <row r="9" spans="2:9" s="5" customFormat="1" ht="15" customHeight="1">
      <c r="B9" s="107"/>
      <c r="C9" s="107"/>
      <c r="D9" s="107"/>
      <c r="E9" s="107"/>
    </row>
    <row r="10" spans="2:9" s="5" customFormat="1" ht="15" customHeight="1">
      <c r="B10" s="107"/>
      <c r="C10" s="107"/>
      <c r="D10" s="107"/>
      <c r="E10" s="107"/>
    </row>
    <row r="11" spans="2:9" s="5" customFormat="1" ht="15" customHeight="1">
      <c r="B11" s="31"/>
      <c r="C11" s="31"/>
      <c r="D11" s="31"/>
      <c r="I11" s="89"/>
    </row>
    <row r="12" spans="2:9" s="5" customFormat="1" ht="36.950000000000003" customHeight="1">
      <c r="B12" s="61" t="s">
        <v>8</v>
      </c>
      <c r="C12" s="93" t="s">
        <v>13</v>
      </c>
      <c r="D12" s="61" t="s">
        <v>1</v>
      </c>
      <c r="E12" s="61" t="s">
        <v>2</v>
      </c>
      <c r="F12" s="52"/>
    </row>
    <row r="13" spans="2:9" s="35" customFormat="1" ht="15" customHeight="1">
      <c r="B13" s="108" t="s">
        <v>44</v>
      </c>
      <c r="C13" s="73" t="s">
        <v>202</v>
      </c>
      <c r="D13" s="74">
        <v>4</v>
      </c>
      <c r="E13" s="75">
        <v>4.4483985765100001E-4</v>
      </c>
      <c r="F13" s="62"/>
    </row>
    <row r="14" spans="2:9" s="35" customFormat="1" ht="15" customHeight="1">
      <c r="B14" s="110"/>
      <c r="C14" s="73" t="s">
        <v>203</v>
      </c>
      <c r="D14" s="74">
        <v>14</v>
      </c>
      <c r="E14" s="75">
        <v>1.5569395017790001E-3</v>
      </c>
      <c r="F14" s="62"/>
    </row>
    <row r="15" spans="2:9" s="35" customFormat="1" ht="15" customHeight="1">
      <c r="B15" s="109"/>
      <c r="C15" s="78" t="s">
        <v>12</v>
      </c>
      <c r="D15" s="77">
        <v>18</v>
      </c>
      <c r="E15" s="80">
        <v>2.0017793594310001E-3</v>
      </c>
      <c r="F15" s="62"/>
    </row>
    <row r="16" spans="2:9" s="35" customFormat="1" ht="15" customHeight="1">
      <c r="B16" s="108" t="s">
        <v>45</v>
      </c>
      <c r="C16" s="73" t="s">
        <v>202</v>
      </c>
      <c r="D16" s="74">
        <v>1</v>
      </c>
      <c r="E16" s="75">
        <v>1.1120996441300001E-4</v>
      </c>
      <c r="F16" s="62"/>
    </row>
    <row r="17" spans="2:6" s="35" customFormat="1" ht="15" customHeight="1">
      <c r="B17" s="109"/>
      <c r="C17" s="78" t="s">
        <v>12</v>
      </c>
      <c r="D17" s="77">
        <v>1</v>
      </c>
      <c r="E17" s="80">
        <v>1.1120996441300001E-4</v>
      </c>
      <c r="F17" s="62"/>
    </row>
    <row r="18" spans="2:6" s="36" customFormat="1" ht="15" customHeight="1">
      <c r="B18" s="108" t="s">
        <v>46</v>
      </c>
      <c r="C18" s="73" t="s">
        <v>202</v>
      </c>
      <c r="D18" s="74">
        <v>28</v>
      </c>
      <c r="E18" s="75">
        <v>3.1138790035589998E-3</v>
      </c>
      <c r="F18" s="63"/>
    </row>
    <row r="19" spans="2:6" s="36" customFormat="1" ht="15" customHeight="1">
      <c r="B19" s="110"/>
      <c r="C19" s="73" t="s">
        <v>203</v>
      </c>
      <c r="D19" s="74">
        <v>71</v>
      </c>
      <c r="E19" s="75">
        <v>7.8959074733099995E-3</v>
      </c>
      <c r="F19" s="63"/>
    </row>
    <row r="20" spans="2:6" s="36" customFormat="1" ht="15" customHeight="1">
      <c r="B20" s="109"/>
      <c r="C20" s="78" t="s">
        <v>12</v>
      </c>
      <c r="D20" s="77">
        <v>99</v>
      </c>
      <c r="E20" s="80">
        <v>1.1009786476868001E-2</v>
      </c>
      <c r="F20" s="63"/>
    </row>
    <row r="21" spans="2:6" s="36" customFormat="1" ht="15" customHeight="1">
      <c r="B21" s="108" t="s">
        <v>47</v>
      </c>
      <c r="C21" s="73" t="s">
        <v>202</v>
      </c>
      <c r="D21" s="74">
        <v>67</v>
      </c>
      <c r="E21" s="75">
        <v>7.4510676156579999E-3</v>
      </c>
      <c r="F21" s="63"/>
    </row>
    <row r="22" spans="2:6" s="36" customFormat="1" ht="15" customHeight="1">
      <c r="B22" s="110"/>
      <c r="C22" s="73" t="s">
        <v>203</v>
      </c>
      <c r="D22" s="74">
        <v>124</v>
      </c>
      <c r="E22" s="75">
        <v>1.3790035587189E-2</v>
      </c>
      <c r="F22" s="63"/>
    </row>
    <row r="23" spans="2:6" s="35" customFormat="1" ht="15" customHeight="1">
      <c r="B23" s="109"/>
      <c r="C23" s="78" t="s">
        <v>12</v>
      </c>
      <c r="D23" s="77">
        <v>191</v>
      </c>
      <c r="E23" s="80">
        <v>2.1241103202847E-2</v>
      </c>
      <c r="F23" s="62"/>
    </row>
    <row r="24" spans="2:6" s="35" customFormat="1" ht="15" customHeight="1">
      <c r="B24" s="108" t="s">
        <v>48</v>
      </c>
      <c r="C24" s="73" t="s">
        <v>202</v>
      </c>
      <c r="D24" s="74">
        <v>576</v>
      </c>
      <c r="E24" s="75">
        <v>6.4056939501779001E-2</v>
      </c>
      <c r="F24" s="62"/>
    </row>
    <row r="25" spans="2:6" s="35" customFormat="1" ht="15" customHeight="1">
      <c r="B25" s="110"/>
      <c r="C25" s="73" t="s">
        <v>203</v>
      </c>
      <c r="D25" s="74">
        <v>954</v>
      </c>
      <c r="E25" s="75">
        <v>0.10609430604982199</v>
      </c>
      <c r="F25" s="62"/>
    </row>
    <row r="26" spans="2:6" s="35" customFormat="1" ht="15" customHeight="1">
      <c r="B26" s="109"/>
      <c r="C26" s="78" t="s">
        <v>12</v>
      </c>
      <c r="D26" s="77">
        <v>1530</v>
      </c>
      <c r="E26" s="80">
        <v>0.17015124555160099</v>
      </c>
      <c r="F26" s="62"/>
    </row>
    <row r="27" spans="2:6" s="35" customFormat="1" ht="15" customHeight="1">
      <c r="B27" s="108" t="s">
        <v>49</v>
      </c>
      <c r="C27" s="73" t="s">
        <v>202</v>
      </c>
      <c r="D27" s="74">
        <v>189</v>
      </c>
      <c r="E27" s="75">
        <v>2.1018683274021E-2</v>
      </c>
      <c r="F27" s="62"/>
    </row>
    <row r="28" spans="2:6" s="35" customFormat="1" ht="15" customHeight="1">
      <c r="B28" s="110"/>
      <c r="C28" s="73" t="s">
        <v>203</v>
      </c>
      <c r="D28" s="74">
        <v>447</v>
      </c>
      <c r="E28" s="75">
        <v>4.9710854092526999E-2</v>
      </c>
      <c r="F28" s="62"/>
    </row>
    <row r="29" spans="2:6" s="35" customFormat="1" ht="15" customHeight="1">
      <c r="B29" s="109"/>
      <c r="C29" s="78" t="s">
        <v>12</v>
      </c>
      <c r="D29" s="77">
        <v>636</v>
      </c>
      <c r="E29" s="80">
        <v>7.0729537366547995E-2</v>
      </c>
      <c r="F29" s="62"/>
    </row>
    <row r="30" spans="2:6" s="35" customFormat="1" ht="15" customHeight="1">
      <c r="B30" s="108" t="s">
        <v>50</v>
      </c>
      <c r="C30" s="73" t="s">
        <v>202</v>
      </c>
      <c r="D30" s="74">
        <v>3</v>
      </c>
      <c r="E30" s="75">
        <v>3.33629893238E-4</v>
      </c>
      <c r="F30" s="62"/>
    </row>
    <row r="31" spans="2:6" s="35" customFormat="1" ht="15" customHeight="1">
      <c r="B31" s="110"/>
      <c r="C31" s="73" t="s">
        <v>203</v>
      </c>
      <c r="D31" s="74">
        <v>3</v>
      </c>
      <c r="E31" s="75">
        <v>3.33629893238E-4</v>
      </c>
      <c r="F31" s="62"/>
    </row>
    <row r="32" spans="2:6" s="35" customFormat="1" ht="15" customHeight="1">
      <c r="B32" s="109"/>
      <c r="C32" s="78" t="s">
        <v>12</v>
      </c>
      <c r="D32" s="77">
        <v>6</v>
      </c>
      <c r="E32" s="80">
        <v>6.6725978647699997E-4</v>
      </c>
      <c r="F32" s="62"/>
    </row>
    <row r="33" spans="2:6" s="35" customFormat="1" ht="15" customHeight="1">
      <c r="B33" s="108" t="s">
        <v>51</v>
      </c>
      <c r="C33" s="73" t="s">
        <v>202</v>
      </c>
      <c r="D33" s="74">
        <v>3</v>
      </c>
      <c r="E33" s="75">
        <v>3.33629893238E-4</v>
      </c>
      <c r="F33" s="62"/>
    </row>
    <row r="34" spans="2:6" s="35" customFormat="1" ht="15" customHeight="1">
      <c r="B34" s="110"/>
      <c r="C34" s="73" t="s">
        <v>203</v>
      </c>
      <c r="D34" s="74">
        <v>7</v>
      </c>
      <c r="E34" s="75">
        <v>7.7846975088999998E-4</v>
      </c>
      <c r="F34" s="62"/>
    </row>
    <row r="35" spans="2:6" s="35" customFormat="1" ht="15" customHeight="1">
      <c r="B35" s="109"/>
      <c r="C35" s="78" t="s">
        <v>12</v>
      </c>
      <c r="D35" s="77">
        <v>10</v>
      </c>
      <c r="E35" s="80">
        <v>1.1120996441279999E-3</v>
      </c>
      <c r="F35" s="62"/>
    </row>
    <row r="36" spans="2:6" s="35" customFormat="1" ht="15" customHeight="1">
      <c r="B36" s="108" t="s">
        <v>53</v>
      </c>
      <c r="C36" s="73" t="s">
        <v>202</v>
      </c>
      <c r="D36" s="74">
        <v>55</v>
      </c>
      <c r="E36" s="75">
        <v>6.1165480427050004E-3</v>
      </c>
      <c r="F36" s="62"/>
    </row>
    <row r="37" spans="2:6" s="35" customFormat="1" ht="15" customHeight="1">
      <c r="B37" s="110"/>
      <c r="C37" s="73" t="s">
        <v>203</v>
      </c>
      <c r="D37" s="74">
        <v>122</v>
      </c>
      <c r="E37" s="75">
        <v>1.3567615658362999E-2</v>
      </c>
      <c r="F37" s="62"/>
    </row>
    <row r="38" spans="2:6" s="35" customFormat="1" ht="15" customHeight="1">
      <c r="B38" s="109"/>
      <c r="C38" s="78" t="s">
        <v>12</v>
      </c>
      <c r="D38" s="77">
        <v>177</v>
      </c>
      <c r="E38" s="80">
        <v>1.9684163701068E-2</v>
      </c>
      <c r="F38" s="62"/>
    </row>
    <row r="39" spans="2:6" s="35" customFormat="1" ht="15" customHeight="1">
      <c r="B39" s="108" t="s">
        <v>54</v>
      </c>
      <c r="C39" s="73" t="s">
        <v>202</v>
      </c>
      <c r="D39" s="74">
        <v>50</v>
      </c>
      <c r="E39" s="75">
        <v>5.5604982206409999E-3</v>
      </c>
      <c r="F39" s="62"/>
    </row>
    <row r="40" spans="2:6" s="35" customFormat="1" ht="15" customHeight="1">
      <c r="B40" s="110"/>
      <c r="C40" s="73" t="s">
        <v>203</v>
      </c>
      <c r="D40" s="74">
        <v>105</v>
      </c>
      <c r="E40" s="75">
        <v>1.1677046263345E-2</v>
      </c>
      <c r="F40" s="62"/>
    </row>
    <row r="41" spans="2:6" s="35" customFormat="1" ht="15" customHeight="1">
      <c r="B41" s="109"/>
      <c r="C41" s="78" t="s">
        <v>12</v>
      </c>
      <c r="D41" s="77">
        <v>155</v>
      </c>
      <c r="E41" s="80">
        <v>1.7237544483986001E-2</v>
      </c>
      <c r="F41" s="62"/>
    </row>
    <row r="42" spans="2:6" s="35" customFormat="1" ht="15" customHeight="1">
      <c r="B42" s="108" t="s">
        <v>187</v>
      </c>
      <c r="C42" s="73" t="s">
        <v>202</v>
      </c>
      <c r="D42" s="74">
        <v>1</v>
      </c>
      <c r="E42" s="75">
        <v>1.1120996441300001E-4</v>
      </c>
      <c r="F42" s="62"/>
    </row>
    <row r="43" spans="2:6" s="35" customFormat="1" ht="15" customHeight="1">
      <c r="B43" s="109"/>
      <c r="C43" s="78" t="s">
        <v>12</v>
      </c>
      <c r="D43" s="77">
        <v>1</v>
      </c>
      <c r="E43" s="80">
        <v>1.1120996441300001E-4</v>
      </c>
      <c r="F43" s="62"/>
    </row>
    <row r="44" spans="2:6" s="35" customFormat="1" ht="15" customHeight="1">
      <c r="B44" s="108" t="s">
        <v>55</v>
      </c>
      <c r="C44" s="73" t="s">
        <v>202</v>
      </c>
      <c r="D44" s="74">
        <v>11</v>
      </c>
      <c r="E44" s="75">
        <v>1.223309608541E-3</v>
      </c>
      <c r="F44" s="62"/>
    </row>
    <row r="45" spans="2:6" s="35" customFormat="1" ht="15" customHeight="1">
      <c r="B45" s="110"/>
      <c r="C45" s="73" t="s">
        <v>203</v>
      </c>
      <c r="D45" s="74">
        <v>20</v>
      </c>
      <c r="E45" s="75">
        <v>2.2241992882559999E-3</v>
      </c>
      <c r="F45" s="62"/>
    </row>
    <row r="46" spans="2:6" s="35" customFormat="1" ht="15" customHeight="1">
      <c r="B46" s="109"/>
      <c r="C46" s="78" t="s">
        <v>12</v>
      </c>
      <c r="D46" s="77">
        <v>31</v>
      </c>
      <c r="E46" s="80">
        <v>3.4475088967970001E-3</v>
      </c>
      <c r="F46" s="62"/>
    </row>
    <row r="47" spans="2:6" s="35" customFormat="1" ht="15" customHeight="1">
      <c r="B47" s="108" t="s">
        <v>56</v>
      </c>
      <c r="C47" s="73" t="s">
        <v>202</v>
      </c>
      <c r="D47" s="74">
        <v>331</v>
      </c>
      <c r="E47" s="75">
        <v>3.6810498220641003E-2</v>
      </c>
      <c r="F47" s="62"/>
    </row>
    <row r="48" spans="2:6" s="35" customFormat="1" ht="15" customHeight="1">
      <c r="B48" s="110"/>
      <c r="C48" s="73" t="s">
        <v>203</v>
      </c>
      <c r="D48" s="74">
        <v>598</v>
      </c>
      <c r="E48" s="75">
        <v>6.6503558718861003E-2</v>
      </c>
      <c r="F48" s="62"/>
    </row>
    <row r="49" spans="2:6" s="35" customFormat="1" ht="15" customHeight="1">
      <c r="B49" s="109"/>
      <c r="C49" s="78" t="s">
        <v>12</v>
      </c>
      <c r="D49" s="77">
        <v>929</v>
      </c>
      <c r="E49" s="80">
        <v>0.10331405693950201</v>
      </c>
      <c r="F49" s="62"/>
    </row>
    <row r="50" spans="2:6" s="35" customFormat="1" ht="15" customHeight="1">
      <c r="B50" s="108" t="s">
        <v>57</v>
      </c>
      <c r="C50" s="73" t="s">
        <v>202</v>
      </c>
      <c r="D50" s="74">
        <v>170</v>
      </c>
      <c r="E50" s="75">
        <v>1.8905693950178E-2</v>
      </c>
      <c r="F50" s="62"/>
    </row>
    <row r="51" spans="2:6" s="35" customFormat="1" ht="15" customHeight="1">
      <c r="B51" s="110"/>
      <c r="C51" s="73" t="s">
        <v>203</v>
      </c>
      <c r="D51" s="74">
        <v>325</v>
      </c>
      <c r="E51" s="75">
        <v>3.6143238434163998E-2</v>
      </c>
      <c r="F51" s="62"/>
    </row>
    <row r="52" spans="2:6" s="35" customFormat="1" ht="15" customHeight="1">
      <c r="B52" s="109"/>
      <c r="C52" s="78" t="s">
        <v>12</v>
      </c>
      <c r="D52" s="77">
        <v>495</v>
      </c>
      <c r="E52" s="80">
        <v>5.5048932384341998E-2</v>
      </c>
      <c r="F52" s="62"/>
    </row>
    <row r="53" spans="2:6" s="35" customFormat="1" ht="15" customHeight="1">
      <c r="B53" s="108" t="s">
        <v>58</v>
      </c>
      <c r="C53" s="73" t="s">
        <v>202</v>
      </c>
      <c r="D53" s="74">
        <v>29</v>
      </c>
      <c r="E53" s="75">
        <v>3.225088967972E-3</v>
      </c>
      <c r="F53" s="62"/>
    </row>
    <row r="54" spans="2:6" s="35" customFormat="1" ht="15" customHeight="1">
      <c r="B54" s="110"/>
      <c r="C54" s="73" t="s">
        <v>203</v>
      </c>
      <c r="D54" s="74">
        <v>64</v>
      </c>
      <c r="E54" s="75">
        <v>7.1174377224199996E-3</v>
      </c>
      <c r="F54" s="62"/>
    </row>
    <row r="55" spans="2:6" s="35" customFormat="1" ht="15" customHeight="1">
      <c r="B55" s="109"/>
      <c r="C55" s="78" t="s">
        <v>12</v>
      </c>
      <c r="D55" s="77">
        <v>93</v>
      </c>
      <c r="E55" s="80">
        <v>1.0342526690391001E-2</v>
      </c>
      <c r="F55" s="62"/>
    </row>
    <row r="56" spans="2:6" s="35" customFormat="1" ht="15" customHeight="1">
      <c r="B56" s="108" t="s">
        <v>59</v>
      </c>
      <c r="C56" s="73" t="s">
        <v>202</v>
      </c>
      <c r="D56" s="74">
        <v>30</v>
      </c>
      <c r="E56" s="75">
        <v>3.336298932384E-3</v>
      </c>
      <c r="F56" s="62"/>
    </row>
    <row r="57" spans="2:6" s="35" customFormat="1" ht="15" customHeight="1">
      <c r="B57" s="110"/>
      <c r="C57" s="73" t="s">
        <v>203</v>
      </c>
      <c r="D57" s="74">
        <v>73</v>
      </c>
      <c r="E57" s="75">
        <v>8.1183274021350005E-3</v>
      </c>
      <c r="F57" s="62"/>
    </row>
    <row r="58" spans="2:6" s="35" customFormat="1" ht="15" customHeight="1">
      <c r="B58" s="109"/>
      <c r="C58" s="78" t="s">
        <v>12</v>
      </c>
      <c r="D58" s="77">
        <v>103</v>
      </c>
      <c r="E58" s="80">
        <v>1.1454626334519999E-2</v>
      </c>
      <c r="F58" s="62"/>
    </row>
    <row r="59" spans="2:6" s="35" customFormat="1" ht="15" customHeight="1">
      <c r="B59" s="108" t="s">
        <v>60</v>
      </c>
      <c r="C59" s="73" t="s">
        <v>202</v>
      </c>
      <c r="D59" s="74">
        <v>43</v>
      </c>
      <c r="E59" s="75">
        <v>4.7820284697510001E-3</v>
      </c>
      <c r="F59" s="62"/>
    </row>
    <row r="60" spans="2:6" s="35" customFormat="1" ht="15" customHeight="1">
      <c r="B60" s="110"/>
      <c r="C60" s="73" t="s">
        <v>203</v>
      </c>
      <c r="D60" s="74">
        <v>58</v>
      </c>
      <c r="E60" s="75">
        <v>6.4501779359429998E-3</v>
      </c>
      <c r="F60" s="62"/>
    </row>
    <row r="61" spans="2:6" s="35" customFormat="1" ht="15" customHeight="1">
      <c r="B61" s="109"/>
      <c r="C61" s="78" t="s">
        <v>12</v>
      </c>
      <c r="D61" s="77">
        <v>101</v>
      </c>
      <c r="E61" s="80">
        <v>1.1232206405694001E-2</v>
      </c>
      <c r="F61" s="62"/>
    </row>
    <row r="62" spans="2:6" s="35" customFormat="1" ht="15" customHeight="1">
      <c r="B62" s="108" t="s">
        <v>61</v>
      </c>
      <c r="C62" s="73" t="s">
        <v>202</v>
      </c>
      <c r="D62" s="74">
        <v>6</v>
      </c>
      <c r="E62" s="75">
        <v>6.6725978647699997E-4</v>
      </c>
      <c r="F62" s="62"/>
    </row>
    <row r="63" spans="2:6" s="35" customFormat="1" ht="15" customHeight="1">
      <c r="B63" s="110"/>
      <c r="C63" s="73" t="s">
        <v>203</v>
      </c>
      <c r="D63" s="74">
        <v>10</v>
      </c>
      <c r="E63" s="75">
        <v>1.1120996441279999E-3</v>
      </c>
      <c r="F63" s="62"/>
    </row>
    <row r="64" spans="2:6" s="35" customFormat="1" ht="15" customHeight="1">
      <c r="B64" s="109"/>
      <c r="C64" s="78" t="s">
        <v>12</v>
      </c>
      <c r="D64" s="77">
        <v>16</v>
      </c>
      <c r="E64" s="80">
        <v>1.7793594306049999E-3</v>
      </c>
      <c r="F64" s="62"/>
    </row>
    <row r="65" spans="2:6" s="35" customFormat="1" ht="15" customHeight="1">
      <c r="B65" s="108" t="s">
        <v>62</v>
      </c>
      <c r="C65" s="73" t="s">
        <v>202</v>
      </c>
      <c r="D65" s="74">
        <v>3</v>
      </c>
      <c r="E65" s="75">
        <v>3.33629893238E-4</v>
      </c>
      <c r="F65" s="62"/>
    </row>
    <row r="66" spans="2:6" s="35" customFormat="1" ht="15" customHeight="1">
      <c r="B66" s="110"/>
      <c r="C66" s="73" t="s">
        <v>203</v>
      </c>
      <c r="D66" s="74">
        <v>7</v>
      </c>
      <c r="E66" s="75">
        <v>7.7846975088999998E-4</v>
      </c>
      <c r="F66" s="62"/>
    </row>
    <row r="67" spans="2:6" s="35" customFormat="1" ht="15" customHeight="1">
      <c r="B67" s="109"/>
      <c r="C67" s="78" t="s">
        <v>12</v>
      </c>
      <c r="D67" s="77">
        <v>10</v>
      </c>
      <c r="E67" s="80">
        <v>1.1120996441279999E-3</v>
      </c>
      <c r="F67" s="62"/>
    </row>
    <row r="68" spans="2:6" s="35" customFormat="1" ht="15" customHeight="1">
      <c r="B68" s="108" t="s">
        <v>63</v>
      </c>
      <c r="C68" s="73" t="s">
        <v>203</v>
      </c>
      <c r="D68" s="74">
        <v>1</v>
      </c>
      <c r="E68" s="75">
        <v>1.1120996441300001E-4</v>
      </c>
      <c r="F68" s="62"/>
    </row>
    <row r="69" spans="2:6" s="35" customFormat="1" ht="15" customHeight="1">
      <c r="B69" s="109"/>
      <c r="C69" s="78" t="s">
        <v>12</v>
      </c>
      <c r="D69" s="77">
        <v>1</v>
      </c>
      <c r="E69" s="80">
        <v>1.1120996441300001E-4</v>
      </c>
      <c r="F69" s="62"/>
    </row>
    <row r="70" spans="2:6" s="35" customFormat="1" ht="15" customHeight="1">
      <c r="B70" s="108" t="s">
        <v>64</v>
      </c>
      <c r="C70" s="73" t="s">
        <v>202</v>
      </c>
      <c r="D70" s="74">
        <v>33</v>
      </c>
      <c r="E70" s="75">
        <v>3.6699288256229999E-3</v>
      </c>
      <c r="F70" s="62"/>
    </row>
    <row r="71" spans="2:6" s="35" customFormat="1" ht="15" customHeight="1">
      <c r="B71" s="110"/>
      <c r="C71" s="73" t="s">
        <v>203</v>
      </c>
      <c r="D71" s="74">
        <v>63</v>
      </c>
      <c r="E71" s="75">
        <v>7.0062277580070003E-3</v>
      </c>
      <c r="F71" s="62"/>
    </row>
    <row r="72" spans="2:6" s="35" customFormat="1" ht="15" customHeight="1">
      <c r="B72" s="109"/>
      <c r="C72" s="78" t="s">
        <v>12</v>
      </c>
      <c r="D72" s="77">
        <v>96</v>
      </c>
      <c r="E72" s="80">
        <v>1.0676156583629999E-2</v>
      </c>
      <c r="F72" s="62"/>
    </row>
    <row r="73" spans="2:6" s="35" customFormat="1" ht="15" customHeight="1">
      <c r="B73" s="108" t="s">
        <v>65</v>
      </c>
      <c r="C73" s="73" t="s">
        <v>202</v>
      </c>
      <c r="D73" s="74">
        <v>12</v>
      </c>
      <c r="E73" s="75">
        <v>1.3345195729539999E-3</v>
      </c>
      <c r="F73" s="62"/>
    </row>
    <row r="74" spans="2:6" s="35" customFormat="1" ht="15" customHeight="1">
      <c r="B74" s="110"/>
      <c r="C74" s="73" t="s">
        <v>203</v>
      </c>
      <c r="D74" s="74">
        <v>39</v>
      </c>
      <c r="E74" s="75">
        <v>4.3371886120999997E-3</v>
      </c>
      <c r="F74" s="62"/>
    </row>
    <row r="75" spans="2:6" s="35" customFormat="1" ht="15" customHeight="1">
      <c r="B75" s="109"/>
      <c r="C75" s="78" t="s">
        <v>12</v>
      </c>
      <c r="D75" s="77">
        <v>51</v>
      </c>
      <c r="E75" s="80">
        <v>5.671708185053E-3</v>
      </c>
      <c r="F75" s="62"/>
    </row>
    <row r="76" spans="2:6" s="35" customFormat="1" ht="15" customHeight="1">
      <c r="B76" s="108" t="s">
        <v>66</v>
      </c>
      <c r="C76" s="73" t="s">
        <v>202</v>
      </c>
      <c r="D76" s="74">
        <v>3</v>
      </c>
      <c r="E76" s="75">
        <v>3.33629893238E-4</v>
      </c>
      <c r="F76" s="62"/>
    </row>
    <row r="77" spans="2:6" s="35" customFormat="1" ht="15" customHeight="1">
      <c r="B77" s="110"/>
      <c r="C77" s="73" t="s">
        <v>203</v>
      </c>
      <c r="D77" s="74">
        <v>20</v>
      </c>
      <c r="E77" s="75">
        <v>2.2241992882559999E-3</v>
      </c>
      <c r="F77" s="62"/>
    </row>
    <row r="78" spans="2:6" s="35" customFormat="1" ht="15" customHeight="1">
      <c r="B78" s="109"/>
      <c r="C78" s="78" t="s">
        <v>12</v>
      </c>
      <c r="D78" s="77">
        <v>23</v>
      </c>
      <c r="E78" s="80">
        <v>2.5578291814950002E-3</v>
      </c>
      <c r="F78" s="62"/>
    </row>
    <row r="79" spans="2:6" s="35" customFormat="1" ht="15" customHeight="1">
      <c r="B79" s="108" t="s">
        <v>67</v>
      </c>
      <c r="C79" s="73" t="s">
        <v>202</v>
      </c>
      <c r="D79" s="74">
        <v>21</v>
      </c>
      <c r="E79" s="75">
        <v>2.335409252669E-3</v>
      </c>
      <c r="F79" s="62"/>
    </row>
    <row r="80" spans="2:6" s="35" customFormat="1" ht="15" customHeight="1">
      <c r="B80" s="110"/>
      <c r="C80" s="73" t="s">
        <v>203</v>
      </c>
      <c r="D80" s="74">
        <v>38</v>
      </c>
      <c r="E80" s="75">
        <v>4.2259786476870004E-3</v>
      </c>
      <c r="F80" s="62"/>
    </row>
    <row r="81" spans="2:6" s="35" customFormat="1" ht="15" customHeight="1">
      <c r="B81" s="109"/>
      <c r="C81" s="78" t="s">
        <v>12</v>
      </c>
      <c r="D81" s="77">
        <v>59</v>
      </c>
      <c r="E81" s="80">
        <v>6.5613879003559999E-3</v>
      </c>
      <c r="F81" s="62"/>
    </row>
    <row r="82" spans="2:6" s="35" customFormat="1" ht="15" customHeight="1">
      <c r="B82" s="108" t="s">
        <v>68</v>
      </c>
      <c r="C82" s="73" t="s">
        <v>202</v>
      </c>
      <c r="D82" s="74">
        <v>2</v>
      </c>
      <c r="E82" s="75">
        <v>2.2241992882600001E-4</v>
      </c>
      <c r="F82" s="62"/>
    </row>
    <row r="83" spans="2:6" s="35" customFormat="1" ht="15" customHeight="1">
      <c r="B83" s="110"/>
      <c r="C83" s="73" t="s">
        <v>203</v>
      </c>
      <c r="D83" s="74">
        <v>5</v>
      </c>
      <c r="E83" s="75">
        <v>5.5604982206399996E-4</v>
      </c>
      <c r="F83" s="62"/>
    </row>
    <row r="84" spans="2:6" s="35" customFormat="1" ht="15" customHeight="1">
      <c r="B84" s="109"/>
      <c r="C84" s="78" t="s">
        <v>12</v>
      </c>
      <c r="D84" s="77">
        <v>7</v>
      </c>
      <c r="E84" s="80">
        <v>7.7846975088999998E-4</v>
      </c>
      <c r="F84" s="62"/>
    </row>
    <row r="85" spans="2:6" s="35" customFormat="1" ht="15" customHeight="1">
      <c r="B85" s="108" t="s">
        <v>69</v>
      </c>
      <c r="C85" s="73" t="s">
        <v>202</v>
      </c>
      <c r="D85" s="74">
        <v>22</v>
      </c>
      <c r="E85" s="75">
        <v>2.4466192170820001E-3</v>
      </c>
      <c r="F85" s="62"/>
    </row>
    <row r="86" spans="2:6" s="35" customFormat="1" ht="15" customHeight="1">
      <c r="B86" s="110"/>
      <c r="C86" s="73" t="s">
        <v>203</v>
      </c>
      <c r="D86" s="74">
        <v>65</v>
      </c>
      <c r="E86" s="75">
        <v>7.2286476868329997E-3</v>
      </c>
      <c r="F86" s="62"/>
    </row>
    <row r="87" spans="2:6" s="35" customFormat="1" ht="15" customHeight="1">
      <c r="B87" s="109"/>
      <c r="C87" s="78" t="s">
        <v>12</v>
      </c>
      <c r="D87" s="77">
        <v>87</v>
      </c>
      <c r="E87" s="80">
        <v>9.6752669039150002E-3</v>
      </c>
      <c r="F87" s="62"/>
    </row>
    <row r="88" spans="2:6" s="35" customFormat="1" ht="15" customHeight="1">
      <c r="B88" s="108" t="s">
        <v>70</v>
      </c>
      <c r="C88" s="73" t="s">
        <v>202</v>
      </c>
      <c r="D88" s="74">
        <v>60</v>
      </c>
      <c r="E88" s="75">
        <v>6.6725978647690001E-3</v>
      </c>
      <c r="F88" s="62"/>
    </row>
    <row r="89" spans="2:6" s="35" customFormat="1" ht="15" customHeight="1">
      <c r="B89" s="110"/>
      <c r="C89" s="73" t="s">
        <v>203</v>
      </c>
      <c r="D89" s="74">
        <v>116</v>
      </c>
      <c r="E89" s="75">
        <v>1.2900355871886E-2</v>
      </c>
      <c r="F89" s="62"/>
    </row>
    <row r="90" spans="2:6" s="35" customFormat="1" ht="15" customHeight="1">
      <c r="B90" s="109"/>
      <c r="C90" s="78" t="s">
        <v>12</v>
      </c>
      <c r="D90" s="77">
        <v>176</v>
      </c>
      <c r="E90" s="80">
        <v>1.9572953736655001E-2</v>
      </c>
      <c r="F90" s="62"/>
    </row>
    <row r="91" spans="2:6" s="35" customFormat="1" ht="15" customHeight="1">
      <c r="B91" s="108" t="s">
        <v>71</v>
      </c>
      <c r="C91" s="73" t="s">
        <v>202</v>
      </c>
      <c r="D91" s="74">
        <v>1</v>
      </c>
      <c r="E91" s="75">
        <v>1.1120996441300001E-4</v>
      </c>
      <c r="F91" s="62"/>
    </row>
    <row r="92" spans="2:6" s="35" customFormat="1" ht="15" customHeight="1">
      <c r="B92" s="110"/>
      <c r="C92" s="73" t="s">
        <v>203</v>
      </c>
      <c r="D92" s="74">
        <v>3</v>
      </c>
      <c r="E92" s="75">
        <v>3.33629893238E-4</v>
      </c>
      <c r="F92" s="62"/>
    </row>
    <row r="93" spans="2:6" s="35" customFormat="1" ht="15" customHeight="1">
      <c r="B93" s="109"/>
      <c r="C93" s="78" t="s">
        <v>12</v>
      </c>
      <c r="D93" s="77">
        <v>4</v>
      </c>
      <c r="E93" s="80">
        <v>4.4483985765100001E-4</v>
      </c>
      <c r="F93" s="62"/>
    </row>
    <row r="94" spans="2:6" s="35" customFormat="1" ht="15" customHeight="1">
      <c r="B94" s="108" t="s">
        <v>72</v>
      </c>
      <c r="C94" s="73" t="s">
        <v>202</v>
      </c>
      <c r="D94" s="74">
        <v>30</v>
      </c>
      <c r="E94" s="75">
        <v>3.336298932384E-3</v>
      </c>
      <c r="F94" s="62"/>
    </row>
    <row r="95" spans="2:6" s="35" customFormat="1" ht="15" customHeight="1">
      <c r="B95" s="110"/>
      <c r="C95" s="73" t="s">
        <v>203</v>
      </c>
      <c r="D95" s="74">
        <v>43</v>
      </c>
      <c r="E95" s="75">
        <v>4.7820284697510001E-3</v>
      </c>
      <c r="F95" s="62"/>
    </row>
    <row r="96" spans="2:6" s="35" customFormat="1" ht="15" customHeight="1">
      <c r="B96" s="109"/>
      <c r="C96" s="78" t="s">
        <v>12</v>
      </c>
      <c r="D96" s="77">
        <v>73</v>
      </c>
      <c r="E96" s="80">
        <v>8.1183274021350005E-3</v>
      </c>
      <c r="F96" s="62"/>
    </row>
    <row r="97" spans="2:6" s="35" customFormat="1" ht="15" customHeight="1">
      <c r="B97" s="108" t="s">
        <v>73</v>
      </c>
      <c r="C97" s="73" t="s">
        <v>202</v>
      </c>
      <c r="D97" s="74">
        <v>4</v>
      </c>
      <c r="E97" s="75">
        <v>4.4483985765100001E-4</v>
      </c>
      <c r="F97" s="62"/>
    </row>
    <row r="98" spans="2:6" s="35" customFormat="1" ht="15" customHeight="1">
      <c r="B98" s="110"/>
      <c r="C98" s="73" t="s">
        <v>203</v>
      </c>
      <c r="D98" s="74">
        <v>11</v>
      </c>
      <c r="E98" s="75">
        <v>1.223309608541E-3</v>
      </c>
      <c r="F98" s="62"/>
    </row>
    <row r="99" spans="2:6" s="35" customFormat="1" ht="15" customHeight="1">
      <c r="B99" s="109"/>
      <c r="C99" s="78" t="s">
        <v>12</v>
      </c>
      <c r="D99" s="77">
        <v>15</v>
      </c>
      <c r="E99" s="80">
        <v>1.668149466192E-3</v>
      </c>
      <c r="F99" s="62"/>
    </row>
    <row r="100" spans="2:6" s="35" customFormat="1" ht="15" customHeight="1">
      <c r="B100" s="108" t="s">
        <v>74</v>
      </c>
      <c r="C100" s="73" t="s">
        <v>202</v>
      </c>
      <c r="D100" s="74">
        <v>27</v>
      </c>
      <c r="E100" s="75">
        <v>3.0026690391460002E-3</v>
      </c>
      <c r="F100" s="62"/>
    </row>
    <row r="101" spans="2:6" s="35" customFormat="1" ht="15" customHeight="1">
      <c r="B101" s="110"/>
      <c r="C101" s="73" t="s">
        <v>203</v>
      </c>
      <c r="D101" s="74">
        <v>89</v>
      </c>
      <c r="E101" s="75">
        <v>9.8976868327399995E-3</v>
      </c>
      <c r="F101" s="62"/>
    </row>
    <row r="102" spans="2:6" s="35" customFormat="1" ht="15" customHeight="1">
      <c r="B102" s="109"/>
      <c r="C102" s="78" t="s">
        <v>12</v>
      </c>
      <c r="D102" s="77">
        <v>116</v>
      </c>
      <c r="E102" s="80">
        <v>1.2900355871886E-2</v>
      </c>
      <c r="F102" s="62"/>
    </row>
    <row r="103" spans="2:6" s="35" customFormat="1" ht="15" customHeight="1">
      <c r="B103" s="108" t="s">
        <v>75</v>
      </c>
      <c r="C103" s="73" t="s">
        <v>203</v>
      </c>
      <c r="D103" s="74">
        <v>1</v>
      </c>
      <c r="E103" s="75">
        <v>1.1120996441300001E-4</v>
      </c>
      <c r="F103" s="62"/>
    </row>
    <row r="104" spans="2:6" s="35" customFormat="1" ht="15" customHeight="1">
      <c r="B104" s="109"/>
      <c r="C104" s="78" t="s">
        <v>12</v>
      </c>
      <c r="D104" s="77">
        <v>1</v>
      </c>
      <c r="E104" s="80">
        <v>1.1120996441300001E-4</v>
      </c>
      <c r="F104" s="62"/>
    </row>
    <row r="105" spans="2:6" s="35" customFormat="1" ht="15" customHeight="1">
      <c r="B105" s="108" t="s">
        <v>76</v>
      </c>
      <c r="C105" s="73" t="s">
        <v>202</v>
      </c>
      <c r="D105" s="74">
        <v>15</v>
      </c>
      <c r="E105" s="75">
        <v>1.668149466192E-3</v>
      </c>
      <c r="F105" s="62"/>
    </row>
    <row r="106" spans="2:6" s="35" customFormat="1" ht="15" customHeight="1">
      <c r="B106" s="110"/>
      <c r="C106" s="73" t="s">
        <v>203</v>
      </c>
      <c r="D106" s="74">
        <v>47</v>
      </c>
      <c r="E106" s="75">
        <v>5.2268683274019996E-3</v>
      </c>
      <c r="F106" s="62"/>
    </row>
    <row r="107" spans="2:6" s="35" customFormat="1" ht="15" customHeight="1">
      <c r="B107" s="109"/>
      <c r="C107" s="78" t="s">
        <v>12</v>
      </c>
      <c r="D107" s="77">
        <v>62</v>
      </c>
      <c r="E107" s="80">
        <v>6.8950177935940002E-3</v>
      </c>
      <c r="F107" s="62"/>
    </row>
    <row r="108" spans="2:6" s="35" customFormat="1" ht="15" customHeight="1">
      <c r="B108" s="108" t="s">
        <v>77</v>
      </c>
      <c r="C108" s="73" t="s">
        <v>202</v>
      </c>
      <c r="D108" s="74">
        <v>435</v>
      </c>
      <c r="E108" s="75">
        <v>4.8376334519573003E-2</v>
      </c>
      <c r="F108" s="62"/>
    </row>
    <row r="109" spans="2:6" s="35" customFormat="1" ht="15" customHeight="1">
      <c r="B109" s="110"/>
      <c r="C109" s="73" t="s">
        <v>203</v>
      </c>
      <c r="D109" s="74">
        <v>912</v>
      </c>
      <c r="E109" s="75">
        <v>0.10142348754448401</v>
      </c>
      <c r="F109" s="62"/>
    </row>
    <row r="110" spans="2:6" s="35" customFormat="1" ht="15" customHeight="1">
      <c r="B110" s="109"/>
      <c r="C110" s="78" t="s">
        <v>12</v>
      </c>
      <c r="D110" s="77">
        <v>1347</v>
      </c>
      <c r="E110" s="80">
        <v>0.14979982206405701</v>
      </c>
      <c r="F110" s="62"/>
    </row>
    <row r="111" spans="2:6" s="35" customFormat="1" ht="15" customHeight="1">
      <c r="B111" s="108" t="s">
        <v>78</v>
      </c>
      <c r="C111" s="73" t="s">
        <v>202</v>
      </c>
      <c r="D111" s="74">
        <v>4</v>
      </c>
      <c r="E111" s="75">
        <v>4.4483985765100001E-4</v>
      </c>
      <c r="F111" s="62"/>
    </row>
    <row r="112" spans="2:6" s="35" customFormat="1" ht="15" customHeight="1">
      <c r="B112" s="110"/>
      <c r="C112" s="73" t="s">
        <v>203</v>
      </c>
      <c r="D112" s="74">
        <v>12</v>
      </c>
      <c r="E112" s="75">
        <v>1.3345195729539999E-3</v>
      </c>
      <c r="F112" s="62"/>
    </row>
    <row r="113" spans="2:6" s="35" customFormat="1" ht="15" customHeight="1">
      <c r="B113" s="109"/>
      <c r="C113" s="78" t="s">
        <v>12</v>
      </c>
      <c r="D113" s="77">
        <v>16</v>
      </c>
      <c r="E113" s="80">
        <v>1.7793594306049999E-3</v>
      </c>
      <c r="F113" s="62"/>
    </row>
    <row r="114" spans="2:6" s="35" customFormat="1" ht="15" customHeight="1">
      <c r="B114" s="108" t="s">
        <v>79</v>
      </c>
      <c r="C114" s="73" t="s">
        <v>202</v>
      </c>
      <c r="D114" s="74">
        <v>3</v>
      </c>
      <c r="E114" s="75">
        <v>3.33629893238E-4</v>
      </c>
      <c r="F114" s="62"/>
    </row>
    <row r="115" spans="2:6" s="35" customFormat="1" ht="15" customHeight="1">
      <c r="B115" s="110"/>
      <c r="C115" s="73" t="s">
        <v>203</v>
      </c>
      <c r="D115" s="74">
        <v>6</v>
      </c>
      <c r="E115" s="75">
        <v>6.6725978647699997E-4</v>
      </c>
      <c r="F115" s="62"/>
    </row>
    <row r="116" spans="2:6" s="35" customFormat="1" ht="15" customHeight="1">
      <c r="B116" s="109"/>
      <c r="C116" s="78" t="s">
        <v>12</v>
      </c>
      <c r="D116" s="77">
        <v>9</v>
      </c>
      <c r="E116" s="80">
        <v>1.000889679715E-3</v>
      </c>
      <c r="F116" s="62"/>
    </row>
    <row r="117" spans="2:6" s="35" customFormat="1" ht="15" customHeight="1">
      <c r="B117" s="108" t="s">
        <v>188</v>
      </c>
      <c r="C117" s="73" t="s">
        <v>203</v>
      </c>
      <c r="D117" s="74">
        <v>1</v>
      </c>
      <c r="E117" s="75">
        <v>1.1120996441300001E-4</v>
      </c>
      <c r="F117" s="62"/>
    </row>
    <row r="118" spans="2:6" s="35" customFormat="1" ht="15" customHeight="1">
      <c r="B118" s="109"/>
      <c r="C118" s="78" t="s">
        <v>12</v>
      </c>
      <c r="D118" s="77">
        <v>1</v>
      </c>
      <c r="E118" s="80">
        <v>1.1120996441300001E-4</v>
      </c>
      <c r="F118" s="62"/>
    </row>
    <row r="119" spans="2:6" s="35" customFormat="1" ht="15" customHeight="1">
      <c r="B119" s="108" t="s">
        <v>80</v>
      </c>
      <c r="C119" s="73" t="s">
        <v>202</v>
      </c>
      <c r="D119" s="74">
        <v>12</v>
      </c>
      <c r="E119" s="75">
        <v>1.3345195729539999E-3</v>
      </c>
      <c r="F119" s="62"/>
    </row>
    <row r="120" spans="2:6" s="35" customFormat="1" ht="15" customHeight="1">
      <c r="B120" s="110"/>
      <c r="C120" s="73" t="s">
        <v>203</v>
      </c>
      <c r="D120" s="74">
        <v>32</v>
      </c>
      <c r="E120" s="75">
        <v>3.5587188612099998E-3</v>
      </c>
      <c r="F120" s="62"/>
    </row>
    <row r="121" spans="2:6" s="35" customFormat="1" ht="15" customHeight="1">
      <c r="B121" s="109"/>
      <c r="C121" s="78" t="s">
        <v>12</v>
      </c>
      <c r="D121" s="77">
        <v>44</v>
      </c>
      <c r="E121" s="80">
        <v>4.8932384341640002E-3</v>
      </c>
      <c r="F121" s="62"/>
    </row>
    <row r="122" spans="2:6" s="35" customFormat="1" ht="15" customHeight="1">
      <c r="B122" s="108" t="s">
        <v>81</v>
      </c>
      <c r="C122" s="73" t="s">
        <v>202</v>
      </c>
      <c r="D122" s="74">
        <v>1</v>
      </c>
      <c r="E122" s="75">
        <v>1.1120996441300001E-4</v>
      </c>
      <c r="F122" s="62"/>
    </row>
    <row r="123" spans="2:6" s="35" customFormat="1" ht="15" customHeight="1">
      <c r="B123" s="110"/>
      <c r="C123" s="73" t="s">
        <v>203</v>
      </c>
      <c r="D123" s="74">
        <v>12</v>
      </c>
      <c r="E123" s="75">
        <v>1.3345195729539999E-3</v>
      </c>
      <c r="F123" s="62"/>
    </row>
    <row r="124" spans="2:6" s="35" customFormat="1" ht="15" customHeight="1">
      <c r="B124" s="109"/>
      <c r="C124" s="78" t="s">
        <v>12</v>
      </c>
      <c r="D124" s="77">
        <v>13</v>
      </c>
      <c r="E124" s="80">
        <v>1.4457295373670001E-3</v>
      </c>
      <c r="F124" s="62"/>
    </row>
    <row r="125" spans="2:6" s="35" customFormat="1" ht="15" customHeight="1">
      <c r="B125" s="108" t="s">
        <v>82</v>
      </c>
      <c r="C125" s="73" t="s">
        <v>202</v>
      </c>
      <c r="D125" s="74">
        <v>48</v>
      </c>
      <c r="E125" s="75">
        <v>5.3380782918149997E-3</v>
      </c>
      <c r="F125" s="62"/>
    </row>
    <row r="126" spans="2:6" s="35" customFormat="1" ht="15" customHeight="1">
      <c r="B126" s="110"/>
      <c r="C126" s="73" t="s">
        <v>203</v>
      </c>
      <c r="D126" s="74">
        <v>143</v>
      </c>
      <c r="E126" s="75">
        <v>1.5903024911032002E-2</v>
      </c>
      <c r="F126" s="62"/>
    </row>
    <row r="127" spans="2:6" s="35" customFormat="1" ht="15" customHeight="1">
      <c r="B127" s="109"/>
      <c r="C127" s="78" t="s">
        <v>12</v>
      </c>
      <c r="D127" s="77">
        <v>191</v>
      </c>
      <c r="E127" s="80">
        <v>2.1241103202847E-2</v>
      </c>
      <c r="F127" s="62"/>
    </row>
    <row r="128" spans="2:6" s="35" customFormat="1" ht="15" customHeight="1">
      <c r="B128" s="108" t="s">
        <v>83</v>
      </c>
      <c r="C128" s="73" t="s">
        <v>202</v>
      </c>
      <c r="D128" s="74">
        <v>573</v>
      </c>
      <c r="E128" s="75">
        <v>6.3723309608541001E-2</v>
      </c>
      <c r="F128" s="62"/>
    </row>
    <row r="129" spans="2:6" s="35" customFormat="1" ht="15" customHeight="1">
      <c r="B129" s="110"/>
      <c r="C129" s="73" t="s">
        <v>203</v>
      </c>
      <c r="D129" s="74">
        <v>1210</v>
      </c>
      <c r="E129" s="75">
        <v>0.13456405693950199</v>
      </c>
      <c r="F129" s="62"/>
    </row>
    <row r="130" spans="2:6" s="35" customFormat="1" ht="15" customHeight="1">
      <c r="B130" s="109"/>
      <c r="C130" s="78" t="s">
        <v>12</v>
      </c>
      <c r="D130" s="77">
        <v>1783</v>
      </c>
      <c r="E130" s="80">
        <v>0.19828736654804299</v>
      </c>
      <c r="F130" s="62"/>
    </row>
    <row r="131" spans="2:6" s="35" customFormat="1" ht="15" customHeight="1">
      <c r="B131" s="108" t="s">
        <v>84</v>
      </c>
      <c r="C131" s="73" t="s">
        <v>202</v>
      </c>
      <c r="D131" s="74">
        <v>34</v>
      </c>
      <c r="E131" s="75">
        <v>3.781138790036E-3</v>
      </c>
      <c r="F131" s="62"/>
    </row>
    <row r="132" spans="2:6" s="35" customFormat="1" ht="15" customHeight="1">
      <c r="B132" s="110"/>
      <c r="C132" s="73" t="s">
        <v>203</v>
      </c>
      <c r="D132" s="74">
        <v>55</v>
      </c>
      <c r="E132" s="75">
        <v>6.1165480427050004E-3</v>
      </c>
      <c r="F132" s="62"/>
    </row>
    <row r="133" spans="2:6" s="35" customFormat="1" ht="15" customHeight="1">
      <c r="B133" s="109"/>
      <c r="C133" s="78" t="s">
        <v>12</v>
      </c>
      <c r="D133" s="77">
        <v>89</v>
      </c>
      <c r="E133" s="80">
        <v>9.8976868327399995E-3</v>
      </c>
      <c r="F133" s="62"/>
    </row>
    <row r="134" spans="2:6" s="35" customFormat="1" ht="15" customHeight="1">
      <c r="B134" s="108" t="s">
        <v>85</v>
      </c>
      <c r="C134" s="73" t="s">
        <v>202</v>
      </c>
      <c r="D134" s="74">
        <v>5</v>
      </c>
      <c r="E134" s="75">
        <v>5.5604982206399996E-4</v>
      </c>
      <c r="F134" s="62"/>
    </row>
    <row r="135" spans="2:6" s="35" customFormat="1" ht="15" customHeight="1">
      <c r="B135" s="110"/>
      <c r="C135" s="73" t="s">
        <v>203</v>
      </c>
      <c r="D135" s="74">
        <v>22</v>
      </c>
      <c r="E135" s="75">
        <v>2.4466192170820001E-3</v>
      </c>
      <c r="F135" s="62"/>
    </row>
    <row r="136" spans="2:6" s="35" customFormat="1" ht="15" customHeight="1">
      <c r="B136" s="109"/>
      <c r="C136" s="78" t="s">
        <v>12</v>
      </c>
      <c r="D136" s="77">
        <v>27</v>
      </c>
      <c r="E136" s="80">
        <v>3.0026690391460002E-3</v>
      </c>
      <c r="F136" s="62"/>
    </row>
    <row r="137" spans="2:6" s="35" customFormat="1" ht="15" customHeight="1">
      <c r="B137" s="108" t="s">
        <v>86</v>
      </c>
      <c r="C137" s="73" t="s">
        <v>202</v>
      </c>
      <c r="D137" s="74">
        <v>11</v>
      </c>
      <c r="E137" s="75">
        <v>1.223309608541E-3</v>
      </c>
      <c r="F137" s="62"/>
    </row>
    <row r="138" spans="2:6" s="35" customFormat="1" ht="15" customHeight="1">
      <c r="B138" s="110"/>
      <c r="C138" s="73" t="s">
        <v>203</v>
      </c>
      <c r="D138" s="74">
        <v>40</v>
      </c>
      <c r="E138" s="75">
        <v>4.4483985765119997E-3</v>
      </c>
      <c r="F138" s="62"/>
    </row>
    <row r="139" spans="2:6" s="35" customFormat="1" ht="15" customHeight="1">
      <c r="B139" s="109"/>
      <c r="C139" s="78" t="s">
        <v>12</v>
      </c>
      <c r="D139" s="77">
        <v>51</v>
      </c>
      <c r="E139" s="80">
        <v>5.671708185053E-3</v>
      </c>
      <c r="F139" s="62"/>
    </row>
    <row r="140" spans="2:6" s="35" customFormat="1" ht="15" customHeight="1">
      <c r="B140" s="108" t="s">
        <v>87</v>
      </c>
      <c r="C140" s="73" t="s">
        <v>202</v>
      </c>
      <c r="D140" s="74">
        <v>11</v>
      </c>
      <c r="E140" s="75">
        <v>1.223309608541E-3</v>
      </c>
      <c r="F140" s="62"/>
    </row>
    <row r="141" spans="2:6" s="35" customFormat="1" ht="15" customHeight="1">
      <c r="B141" s="110"/>
      <c r="C141" s="73" t="s">
        <v>203</v>
      </c>
      <c r="D141" s="74">
        <v>21</v>
      </c>
      <c r="E141" s="75">
        <v>2.335409252669E-3</v>
      </c>
      <c r="F141" s="62"/>
    </row>
    <row r="142" spans="2:6" s="35" customFormat="1" ht="15" customHeight="1">
      <c r="B142" s="109"/>
      <c r="C142" s="78" t="s">
        <v>12</v>
      </c>
      <c r="D142" s="77">
        <v>32</v>
      </c>
      <c r="E142" s="80">
        <v>3.5587188612099998E-3</v>
      </c>
      <c r="F142" s="62"/>
    </row>
    <row r="143" spans="2:6" s="35" customFormat="1" ht="15" customHeight="1">
      <c r="B143" s="108" t="s">
        <v>88</v>
      </c>
      <c r="C143" s="73" t="s">
        <v>202</v>
      </c>
      <c r="D143" s="74">
        <v>3</v>
      </c>
      <c r="E143" s="75">
        <v>3.33629893238E-4</v>
      </c>
      <c r="F143" s="62"/>
    </row>
    <row r="144" spans="2:6" s="35" customFormat="1" ht="15" customHeight="1">
      <c r="B144" s="110"/>
      <c r="C144" s="73" t="s">
        <v>203</v>
      </c>
      <c r="D144" s="74">
        <v>13</v>
      </c>
      <c r="E144" s="75">
        <v>1.4457295373670001E-3</v>
      </c>
      <c r="F144" s="62"/>
    </row>
    <row r="145" spans="1:6" s="35" customFormat="1" ht="15" customHeight="1">
      <c r="B145" s="109"/>
      <c r="C145" s="78" t="s">
        <v>12</v>
      </c>
      <c r="D145" s="96">
        <v>16</v>
      </c>
      <c r="E145" s="97">
        <v>1.7793594306049999E-3</v>
      </c>
      <c r="F145" s="62"/>
    </row>
    <row r="146" spans="1:6" s="35" customFormat="1" ht="15" customHeight="1">
      <c r="B146" s="120" t="s">
        <v>204</v>
      </c>
      <c r="C146" s="121"/>
      <c r="D146" s="82">
        <f>(D145+D142+D139+D136+D133+D130+D127+D124+D121+D118+D116+D113+D110+D107+D104+D102+D99+D96+D93+D90+D87+D84+D81+D78+D75+D72+D69+D67+D64+D61+D58+D55+D52+D49+D46+D43+D41+D38+D35+D32+D29+D26+D23+D20+D17+D15)</f>
        <v>8992</v>
      </c>
      <c r="E146" s="81">
        <f>(E145+E142+E139+E136+E133+E130+E127+E124+E121+E118+E116+E113+E110+E107+E104+E102+E99+E96+E93+E90+E87+E84+E81+E78+E75+E72+E69+E67+E64+E61+E58+E55+E52+E49+E46+E43+E41+E38+E35+E32+E29+E26+E23+E20+E17+E15)</f>
        <v>1.0000000000000018</v>
      </c>
      <c r="F146" s="62"/>
    </row>
    <row r="147" spans="1:6" s="35" customFormat="1" ht="15" customHeight="1">
      <c r="A147" s="5"/>
      <c r="C147" s="51"/>
      <c r="D147" s="52"/>
      <c r="E147" s="52"/>
      <c r="F147" s="62"/>
    </row>
    <row r="148" spans="1:6" s="35" customFormat="1" ht="15" customHeight="1">
      <c r="A148" s="5"/>
      <c r="B148" s="44" t="s">
        <v>170</v>
      </c>
      <c r="C148" s="51"/>
      <c r="D148" s="52"/>
      <c r="E148" s="52"/>
      <c r="F148" s="62"/>
    </row>
    <row r="149" spans="1:6" s="35" customFormat="1" ht="15" customHeight="1">
      <c r="A149" s="5"/>
      <c r="B149" s="45" t="s">
        <v>3</v>
      </c>
      <c r="C149" s="51"/>
      <c r="D149" s="52"/>
      <c r="E149" s="52"/>
      <c r="F149" s="62"/>
    </row>
    <row r="150" spans="1:6" s="35" customFormat="1" ht="15" customHeight="1">
      <c r="A150" s="5"/>
      <c r="B150" s="46" t="s">
        <v>43</v>
      </c>
      <c r="C150" s="51"/>
      <c r="D150" s="52"/>
      <c r="E150" s="52"/>
      <c r="F150" s="62"/>
    </row>
    <row r="151" spans="1:6" ht="16.5">
      <c r="A151" s="5"/>
      <c r="B151" s="44" t="s">
        <v>4</v>
      </c>
      <c r="C151" s="51"/>
      <c r="D151" s="52"/>
      <c r="E151" s="52"/>
      <c r="F151" s="58"/>
    </row>
    <row r="152" spans="1:6" ht="12.75">
      <c r="B152" s="44" t="s">
        <v>252</v>
      </c>
      <c r="C152" s="59"/>
      <c r="D152" s="59"/>
      <c r="E152" s="58"/>
      <c r="F152" s="58"/>
    </row>
  </sheetData>
  <mergeCells count="48">
    <mergeCell ref="B146:C146"/>
    <mergeCell ref="B137:B139"/>
    <mergeCell ref="B140:B142"/>
    <mergeCell ref="B143:B145"/>
    <mergeCell ref="B122:B124"/>
    <mergeCell ref="B125:B127"/>
    <mergeCell ref="B128:B130"/>
    <mergeCell ref="B131:B133"/>
    <mergeCell ref="B134:B136"/>
    <mergeCell ref="B108:B110"/>
    <mergeCell ref="B111:B113"/>
    <mergeCell ref="B114:B116"/>
    <mergeCell ref="B117:B118"/>
    <mergeCell ref="B119:B121"/>
    <mergeCell ref="B94:B96"/>
    <mergeCell ref="B97:B99"/>
    <mergeCell ref="B100:B102"/>
    <mergeCell ref="B103:B104"/>
    <mergeCell ref="B105:B107"/>
    <mergeCell ref="B79:B81"/>
    <mergeCell ref="B82:B84"/>
    <mergeCell ref="B85:B87"/>
    <mergeCell ref="B88:B90"/>
    <mergeCell ref="B91:B93"/>
    <mergeCell ref="B65:B67"/>
    <mergeCell ref="B68:B69"/>
    <mergeCell ref="B70:B72"/>
    <mergeCell ref="B73:B75"/>
    <mergeCell ref="B76:B78"/>
    <mergeCell ref="B50:B52"/>
    <mergeCell ref="B53:B55"/>
    <mergeCell ref="B56:B58"/>
    <mergeCell ref="B59:B61"/>
    <mergeCell ref="B62:B64"/>
    <mergeCell ref="B39:B41"/>
    <mergeCell ref="B42:B43"/>
    <mergeCell ref="B44:B46"/>
    <mergeCell ref="B47:B49"/>
    <mergeCell ref="B8:E10"/>
    <mergeCell ref="B24:B26"/>
    <mergeCell ref="B27:B29"/>
    <mergeCell ref="B30:B32"/>
    <mergeCell ref="B33:B35"/>
    <mergeCell ref="B36:B38"/>
    <mergeCell ref="B13:B15"/>
    <mergeCell ref="B16:B17"/>
    <mergeCell ref="B18:B20"/>
    <mergeCell ref="B21:B23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60" max="16383" man="1"/>
    <brk id="110" max="16383" man="1"/>
  </rowBrea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2">
    <tabColor rgb="FF00B0F0"/>
  </sheetPr>
  <dimension ref="B1:I37"/>
  <sheetViews>
    <sheetView showGridLines="0" tabSelected="1" view="pageBreakPreview" zoomScale="85" zoomScaleNormal="100" zoomScaleSheetLayoutView="85" workbookViewId="0">
      <selection activeCell="H21" sqref="H21"/>
    </sheetView>
  </sheetViews>
  <sheetFormatPr baseColWidth="10" defaultColWidth="11.42578125" defaultRowHeight="11.25"/>
  <cols>
    <col min="1" max="1" width="3" style="1" customWidth="1"/>
    <col min="2" max="2" width="19" style="10" customWidth="1"/>
    <col min="3" max="3" width="24" style="10" customWidth="1"/>
    <col min="4" max="4" width="17.140625" style="14" customWidth="1"/>
    <col min="5" max="5" width="16.5703125" style="10" customWidth="1"/>
    <col min="6" max="6" width="16.85546875" style="1" customWidth="1"/>
    <col min="7" max="16384" width="11.42578125" style="1"/>
  </cols>
  <sheetData>
    <row r="1" spans="2:6" s="5" customFormat="1" ht="15">
      <c r="B1" s="10"/>
      <c r="C1" s="10"/>
    </row>
    <row r="2" spans="2:6" s="10" customFormat="1">
      <c r="B2" s="17"/>
    </row>
    <row r="3" spans="2:6" ht="15" customHeight="1">
      <c r="B3" s="18"/>
      <c r="C3" s="2"/>
      <c r="D3" s="1"/>
    </row>
    <row r="4" spans="2:6" ht="30" customHeight="1">
      <c r="B4" s="18"/>
      <c r="C4" s="2"/>
      <c r="D4" s="1"/>
    </row>
    <row r="5" spans="2:6" ht="15" customHeight="1">
      <c r="B5" s="18"/>
      <c r="C5" s="2"/>
      <c r="D5" s="1"/>
    </row>
    <row r="6" spans="2:6" s="10" customFormat="1">
      <c r="B6" s="13"/>
      <c r="C6" s="12"/>
    </row>
    <row r="7" spans="2:6" s="10" customFormat="1">
      <c r="B7" s="17"/>
    </row>
    <row r="8" spans="2:6" s="5" customFormat="1" ht="15" customHeight="1">
      <c r="B8" s="122" t="s">
        <v>169</v>
      </c>
      <c r="C8" s="122"/>
      <c r="D8" s="122"/>
      <c r="E8" s="122"/>
      <c r="F8" s="122"/>
    </row>
    <row r="9" spans="2:6" s="5" customFormat="1" ht="15" customHeight="1">
      <c r="B9" s="122"/>
      <c r="C9" s="122"/>
      <c r="D9" s="122"/>
      <c r="E9" s="122"/>
      <c r="F9" s="122"/>
    </row>
    <row r="10" spans="2:6" s="5" customFormat="1" ht="15" customHeight="1">
      <c r="B10" s="122"/>
      <c r="C10" s="122"/>
      <c r="D10" s="122"/>
      <c r="E10" s="122"/>
      <c r="F10" s="122"/>
    </row>
    <row r="11" spans="2:6" s="5" customFormat="1" ht="15.6" customHeight="1">
      <c r="B11" s="128"/>
      <c r="C11" s="128"/>
      <c r="D11" s="128"/>
      <c r="E11" s="128"/>
      <c r="F11" s="128"/>
    </row>
    <row r="12" spans="2:6" s="5" customFormat="1" ht="41.1" customHeight="1">
      <c r="B12" s="61" t="s">
        <v>13</v>
      </c>
      <c r="C12" s="61" t="s">
        <v>15</v>
      </c>
      <c r="D12" s="61" t="s">
        <v>1</v>
      </c>
      <c r="E12" s="61" t="s">
        <v>14</v>
      </c>
      <c r="F12" s="61" t="s">
        <v>14</v>
      </c>
    </row>
    <row r="13" spans="2:6" ht="14.25">
      <c r="B13" s="123" t="s">
        <v>205</v>
      </c>
      <c r="C13" s="76" t="s">
        <v>174</v>
      </c>
      <c r="D13" s="74">
        <v>15</v>
      </c>
      <c r="E13" s="75">
        <f>D13/$D$21</f>
        <v>5.0505050505050509E-3</v>
      </c>
      <c r="F13" s="75">
        <v>1.668149466192E-3</v>
      </c>
    </row>
    <row r="14" spans="2:6" ht="14.25">
      <c r="B14" s="124"/>
      <c r="C14" s="76" t="s">
        <v>161</v>
      </c>
      <c r="D14" s="74">
        <v>29</v>
      </c>
      <c r="E14" s="75">
        <f t="shared" ref="E14:E20" si="0">D14/$D$21</f>
        <v>9.7643097643097636E-3</v>
      </c>
      <c r="F14" s="75">
        <v>3.225088967972E-3</v>
      </c>
    </row>
    <row r="15" spans="2:6" ht="14.25">
      <c r="B15" s="124"/>
      <c r="C15" s="76" t="s">
        <v>162</v>
      </c>
      <c r="D15" s="74">
        <v>603</v>
      </c>
      <c r="E15" s="75">
        <f t="shared" si="0"/>
        <v>0.20303030303030303</v>
      </c>
      <c r="F15" s="75">
        <v>6.7059608540925006E-2</v>
      </c>
    </row>
    <row r="16" spans="2:6" ht="14.25">
      <c r="B16" s="124"/>
      <c r="C16" s="76" t="s">
        <v>163</v>
      </c>
      <c r="D16" s="74">
        <v>822</v>
      </c>
      <c r="E16" s="75">
        <f t="shared" si="0"/>
        <v>0.27676767676767677</v>
      </c>
      <c r="F16" s="75">
        <v>9.1414590747331007E-2</v>
      </c>
    </row>
    <row r="17" spans="2:9" ht="14.25">
      <c r="B17" s="124"/>
      <c r="C17" s="76" t="s">
        <v>164</v>
      </c>
      <c r="D17" s="74">
        <v>888</v>
      </c>
      <c r="E17" s="75">
        <f t="shared" si="0"/>
        <v>0.29898989898989897</v>
      </c>
      <c r="F17" s="75">
        <v>9.8754448398576999E-2</v>
      </c>
    </row>
    <row r="18" spans="2:9" ht="14.25">
      <c r="B18" s="124"/>
      <c r="C18" s="76" t="s">
        <v>165</v>
      </c>
      <c r="D18" s="74">
        <v>533</v>
      </c>
      <c r="E18" s="75">
        <f t="shared" si="0"/>
        <v>0.17946127946127946</v>
      </c>
      <c r="F18" s="75">
        <v>5.9274911032027998E-2</v>
      </c>
    </row>
    <row r="19" spans="2:9" ht="14.25">
      <c r="B19" s="124"/>
      <c r="C19" s="76" t="s">
        <v>166</v>
      </c>
      <c r="D19" s="74">
        <v>61</v>
      </c>
      <c r="E19" s="75">
        <f t="shared" si="0"/>
        <v>2.053872053872054E-2</v>
      </c>
      <c r="F19" s="75">
        <v>6.7838078291810001E-3</v>
      </c>
    </row>
    <row r="20" spans="2:9" ht="14.25">
      <c r="B20" s="124"/>
      <c r="C20" s="76" t="s">
        <v>167</v>
      </c>
      <c r="D20" s="74">
        <v>19</v>
      </c>
      <c r="E20" s="75">
        <f t="shared" si="0"/>
        <v>6.3973063973063972E-3</v>
      </c>
      <c r="F20" s="75">
        <v>2.1129893238430002E-3</v>
      </c>
      <c r="I20" s="33"/>
    </row>
    <row r="21" spans="2:9" ht="14.25">
      <c r="B21" s="125"/>
      <c r="C21" s="79" t="s">
        <v>12</v>
      </c>
      <c r="D21" s="77">
        <f>SUM(D13:D20)</f>
        <v>2970</v>
      </c>
      <c r="E21" s="80"/>
      <c r="F21" s="80">
        <f>SUM(F13:F20)</f>
        <v>0.33029359430604899</v>
      </c>
    </row>
    <row r="22" spans="2:9" ht="14.25">
      <c r="B22" s="123" t="s">
        <v>206</v>
      </c>
      <c r="C22" s="76" t="s">
        <v>174</v>
      </c>
      <c r="D22" s="74">
        <v>8</v>
      </c>
      <c r="E22" s="75">
        <f>D22/$D$30</f>
        <v>1.328462304882099E-3</v>
      </c>
      <c r="F22" s="75">
        <v>8.8967971530200002E-4</v>
      </c>
    </row>
    <row r="23" spans="2:9" ht="14.25">
      <c r="B23" s="124"/>
      <c r="C23" s="76" t="s">
        <v>161</v>
      </c>
      <c r="D23" s="74">
        <v>40</v>
      </c>
      <c r="E23" s="75">
        <f t="shared" ref="E23:E29" si="1">D23/$D$30</f>
        <v>6.6423115244104948E-3</v>
      </c>
      <c r="F23" s="75">
        <v>4.4483985765119997E-3</v>
      </c>
    </row>
    <row r="24" spans="2:9" ht="14.25">
      <c r="B24" s="124"/>
      <c r="C24" s="76" t="s">
        <v>162</v>
      </c>
      <c r="D24" s="74">
        <v>1615</v>
      </c>
      <c r="E24" s="75">
        <f t="shared" si="1"/>
        <v>0.26818332779807375</v>
      </c>
      <c r="F24" s="75">
        <v>0.17960409252668999</v>
      </c>
    </row>
    <row r="25" spans="2:9" ht="14.25">
      <c r="B25" s="124"/>
      <c r="C25" s="76" t="s">
        <v>163</v>
      </c>
      <c r="D25" s="74">
        <v>1925</v>
      </c>
      <c r="E25" s="75">
        <f t="shared" si="1"/>
        <v>0.31966124211225505</v>
      </c>
      <c r="F25" s="75">
        <v>0.21407918149466201</v>
      </c>
    </row>
    <row r="26" spans="2:9" ht="14.25">
      <c r="B26" s="124"/>
      <c r="C26" s="76" t="s">
        <v>164</v>
      </c>
      <c r="D26" s="74">
        <v>1488</v>
      </c>
      <c r="E26" s="75">
        <f t="shared" si="1"/>
        <v>0.24709398870807042</v>
      </c>
      <c r="F26" s="75">
        <v>0.16548042704626301</v>
      </c>
    </row>
    <row r="27" spans="2:9" ht="14.25">
      <c r="B27" s="124"/>
      <c r="C27" s="76" t="s">
        <v>165</v>
      </c>
      <c r="D27" s="74">
        <v>842</v>
      </c>
      <c r="E27" s="75">
        <f t="shared" si="1"/>
        <v>0.13982065758884091</v>
      </c>
      <c r="F27" s="75">
        <v>9.3638790035587005E-2</v>
      </c>
    </row>
    <row r="28" spans="2:9" ht="15" customHeight="1">
      <c r="B28" s="124"/>
      <c r="C28" s="76" t="s">
        <v>166</v>
      </c>
      <c r="D28" s="74">
        <v>94</v>
      </c>
      <c r="E28" s="75">
        <f t="shared" si="1"/>
        <v>1.5609432082364663E-2</v>
      </c>
      <c r="F28" s="75">
        <v>1.0453736654803999E-2</v>
      </c>
    </row>
    <row r="29" spans="2:9" ht="15" customHeight="1">
      <c r="B29" s="124"/>
      <c r="C29" s="76" t="s">
        <v>167</v>
      </c>
      <c r="D29" s="74">
        <v>10</v>
      </c>
      <c r="E29" s="75">
        <f t="shared" si="1"/>
        <v>1.6605778811026237E-3</v>
      </c>
      <c r="F29" s="75">
        <v>1.1120996441279999E-3</v>
      </c>
    </row>
    <row r="30" spans="2:9" ht="15" customHeight="1">
      <c r="B30" s="125"/>
      <c r="C30" s="79" t="s">
        <v>12</v>
      </c>
      <c r="D30" s="129">
        <f>SUM(D22:D29)</f>
        <v>6022</v>
      </c>
      <c r="E30" s="85"/>
      <c r="F30" s="130">
        <f>SUM(F22:F29)</f>
        <v>0.6697064056939479</v>
      </c>
    </row>
    <row r="31" spans="2:9" ht="15" customHeight="1">
      <c r="B31" s="126" t="s">
        <v>254</v>
      </c>
      <c r="C31" s="127"/>
      <c r="D31" s="86">
        <v>8992</v>
      </c>
      <c r="E31" s="87">
        <v>1</v>
      </c>
      <c r="F31" s="87">
        <v>1</v>
      </c>
    </row>
    <row r="32" spans="2:9" ht="15" customHeight="1">
      <c r="B32" s="64"/>
      <c r="C32" s="64"/>
      <c r="D32" s="65"/>
      <c r="E32" s="66"/>
    </row>
    <row r="33" spans="2:5" ht="15" customHeight="1">
      <c r="B33" s="44" t="s">
        <v>170</v>
      </c>
      <c r="C33" s="51"/>
      <c r="D33" s="52"/>
      <c r="E33" s="52"/>
    </row>
    <row r="34" spans="2:5" ht="15" customHeight="1">
      <c r="B34" s="45" t="s">
        <v>3</v>
      </c>
      <c r="C34" s="51"/>
      <c r="D34" s="52"/>
      <c r="E34" s="52"/>
    </row>
    <row r="35" spans="2:5" ht="16.5">
      <c r="B35" s="46" t="s">
        <v>43</v>
      </c>
      <c r="C35" s="51"/>
      <c r="D35" s="52"/>
      <c r="E35" s="52"/>
    </row>
    <row r="36" spans="2:5" ht="16.5">
      <c r="B36" s="44" t="s">
        <v>4</v>
      </c>
      <c r="C36" s="51"/>
      <c r="D36" s="52"/>
      <c r="E36" s="52"/>
    </row>
    <row r="37" spans="2:5" ht="16.5">
      <c r="B37" s="44" t="s">
        <v>252</v>
      </c>
      <c r="C37" s="51"/>
      <c r="D37" s="52"/>
      <c r="E37" s="52"/>
    </row>
  </sheetData>
  <mergeCells count="4">
    <mergeCell ref="B13:B21"/>
    <mergeCell ref="B22:B30"/>
    <mergeCell ref="B31:C31"/>
    <mergeCell ref="B8:F11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tilla_PorMunicipio1">
    <tabColor rgb="FF7030A0"/>
  </sheetPr>
  <dimension ref="B1:E64"/>
  <sheetViews>
    <sheetView showGridLines="0" view="pageBreakPreview" zoomScale="115" zoomScaleNormal="85" zoomScaleSheetLayoutView="115" workbookViewId="0">
      <selection activeCell="M17" sqref="M17"/>
    </sheetView>
  </sheetViews>
  <sheetFormatPr baseColWidth="10" defaultColWidth="11.42578125" defaultRowHeight="15"/>
  <cols>
    <col min="1" max="1" width="9.28515625" style="5" customWidth="1"/>
    <col min="2" max="2" width="41.140625" style="5" customWidth="1"/>
    <col min="3" max="3" width="17.7109375" style="7" customWidth="1"/>
    <col min="4" max="4" width="17.7109375" style="5" customWidth="1"/>
    <col min="5" max="5" width="9.28515625" style="5" customWidth="1"/>
    <col min="6" max="6" width="5.7109375" style="5" customWidth="1"/>
    <col min="7" max="16384" width="11.42578125" style="5"/>
  </cols>
  <sheetData>
    <row r="1" spans="2:5" s="1" customFormat="1" ht="15" customHeight="1">
      <c r="C1" s="2"/>
    </row>
    <row r="2" spans="2:5" s="1" customFormat="1" ht="15" customHeight="1">
      <c r="C2" s="2"/>
    </row>
    <row r="3" spans="2:5" s="1" customFormat="1" ht="15" customHeight="1">
      <c r="C3" s="2"/>
    </row>
    <row r="4" spans="2:5" s="1" customFormat="1" ht="30" customHeight="1">
      <c r="C4" s="2"/>
      <c r="D4" s="3"/>
    </row>
    <row r="5" spans="2:5" s="1" customFormat="1" ht="15" customHeight="1">
      <c r="C5" s="2"/>
      <c r="D5" s="3"/>
    </row>
    <row r="6" spans="2:5" s="1" customFormat="1" ht="15" customHeight="1">
      <c r="C6" s="2"/>
      <c r="D6" s="3"/>
    </row>
    <row r="7" spans="2:5" s="1" customFormat="1" ht="15" customHeight="1">
      <c r="B7" s="107" t="s">
        <v>168</v>
      </c>
      <c r="C7" s="107"/>
      <c r="D7" s="107"/>
    </row>
    <row r="8" spans="2:5" s="1" customFormat="1" ht="15" customHeight="1">
      <c r="B8" s="107"/>
      <c r="C8" s="107"/>
      <c r="D8" s="107"/>
    </row>
    <row r="9" spans="2:5" s="1" customFormat="1" ht="33" customHeight="1">
      <c r="B9" s="107"/>
      <c r="C9" s="107"/>
      <c r="D9" s="107"/>
    </row>
    <row r="10" spans="2:5" s="1" customFormat="1" ht="4.5" customHeight="1">
      <c r="B10" s="4"/>
      <c r="C10" s="4"/>
      <c r="D10" s="4"/>
    </row>
    <row r="11" spans="2:5" s="1" customFormat="1" ht="33" customHeight="1">
      <c r="B11" s="47" t="s">
        <v>16</v>
      </c>
      <c r="C11" s="67" t="s">
        <v>1</v>
      </c>
      <c r="D11" s="49" t="s">
        <v>2</v>
      </c>
    </row>
    <row r="12" spans="2:5">
      <c r="B12" s="73" t="s">
        <v>207</v>
      </c>
      <c r="C12" s="74">
        <v>5445</v>
      </c>
      <c r="D12" s="75">
        <v>0.60553825622775803</v>
      </c>
      <c r="E12" s="38"/>
    </row>
    <row r="13" spans="2:5">
      <c r="B13" s="73" t="s">
        <v>208</v>
      </c>
      <c r="C13" s="74">
        <v>1633</v>
      </c>
      <c r="D13" s="75">
        <v>0.18160587188612101</v>
      </c>
      <c r="E13" s="38"/>
    </row>
    <row r="14" spans="2:5">
      <c r="B14" s="73" t="s">
        <v>209</v>
      </c>
      <c r="C14" s="74">
        <v>595</v>
      </c>
      <c r="D14" s="75">
        <v>6.6169928825623003E-2</v>
      </c>
      <c r="E14" s="38"/>
    </row>
    <row r="15" spans="2:5">
      <c r="B15" s="73" t="s">
        <v>210</v>
      </c>
      <c r="C15" s="74">
        <v>292</v>
      </c>
      <c r="D15" s="75">
        <v>3.2473309608541001E-2</v>
      </c>
      <c r="E15" s="38"/>
    </row>
    <row r="16" spans="2:5">
      <c r="B16" s="73" t="s">
        <v>211</v>
      </c>
      <c r="C16" s="74">
        <v>233</v>
      </c>
      <c r="D16" s="75">
        <v>2.5911921708185001E-2</v>
      </c>
      <c r="E16" s="38"/>
    </row>
    <row r="17" spans="2:5" ht="28.5">
      <c r="B17" s="73" t="s">
        <v>212</v>
      </c>
      <c r="C17" s="74">
        <v>152</v>
      </c>
      <c r="D17" s="75">
        <v>1.6903914590746999E-2</v>
      </c>
      <c r="E17" s="38"/>
    </row>
    <row r="18" spans="2:5">
      <c r="B18" s="73" t="s">
        <v>213</v>
      </c>
      <c r="C18" s="74">
        <v>94</v>
      </c>
      <c r="D18" s="75">
        <v>1.0453736654803999E-2</v>
      </c>
      <c r="E18" s="38"/>
    </row>
    <row r="19" spans="2:5">
      <c r="B19" s="73" t="s">
        <v>214</v>
      </c>
      <c r="C19" s="74">
        <v>70</v>
      </c>
      <c r="D19" s="75">
        <v>7.7846975088970002E-3</v>
      </c>
      <c r="E19" s="38"/>
    </row>
    <row r="20" spans="2:5">
      <c r="B20" s="73" t="s">
        <v>215</v>
      </c>
      <c r="C20" s="74">
        <v>55</v>
      </c>
      <c r="D20" s="75">
        <v>6.1165480427050004E-3</v>
      </c>
      <c r="E20" s="38"/>
    </row>
    <row r="21" spans="2:5">
      <c r="B21" s="73" t="s">
        <v>216</v>
      </c>
      <c r="C21" s="74">
        <v>39</v>
      </c>
      <c r="D21" s="75">
        <v>4.3371886120999997E-3</v>
      </c>
      <c r="E21" s="38"/>
    </row>
    <row r="22" spans="2:5">
      <c r="B22" s="73" t="s">
        <v>217</v>
      </c>
      <c r="C22" s="74">
        <v>37</v>
      </c>
      <c r="D22" s="75">
        <v>4.1147686832740003E-3</v>
      </c>
      <c r="E22" s="38"/>
    </row>
    <row r="23" spans="2:5">
      <c r="B23" s="73" t="s">
        <v>218</v>
      </c>
      <c r="C23" s="74">
        <v>35</v>
      </c>
      <c r="D23" s="75">
        <v>3.8923487544480001E-3</v>
      </c>
      <c r="E23" s="38"/>
    </row>
    <row r="24" spans="2:5">
      <c r="B24" s="73" t="s">
        <v>219</v>
      </c>
      <c r="C24" s="74">
        <v>34</v>
      </c>
      <c r="D24" s="75">
        <v>3.781138790036E-3</v>
      </c>
      <c r="E24" s="38"/>
    </row>
    <row r="25" spans="2:5">
      <c r="B25" s="73" t="s">
        <v>220</v>
      </c>
      <c r="C25" s="74">
        <v>33</v>
      </c>
      <c r="D25" s="75">
        <v>3.6699288256229999E-3</v>
      </c>
      <c r="E25" s="38"/>
    </row>
    <row r="26" spans="2:5">
      <c r="B26" s="73" t="s">
        <v>221</v>
      </c>
      <c r="C26" s="74">
        <v>31</v>
      </c>
      <c r="D26" s="75">
        <v>3.4475088967970001E-3</v>
      </c>
      <c r="E26" s="38"/>
    </row>
    <row r="27" spans="2:5">
      <c r="B27" s="73" t="s">
        <v>222</v>
      </c>
      <c r="C27" s="74">
        <v>27</v>
      </c>
      <c r="D27" s="75">
        <v>3.0026690391460002E-3</v>
      </c>
      <c r="E27" s="38"/>
    </row>
    <row r="28" spans="2:5">
      <c r="B28" s="73" t="s">
        <v>223</v>
      </c>
      <c r="C28" s="74">
        <v>23</v>
      </c>
      <c r="D28" s="75">
        <v>2.5578291814950002E-3</v>
      </c>
      <c r="E28" s="38"/>
    </row>
    <row r="29" spans="2:5">
      <c r="B29" s="73" t="s">
        <v>224</v>
      </c>
      <c r="C29" s="74">
        <v>19</v>
      </c>
      <c r="D29" s="75">
        <v>2.1129893238430002E-3</v>
      </c>
      <c r="E29" s="38"/>
    </row>
    <row r="30" spans="2:5">
      <c r="B30" s="73" t="s">
        <v>225</v>
      </c>
      <c r="C30" s="74">
        <v>17</v>
      </c>
      <c r="D30" s="75">
        <v>1.890569395018E-3</v>
      </c>
      <c r="E30" s="38"/>
    </row>
    <row r="31" spans="2:5">
      <c r="B31" s="73" t="s">
        <v>226</v>
      </c>
      <c r="C31" s="74">
        <v>16</v>
      </c>
      <c r="D31" s="75">
        <v>1.7793594306049999E-3</v>
      </c>
      <c r="E31" s="38"/>
    </row>
    <row r="32" spans="2:5">
      <c r="B32" s="73" t="s">
        <v>227</v>
      </c>
      <c r="C32" s="74">
        <v>13</v>
      </c>
      <c r="D32" s="75">
        <v>1.4457295373670001E-3</v>
      </c>
      <c r="E32" s="38"/>
    </row>
    <row r="33" spans="2:5">
      <c r="B33" s="73" t="s">
        <v>228</v>
      </c>
      <c r="C33" s="74">
        <v>12</v>
      </c>
      <c r="D33" s="75">
        <v>1.3345195729539999E-3</v>
      </c>
      <c r="E33" s="38"/>
    </row>
    <row r="34" spans="2:5">
      <c r="B34" s="73" t="s">
        <v>229</v>
      </c>
      <c r="C34" s="74">
        <v>11</v>
      </c>
      <c r="D34" s="75">
        <v>1.223309608541E-3</v>
      </c>
      <c r="E34" s="38"/>
    </row>
    <row r="35" spans="2:5">
      <c r="B35" s="73" t="s">
        <v>230</v>
      </c>
      <c r="C35" s="74">
        <v>10</v>
      </c>
      <c r="D35" s="75">
        <v>1.1120996441279999E-3</v>
      </c>
      <c r="E35" s="38"/>
    </row>
    <row r="36" spans="2:5">
      <c r="B36" s="73" t="s">
        <v>231</v>
      </c>
      <c r="C36" s="74">
        <v>7</v>
      </c>
      <c r="D36" s="75">
        <v>7.7846975088999998E-4</v>
      </c>
      <c r="E36" s="38"/>
    </row>
    <row r="37" spans="2:5">
      <c r="B37" s="73" t="s">
        <v>110</v>
      </c>
      <c r="C37" s="74">
        <v>7</v>
      </c>
      <c r="D37" s="75">
        <v>7.7846975088999998E-4</v>
      </c>
      <c r="E37" s="38"/>
    </row>
    <row r="38" spans="2:5">
      <c r="B38" s="73" t="s">
        <v>232</v>
      </c>
      <c r="C38" s="74">
        <v>6</v>
      </c>
      <c r="D38" s="75">
        <v>6.6725978647699997E-4</v>
      </c>
      <c r="E38" s="38"/>
    </row>
    <row r="39" spans="2:5">
      <c r="B39" s="73" t="s">
        <v>233</v>
      </c>
      <c r="C39" s="74">
        <v>4</v>
      </c>
      <c r="D39" s="75">
        <v>4.4483985765100001E-4</v>
      </c>
      <c r="E39" s="38"/>
    </row>
    <row r="40" spans="2:5">
      <c r="B40" s="73" t="s">
        <v>234</v>
      </c>
      <c r="C40" s="74">
        <v>4</v>
      </c>
      <c r="D40" s="75">
        <v>4.4483985765100001E-4</v>
      </c>
      <c r="E40" s="38"/>
    </row>
    <row r="41" spans="2:5">
      <c r="B41" s="73" t="s">
        <v>235</v>
      </c>
      <c r="C41" s="74">
        <v>4</v>
      </c>
      <c r="D41" s="75">
        <v>4.4483985765100001E-4</v>
      </c>
      <c r="E41" s="38"/>
    </row>
    <row r="42" spans="2:5">
      <c r="B42" s="73" t="s">
        <v>236</v>
      </c>
      <c r="C42" s="74">
        <v>4</v>
      </c>
      <c r="D42" s="75">
        <v>4.4483985765100001E-4</v>
      </c>
      <c r="E42" s="38"/>
    </row>
    <row r="43" spans="2:5">
      <c r="B43" s="73" t="s">
        <v>237</v>
      </c>
      <c r="C43" s="74">
        <v>4</v>
      </c>
      <c r="D43" s="75">
        <v>4.4483985765100001E-4</v>
      </c>
      <c r="E43" s="38"/>
    </row>
    <row r="44" spans="2:5">
      <c r="B44" s="73" t="s">
        <v>238</v>
      </c>
      <c r="C44" s="74">
        <v>4</v>
      </c>
      <c r="D44" s="75">
        <v>4.4483985765100001E-4</v>
      </c>
      <c r="E44" s="38"/>
    </row>
    <row r="45" spans="2:5">
      <c r="B45" s="73" t="s">
        <v>239</v>
      </c>
      <c r="C45" s="74">
        <v>3</v>
      </c>
      <c r="D45" s="75">
        <v>3.33629893238E-4</v>
      </c>
      <c r="E45" s="38"/>
    </row>
    <row r="46" spans="2:5">
      <c r="B46" s="73" t="s">
        <v>240</v>
      </c>
      <c r="C46" s="74">
        <v>3</v>
      </c>
      <c r="D46" s="75">
        <v>3.33629893238E-4</v>
      </c>
      <c r="E46" s="38"/>
    </row>
    <row r="47" spans="2:5">
      <c r="B47" s="73" t="s">
        <v>241</v>
      </c>
      <c r="C47" s="74">
        <v>3</v>
      </c>
      <c r="D47" s="75">
        <v>3.33629893238E-4</v>
      </c>
      <c r="E47" s="38"/>
    </row>
    <row r="48" spans="2:5">
      <c r="B48" s="73" t="s">
        <v>242</v>
      </c>
      <c r="C48" s="74">
        <v>2</v>
      </c>
      <c r="D48" s="75">
        <v>2.2241992882600001E-4</v>
      </c>
      <c r="E48" s="38"/>
    </row>
    <row r="49" spans="2:5">
      <c r="B49" s="73" t="s">
        <v>243</v>
      </c>
      <c r="C49" s="74">
        <v>2</v>
      </c>
      <c r="D49" s="75">
        <v>2.2241992882600001E-4</v>
      </c>
      <c r="E49" s="38"/>
    </row>
    <row r="50" spans="2:5">
      <c r="B50" s="73" t="s">
        <v>244</v>
      </c>
      <c r="C50" s="74">
        <v>2</v>
      </c>
      <c r="D50" s="75">
        <v>2.2241992882600001E-4</v>
      </c>
      <c r="E50" s="38"/>
    </row>
    <row r="51" spans="2:5">
      <c r="B51" s="73" t="s">
        <v>245</v>
      </c>
      <c r="C51" s="74">
        <v>1</v>
      </c>
      <c r="D51" s="75">
        <v>1.1120996441300001E-4</v>
      </c>
      <c r="E51" s="38"/>
    </row>
    <row r="52" spans="2:5">
      <c r="B52" s="73" t="s">
        <v>246</v>
      </c>
      <c r="C52" s="74">
        <v>1</v>
      </c>
      <c r="D52" s="75">
        <v>1.1120996441300001E-4</v>
      </c>
      <c r="E52" s="38"/>
    </row>
    <row r="53" spans="2:5">
      <c r="B53" s="73" t="s">
        <v>247</v>
      </c>
      <c r="C53" s="74">
        <v>1</v>
      </c>
      <c r="D53" s="75">
        <v>1.1120996441300001E-4</v>
      </c>
      <c r="E53" s="38"/>
    </row>
    <row r="54" spans="2:5">
      <c r="B54" s="73" t="s">
        <v>248</v>
      </c>
      <c r="C54" s="74">
        <v>1</v>
      </c>
      <c r="D54" s="75">
        <v>1.1120996441300001E-4</v>
      </c>
      <c r="E54" s="38"/>
    </row>
    <row r="55" spans="2:5">
      <c r="B55" s="73" t="s">
        <v>249</v>
      </c>
      <c r="C55" s="74">
        <v>1</v>
      </c>
      <c r="D55" s="75">
        <v>1.1120996441300001E-4</v>
      </c>
      <c r="E55" s="38"/>
    </row>
    <row r="56" spans="2:5">
      <c r="B56" s="73" t="s">
        <v>250</v>
      </c>
      <c r="C56" s="74">
        <v>1</v>
      </c>
      <c r="D56" s="75">
        <v>1.1120996441300001E-4</v>
      </c>
      <c r="E56" s="38"/>
    </row>
    <row r="57" spans="2:5">
      <c r="B57" s="73" t="s">
        <v>251</v>
      </c>
      <c r="C57" s="74">
        <v>1</v>
      </c>
      <c r="D57" s="75">
        <v>1.1120996441300001E-4</v>
      </c>
      <c r="E57" s="38"/>
    </row>
    <row r="58" spans="2:5">
      <c r="B58" s="53" t="s">
        <v>12</v>
      </c>
      <c r="C58" s="42">
        <f>SUM(C12:C57)</f>
        <v>8992</v>
      </c>
      <c r="D58" s="43">
        <f>SUM(D12:D57)</f>
        <v>1.0000000000000024</v>
      </c>
    </row>
    <row r="59" spans="2:5" ht="16.5">
      <c r="B59" s="52"/>
      <c r="C59" s="51"/>
      <c r="D59" s="52"/>
    </row>
    <row r="60" spans="2:5" ht="16.5">
      <c r="B60" s="44" t="s">
        <v>170</v>
      </c>
      <c r="C60" s="51"/>
      <c r="D60" s="52"/>
    </row>
    <row r="61" spans="2:5" ht="16.5">
      <c r="B61" s="45" t="s">
        <v>3</v>
      </c>
      <c r="C61" s="51"/>
      <c r="D61" s="52"/>
    </row>
    <row r="62" spans="2:5" ht="16.5">
      <c r="B62" s="46" t="s">
        <v>43</v>
      </c>
      <c r="C62" s="51"/>
      <c r="D62" s="52"/>
    </row>
    <row r="63" spans="2:5" ht="16.5">
      <c r="B63" s="44" t="s">
        <v>4</v>
      </c>
      <c r="C63" s="51"/>
      <c r="D63" s="52"/>
    </row>
    <row r="64" spans="2:5" ht="16.5">
      <c r="B64" s="44" t="s">
        <v>252</v>
      </c>
      <c r="C64" s="51"/>
      <c r="D64" s="5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26</vt:i4>
      </vt:variant>
    </vt:vector>
  </HeadingPairs>
  <TitlesOfParts>
    <vt:vector size="41" baseType="lpstr">
      <vt:lpstr>Índice</vt:lpstr>
      <vt:lpstr>Aguascalientes_EdoUsa</vt:lpstr>
      <vt:lpstr>Aguascalientes_Cons</vt:lpstr>
      <vt:lpstr>AguascalientesXCons</vt:lpstr>
      <vt:lpstr>Aguascalientes_EdoMun</vt:lpstr>
      <vt:lpstr>Aguascalientes_USAMuni</vt:lpstr>
      <vt:lpstr>Aguascalientes_MUNICIPIO</vt:lpstr>
      <vt:lpstr>Aguascalientes_educ_gral</vt:lpstr>
      <vt:lpstr>Aguascalientes_NivelE_Cons</vt:lpstr>
      <vt:lpstr>Aguascalientes_EducCons</vt:lpstr>
      <vt:lpstr>Aguascalientes_GenGral</vt:lpstr>
      <vt:lpstr>Aguascalientes_GENERO</vt:lpstr>
      <vt:lpstr>Aguascalientes_GENERO_EUA</vt:lpstr>
      <vt:lpstr>Aguascalientes_Gen_Edad</vt:lpstr>
      <vt:lpstr>Aguascalientes_ocup_gral</vt:lpstr>
      <vt:lpstr>Aguascalientes_EdoMun!Área_de_impresión</vt:lpstr>
      <vt:lpstr>Aguascalientes_educ_gral!Área_de_impresión</vt:lpstr>
      <vt:lpstr>Aguascalientes_EducCons!Área_de_impresión</vt:lpstr>
      <vt:lpstr>Aguascalientes_Gen_Edad!Área_de_impresión</vt:lpstr>
      <vt:lpstr>Aguascalientes_GENERO!Área_de_impresión</vt:lpstr>
      <vt:lpstr>Aguascalientes_GENERO_EUA!Área_de_impresión</vt:lpstr>
      <vt:lpstr>Aguascalientes_GenGral!Área_de_impresión</vt:lpstr>
      <vt:lpstr>Aguascalientes_MUNICIPIO!Área_de_impresión</vt:lpstr>
      <vt:lpstr>Aguascalientes_NivelE_Cons!Área_de_impresión</vt:lpstr>
      <vt:lpstr>Aguascalientes_ocup_gral!Área_de_impresión</vt:lpstr>
      <vt:lpstr>Aguascalientes_USAMuni!Área_de_impresión</vt:lpstr>
      <vt:lpstr>AguascalientesXCons!Área_de_impresión</vt:lpstr>
      <vt:lpstr>Aguascalientes_Cons!Títulos_a_imprimir</vt:lpstr>
      <vt:lpstr>Aguascalientes_EdoMun!Títulos_a_imprimir</vt:lpstr>
      <vt:lpstr>Aguascalientes_EdoUsa!Títulos_a_imprimir</vt:lpstr>
      <vt:lpstr>Aguascalientes_educ_gral!Títulos_a_imprimir</vt:lpstr>
      <vt:lpstr>Aguascalientes_EducCons!Títulos_a_imprimir</vt:lpstr>
      <vt:lpstr>Aguascalientes_Gen_Edad!Títulos_a_imprimir</vt:lpstr>
      <vt:lpstr>Aguascalientes_GENERO!Títulos_a_imprimir</vt:lpstr>
      <vt:lpstr>Aguascalientes_GENERO_EUA!Títulos_a_imprimir</vt:lpstr>
      <vt:lpstr>Aguascalientes_GenGral!Títulos_a_imprimir</vt:lpstr>
      <vt:lpstr>Aguascalientes_MUNICIPIO!Títulos_a_imprimir</vt:lpstr>
      <vt:lpstr>Aguascalientes_NivelE_Cons!Títulos_a_imprimir</vt:lpstr>
      <vt:lpstr>Aguascalientes_ocup_gral!Títulos_a_imprimir</vt:lpstr>
      <vt:lpstr>Aguascalientes_USAMuni!Títulos_a_imprimir</vt:lpstr>
      <vt:lpstr>AguascalientesXCons!Títulos_a_imprimir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2020-06-02T18:53:53Z</dcterms:created>
  <dcterms:modified xsi:type="dcterms:W3CDTF">2025-08-27T16:17:57Z</dcterms:modified>
</cp:coreProperties>
</file>