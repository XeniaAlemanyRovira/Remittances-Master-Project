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BBA1589A-AF67-4D1C-B873-E8216CE8E7E3}" xr6:coauthVersionLast="47" xr6:coauthVersionMax="47" xr10:uidLastSave="{00000000-0000-0000-0000-000000000000}"/>
  <bookViews>
    <workbookView xWindow="-120" yWindow="-120" windowWidth="29040" windowHeight="15840" tabRatio="788" xr2:uid="{00000000-000D-0000-FFFF-FFFF00000000}"/>
  </bookViews>
  <sheets>
    <sheet name="Índice" sheetId="1" r:id="rId1"/>
    <sheet name="Morelos_EdoUsa" sheetId="2" r:id="rId2"/>
    <sheet name="Morelos_Cons" sheetId="15" r:id="rId3"/>
    <sheet name="MorelosXCons" sheetId="16" r:id="rId4"/>
    <sheet name="Morelos_EdoMun" sheetId="5" r:id="rId5"/>
    <sheet name="Morelos_USAMuni" sheetId="6" r:id="rId6"/>
    <sheet name="Morelos_MUNICIPIO" sheetId="7" r:id="rId7"/>
    <sheet name="Morelos_educ_gral" sheetId="8" r:id="rId8"/>
    <sheet name="Morelos_NivelE_Cons" sheetId="9" r:id="rId9"/>
    <sheet name="Morelos_EducCons" sheetId="10" r:id="rId10"/>
    <sheet name="Morelos_GenGral" sheetId="11" r:id="rId11"/>
    <sheet name="Morelos_GENERO" sheetId="12" r:id="rId12"/>
    <sheet name="Morelos_GENERO_EUA" sheetId="17" r:id="rId13"/>
    <sheet name="Morelos_Gen_Edad" sheetId="13" r:id="rId14"/>
    <sheet name="Morelos_ocup_gral" sheetId="14" r:id="rId15"/>
  </sheets>
  <definedNames>
    <definedName name="_xlnm._FilterDatabase" localSheetId="2" hidden="1">Morelos_Cons!$B$11:$D$11</definedName>
    <definedName name="_xlnm._FilterDatabase" localSheetId="4" hidden="1">Morelos_EdoMun!$B$11:$D$11</definedName>
    <definedName name="_xlnm._FilterDatabase" localSheetId="1" hidden="1">Morelos_EdoUsa!$B$11:$D$11</definedName>
    <definedName name="_xlnm._FilterDatabase" localSheetId="7" hidden="1">Morelos_educ_gral!$B$11:$D$11</definedName>
    <definedName name="_xlnm._FilterDatabase" localSheetId="9" hidden="1">Morelos_EducCons!$B$9:$E$767</definedName>
    <definedName name="_xlnm._FilterDatabase" localSheetId="11" hidden="1">Morelos_GENERO!$B$12:$E$161</definedName>
    <definedName name="_xlnm._FilterDatabase" localSheetId="12" hidden="1">Morelos_GENERO_EUA!$B$12:$E$148</definedName>
    <definedName name="_xlnm._FilterDatabase" localSheetId="10" hidden="1">Morelos_GenGral!$B$11:$D$11</definedName>
    <definedName name="_xlnm._FilterDatabase" localSheetId="6" hidden="1">Morelos_MUNICIPIO!$B$9:$E$1118</definedName>
    <definedName name="_xlnm._FilterDatabase" localSheetId="8" hidden="1">Morelos_NivelE_Cons!$B$9:$E$640</definedName>
    <definedName name="_xlnm._FilterDatabase" localSheetId="14" hidden="1">Morelos_ocup_gral!$B$11:$D$11</definedName>
    <definedName name="_xlnm._FilterDatabase" localSheetId="5" hidden="1">Morelos_USAMuni!$B$9:$E$932</definedName>
    <definedName name="_xlnm._FilterDatabase" localSheetId="3" hidden="1">MorelosXCons!$B$11:$D$11</definedName>
    <definedName name="_xlnm.Print_Area" localSheetId="1">Morelos_EdoUsa!$A$1:$F$64</definedName>
    <definedName name="_xlnm.Print_Area" localSheetId="7">Morelos_educ_gral!$A$1:$F$43</definedName>
    <definedName name="_xlnm.Print_Area" localSheetId="9">Morelos_EducCons!$A$1:$E$773</definedName>
    <definedName name="_xlnm.Print_Area" localSheetId="13">Morelos_Gen_Edad!$A$1:$G$37</definedName>
    <definedName name="_xlnm.Print_Area" localSheetId="12">Morelos_GENERO_EUA!$A$1:$G$154</definedName>
    <definedName name="_xlnm.Print_Area" localSheetId="6">Morelos_MUNICIPIO!$A$1:$E$1124</definedName>
    <definedName name="_xlnm.Print_Area" localSheetId="8">Morelos_NivelE_Cons!$A$1:$E$646</definedName>
    <definedName name="_xlnm.Print_Area" localSheetId="14">Morelos_ocup_gral!$A$1:$D$70</definedName>
    <definedName name="_xlnm.Print_Area" localSheetId="5">Morelos_USAMuni!$A$1:$E$938</definedName>
    <definedName name="_xlnm.Print_Titles" localSheetId="2">Morelos_Cons!$1:$11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3">Morelos_Gen_Edad!$1:$12</definedName>
    <definedName name="_xlnm.Print_Titles" localSheetId="11">Morelos_GENERO!$1:$12</definedName>
    <definedName name="_xlnm.Print_Titles" localSheetId="12">Morelos_GENERO_EUA!$1:$12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4">Morelos_ocup_gral!$1:$11</definedName>
    <definedName name="_xlnm.Print_Titles" localSheetId="5">Morelos_USAMuni!$1:$9</definedName>
    <definedName name="_xlnm.Print_Titles" localSheetId="3">MorelosXCons!$1:$11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3" l="1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E29" i="13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C22" i="16"/>
  <c r="D12" i="16" s="1"/>
  <c r="D22" i="16" l="1"/>
  <c r="D21" i="16"/>
  <c r="D20" i="16"/>
  <c r="D19" i="16"/>
  <c r="D18" i="16"/>
  <c r="D17" i="16"/>
  <c r="D16" i="16"/>
  <c r="D15" i="16"/>
  <c r="D14" i="16"/>
  <c r="D13" i="16"/>
</calcChain>
</file>

<file path=xl/sharedStrings.xml><?xml version="1.0" encoding="utf-8"?>
<sst xmlns="http://schemas.openxmlformats.org/spreadsheetml/2006/main" count="4374" uniqueCount="290">
  <si>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</si>
  <si>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</si>
  <si>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</si>
  <si>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</si>
  <si>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</si>
  <si>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</si>
  <si>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</si>
  <si>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</si>
  <si>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</si>
  <si>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</si>
  <si>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</si>
  <si>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</si>
  <si>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</si>
  <si>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</si>
  <si>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</si>
  <si>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</si>
  <si>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</si>
  <si>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</si>
  <si>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</si>
  <si>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</si>
  <si>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</si>
  <si>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</si>
  <si>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</si>
  <si>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</si>
  <si>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</si>
  <si>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</si>
  <si>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</si>
  <si>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</si>
  <si>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</si>
  <si>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</si>
  <si>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</si>
  <si>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</si>
  <si>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</si>
  <si>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</si>
  <si>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</si>
  <si>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MORELOS EN LOS CONSULADOS DE MÉXICO EN EE.UU.</t>
  </si>
  <si>
    <t xml:space="preserve">MATRÍCULAS CONSULARES EXPEDIDAS A ORIGINARIOS DE MORELOS POR GÉNERO EN EE.UU </t>
  </si>
  <si>
    <t>MATRÍCULAS CONSULARES EXPEDIDAS EN EE.UU. A ORIGINARIOS DE MORELOS POR NIVEL DE EDUCACIÓN</t>
  </si>
  <si>
    <t>MATRÍCULAS CONSULARES EXPEDIDAS A ORIGINARIOS DE MORELOS POR GÉNERO Y POR ESTADO DE LA UNIÓN AMERICANA</t>
  </si>
  <si>
    <t>MATRÍCULAS CONSULARES DE ALTA SEGURIDAD EXPEDIDAS POR MUNICIPIO A ORIGINARIOS DEL ESTADO DE MORELOS EN LOS CONSULADOS DE MÉXICO EN EE.UU.</t>
  </si>
  <si>
    <t>MATRÍCULAS CONSULARES DE ALTA SEGURIDAD EXPEDIDAS A ORIGINARIOS DE MORELOS POR ESTADO DE LA UNIÓN AMERICANA</t>
  </si>
  <si>
    <t>LOS 10 CONSULADOS  DE MÉXICO EN EE.UU., CON MAYOR NÚMERO DE EXPEDICIÓN DE  MATRÍCULAS CONSULARES DE ALTA SEGURIDAD A ORIGINARIOS DE MORELOS</t>
  </si>
  <si>
    <t>TOTAL TOP 10</t>
  </si>
  <si>
    <t>TOTAL GENERAL</t>
  </si>
  <si>
    <t>CHICAGO</t>
  </si>
  <si>
    <t>SAINT PAUL</t>
  </si>
  <si>
    <t>SANTA ANA</t>
  </si>
  <si>
    <t>LOS ANGELES</t>
  </si>
  <si>
    <t>NUEVA YORK</t>
  </si>
  <si>
    <t>HOUSTON</t>
  </si>
  <si>
    <t>DALLAS</t>
  </si>
  <si>
    <t>RALEIGH</t>
  </si>
  <si>
    <t>SAN BERNARDINO</t>
  </si>
  <si>
    <t>ATLANTA</t>
  </si>
  <si>
    <t>PHOENIX</t>
  </si>
  <si>
    <t>SAN DIEGO</t>
  </si>
  <si>
    <t>LAS VEGAS</t>
  </si>
  <si>
    <t>INDIANAPOLIS</t>
  </si>
  <si>
    <t>FILADELFIA</t>
  </si>
  <si>
    <t>FRESNO</t>
  </si>
  <si>
    <t>LITTLE ROCK</t>
  </si>
  <si>
    <t>DENVER</t>
  </si>
  <si>
    <t>DETROIT</t>
  </si>
  <si>
    <t>SAN FRANCISCO</t>
  </si>
  <si>
    <t>SAN JOSE</t>
  </si>
  <si>
    <t>ORLANDO</t>
  </si>
  <si>
    <t>AUSTIN</t>
  </si>
  <si>
    <t>SACRAMENTO</t>
  </si>
  <si>
    <t>SALT LAKE CITY</t>
  </si>
  <si>
    <t>KANSAS CITY</t>
  </si>
  <si>
    <t>MIAMI</t>
  </si>
  <si>
    <t>OXNARD</t>
  </si>
  <si>
    <t>MILWAUKEE</t>
  </si>
  <si>
    <t>OMAHA</t>
  </si>
  <si>
    <t>WASHINGTON</t>
  </si>
  <si>
    <t>OKLAHOMA CITY</t>
  </si>
  <si>
    <t>PORTLAND</t>
  </si>
  <si>
    <t>BOISE</t>
  </si>
  <si>
    <t>SAN ANTONIO</t>
  </si>
  <si>
    <t>MCALLEN</t>
  </si>
  <si>
    <t>SEATTLE</t>
  </si>
  <si>
    <t>BOSTON</t>
  </si>
  <si>
    <t>NEW BRUNSWICK</t>
  </si>
  <si>
    <t>NUEVA ORLEANS</t>
  </si>
  <si>
    <t>ALBUQUERQUE</t>
  </si>
  <si>
    <t>BROWNSVILLE</t>
  </si>
  <si>
    <t>EL PASO</t>
  </si>
  <si>
    <t>LAREDO</t>
  </si>
  <si>
    <t>TUCSON</t>
  </si>
  <si>
    <t>DEL RIO</t>
  </si>
  <si>
    <t>PRESIDIO</t>
  </si>
  <si>
    <t>YUMA</t>
  </si>
  <si>
    <t>CALEXICO</t>
  </si>
  <si>
    <t>EAGLE PASS</t>
  </si>
  <si>
    <t>Elaborado por: Análisis de Información, Instituto de Mexicanas y Mexicanos en el Exterior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</si>
  <si>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</si>
  <si>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</si>
  <si>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</si>
  <si>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</si>
  <si>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</si>
  <si>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</si>
  <si>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</si>
  <si>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</si>
  <si>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</si>
  <si>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</si>
  <si>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</si>
  <si>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</si>
  <si>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</si>
  <si>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</si>
  <si>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</si>
  <si>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</si>
  <si>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</si>
  <si>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</si>
  <si>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</si>
  <si>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</si>
  <si>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</si>
  <si>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</si>
  <si>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</si>
  <si>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</si>
  <si>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</si>
  <si>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</si>
  <si>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</si>
  <si>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</si>
  <si>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</si>
  <si>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</si>
  <si>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</si>
  <si>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</si>
  <si>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</si>
  <si>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</si>
  <si>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</si>
  <si>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</si>
  <si>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</si>
  <si>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</si>
  <si>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</si>
  <si>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</si>
  <si>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</si>
  <si>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</si>
  <si>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</si>
  <si>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</si>
  <si>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</si>
  <si>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AMACUZAC</t>
  </si>
  <si>
    <t>AXOCHIAPAN</t>
  </si>
  <si>
    <t>AYALA</t>
  </si>
  <si>
    <t>CUAUTLA</t>
  </si>
  <si>
    <t>CUERNAVACA</t>
  </si>
  <si>
    <t>EMILIANO ZAPATA</t>
  </si>
  <si>
    <t>JIUTEPEC</t>
  </si>
  <si>
    <t>JOJUTLA</t>
  </si>
  <si>
    <t>OCUITUCO</t>
  </si>
  <si>
    <t>PUENTE DE IXTLA</t>
  </si>
  <si>
    <t>TEMIXCO</t>
  </si>
  <si>
    <t>TEPOZTLÁN</t>
  </si>
  <si>
    <t>TETECALA</t>
  </si>
  <si>
    <t>TLALTIZAPÁN DE ZAPATA</t>
  </si>
  <si>
    <t>TLAQUILTENANGO</t>
  </si>
  <si>
    <t>YAUTEPEC</t>
  </si>
  <si>
    <t>ZACATEPEC</t>
  </si>
  <si>
    <t>COATLÁN DEL RÍO</t>
  </si>
  <si>
    <t>HUITZILAC</t>
  </si>
  <si>
    <t>JANTETELCO</t>
  </si>
  <si>
    <t>JONACATEPEC</t>
  </si>
  <si>
    <t>MAZATEPEC</t>
  </si>
  <si>
    <t>MIACATLÁN</t>
  </si>
  <si>
    <t>TEMOAC</t>
  </si>
  <si>
    <t>TEPALCINGO</t>
  </si>
  <si>
    <t>TETELA DEL VOLCÁN</t>
  </si>
  <si>
    <t>XOCHITEPEC</t>
  </si>
  <si>
    <t>YECAPIXTLA</t>
  </si>
  <si>
    <t>ZACUALPAN DE AMILPAS</t>
  </si>
  <si>
    <t>ATLATLAHUCAN</t>
  </si>
  <si>
    <t>TLAYACAPAN</t>
  </si>
  <si>
    <t>COATETELCO</t>
  </si>
  <si>
    <t>JONACATEPEC DE LEANDRO VALLE</t>
  </si>
  <si>
    <t>TLALNEPANTLA</t>
  </si>
  <si>
    <t>TOTOLAPAN</t>
  </si>
  <si>
    <t>ZACUALPAN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</si>
  <si>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</si>
  <si>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</si>
  <si>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</si>
  <si>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</si>
  <si>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</si>
  <si>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</si>
  <si>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</si>
  <si>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</si>
  <si>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</si>
  <si>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</si>
  <si>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</si>
  <si>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</si>
  <si>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</si>
  <si>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</si>
  <si>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</si>
  <si>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</si>
  <si>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</si>
  <si>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</si>
  <si>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</si>
  <si>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</si>
  <si>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</si>
  <si>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</si>
  <si>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</si>
  <si>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</si>
  <si>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</si>
  <si>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</si>
  <si>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</si>
  <si>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</si>
  <si>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</si>
  <si>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</si>
  <si>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</si>
  <si>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</si>
  <si>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</si>
  <si>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ALIMENTOS Y BEBIDAS, ESP. EN PREPARACIÓN DE</t>
  </si>
  <si>
    <t>OBRERO(A)</t>
  </si>
  <si>
    <t>ESTUDIANTE</t>
  </si>
  <si>
    <t>CONSTRUCCIÓN, TRAB. DE LA IND. DE LA</t>
  </si>
  <si>
    <t>JARDINERO(A)</t>
  </si>
  <si>
    <t>AGROPECUARIA, TRAB. DE LA INDUSTRIA</t>
  </si>
  <si>
    <t>PINTOR(A)</t>
  </si>
  <si>
    <t>SIN ESPECIFICAR</t>
  </si>
  <si>
    <t>LIMPIEZA, EMPLEADO DE</t>
  </si>
  <si>
    <t>MESERO(A)</t>
  </si>
  <si>
    <t>DESEMPLEADO</t>
  </si>
  <si>
    <t>OPERARIO(A)</t>
  </si>
  <si>
    <t>MECÁNICO(A)</t>
  </si>
  <si>
    <t>CAJERO(A)/COBRADOR(A)</t>
  </si>
  <si>
    <t>VENDEDOR(A)</t>
  </si>
  <si>
    <t>CHOFER</t>
  </si>
  <si>
    <t>JUBILADO(A)/PENSIONADO(A)</t>
  </si>
  <si>
    <t>CARPINTERO/TAPICERO</t>
  </si>
  <si>
    <t>PROFESIONISTA</t>
  </si>
  <si>
    <t>EMPRESARIO(A)</t>
  </si>
  <si>
    <t>CARNICERO(A)</t>
  </si>
  <si>
    <t>TÉCNICO(A) EN MANTENIMIENTO</t>
  </si>
  <si>
    <t>SOLDADOR</t>
  </si>
  <si>
    <t>TRABAJADOR(A) DOMÉSTICO(A)</t>
  </si>
  <si>
    <t>AEROCOMERCIAL, TRAB. DE LA INDUSTRIA</t>
  </si>
  <si>
    <t>ENFERMERO(A)/TRAB. DE APOYO EN SALUD</t>
  </si>
  <si>
    <t>SUPERVISOR(A)</t>
  </si>
  <si>
    <t>BELLEZA, PROFESIONAL DE SERVICIOS DE</t>
  </si>
  <si>
    <t>DISCAPACITADO</t>
  </si>
  <si>
    <t>ABOGADO(A)</t>
  </si>
  <si>
    <t>ADMINISTRADOR(A)/CONTADOR(A)</t>
  </si>
  <si>
    <t>ARTISTA INTERPRETATIVO(A)</t>
  </si>
  <si>
    <t>CONSULTOR</t>
  </si>
  <si>
    <t>PROFESOR(A)</t>
  </si>
  <si>
    <t>COMERCIANTE</t>
  </si>
  <si>
    <t>DISEÑADOR(A)</t>
  </si>
  <si>
    <t>GERENTE/DIRECTOR(A)</t>
  </si>
  <si>
    <t>OTRO</t>
  </si>
  <si>
    <t>PROFESIONAL TÉCNICO</t>
  </si>
  <si>
    <t>BANQUERO/INVERSIONISTA</t>
  </si>
  <si>
    <t>MINISTRO(A) RELIGIOSO(A)</t>
  </si>
  <si>
    <t>MÉDICO(A) /ESP. EN SALUD</t>
  </si>
  <si>
    <t>MATRÍCULAS CONSULARES EXPEDIDAS A ORIGINARIOS DE MORELOS POR GÉNERO 
Y CONSULADO</t>
  </si>
  <si>
    <t>MATRÍCULAS CONSULARES EXPEDIDAS A ORIGINARIOS DE MORELOS POR GÉNERO Y EDAD 
EN EE.UU.</t>
  </si>
  <si>
    <t>MATRÍCULAS CONSULARES EXPEDIDAS EN EE.UU. ORIGINARIOS DE MORELOS 
POR PERFIL OCUPACIONAL</t>
  </si>
  <si>
    <t>Tamaño de la muestra: 808,027</t>
  </si>
  <si>
    <t>HAWAII</t>
  </si>
  <si>
    <t>NEW HAMPSHIRE</t>
  </si>
  <si>
    <t>DESCONOCIDO</t>
  </si>
  <si>
    <t>XOXOCOTLA</t>
  </si>
  <si>
    <t>KINDERGARTEN</t>
  </si>
  <si>
    <t>1O. PRIMARIA</t>
  </si>
  <si>
    <t>1O. PRIMARIA TOTAL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</si>
  <si>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</si>
  <si>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</si>
  <si>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</si>
  <si>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</si>
  <si>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</si>
  <si>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</si>
  <si>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</si>
  <si>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</si>
  <si>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</si>
  <si>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</si>
  <si>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</si>
  <si>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</si>
  <si>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</si>
  <si>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</si>
  <si>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</si>
  <si>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>AUXILIARES ADMINISTRATIVOS Y DE OFICINA</t>
  </si>
  <si>
    <t>INGENIERO(A)</t>
  </si>
  <si>
    <t>ARTISTA PLÁSTICO/PINTOR(A)</t>
  </si>
  <si>
    <t>FOTÓGRAFO(A)</t>
  </si>
  <si>
    <t>INVESTIGADOR(A)</t>
  </si>
  <si>
    <t>PLANCHADOR(A)</t>
  </si>
  <si>
    <t>POLICÍA/ SERV. SEGURIDAD Y PROTECCIÓN</t>
  </si>
  <si>
    <t>TOTAL</t>
  </si>
  <si>
    <t>Junio de 2025</t>
  </si>
  <si>
    <t xml:space="preserve">TOTAL </t>
  </si>
  <si>
    <t xml:space="preserve"> TOTAL </t>
  </si>
  <si>
    <t xml:space="preserve"> TOTAL</t>
  </si>
  <si>
    <t xml:space="preserve">  Matrículas consulares expedidas a originarios de Morelos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</si>
</sst>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1"/>
      <name val="Noto Sans"/>
      <family val="2"/>
    </font>
    <font>
      <b/>
      <sz val="9"/>
      <color indexed="9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0" borderId="4" xfId="0" applyFont="1" applyBorder="1"/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15" fillId="3" borderId="0" xfId="0" applyFont="1" applyFill="1"/>
    <xf numFmtId="0" fontId="17" fillId="3" borderId="0" xfId="0" applyFont="1" applyFill="1"/>
    <xf numFmtId="3" fontId="15" fillId="3" borderId="0" xfId="0" applyNumberFormat="1" applyFont="1" applyFill="1"/>
    <xf numFmtId="0" fontId="17" fillId="3" borderId="0" xfId="0" applyFont="1" applyFill="1" applyAlignment="1">
      <alignment vertical="center"/>
    </xf>
    <xf numFmtId="0" fontId="17" fillId="3" borderId="0" xfId="0" applyFont="1" applyFill="1" applyAlignment="1">
      <alignment vertical="top"/>
    </xf>
    <xf numFmtId="0" fontId="18" fillId="3" borderId="0" xfId="0" applyFont="1" applyFill="1"/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3" fillId="3" borderId="0" xfId="0" applyFont="1" applyFill="1" applyAlignment="1">
      <alignment vertical="center"/>
    </xf>
    <xf numFmtId="0" fontId="13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justify" vertical="center"/>
    </xf>
    <xf numFmtId="0" fontId="20" fillId="0" borderId="0" xfId="0" applyFont="1" applyAlignment="1">
      <alignment vertical="top"/>
    </xf>
    <xf numFmtId="0" fontId="21" fillId="3" borderId="0" xfId="0" applyFont="1" applyFill="1"/>
    <xf numFmtId="0" fontId="21" fillId="3" borderId="13" xfId="0" applyFont="1" applyFill="1" applyBorder="1" applyAlignment="1">
      <alignment horizontal="center" vertical="distributed"/>
    </xf>
    <xf numFmtId="3" fontId="13" fillId="3" borderId="0" xfId="0" applyNumberFormat="1" applyFont="1" applyFill="1"/>
    <xf numFmtId="0" fontId="19" fillId="2" borderId="9" xfId="3" applyFont="1" applyFill="1" applyBorder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1" fontId="19" fillId="2" borderId="9" xfId="3" applyNumberFormat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vertical="center" wrapText="1"/>
    </xf>
    <xf numFmtId="3" fontId="23" fillId="6" borderId="9" xfId="0" applyNumberFormat="1" applyFont="1" applyFill="1" applyBorder="1" applyAlignment="1">
      <alignment horizontal="right" vertical="center" wrapText="1"/>
    </xf>
    <xf numFmtId="10" fontId="23" fillId="6" borderId="9" xfId="0" applyNumberFormat="1" applyFont="1" applyFill="1" applyBorder="1" applyAlignment="1">
      <alignment horizontal="right" vertical="center" wrapText="1"/>
    </xf>
    <xf numFmtId="0" fontId="23" fillId="6" borderId="9" xfId="0" applyFont="1" applyFill="1" applyBorder="1" applyAlignment="1">
      <alignment horizontal="right" vertical="center" wrapText="1"/>
    </xf>
    <xf numFmtId="0" fontId="16" fillId="4" borderId="9" xfId="0" applyFont="1" applyFill="1" applyBorder="1" applyAlignment="1">
      <alignment vertical="center" wrapText="1"/>
    </xf>
    <xf numFmtId="10" fontId="16" fillId="4" borderId="9" xfId="0" applyNumberFormat="1" applyFont="1" applyFill="1" applyBorder="1" applyAlignment="1">
      <alignment horizontal="right" vertical="center" wrapText="1"/>
    </xf>
    <xf numFmtId="49" fontId="24" fillId="0" borderId="9" xfId="0" applyNumberFormat="1" applyFont="1" applyBorder="1" applyAlignment="1">
      <alignment vertical="top" wrapText="1"/>
    </xf>
    <xf numFmtId="165" fontId="23" fillId="6" borderId="9" xfId="0" applyNumberFormat="1" applyFont="1" applyFill="1" applyBorder="1" applyAlignment="1">
      <alignment horizontal="right" vertical="top" wrapText="1"/>
    </xf>
    <xf numFmtId="164" fontId="23" fillId="6" borderId="9" xfId="0" applyNumberFormat="1" applyFont="1" applyFill="1" applyBorder="1" applyAlignment="1">
      <alignment horizontal="right" vertical="top" wrapText="1"/>
    </xf>
    <xf numFmtId="165" fontId="16" fillId="4" borderId="9" xfId="0" applyNumberFormat="1" applyFont="1" applyFill="1" applyBorder="1" applyAlignment="1">
      <alignment vertical="top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0" fontId="24" fillId="3" borderId="9" xfId="0" applyFont="1" applyFill="1" applyBorder="1"/>
    <xf numFmtId="49" fontId="16" fillId="7" borderId="9" xfId="0" applyNumberFormat="1" applyFont="1" applyFill="1" applyBorder="1" applyAlignment="1">
      <alignment vertical="center" wrapText="1"/>
    </xf>
    <xf numFmtId="3" fontId="16" fillId="7" borderId="9" xfId="0" applyNumberFormat="1" applyFont="1" applyFill="1" applyBorder="1" applyAlignment="1">
      <alignment horizontal="right" vertical="center" wrapText="1"/>
    </xf>
    <xf numFmtId="49" fontId="16" fillId="4" borderId="9" xfId="0" applyNumberFormat="1" applyFont="1" applyFill="1" applyBorder="1" applyAlignment="1">
      <alignment vertical="top" wrapText="1"/>
    </xf>
    <xf numFmtId="10" fontId="16" fillId="7" borderId="9" xfId="0" applyNumberFormat="1" applyFont="1" applyFill="1" applyBorder="1" applyAlignment="1">
      <alignment horizontal="right" vertical="center" wrapText="1"/>
    </xf>
    <xf numFmtId="0" fontId="16" fillId="7" borderId="9" xfId="0" applyFont="1" applyFill="1" applyBorder="1" applyAlignment="1">
      <alignment vertical="center" wrapText="1"/>
    </xf>
    <xf numFmtId="0" fontId="16" fillId="7" borderId="9" xfId="0" applyFont="1" applyFill="1" applyBorder="1" applyAlignment="1">
      <alignment horizontal="right" vertical="center" wrapText="1"/>
    </xf>
    <xf numFmtId="0" fontId="16" fillId="4" borderId="9" xfId="0" applyFont="1" applyFill="1" applyBorder="1" applyAlignment="1">
      <alignment horizontal="right" vertical="center" wrapText="1"/>
    </xf>
    <xf numFmtId="10" fontId="16" fillId="7" borderId="12" xfId="0" applyNumberFormat="1" applyFont="1" applyFill="1" applyBorder="1" applyAlignment="1">
      <alignment vertical="center" wrapText="1"/>
    </xf>
    <xf numFmtId="0" fontId="22" fillId="5" borderId="10" xfId="3" applyFont="1" applyFill="1" applyBorder="1" applyAlignment="1">
      <alignment horizontal="center" vertical="center" wrapText="1"/>
    </xf>
    <xf numFmtId="0" fontId="23" fillId="3" borderId="9" xfId="0" applyFont="1" applyFill="1" applyBorder="1" applyAlignment="1">
      <alignment vertical="center" wrapText="1"/>
    </xf>
    <xf numFmtId="165" fontId="16" fillId="7" borderId="9" xfId="0" applyNumberFormat="1" applyFont="1" applyFill="1" applyBorder="1" applyAlignment="1">
      <alignment horizontal="right" vertical="top" wrapText="1"/>
    </xf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2" fillId="0" borderId="5" xfId="1" applyFont="1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16" fillId="4" borderId="9" xfId="0" applyFont="1" applyFill="1" applyBorder="1" applyAlignment="1">
      <alignment vertical="center" wrapText="1"/>
    </xf>
    <xf numFmtId="0" fontId="15" fillId="3" borderId="0" xfId="0" applyFont="1" applyFill="1" applyAlignment="1">
      <alignment horizontal="center" wrapText="1"/>
    </xf>
    <xf numFmtId="0" fontId="23" fillId="3" borderId="9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49" fontId="24" fillId="0" borderId="10" xfId="0" applyNumberFormat="1" applyFont="1" applyBorder="1" applyAlignment="1">
      <alignment horizontal="center" vertical="center" wrapText="1"/>
    </xf>
    <xf numFmtId="49" fontId="24" fillId="0" borderId="14" xfId="0" applyNumberFormat="1" applyFont="1" applyBorder="1" applyAlignment="1">
      <alignment horizontal="center" vertical="center" wrapText="1"/>
    </xf>
    <xf numFmtId="49" fontId="24" fillId="0" borderId="15" xfId="0" applyNumberFormat="1" applyFont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49" fontId="16" fillId="7" borderId="12" xfId="0" applyNumberFormat="1" applyFont="1" applyFill="1" applyBorder="1" applyAlignment="1">
      <alignment vertical="top" wrapText="1"/>
    </xf>
    <xf numFmtId="9" fontId="23" fillId="6" borderId="9" xfId="0" applyNumberFormat="1" applyFont="1" applyFill="1" applyBorder="1" applyAlignment="1">
      <alignment horizontal="right" vertical="top" wrapText="1"/>
    </xf>
    <xf numFmtId="9" fontId="16" fillId="7" borderId="9" xfId="0" applyNumberFormat="1" applyFont="1" applyFill="1" applyBorder="1" applyAlignment="1">
      <alignment horizontal="right" vertical="top" wrapText="1"/>
    </xf>
    <xf numFmtId="49" fontId="16" fillId="4" borderId="12" xfId="0" applyNumberFormat="1" applyFont="1" applyFill="1" applyBorder="1" applyAlignment="1">
      <alignment horizontal="center" vertical="top" wrapText="1"/>
    </xf>
    <xf numFmtId="49" fontId="16" fillId="4" borderId="16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664201</xdr:colOff>
      <xdr:row>1</xdr:row>
      <xdr:rowOff>224136</xdr:rowOff>
    </xdr:from>
    <xdr:to>
      <xdr:col>3</xdr:col>
      <xdr:colOff>1176298</xdr:colOff>
      <xdr:row>2</xdr:row>
      <xdr:rowOff>224137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90624" y="759001"/>
          <a:ext cx="512097" cy="22713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03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142875</xdr:rowOff>
    </xdr:from>
    <xdr:to>
      <xdr:col>5</xdr:col>
      <xdr:colOff>121572</xdr:colOff>
      <xdr:row>8</xdr:row>
      <xdr:rowOff>327230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5772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231088</xdr:colOff>
      <xdr:row>1</xdr:row>
      <xdr:rowOff>143566</xdr:rowOff>
    </xdr:from>
    <xdr:to>
      <xdr:col>1</xdr:col>
      <xdr:colOff>1231213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C206D9-2C79-43DF-BF0F-8A0246A90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088" y="334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239368</xdr:colOff>
      <xdr:row>1</xdr:row>
      <xdr:rowOff>27609</xdr:rowOff>
    </xdr:from>
    <xdr:to>
      <xdr:col>5</xdr:col>
      <xdr:colOff>58392</xdr:colOff>
      <xdr:row>3</xdr:row>
      <xdr:rowOff>115044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A79B0E-EDCA-4717-A045-D983523F2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78846" y="2181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231913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59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206513</xdr:colOff>
      <xdr:row>7</xdr:row>
      <xdr:rowOff>132521</xdr:rowOff>
    </xdr:from>
    <xdr:to>
      <xdr:col>5</xdr:col>
      <xdr:colOff>99485</xdr:colOff>
      <xdr:row>8</xdr:row>
      <xdr:rowOff>123615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844774" y="1673086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206240</xdr:colOff>
      <xdr:row>2</xdr:row>
      <xdr:rowOff>2762</xdr:rowOff>
    </xdr:from>
    <xdr:to>
      <xdr:col>1</xdr:col>
      <xdr:colOff>1206365</xdr:colOff>
      <xdr:row>3</xdr:row>
      <xdr:rowOff>34139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E9F0D9-95B5-4632-B52E-ED266E0F5E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0" y="38376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247652</xdr:colOff>
      <xdr:row>1</xdr:row>
      <xdr:rowOff>60740</xdr:rowOff>
    </xdr:from>
    <xdr:to>
      <xdr:col>5</xdr:col>
      <xdr:colOff>66676</xdr:colOff>
      <xdr:row>3</xdr:row>
      <xdr:rowOff>148175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922BBFE-C604-4831-AAEE-578B593B8F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87130" y="25124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5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247097</xdr:colOff>
      <xdr:row>7</xdr:row>
      <xdr:rowOff>182218</xdr:rowOff>
    </xdr:from>
    <xdr:to>
      <xdr:col>5</xdr:col>
      <xdr:colOff>140069</xdr:colOff>
      <xdr:row>8</xdr:row>
      <xdr:rowOff>173312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885358" y="1722783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255935</xdr:colOff>
      <xdr:row>1</xdr:row>
      <xdr:rowOff>168414</xdr:rowOff>
    </xdr:from>
    <xdr:to>
      <xdr:col>1</xdr:col>
      <xdr:colOff>1256060</xdr:colOff>
      <xdr:row>3</xdr:row>
      <xdr:rowOff>9291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96CBF14-C6A0-47B4-85D0-906B13D65B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35" y="35891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206237</xdr:colOff>
      <xdr:row>1</xdr:row>
      <xdr:rowOff>118718</xdr:rowOff>
    </xdr:from>
    <xdr:to>
      <xdr:col>5</xdr:col>
      <xdr:colOff>25261</xdr:colOff>
      <xdr:row>3</xdr:row>
      <xdr:rowOff>206153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892A500-6695-4764-A28F-2DBD764BF9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5715" y="30921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93869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071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239371</xdr:colOff>
      <xdr:row>1</xdr:row>
      <xdr:rowOff>143566</xdr:rowOff>
    </xdr:from>
    <xdr:to>
      <xdr:col>1</xdr:col>
      <xdr:colOff>1239496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3BD709-9C96-48E3-8D13-52EC48B2F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371" y="334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57151</xdr:colOff>
      <xdr:row>1</xdr:row>
      <xdr:rowOff>19326</xdr:rowOff>
    </xdr:from>
    <xdr:to>
      <xdr:col>4</xdr:col>
      <xdr:colOff>497371</xdr:colOff>
      <xdr:row>3</xdr:row>
      <xdr:rowOff>106761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2ECBF4B-4E16-484B-B907-D231ABDF6B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8934" y="2098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MORELOS POR ESTADO EN EE.UU.</a:t>
          </a:r>
        </a:p>
      </xdr:txBody>
    </xdr:sp>
    <xdr:clientData/>
  </xdr:twoCellAnchor>
  <xdr:twoCellAnchor>
    <xdr:from>
      <xdr:col>4</xdr:col>
      <xdr:colOff>553065</xdr:colOff>
      <xdr:row>6</xdr:row>
      <xdr:rowOff>317500</xdr:rowOff>
    </xdr:from>
    <xdr:to>
      <xdr:col>4</xdr:col>
      <xdr:colOff>1065162</xdr:colOff>
      <xdr:row>7</xdr:row>
      <xdr:rowOff>174113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202904" y="174112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135786</xdr:colOff>
      <xdr:row>2</xdr:row>
      <xdr:rowOff>44392</xdr:rowOff>
    </xdr:from>
    <xdr:to>
      <xdr:col>2</xdr:col>
      <xdr:colOff>233107</xdr:colOff>
      <xdr:row>3</xdr:row>
      <xdr:rowOff>75769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B0472C5-45E2-4069-96BD-8DD2EE1F4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047" y="3839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424702</xdr:colOff>
      <xdr:row>1</xdr:row>
      <xdr:rowOff>91652</xdr:rowOff>
    </xdr:from>
    <xdr:to>
      <xdr:col>4</xdr:col>
      <xdr:colOff>864922</xdr:colOff>
      <xdr:row>3</xdr:row>
      <xdr:rowOff>179087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7203B31-D9E1-4BE8-9992-44765FD67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3231" y="24853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MORELOS EN LOS CONSULADOS DE MÉXICO EN EE.UU.</a:t>
          </a:r>
        </a:p>
      </xdr:txBody>
    </xdr:sp>
    <xdr:clientData/>
  </xdr:twoCellAnchor>
  <xdr:twoCellAnchor>
    <xdr:from>
      <xdr:col>4</xdr:col>
      <xdr:colOff>523352</xdr:colOff>
      <xdr:row>7</xdr:row>
      <xdr:rowOff>125604</xdr:rowOff>
    </xdr:from>
    <xdr:to>
      <xdr:col>4</xdr:col>
      <xdr:colOff>1035449</xdr:colOff>
      <xdr:row>7</xdr:row>
      <xdr:rowOff>314011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60248" y="1863131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140658</xdr:colOff>
      <xdr:row>1</xdr:row>
      <xdr:rowOff>162841</xdr:rowOff>
    </xdr:from>
    <xdr:to>
      <xdr:col>2</xdr:col>
      <xdr:colOff>237979</xdr:colOff>
      <xdr:row>3</xdr:row>
      <xdr:rowOff>3718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FF0BCB9-9C4E-429F-A555-22875B3B9D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600" y="31670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485604</xdr:colOff>
      <xdr:row>1</xdr:row>
      <xdr:rowOff>81419</xdr:rowOff>
    </xdr:from>
    <xdr:to>
      <xdr:col>4</xdr:col>
      <xdr:colOff>925824</xdr:colOff>
      <xdr:row>3</xdr:row>
      <xdr:rowOff>161059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521AB0E-5AF2-44B9-9772-FF2C91B0F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14365" y="230506"/>
          <a:ext cx="440220" cy="4606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910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222805</xdr:colOff>
      <xdr:row>2</xdr:row>
      <xdr:rowOff>8283</xdr:rowOff>
    </xdr:from>
    <xdr:to>
      <xdr:col>1</xdr:col>
      <xdr:colOff>1222930</xdr:colOff>
      <xdr:row>3</xdr:row>
      <xdr:rowOff>39660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9812768-94F1-476E-839D-6A2F57FEC8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805" y="38928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322194</xdr:colOff>
      <xdr:row>1</xdr:row>
      <xdr:rowOff>99392</xdr:rowOff>
    </xdr:from>
    <xdr:to>
      <xdr:col>5</xdr:col>
      <xdr:colOff>141219</xdr:colOff>
      <xdr:row>3</xdr:row>
      <xdr:rowOff>186827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000B991-BD75-463B-B583-15AFEB274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7303" y="2898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MORELOS POR NIVEL DE EDUCACIÓN Y ESTADO EN EE.UU.</a:t>
          </a:r>
        </a:p>
      </xdr:txBody>
    </xdr:sp>
    <xdr:clientData/>
  </xdr:twoCellAnchor>
  <xdr:twoCellAnchor>
    <xdr:from>
      <xdr:col>4</xdr:col>
      <xdr:colOff>486103</xdr:colOff>
      <xdr:row>7</xdr:row>
      <xdr:rowOff>124810</xdr:rowOff>
    </xdr:from>
    <xdr:to>
      <xdr:col>4</xdr:col>
      <xdr:colOff>998200</xdr:colOff>
      <xdr:row>7</xdr:row>
      <xdr:rowOff>315310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23793" y="186558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202047</xdr:colOff>
      <xdr:row>1</xdr:row>
      <xdr:rowOff>127219</xdr:rowOff>
    </xdr:from>
    <xdr:to>
      <xdr:col>2</xdr:col>
      <xdr:colOff>299368</xdr:colOff>
      <xdr:row>2</xdr:row>
      <xdr:rowOff>158596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FC38C1-BC56-423E-97ED-0EC188879B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308" y="27630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357467</xdr:colOff>
      <xdr:row>1</xdr:row>
      <xdr:rowOff>46828</xdr:rowOff>
    </xdr:from>
    <xdr:to>
      <xdr:col>4</xdr:col>
      <xdr:colOff>797687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57977FB-C0BA-49BE-A95C-1F58BA0073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96702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MORELOS POR CONSULADO Y NIVEL DE EDUCACIÓN EN EE.UU.</a:t>
          </a:r>
        </a:p>
      </xdr:txBody>
    </xdr:sp>
    <xdr:clientData/>
  </xdr:twoCellAnchor>
  <xdr:twoCellAnchor>
    <xdr:from>
      <xdr:col>4</xdr:col>
      <xdr:colOff>544286</xdr:colOff>
      <xdr:row>7</xdr:row>
      <xdr:rowOff>85660</xdr:rowOff>
    </xdr:from>
    <xdr:to>
      <xdr:col>4</xdr:col>
      <xdr:colOff>1056383</xdr:colOff>
      <xdr:row>7</xdr:row>
      <xdr:rowOff>280048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19536" y="1825560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172570</xdr:colOff>
      <xdr:row>1</xdr:row>
      <xdr:rowOff>134234</xdr:rowOff>
    </xdr:from>
    <xdr:to>
      <xdr:col>2</xdr:col>
      <xdr:colOff>269891</xdr:colOff>
      <xdr:row>2</xdr:row>
      <xdr:rowOff>165611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69D84AE-31B1-42D1-BABC-8035DD685E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245" y="2866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521633</xdr:colOff>
      <xdr:row>1</xdr:row>
      <xdr:rowOff>68679</xdr:rowOff>
    </xdr:from>
    <xdr:to>
      <xdr:col>4</xdr:col>
      <xdr:colOff>961853</xdr:colOff>
      <xdr:row>3</xdr:row>
      <xdr:rowOff>156114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57A8B73-3AE4-4E4C-9AB8-668ABA1A8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5108" y="2210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304800</xdr:colOff>
      <xdr:row>8</xdr:row>
      <xdr:rowOff>0</xdr:rowOff>
    </xdr:from>
    <xdr:to>
      <xdr:col>5</xdr:col>
      <xdr:colOff>197772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7339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214523</xdr:colOff>
      <xdr:row>2</xdr:row>
      <xdr:rowOff>1</xdr:rowOff>
    </xdr:from>
    <xdr:to>
      <xdr:col>1</xdr:col>
      <xdr:colOff>1214648</xdr:colOff>
      <xdr:row>3</xdr:row>
      <xdr:rowOff>31378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355443-4338-46FA-8E39-65B457C14C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3" y="38100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322195</xdr:colOff>
      <xdr:row>1</xdr:row>
      <xdr:rowOff>49695</xdr:rowOff>
    </xdr:from>
    <xdr:to>
      <xdr:col>5</xdr:col>
      <xdr:colOff>141219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178DC69-4CEE-44FF-A5DE-04617A0AA8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1673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857250</xdr:colOff>
      <xdr:row>8</xdr:row>
      <xdr:rowOff>156640</xdr:rowOff>
    </xdr:from>
    <xdr:to>
      <xdr:col>6</xdr:col>
      <xdr:colOff>53679</xdr:colOff>
      <xdr:row>9</xdr:row>
      <xdr:rowOff>156640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15000" y="1739255"/>
          <a:ext cx="625179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220796</xdr:colOff>
      <xdr:row>1</xdr:row>
      <xdr:rowOff>70167</xdr:rowOff>
    </xdr:from>
    <xdr:to>
      <xdr:col>2</xdr:col>
      <xdr:colOff>127617</xdr:colOff>
      <xdr:row>2</xdr:row>
      <xdr:rowOff>150774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0D83BD0-4526-4133-BA66-6676F14FD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796" y="260667"/>
          <a:ext cx="1621321" cy="2271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458880</xdr:colOff>
      <xdr:row>0</xdr:row>
      <xdr:rowOff>150765</xdr:rowOff>
    </xdr:from>
    <xdr:to>
      <xdr:col>4</xdr:col>
      <xdr:colOff>899100</xdr:colOff>
      <xdr:row>3</xdr:row>
      <xdr:rowOff>94790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A2A85ED-B562-423D-96B9-C0259C400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16630" y="150765"/>
          <a:ext cx="440220" cy="4715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591748</xdr:colOff>
      <xdr:row>9</xdr:row>
      <xdr:rowOff>1671</xdr:rowOff>
    </xdr:from>
    <xdr:to>
      <xdr:col>5</xdr:col>
      <xdr:colOff>87923</xdr:colOff>
      <xdr:row>10</xdr:row>
      <xdr:rowOff>1671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49498" y="1789440"/>
          <a:ext cx="5439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174363</xdr:colOff>
      <xdr:row>1</xdr:row>
      <xdr:rowOff>70744</xdr:rowOff>
    </xdr:from>
    <xdr:to>
      <xdr:col>2</xdr:col>
      <xdr:colOff>81184</xdr:colOff>
      <xdr:row>2</xdr:row>
      <xdr:rowOff>151351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A72EAEE-892B-4C01-BADF-C3BADFF3C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363" y="261244"/>
          <a:ext cx="1621321" cy="2271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511733</xdr:colOff>
      <xdr:row>0</xdr:row>
      <xdr:rowOff>162621</xdr:rowOff>
    </xdr:from>
    <xdr:to>
      <xdr:col>4</xdr:col>
      <xdr:colOff>951953</xdr:colOff>
      <xdr:row>3</xdr:row>
      <xdr:rowOff>106646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90831E-8C83-4DD9-9095-20101CDF5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9483" y="162621"/>
          <a:ext cx="440220" cy="4715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803413</xdr:colOff>
      <xdr:row>8</xdr:row>
      <xdr:rowOff>149225</xdr:rowOff>
    </xdr:from>
    <xdr:to>
      <xdr:col>6</xdr:col>
      <xdr:colOff>273178</xdr:colOff>
      <xdr:row>9</xdr:row>
      <xdr:rowOff>149087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10739" y="1714638"/>
          <a:ext cx="571352" cy="19036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148259</xdr:colOff>
      <xdr:row>1</xdr:row>
      <xdr:rowOff>27680</xdr:rowOff>
    </xdr:from>
    <xdr:to>
      <xdr:col>2</xdr:col>
      <xdr:colOff>502755</xdr:colOff>
      <xdr:row>2</xdr:row>
      <xdr:rowOff>106682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A0273F9-C3E3-43AD-9E5C-7D3E094230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259" y="218180"/>
          <a:ext cx="1621735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494471</xdr:colOff>
      <xdr:row>0</xdr:row>
      <xdr:rowOff>188777</xdr:rowOff>
    </xdr:from>
    <xdr:to>
      <xdr:col>5</xdr:col>
      <xdr:colOff>934691</xdr:colOff>
      <xdr:row>3</xdr:row>
      <xdr:rowOff>133337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CBEE67B-EF26-45BA-B897-F8A85D3FF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01797" y="188777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1198217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MORELOS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649356</xdr:colOff>
      <xdr:row>8</xdr:row>
      <xdr:rowOff>82826</xdr:rowOff>
    </xdr:from>
    <xdr:to>
      <xdr:col>3</xdr:col>
      <xdr:colOff>1188372</xdr:colOff>
      <xdr:row>8</xdr:row>
      <xdr:rowOff>273326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22617" y="181665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327166</xdr:colOff>
      <xdr:row>1</xdr:row>
      <xdr:rowOff>152677</xdr:rowOff>
    </xdr:from>
    <xdr:to>
      <xdr:col>1</xdr:col>
      <xdr:colOff>1327291</xdr:colOff>
      <xdr:row>2</xdr:row>
      <xdr:rowOff>184054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F738B8-54F4-4C02-94FA-DCA6F803B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166" y="343177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603803</xdr:colOff>
      <xdr:row>1</xdr:row>
      <xdr:rowOff>68193</xdr:rowOff>
    </xdr:from>
    <xdr:to>
      <xdr:col>3</xdr:col>
      <xdr:colOff>1044023</xdr:colOff>
      <xdr:row>3</xdr:row>
      <xdr:rowOff>155628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5841CE-B2F2-4FA9-A096-1E7D4102CD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2528" y="25869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="130" zoomScaleNormal="100" zoomScaleSheetLayoutView="130" workbookViewId="0">
      <selection activeCell="F5" sqref="F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289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D7" s="9"/>
    </row>
    <row r="8" spans="1:4" ht="18.75">
      <c r="A8" s="79" t="s">
        <v>2</v>
      </c>
      <c r="B8" s="80"/>
      <c r="C8" s="80"/>
      <c r="D8" s="87"/>
    </row>
    <row r="9" spans="1:4" ht="18.75">
      <c r="A9" s="8"/>
      <c r="B9" s="79" t="s">
        <v>3</v>
      </c>
      <c r="C9" s="80"/>
      <c r="D9" s="80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8"/>
      <c r="B12" s="79" t="s">
        <v>5</v>
      </c>
      <c r="C12" s="80"/>
      <c r="D12" s="80"/>
    </row>
    <row r="13" spans="1:4" ht="18.75">
      <c r="A13" s="8"/>
      <c r="B13" s="79" t="s">
        <v>6</v>
      </c>
      <c r="C13" s="80"/>
      <c r="D13" s="80"/>
    </row>
    <row r="14" spans="1:4" ht="18.75">
      <c r="A14" s="8"/>
      <c r="B14" s="79" t="s">
        <v>7</v>
      </c>
      <c r="C14" s="80"/>
      <c r="D14" s="80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79" t="s">
        <v>9</v>
      </c>
      <c r="C17" s="80"/>
      <c r="D17" s="80"/>
    </row>
    <row r="18" spans="1:4" ht="18.75">
      <c r="A18" s="8"/>
      <c r="B18" s="79" t="s">
        <v>10</v>
      </c>
      <c r="C18" s="80"/>
      <c r="D18" s="80"/>
    </row>
    <row r="19" spans="1:4" ht="18.75">
      <c r="A19" s="8"/>
      <c r="B19" s="79" t="s">
        <v>11</v>
      </c>
      <c r="C19" s="80"/>
      <c r="D19" s="80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79" t="s">
        <v>13</v>
      </c>
      <c r="C22" s="80"/>
      <c r="D22" s="80"/>
    </row>
    <row r="23" spans="1:4" ht="18.75">
      <c r="A23" s="8"/>
      <c r="B23" s="79" t="s">
        <v>14</v>
      </c>
      <c r="C23" s="80"/>
      <c r="D23" s="80"/>
    </row>
    <row r="24" spans="1:4" ht="18.75">
      <c r="A24" s="8"/>
      <c r="B24" s="79" t="s">
        <v>34</v>
      </c>
      <c r="C24" s="80"/>
      <c r="D24" s="80"/>
    </row>
    <row r="25" spans="1:4">
      <c r="A25" s="8"/>
      <c r="D25" s="9"/>
    </row>
    <row r="26" spans="1:4" ht="18.75">
      <c r="A26" s="79" t="s">
        <v>15</v>
      </c>
      <c r="B26" s="80"/>
      <c r="C26" s="80"/>
      <c r="D26" s="87"/>
    </row>
    <row r="27" spans="1:4">
      <c r="A27" s="8"/>
      <c r="D27" s="9"/>
    </row>
    <row r="28" spans="1:4" ht="18.75">
      <c r="A28" s="79" t="s">
        <v>16</v>
      </c>
      <c r="B28" s="80"/>
      <c r="C28" s="80"/>
      <c r="D28" s="87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Morelos_USAMuni!A1" display="3.2 Por Estado de USA" xr:uid="{00000000-0004-0000-0000-00000D000000}"/>
    <hyperlink ref="A8:D8" location="Morelos_Cons!A1" display="2. Por Circunscripción Consular" xr:uid="{00000000-0004-0000-0000-00000E000000}"/>
    <hyperlink ref="B9:D9" location="MorelosXCons!A1" display="2.1 Top ten por circunscripción consular" xr:uid="{00000000-0004-0000-0000-00000F000000}"/>
    <hyperlink ref="A6:D6" location="Morelos_EdoUsa!A1" display="1. Por Estados de USA" xr:uid="{00000000-0004-0000-0000-000010000000}"/>
    <hyperlink ref="B12:D12" location="Morelos_EdoMun!A1" display="3.1 Municipio general" xr:uid="{00000000-0004-0000-0000-000011000000}"/>
    <hyperlink ref="B14:D14" location="Morelos_MUNICIPIO!A1" display="3.3 Por Circunscripción Consular" xr:uid="{00000000-0004-0000-0000-000012000000}"/>
    <hyperlink ref="B17:D17" location="Morelos_educ_gral!A1" display="4.1 Educación general" xr:uid="{00000000-0004-0000-0000-000013000000}"/>
    <hyperlink ref="B18:D18" location="Morelos_NivelE_Cons!A1" display="4.2 Por Estado de USA" xr:uid="{00000000-0004-0000-0000-000014000000}"/>
    <hyperlink ref="B19:D19" location="Morelos_EducCons!A1" display="4.3 Por Circunscripción Consular" xr:uid="{00000000-0004-0000-0000-000015000000}"/>
    <hyperlink ref="B22:D22" location="Morelos_GenGral!A1" display="5.1 Género General" xr:uid="{00000000-0004-0000-0000-000016000000}"/>
    <hyperlink ref="B23:D23" location="Morelos_GENERO!A1" display="5.2 Por Circunscripción Consular" xr:uid="{00000000-0004-0000-0000-000017000000}"/>
    <hyperlink ref="A26:D26" location="Morelos_Gen_Edad!A1" display="6. Por estructura de Edad" xr:uid="{00000000-0004-0000-0000-000018000000}"/>
    <hyperlink ref="A28:D28" location="Morelos_ocup_gral!A1" display="7. Por Ocupación" xr:uid="{00000000-0004-0000-0000-000019000000}"/>
    <hyperlink ref="B24" location="Morelos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4"/>
  <sheetViews>
    <sheetView showGridLines="0" view="pageBreakPreview" topLeftCell="A48" zoomScale="115" zoomScaleNormal="100" zoomScaleSheetLayoutView="115" workbookViewId="0">
      <selection activeCell="B60" sqref="B60:B6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28515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40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9" t="s">
        <v>21</v>
      </c>
      <c r="C11" s="38" t="s">
        <v>20</v>
      </c>
      <c r="D11" s="39" t="s">
        <v>19</v>
      </c>
      <c r="E11" s="29"/>
      <c r="F11" s="29"/>
    </row>
    <row r="12" spans="1:6" ht="16.5">
      <c r="A12" s="31"/>
      <c r="B12" s="55" t="s">
        <v>98</v>
      </c>
      <c r="C12" s="56">
        <v>4233</v>
      </c>
      <c r="D12" s="57">
        <v>0.27400000000000002</v>
      </c>
      <c r="E12" s="31"/>
      <c r="F12" s="31"/>
    </row>
    <row r="13" spans="1:6" ht="16.5">
      <c r="A13" s="31"/>
      <c r="B13" s="55" t="s">
        <v>106</v>
      </c>
      <c r="C13" s="56">
        <v>2708</v>
      </c>
      <c r="D13" s="57">
        <v>0.17499999999999999</v>
      </c>
      <c r="E13" s="31"/>
      <c r="F13" s="31"/>
    </row>
    <row r="14" spans="1:6" ht="16.5">
      <c r="A14" s="31"/>
      <c r="B14" s="55" t="s">
        <v>133</v>
      </c>
      <c r="C14" s="56">
        <v>1758</v>
      </c>
      <c r="D14" s="57">
        <v>0.114</v>
      </c>
      <c r="E14" s="31"/>
      <c r="F14" s="31"/>
    </row>
    <row r="15" spans="1:6" ht="16.5">
      <c r="A15" s="31"/>
      <c r="B15" s="55" t="s">
        <v>123</v>
      </c>
      <c r="C15" s="56">
        <v>1114</v>
      </c>
      <c r="D15" s="57">
        <v>7.1999999999999995E-2</v>
      </c>
      <c r="E15" s="31"/>
      <c r="F15" s="31"/>
    </row>
    <row r="16" spans="1:6" ht="16.5">
      <c r="A16" s="31"/>
      <c r="B16" s="55" t="s">
        <v>116</v>
      </c>
      <c r="C16" s="56">
        <v>1061</v>
      </c>
      <c r="D16" s="57">
        <v>6.9000000000000006E-2</v>
      </c>
      <c r="E16" s="31"/>
      <c r="F16" s="31"/>
    </row>
    <row r="17" spans="1:6" ht="16.5">
      <c r="A17" s="31"/>
      <c r="B17" s="55" t="s">
        <v>96</v>
      </c>
      <c r="C17" s="58">
        <v>382</v>
      </c>
      <c r="D17" s="57">
        <v>2.5000000000000001E-2</v>
      </c>
      <c r="E17" s="31"/>
      <c r="F17" s="31"/>
    </row>
    <row r="18" spans="1:6" ht="16.5">
      <c r="A18" s="31"/>
      <c r="B18" s="55" t="s">
        <v>107</v>
      </c>
      <c r="C18" s="58">
        <v>354</v>
      </c>
      <c r="D18" s="57">
        <v>2.3E-2</v>
      </c>
      <c r="E18" s="31"/>
      <c r="F18" s="31"/>
    </row>
    <row r="19" spans="1:6" ht="16.5">
      <c r="A19" s="31"/>
      <c r="B19" s="55" t="s">
        <v>121</v>
      </c>
      <c r="C19" s="58">
        <v>353</v>
      </c>
      <c r="D19" s="57">
        <v>2.3E-2</v>
      </c>
      <c r="E19" s="31"/>
      <c r="F19" s="31"/>
    </row>
    <row r="20" spans="1:6" ht="16.5">
      <c r="A20" s="31"/>
      <c r="B20" s="55" t="s">
        <v>104</v>
      </c>
      <c r="C20" s="58">
        <v>314</v>
      </c>
      <c r="D20" s="57">
        <v>0.02</v>
      </c>
      <c r="E20" s="31"/>
      <c r="F20" s="31"/>
    </row>
    <row r="21" spans="1:6" ht="16.5">
      <c r="A21" s="31"/>
      <c r="B21" s="55" t="s">
        <v>124</v>
      </c>
      <c r="C21" s="58">
        <v>311</v>
      </c>
      <c r="D21" s="57">
        <v>0.02</v>
      </c>
      <c r="E21" s="31"/>
      <c r="F21" s="31"/>
    </row>
    <row r="22" spans="1:6" ht="16.5">
      <c r="A22" s="31"/>
      <c r="B22" s="55" t="s">
        <v>120</v>
      </c>
      <c r="C22" s="58">
        <v>304</v>
      </c>
      <c r="D22" s="57">
        <v>0.02</v>
      </c>
      <c r="E22" s="31"/>
      <c r="F22" s="31"/>
    </row>
    <row r="23" spans="1:6" ht="16.5">
      <c r="A23" s="31"/>
      <c r="B23" s="55" t="s">
        <v>103</v>
      </c>
      <c r="C23" s="58">
        <v>244</v>
      </c>
      <c r="D23" s="57">
        <v>1.6E-2</v>
      </c>
      <c r="E23" s="31"/>
      <c r="F23" s="31"/>
    </row>
    <row r="24" spans="1:6" ht="16.5">
      <c r="A24" s="31"/>
      <c r="B24" s="55" t="s">
        <v>99</v>
      </c>
      <c r="C24" s="58">
        <v>201</v>
      </c>
      <c r="D24" s="57">
        <v>1.2999999999999999E-2</v>
      </c>
      <c r="E24" s="31"/>
      <c r="F24" s="31"/>
    </row>
    <row r="25" spans="1:6" ht="16.5">
      <c r="A25" s="31"/>
      <c r="B25" s="55" t="s">
        <v>134</v>
      </c>
      <c r="C25" s="58">
        <v>173</v>
      </c>
      <c r="D25" s="57">
        <v>1.0999999999999999E-2</v>
      </c>
      <c r="E25" s="31"/>
      <c r="F25" s="31"/>
    </row>
    <row r="26" spans="1:6" ht="16.5">
      <c r="A26" s="31"/>
      <c r="B26" s="55" t="s">
        <v>132</v>
      </c>
      <c r="C26" s="58">
        <v>158</v>
      </c>
      <c r="D26" s="57">
        <v>0.01</v>
      </c>
      <c r="E26" s="31"/>
      <c r="F26" s="31"/>
    </row>
    <row r="27" spans="1:6" ht="16.5">
      <c r="A27" s="31"/>
      <c r="B27" s="55" t="s">
        <v>130</v>
      </c>
      <c r="C27" s="58">
        <v>149</v>
      </c>
      <c r="D27" s="57">
        <v>0.01</v>
      </c>
      <c r="E27" s="31"/>
      <c r="F27" s="31"/>
    </row>
    <row r="28" spans="1:6" ht="16.5">
      <c r="A28" s="31"/>
      <c r="B28" s="55" t="s">
        <v>136</v>
      </c>
      <c r="C28" s="58">
        <v>129</v>
      </c>
      <c r="D28" s="57">
        <v>8.0000000000000002E-3</v>
      </c>
      <c r="E28" s="31"/>
      <c r="F28" s="31"/>
    </row>
    <row r="29" spans="1:6" ht="16.5">
      <c r="A29" s="31"/>
      <c r="B29" s="55" t="s">
        <v>115</v>
      </c>
      <c r="C29" s="58">
        <v>128</v>
      </c>
      <c r="D29" s="57">
        <v>8.0000000000000002E-3</v>
      </c>
      <c r="E29" s="31"/>
      <c r="F29" s="31"/>
    </row>
    <row r="30" spans="1:6" ht="16.5">
      <c r="A30" s="31"/>
      <c r="B30" s="55" t="s">
        <v>128</v>
      </c>
      <c r="C30" s="58">
        <v>116</v>
      </c>
      <c r="D30" s="57">
        <v>8.0000000000000002E-3</v>
      </c>
      <c r="E30" s="31"/>
      <c r="F30" s="31"/>
    </row>
    <row r="31" spans="1:6" ht="16.5">
      <c r="A31" s="31"/>
      <c r="B31" s="55" t="s">
        <v>97</v>
      </c>
      <c r="C31" s="58">
        <v>105</v>
      </c>
      <c r="D31" s="57">
        <v>7.0000000000000001E-3</v>
      </c>
      <c r="E31" s="31"/>
      <c r="F31" s="31"/>
    </row>
    <row r="32" spans="1:6" ht="16.5">
      <c r="A32" s="31"/>
      <c r="B32" s="55" t="s">
        <v>95</v>
      </c>
      <c r="C32" s="58">
        <v>98</v>
      </c>
      <c r="D32" s="57">
        <v>6.0000000000000001E-3</v>
      </c>
      <c r="E32" s="31"/>
      <c r="F32" s="31"/>
    </row>
    <row r="33" spans="1:6" ht="16.5">
      <c r="A33" s="31"/>
      <c r="B33" s="55" t="s">
        <v>126</v>
      </c>
      <c r="C33" s="58">
        <v>92</v>
      </c>
      <c r="D33" s="57">
        <v>6.0000000000000001E-3</v>
      </c>
      <c r="E33" s="31"/>
      <c r="F33" s="31"/>
    </row>
    <row r="34" spans="1:6" ht="16.5">
      <c r="A34" s="31"/>
      <c r="B34" s="55" t="s">
        <v>135</v>
      </c>
      <c r="C34" s="58">
        <v>91</v>
      </c>
      <c r="D34" s="57">
        <v>6.0000000000000001E-3</v>
      </c>
      <c r="E34" s="31"/>
      <c r="F34" s="31"/>
    </row>
    <row r="35" spans="1:6" ht="16.5">
      <c r="A35" s="31"/>
      <c r="B35" s="55" t="s">
        <v>74</v>
      </c>
      <c r="C35" s="58">
        <v>89</v>
      </c>
      <c r="D35" s="57">
        <v>6.0000000000000001E-3</v>
      </c>
      <c r="E35" s="31"/>
      <c r="F35" s="31"/>
    </row>
    <row r="36" spans="1:6" ht="16.5">
      <c r="A36" s="31"/>
      <c r="B36" s="55" t="s">
        <v>108</v>
      </c>
      <c r="C36" s="58">
        <v>84</v>
      </c>
      <c r="D36" s="57">
        <v>5.0000000000000001E-3</v>
      </c>
      <c r="E36" s="31"/>
      <c r="F36" s="31"/>
    </row>
    <row r="37" spans="1:6" ht="16.5">
      <c r="A37" s="31"/>
      <c r="B37" s="55" t="s">
        <v>118</v>
      </c>
      <c r="C37" s="58">
        <v>77</v>
      </c>
      <c r="D37" s="57">
        <v>5.0000000000000001E-3</v>
      </c>
      <c r="E37" s="31"/>
      <c r="F37" s="31"/>
    </row>
    <row r="38" spans="1:6" ht="16.5">
      <c r="A38" s="31"/>
      <c r="B38" s="55" t="s">
        <v>100</v>
      </c>
      <c r="C38" s="58">
        <v>72</v>
      </c>
      <c r="D38" s="57">
        <v>5.0000000000000001E-3</v>
      </c>
      <c r="E38" s="31"/>
      <c r="F38" s="31"/>
    </row>
    <row r="39" spans="1:6" ht="16.5">
      <c r="A39" s="31"/>
      <c r="B39" s="55" t="s">
        <v>119</v>
      </c>
      <c r="C39" s="58">
        <v>71</v>
      </c>
      <c r="D39" s="57">
        <v>5.0000000000000001E-3</v>
      </c>
      <c r="E39" s="31"/>
      <c r="F39" s="31"/>
    </row>
    <row r="40" spans="1:6" ht="16.5">
      <c r="A40" s="31"/>
      <c r="B40" s="55" t="s">
        <v>110</v>
      </c>
      <c r="C40" s="58">
        <v>67</v>
      </c>
      <c r="D40" s="57">
        <v>4.0000000000000001E-3</v>
      </c>
      <c r="E40" s="31"/>
      <c r="F40" s="31"/>
    </row>
    <row r="41" spans="1:6" ht="16.5">
      <c r="A41" s="31"/>
      <c r="B41" s="55" t="s">
        <v>127</v>
      </c>
      <c r="C41" s="58">
        <v>67</v>
      </c>
      <c r="D41" s="57">
        <v>4.0000000000000001E-3</v>
      </c>
      <c r="E41" s="31"/>
      <c r="F41" s="31"/>
    </row>
    <row r="42" spans="1:6" ht="16.5">
      <c r="A42" s="31"/>
      <c r="B42" s="55" t="s">
        <v>125</v>
      </c>
      <c r="C42" s="58">
        <v>64</v>
      </c>
      <c r="D42" s="57">
        <v>4.0000000000000001E-3</v>
      </c>
      <c r="E42" s="31"/>
      <c r="F42" s="31"/>
    </row>
    <row r="43" spans="1:6" ht="16.5">
      <c r="A43" s="31"/>
      <c r="B43" s="55" t="s">
        <v>105</v>
      </c>
      <c r="C43" s="58">
        <v>61</v>
      </c>
      <c r="D43" s="57">
        <v>4.0000000000000001E-3</v>
      </c>
      <c r="E43" s="31"/>
      <c r="F43" s="31"/>
    </row>
    <row r="44" spans="1:6" ht="16.5">
      <c r="A44" s="31"/>
      <c r="B44" s="55" t="s">
        <v>101</v>
      </c>
      <c r="C44" s="58">
        <v>60</v>
      </c>
      <c r="D44" s="57">
        <v>4.0000000000000001E-3</v>
      </c>
      <c r="E44" s="31"/>
      <c r="F44" s="31"/>
    </row>
    <row r="45" spans="1:6" ht="16.5">
      <c r="A45" s="31"/>
      <c r="B45" s="55" t="s">
        <v>109</v>
      </c>
      <c r="C45" s="58">
        <v>39</v>
      </c>
      <c r="D45" s="57">
        <v>3.0000000000000001E-3</v>
      </c>
      <c r="E45" s="31"/>
      <c r="F45" s="31"/>
    </row>
    <row r="46" spans="1:6" ht="16.5">
      <c r="A46" s="31"/>
      <c r="B46" s="55" t="s">
        <v>113</v>
      </c>
      <c r="C46" s="58">
        <v>29</v>
      </c>
      <c r="D46" s="57">
        <v>2E-3</v>
      </c>
      <c r="E46" s="31"/>
      <c r="F46" s="31"/>
    </row>
    <row r="47" spans="1:6" ht="16.5">
      <c r="A47" s="31"/>
      <c r="B47" s="55" t="s">
        <v>117</v>
      </c>
      <c r="C47" s="58">
        <v>26</v>
      </c>
      <c r="D47" s="57">
        <v>2E-3</v>
      </c>
      <c r="E47" s="31"/>
      <c r="F47" s="31"/>
    </row>
    <row r="48" spans="1:6" ht="16.5">
      <c r="A48" s="31"/>
      <c r="B48" s="55" t="s">
        <v>122</v>
      </c>
      <c r="C48" s="58">
        <v>20</v>
      </c>
      <c r="D48" s="57">
        <v>1E-3</v>
      </c>
      <c r="E48" s="31"/>
      <c r="F48" s="31"/>
    </row>
    <row r="49" spans="1:6" ht="16.5">
      <c r="A49" s="31"/>
      <c r="B49" s="55" t="s">
        <v>111</v>
      </c>
      <c r="C49" s="58">
        <v>17</v>
      </c>
      <c r="D49" s="57">
        <v>1E-3</v>
      </c>
      <c r="E49" s="31"/>
      <c r="F49" s="31"/>
    </row>
    <row r="50" spans="1:6" ht="16.5">
      <c r="A50" s="31"/>
      <c r="B50" s="55" t="s">
        <v>137</v>
      </c>
      <c r="C50" s="58">
        <v>7</v>
      </c>
      <c r="D50" s="57">
        <v>0</v>
      </c>
      <c r="E50" s="31"/>
      <c r="F50" s="31"/>
    </row>
    <row r="51" spans="1:6" ht="16.5">
      <c r="A51" s="31"/>
      <c r="B51" s="55" t="s">
        <v>102</v>
      </c>
      <c r="C51" s="58">
        <v>6</v>
      </c>
      <c r="D51" s="57">
        <v>0</v>
      </c>
      <c r="E51" s="31"/>
      <c r="F51" s="31"/>
    </row>
    <row r="52" spans="1:6" ht="16.5">
      <c r="A52" s="31"/>
      <c r="B52" s="55" t="s">
        <v>131</v>
      </c>
      <c r="C52" s="58">
        <v>5</v>
      </c>
      <c r="D52" s="57">
        <v>0</v>
      </c>
      <c r="E52" s="31"/>
      <c r="F52" s="31"/>
    </row>
    <row r="53" spans="1:6" ht="16.5">
      <c r="A53" s="31"/>
      <c r="B53" s="55" t="s">
        <v>255</v>
      </c>
      <c r="C53" s="58">
        <v>3</v>
      </c>
      <c r="D53" s="57">
        <v>0</v>
      </c>
      <c r="E53" s="31"/>
      <c r="F53" s="31"/>
    </row>
    <row r="54" spans="1:6" ht="16.5">
      <c r="A54" s="31"/>
      <c r="B54" s="55" t="s">
        <v>114</v>
      </c>
      <c r="C54" s="58">
        <v>3</v>
      </c>
      <c r="D54" s="57">
        <v>0</v>
      </c>
      <c r="E54" s="31"/>
      <c r="F54" s="31"/>
    </row>
    <row r="55" spans="1:6" ht="16.5">
      <c r="A55" s="31"/>
      <c r="B55" s="55" t="s">
        <v>129</v>
      </c>
      <c r="C55" s="58">
        <v>3</v>
      </c>
      <c r="D55" s="57">
        <v>0</v>
      </c>
      <c r="E55" s="31"/>
      <c r="F55" s="31"/>
    </row>
    <row r="56" spans="1:6" ht="16.5">
      <c r="A56" s="31"/>
      <c r="B56" s="55" t="s">
        <v>112</v>
      </c>
      <c r="C56" s="58">
        <v>1</v>
      </c>
      <c r="D56" s="57">
        <v>0</v>
      </c>
      <c r="E56" s="31"/>
      <c r="F56" s="31"/>
    </row>
    <row r="57" spans="1:6" ht="16.5">
      <c r="A57" s="31"/>
      <c r="B57" s="55" t="s">
        <v>256</v>
      </c>
      <c r="C57" s="58">
        <v>1</v>
      </c>
      <c r="D57" s="57">
        <v>0</v>
      </c>
      <c r="E57" s="31"/>
      <c r="F57" s="31"/>
    </row>
    <row r="58" spans="1:6" ht="16.5">
      <c r="A58" s="31"/>
      <c r="B58" s="59" t="s">
        <v>284</v>
      </c>
      <c r="C58" s="41">
        <v>15448</v>
      </c>
      <c r="D58" s="60">
        <v>1</v>
      </c>
      <c r="E58" s="31"/>
      <c r="F58" s="31"/>
    </row>
    <row r="59" spans="1:6" ht="16.5">
      <c r="A59" s="31"/>
      <c r="B59" s="32"/>
      <c r="C59" s="33"/>
      <c r="D59" s="31"/>
      <c r="E59" s="31"/>
      <c r="F59" s="31"/>
    </row>
    <row r="60" spans="1:6" ht="16.5">
      <c r="B60" s="32" t="s">
        <v>254</v>
      </c>
      <c r="C60" s="33"/>
      <c r="D60" s="31"/>
      <c r="E60" s="31"/>
      <c r="F60" s="31"/>
    </row>
    <row r="61" spans="1:6" ht="16.5">
      <c r="B61" s="34" t="s">
        <v>18</v>
      </c>
      <c r="C61" s="33"/>
      <c r="D61" s="31"/>
      <c r="E61" s="31"/>
      <c r="F61" s="31"/>
    </row>
    <row r="62" spans="1:6" ht="16.5">
      <c r="B62" s="35" t="s">
        <v>94</v>
      </c>
      <c r="C62" s="33"/>
      <c r="D62" s="31"/>
      <c r="E62" s="31"/>
      <c r="F62" s="31"/>
    </row>
    <row r="63" spans="1:6" ht="16.5">
      <c r="B63" s="32" t="s">
        <v>17</v>
      </c>
      <c r="C63" s="33"/>
      <c r="D63" s="31"/>
      <c r="E63" s="31"/>
      <c r="F63" s="31"/>
    </row>
    <row r="64" spans="1:6" ht="16.5">
      <c r="B64" s="32" t="s">
        <v>285</v>
      </c>
      <c r="C64" s="31"/>
      <c r="D64" s="31"/>
      <c r="E64" s="31"/>
      <c r="F64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topLeftCell="A44" zoomScale="115" zoomScaleNormal="100" zoomScaleSheetLayoutView="115" workbookViewId="0">
      <selection activeCell="C62" sqref="C6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35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9" t="s">
        <v>22</v>
      </c>
      <c r="C11" s="38" t="s">
        <v>20</v>
      </c>
      <c r="D11" s="39" t="s">
        <v>19</v>
      </c>
      <c r="E11" s="29"/>
      <c r="F11" s="29"/>
    </row>
    <row r="12" spans="1:6" ht="16.5">
      <c r="A12" s="31"/>
      <c r="B12" s="61" t="s">
        <v>44</v>
      </c>
      <c r="C12" s="62">
        <v>2936</v>
      </c>
      <c r="D12" s="63">
        <v>0.19005696530295199</v>
      </c>
      <c r="E12" s="31"/>
      <c r="F12" s="31"/>
    </row>
    <row r="13" spans="1:6" ht="16.5">
      <c r="A13" s="31"/>
      <c r="B13" s="61" t="s">
        <v>46</v>
      </c>
      <c r="C13" s="62">
        <v>1284</v>
      </c>
      <c r="D13" s="63">
        <v>8.3117555670637E-2</v>
      </c>
      <c r="E13" s="31"/>
      <c r="F13" s="31"/>
    </row>
    <row r="14" spans="1:6" ht="16.5">
      <c r="A14" s="31"/>
      <c r="B14" s="61" t="s">
        <v>47</v>
      </c>
      <c r="C14" s="62">
        <v>1280</v>
      </c>
      <c r="D14" s="63">
        <v>8.2858622475401003E-2</v>
      </c>
      <c r="E14" s="31"/>
      <c r="F14" s="31"/>
    </row>
    <row r="15" spans="1:6" ht="16.5">
      <c r="A15" s="31"/>
      <c r="B15" s="61" t="s">
        <v>48</v>
      </c>
      <c r="C15" s="62">
        <v>1262</v>
      </c>
      <c r="D15" s="63">
        <v>8.1693423096840995E-2</v>
      </c>
      <c r="E15" s="31"/>
      <c r="F15" s="31"/>
    </row>
    <row r="16" spans="1:6" ht="16.5">
      <c r="A16" s="31"/>
      <c r="B16" s="61" t="s">
        <v>45</v>
      </c>
      <c r="C16" s="62">
        <v>1064</v>
      </c>
      <c r="D16" s="63">
        <v>6.8876229932677002E-2</v>
      </c>
      <c r="E16" s="31"/>
      <c r="F16" s="31"/>
    </row>
    <row r="17" spans="1:6" ht="16.5">
      <c r="A17" s="31"/>
      <c r="B17" s="61" t="s">
        <v>49</v>
      </c>
      <c r="C17" s="62">
        <v>933</v>
      </c>
      <c r="D17" s="63">
        <v>6.0396167788711E-2</v>
      </c>
      <c r="E17" s="31"/>
      <c r="F17" s="31"/>
    </row>
    <row r="18" spans="1:6" ht="16.5">
      <c r="A18" s="31"/>
      <c r="B18" s="61" t="s">
        <v>50</v>
      </c>
      <c r="C18" s="62">
        <v>544</v>
      </c>
      <c r="D18" s="63">
        <v>3.5214914552045999E-2</v>
      </c>
      <c r="E18" s="31"/>
      <c r="F18" s="31"/>
    </row>
    <row r="19" spans="1:6" ht="16.5">
      <c r="A19" s="31"/>
      <c r="B19" s="61" t="s">
        <v>51</v>
      </c>
      <c r="C19" s="62">
        <v>533</v>
      </c>
      <c r="D19" s="63">
        <v>3.4502848265148003E-2</v>
      </c>
      <c r="E19" s="31"/>
      <c r="F19" s="31"/>
    </row>
    <row r="20" spans="1:6" ht="16.5">
      <c r="A20" s="31"/>
      <c r="B20" s="61" t="s">
        <v>52</v>
      </c>
      <c r="C20" s="62">
        <v>457</v>
      </c>
      <c r="D20" s="63">
        <v>2.9583117555671001E-2</v>
      </c>
      <c r="E20" s="31"/>
      <c r="F20" s="31"/>
    </row>
    <row r="21" spans="1:6" ht="16.5">
      <c r="A21" s="31"/>
      <c r="B21" s="61" t="s">
        <v>55</v>
      </c>
      <c r="C21" s="62">
        <v>399</v>
      </c>
      <c r="D21" s="63">
        <v>2.5828586224754001E-2</v>
      </c>
      <c r="E21" s="31"/>
      <c r="F21" s="31"/>
    </row>
    <row r="22" spans="1:6" ht="16.5">
      <c r="A22" s="31"/>
      <c r="B22" s="61" t="s">
        <v>53</v>
      </c>
      <c r="C22" s="62">
        <v>388</v>
      </c>
      <c r="D22" s="63">
        <v>2.5116519937856002E-2</v>
      </c>
      <c r="E22" s="31"/>
      <c r="F22" s="31"/>
    </row>
    <row r="23" spans="1:6" ht="16.5">
      <c r="A23" s="31"/>
      <c r="B23" s="61" t="s">
        <v>54</v>
      </c>
      <c r="C23" s="62">
        <v>371</v>
      </c>
      <c r="D23" s="63">
        <v>2.4016053858104999E-2</v>
      </c>
      <c r="E23" s="31"/>
      <c r="F23" s="31"/>
    </row>
    <row r="24" spans="1:6" ht="16.5">
      <c r="A24" s="31"/>
      <c r="B24" s="61" t="s">
        <v>56</v>
      </c>
      <c r="C24" s="62">
        <v>292</v>
      </c>
      <c r="D24" s="63">
        <v>1.8902123252201E-2</v>
      </c>
      <c r="E24" s="31"/>
      <c r="F24" s="31"/>
    </row>
    <row r="25" spans="1:6" ht="16.5">
      <c r="A25" s="31"/>
      <c r="B25" s="61" t="s">
        <v>58</v>
      </c>
      <c r="C25" s="62">
        <v>240</v>
      </c>
      <c r="D25" s="63">
        <v>1.5535991714137999E-2</v>
      </c>
      <c r="E25" s="31"/>
      <c r="F25" s="31"/>
    </row>
    <row r="26" spans="1:6" ht="16.5">
      <c r="A26" s="31"/>
      <c r="B26" s="61" t="s">
        <v>57</v>
      </c>
      <c r="C26" s="62">
        <v>225</v>
      </c>
      <c r="D26" s="63">
        <v>1.4564992232004E-2</v>
      </c>
      <c r="E26" s="31"/>
      <c r="F26" s="31"/>
    </row>
    <row r="27" spans="1:6" ht="16.5">
      <c r="A27" s="31"/>
      <c r="B27" s="61" t="s">
        <v>60</v>
      </c>
      <c r="C27" s="62">
        <v>212</v>
      </c>
      <c r="D27" s="63">
        <v>1.3723459347488001E-2</v>
      </c>
      <c r="E27" s="31"/>
      <c r="F27" s="31"/>
    </row>
    <row r="28" spans="1:6" ht="16.5">
      <c r="A28" s="31"/>
      <c r="B28" s="61" t="s">
        <v>59</v>
      </c>
      <c r="C28" s="62">
        <v>205</v>
      </c>
      <c r="D28" s="63">
        <v>1.3270326255826E-2</v>
      </c>
      <c r="E28" s="31"/>
      <c r="F28" s="31"/>
    </row>
    <row r="29" spans="1:6" ht="16.5">
      <c r="A29" s="31"/>
      <c r="B29" s="61" t="s">
        <v>61</v>
      </c>
      <c r="C29" s="62">
        <v>204</v>
      </c>
      <c r="D29" s="63">
        <v>1.3205592957017001E-2</v>
      </c>
      <c r="E29" s="31"/>
      <c r="F29" s="31"/>
    </row>
    <row r="30" spans="1:6" ht="16.5">
      <c r="A30" s="31"/>
      <c r="B30" s="61" t="s">
        <v>62</v>
      </c>
      <c r="C30" s="62">
        <v>199</v>
      </c>
      <c r="D30" s="63">
        <v>1.2881926462973E-2</v>
      </c>
      <c r="E30" s="31"/>
      <c r="F30" s="31"/>
    </row>
    <row r="31" spans="1:6" ht="16.5">
      <c r="A31" s="31"/>
      <c r="B31" s="61" t="s">
        <v>82</v>
      </c>
      <c r="C31" s="62">
        <v>189</v>
      </c>
      <c r="D31" s="63">
        <v>1.2234593474882999E-2</v>
      </c>
      <c r="E31" s="31"/>
      <c r="F31" s="31"/>
    </row>
    <row r="32" spans="1:6" ht="16.5">
      <c r="A32" s="31"/>
      <c r="B32" s="61" t="s">
        <v>71</v>
      </c>
      <c r="C32" s="62">
        <v>178</v>
      </c>
      <c r="D32" s="63">
        <v>1.1522527187985999E-2</v>
      </c>
      <c r="E32" s="31"/>
      <c r="F32" s="31"/>
    </row>
    <row r="33" spans="1:6" ht="16.5">
      <c r="A33" s="31"/>
      <c r="B33" s="61" t="s">
        <v>68</v>
      </c>
      <c r="C33" s="62">
        <v>168</v>
      </c>
      <c r="D33" s="63">
        <v>1.0875194199896E-2</v>
      </c>
      <c r="E33" s="31"/>
      <c r="F33" s="31"/>
    </row>
    <row r="34" spans="1:6" ht="16.5">
      <c r="A34" s="31"/>
      <c r="B34" s="61" t="s">
        <v>64</v>
      </c>
      <c r="C34" s="62">
        <v>165</v>
      </c>
      <c r="D34" s="63">
        <v>1.068099430347E-2</v>
      </c>
      <c r="E34" s="31"/>
      <c r="F34" s="31"/>
    </row>
    <row r="35" spans="1:6" ht="16.5">
      <c r="A35" s="31"/>
      <c r="B35" s="61" t="s">
        <v>63</v>
      </c>
      <c r="C35" s="62">
        <v>155</v>
      </c>
      <c r="D35" s="63">
        <v>1.0033661315381E-2</v>
      </c>
      <c r="E35" s="31"/>
      <c r="F35" s="31"/>
    </row>
    <row r="36" spans="1:6" ht="16.5">
      <c r="A36" s="31"/>
      <c r="B36" s="61" t="s">
        <v>73</v>
      </c>
      <c r="C36" s="62">
        <v>145</v>
      </c>
      <c r="D36" s="63">
        <v>9.3863283272920001E-3</v>
      </c>
      <c r="E36" s="31"/>
      <c r="F36" s="31"/>
    </row>
    <row r="37" spans="1:6" ht="16.5">
      <c r="A37" s="31"/>
      <c r="B37" s="61" t="s">
        <v>66</v>
      </c>
      <c r="C37" s="62">
        <v>135</v>
      </c>
      <c r="D37" s="63">
        <v>8.7389953392019992E-3</v>
      </c>
      <c r="E37" s="31"/>
      <c r="F37" s="31"/>
    </row>
    <row r="38" spans="1:6" ht="16.5">
      <c r="A38" s="31"/>
      <c r="B38" s="61" t="s">
        <v>70</v>
      </c>
      <c r="C38" s="62">
        <v>127</v>
      </c>
      <c r="D38" s="63">
        <v>8.2211289487309994E-3</v>
      </c>
      <c r="E38" s="31"/>
      <c r="F38" s="31"/>
    </row>
    <row r="39" spans="1:6" ht="16.5">
      <c r="A39" s="31"/>
      <c r="B39" s="61" t="s">
        <v>65</v>
      </c>
      <c r="C39" s="62">
        <v>121</v>
      </c>
      <c r="D39" s="63">
        <v>7.8327291558779998E-3</v>
      </c>
      <c r="E39" s="31"/>
      <c r="F39" s="31"/>
    </row>
    <row r="40" spans="1:6" ht="16.5">
      <c r="A40" s="31"/>
      <c r="B40" s="61" t="s">
        <v>67</v>
      </c>
      <c r="C40" s="62">
        <v>116</v>
      </c>
      <c r="D40" s="63">
        <v>7.5090626618330002E-3</v>
      </c>
      <c r="E40" s="31"/>
      <c r="F40" s="31"/>
    </row>
    <row r="41" spans="1:6" ht="16.5">
      <c r="A41" s="31"/>
      <c r="B41" s="61" t="s">
        <v>69</v>
      </c>
      <c r="C41" s="62">
        <v>115</v>
      </c>
      <c r="D41" s="63">
        <v>7.4443293630240001E-3</v>
      </c>
      <c r="E41" s="31"/>
      <c r="F41" s="31"/>
    </row>
    <row r="42" spans="1:6" ht="16.5">
      <c r="A42" s="31"/>
      <c r="B42" s="61" t="s">
        <v>74</v>
      </c>
      <c r="C42" s="62">
        <v>109</v>
      </c>
      <c r="D42" s="63">
        <v>7.0559295701709997E-3</v>
      </c>
      <c r="E42" s="31"/>
      <c r="F42" s="31"/>
    </row>
    <row r="43" spans="1:6" ht="16.5">
      <c r="A43" s="31"/>
      <c r="B43" s="61" t="s">
        <v>72</v>
      </c>
      <c r="C43" s="62">
        <v>96</v>
      </c>
      <c r="D43" s="63">
        <v>6.2143966856550003E-3</v>
      </c>
      <c r="E43" s="31"/>
      <c r="F43" s="31"/>
    </row>
    <row r="44" spans="1:6" ht="16.5">
      <c r="A44" s="31"/>
      <c r="B44" s="61" t="s">
        <v>75</v>
      </c>
      <c r="C44" s="62">
        <v>95</v>
      </c>
      <c r="D44" s="63">
        <v>6.1496633868460002E-3</v>
      </c>
      <c r="E44" s="31"/>
      <c r="F44" s="31"/>
    </row>
    <row r="45" spans="1:6" ht="16.5">
      <c r="A45" s="31"/>
      <c r="B45" s="61" t="s">
        <v>77</v>
      </c>
      <c r="C45" s="62">
        <v>85</v>
      </c>
      <c r="D45" s="63">
        <v>5.5023303987570002E-3</v>
      </c>
      <c r="E45" s="31"/>
      <c r="F45" s="31"/>
    </row>
    <row r="46" spans="1:6" ht="16.5">
      <c r="A46" s="31"/>
      <c r="B46" s="61" t="s">
        <v>76</v>
      </c>
      <c r="C46" s="62">
        <v>78</v>
      </c>
      <c r="D46" s="63">
        <v>5.0491973070949997E-3</v>
      </c>
      <c r="E46" s="31"/>
      <c r="F46" s="31"/>
    </row>
    <row r="47" spans="1:6" ht="16.5">
      <c r="A47" s="31"/>
      <c r="B47" s="61" t="s">
        <v>78</v>
      </c>
      <c r="C47" s="62">
        <v>71</v>
      </c>
      <c r="D47" s="63">
        <v>4.5960642154319999E-3</v>
      </c>
      <c r="E47" s="31"/>
      <c r="F47" s="31"/>
    </row>
    <row r="48" spans="1:6" ht="16.5">
      <c r="A48" s="31"/>
      <c r="B48" s="61" t="s">
        <v>83</v>
      </c>
      <c r="C48" s="62">
        <v>59</v>
      </c>
      <c r="D48" s="63">
        <v>3.8192646297259998E-3</v>
      </c>
      <c r="E48" s="31"/>
      <c r="F48" s="31"/>
    </row>
    <row r="49" spans="1:6" ht="16.5">
      <c r="A49" s="31"/>
      <c r="B49" s="61" t="s">
        <v>80</v>
      </c>
      <c r="C49" s="62">
        <v>58</v>
      </c>
      <c r="D49" s="63">
        <v>3.7545313309170002E-3</v>
      </c>
      <c r="E49" s="31"/>
      <c r="F49" s="31"/>
    </row>
    <row r="50" spans="1:6" ht="16.5">
      <c r="A50" s="31"/>
      <c r="B50" s="61" t="s">
        <v>79</v>
      </c>
      <c r="C50" s="62">
        <v>46</v>
      </c>
      <c r="D50" s="63">
        <v>2.97773174521E-3</v>
      </c>
      <c r="E50" s="31"/>
      <c r="F50" s="31"/>
    </row>
    <row r="51" spans="1:6" ht="16.5">
      <c r="A51" s="31"/>
      <c r="B51" s="61" t="s">
        <v>81</v>
      </c>
      <c r="C51" s="62">
        <v>35</v>
      </c>
      <c r="D51" s="63">
        <v>2.2656654583119999E-3</v>
      </c>
      <c r="E51" s="31"/>
      <c r="F51" s="31"/>
    </row>
    <row r="52" spans="1:6" ht="16.5">
      <c r="A52" s="31"/>
      <c r="B52" s="61" t="s">
        <v>84</v>
      </c>
      <c r="C52" s="62">
        <v>19</v>
      </c>
      <c r="D52" s="63">
        <v>1.2299326773690001E-3</v>
      </c>
      <c r="E52" s="31"/>
      <c r="F52" s="31"/>
    </row>
    <row r="53" spans="1:6" ht="16.5">
      <c r="A53" s="31"/>
      <c r="B53" s="61" t="s">
        <v>85</v>
      </c>
      <c r="C53" s="62">
        <v>16</v>
      </c>
      <c r="D53" s="63">
        <v>1.0357327809430001E-3</v>
      </c>
      <c r="E53" s="31"/>
      <c r="F53" s="31"/>
    </row>
    <row r="54" spans="1:6" ht="16.5">
      <c r="A54" s="31"/>
      <c r="B54" s="61" t="s">
        <v>88</v>
      </c>
      <c r="C54" s="62">
        <v>12</v>
      </c>
      <c r="D54" s="63">
        <v>7.7679958570700005E-4</v>
      </c>
      <c r="E54" s="31"/>
      <c r="F54" s="31"/>
    </row>
    <row r="55" spans="1:6" ht="16.5">
      <c r="A55" s="31"/>
      <c r="B55" s="61" t="s">
        <v>86</v>
      </c>
      <c r="C55" s="62">
        <v>10</v>
      </c>
      <c r="D55" s="63">
        <v>6.4733298808899997E-4</v>
      </c>
      <c r="E55" s="31"/>
      <c r="F55" s="31"/>
    </row>
    <row r="56" spans="1:6" ht="16.5">
      <c r="A56" s="31"/>
      <c r="B56" s="61" t="s">
        <v>87</v>
      </c>
      <c r="C56" s="62">
        <v>6</v>
      </c>
      <c r="D56" s="63">
        <v>3.8839979285299999E-4</v>
      </c>
      <c r="E56" s="31"/>
      <c r="F56" s="31"/>
    </row>
    <row r="57" spans="1:6" ht="16.5">
      <c r="A57" s="31"/>
      <c r="B57" s="61" t="s">
        <v>90</v>
      </c>
      <c r="C57" s="62">
        <v>4</v>
      </c>
      <c r="D57" s="63">
        <v>2.5893319523599998E-4</v>
      </c>
      <c r="E57" s="31"/>
      <c r="F57" s="31"/>
    </row>
    <row r="58" spans="1:6" ht="16.5">
      <c r="A58" s="31"/>
      <c r="B58" s="61" t="s">
        <v>92</v>
      </c>
      <c r="C58" s="62">
        <v>3</v>
      </c>
      <c r="D58" s="63">
        <v>1.94199896427E-4</v>
      </c>
      <c r="E58" s="31"/>
      <c r="F58" s="31"/>
    </row>
    <row r="59" spans="1:6" ht="16.5">
      <c r="A59" s="31"/>
      <c r="B59" s="61" t="s">
        <v>91</v>
      </c>
      <c r="C59" s="62">
        <v>2</v>
      </c>
      <c r="D59" s="63">
        <v>1.2946659761799999E-4</v>
      </c>
      <c r="E59" s="31"/>
      <c r="F59" s="31"/>
    </row>
    <row r="60" spans="1:6" ht="16.5">
      <c r="A60" s="31"/>
      <c r="B60" s="61" t="s">
        <v>89</v>
      </c>
      <c r="C60" s="62">
        <v>1</v>
      </c>
      <c r="D60" s="63">
        <v>6.4733298808999996E-5</v>
      </c>
      <c r="E60" s="31"/>
      <c r="F60" s="31"/>
    </row>
    <row r="61" spans="1:6" ht="16.5">
      <c r="A61" s="31"/>
      <c r="B61" s="61" t="s">
        <v>93</v>
      </c>
      <c r="C61" s="62">
        <v>1</v>
      </c>
      <c r="D61" s="63">
        <v>6.4733298808999996E-5</v>
      </c>
      <c r="E61" s="31"/>
      <c r="F61" s="31"/>
    </row>
    <row r="62" spans="1:6" ht="16.5">
      <c r="A62" s="31"/>
      <c r="B62" s="64" t="s">
        <v>286</v>
      </c>
      <c r="C62" s="65">
        <v>15448</v>
      </c>
      <c r="D62" s="66">
        <v>1</v>
      </c>
      <c r="E62" s="31"/>
      <c r="F62" s="31"/>
    </row>
    <row r="63" spans="1:6" ht="16.5">
      <c r="A63" s="31"/>
      <c r="B63" s="31"/>
      <c r="C63" s="33"/>
      <c r="D63" s="31"/>
      <c r="E63" s="31"/>
      <c r="F63" s="31"/>
    </row>
    <row r="64" spans="1:6" ht="16.5">
      <c r="A64" s="31"/>
      <c r="B64" s="32" t="s">
        <v>254</v>
      </c>
      <c r="C64" s="36"/>
      <c r="D64" s="31"/>
      <c r="E64" s="31"/>
      <c r="F64" s="31"/>
    </row>
    <row r="65" spans="1:6" ht="16.5">
      <c r="A65" s="31"/>
      <c r="B65" s="34" t="s">
        <v>18</v>
      </c>
      <c r="C65" s="36"/>
      <c r="D65" s="31"/>
      <c r="E65" s="31"/>
      <c r="F65" s="31"/>
    </row>
    <row r="66" spans="1:6" ht="16.5">
      <c r="A66" s="31"/>
      <c r="B66" s="35" t="s">
        <v>94</v>
      </c>
      <c r="C66" s="36"/>
      <c r="D66" s="31"/>
      <c r="E66" s="31"/>
      <c r="F66" s="31"/>
    </row>
    <row r="67" spans="1:6" ht="16.5">
      <c r="A67" s="31"/>
      <c r="B67" s="32" t="s">
        <v>17</v>
      </c>
      <c r="C67" s="36"/>
      <c r="D67" s="31"/>
      <c r="E67" s="31"/>
      <c r="F67" s="31"/>
    </row>
    <row r="68" spans="1:6" ht="16.5">
      <c r="A68" s="31"/>
      <c r="B68" s="32" t="s">
        <v>285</v>
      </c>
      <c r="C68" s="36"/>
      <c r="D68" s="31"/>
      <c r="E68" s="31"/>
      <c r="F68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J7" sqref="J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41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7" t="s">
        <v>22</v>
      </c>
      <c r="C11" s="38" t="s">
        <v>20</v>
      </c>
      <c r="D11" s="39" t="s">
        <v>19</v>
      </c>
      <c r="E11" s="29"/>
      <c r="F11" s="29"/>
    </row>
    <row r="12" spans="1:6" ht="16.5">
      <c r="A12" s="31"/>
      <c r="B12" s="61" t="s">
        <v>44</v>
      </c>
      <c r="C12" s="62">
        <v>2936</v>
      </c>
      <c r="D12" s="63">
        <f t="shared" ref="D12:D22" si="0">C12/$C$22</f>
        <v>0.27459783015338574</v>
      </c>
      <c r="E12" s="31"/>
      <c r="F12" s="31"/>
    </row>
    <row r="13" spans="1:6" ht="16.5">
      <c r="A13" s="31"/>
      <c r="B13" s="61" t="s">
        <v>46</v>
      </c>
      <c r="C13" s="62">
        <v>1284</v>
      </c>
      <c r="D13" s="63">
        <f t="shared" si="0"/>
        <v>0.12008978675645342</v>
      </c>
      <c r="E13" s="31"/>
      <c r="F13" s="31"/>
    </row>
    <row r="14" spans="1:6" ht="16.5">
      <c r="A14" s="31"/>
      <c r="B14" s="61" t="s">
        <v>47</v>
      </c>
      <c r="C14" s="62">
        <v>1280</v>
      </c>
      <c r="D14" s="63">
        <f t="shared" si="0"/>
        <v>0.11971567527123082</v>
      </c>
      <c r="E14" s="31"/>
      <c r="F14" s="31"/>
    </row>
    <row r="15" spans="1:6" ht="16.5">
      <c r="A15" s="31"/>
      <c r="B15" s="61" t="s">
        <v>48</v>
      </c>
      <c r="C15" s="62">
        <v>1262</v>
      </c>
      <c r="D15" s="63">
        <f t="shared" si="0"/>
        <v>0.11803217358772915</v>
      </c>
      <c r="E15" s="31"/>
      <c r="F15" s="31"/>
    </row>
    <row r="16" spans="1:6" ht="16.5">
      <c r="A16" s="31"/>
      <c r="B16" s="61" t="s">
        <v>45</v>
      </c>
      <c r="C16" s="62">
        <v>1064</v>
      </c>
      <c r="D16" s="63">
        <f t="shared" si="0"/>
        <v>9.951365506921063E-2</v>
      </c>
      <c r="E16" s="31"/>
      <c r="F16" s="31"/>
    </row>
    <row r="17" spans="1:6" ht="16.5">
      <c r="A17" s="31"/>
      <c r="B17" s="61" t="s">
        <v>49</v>
      </c>
      <c r="C17" s="62">
        <v>933</v>
      </c>
      <c r="D17" s="63">
        <f t="shared" si="0"/>
        <v>8.72615039281706E-2</v>
      </c>
      <c r="E17" s="31"/>
      <c r="F17" s="31"/>
    </row>
    <row r="18" spans="1:6" ht="16.5">
      <c r="A18" s="31"/>
      <c r="B18" s="61" t="s">
        <v>50</v>
      </c>
      <c r="C18" s="62">
        <v>544</v>
      </c>
      <c r="D18" s="63">
        <f t="shared" si="0"/>
        <v>5.0879161990273099E-2</v>
      </c>
      <c r="E18" s="31"/>
      <c r="F18" s="31"/>
    </row>
    <row r="19" spans="1:6" ht="16.5">
      <c r="A19" s="31"/>
      <c r="B19" s="61" t="s">
        <v>51</v>
      </c>
      <c r="C19" s="62">
        <v>533</v>
      </c>
      <c r="D19" s="63">
        <f t="shared" si="0"/>
        <v>4.9850355405910964E-2</v>
      </c>
      <c r="E19" s="31"/>
      <c r="F19" s="31"/>
    </row>
    <row r="20" spans="1:6" ht="16.5">
      <c r="A20" s="31"/>
      <c r="B20" s="61" t="s">
        <v>52</v>
      </c>
      <c r="C20" s="62">
        <v>457</v>
      </c>
      <c r="D20" s="63">
        <f t="shared" si="0"/>
        <v>4.2742237186681631E-2</v>
      </c>
      <c r="E20" s="31"/>
      <c r="F20" s="31"/>
    </row>
    <row r="21" spans="1:6" ht="16.5">
      <c r="A21" s="31"/>
      <c r="B21" s="61" t="s">
        <v>55</v>
      </c>
      <c r="C21" s="62">
        <v>399</v>
      </c>
      <c r="D21" s="63">
        <f t="shared" si="0"/>
        <v>3.7317620650953981E-2</v>
      </c>
      <c r="E21" s="31"/>
      <c r="F21" s="31"/>
    </row>
    <row r="22" spans="1:6" ht="16.5">
      <c r="A22" s="31"/>
      <c r="B22" s="68" t="s">
        <v>42</v>
      </c>
      <c r="C22" s="69">
        <f>SUM(C12:C21)</f>
        <v>10692</v>
      </c>
      <c r="D22" s="63">
        <f t="shared" si="0"/>
        <v>1</v>
      </c>
      <c r="E22" s="31"/>
      <c r="F22" s="31"/>
    </row>
    <row r="23" spans="1:6" ht="16.5">
      <c r="A23" s="31"/>
      <c r="B23" s="40" t="s">
        <v>43</v>
      </c>
      <c r="C23" s="41">
        <v>15448</v>
      </c>
      <c r="D23" s="67"/>
      <c r="E23" s="31"/>
      <c r="F23" s="31"/>
    </row>
    <row r="24" spans="1:6" ht="16.5">
      <c r="A24" s="31"/>
      <c r="B24" s="32"/>
      <c r="C24" s="33"/>
      <c r="D24" s="31"/>
      <c r="E24" s="31"/>
      <c r="F24" s="31"/>
    </row>
    <row r="25" spans="1:6" ht="16.5">
      <c r="B25" s="32" t="s">
        <v>254</v>
      </c>
      <c r="C25" s="33"/>
      <c r="D25" s="31"/>
      <c r="E25" s="31"/>
      <c r="F25" s="31"/>
    </row>
    <row r="26" spans="1:6" ht="16.5">
      <c r="B26" s="34" t="s">
        <v>18</v>
      </c>
      <c r="C26" s="33"/>
      <c r="D26" s="31"/>
      <c r="E26" s="31"/>
      <c r="F26" s="31"/>
    </row>
    <row r="27" spans="1:6" ht="16.5">
      <c r="B27" s="35" t="s">
        <v>94</v>
      </c>
      <c r="C27" s="33"/>
      <c r="D27" s="31"/>
      <c r="E27" s="31"/>
      <c r="F27" s="31"/>
    </row>
    <row r="28" spans="1:6" ht="16.5">
      <c r="B28" s="32" t="s">
        <v>17</v>
      </c>
      <c r="C28" s="33"/>
      <c r="D28" s="31"/>
      <c r="E28" s="31"/>
      <c r="F28" s="31"/>
    </row>
    <row r="29" spans="1:6" ht="16.5">
      <c r="B29" s="32" t="s">
        <v>285</v>
      </c>
      <c r="C29" s="33"/>
      <c r="D29" s="31"/>
      <c r="E29" s="31"/>
      <c r="F29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56"/>
  <sheetViews>
    <sheetView showGridLines="0" view="pageBreakPreview" topLeftCell="A32" zoomScale="115" zoomScaleNormal="100" zoomScaleSheetLayoutView="115" workbookViewId="0">
      <selection activeCell="D50" sqref="D50"/>
    </sheetView>
  </sheetViews>
  <sheetFormatPr baseColWidth="10" defaultColWidth="11.42578125" defaultRowHeight="15"/>
  <cols>
    <col min="1" max="1" width="9.28515625" style="13" customWidth="1"/>
    <col min="2" max="2" width="32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140625" style="13" customWidth="1"/>
    <col min="7" max="7" width="10.7109375" style="13" customWidth="1"/>
    <col min="8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39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7" t="s">
        <v>23</v>
      </c>
      <c r="C11" s="38" t="s">
        <v>20</v>
      </c>
      <c r="D11" s="39" t="s">
        <v>19</v>
      </c>
      <c r="E11" s="29"/>
      <c r="F11" s="29"/>
    </row>
    <row r="12" spans="1:6" ht="16.5">
      <c r="A12" s="31"/>
      <c r="B12" s="55" t="s">
        <v>144</v>
      </c>
      <c r="C12" s="62">
        <v>3587</v>
      </c>
      <c r="D12" s="63">
        <v>0.232198342827551</v>
      </c>
      <c r="E12" s="31"/>
      <c r="F12" s="31"/>
    </row>
    <row r="13" spans="1:6" ht="16.5">
      <c r="A13" s="31"/>
      <c r="B13" s="55" t="s">
        <v>143</v>
      </c>
      <c r="C13" s="62">
        <v>2239</v>
      </c>
      <c r="D13" s="63">
        <v>0.14493785603314299</v>
      </c>
      <c r="E13" s="31"/>
      <c r="F13" s="31"/>
    </row>
    <row r="14" spans="1:6" ht="16.5">
      <c r="A14" s="31"/>
      <c r="B14" s="55" t="s">
        <v>147</v>
      </c>
      <c r="C14" s="62">
        <v>913</v>
      </c>
      <c r="D14" s="63">
        <v>5.9101501812532001E-2</v>
      </c>
      <c r="E14" s="31"/>
      <c r="F14" s="31"/>
    </row>
    <row r="15" spans="1:6" ht="16.5">
      <c r="A15" s="31"/>
      <c r="B15" s="55" t="s">
        <v>142</v>
      </c>
      <c r="C15" s="62">
        <v>820</v>
      </c>
      <c r="D15" s="63">
        <v>5.3081305023304E-2</v>
      </c>
      <c r="E15" s="31"/>
      <c r="F15" s="31"/>
    </row>
    <row r="16" spans="1:6" ht="16.5">
      <c r="A16" s="31"/>
      <c r="B16" s="55" t="s">
        <v>141</v>
      </c>
      <c r="C16" s="62">
        <v>743</v>
      </c>
      <c r="D16" s="63">
        <v>4.8096841015018002E-2</v>
      </c>
      <c r="E16" s="31"/>
      <c r="F16" s="31"/>
    </row>
    <row r="17" spans="1:6" ht="16.5">
      <c r="A17" s="31"/>
      <c r="B17" s="55" t="s">
        <v>156</v>
      </c>
      <c r="C17" s="62">
        <v>634</v>
      </c>
      <c r="D17" s="63">
        <v>4.1040911444846999E-2</v>
      </c>
      <c r="E17" s="31"/>
      <c r="F17" s="31"/>
    </row>
    <row r="18" spans="1:6" ht="16.5">
      <c r="A18" s="31"/>
      <c r="B18" s="55" t="s">
        <v>150</v>
      </c>
      <c r="C18" s="62">
        <v>579</v>
      </c>
      <c r="D18" s="63">
        <v>3.7480580010356999E-2</v>
      </c>
      <c r="E18" s="31"/>
      <c r="F18" s="31"/>
    </row>
    <row r="19" spans="1:6" ht="16.5">
      <c r="A19" s="31"/>
      <c r="B19" s="55" t="s">
        <v>155</v>
      </c>
      <c r="C19" s="62">
        <v>577</v>
      </c>
      <c r="D19" s="63">
        <v>3.735111341274E-2</v>
      </c>
      <c r="E19" s="31"/>
      <c r="F19" s="31"/>
    </row>
    <row r="20" spans="1:6" ht="16.5">
      <c r="A20" s="31"/>
      <c r="B20" s="55" t="s">
        <v>149</v>
      </c>
      <c r="C20" s="62">
        <v>548</v>
      </c>
      <c r="D20" s="63">
        <v>3.5473847747280997E-2</v>
      </c>
      <c r="E20" s="31"/>
      <c r="F20" s="31"/>
    </row>
    <row r="21" spans="1:6" ht="16.5">
      <c r="A21" s="31"/>
      <c r="B21" s="55" t="s">
        <v>154</v>
      </c>
      <c r="C21" s="62">
        <v>405</v>
      </c>
      <c r="D21" s="63">
        <v>2.6216986017607E-2</v>
      </c>
      <c r="E21" s="31"/>
      <c r="F21" s="31"/>
    </row>
    <row r="22" spans="1:6" ht="16.5">
      <c r="A22" s="31"/>
      <c r="B22" s="55" t="s">
        <v>164</v>
      </c>
      <c r="C22" s="62">
        <v>398</v>
      </c>
      <c r="D22" s="63">
        <v>2.5763852925945002E-2</v>
      </c>
      <c r="E22" s="31"/>
      <c r="F22" s="31"/>
    </row>
    <row r="23" spans="1:6" ht="16.5">
      <c r="A23" s="31"/>
      <c r="B23" s="55" t="s">
        <v>153</v>
      </c>
      <c r="C23" s="62">
        <v>319</v>
      </c>
      <c r="D23" s="63">
        <v>2.0649922320040998E-2</v>
      </c>
      <c r="E23" s="31"/>
      <c r="F23" s="31"/>
    </row>
    <row r="24" spans="1:6" ht="16.5">
      <c r="A24" s="31"/>
      <c r="B24" s="55" t="s">
        <v>146</v>
      </c>
      <c r="C24" s="62">
        <v>305</v>
      </c>
      <c r="D24" s="63">
        <v>1.9743656136717001E-2</v>
      </c>
      <c r="E24" s="31"/>
      <c r="F24" s="31"/>
    </row>
    <row r="25" spans="1:6" ht="16.5">
      <c r="A25" s="31"/>
      <c r="B25" s="55" t="s">
        <v>145</v>
      </c>
      <c r="C25" s="62">
        <v>304</v>
      </c>
      <c r="D25" s="63">
        <v>1.9678922837908001E-2</v>
      </c>
      <c r="E25" s="31"/>
      <c r="F25" s="31"/>
    </row>
    <row r="26" spans="1:6" ht="16.5">
      <c r="A26" s="31"/>
      <c r="B26" s="55" t="s">
        <v>162</v>
      </c>
      <c r="C26" s="62">
        <v>284</v>
      </c>
      <c r="D26" s="63">
        <v>1.8384256861730001E-2</v>
      </c>
      <c r="E26" s="31"/>
      <c r="F26" s="31"/>
    </row>
    <row r="27" spans="1:6" ht="16.5">
      <c r="A27" s="31"/>
      <c r="B27" s="55" t="s">
        <v>165</v>
      </c>
      <c r="C27" s="62">
        <v>277</v>
      </c>
      <c r="D27" s="63">
        <v>1.7931123770067E-2</v>
      </c>
      <c r="E27" s="31"/>
      <c r="F27" s="31"/>
    </row>
    <row r="28" spans="1:6" ht="16.5">
      <c r="A28" s="31"/>
      <c r="B28" s="55" t="s">
        <v>148</v>
      </c>
      <c r="C28" s="62">
        <v>252</v>
      </c>
      <c r="D28" s="63">
        <v>1.6312791299845E-2</v>
      </c>
      <c r="E28" s="31"/>
      <c r="F28" s="31"/>
    </row>
    <row r="29" spans="1:6" ht="16.5">
      <c r="A29" s="31"/>
      <c r="B29" s="55" t="s">
        <v>167</v>
      </c>
      <c r="C29" s="62">
        <v>252</v>
      </c>
      <c r="D29" s="63">
        <v>1.6312791299845E-2</v>
      </c>
      <c r="E29" s="31"/>
      <c r="F29" s="31"/>
    </row>
    <row r="30" spans="1:6" ht="16.5">
      <c r="A30" s="31"/>
      <c r="B30" s="55" t="s">
        <v>166</v>
      </c>
      <c r="C30" s="62">
        <v>232</v>
      </c>
      <c r="D30" s="63">
        <v>1.5018125323666E-2</v>
      </c>
      <c r="E30" s="31"/>
      <c r="F30" s="31"/>
    </row>
    <row r="31" spans="1:6" ht="16.5">
      <c r="A31" s="31"/>
      <c r="B31" s="55" t="s">
        <v>157</v>
      </c>
      <c r="C31" s="62">
        <v>198</v>
      </c>
      <c r="D31" s="63">
        <v>1.2817193164163999E-2</v>
      </c>
      <c r="E31" s="31"/>
      <c r="F31" s="31"/>
    </row>
    <row r="32" spans="1:6" ht="16.5">
      <c r="A32" s="31"/>
      <c r="B32" s="55" t="s">
        <v>159</v>
      </c>
      <c r="C32" s="62">
        <v>197</v>
      </c>
      <c r="D32" s="63">
        <v>1.2752459865355E-2</v>
      </c>
      <c r="E32" s="31"/>
      <c r="F32" s="31"/>
    </row>
    <row r="33" spans="1:6" ht="16.5">
      <c r="A33" s="31"/>
      <c r="B33" s="55" t="s">
        <v>140</v>
      </c>
      <c r="C33" s="62">
        <v>187</v>
      </c>
      <c r="D33" s="63">
        <v>1.2105126877266E-2</v>
      </c>
      <c r="E33" s="31"/>
      <c r="F33" s="31"/>
    </row>
    <row r="34" spans="1:6" ht="16.5">
      <c r="A34" s="31"/>
      <c r="B34" s="55" t="s">
        <v>160</v>
      </c>
      <c r="C34" s="62">
        <v>183</v>
      </c>
      <c r="D34" s="63">
        <v>1.184619368203E-2</v>
      </c>
      <c r="E34" s="31"/>
      <c r="F34" s="31"/>
    </row>
    <row r="35" spans="1:6" ht="16.5">
      <c r="A35" s="31"/>
      <c r="B35" s="55" t="s">
        <v>152</v>
      </c>
      <c r="C35" s="62">
        <v>165</v>
      </c>
      <c r="D35" s="63">
        <v>1.068099430347E-2</v>
      </c>
      <c r="E35" s="31"/>
      <c r="F35" s="31"/>
    </row>
    <row r="36" spans="1:6" ht="16.5">
      <c r="A36" s="31"/>
      <c r="B36" s="55" t="s">
        <v>151</v>
      </c>
      <c r="C36" s="62">
        <v>139</v>
      </c>
      <c r="D36" s="63">
        <v>8.9979285344379996E-3</v>
      </c>
      <c r="E36" s="31"/>
      <c r="F36" s="31"/>
    </row>
    <row r="37" spans="1:6" ht="16.5">
      <c r="A37" s="31"/>
      <c r="B37" s="55" t="s">
        <v>169</v>
      </c>
      <c r="C37" s="62">
        <v>123</v>
      </c>
      <c r="D37" s="63">
        <v>7.962195753496E-3</v>
      </c>
      <c r="E37" s="31"/>
      <c r="F37" s="31"/>
    </row>
    <row r="38" spans="1:6" ht="16.5">
      <c r="A38" s="31"/>
      <c r="B38" s="55" t="s">
        <v>161</v>
      </c>
      <c r="C38" s="62">
        <v>122</v>
      </c>
      <c r="D38" s="63">
        <v>7.8974624546870008E-3</v>
      </c>
      <c r="E38" s="31"/>
      <c r="F38" s="31"/>
    </row>
    <row r="39" spans="1:6" ht="16.5">
      <c r="A39" s="31"/>
      <c r="B39" s="55" t="s">
        <v>257</v>
      </c>
      <c r="C39" s="62">
        <v>113</v>
      </c>
      <c r="D39" s="63">
        <v>7.314862765407E-3</v>
      </c>
      <c r="E39" s="31"/>
      <c r="F39" s="31"/>
    </row>
    <row r="40" spans="1:6" ht="16.5">
      <c r="A40" s="31"/>
      <c r="B40" s="55" t="s">
        <v>163</v>
      </c>
      <c r="C40" s="62">
        <v>79</v>
      </c>
      <c r="D40" s="63">
        <v>5.1139306059039998E-3</v>
      </c>
      <c r="E40" s="31"/>
      <c r="F40" s="31"/>
    </row>
    <row r="41" spans="1:6" ht="16.5">
      <c r="A41" s="31"/>
      <c r="B41" s="55" t="s">
        <v>170</v>
      </c>
      <c r="C41" s="62">
        <v>74</v>
      </c>
      <c r="D41" s="63">
        <v>4.7902641118590002E-3</v>
      </c>
      <c r="E41" s="31"/>
      <c r="F41" s="31"/>
    </row>
    <row r="42" spans="1:6" ht="16.5">
      <c r="A42" s="31"/>
      <c r="B42" s="55" t="s">
        <v>168</v>
      </c>
      <c r="C42" s="62">
        <v>74</v>
      </c>
      <c r="D42" s="63">
        <v>4.7902641118590002E-3</v>
      </c>
      <c r="E42" s="31"/>
      <c r="F42" s="31"/>
    </row>
    <row r="43" spans="1:6" ht="16.5">
      <c r="A43" s="31"/>
      <c r="B43" s="55" t="s">
        <v>175</v>
      </c>
      <c r="C43" s="62">
        <v>50</v>
      </c>
      <c r="D43" s="63">
        <v>3.2366649404449999E-3</v>
      </c>
      <c r="E43" s="31"/>
      <c r="F43" s="31"/>
    </row>
    <row r="44" spans="1:6" ht="16.5">
      <c r="A44" s="31"/>
      <c r="B44" s="55" t="s">
        <v>174</v>
      </c>
      <c r="C44" s="62">
        <v>35</v>
      </c>
      <c r="D44" s="63">
        <v>2.2656654583119999E-3</v>
      </c>
      <c r="E44" s="31"/>
      <c r="F44" s="31"/>
    </row>
    <row r="45" spans="1:6" ht="16.5">
      <c r="A45" s="31"/>
      <c r="B45" s="55" t="s">
        <v>158</v>
      </c>
      <c r="C45" s="62">
        <v>23</v>
      </c>
      <c r="D45" s="63">
        <v>1.488865872605E-3</v>
      </c>
      <c r="E45" s="31"/>
      <c r="F45" s="31"/>
    </row>
    <row r="46" spans="1:6" ht="16.5">
      <c r="A46" s="31"/>
      <c r="B46" s="55" t="s">
        <v>173</v>
      </c>
      <c r="C46" s="62">
        <v>10</v>
      </c>
      <c r="D46" s="63">
        <v>6.4733298808899997E-4</v>
      </c>
      <c r="E46" s="31"/>
      <c r="F46" s="31"/>
    </row>
    <row r="47" spans="1:6" ht="16.5">
      <c r="A47" s="31"/>
      <c r="B47" s="55" t="s">
        <v>171</v>
      </c>
      <c r="C47" s="62">
        <v>4</v>
      </c>
      <c r="D47" s="63">
        <v>2.5893319523599998E-4</v>
      </c>
      <c r="E47" s="31"/>
      <c r="F47" s="31"/>
    </row>
    <row r="48" spans="1:6" ht="16.5">
      <c r="A48" s="31"/>
      <c r="B48" s="55" t="s">
        <v>258</v>
      </c>
      <c r="C48" s="62">
        <v>3</v>
      </c>
      <c r="D48" s="63">
        <v>1.94199896427E-4</v>
      </c>
      <c r="E48" s="31"/>
      <c r="F48" s="31"/>
    </row>
    <row r="49" spans="1:6" ht="16.5">
      <c r="A49" s="31"/>
      <c r="B49" s="55" t="s">
        <v>172</v>
      </c>
      <c r="C49" s="62">
        <v>1</v>
      </c>
      <c r="D49" s="63">
        <v>6.4733298808999996E-5</v>
      </c>
      <c r="E49" s="31"/>
      <c r="F49" s="31"/>
    </row>
    <row r="50" spans="1:6" ht="16.5">
      <c r="A50" s="31"/>
      <c r="B50" s="70" t="s">
        <v>287</v>
      </c>
      <c r="C50" s="65">
        <v>15448</v>
      </c>
      <c r="D50" s="66">
        <v>1</v>
      </c>
      <c r="E50" s="31"/>
      <c r="F50" s="31"/>
    </row>
    <row r="51" spans="1:6" ht="16.5">
      <c r="A51" s="31"/>
      <c r="B51" s="31"/>
      <c r="C51" s="33"/>
      <c r="D51" s="31"/>
      <c r="E51" s="31"/>
      <c r="F51" s="31"/>
    </row>
    <row r="52" spans="1:6" ht="16.5">
      <c r="A52" s="36"/>
      <c r="B52" s="32" t="s">
        <v>254</v>
      </c>
      <c r="C52" s="36"/>
      <c r="D52" s="31"/>
      <c r="E52" s="31"/>
      <c r="F52" s="31"/>
    </row>
    <row r="53" spans="1:6" ht="16.5">
      <c r="A53" s="36"/>
      <c r="B53" s="34" t="s">
        <v>18</v>
      </c>
      <c r="C53" s="36"/>
      <c r="D53" s="31"/>
      <c r="E53" s="31"/>
      <c r="F53" s="31"/>
    </row>
    <row r="54" spans="1:6" ht="16.5">
      <c r="A54" s="36"/>
      <c r="B54" s="35" t="s">
        <v>94</v>
      </c>
      <c r="C54" s="36"/>
      <c r="D54" s="31"/>
      <c r="E54" s="31"/>
      <c r="F54" s="31"/>
    </row>
    <row r="55" spans="1:6" ht="16.5">
      <c r="A55" s="36"/>
      <c r="B55" s="32" t="s">
        <v>17</v>
      </c>
      <c r="C55" s="36"/>
      <c r="D55" s="31"/>
      <c r="E55" s="31"/>
      <c r="F55" s="31"/>
    </row>
    <row r="56" spans="1:6" ht="16.5">
      <c r="A56" s="36"/>
      <c r="B56" s="32" t="s">
        <v>285</v>
      </c>
      <c r="C56" s="36"/>
      <c r="D56" s="31"/>
      <c r="E56" s="31"/>
      <c r="F56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38"/>
  <sheetViews>
    <sheetView showGridLines="0" view="pageBreakPreview" topLeftCell="A903" zoomScale="115" zoomScaleNormal="100" zoomScaleSheetLayoutView="115" workbookViewId="0">
      <selection activeCell="E932" sqref="E932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4.140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93"/>
      <c r="C7" s="93"/>
      <c r="D7" s="93"/>
      <c r="E7" s="93"/>
    </row>
    <row r="8" spans="1:5" s="21" customFormat="1" ht="33" customHeight="1">
      <c r="A8" s="22"/>
      <c r="B8" s="93"/>
      <c r="C8" s="93"/>
      <c r="D8" s="93"/>
      <c r="E8" s="93"/>
    </row>
    <row r="9" spans="1:5" s="15" customFormat="1" ht="40.5" customHeight="1">
      <c r="B9" s="44" t="s">
        <v>25</v>
      </c>
      <c r="C9" s="45" t="s">
        <v>24</v>
      </c>
      <c r="D9" s="46" t="s">
        <v>20</v>
      </c>
      <c r="E9" s="44" t="s">
        <v>19</v>
      </c>
    </row>
    <row r="10" spans="1:5" ht="15" customHeight="1">
      <c r="B10" s="89" t="s">
        <v>98</v>
      </c>
      <c r="C10" s="55" t="s">
        <v>144</v>
      </c>
      <c r="D10" s="56">
        <v>1058</v>
      </c>
      <c r="E10" s="57">
        <v>6.8000000000000005E-2</v>
      </c>
    </row>
    <row r="11" spans="1:5" ht="15" customHeight="1">
      <c r="B11" s="90"/>
      <c r="C11" s="55" t="s">
        <v>143</v>
      </c>
      <c r="D11" s="58">
        <v>602</v>
      </c>
      <c r="E11" s="57">
        <v>3.9E-2</v>
      </c>
    </row>
    <row r="12" spans="1:5" ht="15" customHeight="1">
      <c r="B12" s="90"/>
      <c r="C12" s="55" t="s">
        <v>147</v>
      </c>
      <c r="D12" s="58">
        <v>272</v>
      </c>
      <c r="E12" s="57">
        <v>1.7999999999999999E-2</v>
      </c>
    </row>
    <row r="13" spans="1:5" ht="15" customHeight="1">
      <c r="B13" s="90"/>
      <c r="C13" s="55" t="s">
        <v>142</v>
      </c>
      <c r="D13" s="58">
        <v>235</v>
      </c>
      <c r="E13" s="57">
        <v>1.4999999999999999E-2</v>
      </c>
    </row>
    <row r="14" spans="1:5" ht="15" customHeight="1">
      <c r="B14" s="90"/>
      <c r="C14" s="55" t="s">
        <v>155</v>
      </c>
      <c r="D14" s="58">
        <v>210</v>
      </c>
      <c r="E14" s="57">
        <v>1.4E-2</v>
      </c>
    </row>
    <row r="15" spans="1:5" ht="15" customHeight="1">
      <c r="B15" s="90"/>
      <c r="C15" s="55" t="s">
        <v>156</v>
      </c>
      <c r="D15" s="58">
        <v>205</v>
      </c>
      <c r="E15" s="57">
        <v>1.2999999999999999E-2</v>
      </c>
    </row>
    <row r="16" spans="1:5" ht="15" customHeight="1">
      <c r="B16" s="90"/>
      <c r="C16" s="55" t="s">
        <v>149</v>
      </c>
      <c r="D16" s="58">
        <v>195</v>
      </c>
      <c r="E16" s="57">
        <v>1.2999999999999999E-2</v>
      </c>
    </row>
    <row r="17" spans="2:5" ht="15" customHeight="1">
      <c r="B17" s="90"/>
      <c r="C17" s="55" t="s">
        <v>150</v>
      </c>
      <c r="D17" s="58">
        <v>138</v>
      </c>
      <c r="E17" s="57">
        <v>8.9999999999999993E-3</v>
      </c>
    </row>
    <row r="18" spans="2:5" ht="15" customHeight="1">
      <c r="B18" s="90"/>
      <c r="C18" s="55" t="s">
        <v>141</v>
      </c>
      <c r="D18" s="58">
        <v>116</v>
      </c>
      <c r="E18" s="57">
        <v>8.0000000000000002E-3</v>
      </c>
    </row>
    <row r="19" spans="2:5" ht="15" customHeight="1">
      <c r="B19" s="90"/>
      <c r="C19" s="55" t="s">
        <v>164</v>
      </c>
      <c r="D19" s="58">
        <v>106</v>
      </c>
      <c r="E19" s="57">
        <v>7.0000000000000001E-3</v>
      </c>
    </row>
    <row r="20" spans="2:5" ht="15" customHeight="1">
      <c r="B20" s="90"/>
      <c r="C20" s="55" t="s">
        <v>146</v>
      </c>
      <c r="D20" s="58">
        <v>103</v>
      </c>
      <c r="E20" s="57">
        <v>7.0000000000000001E-3</v>
      </c>
    </row>
    <row r="21" spans="2:5" ht="15" customHeight="1">
      <c r="B21" s="90"/>
      <c r="C21" s="55" t="s">
        <v>154</v>
      </c>
      <c r="D21" s="58">
        <v>96</v>
      </c>
      <c r="E21" s="57">
        <v>6.0000000000000001E-3</v>
      </c>
    </row>
    <row r="22" spans="2:5" ht="15" customHeight="1">
      <c r="B22" s="90"/>
      <c r="C22" s="55" t="s">
        <v>153</v>
      </c>
      <c r="D22" s="58">
        <v>93</v>
      </c>
      <c r="E22" s="57">
        <v>6.0000000000000001E-3</v>
      </c>
    </row>
    <row r="23" spans="2:5" ht="15" customHeight="1">
      <c r="B23" s="90"/>
      <c r="C23" s="55" t="s">
        <v>145</v>
      </c>
      <c r="D23" s="58">
        <v>92</v>
      </c>
      <c r="E23" s="57">
        <v>6.0000000000000001E-3</v>
      </c>
    </row>
    <row r="24" spans="2:5" ht="15" customHeight="1">
      <c r="B24" s="90"/>
      <c r="C24" s="55" t="s">
        <v>162</v>
      </c>
      <c r="D24" s="58">
        <v>77</v>
      </c>
      <c r="E24" s="57">
        <v>5.0000000000000001E-3</v>
      </c>
    </row>
    <row r="25" spans="2:5" ht="15" customHeight="1">
      <c r="B25" s="90"/>
      <c r="C25" s="55" t="s">
        <v>166</v>
      </c>
      <c r="D25" s="58">
        <v>66</v>
      </c>
      <c r="E25" s="57">
        <v>4.0000000000000001E-3</v>
      </c>
    </row>
    <row r="26" spans="2:5" ht="15" customHeight="1">
      <c r="B26" s="90"/>
      <c r="C26" s="55" t="s">
        <v>151</v>
      </c>
      <c r="D26" s="58">
        <v>59</v>
      </c>
      <c r="E26" s="57">
        <v>4.0000000000000001E-3</v>
      </c>
    </row>
    <row r="27" spans="2:5" ht="15" customHeight="1">
      <c r="B27" s="90"/>
      <c r="C27" s="55" t="s">
        <v>152</v>
      </c>
      <c r="D27" s="58">
        <v>57</v>
      </c>
      <c r="E27" s="57">
        <v>4.0000000000000001E-3</v>
      </c>
    </row>
    <row r="28" spans="2:5" ht="15" customHeight="1">
      <c r="B28" s="90"/>
      <c r="C28" s="55" t="s">
        <v>140</v>
      </c>
      <c r="D28" s="58">
        <v>52</v>
      </c>
      <c r="E28" s="57">
        <v>3.0000000000000001E-3</v>
      </c>
    </row>
    <row r="29" spans="2:5" ht="15" customHeight="1">
      <c r="B29" s="90"/>
      <c r="C29" s="55" t="s">
        <v>167</v>
      </c>
      <c r="D29" s="58">
        <v>51</v>
      </c>
      <c r="E29" s="57">
        <v>3.0000000000000001E-3</v>
      </c>
    </row>
    <row r="30" spans="2:5" ht="15" customHeight="1">
      <c r="B30" s="90"/>
      <c r="C30" s="55" t="s">
        <v>148</v>
      </c>
      <c r="D30" s="58">
        <v>47</v>
      </c>
      <c r="E30" s="57">
        <v>3.0000000000000001E-3</v>
      </c>
    </row>
    <row r="31" spans="2:5" ht="15" customHeight="1">
      <c r="B31" s="90"/>
      <c r="C31" s="55" t="s">
        <v>157</v>
      </c>
      <c r="D31" s="58">
        <v>42</v>
      </c>
      <c r="E31" s="57">
        <v>3.0000000000000001E-3</v>
      </c>
    </row>
    <row r="32" spans="2:5" ht="15" customHeight="1">
      <c r="B32" s="90"/>
      <c r="C32" s="55" t="s">
        <v>165</v>
      </c>
      <c r="D32" s="58">
        <v>42</v>
      </c>
      <c r="E32" s="57">
        <v>3.0000000000000001E-3</v>
      </c>
    </row>
    <row r="33" spans="2:5" ht="15" customHeight="1">
      <c r="B33" s="90"/>
      <c r="C33" s="55" t="s">
        <v>159</v>
      </c>
      <c r="D33" s="58">
        <v>32</v>
      </c>
      <c r="E33" s="57">
        <v>2E-3</v>
      </c>
    </row>
    <row r="34" spans="2:5" ht="15" customHeight="1">
      <c r="B34" s="90"/>
      <c r="C34" s="55" t="s">
        <v>161</v>
      </c>
      <c r="D34" s="58">
        <v>31</v>
      </c>
      <c r="E34" s="57">
        <v>2E-3</v>
      </c>
    </row>
    <row r="35" spans="2:5" ht="15" customHeight="1">
      <c r="B35" s="90"/>
      <c r="C35" s="55" t="s">
        <v>168</v>
      </c>
      <c r="D35" s="58">
        <v>22</v>
      </c>
      <c r="E35" s="57">
        <v>1E-3</v>
      </c>
    </row>
    <row r="36" spans="2:5" ht="15" customHeight="1">
      <c r="B36" s="90"/>
      <c r="C36" s="55" t="s">
        <v>160</v>
      </c>
      <c r="D36" s="58">
        <v>21</v>
      </c>
      <c r="E36" s="57">
        <v>1E-3</v>
      </c>
    </row>
    <row r="37" spans="2:5" ht="15" customHeight="1">
      <c r="B37" s="90"/>
      <c r="C37" s="55" t="s">
        <v>169</v>
      </c>
      <c r="D37" s="58">
        <v>20</v>
      </c>
      <c r="E37" s="57">
        <v>1E-3</v>
      </c>
    </row>
    <row r="38" spans="2:5" ht="15" customHeight="1">
      <c r="B38" s="90"/>
      <c r="C38" s="55" t="s">
        <v>257</v>
      </c>
      <c r="D38" s="58">
        <v>19</v>
      </c>
      <c r="E38" s="57">
        <v>1E-3</v>
      </c>
    </row>
    <row r="39" spans="2:5" ht="15" customHeight="1">
      <c r="B39" s="90"/>
      <c r="C39" s="55" t="s">
        <v>174</v>
      </c>
      <c r="D39" s="58">
        <v>16</v>
      </c>
      <c r="E39" s="57">
        <v>1E-3</v>
      </c>
    </row>
    <row r="40" spans="2:5" ht="15" customHeight="1">
      <c r="B40" s="90"/>
      <c r="C40" s="55" t="s">
        <v>175</v>
      </c>
      <c r="D40" s="58">
        <v>16</v>
      </c>
      <c r="E40" s="57">
        <v>1E-3</v>
      </c>
    </row>
    <row r="41" spans="2:5" ht="15" customHeight="1">
      <c r="B41" s="90"/>
      <c r="C41" s="55" t="s">
        <v>158</v>
      </c>
      <c r="D41" s="58">
        <v>14</v>
      </c>
      <c r="E41" s="57">
        <v>1E-3</v>
      </c>
    </row>
    <row r="42" spans="2:5" ht="15" customHeight="1">
      <c r="B42" s="90"/>
      <c r="C42" s="55" t="s">
        <v>170</v>
      </c>
      <c r="D42" s="58">
        <v>13</v>
      </c>
      <c r="E42" s="57">
        <v>1E-3</v>
      </c>
    </row>
    <row r="43" spans="2:5" ht="15" customHeight="1">
      <c r="B43" s="90"/>
      <c r="C43" s="55" t="s">
        <v>163</v>
      </c>
      <c r="D43" s="58">
        <v>10</v>
      </c>
      <c r="E43" s="57">
        <v>1E-3</v>
      </c>
    </row>
    <row r="44" spans="2:5" ht="15" customHeight="1">
      <c r="B44" s="90"/>
      <c r="C44" s="55" t="s">
        <v>171</v>
      </c>
      <c r="D44" s="58">
        <v>2</v>
      </c>
      <c r="E44" s="57">
        <v>0</v>
      </c>
    </row>
    <row r="45" spans="2:5" ht="15" customHeight="1">
      <c r="B45" s="90"/>
      <c r="C45" s="55" t="s">
        <v>172</v>
      </c>
      <c r="D45" s="58">
        <v>1</v>
      </c>
      <c r="E45" s="57">
        <v>0</v>
      </c>
    </row>
    <row r="46" spans="2:5" ht="15" customHeight="1">
      <c r="B46" s="90"/>
      <c r="C46" s="55" t="s">
        <v>173</v>
      </c>
      <c r="D46" s="58">
        <v>1</v>
      </c>
      <c r="E46" s="57">
        <v>0</v>
      </c>
    </row>
    <row r="47" spans="2:5" ht="15" customHeight="1">
      <c r="B47" s="90"/>
      <c r="C47" s="55" t="s">
        <v>258</v>
      </c>
      <c r="D47" s="58">
        <v>1</v>
      </c>
      <c r="E47" s="57">
        <v>0</v>
      </c>
    </row>
    <row r="48" spans="2:5" ht="15" customHeight="1">
      <c r="B48" s="91"/>
      <c r="C48" s="72" t="s">
        <v>284</v>
      </c>
      <c r="D48" s="69">
        <v>4233</v>
      </c>
      <c r="E48" s="71">
        <v>0.27400000000000002</v>
      </c>
    </row>
    <row r="49" spans="2:5" ht="15" customHeight="1">
      <c r="B49" s="89" t="s">
        <v>106</v>
      </c>
      <c r="C49" s="55" t="s">
        <v>144</v>
      </c>
      <c r="D49" s="58">
        <v>842</v>
      </c>
      <c r="E49" s="57">
        <v>5.5E-2</v>
      </c>
    </row>
    <row r="50" spans="2:5" ht="15" customHeight="1">
      <c r="B50" s="90"/>
      <c r="C50" s="55" t="s">
        <v>143</v>
      </c>
      <c r="D50" s="58">
        <v>272</v>
      </c>
      <c r="E50" s="57">
        <v>1.7999999999999999E-2</v>
      </c>
    </row>
    <row r="51" spans="2:5" ht="15" customHeight="1">
      <c r="B51" s="90"/>
      <c r="C51" s="55" t="s">
        <v>147</v>
      </c>
      <c r="D51" s="58">
        <v>243</v>
      </c>
      <c r="E51" s="57">
        <v>1.6E-2</v>
      </c>
    </row>
    <row r="52" spans="2:5" ht="15" customHeight="1">
      <c r="B52" s="90"/>
      <c r="C52" s="55" t="s">
        <v>149</v>
      </c>
      <c r="D52" s="58">
        <v>156</v>
      </c>
      <c r="E52" s="57">
        <v>0.01</v>
      </c>
    </row>
    <row r="53" spans="2:5" ht="15" customHeight="1">
      <c r="B53" s="90"/>
      <c r="C53" s="55" t="s">
        <v>155</v>
      </c>
      <c r="D53" s="58">
        <v>147</v>
      </c>
      <c r="E53" s="57">
        <v>0.01</v>
      </c>
    </row>
    <row r="54" spans="2:5" ht="15" customHeight="1">
      <c r="B54" s="90"/>
      <c r="C54" s="55" t="s">
        <v>150</v>
      </c>
      <c r="D54" s="58">
        <v>140</v>
      </c>
      <c r="E54" s="57">
        <v>8.9999999999999993E-3</v>
      </c>
    </row>
    <row r="55" spans="2:5" ht="15" customHeight="1">
      <c r="B55" s="90"/>
      <c r="C55" s="55" t="s">
        <v>156</v>
      </c>
      <c r="D55" s="58">
        <v>125</v>
      </c>
      <c r="E55" s="57">
        <v>8.0000000000000002E-3</v>
      </c>
    </row>
    <row r="56" spans="2:5" ht="15" customHeight="1">
      <c r="B56" s="90"/>
      <c r="C56" s="55" t="s">
        <v>154</v>
      </c>
      <c r="D56" s="58">
        <v>98</v>
      </c>
      <c r="E56" s="57">
        <v>6.0000000000000001E-3</v>
      </c>
    </row>
    <row r="57" spans="2:5" ht="15" customHeight="1">
      <c r="B57" s="90"/>
      <c r="C57" s="55" t="s">
        <v>142</v>
      </c>
      <c r="D57" s="58">
        <v>86</v>
      </c>
      <c r="E57" s="57">
        <v>6.0000000000000001E-3</v>
      </c>
    </row>
    <row r="58" spans="2:5" ht="15" customHeight="1">
      <c r="B58" s="90"/>
      <c r="C58" s="55" t="s">
        <v>153</v>
      </c>
      <c r="D58" s="58">
        <v>75</v>
      </c>
      <c r="E58" s="57">
        <v>5.0000000000000001E-3</v>
      </c>
    </row>
    <row r="59" spans="2:5" ht="15" customHeight="1">
      <c r="B59" s="90"/>
      <c r="C59" s="55" t="s">
        <v>146</v>
      </c>
      <c r="D59" s="58">
        <v>69</v>
      </c>
      <c r="E59" s="57">
        <v>4.0000000000000001E-3</v>
      </c>
    </row>
    <row r="60" spans="2:5" ht="15" customHeight="1">
      <c r="B60" s="90"/>
      <c r="C60" s="55" t="s">
        <v>141</v>
      </c>
      <c r="D60" s="58">
        <v>68</v>
      </c>
      <c r="E60" s="57">
        <v>4.0000000000000001E-3</v>
      </c>
    </row>
    <row r="61" spans="2:5" ht="15" customHeight="1">
      <c r="B61" s="90"/>
      <c r="C61" s="55" t="s">
        <v>166</v>
      </c>
      <c r="D61" s="58">
        <v>52</v>
      </c>
      <c r="E61" s="57">
        <v>3.0000000000000001E-3</v>
      </c>
    </row>
    <row r="62" spans="2:5" ht="15" customHeight="1">
      <c r="B62" s="90"/>
      <c r="C62" s="55" t="s">
        <v>145</v>
      </c>
      <c r="D62" s="58">
        <v>51</v>
      </c>
      <c r="E62" s="57">
        <v>3.0000000000000001E-3</v>
      </c>
    </row>
    <row r="63" spans="2:5" ht="15" customHeight="1">
      <c r="B63" s="90"/>
      <c r="C63" s="55" t="s">
        <v>140</v>
      </c>
      <c r="D63" s="58">
        <v>42</v>
      </c>
      <c r="E63" s="57">
        <v>3.0000000000000001E-3</v>
      </c>
    </row>
    <row r="64" spans="2:5" ht="15" customHeight="1">
      <c r="B64" s="90"/>
      <c r="C64" s="55" t="s">
        <v>164</v>
      </c>
      <c r="D64" s="58">
        <v>35</v>
      </c>
      <c r="E64" s="57">
        <v>2E-3</v>
      </c>
    </row>
    <row r="65" spans="2:5" ht="15" customHeight="1">
      <c r="B65" s="90"/>
      <c r="C65" s="55" t="s">
        <v>161</v>
      </c>
      <c r="D65" s="58">
        <v>31</v>
      </c>
      <c r="E65" s="57">
        <v>2E-3</v>
      </c>
    </row>
    <row r="66" spans="2:5" ht="15" customHeight="1">
      <c r="B66" s="90"/>
      <c r="C66" s="55" t="s">
        <v>162</v>
      </c>
      <c r="D66" s="58">
        <v>30</v>
      </c>
      <c r="E66" s="57">
        <v>2E-3</v>
      </c>
    </row>
    <row r="67" spans="2:5" ht="15" customHeight="1">
      <c r="B67" s="90"/>
      <c r="C67" s="55" t="s">
        <v>152</v>
      </c>
      <c r="D67" s="58">
        <v>27</v>
      </c>
      <c r="E67" s="57">
        <v>2E-3</v>
      </c>
    </row>
    <row r="68" spans="2:5" ht="15" customHeight="1">
      <c r="B68" s="90"/>
      <c r="C68" s="55" t="s">
        <v>167</v>
      </c>
      <c r="D68" s="58">
        <v>19</v>
      </c>
      <c r="E68" s="57">
        <v>1E-3</v>
      </c>
    </row>
    <row r="69" spans="2:5" ht="15" customHeight="1">
      <c r="B69" s="90"/>
      <c r="C69" s="55" t="s">
        <v>151</v>
      </c>
      <c r="D69" s="58">
        <v>17</v>
      </c>
      <c r="E69" s="57">
        <v>1E-3</v>
      </c>
    </row>
    <row r="70" spans="2:5" ht="15" customHeight="1">
      <c r="B70" s="90"/>
      <c r="C70" s="55" t="s">
        <v>169</v>
      </c>
      <c r="D70" s="58">
        <v>13</v>
      </c>
      <c r="E70" s="57">
        <v>1E-3</v>
      </c>
    </row>
    <row r="71" spans="2:5" ht="15" customHeight="1">
      <c r="B71" s="90"/>
      <c r="C71" s="55" t="s">
        <v>157</v>
      </c>
      <c r="D71" s="58">
        <v>11</v>
      </c>
      <c r="E71" s="57">
        <v>1E-3</v>
      </c>
    </row>
    <row r="72" spans="2:5" ht="15" customHeight="1">
      <c r="B72" s="90"/>
      <c r="C72" s="55" t="s">
        <v>160</v>
      </c>
      <c r="D72" s="58">
        <v>10</v>
      </c>
      <c r="E72" s="57">
        <v>1E-3</v>
      </c>
    </row>
    <row r="73" spans="2:5" ht="15" customHeight="1">
      <c r="B73" s="90"/>
      <c r="C73" s="55" t="s">
        <v>165</v>
      </c>
      <c r="D73" s="58">
        <v>10</v>
      </c>
      <c r="E73" s="57">
        <v>1E-3</v>
      </c>
    </row>
    <row r="74" spans="2:5" ht="15" customHeight="1">
      <c r="B74" s="90"/>
      <c r="C74" s="55" t="s">
        <v>170</v>
      </c>
      <c r="D74" s="58">
        <v>10</v>
      </c>
      <c r="E74" s="57">
        <v>1E-3</v>
      </c>
    </row>
    <row r="75" spans="2:5" ht="15" customHeight="1">
      <c r="B75" s="90"/>
      <c r="C75" s="55" t="s">
        <v>159</v>
      </c>
      <c r="D75" s="58">
        <v>8</v>
      </c>
      <c r="E75" s="57">
        <v>1E-3</v>
      </c>
    </row>
    <row r="76" spans="2:5" ht="15" customHeight="1">
      <c r="B76" s="90"/>
      <c r="C76" s="55" t="s">
        <v>148</v>
      </c>
      <c r="D76" s="58">
        <v>7</v>
      </c>
      <c r="E76" s="57">
        <v>0</v>
      </c>
    </row>
    <row r="77" spans="2:5" ht="15" customHeight="1">
      <c r="B77" s="90"/>
      <c r="C77" s="55" t="s">
        <v>163</v>
      </c>
      <c r="D77" s="58">
        <v>5</v>
      </c>
      <c r="E77" s="57">
        <v>0</v>
      </c>
    </row>
    <row r="78" spans="2:5" ht="15" customHeight="1">
      <c r="B78" s="90"/>
      <c r="C78" s="55" t="s">
        <v>174</v>
      </c>
      <c r="D78" s="58">
        <v>3</v>
      </c>
      <c r="E78" s="57">
        <v>0</v>
      </c>
    </row>
    <row r="79" spans="2:5" ht="15" customHeight="1">
      <c r="B79" s="90"/>
      <c r="C79" s="55" t="s">
        <v>168</v>
      </c>
      <c r="D79" s="58">
        <v>3</v>
      </c>
      <c r="E79" s="57">
        <v>0</v>
      </c>
    </row>
    <row r="80" spans="2:5" ht="15" customHeight="1">
      <c r="B80" s="90"/>
      <c r="C80" s="55" t="s">
        <v>158</v>
      </c>
      <c r="D80" s="58">
        <v>2</v>
      </c>
      <c r="E80" s="57">
        <v>0</v>
      </c>
    </row>
    <row r="81" spans="2:5" ht="15" customHeight="1">
      <c r="B81" s="90"/>
      <c r="C81" s="55" t="s">
        <v>175</v>
      </c>
      <c r="D81" s="58">
        <v>1</v>
      </c>
      <c r="E81" s="57">
        <v>0</v>
      </c>
    </row>
    <row r="82" spans="2:5" ht="15" customHeight="1">
      <c r="B82" s="91"/>
      <c r="C82" s="72" t="s">
        <v>284</v>
      </c>
      <c r="D82" s="69">
        <v>2708</v>
      </c>
      <c r="E82" s="71">
        <v>0.17499999999999999</v>
      </c>
    </row>
    <row r="83" spans="2:5" ht="15" customHeight="1">
      <c r="B83" s="89" t="s">
        <v>133</v>
      </c>
      <c r="C83" s="55" t="s">
        <v>144</v>
      </c>
      <c r="D83" s="58">
        <v>529</v>
      </c>
      <c r="E83" s="57">
        <v>3.4000000000000002E-2</v>
      </c>
    </row>
    <row r="84" spans="2:5" ht="15" customHeight="1">
      <c r="B84" s="90"/>
      <c r="C84" s="55" t="s">
        <v>143</v>
      </c>
      <c r="D84" s="58">
        <v>189</v>
      </c>
      <c r="E84" s="57">
        <v>1.2E-2</v>
      </c>
    </row>
    <row r="85" spans="2:5" ht="15" customHeight="1">
      <c r="B85" s="90"/>
      <c r="C85" s="55" t="s">
        <v>150</v>
      </c>
      <c r="D85" s="58">
        <v>128</v>
      </c>
      <c r="E85" s="57">
        <v>8.0000000000000002E-3</v>
      </c>
    </row>
    <row r="86" spans="2:5" ht="15" customHeight="1">
      <c r="B86" s="90"/>
      <c r="C86" s="55" t="s">
        <v>147</v>
      </c>
      <c r="D86" s="58">
        <v>87</v>
      </c>
      <c r="E86" s="57">
        <v>6.0000000000000001E-3</v>
      </c>
    </row>
    <row r="87" spans="2:5" ht="15" customHeight="1">
      <c r="B87" s="90"/>
      <c r="C87" s="55" t="s">
        <v>142</v>
      </c>
      <c r="D87" s="58">
        <v>80</v>
      </c>
      <c r="E87" s="57">
        <v>5.0000000000000001E-3</v>
      </c>
    </row>
    <row r="88" spans="2:5" ht="15" customHeight="1">
      <c r="B88" s="90"/>
      <c r="C88" s="55" t="s">
        <v>157</v>
      </c>
      <c r="D88" s="58">
        <v>77</v>
      </c>
      <c r="E88" s="57">
        <v>5.0000000000000001E-3</v>
      </c>
    </row>
    <row r="89" spans="2:5" ht="15" customHeight="1">
      <c r="B89" s="90"/>
      <c r="C89" s="55" t="s">
        <v>162</v>
      </c>
      <c r="D89" s="58">
        <v>68</v>
      </c>
      <c r="E89" s="57">
        <v>4.0000000000000001E-3</v>
      </c>
    </row>
    <row r="90" spans="2:5" ht="15" customHeight="1">
      <c r="B90" s="90"/>
      <c r="C90" s="55" t="s">
        <v>164</v>
      </c>
      <c r="D90" s="58">
        <v>67</v>
      </c>
      <c r="E90" s="57">
        <v>4.0000000000000001E-3</v>
      </c>
    </row>
    <row r="91" spans="2:5" ht="15" customHeight="1">
      <c r="B91" s="90"/>
      <c r="C91" s="55" t="s">
        <v>156</v>
      </c>
      <c r="D91" s="58">
        <v>63</v>
      </c>
      <c r="E91" s="57">
        <v>4.0000000000000001E-3</v>
      </c>
    </row>
    <row r="92" spans="2:5" ht="15" customHeight="1">
      <c r="B92" s="90"/>
      <c r="C92" s="55" t="s">
        <v>149</v>
      </c>
      <c r="D92" s="58">
        <v>47</v>
      </c>
      <c r="E92" s="57">
        <v>3.0000000000000001E-3</v>
      </c>
    </row>
    <row r="93" spans="2:5" ht="15" customHeight="1">
      <c r="B93" s="90"/>
      <c r="C93" s="55" t="s">
        <v>148</v>
      </c>
      <c r="D93" s="58">
        <v>40</v>
      </c>
      <c r="E93" s="57">
        <v>3.0000000000000001E-3</v>
      </c>
    </row>
    <row r="94" spans="2:5" ht="15" customHeight="1">
      <c r="B94" s="90"/>
      <c r="C94" s="55" t="s">
        <v>166</v>
      </c>
      <c r="D94" s="58">
        <v>37</v>
      </c>
      <c r="E94" s="57">
        <v>2E-3</v>
      </c>
    </row>
    <row r="95" spans="2:5" ht="15" customHeight="1">
      <c r="B95" s="90"/>
      <c r="C95" s="55" t="s">
        <v>145</v>
      </c>
      <c r="D95" s="58">
        <v>36</v>
      </c>
      <c r="E95" s="57">
        <v>2E-3</v>
      </c>
    </row>
    <row r="96" spans="2:5" ht="15" customHeight="1">
      <c r="B96" s="90"/>
      <c r="C96" s="55" t="s">
        <v>155</v>
      </c>
      <c r="D96" s="58">
        <v>33</v>
      </c>
      <c r="E96" s="57">
        <v>2E-3</v>
      </c>
    </row>
    <row r="97" spans="2:5" ht="15" customHeight="1">
      <c r="B97" s="90"/>
      <c r="C97" s="55" t="s">
        <v>152</v>
      </c>
      <c r="D97" s="58">
        <v>32</v>
      </c>
      <c r="E97" s="57">
        <v>2E-3</v>
      </c>
    </row>
    <row r="98" spans="2:5" ht="15" customHeight="1">
      <c r="B98" s="90"/>
      <c r="C98" s="55" t="s">
        <v>154</v>
      </c>
      <c r="D98" s="58">
        <v>30</v>
      </c>
      <c r="E98" s="57">
        <v>2E-3</v>
      </c>
    </row>
    <row r="99" spans="2:5" ht="15" customHeight="1">
      <c r="B99" s="90"/>
      <c r="C99" s="55" t="s">
        <v>161</v>
      </c>
      <c r="D99" s="58">
        <v>28</v>
      </c>
      <c r="E99" s="57">
        <v>2E-3</v>
      </c>
    </row>
    <row r="100" spans="2:5" ht="15" customHeight="1">
      <c r="B100" s="90"/>
      <c r="C100" s="55" t="s">
        <v>146</v>
      </c>
      <c r="D100" s="58">
        <v>26</v>
      </c>
      <c r="E100" s="57">
        <v>2E-3</v>
      </c>
    </row>
    <row r="101" spans="2:5" ht="15" customHeight="1">
      <c r="B101" s="90"/>
      <c r="C101" s="55" t="s">
        <v>140</v>
      </c>
      <c r="D101" s="58">
        <v>24</v>
      </c>
      <c r="E101" s="57">
        <v>2E-3</v>
      </c>
    </row>
    <row r="102" spans="2:5" ht="15" customHeight="1">
      <c r="B102" s="90"/>
      <c r="C102" s="55" t="s">
        <v>153</v>
      </c>
      <c r="D102" s="58">
        <v>23</v>
      </c>
      <c r="E102" s="57">
        <v>1E-3</v>
      </c>
    </row>
    <row r="103" spans="2:5" ht="15" customHeight="1">
      <c r="B103" s="90"/>
      <c r="C103" s="55" t="s">
        <v>141</v>
      </c>
      <c r="D103" s="58">
        <v>21</v>
      </c>
      <c r="E103" s="57">
        <v>1E-3</v>
      </c>
    </row>
    <row r="104" spans="2:5" ht="15" customHeight="1">
      <c r="B104" s="90"/>
      <c r="C104" s="55" t="s">
        <v>167</v>
      </c>
      <c r="D104" s="58">
        <v>19</v>
      </c>
      <c r="E104" s="57">
        <v>1E-3</v>
      </c>
    </row>
    <row r="105" spans="2:5" ht="15" customHeight="1">
      <c r="B105" s="90"/>
      <c r="C105" s="55" t="s">
        <v>159</v>
      </c>
      <c r="D105" s="58">
        <v>18</v>
      </c>
      <c r="E105" s="57">
        <v>1E-3</v>
      </c>
    </row>
    <row r="106" spans="2:5" ht="15" customHeight="1">
      <c r="B106" s="90"/>
      <c r="C106" s="55" t="s">
        <v>169</v>
      </c>
      <c r="D106" s="58">
        <v>11</v>
      </c>
      <c r="E106" s="57">
        <v>1E-3</v>
      </c>
    </row>
    <row r="107" spans="2:5" ht="15" customHeight="1">
      <c r="B107" s="90"/>
      <c r="C107" s="55" t="s">
        <v>160</v>
      </c>
      <c r="D107" s="58">
        <v>11</v>
      </c>
      <c r="E107" s="57">
        <v>1E-3</v>
      </c>
    </row>
    <row r="108" spans="2:5" ht="15" customHeight="1">
      <c r="B108" s="90"/>
      <c r="C108" s="55" t="s">
        <v>257</v>
      </c>
      <c r="D108" s="58">
        <v>9</v>
      </c>
      <c r="E108" s="57">
        <v>1E-3</v>
      </c>
    </row>
    <row r="109" spans="2:5" ht="15" customHeight="1">
      <c r="B109" s="90"/>
      <c r="C109" s="55" t="s">
        <v>165</v>
      </c>
      <c r="D109" s="58">
        <v>6</v>
      </c>
      <c r="E109" s="57">
        <v>0</v>
      </c>
    </row>
    <row r="110" spans="2:5" ht="15" customHeight="1">
      <c r="B110" s="90"/>
      <c r="C110" s="55" t="s">
        <v>163</v>
      </c>
      <c r="D110" s="58">
        <v>4</v>
      </c>
      <c r="E110" s="57">
        <v>0</v>
      </c>
    </row>
    <row r="111" spans="2:5" ht="15" customHeight="1">
      <c r="B111" s="90"/>
      <c r="C111" s="55" t="s">
        <v>151</v>
      </c>
      <c r="D111" s="58">
        <v>4</v>
      </c>
      <c r="E111" s="57">
        <v>0</v>
      </c>
    </row>
    <row r="112" spans="2:5" ht="15" customHeight="1">
      <c r="B112" s="90"/>
      <c r="C112" s="55" t="s">
        <v>168</v>
      </c>
      <c r="D112" s="58">
        <v>3</v>
      </c>
      <c r="E112" s="57">
        <v>0</v>
      </c>
    </row>
    <row r="113" spans="2:5" ht="15" customHeight="1">
      <c r="B113" s="90"/>
      <c r="C113" s="55" t="s">
        <v>158</v>
      </c>
      <c r="D113" s="58">
        <v>2</v>
      </c>
      <c r="E113" s="57">
        <v>0</v>
      </c>
    </row>
    <row r="114" spans="2:5" ht="15" customHeight="1">
      <c r="B114" s="90"/>
      <c r="C114" s="55" t="s">
        <v>173</v>
      </c>
      <c r="D114" s="58">
        <v>2</v>
      </c>
      <c r="E114" s="57">
        <v>0</v>
      </c>
    </row>
    <row r="115" spans="2:5" ht="15" customHeight="1">
      <c r="B115" s="90"/>
      <c r="C115" s="55" t="s">
        <v>170</v>
      </c>
      <c r="D115" s="58">
        <v>2</v>
      </c>
      <c r="E115" s="57">
        <v>0</v>
      </c>
    </row>
    <row r="116" spans="2:5" ht="15" customHeight="1">
      <c r="B116" s="90"/>
      <c r="C116" s="55" t="s">
        <v>171</v>
      </c>
      <c r="D116" s="58">
        <v>1</v>
      </c>
      <c r="E116" s="57">
        <v>0</v>
      </c>
    </row>
    <row r="117" spans="2:5" ht="15" customHeight="1">
      <c r="B117" s="90"/>
      <c r="C117" s="55" t="s">
        <v>258</v>
      </c>
      <c r="D117" s="58">
        <v>1</v>
      </c>
      <c r="E117" s="57">
        <v>0</v>
      </c>
    </row>
    <row r="118" spans="2:5" ht="15" customHeight="1">
      <c r="B118" s="91"/>
      <c r="C118" s="72" t="s">
        <v>284</v>
      </c>
      <c r="D118" s="69">
        <v>1758</v>
      </c>
      <c r="E118" s="71">
        <v>0.114</v>
      </c>
    </row>
    <row r="119" spans="2:5" ht="15" customHeight="1">
      <c r="B119" s="89" t="s">
        <v>123</v>
      </c>
      <c r="C119" s="55" t="s">
        <v>143</v>
      </c>
      <c r="D119" s="58">
        <v>380</v>
      </c>
      <c r="E119" s="57">
        <v>2.5000000000000001E-2</v>
      </c>
    </row>
    <row r="120" spans="2:5" ht="15" customHeight="1">
      <c r="B120" s="90"/>
      <c r="C120" s="55" t="s">
        <v>142</v>
      </c>
      <c r="D120" s="58">
        <v>151</v>
      </c>
      <c r="E120" s="57">
        <v>0.01</v>
      </c>
    </row>
    <row r="121" spans="2:5" ht="15" customHeight="1">
      <c r="B121" s="90"/>
      <c r="C121" s="55" t="s">
        <v>165</v>
      </c>
      <c r="D121" s="58">
        <v>97</v>
      </c>
      <c r="E121" s="57">
        <v>6.0000000000000001E-3</v>
      </c>
    </row>
    <row r="122" spans="2:5" ht="15" customHeight="1">
      <c r="B122" s="90"/>
      <c r="C122" s="55" t="s">
        <v>144</v>
      </c>
      <c r="D122" s="58">
        <v>65</v>
      </c>
      <c r="E122" s="57">
        <v>4.0000000000000001E-3</v>
      </c>
    </row>
    <row r="123" spans="2:5" ht="15" customHeight="1">
      <c r="B123" s="90"/>
      <c r="C123" s="55" t="s">
        <v>155</v>
      </c>
      <c r="D123" s="58">
        <v>46</v>
      </c>
      <c r="E123" s="57">
        <v>3.0000000000000001E-3</v>
      </c>
    </row>
    <row r="124" spans="2:5" ht="15" customHeight="1">
      <c r="B124" s="90"/>
      <c r="C124" s="55" t="s">
        <v>167</v>
      </c>
      <c r="D124" s="58">
        <v>46</v>
      </c>
      <c r="E124" s="57">
        <v>3.0000000000000001E-3</v>
      </c>
    </row>
    <row r="125" spans="2:5" ht="15" customHeight="1">
      <c r="B125" s="90"/>
      <c r="C125" s="55" t="s">
        <v>141</v>
      </c>
      <c r="D125" s="58">
        <v>38</v>
      </c>
      <c r="E125" s="57">
        <v>2E-3</v>
      </c>
    </row>
    <row r="126" spans="2:5" ht="15" customHeight="1">
      <c r="B126" s="90"/>
      <c r="C126" s="55" t="s">
        <v>169</v>
      </c>
      <c r="D126" s="58">
        <v>35</v>
      </c>
      <c r="E126" s="57">
        <v>2E-3</v>
      </c>
    </row>
    <row r="127" spans="2:5" ht="15" customHeight="1">
      <c r="B127" s="90"/>
      <c r="C127" s="55" t="s">
        <v>159</v>
      </c>
      <c r="D127" s="58">
        <v>28</v>
      </c>
      <c r="E127" s="57">
        <v>2E-3</v>
      </c>
    </row>
    <row r="128" spans="2:5" ht="15" customHeight="1">
      <c r="B128" s="90"/>
      <c r="C128" s="55" t="s">
        <v>160</v>
      </c>
      <c r="D128" s="58">
        <v>25</v>
      </c>
      <c r="E128" s="57">
        <v>2E-3</v>
      </c>
    </row>
    <row r="129" spans="2:5" ht="15" customHeight="1">
      <c r="B129" s="90"/>
      <c r="C129" s="55" t="s">
        <v>257</v>
      </c>
      <c r="D129" s="58">
        <v>21</v>
      </c>
      <c r="E129" s="57">
        <v>1E-3</v>
      </c>
    </row>
    <row r="130" spans="2:5" ht="15" customHeight="1">
      <c r="B130" s="90"/>
      <c r="C130" s="55" t="s">
        <v>170</v>
      </c>
      <c r="D130" s="58">
        <v>19</v>
      </c>
      <c r="E130" s="57">
        <v>1E-3</v>
      </c>
    </row>
    <row r="131" spans="2:5" ht="15" customHeight="1">
      <c r="B131" s="90"/>
      <c r="C131" s="55" t="s">
        <v>164</v>
      </c>
      <c r="D131" s="58">
        <v>18</v>
      </c>
      <c r="E131" s="57">
        <v>1E-3</v>
      </c>
    </row>
    <row r="132" spans="2:5" ht="15" customHeight="1">
      <c r="B132" s="90"/>
      <c r="C132" s="55" t="s">
        <v>168</v>
      </c>
      <c r="D132" s="58">
        <v>18</v>
      </c>
      <c r="E132" s="57">
        <v>1E-3</v>
      </c>
    </row>
    <row r="133" spans="2:5" ht="15" customHeight="1">
      <c r="B133" s="90"/>
      <c r="C133" s="55" t="s">
        <v>148</v>
      </c>
      <c r="D133" s="58">
        <v>12</v>
      </c>
      <c r="E133" s="57">
        <v>1E-3</v>
      </c>
    </row>
    <row r="134" spans="2:5" ht="15" customHeight="1">
      <c r="B134" s="90"/>
      <c r="C134" s="55" t="s">
        <v>163</v>
      </c>
      <c r="D134" s="58">
        <v>12</v>
      </c>
      <c r="E134" s="57">
        <v>1E-3</v>
      </c>
    </row>
    <row r="135" spans="2:5" ht="15" customHeight="1">
      <c r="B135" s="90"/>
      <c r="C135" s="55" t="s">
        <v>156</v>
      </c>
      <c r="D135" s="58">
        <v>11</v>
      </c>
      <c r="E135" s="57">
        <v>1E-3</v>
      </c>
    </row>
    <row r="136" spans="2:5" ht="15" customHeight="1">
      <c r="B136" s="90"/>
      <c r="C136" s="55" t="s">
        <v>175</v>
      </c>
      <c r="D136" s="58">
        <v>11</v>
      </c>
      <c r="E136" s="57">
        <v>1E-3</v>
      </c>
    </row>
    <row r="137" spans="2:5" ht="15" customHeight="1">
      <c r="B137" s="90"/>
      <c r="C137" s="55" t="s">
        <v>166</v>
      </c>
      <c r="D137" s="58">
        <v>10</v>
      </c>
      <c r="E137" s="57">
        <v>1E-3</v>
      </c>
    </row>
    <row r="138" spans="2:5" ht="15" customHeight="1">
      <c r="B138" s="90"/>
      <c r="C138" s="55" t="s">
        <v>154</v>
      </c>
      <c r="D138" s="58">
        <v>9</v>
      </c>
      <c r="E138" s="57">
        <v>1E-3</v>
      </c>
    </row>
    <row r="139" spans="2:5" ht="15" customHeight="1">
      <c r="B139" s="90"/>
      <c r="C139" s="55" t="s">
        <v>147</v>
      </c>
      <c r="D139" s="58">
        <v>8</v>
      </c>
      <c r="E139" s="57">
        <v>1E-3</v>
      </c>
    </row>
    <row r="140" spans="2:5" ht="15" customHeight="1">
      <c r="B140" s="90"/>
      <c r="C140" s="55" t="s">
        <v>149</v>
      </c>
      <c r="D140" s="58">
        <v>8</v>
      </c>
      <c r="E140" s="57">
        <v>1E-3</v>
      </c>
    </row>
    <row r="141" spans="2:5" ht="15" customHeight="1">
      <c r="B141" s="90"/>
      <c r="C141" s="55" t="s">
        <v>174</v>
      </c>
      <c r="D141" s="58">
        <v>8</v>
      </c>
      <c r="E141" s="57">
        <v>1E-3</v>
      </c>
    </row>
    <row r="142" spans="2:5" ht="15" customHeight="1">
      <c r="B142" s="90"/>
      <c r="C142" s="55" t="s">
        <v>150</v>
      </c>
      <c r="D142" s="58">
        <v>7</v>
      </c>
      <c r="E142" s="57">
        <v>0</v>
      </c>
    </row>
    <row r="143" spans="2:5" ht="15" customHeight="1">
      <c r="B143" s="90"/>
      <c r="C143" s="55" t="s">
        <v>153</v>
      </c>
      <c r="D143" s="58">
        <v>6</v>
      </c>
      <c r="E143" s="57">
        <v>0</v>
      </c>
    </row>
    <row r="144" spans="2:5" ht="15" customHeight="1">
      <c r="B144" s="90"/>
      <c r="C144" s="55" t="s">
        <v>140</v>
      </c>
      <c r="D144" s="58">
        <v>5</v>
      </c>
      <c r="E144" s="57">
        <v>0</v>
      </c>
    </row>
    <row r="145" spans="2:5" ht="15" customHeight="1">
      <c r="B145" s="90"/>
      <c r="C145" s="55" t="s">
        <v>145</v>
      </c>
      <c r="D145" s="58">
        <v>5</v>
      </c>
      <c r="E145" s="57">
        <v>0</v>
      </c>
    </row>
    <row r="146" spans="2:5" ht="15" customHeight="1">
      <c r="B146" s="90"/>
      <c r="C146" s="55" t="s">
        <v>151</v>
      </c>
      <c r="D146" s="58">
        <v>5</v>
      </c>
      <c r="E146" s="57">
        <v>0</v>
      </c>
    </row>
    <row r="147" spans="2:5" ht="15" customHeight="1">
      <c r="B147" s="90"/>
      <c r="C147" s="55" t="s">
        <v>146</v>
      </c>
      <c r="D147" s="58">
        <v>4</v>
      </c>
      <c r="E147" s="57">
        <v>0</v>
      </c>
    </row>
    <row r="148" spans="2:5" ht="15" customHeight="1">
      <c r="B148" s="90"/>
      <c r="C148" s="55" t="s">
        <v>152</v>
      </c>
      <c r="D148" s="58">
        <v>4</v>
      </c>
      <c r="E148" s="57">
        <v>0</v>
      </c>
    </row>
    <row r="149" spans="2:5" ht="15" customHeight="1">
      <c r="B149" s="90"/>
      <c r="C149" s="55" t="s">
        <v>157</v>
      </c>
      <c r="D149" s="58">
        <v>1</v>
      </c>
      <c r="E149" s="57">
        <v>0</v>
      </c>
    </row>
    <row r="150" spans="2:5" ht="15" customHeight="1">
      <c r="B150" s="90"/>
      <c r="C150" s="55" t="s">
        <v>162</v>
      </c>
      <c r="D150" s="58">
        <v>1</v>
      </c>
      <c r="E150" s="57">
        <v>0</v>
      </c>
    </row>
    <row r="151" spans="2:5" ht="15" customHeight="1">
      <c r="B151" s="91"/>
      <c r="C151" s="72" t="s">
        <v>284</v>
      </c>
      <c r="D151" s="69">
        <v>1114</v>
      </c>
      <c r="E151" s="71">
        <v>7.1999999999999995E-2</v>
      </c>
    </row>
    <row r="152" spans="2:5" ht="15" customHeight="1">
      <c r="B152" s="89" t="s">
        <v>116</v>
      </c>
      <c r="C152" s="55" t="s">
        <v>141</v>
      </c>
      <c r="D152" s="58">
        <v>407</v>
      </c>
      <c r="E152" s="57">
        <v>2.5999999999999999E-2</v>
      </c>
    </row>
    <row r="153" spans="2:5" ht="15" customHeight="1">
      <c r="B153" s="90"/>
      <c r="C153" s="55" t="s">
        <v>143</v>
      </c>
      <c r="D153" s="58">
        <v>182</v>
      </c>
      <c r="E153" s="57">
        <v>1.2E-2</v>
      </c>
    </row>
    <row r="154" spans="2:5" ht="15" customHeight="1">
      <c r="B154" s="90"/>
      <c r="C154" s="55" t="s">
        <v>164</v>
      </c>
      <c r="D154" s="58">
        <v>98</v>
      </c>
      <c r="E154" s="57">
        <v>6.0000000000000001E-3</v>
      </c>
    </row>
    <row r="155" spans="2:5" ht="15" customHeight="1">
      <c r="B155" s="90"/>
      <c r="C155" s="55" t="s">
        <v>142</v>
      </c>
      <c r="D155" s="58">
        <v>69</v>
      </c>
      <c r="E155" s="57">
        <v>4.0000000000000001E-3</v>
      </c>
    </row>
    <row r="156" spans="2:5" ht="15" customHeight="1">
      <c r="B156" s="90"/>
      <c r="C156" s="55" t="s">
        <v>160</v>
      </c>
      <c r="D156" s="58">
        <v>65</v>
      </c>
      <c r="E156" s="57">
        <v>4.0000000000000001E-3</v>
      </c>
    </row>
    <row r="157" spans="2:5" ht="15" customHeight="1">
      <c r="B157" s="90"/>
      <c r="C157" s="55" t="s">
        <v>144</v>
      </c>
      <c r="D157" s="58">
        <v>54</v>
      </c>
      <c r="E157" s="57">
        <v>3.0000000000000001E-3</v>
      </c>
    </row>
    <row r="158" spans="2:5" ht="15" customHeight="1">
      <c r="B158" s="90"/>
      <c r="C158" s="55" t="s">
        <v>159</v>
      </c>
      <c r="D158" s="58">
        <v>49</v>
      </c>
      <c r="E158" s="57">
        <v>3.0000000000000001E-3</v>
      </c>
    </row>
    <row r="159" spans="2:5" ht="15" customHeight="1">
      <c r="B159" s="90"/>
      <c r="C159" s="55" t="s">
        <v>163</v>
      </c>
      <c r="D159" s="58">
        <v>16</v>
      </c>
      <c r="E159" s="57">
        <v>1E-3</v>
      </c>
    </row>
    <row r="160" spans="2:5" ht="15" customHeight="1">
      <c r="B160" s="90"/>
      <c r="C160" s="55" t="s">
        <v>155</v>
      </c>
      <c r="D160" s="58">
        <v>15</v>
      </c>
      <c r="E160" s="57">
        <v>1E-3</v>
      </c>
    </row>
    <row r="161" spans="2:5" ht="15" customHeight="1">
      <c r="B161" s="90"/>
      <c r="C161" s="55" t="s">
        <v>154</v>
      </c>
      <c r="D161" s="58">
        <v>14</v>
      </c>
      <c r="E161" s="57">
        <v>1E-3</v>
      </c>
    </row>
    <row r="162" spans="2:5" ht="15" customHeight="1">
      <c r="B162" s="90"/>
      <c r="C162" s="55" t="s">
        <v>150</v>
      </c>
      <c r="D162" s="58">
        <v>13</v>
      </c>
      <c r="E162" s="57">
        <v>1E-3</v>
      </c>
    </row>
    <row r="163" spans="2:5" ht="15" customHeight="1">
      <c r="B163" s="90"/>
      <c r="C163" s="55" t="s">
        <v>147</v>
      </c>
      <c r="D163" s="58">
        <v>12</v>
      </c>
      <c r="E163" s="57">
        <v>1E-3</v>
      </c>
    </row>
    <row r="164" spans="2:5" ht="15" customHeight="1">
      <c r="B164" s="90"/>
      <c r="C164" s="55" t="s">
        <v>168</v>
      </c>
      <c r="D164" s="58">
        <v>10</v>
      </c>
      <c r="E164" s="57">
        <v>1E-3</v>
      </c>
    </row>
    <row r="165" spans="2:5" ht="15" customHeight="1">
      <c r="B165" s="90"/>
      <c r="C165" s="55" t="s">
        <v>175</v>
      </c>
      <c r="D165" s="58">
        <v>7</v>
      </c>
      <c r="E165" s="57">
        <v>0</v>
      </c>
    </row>
    <row r="166" spans="2:5" ht="15" customHeight="1">
      <c r="B166" s="90"/>
      <c r="C166" s="55" t="s">
        <v>145</v>
      </c>
      <c r="D166" s="58">
        <v>6</v>
      </c>
      <c r="E166" s="57">
        <v>0</v>
      </c>
    </row>
    <row r="167" spans="2:5" ht="15" customHeight="1">
      <c r="B167" s="90"/>
      <c r="C167" s="55" t="s">
        <v>153</v>
      </c>
      <c r="D167" s="58">
        <v>6</v>
      </c>
      <c r="E167" s="57">
        <v>0</v>
      </c>
    </row>
    <row r="168" spans="2:5" ht="15" customHeight="1">
      <c r="B168" s="90"/>
      <c r="C168" s="55" t="s">
        <v>170</v>
      </c>
      <c r="D168" s="58">
        <v>6</v>
      </c>
      <c r="E168" s="57">
        <v>0</v>
      </c>
    </row>
    <row r="169" spans="2:5" ht="15" customHeight="1">
      <c r="B169" s="90"/>
      <c r="C169" s="55" t="s">
        <v>156</v>
      </c>
      <c r="D169" s="58">
        <v>6</v>
      </c>
      <c r="E169" s="57">
        <v>0</v>
      </c>
    </row>
    <row r="170" spans="2:5" ht="15" customHeight="1">
      <c r="B170" s="90"/>
      <c r="C170" s="55" t="s">
        <v>169</v>
      </c>
      <c r="D170" s="58">
        <v>5</v>
      </c>
      <c r="E170" s="57">
        <v>0</v>
      </c>
    </row>
    <row r="171" spans="2:5" ht="15" customHeight="1">
      <c r="B171" s="90"/>
      <c r="C171" s="55" t="s">
        <v>146</v>
      </c>
      <c r="D171" s="58">
        <v>4</v>
      </c>
      <c r="E171" s="57">
        <v>0</v>
      </c>
    </row>
    <row r="172" spans="2:5" ht="15" customHeight="1">
      <c r="B172" s="90"/>
      <c r="C172" s="55" t="s">
        <v>165</v>
      </c>
      <c r="D172" s="58">
        <v>4</v>
      </c>
      <c r="E172" s="57">
        <v>0</v>
      </c>
    </row>
    <row r="173" spans="2:5" ht="15" customHeight="1">
      <c r="B173" s="90"/>
      <c r="C173" s="55" t="s">
        <v>152</v>
      </c>
      <c r="D173" s="58">
        <v>3</v>
      </c>
      <c r="E173" s="57">
        <v>0</v>
      </c>
    </row>
    <row r="174" spans="2:5" ht="15" customHeight="1">
      <c r="B174" s="90"/>
      <c r="C174" s="55" t="s">
        <v>162</v>
      </c>
      <c r="D174" s="58">
        <v>2</v>
      </c>
      <c r="E174" s="57">
        <v>0</v>
      </c>
    </row>
    <row r="175" spans="2:5" ht="15" customHeight="1">
      <c r="B175" s="90"/>
      <c r="C175" s="55" t="s">
        <v>148</v>
      </c>
      <c r="D175" s="58">
        <v>2</v>
      </c>
      <c r="E175" s="57">
        <v>0</v>
      </c>
    </row>
    <row r="176" spans="2:5" ht="15" customHeight="1">
      <c r="B176" s="90"/>
      <c r="C176" s="55" t="s">
        <v>149</v>
      </c>
      <c r="D176" s="58">
        <v>2</v>
      </c>
      <c r="E176" s="57">
        <v>0</v>
      </c>
    </row>
    <row r="177" spans="2:5" ht="15" customHeight="1">
      <c r="B177" s="90"/>
      <c r="C177" s="55" t="s">
        <v>167</v>
      </c>
      <c r="D177" s="58">
        <v>2</v>
      </c>
      <c r="E177" s="57">
        <v>0</v>
      </c>
    </row>
    <row r="178" spans="2:5" ht="15" customHeight="1">
      <c r="B178" s="90"/>
      <c r="C178" s="55" t="s">
        <v>140</v>
      </c>
      <c r="D178" s="58">
        <v>1</v>
      </c>
      <c r="E178" s="57">
        <v>0</v>
      </c>
    </row>
    <row r="179" spans="2:5" ht="15" customHeight="1">
      <c r="B179" s="90"/>
      <c r="C179" s="55" t="s">
        <v>161</v>
      </c>
      <c r="D179" s="58">
        <v>1</v>
      </c>
      <c r="E179" s="57">
        <v>0</v>
      </c>
    </row>
    <row r="180" spans="2:5" ht="15" customHeight="1">
      <c r="B180" s="91"/>
      <c r="C180" s="72" t="s">
        <v>284</v>
      </c>
      <c r="D180" s="69">
        <v>1061</v>
      </c>
      <c r="E180" s="71">
        <v>6.9000000000000006E-2</v>
      </c>
    </row>
    <row r="181" spans="2:5" ht="15" customHeight="1">
      <c r="B181" s="89" t="s">
        <v>96</v>
      </c>
      <c r="C181" s="55" t="s">
        <v>144</v>
      </c>
      <c r="D181" s="58">
        <v>110</v>
      </c>
      <c r="E181" s="57">
        <v>7.0000000000000001E-3</v>
      </c>
    </row>
    <row r="182" spans="2:5" ht="15" customHeight="1">
      <c r="B182" s="90"/>
      <c r="C182" s="55" t="s">
        <v>147</v>
      </c>
      <c r="D182" s="58">
        <v>51</v>
      </c>
      <c r="E182" s="57">
        <v>3.0000000000000001E-3</v>
      </c>
    </row>
    <row r="183" spans="2:5" ht="15" customHeight="1">
      <c r="B183" s="90"/>
      <c r="C183" s="55" t="s">
        <v>154</v>
      </c>
      <c r="D183" s="58">
        <v>39</v>
      </c>
      <c r="E183" s="57">
        <v>3.0000000000000001E-3</v>
      </c>
    </row>
    <row r="184" spans="2:5" ht="15" customHeight="1">
      <c r="B184" s="90"/>
      <c r="C184" s="55" t="s">
        <v>143</v>
      </c>
      <c r="D184" s="58">
        <v>26</v>
      </c>
      <c r="E184" s="57">
        <v>2E-3</v>
      </c>
    </row>
    <row r="185" spans="2:5" ht="15" customHeight="1">
      <c r="B185" s="90"/>
      <c r="C185" s="55" t="s">
        <v>149</v>
      </c>
      <c r="D185" s="58">
        <v>18</v>
      </c>
      <c r="E185" s="57">
        <v>1E-3</v>
      </c>
    </row>
    <row r="186" spans="2:5" ht="15" customHeight="1">
      <c r="B186" s="90"/>
      <c r="C186" s="55" t="s">
        <v>153</v>
      </c>
      <c r="D186" s="58">
        <v>17</v>
      </c>
      <c r="E186" s="57">
        <v>1E-3</v>
      </c>
    </row>
    <row r="187" spans="2:5" ht="15" customHeight="1">
      <c r="B187" s="90"/>
      <c r="C187" s="55" t="s">
        <v>150</v>
      </c>
      <c r="D187" s="58">
        <v>14</v>
      </c>
      <c r="E187" s="57">
        <v>1E-3</v>
      </c>
    </row>
    <row r="188" spans="2:5" ht="15" customHeight="1">
      <c r="B188" s="90"/>
      <c r="C188" s="55" t="s">
        <v>156</v>
      </c>
      <c r="D188" s="58">
        <v>14</v>
      </c>
      <c r="E188" s="57">
        <v>1E-3</v>
      </c>
    </row>
    <row r="189" spans="2:5" ht="15" customHeight="1">
      <c r="B189" s="90"/>
      <c r="C189" s="55" t="s">
        <v>151</v>
      </c>
      <c r="D189" s="58">
        <v>11</v>
      </c>
      <c r="E189" s="57">
        <v>1E-3</v>
      </c>
    </row>
    <row r="190" spans="2:5" ht="15" customHeight="1">
      <c r="B190" s="90"/>
      <c r="C190" s="55" t="s">
        <v>140</v>
      </c>
      <c r="D190" s="58">
        <v>8</v>
      </c>
      <c r="E190" s="57">
        <v>1E-3</v>
      </c>
    </row>
    <row r="191" spans="2:5" ht="15" customHeight="1">
      <c r="B191" s="90"/>
      <c r="C191" s="55" t="s">
        <v>142</v>
      </c>
      <c r="D191" s="58">
        <v>8</v>
      </c>
      <c r="E191" s="57">
        <v>1E-3</v>
      </c>
    </row>
    <row r="192" spans="2:5" ht="15" customHeight="1">
      <c r="B192" s="90"/>
      <c r="C192" s="55" t="s">
        <v>145</v>
      </c>
      <c r="D192" s="58">
        <v>8</v>
      </c>
      <c r="E192" s="57">
        <v>1E-3</v>
      </c>
    </row>
    <row r="193" spans="2:5" ht="15" customHeight="1">
      <c r="B193" s="90"/>
      <c r="C193" s="55" t="s">
        <v>146</v>
      </c>
      <c r="D193" s="58">
        <v>8</v>
      </c>
      <c r="E193" s="57">
        <v>1E-3</v>
      </c>
    </row>
    <row r="194" spans="2:5" ht="15" customHeight="1">
      <c r="B194" s="90"/>
      <c r="C194" s="55" t="s">
        <v>165</v>
      </c>
      <c r="D194" s="58">
        <v>7</v>
      </c>
      <c r="E194" s="57">
        <v>0</v>
      </c>
    </row>
    <row r="195" spans="2:5" ht="15" customHeight="1">
      <c r="B195" s="90"/>
      <c r="C195" s="55" t="s">
        <v>166</v>
      </c>
      <c r="D195" s="58">
        <v>6</v>
      </c>
      <c r="E195" s="57">
        <v>0</v>
      </c>
    </row>
    <row r="196" spans="2:5" ht="15" customHeight="1">
      <c r="B196" s="90"/>
      <c r="C196" s="55" t="s">
        <v>155</v>
      </c>
      <c r="D196" s="58">
        <v>6</v>
      </c>
      <c r="E196" s="57">
        <v>0</v>
      </c>
    </row>
    <row r="197" spans="2:5" ht="15" customHeight="1">
      <c r="B197" s="90"/>
      <c r="C197" s="55" t="s">
        <v>148</v>
      </c>
      <c r="D197" s="58">
        <v>5</v>
      </c>
      <c r="E197" s="57">
        <v>0</v>
      </c>
    </row>
    <row r="198" spans="2:5" ht="15" customHeight="1">
      <c r="B198" s="90"/>
      <c r="C198" s="55" t="s">
        <v>152</v>
      </c>
      <c r="D198" s="58">
        <v>5</v>
      </c>
      <c r="E198" s="57">
        <v>0</v>
      </c>
    </row>
    <row r="199" spans="2:5" ht="15" customHeight="1">
      <c r="B199" s="90"/>
      <c r="C199" s="55" t="s">
        <v>141</v>
      </c>
      <c r="D199" s="58">
        <v>3</v>
      </c>
      <c r="E199" s="57">
        <v>0</v>
      </c>
    </row>
    <row r="200" spans="2:5" ht="15" customHeight="1">
      <c r="B200" s="90"/>
      <c r="C200" s="55" t="s">
        <v>257</v>
      </c>
      <c r="D200" s="58">
        <v>3</v>
      </c>
      <c r="E200" s="57">
        <v>0</v>
      </c>
    </row>
    <row r="201" spans="2:5" ht="15" customHeight="1">
      <c r="B201" s="90"/>
      <c r="C201" s="55" t="s">
        <v>162</v>
      </c>
      <c r="D201" s="58">
        <v>3</v>
      </c>
      <c r="E201" s="57">
        <v>0</v>
      </c>
    </row>
    <row r="202" spans="2:5" ht="15" customHeight="1">
      <c r="B202" s="90"/>
      <c r="C202" s="55" t="s">
        <v>160</v>
      </c>
      <c r="D202" s="58">
        <v>2</v>
      </c>
      <c r="E202" s="57">
        <v>0</v>
      </c>
    </row>
    <row r="203" spans="2:5" ht="15" customHeight="1">
      <c r="B203" s="90"/>
      <c r="C203" s="55" t="s">
        <v>161</v>
      </c>
      <c r="D203" s="58">
        <v>2</v>
      </c>
      <c r="E203" s="57">
        <v>0</v>
      </c>
    </row>
    <row r="204" spans="2:5" ht="15" customHeight="1">
      <c r="B204" s="90"/>
      <c r="C204" s="55" t="s">
        <v>164</v>
      </c>
      <c r="D204" s="58">
        <v>2</v>
      </c>
      <c r="E204" s="57">
        <v>0</v>
      </c>
    </row>
    <row r="205" spans="2:5" ht="15" customHeight="1">
      <c r="B205" s="90"/>
      <c r="C205" s="55" t="s">
        <v>167</v>
      </c>
      <c r="D205" s="58">
        <v>2</v>
      </c>
      <c r="E205" s="57">
        <v>0</v>
      </c>
    </row>
    <row r="206" spans="2:5" ht="15" customHeight="1">
      <c r="B206" s="90"/>
      <c r="C206" s="55" t="s">
        <v>175</v>
      </c>
      <c r="D206" s="58">
        <v>2</v>
      </c>
      <c r="E206" s="57">
        <v>0</v>
      </c>
    </row>
    <row r="207" spans="2:5" ht="15" customHeight="1">
      <c r="B207" s="90"/>
      <c r="C207" s="55" t="s">
        <v>163</v>
      </c>
      <c r="D207" s="58">
        <v>1</v>
      </c>
      <c r="E207" s="57">
        <v>0</v>
      </c>
    </row>
    <row r="208" spans="2:5" ht="15" customHeight="1">
      <c r="B208" s="90"/>
      <c r="C208" s="55" t="s">
        <v>170</v>
      </c>
      <c r="D208" s="58">
        <v>1</v>
      </c>
      <c r="E208" s="57">
        <v>0</v>
      </c>
    </row>
    <row r="209" spans="2:5" ht="15" customHeight="1">
      <c r="B209" s="91"/>
      <c r="C209" s="72" t="s">
        <v>284</v>
      </c>
      <c r="D209" s="69">
        <v>382</v>
      </c>
      <c r="E209" s="71">
        <v>2.5000000000000001E-2</v>
      </c>
    </row>
    <row r="210" spans="2:5" ht="15" customHeight="1">
      <c r="B210" s="89" t="s">
        <v>107</v>
      </c>
      <c r="C210" s="55" t="s">
        <v>144</v>
      </c>
      <c r="D210" s="58">
        <v>121</v>
      </c>
      <c r="E210" s="57">
        <v>8.0000000000000002E-3</v>
      </c>
    </row>
    <row r="211" spans="2:5" ht="15" customHeight="1">
      <c r="B211" s="90"/>
      <c r="C211" s="55" t="s">
        <v>145</v>
      </c>
      <c r="D211" s="58">
        <v>43</v>
      </c>
      <c r="E211" s="57">
        <v>3.0000000000000001E-3</v>
      </c>
    </row>
    <row r="212" spans="2:5" ht="15" customHeight="1">
      <c r="B212" s="90"/>
      <c r="C212" s="55" t="s">
        <v>147</v>
      </c>
      <c r="D212" s="58">
        <v>22</v>
      </c>
      <c r="E212" s="57">
        <v>1E-3</v>
      </c>
    </row>
    <row r="213" spans="2:5" ht="15" customHeight="1">
      <c r="B213" s="90"/>
      <c r="C213" s="55" t="s">
        <v>143</v>
      </c>
      <c r="D213" s="58">
        <v>21</v>
      </c>
      <c r="E213" s="57">
        <v>1E-3</v>
      </c>
    </row>
    <row r="214" spans="2:5" ht="15" customHeight="1">
      <c r="B214" s="90"/>
      <c r="C214" s="55" t="s">
        <v>150</v>
      </c>
      <c r="D214" s="58">
        <v>21</v>
      </c>
      <c r="E214" s="57">
        <v>1E-3</v>
      </c>
    </row>
    <row r="215" spans="2:5" ht="15" customHeight="1">
      <c r="B215" s="90"/>
      <c r="C215" s="55" t="s">
        <v>146</v>
      </c>
      <c r="D215" s="58">
        <v>18</v>
      </c>
      <c r="E215" s="57">
        <v>1E-3</v>
      </c>
    </row>
    <row r="216" spans="2:5" ht="15" customHeight="1">
      <c r="B216" s="90"/>
      <c r="C216" s="55" t="s">
        <v>141</v>
      </c>
      <c r="D216" s="58">
        <v>16</v>
      </c>
      <c r="E216" s="57">
        <v>1E-3</v>
      </c>
    </row>
    <row r="217" spans="2:5" ht="15" customHeight="1">
      <c r="B217" s="90"/>
      <c r="C217" s="55" t="s">
        <v>164</v>
      </c>
      <c r="D217" s="58">
        <v>15</v>
      </c>
      <c r="E217" s="57">
        <v>1E-3</v>
      </c>
    </row>
    <row r="218" spans="2:5" ht="15" customHeight="1">
      <c r="B218" s="90"/>
      <c r="C218" s="55" t="s">
        <v>149</v>
      </c>
      <c r="D218" s="58">
        <v>13</v>
      </c>
      <c r="E218" s="57">
        <v>1E-3</v>
      </c>
    </row>
    <row r="219" spans="2:5" ht="15" customHeight="1">
      <c r="B219" s="90"/>
      <c r="C219" s="55" t="s">
        <v>156</v>
      </c>
      <c r="D219" s="58">
        <v>10</v>
      </c>
      <c r="E219" s="57">
        <v>1E-3</v>
      </c>
    </row>
    <row r="220" spans="2:5" ht="15" customHeight="1">
      <c r="B220" s="90"/>
      <c r="C220" s="55" t="s">
        <v>166</v>
      </c>
      <c r="D220" s="58">
        <v>7</v>
      </c>
      <c r="E220" s="57">
        <v>0</v>
      </c>
    </row>
    <row r="221" spans="2:5" ht="15" customHeight="1">
      <c r="B221" s="90"/>
      <c r="C221" s="55" t="s">
        <v>142</v>
      </c>
      <c r="D221" s="58">
        <v>6</v>
      </c>
      <c r="E221" s="57">
        <v>0</v>
      </c>
    </row>
    <row r="222" spans="2:5" ht="15" customHeight="1">
      <c r="B222" s="90"/>
      <c r="C222" s="55" t="s">
        <v>140</v>
      </c>
      <c r="D222" s="58">
        <v>5</v>
      </c>
      <c r="E222" s="57">
        <v>0</v>
      </c>
    </row>
    <row r="223" spans="2:5" ht="15" customHeight="1">
      <c r="B223" s="90"/>
      <c r="C223" s="55" t="s">
        <v>155</v>
      </c>
      <c r="D223" s="58">
        <v>5</v>
      </c>
      <c r="E223" s="57">
        <v>0</v>
      </c>
    </row>
    <row r="224" spans="2:5" ht="15" customHeight="1">
      <c r="B224" s="90"/>
      <c r="C224" s="55" t="s">
        <v>148</v>
      </c>
      <c r="D224" s="58">
        <v>4</v>
      </c>
      <c r="E224" s="57">
        <v>0</v>
      </c>
    </row>
    <row r="225" spans="2:5" ht="15" customHeight="1">
      <c r="B225" s="90"/>
      <c r="C225" s="55" t="s">
        <v>154</v>
      </c>
      <c r="D225" s="58">
        <v>4</v>
      </c>
      <c r="E225" s="57">
        <v>0</v>
      </c>
    </row>
    <row r="226" spans="2:5" ht="15" customHeight="1">
      <c r="B226" s="90"/>
      <c r="C226" s="55" t="s">
        <v>161</v>
      </c>
      <c r="D226" s="58">
        <v>3</v>
      </c>
      <c r="E226" s="57">
        <v>0</v>
      </c>
    </row>
    <row r="227" spans="2:5" ht="15" customHeight="1">
      <c r="B227" s="90"/>
      <c r="C227" s="55" t="s">
        <v>162</v>
      </c>
      <c r="D227" s="58">
        <v>3</v>
      </c>
      <c r="E227" s="57">
        <v>0</v>
      </c>
    </row>
    <row r="228" spans="2:5" ht="15" customHeight="1">
      <c r="B228" s="90"/>
      <c r="C228" s="55" t="s">
        <v>153</v>
      </c>
      <c r="D228" s="58">
        <v>3</v>
      </c>
      <c r="E228" s="57">
        <v>0</v>
      </c>
    </row>
    <row r="229" spans="2:5" ht="15" customHeight="1">
      <c r="B229" s="90"/>
      <c r="C229" s="55" t="s">
        <v>257</v>
      </c>
      <c r="D229" s="58">
        <v>2</v>
      </c>
      <c r="E229" s="57">
        <v>0</v>
      </c>
    </row>
    <row r="230" spans="2:5" ht="15" customHeight="1">
      <c r="B230" s="90"/>
      <c r="C230" s="55" t="s">
        <v>159</v>
      </c>
      <c r="D230" s="58">
        <v>2</v>
      </c>
      <c r="E230" s="57">
        <v>0</v>
      </c>
    </row>
    <row r="231" spans="2:5" ht="15" customHeight="1">
      <c r="B231" s="90"/>
      <c r="C231" s="55" t="s">
        <v>151</v>
      </c>
      <c r="D231" s="58">
        <v>2</v>
      </c>
      <c r="E231" s="57">
        <v>0</v>
      </c>
    </row>
    <row r="232" spans="2:5" ht="15" customHeight="1">
      <c r="B232" s="90"/>
      <c r="C232" s="55" t="s">
        <v>168</v>
      </c>
      <c r="D232" s="58">
        <v>2</v>
      </c>
      <c r="E232" s="57">
        <v>0</v>
      </c>
    </row>
    <row r="233" spans="2:5" ht="15" customHeight="1">
      <c r="B233" s="90"/>
      <c r="C233" s="55" t="s">
        <v>157</v>
      </c>
      <c r="D233" s="58">
        <v>1</v>
      </c>
      <c r="E233" s="57">
        <v>0</v>
      </c>
    </row>
    <row r="234" spans="2:5" ht="15" customHeight="1">
      <c r="B234" s="90"/>
      <c r="C234" s="55" t="s">
        <v>158</v>
      </c>
      <c r="D234" s="58">
        <v>1</v>
      </c>
      <c r="E234" s="57">
        <v>0</v>
      </c>
    </row>
    <row r="235" spans="2:5" ht="15" customHeight="1">
      <c r="B235" s="90"/>
      <c r="C235" s="55" t="s">
        <v>160</v>
      </c>
      <c r="D235" s="58">
        <v>1</v>
      </c>
      <c r="E235" s="57">
        <v>0</v>
      </c>
    </row>
    <row r="236" spans="2:5" ht="15" customHeight="1">
      <c r="B236" s="90"/>
      <c r="C236" s="55" t="s">
        <v>163</v>
      </c>
      <c r="D236" s="58">
        <v>1</v>
      </c>
      <c r="E236" s="57">
        <v>0</v>
      </c>
    </row>
    <row r="237" spans="2:5" ht="15" customHeight="1">
      <c r="B237" s="90"/>
      <c r="C237" s="55" t="s">
        <v>152</v>
      </c>
      <c r="D237" s="58">
        <v>1</v>
      </c>
      <c r="E237" s="57">
        <v>0</v>
      </c>
    </row>
    <row r="238" spans="2:5" ht="15" customHeight="1">
      <c r="B238" s="90"/>
      <c r="C238" s="55" t="s">
        <v>167</v>
      </c>
      <c r="D238" s="58">
        <v>1</v>
      </c>
      <c r="E238" s="57">
        <v>0</v>
      </c>
    </row>
    <row r="239" spans="2:5" ht="15" customHeight="1">
      <c r="B239" s="91"/>
      <c r="C239" s="72" t="s">
        <v>284</v>
      </c>
      <c r="D239" s="69">
        <v>354</v>
      </c>
      <c r="E239" s="71">
        <v>2.3E-2</v>
      </c>
    </row>
    <row r="240" spans="2:5" ht="15" customHeight="1">
      <c r="B240" s="89" t="s">
        <v>121</v>
      </c>
      <c r="C240" s="55" t="s">
        <v>143</v>
      </c>
      <c r="D240" s="58">
        <v>105</v>
      </c>
      <c r="E240" s="57">
        <v>7.0000000000000001E-3</v>
      </c>
    </row>
    <row r="241" spans="2:5" ht="15" customHeight="1">
      <c r="B241" s="90"/>
      <c r="C241" s="55" t="s">
        <v>165</v>
      </c>
      <c r="D241" s="58">
        <v>38</v>
      </c>
      <c r="E241" s="57">
        <v>2E-3</v>
      </c>
    </row>
    <row r="242" spans="2:5" ht="15" customHeight="1">
      <c r="B242" s="90"/>
      <c r="C242" s="55" t="s">
        <v>167</v>
      </c>
      <c r="D242" s="58">
        <v>37</v>
      </c>
      <c r="E242" s="57">
        <v>2E-3</v>
      </c>
    </row>
    <row r="243" spans="2:5" ht="15" customHeight="1">
      <c r="B243" s="90"/>
      <c r="C243" s="55" t="s">
        <v>144</v>
      </c>
      <c r="D243" s="58">
        <v>31</v>
      </c>
      <c r="E243" s="57">
        <v>2E-3</v>
      </c>
    </row>
    <row r="244" spans="2:5" ht="15" customHeight="1">
      <c r="B244" s="90"/>
      <c r="C244" s="55" t="s">
        <v>142</v>
      </c>
      <c r="D244" s="58">
        <v>25</v>
      </c>
      <c r="E244" s="57">
        <v>2E-3</v>
      </c>
    </row>
    <row r="245" spans="2:5" ht="15" customHeight="1">
      <c r="B245" s="90"/>
      <c r="C245" s="55" t="s">
        <v>148</v>
      </c>
      <c r="D245" s="58">
        <v>15</v>
      </c>
      <c r="E245" s="57">
        <v>1E-3</v>
      </c>
    </row>
    <row r="246" spans="2:5" ht="15" customHeight="1">
      <c r="B246" s="90"/>
      <c r="C246" s="55" t="s">
        <v>141</v>
      </c>
      <c r="D246" s="58">
        <v>12</v>
      </c>
      <c r="E246" s="57">
        <v>1E-3</v>
      </c>
    </row>
    <row r="247" spans="2:5" ht="15" customHeight="1">
      <c r="B247" s="90"/>
      <c r="C247" s="55" t="s">
        <v>155</v>
      </c>
      <c r="D247" s="58">
        <v>11</v>
      </c>
      <c r="E247" s="57">
        <v>1E-3</v>
      </c>
    </row>
    <row r="248" spans="2:5" ht="15" customHeight="1">
      <c r="B248" s="90"/>
      <c r="C248" s="55" t="s">
        <v>147</v>
      </c>
      <c r="D248" s="58">
        <v>9</v>
      </c>
      <c r="E248" s="57">
        <v>1E-3</v>
      </c>
    </row>
    <row r="249" spans="2:5" ht="15" customHeight="1">
      <c r="B249" s="90"/>
      <c r="C249" s="55" t="s">
        <v>159</v>
      </c>
      <c r="D249" s="58">
        <v>8</v>
      </c>
      <c r="E249" s="57">
        <v>1E-3</v>
      </c>
    </row>
    <row r="250" spans="2:5" ht="15" customHeight="1">
      <c r="B250" s="90"/>
      <c r="C250" s="55" t="s">
        <v>160</v>
      </c>
      <c r="D250" s="58">
        <v>6</v>
      </c>
      <c r="E250" s="57">
        <v>0</v>
      </c>
    </row>
    <row r="251" spans="2:5" ht="15" customHeight="1">
      <c r="B251" s="90"/>
      <c r="C251" s="55" t="s">
        <v>156</v>
      </c>
      <c r="D251" s="58">
        <v>6</v>
      </c>
      <c r="E251" s="57">
        <v>0</v>
      </c>
    </row>
    <row r="252" spans="2:5" ht="15" customHeight="1">
      <c r="B252" s="90"/>
      <c r="C252" s="55" t="s">
        <v>257</v>
      </c>
      <c r="D252" s="58">
        <v>5</v>
      </c>
      <c r="E252" s="57">
        <v>0</v>
      </c>
    </row>
    <row r="253" spans="2:5" ht="15" customHeight="1">
      <c r="B253" s="90"/>
      <c r="C253" s="55" t="s">
        <v>163</v>
      </c>
      <c r="D253" s="58">
        <v>5</v>
      </c>
      <c r="E253" s="57">
        <v>0</v>
      </c>
    </row>
    <row r="254" spans="2:5" ht="15" customHeight="1">
      <c r="B254" s="90"/>
      <c r="C254" s="55" t="s">
        <v>154</v>
      </c>
      <c r="D254" s="58">
        <v>5</v>
      </c>
      <c r="E254" s="57">
        <v>0</v>
      </c>
    </row>
    <row r="255" spans="2:5" ht="15" customHeight="1">
      <c r="B255" s="90"/>
      <c r="C255" s="55" t="s">
        <v>170</v>
      </c>
      <c r="D255" s="58">
        <v>5</v>
      </c>
      <c r="E255" s="57">
        <v>0</v>
      </c>
    </row>
    <row r="256" spans="2:5" ht="15" customHeight="1">
      <c r="B256" s="90"/>
      <c r="C256" s="55" t="s">
        <v>175</v>
      </c>
      <c r="D256" s="58">
        <v>5</v>
      </c>
      <c r="E256" s="57">
        <v>0</v>
      </c>
    </row>
    <row r="257" spans="2:5" ht="15" customHeight="1">
      <c r="B257" s="90"/>
      <c r="C257" s="55" t="s">
        <v>169</v>
      </c>
      <c r="D257" s="58">
        <v>4</v>
      </c>
      <c r="E257" s="57">
        <v>0</v>
      </c>
    </row>
    <row r="258" spans="2:5" ht="15" customHeight="1">
      <c r="B258" s="90"/>
      <c r="C258" s="55" t="s">
        <v>151</v>
      </c>
      <c r="D258" s="58">
        <v>4</v>
      </c>
      <c r="E258" s="57">
        <v>0</v>
      </c>
    </row>
    <row r="259" spans="2:5" ht="15" customHeight="1">
      <c r="B259" s="90"/>
      <c r="C259" s="55" t="s">
        <v>168</v>
      </c>
      <c r="D259" s="58">
        <v>4</v>
      </c>
      <c r="E259" s="57">
        <v>0</v>
      </c>
    </row>
    <row r="260" spans="2:5" ht="15" customHeight="1">
      <c r="B260" s="90"/>
      <c r="C260" s="55" t="s">
        <v>145</v>
      </c>
      <c r="D260" s="58">
        <v>2</v>
      </c>
      <c r="E260" s="57">
        <v>0</v>
      </c>
    </row>
    <row r="261" spans="2:5" ht="15" customHeight="1">
      <c r="B261" s="90"/>
      <c r="C261" s="55" t="s">
        <v>146</v>
      </c>
      <c r="D261" s="58">
        <v>2</v>
      </c>
      <c r="E261" s="57">
        <v>0</v>
      </c>
    </row>
    <row r="262" spans="2:5" ht="15" customHeight="1">
      <c r="B262" s="90"/>
      <c r="C262" s="55" t="s">
        <v>164</v>
      </c>
      <c r="D262" s="58">
        <v>2</v>
      </c>
      <c r="E262" s="57">
        <v>0</v>
      </c>
    </row>
    <row r="263" spans="2:5" ht="15" customHeight="1">
      <c r="B263" s="90"/>
      <c r="C263" s="55" t="s">
        <v>140</v>
      </c>
      <c r="D263" s="58">
        <v>1</v>
      </c>
      <c r="E263" s="57">
        <v>0</v>
      </c>
    </row>
    <row r="264" spans="2:5" ht="15" customHeight="1">
      <c r="B264" s="90"/>
      <c r="C264" s="55" t="s">
        <v>161</v>
      </c>
      <c r="D264" s="58">
        <v>1</v>
      </c>
      <c r="E264" s="57">
        <v>0</v>
      </c>
    </row>
    <row r="265" spans="2:5" ht="15" customHeight="1">
      <c r="B265" s="90"/>
      <c r="C265" s="55" t="s">
        <v>149</v>
      </c>
      <c r="D265" s="58">
        <v>1</v>
      </c>
      <c r="E265" s="57">
        <v>0</v>
      </c>
    </row>
    <row r="266" spans="2:5" ht="15" customHeight="1">
      <c r="B266" s="90"/>
      <c r="C266" s="55" t="s">
        <v>173</v>
      </c>
      <c r="D266" s="58">
        <v>1</v>
      </c>
      <c r="E266" s="57">
        <v>0</v>
      </c>
    </row>
    <row r="267" spans="2:5" ht="15" customHeight="1">
      <c r="B267" s="90"/>
      <c r="C267" s="55" t="s">
        <v>153</v>
      </c>
      <c r="D267" s="58">
        <v>1</v>
      </c>
      <c r="E267" s="57">
        <v>0</v>
      </c>
    </row>
    <row r="268" spans="2:5" ht="15" customHeight="1">
      <c r="B268" s="90"/>
      <c r="C268" s="55" t="s">
        <v>174</v>
      </c>
      <c r="D268" s="58">
        <v>1</v>
      </c>
      <c r="E268" s="57">
        <v>0</v>
      </c>
    </row>
    <row r="269" spans="2:5" ht="15" customHeight="1">
      <c r="B269" s="90"/>
      <c r="C269" s="55" t="s">
        <v>166</v>
      </c>
      <c r="D269" s="58">
        <v>1</v>
      </c>
      <c r="E269" s="57">
        <v>0</v>
      </c>
    </row>
    <row r="270" spans="2:5" ht="15" customHeight="1">
      <c r="B270" s="91"/>
      <c r="C270" s="72" t="s">
        <v>284</v>
      </c>
      <c r="D270" s="69">
        <v>353</v>
      </c>
      <c r="E270" s="71">
        <v>2.3E-2</v>
      </c>
    </row>
    <row r="271" spans="2:5" ht="15" customHeight="1">
      <c r="B271" s="89" t="s">
        <v>104</v>
      </c>
      <c r="C271" s="55" t="s">
        <v>144</v>
      </c>
      <c r="D271" s="58">
        <v>68</v>
      </c>
      <c r="E271" s="57">
        <v>4.0000000000000001E-3</v>
      </c>
    </row>
    <row r="272" spans="2:5" ht="15" customHeight="1">
      <c r="B272" s="90"/>
      <c r="C272" s="55" t="s">
        <v>165</v>
      </c>
      <c r="D272" s="58">
        <v>42</v>
      </c>
      <c r="E272" s="57">
        <v>3.0000000000000001E-3</v>
      </c>
    </row>
    <row r="273" spans="2:5" ht="15" customHeight="1">
      <c r="B273" s="90"/>
      <c r="C273" s="55" t="s">
        <v>143</v>
      </c>
      <c r="D273" s="58">
        <v>35</v>
      </c>
      <c r="E273" s="57">
        <v>2E-3</v>
      </c>
    </row>
    <row r="274" spans="2:5" ht="15" customHeight="1">
      <c r="B274" s="90"/>
      <c r="C274" s="55" t="s">
        <v>156</v>
      </c>
      <c r="D274" s="58">
        <v>28</v>
      </c>
      <c r="E274" s="57">
        <v>2E-3</v>
      </c>
    </row>
    <row r="275" spans="2:5" ht="15" customHeight="1">
      <c r="B275" s="90"/>
      <c r="C275" s="55" t="s">
        <v>147</v>
      </c>
      <c r="D275" s="58">
        <v>20</v>
      </c>
      <c r="E275" s="57">
        <v>1E-3</v>
      </c>
    </row>
    <row r="276" spans="2:5" ht="15" customHeight="1">
      <c r="B276" s="90"/>
      <c r="C276" s="55" t="s">
        <v>142</v>
      </c>
      <c r="D276" s="58">
        <v>13</v>
      </c>
      <c r="E276" s="57">
        <v>1E-3</v>
      </c>
    </row>
    <row r="277" spans="2:5" ht="15" customHeight="1">
      <c r="B277" s="90"/>
      <c r="C277" s="55" t="s">
        <v>162</v>
      </c>
      <c r="D277" s="58">
        <v>11</v>
      </c>
      <c r="E277" s="57">
        <v>1E-3</v>
      </c>
    </row>
    <row r="278" spans="2:5" ht="15" customHeight="1">
      <c r="B278" s="90"/>
      <c r="C278" s="55" t="s">
        <v>159</v>
      </c>
      <c r="D278" s="58">
        <v>10</v>
      </c>
      <c r="E278" s="57">
        <v>1E-3</v>
      </c>
    </row>
    <row r="279" spans="2:5" ht="15" customHeight="1">
      <c r="B279" s="90"/>
      <c r="C279" s="55" t="s">
        <v>148</v>
      </c>
      <c r="D279" s="58">
        <v>8</v>
      </c>
      <c r="E279" s="57">
        <v>1E-3</v>
      </c>
    </row>
    <row r="280" spans="2:5" ht="15" customHeight="1">
      <c r="B280" s="90"/>
      <c r="C280" s="55" t="s">
        <v>150</v>
      </c>
      <c r="D280" s="58">
        <v>8</v>
      </c>
      <c r="E280" s="57">
        <v>1E-3</v>
      </c>
    </row>
    <row r="281" spans="2:5" ht="15" customHeight="1">
      <c r="B281" s="90"/>
      <c r="C281" s="55" t="s">
        <v>146</v>
      </c>
      <c r="D281" s="58">
        <v>7</v>
      </c>
      <c r="E281" s="57">
        <v>0</v>
      </c>
    </row>
    <row r="282" spans="2:5" ht="15" customHeight="1">
      <c r="B282" s="90"/>
      <c r="C282" s="55" t="s">
        <v>149</v>
      </c>
      <c r="D282" s="58">
        <v>7</v>
      </c>
      <c r="E282" s="57">
        <v>0</v>
      </c>
    </row>
    <row r="283" spans="2:5" ht="15" customHeight="1">
      <c r="B283" s="90"/>
      <c r="C283" s="55" t="s">
        <v>170</v>
      </c>
      <c r="D283" s="58">
        <v>7</v>
      </c>
      <c r="E283" s="57">
        <v>0</v>
      </c>
    </row>
    <row r="284" spans="2:5" ht="15" customHeight="1">
      <c r="B284" s="90"/>
      <c r="C284" s="55" t="s">
        <v>153</v>
      </c>
      <c r="D284" s="58">
        <v>5</v>
      </c>
      <c r="E284" s="57">
        <v>0</v>
      </c>
    </row>
    <row r="285" spans="2:5" ht="15" customHeight="1">
      <c r="B285" s="90"/>
      <c r="C285" s="55" t="s">
        <v>155</v>
      </c>
      <c r="D285" s="58">
        <v>5</v>
      </c>
      <c r="E285" s="57">
        <v>0</v>
      </c>
    </row>
    <row r="286" spans="2:5" ht="15" customHeight="1">
      <c r="B286" s="90"/>
      <c r="C286" s="55" t="s">
        <v>167</v>
      </c>
      <c r="D286" s="58">
        <v>5</v>
      </c>
      <c r="E286" s="57">
        <v>0</v>
      </c>
    </row>
    <row r="287" spans="2:5" ht="15" customHeight="1">
      <c r="B287" s="90"/>
      <c r="C287" s="55" t="s">
        <v>145</v>
      </c>
      <c r="D287" s="58">
        <v>4</v>
      </c>
      <c r="E287" s="57">
        <v>0</v>
      </c>
    </row>
    <row r="288" spans="2:5" ht="15" customHeight="1">
      <c r="B288" s="90"/>
      <c r="C288" s="55" t="s">
        <v>152</v>
      </c>
      <c r="D288" s="58">
        <v>4</v>
      </c>
      <c r="E288" s="57">
        <v>0</v>
      </c>
    </row>
    <row r="289" spans="2:5" ht="15" customHeight="1">
      <c r="B289" s="90"/>
      <c r="C289" s="55" t="s">
        <v>166</v>
      </c>
      <c r="D289" s="58">
        <v>4</v>
      </c>
      <c r="E289" s="57">
        <v>0</v>
      </c>
    </row>
    <row r="290" spans="2:5" ht="15" customHeight="1">
      <c r="B290" s="90"/>
      <c r="C290" s="55" t="s">
        <v>141</v>
      </c>
      <c r="D290" s="58">
        <v>3</v>
      </c>
      <c r="E290" s="57">
        <v>0</v>
      </c>
    </row>
    <row r="291" spans="2:5" ht="15" customHeight="1">
      <c r="B291" s="90"/>
      <c r="C291" s="55" t="s">
        <v>257</v>
      </c>
      <c r="D291" s="58">
        <v>3</v>
      </c>
      <c r="E291" s="57">
        <v>0</v>
      </c>
    </row>
    <row r="292" spans="2:5" ht="15" customHeight="1">
      <c r="B292" s="90"/>
      <c r="C292" s="55" t="s">
        <v>173</v>
      </c>
      <c r="D292" s="58">
        <v>3</v>
      </c>
      <c r="E292" s="57">
        <v>0</v>
      </c>
    </row>
    <row r="293" spans="2:5" ht="15" customHeight="1">
      <c r="B293" s="90"/>
      <c r="C293" s="55" t="s">
        <v>140</v>
      </c>
      <c r="D293" s="58">
        <v>2</v>
      </c>
      <c r="E293" s="57">
        <v>0</v>
      </c>
    </row>
    <row r="294" spans="2:5" ht="15" customHeight="1">
      <c r="B294" s="90"/>
      <c r="C294" s="55" t="s">
        <v>157</v>
      </c>
      <c r="D294" s="58">
        <v>2</v>
      </c>
      <c r="E294" s="57">
        <v>0</v>
      </c>
    </row>
    <row r="295" spans="2:5" ht="15" customHeight="1">
      <c r="B295" s="90"/>
      <c r="C295" s="55" t="s">
        <v>160</v>
      </c>
      <c r="D295" s="58">
        <v>2</v>
      </c>
      <c r="E295" s="57">
        <v>0</v>
      </c>
    </row>
    <row r="296" spans="2:5" ht="15" customHeight="1">
      <c r="B296" s="90"/>
      <c r="C296" s="55" t="s">
        <v>174</v>
      </c>
      <c r="D296" s="58">
        <v>2</v>
      </c>
      <c r="E296" s="57">
        <v>0</v>
      </c>
    </row>
    <row r="297" spans="2:5" ht="15" customHeight="1">
      <c r="B297" s="90"/>
      <c r="C297" s="55" t="s">
        <v>169</v>
      </c>
      <c r="D297" s="58">
        <v>1</v>
      </c>
      <c r="E297" s="57">
        <v>0</v>
      </c>
    </row>
    <row r="298" spans="2:5" ht="15" customHeight="1">
      <c r="B298" s="90"/>
      <c r="C298" s="55" t="s">
        <v>158</v>
      </c>
      <c r="D298" s="58">
        <v>1</v>
      </c>
      <c r="E298" s="57">
        <v>0</v>
      </c>
    </row>
    <row r="299" spans="2:5" ht="15" customHeight="1">
      <c r="B299" s="90"/>
      <c r="C299" s="55" t="s">
        <v>161</v>
      </c>
      <c r="D299" s="58">
        <v>1</v>
      </c>
      <c r="E299" s="57">
        <v>0</v>
      </c>
    </row>
    <row r="300" spans="2:5" ht="15" customHeight="1">
      <c r="B300" s="90"/>
      <c r="C300" s="55" t="s">
        <v>163</v>
      </c>
      <c r="D300" s="58">
        <v>1</v>
      </c>
      <c r="E300" s="57">
        <v>0</v>
      </c>
    </row>
    <row r="301" spans="2:5" ht="15" customHeight="1">
      <c r="B301" s="90"/>
      <c r="C301" s="55" t="s">
        <v>164</v>
      </c>
      <c r="D301" s="58">
        <v>1</v>
      </c>
      <c r="E301" s="57">
        <v>0</v>
      </c>
    </row>
    <row r="302" spans="2:5" ht="15" customHeight="1">
      <c r="B302" s="90"/>
      <c r="C302" s="55" t="s">
        <v>154</v>
      </c>
      <c r="D302" s="58">
        <v>1</v>
      </c>
      <c r="E302" s="57">
        <v>0</v>
      </c>
    </row>
    <row r="303" spans="2:5" ht="15" customHeight="1">
      <c r="B303" s="91"/>
      <c r="C303" s="72" t="s">
        <v>284</v>
      </c>
      <c r="D303" s="73">
        <v>314</v>
      </c>
      <c r="E303" s="71">
        <v>0.02</v>
      </c>
    </row>
    <row r="304" spans="2:5" ht="15" customHeight="1">
      <c r="B304" s="89" t="s">
        <v>124</v>
      </c>
      <c r="C304" s="55" t="s">
        <v>144</v>
      </c>
      <c r="D304" s="58">
        <v>64</v>
      </c>
      <c r="E304" s="57">
        <v>4.0000000000000001E-3</v>
      </c>
    </row>
    <row r="305" spans="2:5" ht="15" customHeight="1">
      <c r="B305" s="90"/>
      <c r="C305" s="55" t="s">
        <v>143</v>
      </c>
      <c r="D305" s="58">
        <v>45</v>
      </c>
      <c r="E305" s="57">
        <v>3.0000000000000001E-3</v>
      </c>
    </row>
    <row r="306" spans="2:5" ht="15" customHeight="1">
      <c r="B306" s="90"/>
      <c r="C306" s="55" t="s">
        <v>162</v>
      </c>
      <c r="D306" s="58">
        <v>37</v>
      </c>
      <c r="E306" s="57">
        <v>2E-3</v>
      </c>
    </row>
    <row r="307" spans="2:5" ht="15" customHeight="1">
      <c r="B307" s="90"/>
      <c r="C307" s="55" t="s">
        <v>157</v>
      </c>
      <c r="D307" s="58">
        <v>24</v>
      </c>
      <c r="E307" s="57">
        <v>2E-3</v>
      </c>
    </row>
    <row r="308" spans="2:5" ht="15" customHeight="1">
      <c r="B308" s="90"/>
      <c r="C308" s="55" t="s">
        <v>156</v>
      </c>
      <c r="D308" s="58">
        <v>23</v>
      </c>
      <c r="E308" s="57">
        <v>1E-3</v>
      </c>
    </row>
    <row r="309" spans="2:5" ht="15" customHeight="1">
      <c r="B309" s="90"/>
      <c r="C309" s="55" t="s">
        <v>142</v>
      </c>
      <c r="D309" s="58">
        <v>21</v>
      </c>
      <c r="E309" s="57">
        <v>1E-3</v>
      </c>
    </row>
    <row r="310" spans="2:5" ht="15" customHeight="1">
      <c r="B310" s="90"/>
      <c r="C310" s="55" t="s">
        <v>147</v>
      </c>
      <c r="D310" s="58">
        <v>13</v>
      </c>
      <c r="E310" s="57">
        <v>1E-3</v>
      </c>
    </row>
    <row r="311" spans="2:5" ht="15" customHeight="1">
      <c r="B311" s="90"/>
      <c r="C311" s="55" t="s">
        <v>152</v>
      </c>
      <c r="D311" s="58">
        <v>10</v>
      </c>
      <c r="E311" s="57">
        <v>1E-3</v>
      </c>
    </row>
    <row r="312" spans="2:5" ht="15" customHeight="1">
      <c r="B312" s="90"/>
      <c r="C312" s="55" t="s">
        <v>150</v>
      </c>
      <c r="D312" s="58">
        <v>9</v>
      </c>
      <c r="E312" s="57">
        <v>1E-3</v>
      </c>
    </row>
    <row r="313" spans="2:5" ht="15" customHeight="1">
      <c r="B313" s="90"/>
      <c r="C313" s="55" t="s">
        <v>155</v>
      </c>
      <c r="D313" s="58">
        <v>9</v>
      </c>
      <c r="E313" s="57">
        <v>1E-3</v>
      </c>
    </row>
    <row r="314" spans="2:5" ht="15" customHeight="1">
      <c r="B314" s="90"/>
      <c r="C314" s="55" t="s">
        <v>159</v>
      </c>
      <c r="D314" s="58">
        <v>7</v>
      </c>
      <c r="E314" s="57">
        <v>0</v>
      </c>
    </row>
    <row r="315" spans="2:5" ht="15" customHeight="1">
      <c r="B315" s="90"/>
      <c r="C315" s="55" t="s">
        <v>146</v>
      </c>
      <c r="D315" s="58">
        <v>6</v>
      </c>
      <c r="E315" s="57">
        <v>0</v>
      </c>
    </row>
    <row r="316" spans="2:5" ht="15" customHeight="1">
      <c r="B316" s="90"/>
      <c r="C316" s="55" t="s">
        <v>164</v>
      </c>
      <c r="D316" s="58">
        <v>5</v>
      </c>
      <c r="E316" s="57">
        <v>0</v>
      </c>
    </row>
    <row r="317" spans="2:5" ht="15" customHeight="1">
      <c r="B317" s="90"/>
      <c r="C317" s="55" t="s">
        <v>153</v>
      </c>
      <c r="D317" s="58">
        <v>5</v>
      </c>
      <c r="E317" s="57">
        <v>0</v>
      </c>
    </row>
    <row r="318" spans="2:5" ht="15" customHeight="1">
      <c r="B318" s="90"/>
      <c r="C318" s="55" t="s">
        <v>140</v>
      </c>
      <c r="D318" s="58">
        <v>4</v>
      </c>
      <c r="E318" s="57">
        <v>0</v>
      </c>
    </row>
    <row r="319" spans="2:5" ht="15" customHeight="1">
      <c r="B319" s="90"/>
      <c r="C319" s="55" t="s">
        <v>145</v>
      </c>
      <c r="D319" s="58">
        <v>3</v>
      </c>
      <c r="E319" s="57">
        <v>0</v>
      </c>
    </row>
    <row r="320" spans="2:5" ht="15" customHeight="1">
      <c r="B320" s="90"/>
      <c r="C320" s="55" t="s">
        <v>161</v>
      </c>
      <c r="D320" s="58">
        <v>3</v>
      </c>
      <c r="E320" s="57">
        <v>0</v>
      </c>
    </row>
    <row r="321" spans="2:5" ht="15" customHeight="1">
      <c r="B321" s="90"/>
      <c r="C321" s="55" t="s">
        <v>149</v>
      </c>
      <c r="D321" s="58">
        <v>3</v>
      </c>
      <c r="E321" s="57">
        <v>0</v>
      </c>
    </row>
    <row r="322" spans="2:5" ht="15" customHeight="1">
      <c r="B322" s="90"/>
      <c r="C322" s="55" t="s">
        <v>154</v>
      </c>
      <c r="D322" s="58">
        <v>3</v>
      </c>
      <c r="E322" s="57">
        <v>0</v>
      </c>
    </row>
    <row r="323" spans="2:5" ht="15" customHeight="1">
      <c r="B323" s="90"/>
      <c r="C323" s="55" t="s">
        <v>166</v>
      </c>
      <c r="D323" s="58">
        <v>3</v>
      </c>
      <c r="E323" s="57">
        <v>0</v>
      </c>
    </row>
    <row r="324" spans="2:5" ht="15" customHeight="1">
      <c r="B324" s="90"/>
      <c r="C324" s="55" t="s">
        <v>169</v>
      </c>
      <c r="D324" s="58">
        <v>2</v>
      </c>
      <c r="E324" s="57">
        <v>0</v>
      </c>
    </row>
    <row r="325" spans="2:5" ht="15" customHeight="1">
      <c r="B325" s="90"/>
      <c r="C325" s="55" t="s">
        <v>141</v>
      </c>
      <c r="D325" s="58">
        <v>2</v>
      </c>
      <c r="E325" s="57">
        <v>0</v>
      </c>
    </row>
    <row r="326" spans="2:5" ht="15" customHeight="1">
      <c r="B326" s="90"/>
      <c r="C326" s="55" t="s">
        <v>148</v>
      </c>
      <c r="D326" s="58">
        <v>2</v>
      </c>
      <c r="E326" s="57">
        <v>0</v>
      </c>
    </row>
    <row r="327" spans="2:5" ht="15" customHeight="1">
      <c r="B327" s="90"/>
      <c r="C327" s="55" t="s">
        <v>151</v>
      </c>
      <c r="D327" s="58">
        <v>2</v>
      </c>
      <c r="E327" s="57">
        <v>0</v>
      </c>
    </row>
    <row r="328" spans="2:5" ht="15" customHeight="1">
      <c r="B328" s="90"/>
      <c r="C328" s="55" t="s">
        <v>167</v>
      </c>
      <c r="D328" s="58">
        <v>2</v>
      </c>
      <c r="E328" s="57">
        <v>0</v>
      </c>
    </row>
    <row r="329" spans="2:5" ht="15" customHeight="1">
      <c r="B329" s="90"/>
      <c r="C329" s="55" t="s">
        <v>171</v>
      </c>
      <c r="D329" s="58">
        <v>1</v>
      </c>
      <c r="E329" s="57">
        <v>0</v>
      </c>
    </row>
    <row r="330" spans="2:5" ht="15" customHeight="1">
      <c r="B330" s="90"/>
      <c r="C330" s="55" t="s">
        <v>257</v>
      </c>
      <c r="D330" s="58">
        <v>1</v>
      </c>
      <c r="E330" s="57">
        <v>0</v>
      </c>
    </row>
    <row r="331" spans="2:5" ht="15" customHeight="1">
      <c r="B331" s="90"/>
      <c r="C331" s="55" t="s">
        <v>160</v>
      </c>
      <c r="D331" s="58">
        <v>1</v>
      </c>
      <c r="E331" s="57">
        <v>0</v>
      </c>
    </row>
    <row r="332" spans="2:5" ht="15" customHeight="1">
      <c r="B332" s="90"/>
      <c r="C332" s="55" t="s">
        <v>170</v>
      </c>
      <c r="D332" s="58">
        <v>1</v>
      </c>
      <c r="E332" s="57">
        <v>0</v>
      </c>
    </row>
    <row r="333" spans="2:5" ht="15" customHeight="1">
      <c r="B333" s="91"/>
      <c r="C333" s="72" t="s">
        <v>284</v>
      </c>
      <c r="D333" s="73">
        <v>311</v>
      </c>
      <c r="E333" s="71">
        <v>0.02</v>
      </c>
    </row>
    <row r="334" spans="2:5" ht="15" customHeight="1">
      <c r="B334" s="89" t="s">
        <v>120</v>
      </c>
      <c r="C334" s="55" t="s">
        <v>144</v>
      </c>
      <c r="D334" s="58">
        <v>60</v>
      </c>
      <c r="E334" s="57">
        <v>4.0000000000000001E-3</v>
      </c>
    </row>
    <row r="335" spans="2:5" ht="15" customHeight="1">
      <c r="B335" s="90"/>
      <c r="C335" s="55" t="s">
        <v>143</v>
      </c>
      <c r="D335" s="58">
        <v>48</v>
      </c>
      <c r="E335" s="57">
        <v>3.0000000000000001E-3</v>
      </c>
    </row>
    <row r="336" spans="2:5" ht="15" customHeight="1">
      <c r="B336" s="90"/>
      <c r="C336" s="55" t="s">
        <v>147</v>
      </c>
      <c r="D336" s="58">
        <v>24</v>
      </c>
      <c r="E336" s="57">
        <v>2E-3</v>
      </c>
    </row>
    <row r="337" spans="2:5" ht="15" customHeight="1">
      <c r="B337" s="90"/>
      <c r="C337" s="55" t="s">
        <v>142</v>
      </c>
      <c r="D337" s="58">
        <v>22</v>
      </c>
      <c r="E337" s="57">
        <v>1E-3</v>
      </c>
    </row>
    <row r="338" spans="2:5" ht="15" customHeight="1">
      <c r="B338" s="90"/>
      <c r="C338" s="55" t="s">
        <v>257</v>
      </c>
      <c r="D338" s="58">
        <v>21</v>
      </c>
      <c r="E338" s="57">
        <v>1E-3</v>
      </c>
    </row>
    <row r="339" spans="2:5" ht="15" customHeight="1">
      <c r="B339" s="90"/>
      <c r="C339" s="55" t="s">
        <v>156</v>
      </c>
      <c r="D339" s="58">
        <v>20</v>
      </c>
      <c r="E339" s="57">
        <v>1E-3</v>
      </c>
    </row>
    <row r="340" spans="2:5" ht="15" customHeight="1">
      <c r="B340" s="90"/>
      <c r="C340" s="55" t="s">
        <v>149</v>
      </c>
      <c r="D340" s="58">
        <v>13</v>
      </c>
      <c r="E340" s="57">
        <v>1E-3</v>
      </c>
    </row>
    <row r="341" spans="2:5" ht="15" customHeight="1">
      <c r="B341" s="90"/>
      <c r="C341" s="55" t="s">
        <v>155</v>
      </c>
      <c r="D341" s="58">
        <v>13</v>
      </c>
      <c r="E341" s="57">
        <v>1E-3</v>
      </c>
    </row>
    <row r="342" spans="2:5" ht="15" customHeight="1">
      <c r="B342" s="90"/>
      <c r="C342" s="55" t="s">
        <v>153</v>
      </c>
      <c r="D342" s="58">
        <v>9</v>
      </c>
      <c r="E342" s="57">
        <v>1E-3</v>
      </c>
    </row>
    <row r="343" spans="2:5" ht="15" customHeight="1">
      <c r="B343" s="90"/>
      <c r="C343" s="55" t="s">
        <v>154</v>
      </c>
      <c r="D343" s="58">
        <v>9</v>
      </c>
      <c r="E343" s="57">
        <v>1E-3</v>
      </c>
    </row>
    <row r="344" spans="2:5" ht="15" customHeight="1">
      <c r="B344" s="90"/>
      <c r="C344" s="55" t="s">
        <v>167</v>
      </c>
      <c r="D344" s="58">
        <v>7</v>
      </c>
      <c r="E344" s="57">
        <v>0</v>
      </c>
    </row>
    <row r="345" spans="2:5" ht="15" customHeight="1">
      <c r="B345" s="90"/>
      <c r="C345" s="55" t="s">
        <v>151</v>
      </c>
      <c r="D345" s="58">
        <v>6</v>
      </c>
      <c r="E345" s="57">
        <v>0</v>
      </c>
    </row>
    <row r="346" spans="2:5" ht="15" customHeight="1">
      <c r="B346" s="90"/>
      <c r="C346" s="55" t="s">
        <v>141</v>
      </c>
      <c r="D346" s="58">
        <v>5</v>
      </c>
      <c r="E346" s="57">
        <v>0</v>
      </c>
    </row>
    <row r="347" spans="2:5" ht="15" customHeight="1">
      <c r="B347" s="90"/>
      <c r="C347" s="55" t="s">
        <v>159</v>
      </c>
      <c r="D347" s="58">
        <v>5</v>
      </c>
      <c r="E347" s="57">
        <v>0</v>
      </c>
    </row>
    <row r="348" spans="2:5" ht="15" customHeight="1">
      <c r="B348" s="90"/>
      <c r="C348" s="55" t="s">
        <v>166</v>
      </c>
      <c r="D348" s="58">
        <v>5</v>
      </c>
      <c r="E348" s="57">
        <v>0</v>
      </c>
    </row>
    <row r="349" spans="2:5" ht="15" customHeight="1">
      <c r="B349" s="90"/>
      <c r="C349" s="55" t="s">
        <v>146</v>
      </c>
      <c r="D349" s="58">
        <v>4</v>
      </c>
      <c r="E349" s="57">
        <v>0</v>
      </c>
    </row>
    <row r="350" spans="2:5" ht="15" customHeight="1">
      <c r="B350" s="90"/>
      <c r="C350" s="55" t="s">
        <v>160</v>
      </c>
      <c r="D350" s="58">
        <v>4</v>
      </c>
      <c r="E350" s="57">
        <v>0</v>
      </c>
    </row>
    <row r="351" spans="2:5" ht="15" customHeight="1">
      <c r="B351" s="90"/>
      <c r="C351" s="55" t="s">
        <v>150</v>
      </c>
      <c r="D351" s="58">
        <v>4</v>
      </c>
      <c r="E351" s="57">
        <v>0</v>
      </c>
    </row>
    <row r="352" spans="2:5" ht="15" customHeight="1">
      <c r="B352" s="90"/>
      <c r="C352" s="55" t="s">
        <v>164</v>
      </c>
      <c r="D352" s="58">
        <v>4</v>
      </c>
      <c r="E352" s="57">
        <v>0</v>
      </c>
    </row>
    <row r="353" spans="2:5" ht="15" customHeight="1">
      <c r="B353" s="90"/>
      <c r="C353" s="55" t="s">
        <v>168</v>
      </c>
      <c r="D353" s="58">
        <v>4</v>
      </c>
      <c r="E353" s="57">
        <v>0</v>
      </c>
    </row>
    <row r="354" spans="2:5" ht="15" customHeight="1">
      <c r="B354" s="90"/>
      <c r="C354" s="55" t="s">
        <v>140</v>
      </c>
      <c r="D354" s="58">
        <v>3</v>
      </c>
      <c r="E354" s="57">
        <v>0</v>
      </c>
    </row>
    <row r="355" spans="2:5" ht="15" customHeight="1">
      <c r="B355" s="90"/>
      <c r="C355" s="55" t="s">
        <v>163</v>
      </c>
      <c r="D355" s="58">
        <v>3</v>
      </c>
      <c r="E355" s="57">
        <v>0</v>
      </c>
    </row>
    <row r="356" spans="2:5" ht="15" customHeight="1">
      <c r="B356" s="90"/>
      <c r="C356" s="55" t="s">
        <v>145</v>
      </c>
      <c r="D356" s="58">
        <v>2</v>
      </c>
      <c r="E356" s="57">
        <v>0</v>
      </c>
    </row>
    <row r="357" spans="2:5" ht="15" customHeight="1">
      <c r="B357" s="90"/>
      <c r="C357" s="55" t="s">
        <v>162</v>
      </c>
      <c r="D357" s="58">
        <v>2</v>
      </c>
      <c r="E357" s="57">
        <v>0</v>
      </c>
    </row>
    <row r="358" spans="2:5" ht="15" customHeight="1">
      <c r="B358" s="90"/>
      <c r="C358" s="55" t="s">
        <v>174</v>
      </c>
      <c r="D358" s="58">
        <v>2</v>
      </c>
      <c r="E358" s="57">
        <v>0</v>
      </c>
    </row>
    <row r="359" spans="2:5" ht="15" customHeight="1">
      <c r="B359" s="90"/>
      <c r="C359" s="55" t="s">
        <v>161</v>
      </c>
      <c r="D359" s="58">
        <v>1</v>
      </c>
      <c r="E359" s="57">
        <v>0</v>
      </c>
    </row>
    <row r="360" spans="2:5" ht="15" customHeight="1">
      <c r="B360" s="90"/>
      <c r="C360" s="55" t="s">
        <v>148</v>
      </c>
      <c r="D360" s="58">
        <v>1</v>
      </c>
      <c r="E360" s="57">
        <v>0</v>
      </c>
    </row>
    <row r="361" spans="2:5" ht="15" customHeight="1">
      <c r="B361" s="90"/>
      <c r="C361" s="55" t="s">
        <v>173</v>
      </c>
      <c r="D361" s="58">
        <v>1</v>
      </c>
      <c r="E361" s="57">
        <v>0</v>
      </c>
    </row>
    <row r="362" spans="2:5" ht="15" customHeight="1">
      <c r="B362" s="90"/>
      <c r="C362" s="55" t="s">
        <v>170</v>
      </c>
      <c r="D362" s="58">
        <v>1</v>
      </c>
      <c r="E362" s="57">
        <v>0</v>
      </c>
    </row>
    <row r="363" spans="2:5" ht="15" customHeight="1">
      <c r="B363" s="90"/>
      <c r="C363" s="55" t="s">
        <v>175</v>
      </c>
      <c r="D363" s="58">
        <v>1</v>
      </c>
      <c r="E363" s="57">
        <v>0</v>
      </c>
    </row>
    <row r="364" spans="2:5" ht="15" customHeight="1">
      <c r="B364" s="91"/>
      <c r="C364" s="72" t="s">
        <v>284</v>
      </c>
      <c r="D364" s="73">
        <v>304</v>
      </c>
      <c r="E364" s="71">
        <v>0.02</v>
      </c>
    </row>
    <row r="365" spans="2:5" ht="15" customHeight="1">
      <c r="B365" s="89" t="s">
        <v>103</v>
      </c>
      <c r="C365" s="55" t="s">
        <v>144</v>
      </c>
      <c r="D365" s="58">
        <v>58</v>
      </c>
      <c r="E365" s="57">
        <v>4.0000000000000001E-3</v>
      </c>
    </row>
    <row r="366" spans="2:5" ht="15" customHeight="1">
      <c r="B366" s="90"/>
      <c r="C366" s="55" t="s">
        <v>143</v>
      </c>
      <c r="D366" s="58">
        <v>31</v>
      </c>
      <c r="E366" s="57">
        <v>2E-3</v>
      </c>
    </row>
    <row r="367" spans="2:5" ht="15" customHeight="1">
      <c r="B367" s="90"/>
      <c r="C367" s="55" t="s">
        <v>148</v>
      </c>
      <c r="D367" s="58">
        <v>19</v>
      </c>
      <c r="E367" s="57">
        <v>1E-3</v>
      </c>
    </row>
    <row r="368" spans="2:5" ht="15" customHeight="1">
      <c r="B368" s="90"/>
      <c r="C368" s="55" t="s">
        <v>162</v>
      </c>
      <c r="D368" s="58">
        <v>14</v>
      </c>
      <c r="E368" s="57">
        <v>1E-3</v>
      </c>
    </row>
    <row r="369" spans="2:5" ht="15" customHeight="1">
      <c r="B369" s="90"/>
      <c r="C369" s="55" t="s">
        <v>150</v>
      </c>
      <c r="D369" s="58">
        <v>11</v>
      </c>
      <c r="E369" s="57">
        <v>1E-3</v>
      </c>
    </row>
    <row r="370" spans="2:5" ht="15" customHeight="1">
      <c r="B370" s="90"/>
      <c r="C370" s="55" t="s">
        <v>156</v>
      </c>
      <c r="D370" s="58">
        <v>11</v>
      </c>
      <c r="E370" s="57">
        <v>1E-3</v>
      </c>
    </row>
    <row r="371" spans="2:5" ht="15" customHeight="1">
      <c r="B371" s="90"/>
      <c r="C371" s="55" t="s">
        <v>142</v>
      </c>
      <c r="D371" s="58">
        <v>10</v>
      </c>
      <c r="E371" s="57">
        <v>1E-3</v>
      </c>
    </row>
    <row r="372" spans="2:5" ht="15" customHeight="1">
      <c r="B372" s="90"/>
      <c r="C372" s="55" t="s">
        <v>147</v>
      </c>
      <c r="D372" s="58">
        <v>10</v>
      </c>
      <c r="E372" s="57">
        <v>1E-3</v>
      </c>
    </row>
    <row r="373" spans="2:5" ht="15" customHeight="1">
      <c r="B373" s="90"/>
      <c r="C373" s="55" t="s">
        <v>146</v>
      </c>
      <c r="D373" s="58">
        <v>9</v>
      </c>
      <c r="E373" s="57">
        <v>1E-3</v>
      </c>
    </row>
    <row r="374" spans="2:5" ht="15" customHeight="1">
      <c r="B374" s="90"/>
      <c r="C374" s="55" t="s">
        <v>149</v>
      </c>
      <c r="D374" s="58">
        <v>8</v>
      </c>
      <c r="E374" s="57">
        <v>1E-3</v>
      </c>
    </row>
    <row r="375" spans="2:5" ht="15" customHeight="1">
      <c r="B375" s="90"/>
      <c r="C375" s="55" t="s">
        <v>159</v>
      </c>
      <c r="D375" s="58">
        <v>7</v>
      </c>
      <c r="E375" s="57">
        <v>0</v>
      </c>
    </row>
    <row r="376" spans="2:5" ht="15" customHeight="1">
      <c r="B376" s="90"/>
      <c r="C376" s="55" t="s">
        <v>167</v>
      </c>
      <c r="D376" s="58">
        <v>7</v>
      </c>
      <c r="E376" s="57">
        <v>0</v>
      </c>
    </row>
    <row r="377" spans="2:5" ht="15" customHeight="1">
      <c r="B377" s="90"/>
      <c r="C377" s="55" t="s">
        <v>154</v>
      </c>
      <c r="D377" s="58">
        <v>6</v>
      </c>
      <c r="E377" s="57">
        <v>0</v>
      </c>
    </row>
    <row r="378" spans="2:5" ht="15" customHeight="1">
      <c r="B378" s="90"/>
      <c r="C378" s="55" t="s">
        <v>141</v>
      </c>
      <c r="D378" s="58">
        <v>4</v>
      </c>
      <c r="E378" s="57">
        <v>0</v>
      </c>
    </row>
    <row r="379" spans="2:5" ht="15" customHeight="1">
      <c r="B379" s="90"/>
      <c r="C379" s="55" t="s">
        <v>157</v>
      </c>
      <c r="D379" s="58">
        <v>4</v>
      </c>
      <c r="E379" s="57">
        <v>0</v>
      </c>
    </row>
    <row r="380" spans="2:5" ht="15" customHeight="1">
      <c r="B380" s="90"/>
      <c r="C380" s="55" t="s">
        <v>160</v>
      </c>
      <c r="D380" s="58">
        <v>4</v>
      </c>
      <c r="E380" s="57">
        <v>0</v>
      </c>
    </row>
    <row r="381" spans="2:5" ht="15" customHeight="1">
      <c r="B381" s="90"/>
      <c r="C381" s="55" t="s">
        <v>169</v>
      </c>
      <c r="D381" s="58">
        <v>3</v>
      </c>
      <c r="E381" s="57">
        <v>0</v>
      </c>
    </row>
    <row r="382" spans="2:5" ht="15" customHeight="1">
      <c r="B382" s="90"/>
      <c r="C382" s="55" t="s">
        <v>164</v>
      </c>
      <c r="D382" s="58">
        <v>3</v>
      </c>
      <c r="E382" s="57">
        <v>0</v>
      </c>
    </row>
    <row r="383" spans="2:5" ht="15" customHeight="1">
      <c r="B383" s="90"/>
      <c r="C383" s="55" t="s">
        <v>151</v>
      </c>
      <c r="D383" s="58">
        <v>3</v>
      </c>
      <c r="E383" s="57">
        <v>0</v>
      </c>
    </row>
    <row r="384" spans="2:5" ht="15" customHeight="1">
      <c r="B384" s="90"/>
      <c r="C384" s="55" t="s">
        <v>165</v>
      </c>
      <c r="D384" s="58">
        <v>3</v>
      </c>
      <c r="E384" s="57">
        <v>0</v>
      </c>
    </row>
    <row r="385" spans="2:5" ht="15" customHeight="1">
      <c r="B385" s="90"/>
      <c r="C385" s="55" t="s">
        <v>166</v>
      </c>
      <c r="D385" s="58">
        <v>3</v>
      </c>
      <c r="E385" s="57">
        <v>0</v>
      </c>
    </row>
    <row r="386" spans="2:5" ht="15" customHeight="1">
      <c r="B386" s="90"/>
      <c r="C386" s="55" t="s">
        <v>140</v>
      </c>
      <c r="D386" s="58">
        <v>2</v>
      </c>
      <c r="E386" s="57">
        <v>0</v>
      </c>
    </row>
    <row r="387" spans="2:5" ht="15" customHeight="1">
      <c r="B387" s="90"/>
      <c r="C387" s="55" t="s">
        <v>257</v>
      </c>
      <c r="D387" s="58">
        <v>2</v>
      </c>
      <c r="E387" s="57">
        <v>0</v>
      </c>
    </row>
    <row r="388" spans="2:5" ht="15" customHeight="1">
      <c r="B388" s="90"/>
      <c r="C388" s="55" t="s">
        <v>145</v>
      </c>
      <c r="D388" s="58">
        <v>2</v>
      </c>
      <c r="E388" s="57">
        <v>0</v>
      </c>
    </row>
    <row r="389" spans="2:5" ht="15" customHeight="1">
      <c r="B389" s="90"/>
      <c r="C389" s="55" t="s">
        <v>152</v>
      </c>
      <c r="D389" s="58">
        <v>2</v>
      </c>
      <c r="E389" s="57">
        <v>0</v>
      </c>
    </row>
    <row r="390" spans="2:5" ht="15" customHeight="1">
      <c r="B390" s="90"/>
      <c r="C390" s="55" t="s">
        <v>153</v>
      </c>
      <c r="D390" s="58">
        <v>2</v>
      </c>
      <c r="E390" s="57">
        <v>0</v>
      </c>
    </row>
    <row r="391" spans="2:5" ht="15" customHeight="1">
      <c r="B391" s="90"/>
      <c r="C391" s="55" t="s">
        <v>170</v>
      </c>
      <c r="D391" s="58">
        <v>2</v>
      </c>
      <c r="E391" s="57">
        <v>0</v>
      </c>
    </row>
    <row r="392" spans="2:5" ht="15" customHeight="1">
      <c r="B392" s="90"/>
      <c r="C392" s="55" t="s">
        <v>155</v>
      </c>
      <c r="D392" s="58">
        <v>2</v>
      </c>
      <c r="E392" s="57">
        <v>0</v>
      </c>
    </row>
    <row r="393" spans="2:5" ht="15" customHeight="1">
      <c r="B393" s="90"/>
      <c r="C393" s="55" t="s">
        <v>158</v>
      </c>
      <c r="D393" s="58">
        <v>1</v>
      </c>
      <c r="E393" s="57">
        <v>0</v>
      </c>
    </row>
    <row r="394" spans="2:5" ht="15" customHeight="1">
      <c r="B394" s="90"/>
      <c r="C394" s="55" t="s">
        <v>173</v>
      </c>
      <c r="D394" s="58">
        <v>1</v>
      </c>
      <c r="E394" s="57">
        <v>0</v>
      </c>
    </row>
    <row r="395" spans="2:5" ht="15" customHeight="1">
      <c r="B395" s="91"/>
      <c r="C395" s="72" t="s">
        <v>284</v>
      </c>
      <c r="D395" s="73">
        <v>244</v>
      </c>
      <c r="E395" s="71">
        <v>1.6E-2</v>
      </c>
    </row>
    <row r="396" spans="2:5" ht="15" customHeight="1">
      <c r="B396" s="89" t="s">
        <v>99</v>
      </c>
      <c r="C396" s="55" t="s">
        <v>144</v>
      </c>
      <c r="D396" s="58">
        <v>30</v>
      </c>
      <c r="E396" s="57">
        <v>2E-3</v>
      </c>
    </row>
    <row r="397" spans="2:5" ht="15" customHeight="1">
      <c r="B397" s="90"/>
      <c r="C397" s="55" t="s">
        <v>147</v>
      </c>
      <c r="D397" s="58">
        <v>29</v>
      </c>
      <c r="E397" s="57">
        <v>2E-3</v>
      </c>
    </row>
    <row r="398" spans="2:5" ht="15" customHeight="1">
      <c r="B398" s="90"/>
      <c r="C398" s="55" t="s">
        <v>154</v>
      </c>
      <c r="D398" s="58">
        <v>25</v>
      </c>
      <c r="E398" s="57">
        <v>2E-3</v>
      </c>
    </row>
    <row r="399" spans="2:5" ht="15" customHeight="1">
      <c r="B399" s="90"/>
      <c r="C399" s="55" t="s">
        <v>156</v>
      </c>
      <c r="D399" s="58">
        <v>25</v>
      </c>
      <c r="E399" s="57">
        <v>2E-3</v>
      </c>
    </row>
    <row r="400" spans="2:5" ht="15" customHeight="1">
      <c r="B400" s="90"/>
      <c r="C400" s="55" t="s">
        <v>153</v>
      </c>
      <c r="D400" s="58">
        <v>23</v>
      </c>
      <c r="E400" s="57">
        <v>1E-3</v>
      </c>
    </row>
    <row r="401" spans="2:5" ht="15" customHeight="1">
      <c r="B401" s="90"/>
      <c r="C401" s="55" t="s">
        <v>257</v>
      </c>
      <c r="D401" s="58">
        <v>14</v>
      </c>
      <c r="E401" s="57">
        <v>1E-3</v>
      </c>
    </row>
    <row r="402" spans="2:5" ht="15" customHeight="1">
      <c r="B402" s="90"/>
      <c r="C402" s="55" t="s">
        <v>143</v>
      </c>
      <c r="D402" s="58">
        <v>12</v>
      </c>
      <c r="E402" s="57">
        <v>1E-3</v>
      </c>
    </row>
    <row r="403" spans="2:5" ht="15" customHeight="1">
      <c r="B403" s="90"/>
      <c r="C403" s="55" t="s">
        <v>142</v>
      </c>
      <c r="D403" s="58">
        <v>10</v>
      </c>
      <c r="E403" s="57">
        <v>1E-3</v>
      </c>
    </row>
    <row r="404" spans="2:5" ht="15" customHeight="1">
      <c r="B404" s="90"/>
      <c r="C404" s="55" t="s">
        <v>155</v>
      </c>
      <c r="D404" s="58">
        <v>6</v>
      </c>
      <c r="E404" s="57">
        <v>0</v>
      </c>
    </row>
    <row r="405" spans="2:5" ht="15" customHeight="1">
      <c r="B405" s="90"/>
      <c r="C405" s="55" t="s">
        <v>141</v>
      </c>
      <c r="D405" s="58">
        <v>4</v>
      </c>
      <c r="E405" s="57">
        <v>0</v>
      </c>
    </row>
    <row r="406" spans="2:5" ht="15" customHeight="1">
      <c r="B406" s="90"/>
      <c r="C406" s="55" t="s">
        <v>145</v>
      </c>
      <c r="D406" s="58">
        <v>4</v>
      </c>
      <c r="E406" s="57">
        <v>0</v>
      </c>
    </row>
    <row r="407" spans="2:5" ht="15" customHeight="1">
      <c r="B407" s="90"/>
      <c r="C407" s="55" t="s">
        <v>164</v>
      </c>
      <c r="D407" s="58">
        <v>4</v>
      </c>
      <c r="E407" s="57">
        <v>0</v>
      </c>
    </row>
    <row r="408" spans="2:5" ht="15" customHeight="1">
      <c r="B408" s="90"/>
      <c r="C408" s="55" t="s">
        <v>146</v>
      </c>
      <c r="D408" s="58">
        <v>3</v>
      </c>
      <c r="E408" s="57">
        <v>0</v>
      </c>
    </row>
    <row r="409" spans="2:5" ht="15" customHeight="1">
      <c r="B409" s="90"/>
      <c r="C409" s="55" t="s">
        <v>140</v>
      </c>
      <c r="D409" s="58">
        <v>2</v>
      </c>
      <c r="E409" s="57">
        <v>0</v>
      </c>
    </row>
    <row r="410" spans="2:5" ht="15" customHeight="1">
      <c r="B410" s="90"/>
      <c r="C410" s="55" t="s">
        <v>149</v>
      </c>
      <c r="D410" s="58">
        <v>2</v>
      </c>
      <c r="E410" s="57">
        <v>0</v>
      </c>
    </row>
    <row r="411" spans="2:5" ht="15" customHeight="1">
      <c r="B411" s="90"/>
      <c r="C411" s="55" t="s">
        <v>150</v>
      </c>
      <c r="D411" s="58">
        <v>2</v>
      </c>
      <c r="E411" s="57">
        <v>0</v>
      </c>
    </row>
    <row r="412" spans="2:5" ht="15" customHeight="1">
      <c r="B412" s="90"/>
      <c r="C412" s="55" t="s">
        <v>163</v>
      </c>
      <c r="D412" s="58">
        <v>2</v>
      </c>
      <c r="E412" s="57">
        <v>0</v>
      </c>
    </row>
    <row r="413" spans="2:5" ht="15" customHeight="1">
      <c r="B413" s="90"/>
      <c r="C413" s="55" t="s">
        <v>166</v>
      </c>
      <c r="D413" s="58">
        <v>2</v>
      </c>
      <c r="E413" s="57">
        <v>0</v>
      </c>
    </row>
    <row r="414" spans="2:5" ht="15" customHeight="1">
      <c r="B414" s="90"/>
      <c r="C414" s="55" t="s">
        <v>157</v>
      </c>
      <c r="D414" s="58">
        <v>1</v>
      </c>
      <c r="E414" s="57">
        <v>0</v>
      </c>
    </row>
    <row r="415" spans="2:5" ht="15" customHeight="1">
      <c r="B415" s="90"/>
      <c r="C415" s="55" t="s">
        <v>170</v>
      </c>
      <c r="D415" s="58">
        <v>1</v>
      </c>
      <c r="E415" s="57">
        <v>0</v>
      </c>
    </row>
    <row r="416" spans="2:5" ht="15" customHeight="1">
      <c r="B416" s="91"/>
      <c r="C416" s="72" t="s">
        <v>284</v>
      </c>
      <c r="D416" s="73">
        <v>201</v>
      </c>
      <c r="E416" s="71">
        <v>1.2999999999999999E-2</v>
      </c>
    </row>
    <row r="417" spans="2:5" ht="15" customHeight="1">
      <c r="B417" s="89" t="s">
        <v>134</v>
      </c>
      <c r="C417" s="55" t="s">
        <v>144</v>
      </c>
      <c r="D417" s="58">
        <v>39</v>
      </c>
      <c r="E417" s="57">
        <v>3.0000000000000001E-3</v>
      </c>
    </row>
    <row r="418" spans="2:5" ht="15" customHeight="1">
      <c r="B418" s="90"/>
      <c r="C418" s="55" t="s">
        <v>143</v>
      </c>
      <c r="D418" s="58">
        <v>22</v>
      </c>
      <c r="E418" s="57">
        <v>1E-3</v>
      </c>
    </row>
    <row r="419" spans="2:5" ht="15" customHeight="1">
      <c r="B419" s="90"/>
      <c r="C419" s="55" t="s">
        <v>140</v>
      </c>
      <c r="D419" s="58">
        <v>17</v>
      </c>
      <c r="E419" s="57">
        <v>1E-3</v>
      </c>
    </row>
    <row r="420" spans="2:5" ht="15" customHeight="1">
      <c r="B420" s="90"/>
      <c r="C420" s="55" t="s">
        <v>156</v>
      </c>
      <c r="D420" s="58">
        <v>17</v>
      </c>
      <c r="E420" s="57">
        <v>1E-3</v>
      </c>
    </row>
    <row r="421" spans="2:5" ht="15" customHeight="1">
      <c r="B421" s="90"/>
      <c r="C421" s="55" t="s">
        <v>149</v>
      </c>
      <c r="D421" s="58">
        <v>15</v>
      </c>
      <c r="E421" s="57">
        <v>1E-3</v>
      </c>
    </row>
    <row r="422" spans="2:5" ht="15" customHeight="1">
      <c r="B422" s="90"/>
      <c r="C422" s="55" t="s">
        <v>147</v>
      </c>
      <c r="D422" s="58">
        <v>12</v>
      </c>
      <c r="E422" s="57">
        <v>1E-3</v>
      </c>
    </row>
    <row r="423" spans="2:5" ht="15" customHeight="1">
      <c r="B423" s="90"/>
      <c r="C423" s="55" t="s">
        <v>150</v>
      </c>
      <c r="D423" s="58">
        <v>7</v>
      </c>
      <c r="E423" s="57">
        <v>0</v>
      </c>
    </row>
    <row r="424" spans="2:5" ht="15" customHeight="1">
      <c r="B424" s="90"/>
      <c r="C424" s="55" t="s">
        <v>153</v>
      </c>
      <c r="D424" s="58">
        <v>6</v>
      </c>
      <c r="E424" s="57">
        <v>0</v>
      </c>
    </row>
    <row r="425" spans="2:5" ht="15" customHeight="1">
      <c r="B425" s="90"/>
      <c r="C425" s="55" t="s">
        <v>155</v>
      </c>
      <c r="D425" s="58">
        <v>6</v>
      </c>
      <c r="E425" s="57">
        <v>0</v>
      </c>
    </row>
    <row r="426" spans="2:5" ht="15" customHeight="1">
      <c r="B426" s="90"/>
      <c r="C426" s="55" t="s">
        <v>146</v>
      </c>
      <c r="D426" s="58">
        <v>5</v>
      </c>
      <c r="E426" s="57">
        <v>0</v>
      </c>
    </row>
    <row r="427" spans="2:5" ht="15" customHeight="1">
      <c r="B427" s="90"/>
      <c r="C427" s="55" t="s">
        <v>154</v>
      </c>
      <c r="D427" s="58">
        <v>4</v>
      </c>
      <c r="E427" s="57">
        <v>0</v>
      </c>
    </row>
    <row r="428" spans="2:5" ht="15" customHeight="1">
      <c r="B428" s="90"/>
      <c r="C428" s="55" t="s">
        <v>166</v>
      </c>
      <c r="D428" s="58">
        <v>4</v>
      </c>
      <c r="E428" s="57">
        <v>0</v>
      </c>
    </row>
    <row r="429" spans="2:5" ht="15" customHeight="1">
      <c r="B429" s="90"/>
      <c r="C429" s="55" t="s">
        <v>142</v>
      </c>
      <c r="D429" s="58">
        <v>3</v>
      </c>
      <c r="E429" s="57">
        <v>0</v>
      </c>
    </row>
    <row r="430" spans="2:5" ht="15" customHeight="1">
      <c r="B430" s="90"/>
      <c r="C430" s="55" t="s">
        <v>157</v>
      </c>
      <c r="D430" s="58">
        <v>2</v>
      </c>
      <c r="E430" s="57">
        <v>0</v>
      </c>
    </row>
    <row r="431" spans="2:5" ht="15" customHeight="1">
      <c r="B431" s="90"/>
      <c r="C431" s="55" t="s">
        <v>159</v>
      </c>
      <c r="D431" s="58">
        <v>2</v>
      </c>
      <c r="E431" s="57">
        <v>0</v>
      </c>
    </row>
    <row r="432" spans="2:5" ht="15" customHeight="1">
      <c r="B432" s="90"/>
      <c r="C432" s="55" t="s">
        <v>152</v>
      </c>
      <c r="D432" s="58">
        <v>2</v>
      </c>
      <c r="E432" s="57">
        <v>0</v>
      </c>
    </row>
    <row r="433" spans="2:5" ht="15" customHeight="1">
      <c r="B433" s="90"/>
      <c r="C433" s="55" t="s">
        <v>167</v>
      </c>
      <c r="D433" s="58">
        <v>2</v>
      </c>
      <c r="E433" s="57">
        <v>0</v>
      </c>
    </row>
    <row r="434" spans="2:5" ht="15" customHeight="1">
      <c r="B434" s="90"/>
      <c r="C434" s="55" t="s">
        <v>145</v>
      </c>
      <c r="D434" s="58">
        <v>1</v>
      </c>
      <c r="E434" s="57">
        <v>0</v>
      </c>
    </row>
    <row r="435" spans="2:5" ht="15" customHeight="1">
      <c r="B435" s="90"/>
      <c r="C435" s="55" t="s">
        <v>161</v>
      </c>
      <c r="D435" s="58">
        <v>1</v>
      </c>
      <c r="E435" s="57">
        <v>0</v>
      </c>
    </row>
    <row r="436" spans="2:5" ht="15" customHeight="1">
      <c r="B436" s="90"/>
      <c r="C436" s="55" t="s">
        <v>162</v>
      </c>
      <c r="D436" s="58">
        <v>1</v>
      </c>
      <c r="E436" s="57">
        <v>0</v>
      </c>
    </row>
    <row r="437" spans="2:5" ht="15" customHeight="1">
      <c r="B437" s="90"/>
      <c r="C437" s="55" t="s">
        <v>148</v>
      </c>
      <c r="D437" s="58">
        <v>1</v>
      </c>
      <c r="E437" s="57">
        <v>0</v>
      </c>
    </row>
    <row r="438" spans="2:5" ht="15" customHeight="1">
      <c r="B438" s="90"/>
      <c r="C438" s="55" t="s">
        <v>164</v>
      </c>
      <c r="D438" s="58">
        <v>1</v>
      </c>
      <c r="E438" s="57">
        <v>0</v>
      </c>
    </row>
    <row r="439" spans="2:5" ht="15" customHeight="1">
      <c r="B439" s="90"/>
      <c r="C439" s="55" t="s">
        <v>151</v>
      </c>
      <c r="D439" s="58">
        <v>1</v>
      </c>
      <c r="E439" s="57">
        <v>0</v>
      </c>
    </row>
    <row r="440" spans="2:5" ht="15" customHeight="1">
      <c r="B440" s="90"/>
      <c r="C440" s="55" t="s">
        <v>165</v>
      </c>
      <c r="D440" s="58">
        <v>1</v>
      </c>
      <c r="E440" s="57">
        <v>0</v>
      </c>
    </row>
    <row r="441" spans="2:5" ht="15" customHeight="1">
      <c r="B441" s="90"/>
      <c r="C441" s="55" t="s">
        <v>168</v>
      </c>
      <c r="D441" s="58">
        <v>1</v>
      </c>
      <c r="E441" s="57">
        <v>0</v>
      </c>
    </row>
    <row r="442" spans="2:5" ht="15" customHeight="1">
      <c r="B442" s="91"/>
      <c r="C442" s="72" t="s">
        <v>284</v>
      </c>
      <c r="D442" s="73">
        <v>173</v>
      </c>
      <c r="E442" s="71">
        <v>1.0999999999999999E-2</v>
      </c>
    </row>
    <row r="443" spans="2:5" ht="15" customHeight="1">
      <c r="B443" s="89" t="s">
        <v>132</v>
      </c>
      <c r="C443" s="55" t="s">
        <v>144</v>
      </c>
      <c r="D443" s="58">
        <v>34</v>
      </c>
      <c r="E443" s="57">
        <v>2E-3</v>
      </c>
    </row>
    <row r="444" spans="2:5" ht="15" customHeight="1">
      <c r="B444" s="90"/>
      <c r="C444" s="55" t="s">
        <v>143</v>
      </c>
      <c r="D444" s="58">
        <v>19</v>
      </c>
      <c r="E444" s="57">
        <v>1E-3</v>
      </c>
    </row>
    <row r="445" spans="2:5" ht="15" customHeight="1">
      <c r="B445" s="90"/>
      <c r="C445" s="55" t="s">
        <v>150</v>
      </c>
      <c r="D445" s="58">
        <v>11</v>
      </c>
      <c r="E445" s="57">
        <v>1E-3</v>
      </c>
    </row>
    <row r="446" spans="2:5" ht="15" customHeight="1">
      <c r="B446" s="90"/>
      <c r="C446" s="55" t="s">
        <v>167</v>
      </c>
      <c r="D446" s="58">
        <v>8</v>
      </c>
      <c r="E446" s="57">
        <v>1E-3</v>
      </c>
    </row>
    <row r="447" spans="2:5" ht="15" customHeight="1">
      <c r="B447" s="90"/>
      <c r="C447" s="55" t="s">
        <v>169</v>
      </c>
      <c r="D447" s="58">
        <v>7</v>
      </c>
      <c r="E447" s="57">
        <v>0</v>
      </c>
    </row>
    <row r="448" spans="2:5" ht="15" customHeight="1">
      <c r="B448" s="90"/>
      <c r="C448" s="55" t="s">
        <v>148</v>
      </c>
      <c r="D448" s="58">
        <v>7</v>
      </c>
      <c r="E448" s="57">
        <v>0</v>
      </c>
    </row>
    <row r="449" spans="2:5" ht="15" customHeight="1">
      <c r="B449" s="90"/>
      <c r="C449" s="55" t="s">
        <v>149</v>
      </c>
      <c r="D449" s="58">
        <v>7</v>
      </c>
      <c r="E449" s="57">
        <v>0</v>
      </c>
    </row>
    <row r="450" spans="2:5" ht="15" customHeight="1">
      <c r="B450" s="90"/>
      <c r="C450" s="55" t="s">
        <v>155</v>
      </c>
      <c r="D450" s="58">
        <v>7</v>
      </c>
      <c r="E450" s="57">
        <v>0</v>
      </c>
    </row>
    <row r="451" spans="2:5" ht="15" customHeight="1">
      <c r="B451" s="90"/>
      <c r="C451" s="55" t="s">
        <v>157</v>
      </c>
      <c r="D451" s="58">
        <v>6</v>
      </c>
      <c r="E451" s="57">
        <v>0</v>
      </c>
    </row>
    <row r="452" spans="2:5" ht="15" customHeight="1">
      <c r="B452" s="90"/>
      <c r="C452" s="55" t="s">
        <v>154</v>
      </c>
      <c r="D452" s="58">
        <v>6</v>
      </c>
      <c r="E452" s="57">
        <v>0</v>
      </c>
    </row>
    <row r="453" spans="2:5" ht="15" customHeight="1">
      <c r="B453" s="90"/>
      <c r="C453" s="55" t="s">
        <v>156</v>
      </c>
      <c r="D453" s="58">
        <v>6</v>
      </c>
      <c r="E453" s="57">
        <v>0</v>
      </c>
    </row>
    <row r="454" spans="2:5" ht="15" customHeight="1">
      <c r="B454" s="90"/>
      <c r="C454" s="55" t="s">
        <v>145</v>
      </c>
      <c r="D454" s="58">
        <v>4</v>
      </c>
      <c r="E454" s="57">
        <v>0</v>
      </c>
    </row>
    <row r="455" spans="2:5" ht="15" customHeight="1">
      <c r="B455" s="90"/>
      <c r="C455" s="55" t="s">
        <v>159</v>
      </c>
      <c r="D455" s="58">
        <v>4</v>
      </c>
      <c r="E455" s="57">
        <v>0</v>
      </c>
    </row>
    <row r="456" spans="2:5" ht="15" customHeight="1">
      <c r="B456" s="90"/>
      <c r="C456" s="55" t="s">
        <v>152</v>
      </c>
      <c r="D456" s="58">
        <v>4</v>
      </c>
      <c r="E456" s="57">
        <v>0</v>
      </c>
    </row>
    <row r="457" spans="2:5" ht="15" customHeight="1">
      <c r="B457" s="90"/>
      <c r="C457" s="55" t="s">
        <v>165</v>
      </c>
      <c r="D457" s="58">
        <v>4</v>
      </c>
      <c r="E457" s="57">
        <v>0</v>
      </c>
    </row>
    <row r="458" spans="2:5" ht="15" customHeight="1">
      <c r="B458" s="90"/>
      <c r="C458" s="55" t="s">
        <v>141</v>
      </c>
      <c r="D458" s="58">
        <v>3</v>
      </c>
      <c r="E458" s="57">
        <v>0</v>
      </c>
    </row>
    <row r="459" spans="2:5" ht="15" customHeight="1">
      <c r="B459" s="90"/>
      <c r="C459" s="55" t="s">
        <v>147</v>
      </c>
      <c r="D459" s="58">
        <v>3</v>
      </c>
      <c r="E459" s="57">
        <v>0</v>
      </c>
    </row>
    <row r="460" spans="2:5" ht="15" customHeight="1">
      <c r="B460" s="90"/>
      <c r="C460" s="55" t="s">
        <v>164</v>
      </c>
      <c r="D460" s="58">
        <v>3</v>
      </c>
      <c r="E460" s="57">
        <v>0</v>
      </c>
    </row>
    <row r="461" spans="2:5" ht="15" customHeight="1">
      <c r="B461" s="90"/>
      <c r="C461" s="55" t="s">
        <v>153</v>
      </c>
      <c r="D461" s="58">
        <v>3</v>
      </c>
      <c r="E461" s="57">
        <v>0</v>
      </c>
    </row>
    <row r="462" spans="2:5" ht="15" customHeight="1">
      <c r="B462" s="90"/>
      <c r="C462" s="55" t="s">
        <v>162</v>
      </c>
      <c r="D462" s="58">
        <v>2</v>
      </c>
      <c r="E462" s="57">
        <v>0</v>
      </c>
    </row>
    <row r="463" spans="2:5" ht="15" customHeight="1">
      <c r="B463" s="90"/>
      <c r="C463" s="55" t="s">
        <v>151</v>
      </c>
      <c r="D463" s="58">
        <v>2</v>
      </c>
      <c r="E463" s="57">
        <v>0</v>
      </c>
    </row>
    <row r="464" spans="2:5" ht="15" customHeight="1">
      <c r="B464" s="90"/>
      <c r="C464" s="55" t="s">
        <v>140</v>
      </c>
      <c r="D464" s="58">
        <v>1</v>
      </c>
      <c r="E464" s="57">
        <v>0</v>
      </c>
    </row>
    <row r="465" spans="2:5" ht="15" customHeight="1">
      <c r="B465" s="90"/>
      <c r="C465" s="55" t="s">
        <v>142</v>
      </c>
      <c r="D465" s="58">
        <v>1</v>
      </c>
      <c r="E465" s="57">
        <v>0</v>
      </c>
    </row>
    <row r="466" spans="2:5" ht="15" customHeight="1">
      <c r="B466" s="90"/>
      <c r="C466" s="55" t="s">
        <v>146</v>
      </c>
      <c r="D466" s="58">
        <v>1</v>
      </c>
      <c r="E466" s="57">
        <v>0</v>
      </c>
    </row>
    <row r="467" spans="2:5" ht="15" customHeight="1">
      <c r="B467" s="90"/>
      <c r="C467" s="55" t="s">
        <v>160</v>
      </c>
      <c r="D467" s="58">
        <v>1</v>
      </c>
      <c r="E467" s="57">
        <v>0</v>
      </c>
    </row>
    <row r="468" spans="2:5" ht="15" customHeight="1">
      <c r="B468" s="90"/>
      <c r="C468" s="55" t="s">
        <v>174</v>
      </c>
      <c r="D468" s="58">
        <v>1</v>
      </c>
      <c r="E468" s="57">
        <v>0</v>
      </c>
    </row>
    <row r="469" spans="2:5" ht="15" customHeight="1">
      <c r="B469" s="90"/>
      <c r="C469" s="55" t="s">
        <v>166</v>
      </c>
      <c r="D469" s="58">
        <v>1</v>
      </c>
      <c r="E469" s="57">
        <v>0</v>
      </c>
    </row>
    <row r="470" spans="2:5" ht="15" customHeight="1">
      <c r="B470" s="90"/>
      <c r="C470" s="55" t="s">
        <v>258</v>
      </c>
      <c r="D470" s="58">
        <v>1</v>
      </c>
      <c r="E470" s="57">
        <v>0</v>
      </c>
    </row>
    <row r="471" spans="2:5" ht="15" customHeight="1">
      <c r="B471" s="90"/>
      <c r="C471" s="55" t="s">
        <v>175</v>
      </c>
      <c r="D471" s="58">
        <v>1</v>
      </c>
      <c r="E471" s="57">
        <v>0</v>
      </c>
    </row>
    <row r="472" spans="2:5" ht="15" customHeight="1">
      <c r="B472" s="91"/>
      <c r="C472" s="72" t="s">
        <v>284</v>
      </c>
      <c r="D472" s="73">
        <v>158</v>
      </c>
      <c r="E472" s="71">
        <v>0.01</v>
      </c>
    </row>
    <row r="473" spans="2:5" ht="15" customHeight="1">
      <c r="B473" s="89" t="s">
        <v>130</v>
      </c>
      <c r="C473" s="55" t="s">
        <v>144</v>
      </c>
      <c r="D473" s="58">
        <v>28</v>
      </c>
      <c r="E473" s="57">
        <v>2E-3</v>
      </c>
    </row>
    <row r="474" spans="2:5" ht="15" customHeight="1">
      <c r="B474" s="90"/>
      <c r="C474" s="55" t="s">
        <v>148</v>
      </c>
      <c r="D474" s="58">
        <v>27</v>
      </c>
      <c r="E474" s="57">
        <v>2E-3</v>
      </c>
    </row>
    <row r="475" spans="2:5" ht="15" customHeight="1">
      <c r="B475" s="90"/>
      <c r="C475" s="55" t="s">
        <v>157</v>
      </c>
      <c r="D475" s="58">
        <v>21</v>
      </c>
      <c r="E475" s="57">
        <v>1E-3</v>
      </c>
    </row>
    <row r="476" spans="2:5" ht="15" customHeight="1">
      <c r="B476" s="90"/>
      <c r="C476" s="55" t="s">
        <v>143</v>
      </c>
      <c r="D476" s="58">
        <v>14</v>
      </c>
      <c r="E476" s="57">
        <v>1E-3</v>
      </c>
    </row>
    <row r="477" spans="2:5" ht="15" customHeight="1">
      <c r="B477" s="90"/>
      <c r="C477" s="55" t="s">
        <v>165</v>
      </c>
      <c r="D477" s="58">
        <v>7</v>
      </c>
      <c r="E477" s="57">
        <v>0</v>
      </c>
    </row>
    <row r="478" spans="2:5" ht="15" customHeight="1">
      <c r="B478" s="90"/>
      <c r="C478" s="55" t="s">
        <v>142</v>
      </c>
      <c r="D478" s="58">
        <v>6</v>
      </c>
      <c r="E478" s="57">
        <v>0</v>
      </c>
    </row>
    <row r="479" spans="2:5" ht="15" customHeight="1">
      <c r="B479" s="90"/>
      <c r="C479" s="55" t="s">
        <v>159</v>
      </c>
      <c r="D479" s="58">
        <v>5</v>
      </c>
      <c r="E479" s="57">
        <v>0</v>
      </c>
    </row>
    <row r="480" spans="2:5" ht="15" customHeight="1">
      <c r="B480" s="90"/>
      <c r="C480" s="55" t="s">
        <v>147</v>
      </c>
      <c r="D480" s="58">
        <v>5</v>
      </c>
      <c r="E480" s="57">
        <v>0</v>
      </c>
    </row>
    <row r="481" spans="2:5" ht="15" customHeight="1">
      <c r="B481" s="90"/>
      <c r="C481" s="55" t="s">
        <v>162</v>
      </c>
      <c r="D481" s="58">
        <v>5</v>
      </c>
      <c r="E481" s="57">
        <v>0</v>
      </c>
    </row>
    <row r="482" spans="2:5" ht="15" customHeight="1">
      <c r="B482" s="90"/>
      <c r="C482" s="55" t="s">
        <v>167</v>
      </c>
      <c r="D482" s="58">
        <v>5</v>
      </c>
      <c r="E482" s="57">
        <v>0</v>
      </c>
    </row>
    <row r="483" spans="2:5" ht="15" customHeight="1">
      <c r="B483" s="90"/>
      <c r="C483" s="55" t="s">
        <v>161</v>
      </c>
      <c r="D483" s="58">
        <v>3</v>
      </c>
      <c r="E483" s="57">
        <v>0</v>
      </c>
    </row>
    <row r="484" spans="2:5" ht="15" customHeight="1">
      <c r="B484" s="90"/>
      <c r="C484" s="55" t="s">
        <v>156</v>
      </c>
      <c r="D484" s="58">
        <v>3</v>
      </c>
      <c r="E484" s="57">
        <v>0</v>
      </c>
    </row>
    <row r="485" spans="2:5" ht="15" customHeight="1">
      <c r="B485" s="90"/>
      <c r="C485" s="55" t="s">
        <v>146</v>
      </c>
      <c r="D485" s="58">
        <v>2</v>
      </c>
      <c r="E485" s="57">
        <v>0</v>
      </c>
    </row>
    <row r="486" spans="2:5" ht="15" customHeight="1">
      <c r="B486" s="90"/>
      <c r="C486" s="55" t="s">
        <v>160</v>
      </c>
      <c r="D486" s="58">
        <v>2</v>
      </c>
      <c r="E486" s="57">
        <v>0</v>
      </c>
    </row>
    <row r="487" spans="2:5" ht="15" customHeight="1">
      <c r="B487" s="90"/>
      <c r="C487" s="55" t="s">
        <v>150</v>
      </c>
      <c r="D487" s="58">
        <v>2</v>
      </c>
      <c r="E487" s="57">
        <v>0</v>
      </c>
    </row>
    <row r="488" spans="2:5" ht="15" customHeight="1">
      <c r="B488" s="90"/>
      <c r="C488" s="55" t="s">
        <v>170</v>
      </c>
      <c r="D488" s="58">
        <v>2</v>
      </c>
      <c r="E488" s="57">
        <v>0</v>
      </c>
    </row>
    <row r="489" spans="2:5" ht="15" customHeight="1">
      <c r="B489" s="90"/>
      <c r="C489" s="55" t="s">
        <v>166</v>
      </c>
      <c r="D489" s="58">
        <v>2</v>
      </c>
      <c r="E489" s="57">
        <v>0</v>
      </c>
    </row>
    <row r="490" spans="2:5" ht="15" customHeight="1">
      <c r="B490" s="90"/>
      <c r="C490" s="55" t="s">
        <v>155</v>
      </c>
      <c r="D490" s="58">
        <v>2</v>
      </c>
      <c r="E490" s="57">
        <v>0</v>
      </c>
    </row>
    <row r="491" spans="2:5" ht="15" customHeight="1">
      <c r="B491" s="90"/>
      <c r="C491" s="55" t="s">
        <v>140</v>
      </c>
      <c r="D491" s="58">
        <v>1</v>
      </c>
      <c r="E491" s="57">
        <v>0</v>
      </c>
    </row>
    <row r="492" spans="2:5" ht="15" customHeight="1">
      <c r="B492" s="90"/>
      <c r="C492" s="55" t="s">
        <v>257</v>
      </c>
      <c r="D492" s="58">
        <v>1</v>
      </c>
      <c r="E492" s="57">
        <v>0</v>
      </c>
    </row>
    <row r="493" spans="2:5" ht="15" customHeight="1">
      <c r="B493" s="90"/>
      <c r="C493" s="55" t="s">
        <v>158</v>
      </c>
      <c r="D493" s="58">
        <v>1</v>
      </c>
      <c r="E493" s="57">
        <v>0</v>
      </c>
    </row>
    <row r="494" spans="2:5" ht="15" customHeight="1">
      <c r="B494" s="90"/>
      <c r="C494" s="55" t="s">
        <v>149</v>
      </c>
      <c r="D494" s="58">
        <v>1</v>
      </c>
      <c r="E494" s="57">
        <v>0</v>
      </c>
    </row>
    <row r="495" spans="2:5" ht="15" customHeight="1">
      <c r="B495" s="90"/>
      <c r="C495" s="55" t="s">
        <v>164</v>
      </c>
      <c r="D495" s="58">
        <v>1</v>
      </c>
      <c r="E495" s="57">
        <v>0</v>
      </c>
    </row>
    <row r="496" spans="2:5" ht="15" customHeight="1">
      <c r="B496" s="90"/>
      <c r="C496" s="55" t="s">
        <v>152</v>
      </c>
      <c r="D496" s="58">
        <v>1</v>
      </c>
      <c r="E496" s="57">
        <v>0</v>
      </c>
    </row>
    <row r="497" spans="2:5" ht="15" customHeight="1">
      <c r="B497" s="90"/>
      <c r="C497" s="55" t="s">
        <v>173</v>
      </c>
      <c r="D497" s="58">
        <v>1</v>
      </c>
      <c r="E497" s="57">
        <v>0</v>
      </c>
    </row>
    <row r="498" spans="2:5" ht="15" customHeight="1">
      <c r="B498" s="90"/>
      <c r="C498" s="55" t="s">
        <v>168</v>
      </c>
      <c r="D498" s="58">
        <v>1</v>
      </c>
      <c r="E498" s="57">
        <v>0</v>
      </c>
    </row>
    <row r="499" spans="2:5" ht="15" customHeight="1">
      <c r="B499" s="91"/>
      <c r="C499" s="72" t="s">
        <v>284</v>
      </c>
      <c r="D499" s="73">
        <v>149</v>
      </c>
      <c r="E499" s="71">
        <v>0.01</v>
      </c>
    </row>
    <row r="500" spans="2:5" ht="15" customHeight="1">
      <c r="B500" s="89" t="s">
        <v>136</v>
      </c>
      <c r="C500" s="55" t="s">
        <v>144</v>
      </c>
      <c r="D500" s="58">
        <v>32</v>
      </c>
      <c r="E500" s="57">
        <v>2E-3</v>
      </c>
    </row>
    <row r="501" spans="2:5" ht="15" customHeight="1">
      <c r="B501" s="90"/>
      <c r="C501" s="55" t="s">
        <v>143</v>
      </c>
      <c r="D501" s="58">
        <v>21</v>
      </c>
      <c r="E501" s="57">
        <v>1E-3</v>
      </c>
    </row>
    <row r="502" spans="2:5" ht="15" customHeight="1">
      <c r="B502" s="90"/>
      <c r="C502" s="55" t="s">
        <v>155</v>
      </c>
      <c r="D502" s="58">
        <v>9</v>
      </c>
      <c r="E502" s="57">
        <v>1E-3</v>
      </c>
    </row>
    <row r="503" spans="2:5" ht="15" customHeight="1">
      <c r="B503" s="90"/>
      <c r="C503" s="55" t="s">
        <v>147</v>
      </c>
      <c r="D503" s="58">
        <v>8</v>
      </c>
      <c r="E503" s="57">
        <v>1E-3</v>
      </c>
    </row>
    <row r="504" spans="2:5" ht="15" customHeight="1">
      <c r="B504" s="90"/>
      <c r="C504" s="55" t="s">
        <v>156</v>
      </c>
      <c r="D504" s="58">
        <v>7</v>
      </c>
      <c r="E504" s="57">
        <v>0</v>
      </c>
    </row>
    <row r="505" spans="2:5" ht="15" customHeight="1">
      <c r="B505" s="90"/>
      <c r="C505" s="55" t="s">
        <v>169</v>
      </c>
      <c r="D505" s="58">
        <v>5</v>
      </c>
      <c r="E505" s="57">
        <v>0</v>
      </c>
    </row>
    <row r="506" spans="2:5" ht="15" customHeight="1">
      <c r="B506" s="90"/>
      <c r="C506" s="55" t="s">
        <v>142</v>
      </c>
      <c r="D506" s="58">
        <v>5</v>
      </c>
      <c r="E506" s="57">
        <v>0</v>
      </c>
    </row>
    <row r="507" spans="2:5" ht="15" customHeight="1">
      <c r="B507" s="90"/>
      <c r="C507" s="55" t="s">
        <v>160</v>
      </c>
      <c r="D507" s="58">
        <v>5</v>
      </c>
      <c r="E507" s="57">
        <v>0</v>
      </c>
    </row>
    <row r="508" spans="2:5" ht="15" customHeight="1">
      <c r="B508" s="90"/>
      <c r="C508" s="55" t="s">
        <v>159</v>
      </c>
      <c r="D508" s="58">
        <v>4</v>
      </c>
      <c r="E508" s="57">
        <v>0</v>
      </c>
    </row>
    <row r="509" spans="2:5" ht="15" customHeight="1">
      <c r="B509" s="90"/>
      <c r="C509" s="55" t="s">
        <v>166</v>
      </c>
      <c r="D509" s="58">
        <v>4</v>
      </c>
      <c r="E509" s="57">
        <v>0</v>
      </c>
    </row>
    <row r="510" spans="2:5" ht="15" customHeight="1">
      <c r="B510" s="90"/>
      <c r="C510" s="55" t="s">
        <v>161</v>
      </c>
      <c r="D510" s="58">
        <v>3</v>
      </c>
      <c r="E510" s="57">
        <v>0</v>
      </c>
    </row>
    <row r="511" spans="2:5" ht="15" customHeight="1">
      <c r="B511" s="90"/>
      <c r="C511" s="55" t="s">
        <v>150</v>
      </c>
      <c r="D511" s="58">
        <v>3</v>
      </c>
      <c r="E511" s="57">
        <v>0</v>
      </c>
    </row>
    <row r="512" spans="2:5" ht="15" customHeight="1">
      <c r="B512" s="90"/>
      <c r="C512" s="55" t="s">
        <v>152</v>
      </c>
      <c r="D512" s="58">
        <v>3</v>
      </c>
      <c r="E512" s="57">
        <v>0</v>
      </c>
    </row>
    <row r="513" spans="2:5" ht="15" customHeight="1">
      <c r="B513" s="90"/>
      <c r="C513" s="55" t="s">
        <v>146</v>
      </c>
      <c r="D513" s="58">
        <v>2</v>
      </c>
      <c r="E513" s="57">
        <v>0</v>
      </c>
    </row>
    <row r="514" spans="2:5" ht="15" customHeight="1">
      <c r="B514" s="90"/>
      <c r="C514" s="55" t="s">
        <v>162</v>
      </c>
      <c r="D514" s="58">
        <v>2</v>
      </c>
      <c r="E514" s="57">
        <v>0</v>
      </c>
    </row>
    <row r="515" spans="2:5" ht="15" customHeight="1">
      <c r="B515" s="90"/>
      <c r="C515" s="55" t="s">
        <v>163</v>
      </c>
      <c r="D515" s="58">
        <v>2</v>
      </c>
      <c r="E515" s="57">
        <v>0</v>
      </c>
    </row>
    <row r="516" spans="2:5" ht="15" customHeight="1">
      <c r="B516" s="90"/>
      <c r="C516" s="55" t="s">
        <v>164</v>
      </c>
      <c r="D516" s="58">
        <v>2</v>
      </c>
      <c r="E516" s="57">
        <v>0</v>
      </c>
    </row>
    <row r="517" spans="2:5" ht="15" customHeight="1">
      <c r="B517" s="90"/>
      <c r="C517" s="55" t="s">
        <v>154</v>
      </c>
      <c r="D517" s="58">
        <v>2</v>
      </c>
      <c r="E517" s="57">
        <v>0</v>
      </c>
    </row>
    <row r="518" spans="2:5" ht="15" customHeight="1">
      <c r="B518" s="90"/>
      <c r="C518" s="55" t="s">
        <v>140</v>
      </c>
      <c r="D518" s="58">
        <v>1</v>
      </c>
      <c r="E518" s="57">
        <v>0</v>
      </c>
    </row>
    <row r="519" spans="2:5" ht="15" customHeight="1">
      <c r="B519" s="90"/>
      <c r="C519" s="55" t="s">
        <v>141</v>
      </c>
      <c r="D519" s="58">
        <v>1</v>
      </c>
      <c r="E519" s="57">
        <v>0</v>
      </c>
    </row>
    <row r="520" spans="2:5" ht="15" customHeight="1">
      <c r="B520" s="90"/>
      <c r="C520" s="55" t="s">
        <v>157</v>
      </c>
      <c r="D520" s="58">
        <v>1</v>
      </c>
      <c r="E520" s="57">
        <v>0</v>
      </c>
    </row>
    <row r="521" spans="2:5" ht="15" customHeight="1">
      <c r="B521" s="90"/>
      <c r="C521" s="55" t="s">
        <v>257</v>
      </c>
      <c r="D521" s="58">
        <v>1</v>
      </c>
      <c r="E521" s="57">
        <v>0</v>
      </c>
    </row>
    <row r="522" spans="2:5" ht="15" customHeight="1">
      <c r="B522" s="90"/>
      <c r="C522" s="55" t="s">
        <v>148</v>
      </c>
      <c r="D522" s="58">
        <v>1</v>
      </c>
      <c r="E522" s="57">
        <v>0</v>
      </c>
    </row>
    <row r="523" spans="2:5" ht="15" customHeight="1">
      <c r="B523" s="90"/>
      <c r="C523" s="55" t="s">
        <v>149</v>
      </c>
      <c r="D523" s="58">
        <v>1</v>
      </c>
      <c r="E523" s="57">
        <v>0</v>
      </c>
    </row>
    <row r="524" spans="2:5" ht="15" customHeight="1">
      <c r="B524" s="90"/>
      <c r="C524" s="55" t="s">
        <v>151</v>
      </c>
      <c r="D524" s="58">
        <v>1</v>
      </c>
      <c r="E524" s="57">
        <v>0</v>
      </c>
    </row>
    <row r="525" spans="2:5" ht="15" customHeight="1">
      <c r="B525" s="90"/>
      <c r="C525" s="55" t="s">
        <v>153</v>
      </c>
      <c r="D525" s="58">
        <v>1</v>
      </c>
      <c r="E525" s="57">
        <v>0</v>
      </c>
    </row>
    <row r="526" spans="2:5" ht="15" customHeight="1">
      <c r="B526" s="90"/>
      <c r="C526" s="55" t="s">
        <v>174</v>
      </c>
      <c r="D526" s="58">
        <v>1</v>
      </c>
      <c r="E526" s="57">
        <v>0</v>
      </c>
    </row>
    <row r="527" spans="2:5" ht="15" customHeight="1">
      <c r="B527" s="90"/>
      <c r="C527" s="55" t="s">
        <v>167</v>
      </c>
      <c r="D527" s="58">
        <v>1</v>
      </c>
      <c r="E527" s="57">
        <v>0</v>
      </c>
    </row>
    <row r="528" spans="2:5" ht="15" customHeight="1">
      <c r="B528" s="91"/>
      <c r="C528" s="72" t="s">
        <v>284</v>
      </c>
      <c r="D528" s="73">
        <v>129</v>
      </c>
      <c r="E528" s="71">
        <v>8.0000000000000002E-3</v>
      </c>
    </row>
    <row r="529" spans="2:5" ht="15" customHeight="1">
      <c r="B529" s="89" t="s">
        <v>115</v>
      </c>
      <c r="C529" s="55" t="s">
        <v>144</v>
      </c>
      <c r="D529" s="58">
        <v>33</v>
      </c>
      <c r="E529" s="57">
        <v>2E-3</v>
      </c>
    </row>
    <row r="530" spans="2:5" ht="15" customHeight="1">
      <c r="B530" s="90"/>
      <c r="C530" s="55" t="s">
        <v>143</v>
      </c>
      <c r="D530" s="58">
        <v>17</v>
      </c>
      <c r="E530" s="57">
        <v>1E-3</v>
      </c>
    </row>
    <row r="531" spans="2:5" ht="15" customHeight="1">
      <c r="B531" s="90"/>
      <c r="C531" s="55" t="s">
        <v>149</v>
      </c>
      <c r="D531" s="58">
        <v>10</v>
      </c>
      <c r="E531" s="57">
        <v>1E-3</v>
      </c>
    </row>
    <row r="532" spans="2:5" ht="15" customHeight="1">
      <c r="B532" s="90"/>
      <c r="C532" s="55" t="s">
        <v>142</v>
      </c>
      <c r="D532" s="58">
        <v>8</v>
      </c>
      <c r="E532" s="57">
        <v>1E-3</v>
      </c>
    </row>
    <row r="533" spans="2:5" ht="15" customHeight="1">
      <c r="B533" s="90"/>
      <c r="C533" s="55" t="s">
        <v>160</v>
      </c>
      <c r="D533" s="58">
        <v>8</v>
      </c>
      <c r="E533" s="57">
        <v>1E-3</v>
      </c>
    </row>
    <row r="534" spans="2:5" ht="15" customHeight="1">
      <c r="B534" s="90"/>
      <c r="C534" s="55" t="s">
        <v>163</v>
      </c>
      <c r="D534" s="58">
        <v>8</v>
      </c>
      <c r="E534" s="57">
        <v>1E-3</v>
      </c>
    </row>
    <row r="535" spans="2:5" ht="15" customHeight="1">
      <c r="B535" s="90"/>
      <c r="C535" s="55" t="s">
        <v>147</v>
      </c>
      <c r="D535" s="58">
        <v>7</v>
      </c>
      <c r="E535" s="57">
        <v>0</v>
      </c>
    </row>
    <row r="536" spans="2:5" ht="15" customHeight="1">
      <c r="B536" s="90"/>
      <c r="C536" s="55" t="s">
        <v>150</v>
      </c>
      <c r="D536" s="58">
        <v>6</v>
      </c>
      <c r="E536" s="57">
        <v>0</v>
      </c>
    </row>
    <row r="537" spans="2:5" ht="15" customHeight="1">
      <c r="B537" s="90"/>
      <c r="C537" s="55" t="s">
        <v>169</v>
      </c>
      <c r="D537" s="58">
        <v>4</v>
      </c>
      <c r="E537" s="57">
        <v>0</v>
      </c>
    </row>
    <row r="538" spans="2:5" ht="15" customHeight="1">
      <c r="B538" s="90"/>
      <c r="C538" s="55" t="s">
        <v>141</v>
      </c>
      <c r="D538" s="58">
        <v>4</v>
      </c>
      <c r="E538" s="57">
        <v>0</v>
      </c>
    </row>
    <row r="539" spans="2:5" ht="15" customHeight="1">
      <c r="B539" s="90"/>
      <c r="C539" s="55" t="s">
        <v>154</v>
      </c>
      <c r="D539" s="58">
        <v>4</v>
      </c>
      <c r="E539" s="57">
        <v>0</v>
      </c>
    </row>
    <row r="540" spans="2:5" ht="15" customHeight="1">
      <c r="B540" s="90"/>
      <c r="C540" s="55" t="s">
        <v>145</v>
      </c>
      <c r="D540" s="58">
        <v>2</v>
      </c>
      <c r="E540" s="57">
        <v>0</v>
      </c>
    </row>
    <row r="541" spans="2:5" ht="15" customHeight="1">
      <c r="B541" s="90"/>
      <c r="C541" s="55" t="s">
        <v>151</v>
      </c>
      <c r="D541" s="58">
        <v>2</v>
      </c>
      <c r="E541" s="57">
        <v>0</v>
      </c>
    </row>
    <row r="542" spans="2:5" ht="15" customHeight="1">
      <c r="B542" s="90"/>
      <c r="C542" s="55" t="s">
        <v>153</v>
      </c>
      <c r="D542" s="58">
        <v>2</v>
      </c>
      <c r="E542" s="57">
        <v>0</v>
      </c>
    </row>
    <row r="543" spans="2:5" ht="15" customHeight="1">
      <c r="B543" s="90"/>
      <c r="C543" s="55" t="s">
        <v>156</v>
      </c>
      <c r="D543" s="58">
        <v>2</v>
      </c>
      <c r="E543" s="57">
        <v>0</v>
      </c>
    </row>
    <row r="544" spans="2:5" ht="15" customHeight="1">
      <c r="B544" s="90"/>
      <c r="C544" s="55" t="s">
        <v>175</v>
      </c>
      <c r="D544" s="58">
        <v>2</v>
      </c>
      <c r="E544" s="57">
        <v>0</v>
      </c>
    </row>
    <row r="545" spans="2:5" ht="15" customHeight="1">
      <c r="B545" s="90"/>
      <c r="C545" s="55" t="s">
        <v>140</v>
      </c>
      <c r="D545" s="58">
        <v>1</v>
      </c>
      <c r="E545" s="57">
        <v>0</v>
      </c>
    </row>
    <row r="546" spans="2:5" ht="15" customHeight="1">
      <c r="B546" s="90"/>
      <c r="C546" s="55" t="s">
        <v>257</v>
      </c>
      <c r="D546" s="58">
        <v>1</v>
      </c>
      <c r="E546" s="57">
        <v>0</v>
      </c>
    </row>
    <row r="547" spans="2:5" ht="15" customHeight="1">
      <c r="B547" s="90"/>
      <c r="C547" s="55" t="s">
        <v>159</v>
      </c>
      <c r="D547" s="58">
        <v>1</v>
      </c>
      <c r="E547" s="57">
        <v>0</v>
      </c>
    </row>
    <row r="548" spans="2:5" ht="15" customHeight="1">
      <c r="B548" s="90"/>
      <c r="C548" s="55" t="s">
        <v>162</v>
      </c>
      <c r="D548" s="58">
        <v>1</v>
      </c>
      <c r="E548" s="57">
        <v>0</v>
      </c>
    </row>
    <row r="549" spans="2:5" ht="15" customHeight="1">
      <c r="B549" s="90"/>
      <c r="C549" s="55" t="s">
        <v>164</v>
      </c>
      <c r="D549" s="58">
        <v>1</v>
      </c>
      <c r="E549" s="57">
        <v>0</v>
      </c>
    </row>
    <row r="550" spans="2:5" ht="15" customHeight="1">
      <c r="B550" s="90"/>
      <c r="C550" s="55" t="s">
        <v>166</v>
      </c>
      <c r="D550" s="58">
        <v>1</v>
      </c>
      <c r="E550" s="57">
        <v>0</v>
      </c>
    </row>
    <row r="551" spans="2:5" ht="15" customHeight="1">
      <c r="B551" s="90"/>
      <c r="C551" s="55" t="s">
        <v>155</v>
      </c>
      <c r="D551" s="58">
        <v>1</v>
      </c>
      <c r="E551" s="57">
        <v>0</v>
      </c>
    </row>
    <row r="552" spans="2:5" ht="15" customHeight="1">
      <c r="B552" s="90"/>
      <c r="C552" s="55" t="s">
        <v>167</v>
      </c>
      <c r="D552" s="58">
        <v>1</v>
      </c>
      <c r="E552" s="57">
        <v>0</v>
      </c>
    </row>
    <row r="553" spans="2:5" ht="15" customHeight="1">
      <c r="B553" s="90"/>
      <c r="C553" s="55" t="s">
        <v>168</v>
      </c>
      <c r="D553" s="58">
        <v>1</v>
      </c>
      <c r="E553" s="57">
        <v>0</v>
      </c>
    </row>
    <row r="554" spans="2:5" ht="15" customHeight="1">
      <c r="B554" s="91"/>
      <c r="C554" s="72" t="s">
        <v>284</v>
      </c>
      <c r="D554" s="73">
        <v>128</v>
      </c>
      <c r="E554" s="71">
        <v>8.0000000000000002E-3</v>
      </c>
    </row>
    <row r="555" spans="2:5" ht="15" customHeight="1">
      <c r="B555" s="89" t="s">
        <v>128</v>
      </c>
      <c r="C555" s="55" t="s">
        <v>148</v>
      </c>
      <c r="D555" s="58">
        <v>36</v>
      </c>
      <c r="E555" s="57">
        <v>2E-3</v>
      </c>
    </row>
    <row r="556" spans="2:5" ht="15" customHeight="1">
      <c r="B556" s="90"/>
      <c r="C556" s="55" t="s">
        <v>144</v>
      </c>
      <c r="D556" s="58">
        <v>23</v>
      </c>
      <c r="E556" s="57">
        <v>1E-3</v>
      </c>
    </row>
    <row r="557" spans="2:5" ht="15" customHeight="1">
      <c r="B557" s="90"/>
      <c r="C557" s="55" t="s">
        <v>167</v>
      </c>
      <c r="D557" s="58">
        <v>13</v>
      </c>
      <c r="E557" s="57">
        <v>1E-3</v>
      </c>
    </row>
    <row r="558" spans="2:5" ht="15" customHeight="1">
      <c r="B558" s="90"/>
      <c r="C558" s="55" t="s">
        <v>143</v>
      </c>
      <c r="D558" s="58">
        <v>9</v>
      </c>
      <c r="E558" s="57">
        <v>1E-3</v>
      </c>
    </row>
    <row r="559" spans="2:5" ht="15" customHeight="1">
      <c r="B559" s="90"/>
      <c r="C559" s="55" t="s">
        <v>145</v>
      </c>
      <c r="D559" s="58">
        <v>5</v>
      </c>
      <c r="E559" s="57">
        <v>0</v>
      </c>
    </row>
    <row r="560" spans="2:5" ht="15" customHeight="1">
      <c r="B560" s="90"/>
      <c r="C560" s="55" t="s">
        <v>146</v>
      </c>
      <c r="D560" s="58">
        <v>5</v>
      </c>
      <c r="E560" s="57">
        <v>0</v>
      </c>
    </row>
    <row r="561" spans="2:5" ht="15" customHeight="1">
      <c r="B561" s="90"/>
      <c r="C561" s="55" t="s">
        <v>165</v>
      </c>
      <c r="D561" s="58">
        <v>4</v>
      </c>
      <c r="E561" s="57">
        <v>0</v>
      </c>
    </row>
    <row r="562" spans="2:5" ht="15" customHeight="1">
      <c r="B562" s="90"/>
      <c r="C562" s="55" t="s">
        <v>142</v>
      </c>
      <c r="D562" s="58">
        <v>3</v>
      </c>
      <c r="E562" s="57">
        <v>0</v>
      </c>
    </row>
    <row r="563" spans="2:5" ht="15" customHeight="1">
      <c r="B563" s="90"/>
      <c r="C563" s="55" t="s">
        <v>150</v>
      </c>
      <c r="D563" s="58">
        <v>3</v>
      </c>
      <c r="E563" s="57">
        <v>0</v>
      </c>
    </row>
    <row r="564" spans="2:5" ht="15" customHeight="1">
      <c r="B564" s="90"/>
      <c r="C564" s="55" t="s">
        <v>154</v>
      </c>
      <c r="D564" s="58">
        <v>3</v>
      </c>
      <c r="E564" s="57">
        <v>0</v>
      </c>
    </row>
    <row r="565" spans="2:5" ht="15" customHeight="1">
      <c r="B565" s="90"/>
      <c r="C565" s="55" t="s">
        <v>159</v>
      </c>
      <c r="D565" s="58">
        <v>2</v>
      </c>
      <c r="E565" s="57">
        <v>0</v>
      </c>
    </row>
    <row r="566" spans="2:5" ht="15" customHeight="1">
      <c r="B566" s="90"/>
      <c r="C566" s="55" t="s">
        <v>147</v>
      </c>
      <c r="D566" s="58">
        <v>2</v>
      </c>
      <c r="E566" s="57">
        <v>0</v>
      </c>
    </row>
    <row r="567" spans="2:5" ht="15" customHeight="1">
      <c r="B567" s="90"/>
      <c r="C567" s="55" t="s">
        <v>155</v>
      </c>
      <c r="D567" s="58">
        <v>2</v>
      </c>
      <c r="E567" s="57">
        <v>0</v>
      </c>
    </row>
    <row r="568" spans="2:5" ht="15" customHeight="1">
      <c r="B568" s="90"/>
      <c r="C568" s="55" t="s">
        <v>141</v>
      </c>
      <c r="D568" s="58">
        <v>1</v>
      </c>
      <c r="E568" s="57">
        <v>0</v>
      </c>
    </row>
    <row r="569" spans="2:5" ht="15" customHeight="1">
      <c r="B569" s="90"/>
      <c r="C569" s="55" t="s">
        <v>157</v>
      </c>
      <c r="D569" s="58">
        <v>1</v>
      </c>
      <c r="E569" s="57">
        <v>0</v>
      </c>
    </row>
    <row r="570" spans="2:5" ht="15" customHeight="1">
      <c r="B570" s="90"/>
      <c r="C570" s="55" t="s">
        <v>257</v>
      </c>
      <c r="D570" s="58">
        <v>1</v>
      </c>
      <c r="E570" s="57">
        <v>0</v>
      </c>
    </row>
    <row r="571" spans="2:5" ht="15" customHeight="1">
      <c r="B571" s="90"/>
      <c r="C571" s="55" t="s">
        <v>160</v>
      </c>
      <c r="D571" s="58">
        <v>1</v>
      </c>
      <c r="E571" s="57">
        <v>0</v>
      </c>
    </row>
    <row r="572" spans="2:5" ht="15" customHeight="1">
      <c r="B572" s="90"/>
      <c r="C572" s="55" t="s">
        <v>161</v>
      </c>
      <c r="D572" s="58">
        <v>1</v>
      </c>
      <c r="E572" s="57">
        <v>0</v>
      </c>
    </row>
    <row r="573" spans="2:5" ht="15" customHeight="1">
      <c r="B573" s="90"/>
      <c r="C573" s="55" t="s">
        <v>149</v>
      </c>
      <c r="D573" s="58">
        <v>1</v>
      </c>
      <c r="E573" s="57">
        <v>0</v>
      </c>
    </row>
    <row r="574" spans="2:5" ht="15" customHeight="1">
      <c r="B574" s="91"/>
      <c r="C574" s="72" t="s">
        <v>284</v>
      </c>
      <c r="D574" s="73">
        <v>116</v>
      </c>
      <c r="E574" s="71">
        <v>8.0000000000000002E-3</v>
      </c>
    </row>
    <row r="575" spans="2:5" ht="15" customHeight="1">
      <c r="B575" s="89" t="s">
        <v>97</v>
      </c>
      <c r="C575" s="55" t="s">
        <v>144</v>
      </c>
      <c r="D575" s="58">
        <v>27</v>
      </c>
      <c r="E575" s="57">
        <v>2E-3</v>
      </c>
    </row>
    <row r="576" spans="2:5" ht="15" customHeight="1">
      <c r="B576" s="90"/>
      <c r="C576" s="55" t="s">
        <v>143</v>
      </c>
      <c r="D576" s="58">
        <v>11</v>
      </c>
      <c r="E576" s="57">
        <v>1E-3</v>
      </c>
    </row>
    <row r="577" spans="2:5" ht="15" customHeight="1">
      <c r="B577" s="90"/>
      <c r="C577" s="55" t="s">
        <v>146</v>
      </c>
      <c r="D577" s="58">
        <v>7</v>
      </c>
      <c r="E577" s="57">
        <v>0</v>
      </c>
    </row>
    <row r="578" spans="2:5" ht="15" customHeight="1">
      <c r="B578" s="90"/>
      <c r="C578" s="55" t="s">
        <v>142</v>
      </c>
      <c r="D578" s="58">
        <v>6</v>
      </c>
      <c r="E578" s="57">
        <v>0</v>
      </c>
    </row>
    <row r="579" spans="2:5" ht="15" customHeight="1">
      <c r="B579" s="90"/>
      <c r="C579" s="55" t="s">
        <v>145</v>
      </c>
      <c r="D579" s="58">
        <v>6</v>
      </c>
      <c r="E579" s="57">
        <v>0</v>
      </c>
    </row>
    <row r="580" spans="2:5" ht="15" customHeight="1">
      <c r="B580" s="90"/>
      <c r="C580" s="55" t="s">
        <v>160</v>
      </c>
      <c r="D580" s="58">
        <v>5</v>
      </c>
      <c r="E580" s="57">
        <v>0</v>
      </c>
    </row>
    <row r="581" spans="2:5" ht="15" customHeight="1">
      <c r="B581" s="90"/>
      <c r="C581" s="55" t="s">
        <v>156</v>
      </c>
      <c r="D581" s="58">
        <v>5</v>
      </c>
      <c r="E581" s="57">
        <v>0</v>
      </c>
    </row>
    <row r="582" spans="2:5" ht="15" customHeight="1">
      <c r="B582" s="90"/>
      <c r="C582" s="55" t="s">
        <v>147</v>
      </c>
      <c r="D582" s="58">
        <v>4</v>
      </c>
      <c r="E582" s="57">
        <v>0</v>
      </c>
    </row>
    <row r="583" spans="2:5" ht="15" customHeight="1">
      <c r="B583" s="90"/>
      <c r="C583" s="55" t="s">
        <v>161</v>
      </c>
      <c r="D583" s="58">
        <v>4</v>
      </c>
      <c r="E583" s="57">
        <v>0</v>
      </c>
    </row>
    <row r="584" spans="2:5" ht="15" customHeight="1">
      <c r="B584" s="90"/>
      <c r="C584" s="55" t="s">
        <v>162</v>
      </c>
      <c r="D584" s="58">
        <v>4</v>
      </c>
      <c r="E584" s="57">
        <v>0</v>
      </c>
    </row>
    <row r="585" spans="2:5" ht="15" customHeight="1">
      <c r="B585" s="90"/>
      <c r="C585" s="55" t="s">
        <v>164</v>
      </c>
      <c r="D585" s="58">
        <v>4</v>
      </c>
      <c r="E585" s="57">
        <v>0</v>
      </c>
    </row>
    <row r="586" spans="2:5" ht="15" customHeight="1">
      <c r="B586" s="90"/>
      <c r="C586" s="55" t="s">
        <v>141</v>
      </c>
      <c r="D586" s="58">
        <v>3</v>
      </c>
      <c r="E586" s="57">
        <v>0</v>
      </c>
    </row>
    <row r="587" spans="2:5" ht="15" customHeight="1">
      <c r="B587" s="90"/>
      <c r="C587" s="55" t="s">
        <v>150</v>
      </c>
      <c r="D587" s="58">
        <v>3</v>
      </c>
      <c r="E587" s="57">
        <v>0</v>
      </c>
    </row>
    <row r="588" spans="2:5" ht="15" customHeight="1">
      <c r="B588" s="90"/>
      <c r="C588" s="55" t="s">
        <v>155</v>
      </c>
      <c r="D588" s="58">
        <v>3</v>
      </c>
      <c r="E588" s="57">
        <v>0</v>
      </c>
    </row>
    <row r="589" spans="2:5" ht="15" customHeight="1">
      <c r="B589" s="90"/>
      <c r="C589" s="55" t="s">
        <v>169</v>
      </c>
      <c r="D589" s="58">
        <v>2</v>
      </c>
      <c r="E589" s="57">
        <v>0</v>
      </c>
    </row>
    <row r="590" spans="2:5" ht="15" customHeight="1">
      <c r="B590" s="90"/>
      <c r="C590" s="55" t="s">
        <v>159</v>
      </c>
      <c r="D590" s="58">
        <v>2</v>
      </c>
      <c r="E590" s="57">
        <v>0</v>
      </c>
    </row>
    <row r="591" spans="2:5" ht="15" customHeight="1">
      <c r="B591" s="90"/>
      <c r="C591" s="55" t="s">
        <v>149</v>
      </c>
      <c r="D591" s="58">
        <v>2</v>
      </c>
      <c r="E591" s="57">
        <v>0</v>
      </c>
    </row>
    <row r="592" spans="2:5" ht="15" customHeight="1">
      <c r="B592" s="90"/>
      <c r="C592" s="55" t="s">
        <v>153</v>
      </c>
      <c r="D592" s="58">
        <v>2</v>
      </c>
      <c r="E592" s="57">
        <v>0</v>
      </c>
    </row>
    <row r="593" spans="2:5" ht="15" customHeight="1">
      <c r="B593" s="90"/>
      <c r="C593" s="55" t="s">
        <v>140</v>
      </c>
      <c r="D593" s="58">
        <v>1</v>
      </c>
      <c r="E593" s="57">
        <v>0</v>
      </c>
    </row>
    <row r="594" spans="2:5" ht="15" customHeight="1">
      <c r="B594" s="90"/>
      <c r="C594" s="55" t="s">
        <v>148</v>
      </c>
      <c r="D594" s="58">
        <v>1</v>
      </c>
      <c r="E594" s="57">
        <v>0</v>
      </c>
    </row>
    <row r="595" spans="2:5" ht="15" customHeight="1">
      <c r="B595" s="90"/>
      <c r="C595" s="55" t="s">
        <v>165</v>
      </c>
      <c r="D595" s="58">
        <v>1</v>
      </c>
      <c r="E595" s="57">
        <v>0</v>
      </c>
    </row>
    <row r="596" spans="2:5" ht="15" customHeight="1">
      <c r="B596" s="90"/>
      <c r="C596" s="55" t="s">
        <v>154</v>
      </c>
      <c r="D596" s="58">
        <v>1</v>
      </c>
      <c r="E596" s="57">
        <v>0</v>
      </c>
    </row>
    <row r="597" spans="2:5" ht="15" customHeight="1">
      <c r="B597" s="90"/>
      <c r="C597" s="55" t="s">
        <v>166</v>
      </c>
      <c r="D597" s="58">
        <v>1</v>
      </c>
      <c r="E597" s="57">
        <v>0</v>
      </c>
    </row>
    <row r="598" spans="2:5" ht="15" customHeight="1">
      <c r="B598" s="91"/>
      <c r="C598" s="72" t="s">
        <v>284</v>
      </c>
      <c r="D598" s="73">
        <v>105</v>
      </c>
      <c r="E598" s="71">
        <v>7.0000000000000001E-3</v>
      </c>
    </row>
    <row r="599" spans="2:5" ht="15" customHeight="1">
      <c r="B599" s="89" t="s">
        <v>95</v>
      </c>
      <c r="C599" s="55" t="s">
        <v>144</v>
      </c>
      <c r="D599" s="58">
        <v>40</v>
      </c>
      <c r="E599" s="57">
        <v>3.0000000000000001E-3</v>
      </c>
    </row>
    <row r="600" spans="2:5" ht="15" customHeight="1">
      <c r="B600" s="90"/>
      <c r="C600" s="55" t="s">
        <v>143</v>
      </c>
      <c r="D600" s="58">
        <v>12</v>
      </c>
      <c r="E600" s="57">
        <v>1E-3</v>
      </c>
    </row>
    <row r="601" spans="2:5" ht="15" customHeight="1">
      <c r="B601" s="90"/>
      <c r="C601" s="55" t="s">
        <v>155</v>
      </c>
      <c r="D601" s="58">
        <v>11</v>
      </c>
      <c r="E601" s="57">
        <v>1E-3</v>
      </c>
    </row>
    <row r="602" spans="2:5" ht="15" customHeight="1">
      <c r="B602" s="90"/>
      <c r="C602" s="55" t="s">
        <v>145</v>
      </c>
      <c r="D602" s="58">
        <v>6</v>
      </c>
      <c r="E602" s="57">
        <v>0</v>
      </c>
    </row>
    <row r="603" spans="2:5" ht="15" customHeight="1">
      <c r="B603" s="90"/>
      <c r="C603" s="55" t="s">
        <v>153</v>
      </c>
      <c r="D603" s="58">
        <v>5</v>
      </c>
      <c r="E603" s="57">
        <v>0</v>
      </c>
    </row>
    <row r="604" spans="2:5" ht="15" customHeight="1">
      <c r="B604" s="90"/>
      <c r="C604" s="55" t="s">
        <v>142</v>
      </c>
      <c r="D604" s="58">
        <v>3</v>
      </c>
      <c r="E604" s="57">
        <v>0</v>
      </c>
    </row>
    <row r="605" spans="2:5" ht="15" customHeight="1">
      <c r="B605" s="90"/>
      <c r="C605" s="55" t="s">
        <v>146</v>
      </c>
      <c r="D605" s="58">
        <v>3</v>
      </c>
      <c r="E605" s="57">
        <v>0</v>
      </c>
    </row>
    <row r="606" spans="2:5" ht="15" customHeight="1">
      <c r="B606" s="90"/>
      <c r="C606" s="55" t="s">
        <v>147</v>
      </c>
      <c r="D606" s="58">
        <v>3</v>
      </c>
      <c r="E606" s="57">
        <v>0</v>
      </c>
    </row>
    <row r="607" spans="2:5" ht="15" customHeight="1">
      <c r="B607" s="90"/>
      <c r="C607" s="55" t="s">
        <v>150</v>
      </c>
      <c r="D607" s="58">
        <v>3</v>
      </c>
      <c r="E607" s="57">
        <v>0</v>
      </c>
    </row>
    <row r="608" spans="2:5" ht="15" customHeight="1">
      <c r="B608" s="90"/>
      <c r="C608" s="55" t="s">
        <v>140</v>
      </c>
      <c r="D608" s="58">
        <v>2</v>
      </c>
      <c r="E608" s="57">
        <v>0</v>
      </c>
    </row>
    <row r="609" spans="2:5" ht="15" customHeight="1">
      <c r="B609" s="90"/>
      <c r="C609" s="55" t="s">
        <v>154</v>
      </c>
      <c r="D609" s="58">
        <v>2</v>
      </c>
      <c r="E609" s="57">
        <v>0</v>
      </c>
    </row>
    <row r="610" spans="2:5" ht="15" customHeight="1">
      <c r="B610" s="90"/>
      <c r="C610" s="55" t="s">
        <v>169</v>
      </c>
      <c r="D610" s="58">
        <v>1</v>
      </c>
      <c r="E610" s="57">
        <v>0</v>
      </c>
    </row>
    <row r="611" spans="2:5" ht="15" customHeight="1">
      <c r="B611" s="90"/>
      <c r="C611" s="55" t="s">
        <v>141</v>
      </c>
      <c r="D611" s="58">
        <v>1</v>
      </c>
      <c r="E611" s="57">
        <v>0</v>
      </c>
    </row>
    <row r="612" spans="2:5" ht="15" customHeight="1">
      <c r="B612" s="90"/>
      <c r="C612" s="55" t="s">
        <v>148</v>
      </c>
      <c r="D612" s="58">
        <v>1</v>
      </c>
      <c r="E612" s="57">
        <v>0</v>
      </c>
    </row>
    <row r="613" spans="2:5" ht="15" customHeight="1">
      <c r="B613" s="90"/>
      <c r="C613" s="55" t="s">
        <v>149</v>
      </c>
      <c r="D613" s="58">
        <v>1</v>
      </c>
      <c r="E613" s="57">
        <v>0</v>
      </c>
    </row>
    <row r="614" spans="2:5" ht="15" customHeight="1">
      <c r="B614" s="90"/>
      <c r="C614" s="55" t="s">
        <v>152</v>
      </c>
      <c r="D614" s="58">
        <v>1</v>
      </c>
      <c r="E614" s="57">
        <v>0</v>
      </c>
    </row>
    <row r="615" spans="2:5" ht="15" customHeight="1">
      <c r="B615" s="90"/>
      <c r="C615" s="55" t="s">
        <v>166</v>
      </c>
      <c r="D615" s="58">
        <v>1</v>
      </c>
      <c r="E615" s="57">
        <v>0</v>
      </c>
    </row>
    <row r="616" spans="2:5" ht="15" customHeight="1">
      <c r="B616" s="90"/>
      <c r="C616" s="55" t="s">
        <v>167</v>
      </c>
      <c r="D616" s="58">
        <v>1</v>
      </c>
      <c r="E616" s="57">
        <v>0</v>
      </c>
    </row>
    <row r="617" spans="2:5" ht="15" customHeight="1">
      <c r="B617" s="90"/>
      <c r="C617" s="55" t="s">
        <v>156</v>
      </c>
      <c r="D617" s="58">
        <v>1</v>
      </c>
      <c r="E617" s="57">
        <v>0</v>
      </c>
    </row>
    <row r="618" spans="2:5" ht="15" customHeight="1">
      <c r="B618" s="91"/>
      <c r="C618" s="72" t="s">
        <v>284</v>
      </c>
      <c r="D618" s="73">
        <v>98</v>
      </c>
      <c r="E618" s="71">
        <v>6.0000000000000001E-3</v>
      </c>
    </row>
    <row r="619" spans="2:5" ht="15" customHeight="1">
      <c r="B619" s="89" t="s">
        <v>126</v>
      </c>
      <c r="C619" s="55" t="s">
        <v>144</v>
      </c>
      <c r="D619" s="58">
        <v>25</v>
      </c>
      <c r="E619" s="57">
        <v>2E-3</v>
      </c>
    </row>
    <row r="620" spans="2:5" ht="15" customHeight="1">
      <c r="B620" s="90"/>
      <c r="C620" s="55" t="s">
        <v>143</v>
      </c>
      <c r="D620" s="58">
        <v>16</v>
      </c>
      <c r="E620" s="57">
        <v>1E-3</v>
      </c>
    </row>
    <row r="621" spans="2:5" ht="15" customHeight="1">
      <c r="B621" s="90"/>
      <c r="C621" s="55" t="s">
        <v>147</v>
      </c>
      <c r="D621" s="58">
        <v>6</v>
      </c>
      <c r="E621" s="57">
        <v>0</v>
      </c>
    </row>
    <row r="622" spans="2:5" ht="15" customHeight="1">
      <c r="B622" s="90"/>
      <c r="C622" s="55" t="s">
        <v>149</v>
      </c>
      <c r="D622" s="58">
        <v>6</v>
      </c>
      <c r="E622" s="57">
        <v>0</v>
      </c>
    </row>
    <row r="623" spans="2:5" ht="15" customHeight="1">
      <c r="B623" s="90"/>
      <c r="C623" s="55" t="s">
        <v>166</v>
      </c>
      <c r="D623" s="58">
        <v>6</v>
      </c>
      <c r="E623" s="57">
        <v>0</v>
      </c>
    </row>
    <row r="624" spans="2:5" ht="15" customHeight="1">
      <c r="B624" s="90"/>
      <c r="C624" s="55" t="s">
        <v>142</v>
      </c>
      <c r="D624" s="58">
        <v>5</v>
      </c>
      <c r="E624" s="57">
        <v>0</v>
      </c>
    </row>
    <row r="625" spans="2:5" ht="15" customHeight="1">
      <c r="B625" s="90"/>
      <c r="C625" s="55" t="s">
        <v>151</v>
      </c>
      <c r="D625" s="58">
        <v>5</v>
      </c>
      <c r="E625" s="57">
        <v>0</v>
      </c>
    </row>
    <row r="626" spans="2:5" ht="15" customHeight="1">
      <c r="B626" s="90"/>
      <c r="C626" s="55" t="s">
        <v>145</v>
      </c>
      <c r="D626" s="58">
        <v>4</v>
      </c>
      <c r="E626" s="57">
        <v>0</v>
      </c>
    </row>
    <row r="627" spans="2:5" ht="15" customHeight="1">
      <c r="B627" s="90"/>
      <c r="C627" s="55" t="s">
        <v>154</v>
      </c>
      <c r="D627" s="58">
        <v>3</v>
      </c>
      <c r="E627" s="57">
        <v>0</v>
      </c>
    </row>
    <row r="628" spans="2:5" ht="15" customHeight="1">
      <c r="B628" s="90"/>
      <c r="C628" s="55" t="s">
        <v>141</v>
      </c>
      <c r="D628" s="58">
        <v>2</v>
      </c>
      <c r="E628" s="57">
        <v>0</v>
      </c>
    </row>
    <row r="629" spans="2:5" ht="15" customHeight="1">
      <c r="B629" s="90"/>
      <c r="C629" s="55" t="s">
        <v>157</v>
      </c>
      <c r="D629" s="58">
        <v>2</v>
      </c>
      <c r="E629" s="57">
        <v>0</v>
      </c>
    </row>
    <row r="630" spans="2:5" ht="15" customHeight="1">
      <c r="B630" s="90"/>
      <c r="C630" s="55" t="s">
        <v>146</v>
      </c>
      <c r="D630" s="58">
        <v>2</v>
      </c>
      <c r="E630" s="57">
        <v>0</v>
      </c>
    </row>
    <row r="631" spans="2:5" ht="15" customHeight="1">
      <c r="B631" s="90"/>
      <c r="C631" s="55" t="s">
        <v>160</v>
      </c>
      <c r="D631" s="58">
        <v>2</v>
      </c>
      <c r="E631" s="57">
        <v>0</v>
      </c>
    </row>
    <row r="632" spans="2:5" ht="15" customHeight="1">
      <c r="B632" s="90"/>
      <c r="C632" s="55" t="s">
        <v>150</v>
      </c>
      <c r="D632" s="58">
        <v>2</v>
      </c>
      <c r="E632" s="57">
        <v>0</v>
      </c>
    </row>
    <row r="633" spans="2:5" ht="15" customHeight="1">
      <c r="B633" s="90"/>
      <c r="C633" s="55" t="s">
        <v>156</v>
      </c>
      <c r="D633" s="58">
        <v>2</v>
      </c>
      <c r="E633" s="57">
        <v>0</v>
      </c>
    </row>
    <row r="634" spans="2:5" ht="15" customHeight="1">
      <c r="B634" s="90"/>
      <c r="C634" s="55" t="s">
        <v>161</v>
      </c>
      <c r="D634" s="58">
        <v>1</v>
      </c>
      <c r="E634" s="57">
        <v>0</v>
      </c>
    </row>
    <row r="635" spans="2:5" ht="15" customHeight="1">
      <c r="B635" s="90"/>
      <c r="C635" s="55" t="s">
        <v>164</v>
      </c>
      <c r="D635" s="58">
        <v>1</v>
      </c>
      <c r="E635" s="57">
        <v>0</v>
      </c>
    </row>
    <row r="636" spans="2:5" ht="15" customHeight="1">
      <c r="B636" s="90"/>
      <c r="C636" s="55" t="s">
        <v>165</v>
      </c>
      <c r="D636" s="58">
        <v>1</v>
      </c>
      <c r="E636" s="57">
        <v>0</v>
      </c>
    </row>
    <row r="637" spans="2:5" ht="15" customHeight="1">
      <c r="B637" s="90"/>
      <c r="C637" s="55" t="s">
        <v>155</v>
      </c>
      <c r="D637" s="58">
        <v>1</v>
      </c>
      <c r="E637" s="57">
        <v>0</v>
      </c>
    </row>
    <row r="638" spans="2:5" ht="15" customHeight="1">
      <c r="B638" s="91"/>
      <c r="C638" s="72" t="s">
        <v>284</v>
      </c>
      <c r="D638" s="73">
        <v>92</v>
      </c>
      <c r="E638" s="71">
        <v>6.0000000000000001E-3</v>
      </c>
    </row>
    <row r="639" spans="2:5" ht="15" customHeight="1">
      <c r="B639" s="89" t="s">
        <v>135</v>
      </c>
      <c r="C639" s="55" t="s">
        <v>144</v>
      </c>
      <c r="D639" s="58">
        <v>15</v>
      </c>
      <c r="E639" s="57">
        <v>1E-3</v>
      </c>
    </row>
    <row r="640" spans="2:5" ht="15" customHeight="1">
      <c r="B640" s="90"/>
      <c r="C640" s="55" t="s">
        <v>143</v>
      </c>
      <c r="D640" s="58">
        <v>12</v>
      </c>
      <c r="E640" s="57">
        <v>1E-3</v>
      </c>
    </row>
    <row r="641" spans="2:5" ht="15" customHeight="1">
      <c r="B641" s="90"/>
      <c r="C641" s="55" t="s">
        <v>162</v>
      </c>
      <c r="D641" s="58">
        <v>12</v>
      </c>
      <c r="E641" s="57">
        <v>1E-3</v>
      </c>
    </row>
    <row r="642" spans="2:5" ht="15" customHeight="1">
      <c r="B642" s="90"/>
      <c r="C642" s="55" t="s">
        <v>142</v>
      </c>
      <c r="D642" s="58">
        <v>10</v>
      </c>
      <c r="E642" s="57">
        <v>1E-3</v>
      </c>
    </row>
    <row r="643" spans="2:5" ht="15" customHeight="1">
      <c r="B643" s="90"/>
      <c r="C643" s="55" t="s">
        <v>156</v>
      </c>
      <c r="D643" s="58">
        <v>6</v>
      </c>
      <c r="E643" s="57">
        <v>0</v>
      </c>
    </row>
    <row r="644" spans="2:5" ht="15" customHeight="1">
      <c r="B644" s="90"/>
      <c r="C644" s="55" t="s">
        <v>150</v>
      </c>
      <c r="D644" s="58">
        <v>5</v>
      </c>
      <c r="E644" s="57">
        <v>0</v>
      </c>
    </row>
    <row r="645" spans="2:5" ht="15" customHeight="1">
      <c r="B645" s="90"/>
      <c r="C645" s="55" t="s">
        <v>151</v>
      </c>
      <c r="D645" s="58">
        <v>5</v>
      </c>
      <c r="E645" s="57">
        <v>0</v>
      </c>
    </row>
    <row r="646" spans="2:5" ht="15" customHeight="1">
      <c r="B646" s="90"/>
      <c r="C646" s="55" t="s">
        <v>154</v>
      </c>
      <c r="D646" s="58">
        <v>5</v>
      </c>
      <c r="E646" s="57">
        <v>0</v>
      </c>
    </row>
    <row r="647" spans="2:5" ht="15" customHeight="1">
      <c r="B647" s="90"/>
      <c r="C647" s="55" t="s">
        <v>146</v>
      </c>
      <c r="D647" s="58">
        <v>4</v>
      </c>
      <c r="E647" s="57">
        <v>0</v>
      </c>
    </row>
    <row r="648" spans="2:5" ht="15" customHeight="1">
      <c r="B648" s="90"/>
      <c r="C648" s="55" t="s">
        <v>147</v>
      </c>
      <c r="D648" s="58">
        <v>3</v>
      </c>
      <c r="E648" s="57">
        <v>0</v>
      </c>
    </row>
    <row r="649" spans="2:5" ht="15" customHeight="1">
      <c r="B649" s="90"/>
      <c r="C649" s="55" t="s">
        <v>164</v>
      </c>
      <c r="D649" s="58">
        <v>3</v>
      </c>
      <c r="E649" s="57">
        <v>0</v>
      </c>
    </row>
    <row r="650" spans="2:5" ht="15" customHeight="1">
      <c r="B650" s="90"/>
      <c r="C650" s="55" t="s">
        <v>161</v>
      </c>
      <c r="D650" s="58">
        <v>2</v>
      </c>
      <c r="E650" s="57">
        <v>0</v>
      </c>
    </row>
    <row r="651" spans="2:5" ht="15" customHeight="1">
      <c r="B651" s="90"/>
      <c r="C651" s="55" t="s">
        <v>152</v>
      </c>
      <c r="D651" s="58">
        <v>2</v>
      </c>
      <c r="E651" s="57">
        <v>0</v>
      </c>
    </row>
    <row r="652" spans="2:5" ht="15" customHeight="1">
      <c r="B652" s="90"/>
      <c r="C652" s="55" t="s">
        <v>153</v>
      </c>
      <c r="D652" s="58">
        <v>2</v>
      </c>
      <c r="E652" s="57">
        <v>0</v>
      </c>
    </row>
    <row r="653" spans="2:5" ht="15" customHeight="1">
      <c r="B653" s="90"/>
      <c r="C653" s="55" t="s">
        <v>155</v>
      </c>
      <c r="D653" s="58">
        <v>2</v>
      </c>
      <c r="E653" s="57">
        <v>0</v>
      </c>
    </row>
    <row r="654" spans="2:5" ht="15" customHeight="1">
      <c r="B654" s="90"/>
      <c r="C654" s="55" t="s">
        <v>145</v>
      </c>
      <c r="D654" s="58">
        <v>1</v>
      </c>
      <c r="E654" s="57">
        <v>0</v>
      </c>
    </row>
    <row r="655" spans="2:5" ht="15" customHeight="1">
      <c r="B655" s="90"/>
      <c r="C655" s="55" t="s">
        <v>148</v>
      </c>
      <c r="D655" s="58">
        <v>1</v>
      </c>
      <c r="E655" s="57">
        <v>0</v>
      </c>
    </row>
    <row r="656" spans="2:5" ht="15" customHeight="1">
      <c r="B656" s="90"/>
      <c r="C656" s="55" t="s">
        <v>167</v>
      </c>
      <c r="D656" s="58">
        <v>1</v>
      </c>
      <c r="E656" s="57">
        <v>0</v>
      </c>
    </row>
    <row r="657" spans="2:5" ht="15" customHeight="1">
      <c r="B657" s="91"/>
      <c r="C657" s="72" t="s">
        <v>284</v>
      </c>
      <c r="D657" s="73">
        <v>91</v>
      </c>
      <c r="E657" s="71">
        <v>6.0000000000000001E-3</v>
      </c>
    </row>
    <row r="658" spans="2:5" ht="15" customHeight="1">
      <c r="B658" s="89" t="s">
        <v>74</v>
      </c>
      <c r="C658" s="55" t="s">
        <v>144</v>
      </c>
      <c r="D658" s="58">
        <v>22</v>
      </c>
      <c r="E658" s="57">
        <v>1E-3</v>
      </c>
    </row>
    <row r="659" spans="2:5" ht="15" customHeight="1">
      <c r="B659" s="90"/>
      <c r="C659" s="55" t="s">
        <v>143</v>
      </c>
      <c r="D659" s="58">
        <v>14</v>
      </c>
      <c r="E659" s="57">
        <v>1E-3</v>
      </c>
    </row>
    <row r="660" spans="2:5" ht="15" customHeight="1">
      <c r="B660" s="90"/>
      <c r="C660" s="55" t="s">
        <v>156</v>
      </c>
      <c r="D660" s="58">
        <v>8</v>
      </c>
      <c r="E660" s="57">
        <v>1E-3</v>
      </c>
    </row>
    <row r="661" spans="2:5" ht="15" customHeight="1">
      <c r="B661" s="90"/>
      <c r="C661" s="55" t="s">
        <v>140</v>
      </c>
      <c r="D661" s="58">
        <v>5</v>
      </c>
      <c r="E661" s="57">
        <v>0</v>
      </c>
    </row>
    <row r="662" spans="2:5" ht="15" customHeight="1">
      <c r="B662" s="90"/>
      <c r="C662" s="55" t="s">
        <v>142</v>
      </c>
      <c r="D662" s="58">
        <v>5</v>
      </c>
      <c r="E662" s="57">
        <v>0</v>
      </c>
    </row>
    <row r="663" spans="2:5" ht="15" customHeight="1">
      <c r="B663" s="90"/>
      <c r="C663" s="55" t="s">
        <v>147</v>
      </c>
      <c r="D663" s="58">
        <v>5</v>
      </c>
      <c r="E663" s="57">
        <v>0</v>
      </c>
    </row>
    <row r="664" spans="2:5" ht="15" customHeight="1">
      <c r="B664" s="90"/>
      <c r="C664" s="55" t="s">
        <v>149</v>
      </c>
      <c r="D664" s="58">
        <v>5</v>
      </c>
      <c r="E664" s="57">
        <v>0</v>
      </c>
    </row>
    <row r="665" spans="2:5" ht="15" customHeight="1">
      <c r="B665" s="90"/>
      <c r="C665" s="55" t="s">
        <v>150</v>
      </c>
      <c r="D665" s="58">
        <v>5</v>
      </c>
      <c r="E665" s="57">
        <v>0</v>
      </c>
    </row>
    <row r="666" spans="2:5" ht="15" customHeight="1">
      <c r="B666" s="90"/>
      <c r="C666" s="55" t="s">
        <v>155</v>
      </c>
      <c r="D666" s="58">
        <v>3</v>
      </c>
      <c r="E666" s="57">
        <v>0</v>
      </c>
    </row>
    <row r="667" spans="2:5" ht="15" customHeight="1">
      <c r="B667" s="90"/>
      <c r="C667" s="55" t="s">
        <v>141</v>
      </c>
      <c r="D667" s="58">
        <v>2</v>
      </c>
      <c r="E667" s="57">
        <v>0</v>
      </c>
    </row>
    <row r="668" spans="2:5" ht="15" customHeight="1">
      <c r="B668" s="90"/>
      <c r="C668" s="55" t="s">
        <v>162</v>
      </c>
      <c r="D668" s="58">
        <v>2</v>
      </c>
      <c r="E668" s="57">
        <v>0</v>
      </c>
    </row>
    <row r="669" spans="2:5" ht="15" customHeight="1">
      <c r="B669" s="90"/>
      <c r="C669" s="55" t="s">
        <v>151</v>
      </c>
      <c r="D669" s="58">
        <v>2</v>
      </c>
      <c r="E669" s="57">
        <v>0</v>
      </c>
    </row>
    <row r="670" spans="2:5" ht="15" customHeight="1">
      <c r="B670" s="90"/>
      <c r="C670" s="55" t="s">
        <v>154</v>
      </c>
      <c r="D670" s="58">
        <v>2</v>
      </c>
      <c r="E670" s="57">
        <v>0</v>
      </c>
    </row>
    <row r="671" spans="2:5" ht="15" customHeight="1">
      <c r="B671" s="90"/>
      <c r="C671" s="55" t="s">
        <v>167</v>
      </c>
      <c r="D671" s="58">
        <v>2</v>
      </c>
      <c r="E671" s="57">
        <v>0</v>
      </c>
    </row>
    <row r="672" spans="2:5" ht="15" customHeight="1">
      <c r="B672" s="90"/>
      <c r="C672" s="55" t="s">
        <v>169</v>
      </c>
      <c r="D672" s="58">
        <v>1</v>
      </c>
      <c r="E672" s="57">
        <v>0</v>
      </c>
    </row>
    <row r="673" spans="2:5" ht="15" customHeight="1">
      <c r="B673" s="90"/>
      <c r="C673" s="55" t="s">
        <v>157</v>
      </c>
      <c r="D673" s="58">
        <v>1</v>
      </c>
      <c r="E673" s="57">
        <v>0</v>
      </c>
    </row>
    <row r="674" spans="2:5" ht="15" customHeight="1">
      <c r="B674" s="90"/>
      <c r="C674" s="55" t="s">
        <v>148</v>
      </c>
      <c r="D674" s="58">
        <v>1</v>
      </c>
      <c r="E674" s="57">
        <v>0</v>
      </c>
    </row>
    <row r="675" spans="2:5" ht="15" customHeight="1">
      <c r="B675" s="90"/>
      <c r="C675" s="55" t="s">
        <v>164</v>
      </c>
      <c r="D675" s="58">
        <v>1</v>
      </c>
      <c r="E675" s="57">
        <v>0</v>
      </c>
    </row>
    <row r="676" spans="2:5" ht="15" customHeight="1">
      <c r="B676" s="90"/>
      <c r="C676" s="55" t="s">
        <v>153</v>
      </c>
      <c r="D676" s="58">
        <v>1</v>
      </c>
      <c r="E676" s="57">
        <v>0</v>
      </c>
    </row>
    <row r="677" spans="2:5" ht="15" customHeight="1">
      <c r="B677" s="90"/>
      <c r="C677" s="55" t="s">
        <v>170</v>
      </c>
      <c r="D677" s="58">
        <v>1</v>
      </c>
      <c r="E677" s="57">
        <v>0</v>
      </c>
    </row>
    <row r="678" spans="2:5" ht="15" customHeight="1">
      <c r="B678" s="90"/>
      <c r="C678" s="55" t="s">
        <v>166</v>
      </c>
      <c r="D678" s="58">
        <v>1</v>
      </c>
      <c r="E678" s="57">
        <v>0</v>
      </c>
    </row>
    <row r="679" spans="2:5" ht="15" customHeight="1">
      <c r="B679" s="91"/>
      <c r="C679" s="72" t="s">
        <v>284</v>
      </c>
      <c r="D679" s="73">
        <v>89</v>
      </c>
      <c r="E679" s="71">
        <v>6.0000000000000001E-3</v>
      </c>
    </row>
    <row r="680" spans="2:5" ht="15" customHeight="1">
      <c r="B680" s="89" t="s">
        <v>108</v>
      </c>
      <c r="C680" s="55" t="s">
        <v>144</v>
      </c>
      <c r="D680" s="58">
        <v>17</v>
      </c>
      <c r="E680" s="57">
        <v>1E-3</v>
      </c>
    </row>
    <row r="681" spans="2:5" ht="15" customHeight="1">
      <c r="B681" s="90"/>
      <c r="C681" s="55" t="s">
        <v>154</v>
      </c>
      <c r="D681" s="58">
        <v>14</v>
      </c>
      <c r="E681" s="57">
        <v>1E-3</v>
      </c>
    </row>
    <row r="682" spans="2:5" ht="15" customHeight="1">
      <c r="B682" s="90"/>
      <c r="C682" s="55" t="s">
        <v>147</v>
      </c>
      <c r="D682" s="58">
        <v>13</v>
      </c>
      <c r="E682" s="57">
        <v>1E-3</v>
      </c>
    </row>
    <row r="683" spans="2:5" ht="15" customHeight="1">
      <c r="B683" s="90"/>
      <c r="C683" s="55" t="s">
        <v>153</v>
      </c>
      <c r="D683" s="58">
        <v>10</v>
      </c>
      <c r="E683" s="57">
        <v>1E-3</v>
      </c>
    </row>
    <row r="684" spans="2:5" ht="15" customHeight="1">
      <c r="B684" s="90"/>
      <c r="C684" s="55" t="s">
        <v>141</v>
      </c>
      <c r="D684" s="58">
        <v>7</v>
      </c>
      <c r="E684" s="57">
        <v>0</v>
      </c>
    </row>
    <row r="685" spans="2:5" ht="15" customHeight="1">
      <c r="B685" s="90"/>
      <c r="C685" s="55" t="s">
        <v>143</v>
      </c>
      <c r="D685" s="58">
        <v>6</v>
      </c>
      <c r="E685" s="57">
        <v>0</v>
      </c>
    </row>
    <row r="686" spans="2:5" ht="15" customHeight="1">
      <c r="B686" s="90"/>
      <c r="C686" s="55" t="s">
        <v>150</v>
      </c>
      <c r="D686" s="58">
        <v>4</v>
      </c>
      <c r="E686" s="57">
        <v>0</v>
      </c>
    </row>
    <row r="687" spans="2:5" ht="15" customHeight="1">
      <c r="B687" s="90"/>
      <c r="C687" s="55" t="s">
        <v>149</v>
      </c>
      <c r="D687" s="58">
        <v>3</v>
      </c>
      <c r="E687" s="57">
        <v>0</v>
      </c>
    </row>
    <row r="688" spans="2:5" ht="15" customHeight="1">
      <c r="B688" s="90"/>
      <c r="C688" s="55" t="s">
        <v>156</v>
      </c>
      <c r="D688" s="58">
        <v>3</v>
      </c>
      <c r="E688" s="57">
        <v>0</v>
      </c>
    </row>
    <row r="689" spans="2:5" ht="15" customHeight="1">
      <c r="B689" s="90"/>
      <c r="C689" s="55" t="s">
        <v>140</v>
      </c>
      <c r="D689" s="58">
        <v>1</v>
      </c>
      <c r="E689" s="57">
        <v>0</v>
      </c>
    </row>
    <row r="690" spans="2:5" ht="15" customHeight="1">
      <c r="B690" s="90"/>
      <c r="C690" s="55" t="s">
        <v>145</v>
      </c>
      <c r="D690" s="58">
        <v>1</v>
      </c>
      <c r="E690" s="57">
        <v>0</v>
      </c>
    </row>
    <row r="691" spans="2:5" ht="15" customHeight="1">
      <c r="B691" s="90"/>
      <c r="C691" s="55" t="s">
        <v>160</v>
      </c>
      <c r="D691" s="58">
        <v>1</v>
      </c>
      <c r="E691" s="57">
        <v>0</v>
      </c>
    </row>
    <row r="692" spans="2:5" ht="15" customHeight="1">
      <c r="B692" s="90"/>
      <c r="C692" s="55" t="s">
        <v>161</v>
      </c>
      <c r="D692" s="58">
        <v>1</v>
      </c>
      <c r="E692" s="57">
        <v>0</v>
      </c>
    </row>
    <row r="693" spans="2:5" ht="15" customHeight="1">
      <c r="B693" s="90"/>
      <c r="C693" s="55" t="s">
        <v>162</v>
      </c>
      <c r="D693" s="58">
        <v>1</v>
      </c>
      <c r="E693" s="57">
        <v>0</v>
      </c>
    </row>
    <row r="694" spans="2:5" ht="15" customHeight="1">
      <c r="B694" s="90"/>
      <c r="C694" s="55" t="s">
        <v>164</v>
      </c>
      <c r="D694" s="58">
        <v>1</v>
      </c>
      <c r="E694" s="57">
        <v>0</v>
      </c>
    </row>
    <row r="695" spans="2:5" ht="15" customHeight="1">
      <c r="B695" s="90"/>
      <c r="C695" s="55" t="s">
        <v>166</v>
      </c>
      <c r="D695" s="58">
        <v>1</v>
      </c>
      <c r="E695" s="57">
        <v>0</v>
      </c>
    </row>
    <row r="696" spans="2:5" ht="15" customHeight="1">
      <c r="B696" s="91"/>
      <c r="C696" s="72" t="s">
        <v>284</v>
      </c>
      <c r="D696" s="73">
        <v>84</v>
      </c>
      <c r="E696" s="71">
        <v>5.0000000000000001E-3</v>
      </c>
    </row>
    <row r="697" spans="2:5" ht="15" customHeight="1">
      <c r="B697" s="89" t="s">
        <v>118</v>
      </c>
      <c r="C697" s="55" t="s">
        <v>144</v>
      </c>
      <c r="D697" s="58">
        <v>20</v>
      </c>
      <c r="E697" s="57">
        <v>1E-3</v>
      </c>
    </row>
    <row r="698" spans="2:5" ht="15" customHeight="1">
      <c r="B698" s="90"/>
      <c r="C698" s="55" t="s">
        <v>143</v>
      </c>
      <c r="D698" s="58">
        <v>11</v>
      </c>
      <c r="E698" s="57">
        <v>1E-3</v>
      </c>
    </row>
    <row r="699" spans="2:5" ht="15" customHeight="1">
      <c r="B699" s="90"/>
      <c r="C699" s="55" t="s">
        <v>151</v>
      </c>
      <c r="D699" s="58">
        <v>7</v>
      </c>
      <c r="E699" s="57">
        <v>0</v>
      </c>
    </row>
    <row r="700" spans="2:5" ht="15" customHeight="1">
      <c r="B700" s="90"/>
      <c r="C700" s="55" t="s">
        <v>148</v>
      </c>
      <c r="D700" s="58">
        <v>4</v>
      </c>
      <c r="E700" s="57">
        <v>0</v>
      </c>
    </row>
    <row r="701" spans="2:5" ht="15" customHeight="1">
      <c r="B701" s="90"/>
      <c r="C701" s="55" t="s">
        <v>149</v>
      </c>
      <c r="D701" s="58">
        <v>4</v>
      </c>
      <c r="E701" s="57">
        <v>0</v>
      </c>
    </row>
    <row r="702" spans="2:5" ht="15" customHeight="1">
      <c r="B702" s="90"/>
      <c r="C702" s="55" t="s">
        <v>167</v>
      </c>
      <c r="D702" s="58">
        <v>4</v>
      </c>
      <c r="E702" s="57">
        <v>0</v>
      </c>
    </row>
    <row r="703" spans="2:5" ht="15" customHeight="1">
      <c r="B703" s="90"/>
      <c r="C703" s="55" t="s">
        <v>145</v>
      </c>
      <c r="D703" s="58">
        <v>3</v>
      </c>
      <c r="E703" s="57">
        <v>0</v>
      </c>
    </row>
    <row r="704" spans="2:5" ht="15" customHeight="1">
      <c r="B704" s="90"/>
      <c r="C704" s="55" t="s">
        <v>147</v>
      </c>
      <c r="D704" s="58">
        <v>3</v>
      </c>
      <c r="E704" s="57">
        <v>0</v>
      </c>
    </row>
    <row r="705" spans="2:5" ht="15" customHeight="1">
      <c r="B705" s="90"/>
      <c r="C705" s="55" t="s">
        <v>150</v>
      </c>
      <c r="D705" s="58">
        <v>3</v>
      </c>
      <c r="E705" s="57">
        <v>0</v>
      </c>
    </row>
    <row r="706" spans="2:5" ht="15" customHeight="1">
      <c r="B706" s="90"/>
      <c r="C706" s="55" t="s">
        <v>257</v>
      </c>
      <c r="D706" s="58">
        <v>2</v>
      </c>
      <c r="E706" s="57">
        <v>0</v>
      </c>
    </row>
    <row r="707" spans="2:5" ht="15" customHeight="1">
      <c r="B707" s="90"/>
      <c r="C707" s="55" t="s">
        <v>146</v>
      </c>
      <c r="D707" s="58">
        <v>2</v>
      </c>
      <c r="E707" s="57">
        <v>0</v>
      </c>
    </row>
    <row r="708" spans="2:5" ht="15" customHeight="1">
      <c r="B708" s="90"/>
      <c r="C708" s="55" t="s">
        <v>162</v>
      </c>
      <c r="D708" s="58">
        <v>2</v>
      </c>
      <c r="E708" s="57">
        <v>0</v>
      </c>
    </row>
    <row r="709" spans="2:5" ht="15" customHeight="1">
      <c r="B709" s="90"/>
      <c r="C709" s="55" t="s">
        <v>164</v>
      </c>
      <c r="D709" s="58">
        <v>2</v>
      </c>
      <c r="E709" s="57">
        <v>0</v>
      </c>
    </row>
    <row r="710" spans="2:5" ht="15" customHeight="1">
      <c r="B710" s="90"/>
      <c r="C710" s="55" t="s">
        <v>154</v>
      </c>
      <c r="D710" s="58">
        <v>2</v>
      </c>
      <c r="E710" s="57">
        <v>0</v>
      </c>
    </row>
    <row r="711" spans="2:5" ht="15" customHeight="1">
      <c r="B711" s="90"/>
      <c r="C711" s="55" t="s">
        <v>155</v>
      </c>
      <c r="D711" s="58">
        <v>2</v>
      </c>
      <c r="E711" s="57">
        <v>0</v>
      </c>
    </row>
    <row r="712" spans="2:5" ht="15" customHeight="1">
      <c r="B712" s="90"/>
      <c r="C712" s="55" t="s">
        <v>141</v>
      </c>
      <c r="D712" s="58">
        <v>1</v>
      </c>
      <c r="E712" s="57">
        <v>0</v>
      </c>
    </row>
    <row r="713" spans="2:5" ht="15" customHeight="1">
      <c r="B713" s="90"/>
      <c r="C713" s="55" t="s">
        <v>142</v>
      </c>
      <c r="D713" s="58">
        <v>1</v>
      </c>
      <c r="E713" s="57">
        <v>0</v>
      </c>
    </row>
    <row r="714" spans="2:5" ht="15" customHeight="1">
      <c r="B714" s="90"/>
      <c r="C714" s="55" t="s">
        <v>159</v>
      </c>
      <c r="D714" s="58">
        <v>1</v>
      </c>
      <c r="E714" s="57">
        <v>0</v>
      </c>
    </row>
    <row r="715" spans="2:5" ht="15" customHeight="1">
      <c r="B715" s="90"/>
      <c r="C715" s="55" t="s">
        <v>160</v>
      </c>
      <c r="D715" s="58">
        <v>1</v>
      </c>
      <c r="E715" s="57">
        <v>0</v>
      </c>
    </row>
    <row r="716" spans="2:5" ht="15" customHeight="1">
      <c r="B716" s="90"/>
      <c r="C716" s="55" t="s">
        <v>152</v>
      </c>
      <c r="D716" s="58">
        <v>1</v>
      </c>
      <c r="E716" s="57">
        <v>0</v>
      </c>
    </row>
    <row r="717" spans="2:5" ht="15" customHeight="1">
      <c r="B717" s="90"/>
      <c r="C717" s="55" t="s">
        <v>166</v>
      </c>
      <c r="D717" s="58">
        <v>1</v>
      </c>
      <c r="E717" s="57">
        <v>0</v>
      </c>
    </row>
    <row r="718" spans="2:5" ht="15" customHeight="1">
      <c r="B718" s="91"/>
      <c r="C718" s="72" t="s">
        <v>284</v>
      </c>
      <c r="D718" s="73">
        <v>77</v>
      </c>
      <c r="E718" s="71">
        <v>5.0000000000000001E-3</v>
      </c>
    </row>
    <row r="719" spans="2:5" ht="15" customHeight="1">
      <c r="B719" s="89" t="s">
        <v>100</v>
      </c>
      <c r="C719" s="55" t="s">
        <v>143</v>
      </c>
      <c r="D719" s="58">
        <v>20</v>
      </c>
      <c r="E719" s="57">
        <v>1E-3</v>
      </c>
    </row>
    <row r="720" spans="2:5" ht="15" customHeight="1">
      <c r="B720" s="90"/>
      <c r="C720" s="55" t="s">
        <v>142</v>
      </c>
      <c r="D720" s="58">
        <v>9</v>
      </c>
      <c r="E720" s="57">
        <v>1E-3</v>
      </c>
    </row>
    <row r="721" spans="2:5" ht="15" customHeight="1">
      <c r="B721" s="90"/>
      <c r="C721" s="55" t="s">
        <v>163</v>
      </c>
      <c r="D721" s="58">
        <v>8</v>
      </c>
      <c r="E721" s="57">
        <v>1E-3</v>
      </c>
    </row>
    <row r="722" spans="2:5" ht="15" customHeight="1">
      <c r="B722" s="90"/>
      <c r="C722" s="55" t="s">
        <v>144</v>
      </c>
      <c r="D722" s="58">
        <v>7</v>
      </c>
      <c r="E722" s="57">
        <v>0</v>
      </c>
    </row>
    <row r="723" spans="2:5" ht="15" customHeight="1">
      <c r="B723" s="90"/>
      <c r="C723" s="55" t="s">
        <v>165</v>
      </c>
      <c r="D723" s="58">
        <v>4</v>
      </c>
      <c r="E723" s="57">
        <v>0</v>
      </c>
    </row>
    <row r="724" spans="2:5" ht="15" customHeight="1">
      <c r="B724" s="90"/>
      <c r="C724" s="55" t="s">
        <v>167</v>
      </c>
      <c r="D724" s="58">
        <v>3</v>
      </c>
      <c r="E724" s="57">
        <v>0</v>
      </c>
    </row>
    <row r="725" spans="2:5" ht="15" customHeight="1">
      <c r="B725" s="90"/>
      <c r="C725" s="55" t="s">
        <v>168</v>
      </c>
      <c r="D725" s="58">
        <v>3</v>
      </c>
      <c r="E725" s="57">
        <v>0</v>
      </c>
    </row>
    <row r="726" spans="2:5" ht="15" customHeight="1">
      <c r="B726" s="90"/>
      <c r="C726" s="55" t="s">
        <v>150</v>
      </c>
      <c r="D726" s="58">
        <v>2</v>
      </c>
      <c r="E726" s="57">
        <v>0</v>
      </c>
    </row>
    <row r="727" spans="2:5" ht="15" customHeight="1">
      <c r="B727" s="90"/>
      <c r="C727" s="55" t="s">
        <v>164</v>
      </c>
      <c r="D727" s="58">
        <v>2</v>
      </c>
      <c r="E727" s="57">
        <v>0</v>
      </c>
    </row>
    <row r="728" spans="2:5" ht="15" customHeight="1">
      <c r="B728" s="90"/>
      <c r="C728" s="55" t="s">
        <v>170</v>
      </c>
      <c r="D728" s="58">
        <v>2</v>
      </c>
      <c r="E728" s="57">
        <v>0</v>
      </c>
    </row>
    <row r="729" spans="2:5" ht="15" customHeight="1">
      <c r="B729" s="90"/>
      <c r="C729" s="55" t="s">
        <v>140</v>
      </c>
      <c r="D729" s="58">
        <v>1</v>
      </c>
      <c r="E729" s="57">
        <v>0</v>
      </c>
    </row>
    <row r="730" spans="2:5" ht="15" customHeight="1">
      <c r="B730" s="90"/>
      <c r="C730" s="55" t="s">
        <v>169</v>
      </c>
      <c r="D730" s="58">
        <v>1</v>
      </c>
      <c r="E730" s="57">
        <v>0</v>
      </c>
    </row>
    <row r="731" spans="2:5" ht="15" customHeight="1">
      <c r="B731" s="90"/>
      <c r="C731" s="55" t="s">
        <v>141</v>
      </c>
      <c r="D731" s="58">
        <v>1</v>
      </c>
      <c r="E731" s="57">
        <v>0</v>
      </c>
    </row>
    <row r="732" spans="2:5" ht="15" customHeight="1">
      <c r="B732" s="90"/>
      <c r="C732" s="55" t="s">
        <v>145</v>
      </c>
      <c r="D732" s="58">
        <v>1</v>
      </c>
      <c r="E732" s="57">
        <v>0</v>
      </c>
    </row>
    <row r="733" spans="2:5" ht="15" customHeight="1">
      <c r="B733" s="90"/>
      <c r="C733" s="55" t="s">
        <v>159</v>
      </c>
      <c r="D733" s="58">
        <v>1</v>
      </c>
      <c r="E733" s="57">
        <v>0</v>
      </c>
    </row>
    <row r="734" spans="2:5" ht="15" customHeight="1">
      <c r="B734" s="90"/>
      <c r="C734" s="55" t="s">
        <v>146</v>
      </c>
      <c r="D734" s="58">
        <v>1</v>
      </c>
      <c r="E734" s="57">
        <v>0</v>
      </c>
    </row>
    <row r="735" spans="2:5" ht="15" customHeight="1">
      <c r="B735" s="90"/>
      <c r="C735" s="55" t="s">
        <v>147</v>
      </c>
      <c r="D735" s="58">
        <v>1</v>
      </c>
      <c r="E735" s="57">
        <v>0</v>
      </c>
    </row>
    <row r="736" spans="2:5" ht="15" customHeight="1">
      <c r="B736" s="90"/>
      <c r="C736" s="55" t="s">
        <v>160</v>
      </c>
      <c r="D736" s="58">
        <v>1</v>
      </c>
      <c r="E736" s="57">
        <v>0</v>
      </c>
    </row>
    <row r="737" spans="2:5" ht="15" customHeight="1">
      <c r="B737" s="90"/>
      <c r="C737" s="55" t="s">
        <v>161</v>
      </c>
      <c r="D737" s="58">
        <v>1</v>
      </c>
      <c r="E737" s="57">
        <v>0</v>
      </c>
    </row>
    <row r="738" spans="2:5" ht="15" customHeight="1">
      <c r="B738" s="90"/>
      <c r="C738" s="55" t="s">
        <v>154</v>
      </c>
      <c r="D738" s="58">
        <v>1</v>
      </c>
      <c r="E738" s="57">
        <v>0</v>
      </c>
    </row>
    <row r="739" spans="2:5" ht="15" customHeight="1">
      <c r="B739" s="90"/>
      <c r="C739" s="55" t="s">
        <v>156</v>
      </c>
      <c r="D739" s="58">
        <v>1</v>
      </c>
      <c r="E739" s="57">
        <v>0</v>
      </c>
    </row>
    <row r="740" spans="2:5" ht="15" customHeight="1">
      <c r="B740" s="90"/>
      <c r="C740" s="55" t="s">
        <v>175</v>
      </c>
      <c r="D740" s="58">
        <v>1</v>
      </c>
      <c r="E740" s="57">
        <v>0</v>
      </c>
    </row>
    <row r="741" spans="2:5" ht="15" customHeight="1">
      <c r="B741" s="91"/>
      <c r="C741" s="72" t="s">
        <v>284</v>
      </c>
      <c r="D741" s="73">
        <v>72</v>
      </c>
      <c r="E741" s="71">
        <v>5.0000000000000001E-3</v>
      </c>
    </row>
    <row r="742" spans="2:5" ht="15" customHeight="1">
      <c r="B742" s="89" t="s">
        <v>119</v>
      </c>
      <c r="C742" s="55" t="s">
        <v>143</v>
      </c>
      <c r="D742" s="58">
        <v>18</v>
      </c>
      <c r="E742" s="57">
        <v>1E-3</v>
      </c>
    </row>
    <row r="743" spans="2:5" ht="15" customHeight="1">
      <c r="B743" s="90"/>
      <c r="C743" s="55" t="s">
        <v>144</v>
      </c>
      <c r="D743" s="58">
        <v>18</v>
      </c>
      <c r="E743" s="57">
        <v>1E-3</v>
      </c>
    </row>
    <row r="744" spans="2:5" ht="15" customHeight="1">
      <c r="B744" s="90"/>
      <c r="C744" s="55" t="s">
        <v>166</v>
      </c>
      <c r="D744" s="58">
        <v>7</v>
      </c>
      <c r="E744" s="57">
        <v>0</v>
      </c>
    </row>
    <row r="745" spans="2:5" ht="15" customHeight="1">
      <c r="B745" s="90"/>
      <c r="C745" s="55" t="s">
        <v>150</v>
      </c>
      <c r="D745" s="58">
        <v>5</v>
      </c>
      <c r="E745" s="57">
        <v>0</v>
      </c>
    </row>
    <row r="746" spans="2:5" ht="15" customHeight="1">
      <c r="B746" s="90"/>
      <c r="C746" s="55" t="s">
        <v>155</v>
      </c>
      <c r="D746" s="58">
        <v>4</v>
      </c>
      <c r="E746" s="57">
        <v>0</v>
      </c>
    </row>
    <row r="747" spans="2:5" ht="15" customHeight="1">
      <c r="B747" s="90"/>
      <c r="C747" s="55" t="s">
        <v>149</v>
      </c>
      <c r="D747" s="58">
        <v>3</v>
      </c>
      <c r="E747" s="57">
        <v>0</v>
      </c>
    </row>
    <row r="748" spans="2:5" ht="15" customHeight="1">
      <c r="B748" s="90"/>
      <c r="C748" s="55" t="s">
        <v>153</v>
      </c>
      <c r="D748" s="58">
        <v>3</v>
      </c>
      <c r="E748" s="57">
        <v>0</v>
      </c>
    </row>
    <row r="749" spans="2:5" ht="15" customHeight="1">
      <c r="B749" s="90"/>
      <c r="C749" s="55" t="s">
        <v>141</v>
      </c>
      <c r="D749" s="58">
        <v>2</v>
      </c>
      <c r="E749" s="57">
        <v>0</v>
      </c>
    </row>
    <row r="750" spans="2:5" ht="15" customHeight="1">
      <c r="B750" s="90"/>
      <c r="C750" s="55" t="s">
        <v>257</v>
      </c>
      <c r="D750" s="58">
        <v>2</v>
      </c>
      <c r="E750" s="57">
        <v>0</v>
      </c>
    </row>
    <row r="751" spans="2:5" ht="15" customHeight="1">
      <c r="B751" s="90"/>
      <c r="C751" s="55" t="s">
        <v>147</v>
      </c>
      <c r="D751" s="58">
        <v>2</v>
      </c>
      <c r="E751" s="57">
        <v>0</v>
      </c>
    </row>
    <row r="752" spans="2:5" ht="15" customHeight="1">
      <c r="B752" s="90"/>
      <c r="C752" s="55" t="s">
        <v>156</v>
      </c>
      <c r="D752" s="58">
        <v>2</v>
      </c>
      <c r="E752" s="57">
        <v>0</v>
      </c>
    </row>
    <row r="753" spans="2:5" ht="15" customHeight="1">
      <c r="B753" s="90"/>
      <c r="C753" s="55" t="s">
        <v>145</v>
      </c>
      <c r="D753" s="58">
        <v>1</v>
      </c>
      <c r="E753" s="57">
        <v>0</v>
      </c>
    </row>
    <row r="754" spans="2:5" ht="15" customHeight="1">
      <c r="B754" s="90"/>
      <c r="C754" s="55" t="s">
        <v>159</v>
      </c>
      <c r="D754" s="58">
        <v>1</v>
      </c>
      <c r="E754" s="57">
        <v>0</v>
      </c>
    </row>
    <row r="755" spans="2:5" ht="15" customHeight="1">
      <c r="B755" s="90"/>
      <c r="C755" s="55" t="s">
        <v>146</v>
      </c>
      <c r="D755" s="58">
        <v>1</v>
      </c>
      <c r="E755" s="57">
        <v>0</v>
      </c>
    </row>
    <row r="756" spans="2:5" ht="15" customHeight="1">
      <c r="B756" s="90"/>
      <c r="C756" s="55" t="s">
        <v>161</v>
      </c>
      <c r="D756" s="58">
        <v>1</v>
      </c>
      <c r="E756" s="57">
        <v>0</v>
      </c>
    </row>
    <row r="757" spans="2:5" ht="15" customHeight="1">
      <c r="B757" s="90"/>
      <c r="C757" s="55" t="s">
        <v>154</v>
      </c>
      <c r="D757" s="58">
        <v>1</v>
      </c>
      <c r="E757" s="57">
        <v>0</v>
      </c>
    </row>
    <row r="758" spans="2:5" ht="15" customHeight="1">
      <c r="B758" s="91"/>
      <c r="C758" s="72" t="s">
        <v>284</v>
      </c>
      <c r="D758" s="73">
        <v>71</v>
      </c>
      <c r="E758" s="71">
        <v>5.0000000000000001E-3</v>
      </c>
    </row>
    <row r="759" spans="2:5" ht="15" customHeight="1">
      <c r="B759" s="89" t="s">
        <v>110</v>
      </c>
      <c r="C759" s="55" t="s">
        <v>144</v>
      </c>
      <c r="D759" s="58">
        <v>25</v>
      </c>
      <c r="E759" s="57">
        <v>2E-3</v>
      </c>
    </row>
    <row r="760" spans="2:5" ht="15" customHeight="1">
      <c r="B760" s="90"/>
      <c r="C760" s="55" t="s">
        <v>143</v>
      </c>
      <c r="D760" s="58">
        <v>8</v>
      </c>
      <c r="E760" s="57">
        <v>1E-3</v>
      </c>
    </row>
    <row r="761" spans="2:5" ht="15" customHeight="1">
      <c r="B761" s="90"/>
      <c r="C761" s="55" t="s">
        <v>167</v>
      </c>
      <c r="D761" s="58">
        <v>7</v>
      </c>
      <c r="E761" s="57">
        <v>0</v>
      </c>
    </row>
    <row r="762" spans="2:5" ht="15" customHeight="1">
      <c r="B762" s="90"/>
      <c r="C762" s="55" t="s">
        <v>142</v>
      </c>
      <c r="D762" s="58">
        <v>5</v>
      </c>
      <c r="E762" s="57">
        <v>0</v>
      </c>
    </row>
    <row r="763" spans="2:5" ht="15" customHeight="1">
      <c r="B763" s="90"/>
      <c r="C763" s="55" t="s">
        <v>148</v>
      </c>
      <c r="D763" s="58">
        <v>4</v>
      </c>
      <c r="E763" s="57">
        <v>0</v>
      </c>
    </row>
    <row r="764" spans="2:5" ht="15" customHeight="1">
      <c r="B764" s="90"/>
      <c r="C764" s="55" t="s">
        <v>141</v>
      </c>
      <c r="D764" s="58">
        <v>3</v>
      </c>
      <c r="E764" s="57">
        <v>0</v>
      </c>
    </row>
    <row r="765" spans="2:5" ht="15" customHeight="1">
      <c r="B765" s="90"/>
      <c r="C765" s="55" t="s">
        <v>149</v>
      </c>
      <c r="D765" s="58">
        <v>3</v>
      </c>
      <c r="E765" s="57">
        <v>0</v>
      </c>
    </row>
    <row r="766" spans="2:5" ht="15" customHeight="1">
      <c r="B766" s="90"/>
      <c r="C766" s="55" t="s">
        <v>140</v>
      </c>
      <c r="D766" s="58">
        <v>2</v>
      </c>
      <c r="E766" s="57">
        <v>0</v>
      </c>
    </row>
    <row r="767" spans="2:5" ht="15" customHeight="1">
      <c r="B767" s="90"/>
      <c r="C767" s="55" t="s">
        <v>145</v>
      </c>
      <c r="D767" s="58">
        <v>2</v>
      </c>
      <c r="E767" s="57">
        <v>0</v>
      </c>
    </row>
    <row r="768" spans="2:5" ht="15" customHeight="1">
      <c r="B768" s="90"/>
      <c r="C768" s="55" t="s">
        <v>146</v>
      </c>
      <c r="D768" s="58">
        <v>2</v>
      </c>
      <c r="E768" s="57">
        <v>0</v>
      </c>
    </row>
    <row r="769" spans="2:5" ht="15" customHeight="1">
      <c r="B769" s="90"/>
      <c r="C769" s="55" t="s">
        <v>150</v>
      </c>
      <c r="D769" s="58">
        <v>2</v>
      </c>
      <c r="E769" s="57">
        <v>0</v>
      </c>
    </row>
    <row r="770" spans="2:5" ht="15" customHeight="1">
      <c r="B770" s="90"/>
      <c r="C770" s="55" t="s">
        <v>157</v>
      </c>
      <c r="D770" s="58">
        <v>1</v>
      </c>
      <c r="E770" s="57">
        <v>0</v>
      </c>
    </row>
    <row r="771" spans="2:5" ht="15" customHeight="1">
      <c r="B771" s="90"/>
      <c r="C771" s="55" t="s">
        <v>257</v>
      </c>
      <c r="D771" s="58">
        <v>1</v>
      </c>
      <c r="E771" s="57">
        <v>0</v>
      </c>
    </row>
    <row r="772" spans="2:5" ht="15" customHeight="1">
      <c r="B772" s="90"/>
      <c r="C772" s="55" t="s">
        <v>153</v>
      </c>
      <c r="D772" s="58">
        <v>1</v>
      </c>
      <c r="E772" s="57">
        <v>0</v>
      </c>
    </row>
    <row r="773" spans="2:5" ht="15" customHeight="1">
      <c r="B773" s="90"/>
      <c r="C773" s="55" t="s">
        <v>154</v>
      </c>
      <c r="D773" s="58">
        <v>1</v>
      </c>
      <c r="E773" s="57">
        <v>0</v>
      </c>
    </row>
    <row r="774" spans="2:5" ht="15" customHeight="1">
      <c r="B774" s="91"/>
      <c r="C774" s="72" t="s">
        <v>284</v>
      </c>
      <c r="D774" s="73">
        <v>67</v>
      </c>
      <c r="E774" s="71">
        <v>4.0000000000000001E-3</v>
      </c>
    </row>
    <row r="775" spans="2:5" ht="15" customHeight="1">
      <c r="B775" s="89" t="s">
        <v>127</v>
      </c>
      <c r="C775" s="55" t="s">
        <v>143</v>
      </c>
      <c r="D775" s="58">
        <v>13</v>
      </c>
      <c r="E775" s="57">
        <v>1E-3</v>
      </c>
    </row>
    <row r="776" spans="2:5" ht="15" customHeight="1">
      <c r="B776" s="90"/>
      <c r="C776" s="55" t="s">
        <v>164</v>
      </c>
      <c r="D776" s="58">
        <v>11</v>
      </c>
      <c r="E776" s="57">
        <v>1E-3</v>
      </c>
    </row>
    <row r="777" spans="2:5" ht="15" customHeight="1">
      <c r="B777" s="90"/>
      <c r="C777" s="55" t="s">
        <v>144</v>
      </c>
      <c r="D777" s="58">
        <v>10</v>
      </c>
      <c r="E777" s="57">
        <v>1E-3</v>
      </c>
    </row>
    <row r="778" spans="2:5" ht="15" customHeight="1">
      <c r="B778" s="90"/>
      <c r="C778" s="55" t="s">
        <v>169</v>
      </c>
      <c r="D778" s="58">
        <v>5</v>
      </c>
      <c r="E778" s="57">
        <v>0</v>
      </c>
    </row>
    <row r="779" spans="2:5" ht="15" customHeight="1">
      <c r="B779" s="90"/>
      <c r="C779" s="55" t="s">
        <v>150</v>
      </c>
      <c r="D779" s="58">
        <v>5</v>
      </c>
      <c r="E779" s="57">
        <v>0</v>
      </c>
    </row>
    <row r="780" spans="2:5" ht="15" customHeight="1">
      <c r="B780" s="90"/>
      <c r="C780" s="55" t="s">
        <v>156</v>
      </c>
      <c r="D780" s="58">
        <v>5</v>
      </c>
      <c r="E780" s="57">
        <v>0</v>
      </c>
    </row>
    <row r="781" spans="2:5" ht="15" customHeight="1">
      <c r="B781" s="90"/>
      <c r="C781" s="55" t="s">
        <v>142</v>
      </c>
      <c r="D781" s="58">
        <v>3</v>
      </c>
      <c r="E781" s="57">
        <v>0</v>
      </c>
    </row>
    <row r="782" spans="2:5" ht="15" customHeight="1">
      <c r="B782" s="90"/>
      <c r="C782" s="55" t="s">
        <v>149</v>
      </c>
      <c r="D782" s="58">
        <v>3</v>
      </c>
      <c r="E782" s="57">
        <v>0</v>
      </c>
    </row>
    <row r="783" spans="2:5" ht="15" customHeight="1">
      <c r="B783" s="90"/>
      <c r="C783" s="55" t="s">
        <v>141</v>
      </c>
      <c r="D783" s="58">
        <v>2</v>
      </c>
      <c r="E783" s="57">
        <v>0</v>
      </c>
    </row>
    <row r="784" spans="2:5" ht="15" customHeight="1">
      <c r="B784" s="90"/>
      <c r="C784" s="55" t="s">
        <v>147</v>
      </c>
      <c r="D784" s="58">
        <v>2</v>
      </c>
      <c r="E784" s="57">
        <v>0</v>
      </c>
    </row>
    <row r="785" spans="2:5" ht="15" customHeight="1">
      <c r="B785" s="90"/>
      <c r="C785" s="55" t="s">
        <v>145</v>
      </c>
      <c r="D785" s="58">
        <v>1</v>
      </c>
      <c r="E785" s="57">
        <v>0</v>
      </c>
    </row>
    <row r="786" spans="2:5" ht="15" customHeight="1">
      <c r="B786" s="90"/>
      <c r="C786" s="55" t="s">
        <v>146</v>
      </c>
      <c r="D786" s="58">
        <v>1</v>
      </c>
      <c r="E786" s="57">
        <v>0</v>
      </c>
    </row>
    <row r="787" spans="2:5" ht="15" customHeight="1">
      <c r="B787" s="90"/>
      <c r="C787" s="55" t="s">
        <v>160</v>
      </c>
      <c r="D787" s="58">
        <v>1</v>
      </c>
      <c r="E787" s="57">
        <v>0</v>
      </c>
    </row>
    <row r="788" spans="2:5" ht="15" customHeight="1">
      <c r="B788" s="90"/>
      <c r="C788" s="55" t="s">
        <v>161</v>
      </c>
      <c r="D788" s="58">
        <v>1</v>
      </c>
      <c r="E788" s="57">
        <v>0</v>
      </c>
    </row>
    <row r="789" spans="2:5" ht="15" customHeight="1">
      <c r="B789" s="90"/>
      <c r="C789" s="55" t="s">
        <v>154</v>
      </c>
      <c r="D789" s="58">
        <v>1</v>
      </c>
      <c r="E789" s="57">
        <v>0</v>
      </c>
    </row>
    <row r="790" spans="2:5" ht="15" customHeight="1">
      <c r="B790" s="90"/>
      <c r="C790" s="55" t="s">
        <v>166</v>
      </c>
      <c r="D790" s="58">
        <v>1</v>
      </c>
      <c r="E790" s="57">
        <v>0</v>
      </c>
    </row>
    <row r="791" spans="2:5" ht="15" customHeight="1">
      <c r="B791" s="90"/>
      <c r="C791" s="55" t="s">
        <v>155</v>
      </c>
      <c r="D791" s="58">
        <v>1</v>
      </c>
      <c r="E791" s="57">
        <v>0</v>
      </c>
    </row>
    <row r="792" spans="2:5" ht="15" customHeight="1">
      <c r="B792" s="90"/>
      <c r="C792" s="55" t="s">
        <v>167</v>
      </c>
      <c r="D792" s="58">
        <v>1</v>
      </c>
      <c r="E792" s="57">
        <v>0</v>
      </c>
    </row>
    <row r="793" spans="2:5" ht="15" customHeight="1">
      <c r="B793" s="91"/>
      <c r="C793" s="72" t="s">
        <v>284</v>
      </c>
      <c r="D793" s="73">
        <v>67</v>
      </c>
      <c r="E793" s="71">
        <v>4.0000000000000001E-3</v>
      </c>
    </row>
    <row r="794" spans="2:5" ht="15" customHeight="1">
      <c r="B794" s="89" t="s">
        <v>125</v>
      </c>
      <c r="C794" s="55" t="s">
        <v>144</v>
      </c>
      <c r="D794" s="58">
        <v>13</v>
      </c>
      <c r="E794" s="57">
        <v>1E-3</v>
      </c>
    </row>
    <row r="795" spans="2:5" ht="15" customHeight="1">
      <c r="B795" s="90"/>
      <c r="C795" s="55" t="s">
        <v>143</v>
      </c>
      <c r="D795" s="58">
        <v>9</v>
      </c>
      <c r="E795" s="57">
        <v>1E-3</v>
      </c>
    </row>
    <row r="796" spans="2:5" ht="15" customHeight="1">
      <c r="B796" s="90"/>
      <c r="C796" s="55" t="s">
        <v>142</v>
      </c>
      <c r="D796" s="58">
        <v>5</v>
      </c>
      <c r="E796" s="57">
        <v>0</v>
      </c>
    </row>
    <row r="797" spans="2:5" ht="15" customHeight="1">
      <c r="B797" s="90"/>
      <c r="C797" s="55" t="s">
        <v>148</v>
      </c>
      <c r="D797" s="58">
        <v>5</v>
      </c>
      <c r="E797" s="57">
        <v>0</v>
      </c>
    </row>
    <row r="798" spans="2:5" ht="15" customHeight="1">
      <c r="B798" s="90"/>
      <c r="C798" s="55" t="s">
        <v>141</v>
      </c>
      <c r="D798" s="58">
        <v>4</v>
      </c>
      <c r="E798" s="57">
        <v>0</v>
      </c>
    </row>
    <row r="799" spans="2:5" ht="15" customHeight="1">
      <c r="B799" s="90"/>
      <c r="C799" s="55" t="s">
        <v>162</v>
      </c>
      <c r="D799" s="58">
        <v>3</v>
      </c>
      <c r="E799" s="57">
        <v>0</v>
      </c>
    </row>
    <row r="800" spans="2:5" ht="15" customHeight="1">
      <c r="B800" s="90"/>
      <c r="C800" s="55" t="s">
        <v>154</v>
      </c>
      <c r="D800" s="58">
        <v>3</v>
      </c>
      <c r="E800" s="57">
        <v>0</v>
      </c>
    </row>
    <row r="801" spans="2:5" ht="15" customHeight="1">
      <c r="B801" s="90"/>
      <c r="C801" s="55" t="s">
        <v>155</v>
      </c>
      <c r="D801" s="58">
        <v>3</v>
      </c>
      <c r="E801" s="57">
        <v>0</v>
      </c>
    </row>
    <row r="802" spans="2:5" ht="15" customHeight="1">
      <c r="B802" s="90"/>
      <c r="C802" s="55" t="s">
        <v>156</v>
      </c>
      <c r="D802" s="58">
        <v>3</v>
      </c>
      <c r="E802" s="57">
        <v>0</v>
      </c>
    </row>
    <row r="803" spans="2:5" ht="15" customHeight="1">
      <c r="B803" s="90"/>
      <c r="C803" s="55" t="s">
        <v>147</v>
      </c>
      <c r="D803" s="58">
        <v>2</v>
      </c>
      <c r="E803" s="57">
        <v>0</v>
      </c>
    </row>
    <row r="804" spans="2:5" ht="15" customHeight="1">
      <c r="B804" s="90"/>
      <c r="C804" s="55" t="s">
        <v>149</v>
      </c>
      <c r="D804" s="58">
        <v>2</v>
      </c>
      <c r="E804" s="57">
        <v>0</v>
      </c>
    </row>
    <row r="805" spans="2:5" ht="15" customHeight="1">
      <c r="B805" s="90"/>
      <c r="C805" s="55" t="s">
        <v>150</v>
      </c>
      <c r="D805" s="58">
        <v>2</v>
      </c>
      <c r="E805" s="57">
        <v>0</v>
      </c>
    </row>
    <row r="806" spans="2:5" ht="15" customHeight="1">
      <c r="B806" s="90"/>
      <c r="C806" s="55" t="s">
        <v>164</v>
      </c>
      <c r="D806" s="58">
        <v>2</v>
      </c>
      <c r="E806" s="57">
        <v>0</v>
      </c>
    </row>
    <row r="807" spans="2:5" ht="15" customHeight="1">
      <c r="B807" s="90"/>
      <c r="C807" s="55" t="s">
        <v>153</v>
      </c>
      <c r="D807" s="58">
        <v>2</v>
      </c>
      <c r="E807" s="57">
        <v>0</v>
      </c>
    </row>
    <row r="808" spans="2:5" ht="15" customHeight="1">
      <c r="B808" s="90"/>
      <c r="C808" s="55" t="s">
        <v>146</v>
      </c>
      <c r="D808" s="58">
        <v>1</v>
      </c>
      <c r="E808" s="57">
        <v>0</v>
      </c>
    </row>
    <row r="809" spans="2:5" ht="15" customHeight="1">
      <c r="B809" s="90"/>
      <c r="C809" s="55" t="s">
        <v>160</v>
      </c>
      <c r="D809" s="58">
        <v>1</v>
      </c>
      <c r="E809" s="57">
        <v>0</v>
      </c>
    </row>
    <row r="810" spans="2:5" ht="15" customHeight="1">
      <c r="B810" s="90"/>
      <c r="C810" s="55" t="s">
        <v>152</v>
      </c>
      <c r="D810" s="58">
        <v>1</v>
      </c>
      <c r="E810" s="57">
        <v>0</v>
      </c>
    </row>
    <row r="811" spans="2:5" ht="15" customHeight="1">
      <c r="B811" s="90"/>
      <c r="C811" s="55" t="s">
        <v>165</v>
      </c>
      <c r="D811" s="58">
        <v>1</v>
      </c>
      <c r="E811" s="57">
        <v>0</v>
      </c>
    </row>
    <row r="812" spans="2:5" ht="15" customHeight="1">
      <c r="B812" s="90"/>
      <c r="C812" s="55" t="s">
        <v>170</v>
      </c>
      <c r="D812" s="58">
        <v>1</v>
      </c>
      <c r="E812" s="57">
        <v>0</v>
      </c>
    </row>
    <row r="813" spans="2:5" ht="15" customHeight="1">
      <c r="B813" s="90"/>
      <c r="C813" s="55" t="s">
        <v>166</v>
      </c>
      <c r="D813" s="58">
        <v>1</v>
      </c>
      <c r="E813" s="57">
        <v>0</v>
      </c>
    </row>
    <row r="814" spans="2:5" ht="15" customHeight="1">
      <c r="B814" s="91"/>
      <c r="C814" s="72" t="s">
        <v>284</v>
      </c>
      <c r="D814" s="73">
        <v>64</v>
      </c>
      <c r="E814" s="71">
        <v>4.0000000000000001E-3</v>
      </c>
    </row>
    <row r="815" spans="2:5" ht="15" customHeight="1">
      <c r="B815" s="89" t="s">
        <v>105</v>
      </c>
      <c r="C815" s="55" t="s">
        <v>147</v>
      </c>
      <c r="D815" s="58">
        <v>21</v>
      </c>
      <c r="E815" s="57">
        <v>1E-3</v>
      </c>
    </row>
    <row r="816" spans="2:5" ht="15" customHeight="1">
      <c r="B816" s="90"/>
      <c r="C816" s="55" t="s">
        <v>144</v>
      </c>
      <c r="D816" s="58">
        <v>12</v>
      </c>
      <c r="E816" s="57">
        <v>1E-3</v>
      </c>
    </row>
    <row r="817" spans="2:5" ht="15" customHeight="1">
      <c r="B817" s="90"/>
      <c r="C817" s="55" t="s">
        <v>143</v>
      </c>
      <c r="D817" s="58">
        <v>5</v>
      </c>
      <c r="E817" s="57">
        <v>0</v>
      </c>
    </row>
    <row r="818" spans="2:5" ht="15" customHeight="1">
      <c r="B818" s="90"/>
      <c r="C818" s="55" t="s">
        <v>142</v>
      </c>
      <c r="D818" s="58">
        <v>3</v>
      </c>
      <c r="E818" s="57">
        <v>0</v>
      </c>
    </row>
    <row r="819" spans="2:5" ht="15" customHeight="1">
      <c r="B819" s="90"/>
      <c r="C819" s="55" t="s">
        <v>145</v>
      </c>
      <c r="D819" s="58">
        <v>3</v>
      </c>
      <c r="E819" s="57">
        <v>0</v>
      </c>
    </row>
    <row r="820" spans="2:5" ht="15" customHeight="1">
      <c r="B820" s="90"/>
      <c r="C820" s="55" t="s">
        <v>165</v>
      </c>
      <c r="D820" s="58">
        <v>3</v>
      </c>
      <c r="E820" s="57">
        <v>0</v>
      </c>
    </row>
    <row r="821" spans="2:5" ht="15" customHeight="1">
      <c r="B821" s="90"/>
      <c r="C821" s="55" t="s">
        <v>154</v>
      </c>
      <c r="D821" s="58">
        <v>3</v>
      </c>
      <c r="E821" s="57">
        <v>0</v>
      </c>
    </row>
    <row r="822" spans="2:5" ht="15" customHeight="1">
      <c r="B822" s="90"/>
      <c r="C822" s="55" t="s">
        <v>166</v>
      </c>
      <c r="D822" s="58">
        <v>3</v>
      </c>
      <c r="E822" s="57">
        <v>0</v>
      </c>
    </row>
    <row r="823" spans="2:5" ht="15" customHeight="1">
      <c r="B823" s="90"/>
      <c r="C823" s="55" t="s">
        <v>169</v>
      </c>
      <c r="D823" s="58">
        <v>1</v>
      </c>
      <c r="E823" s="57">
        <v>0</v>
      </c>
    </row>
    <row r="824" spans="2:5" ht="15" customHeight="1">
      <c r="B824" s="90"/>
      <c r="C824" s="55" t="s">
        <v>141</v>
      </c>
      <c r="D824" s="58">
        <v>1</v>
      </c>
      <c r="E824" s="57">
        <v>0</v>
      </c>
    </row>
    <row r="825" spans="2:5" ht="15" customHeight="1">
      <c r="B825" s="90"/>
      <c r="C825" s="55" t="s">
        <v>162</v>
      </c>
      <c r="D825" s="58">
        <v>1</v>
      </c>
      <c r="E825" s="57">
        <v>0</v>
      </c>
    </row>
    <row r="826" spans="2:5" ht="15" customHeight="1">
      <c r="B826" s="90"/>
      <c r="C826" s="55" t="s">
        <v>150</v>
      </c>
      <c r="D826" s="58">
        <v>1</v>
      </c>
      <c r="E826" s="57">
        <v>0</v>
      </c>
    </row>
    <row r="827" spans="2:5" ht="15" customHeight="1">
      <c r="B827" s="90"/>
      <c r="C827" s="55" t="s">
        <v>151</v>
      </c>
      <c r="D827" s="58">
        <v>1</v>
      </c>
      <c r="E827" s="57">
        <v>0</v>
      </c>
    </row>
    <row r="828" spans="2:5" ht="15" customHeight="1">
      <c r="B828" s="90"/>
      <c r="C828" s="55" t="s">
        <v>153</v>
      </c>
      <c r="D828" s="58">
        <v>1</v>
      </c>
      <c r="E828" s="57">
        <v>0</v>
      </c>
    </row>
    <row r="829" spans="2:5" ht="15" customHeight="1">
      <c r="B829" s="90"/>
      <c r="C829" s="55" t="s">
        <v>174</v>
      </c>
      <c r="D829" s="58">
        <v>1</v>
      </c>
      <c r="E829" s="57">
        <v>0</v>
      </c>
    </row>
    <row r="830" spans="2:5" ht="15" customHeight="1">
      <c r="B830" s="90"/>
      <c r="C830" s="55" t="s">
        <v>156</v>
      </c>
      <c r="D830" s="58">
        <v>1</v>
      </c>
      <c r="E830" s="57">
        <v>0</v>
      </c>
    </row>
    <row r="831" spans="2:5" ht="15" customHeight="1">
      <c r="B831" s="91"/>
      <c r="C831" s="72" t="s">
        <v>284</v>
      </c>
      <c r="D831" s="73">
        <v>61</v>
      </c>
      <c r="E831" s="71">
        <v>4.0000000000000001E-3</v>
      </c>
    </row>
    <row r="832" spans="2:5" ht="15" customHeight="1">
      <c r="B832" s="89" t="s">
        <v>101</v>
      </c>
      <c r="C832" s="55" t="s">
        <v>144</v>
      </c>
      <c r="D832" s="58">
        <v>9</v>
      </c>
      <c r="E832" s="57">
        <v>1E-3</v>
      </c>
    </row>
    <row r="833" spans="2:5" ht="15" customHeight="1">
      <c r="B833" s="90"/>
      <c r="C833" s="55" t="s">
        <v>147</v>
      </c>
      <c r="D833" s="58">
        <v>9</v>
      </c>
      <c r="E833" s="57">
        <v>1E-3</v>
      </c>
    </row>
    <row r="834" spans="2:5" ht="15" customHeight="1">
      <c r="B834" s="90"/>
      <c r="C834" s="55" t="s">
        <v>153</v>
      </c>
      <c r="D834" s="58">
        <v>8</v>
      </c>
      <c r="E834" s="57">
        <v>1E-3</v>
      </c>
    </row>
    <row r="835" spans="2:5" ht="15" customHeight="1">
      <c r="B835" s="90"/>
      <c r="C835" s="55" t="s">
        <v>156</v>
      </c>
      <c r="D835" s="58">
        <v>8</v>
      </c>
      <c r="E835" s="57">
        <v>1E-3</v>
      </c>
    </row>
    <row r="836" spans="2:5" ht="15" customHeight="1">
      <c r="B836" s="90"/>
      <c r="C836" s="55" t="s">
        <v>150</v>
      </c>
      <c r="D836" s="58">
        <v>5</v>
      </c>
      <c r="E836" s="57">
        <v>0</v>
      </c>
    </row>
    <row r="837" spans="2:5" ht="15" customHeight="1">
      <c r="B837" s="90"/>
      <c r="C837" s="55" t="s">
        <v>155</v>
      </c>
      <c r="D837" s="58">
        <v>5</v>
      </c>
      <c r="E837" s="57">
        <v>0</v>
      </c>
    </row>
    <row r="838" spans="2:5" ht="15" customHeight="1">
      <c r="B838" s="90"/>
      <c r="C838" s="55" t="s">
        <v>143</v>
      </c>
      <c r="D838" s="58">
        <v>4</v>
      </c>
      <c r="E838" s="57">
        <v>0</v>
      </c>
    </row>
    <row r="839" spans="2:5" ht="15" customHeight="1">
      <c r="B839" s="90"/>
      <c r="C839" s="55" t="s">
        <v>152</v>
      </c>
      <c r="D839" s="58">
        <v>3</v>
      </c>
      <c r="E839" s="57">
        <v>0</v>
      </c>
    </row>
    <row r="840" spans="2:5" ht="15" customHeight="1">
      <c r="B840" s="90"/>
      <c r="C840" s="55" t="s">
        <v>140</v>
      </c>
      <c r="D840" s="58">
        <v>2</v>
      </c>
      <c r="E840" s="57">
        <v>0</v>
      </c>
    </row>
    <row r="841" spans="2:5" ht="15" customHeight="1">
      <c r="B841" s="90"/>
      <c r="C841" s="55" t="s">
        <v>141</v>
      </c>
      <c r="D841" s="58">
        <v>2</v>
      </c>
      <c r="E841" s="57">
        <v>0</v>
      </c>
    </row>
    <row r="842" spans="2:5" ht="15" customHeight="1">
      <c r="B842" s="90"/>
      <c r="C842" s="55" t="s">
        <v>160</v>
      </c>
      <c r="D842" s="58">
        <v>1</v>
      </c>
      <c r="E842" s="57">
        <v>0</v>
      </c>
    </row>
    <row r="843" spans="2:5" ht="15" customHeight="1">
      <c r="B843" s="90"/>
      <c r="C843" s="55" t="s">
        <v>148</v>
      </c>
      <c r="D843" s="58">
        <v>1</v>
      </c>
      <c r="E843" s="57">
        <v>0</v>
      </c>
    </row>
    <row r="844" spans="2:5" ht="15" customHeight="1">
      <c r="B844" s="90"/>
      <c r="C844" s="55" t="s">
        <v>149</v>
      </c>
      <c r="D844" s="58">
        <v>1</v>
      </c>
      <c r="E844" s="57">
        <v>0</v>
      </c>
    </row>
    <row r="845" spans="2:5" ht="15" customHeight="1">
      <c r="B845" s="90"/>
      <c r="C845" s="55" t="s">
        <v>154</v>
      </c>
      <c r="D845" s="58">
        <v>1</v>
      </c>
      <c r="E845" s="57">
        <v>0</v>
      </c>
    </row>
    <row r="846" spans="2:5" ht="15" customHeight="1">
      <c r="B846" s="90"/>
      <c r="C846" s="55" t="s">
        <v>166</v>
      </c>
      <c r="D846" s="58">
        <v>1</v>
      </c>
      <c r="E846" s="57">
        <v>0</v>
      </c>
    </row>
    <row r="847" spans="2:5" ht="15" customHeight="1">
      <c r="B847" s="91"/>
      <c r="C847" s="72" t="s">
        <v>284</v>
      </c>
      <c r="D847" s="73">
        <v>60</v>
      </c>
      <c r="E847" s="71">
        <v>4.0000000000000001E-3</v>
      </c>
    </row>
    <row r="848" spans="2:5" ht="15" customHeight="1">
      <c r="B848" s="89" t="s">
        <v>109</v>
      </c>
      <c r="C848" s="55" t="s">
        <v>144</v>
      </c>
      <c r="D848" s="58">
        <v>12</v>
      </c>
      <c r="E848" s="57">
        <v>1E-3</v>
      </c>
    </row>
    <row r="849" spans="2:5" ht="15" customHeight="1">
      <c r="B849" s="90"/>
      <c r="C849" s="55" t="s">
        <v>156</v>
      </c>
      <c r="D849" s="58">
        <v>5</v>
      </c>
      <c r="E849" s="57">
        <v>0</v>
      </c>
    </row>
    <row r="850" spans="2:5" ht="15" customHeight="1">
      <c r="B850" s="90"/>
      <c r="C850" s="55" t="s">
        <v>257</v>
      </c>
      <c r="D850" s="58">
        <v>4</v>
      </c>
      <c r="E850" s="57">
        <v>0</v>
      </c>
    </row>
    <row r="851" spans="2:5" ht="15" customHeight="1">
      <c r="B851" s="90"/>
      <c r="C851" s="55" t="s">
        <v>142</v>
      </c>
      <c r="D851" s="58">
        <v>2</v>
      </c>
      <c r="E851" s="57">
        <v>0</v>
      </c>
    </row>
    <row r="852" spans="2:5" ht="15" customHeight="1">
      <c r="B852" s="90"/>
      <c r="C852" s="55" t="s">
        <v>143</v>
      </c>
      <c r="D852" s="58">
        <v>2</v>
      </c>
      <c r="E852" s="57">
        <v>0</v>
      </c>
    </row>
    <row r="853" spans="2:5" ht="15" customHeight="1">
      <c r="B853" s="90"/>
      <c r="C853" s="55" t="s">
        <v>145</v>
      </c>
      <c r="D853" s="58">
        <v>2</v>
      </c>
      <c r="E853" s="57">
        <v>0</v>
      </c>
    </row>
    <row r="854" spans="2:5" ht="15" customHeight="1">
      <c r="B854" s="90"/>
      <c r="C854" s="55" t="s">
        <v>146</v>
      </c>
      <c r="D854" s="58">
        <v>2</v>
      </c>
      <c r="E854" s="57">
        <v>0</v>
      </c>
    </row>
    <row r="855" spans="2:5" ht="15" customHeight="1">
      <c r="B855" s="90"/>
      <c r="C855" s="55" t="s">
        <v>147</v>
      </c>
      <c r="D855" s="58">
        <v>2</v>
      </c>
      <c r="E855" s="57">
        <v>0</v>
      </c>
    </row>
    <row r="856" spans="2:5" ht="15" customHeight="1">
      <c r="B856" s="90"/>
      <c r="C856" s="55" t="s">
        <v>149</v>
      </c>
      <c r="D856" s="58">
        <v>2</v>
      </c>
      <c r="E856" s="57">
        <v>0</v>
      </c>
    </row>
    <row r="857" spans="2:5" ht="15" customHeight="1">
      <c r="B857" s="90"/>
      <c r="C857" s="55" t="s">
        <v>153</v>
      </c>
      <c r="D857" s="58">
        <v>2</v>
      </c>
      <c r="E857" s="57">
        <v>0</v>
      </c>
    </row>
    <row r="858" spans="2:5" ht="15" customHeight="1">
      <c r="B858" s="90"/>
      <c r="C858" s="55" t="s">
        <v>160</v>
      </c>
      <c r="D858" s="58">
        <v>1</v>
      </c>
      <c r="E858" s="57">
        <v>0</v>
      </c>
    </row>
    <row r="859" spans="2:5" ht="15" customHeight="1">
      <c r="B859" s="90"/>
      <c r="C859" s="55" t="s">
        <v>161</v>
      </c>
      <c r="D859" s="58">
        <v>1</v>
      </c>
      <c r="E859" s="57">
        <v>0</v>
      </c>
    </row>
    <row r="860" spans="2:5" ht="15" customHeight="1">
      <c r="B860" s="90"/>
      <c r="C860" s="55" t="s">
        <v>154</v>
      </c>
      <c r="D860" s="58">
        <v>1</v>
      </c>
      <c r="E860" s="57">
        <v>0</v>
      </c>
    </row>
    <row r="861" spans="2:5" ht="15" customHeight="1">
      <c r="B861" s="90"/>
      <c r="C861" s="55" t="s">
        <v>155</v>
      </c>
      <c r="D861" s="58">
        <v>1</v>
      </c>
      <c r="E861" s="57">
        <v>0</v>
      </c>
    </row>
    <row r="862" spans="2:5" ht="15" customHeight="1">
      <c r="B862" s="91"/>
      <c r="C862" s="72" t="s">
        <v>284</v>
      </c>
      <c r="D862" s="73">
        <v>39</v>
      </c>
      <c r="E862" s="71">
        <v>3.0000000000000001E-3</v>
      </c>
    </row>
    <row r="863" spans="2:5" ht="15" customHeight="1">
      <c r="B863" s="89" t="s">
        <v>113</v>
      </c>
      <c r="C863" s="55" t="s">
        <v>143</v>
      </c>
      <c r="D863" s="58">
        <v>12</v>
      </c>
      <c r="E863" s="57">
        <v>1E-3</v>
      </c>
    </row>
    <row r="864" spans="2:5" ht="15" customHeight="1">
      <c r="B864" s="90"/>
      <c r="C864" s="55" t="s">
        <v>144</v>
      </c>
      <c r="D864" s="58">
        <v>5</v>
      </c>
      <c r="E864" s="57">
        <v>0</v>
      </c>
    </row>
    <row r="865" spans="2:5" ht="15" customHeight="1">
      <c r="B865" s="90"/>
      <c r="C865" s="55" t="s">
        <v>175</v>
      </c>
      <c r="D865" s="58">
        <v>3</v>
      </c>
      <c r="E865" s="57">
        <v>0</v>
      </c>
    </row>
    <row r="866" spans="2:5" ht="15" customHeight="1">
      <c r="B866" s="90"/>
      <c r="C866" s="55" t="s">
        <v>145</v>
      </c>
      <c r="D866" s="58">
        <v>2</v>
      </c>
      <c r="E866" s="57">
        <v>0</v>
      </c>
    </row>
    <row r="867" spans="2:5" ht="15" customHeight="1">
      <c r="B867" s="90"/>
      <c r="C867" s="55" t="s">
        <v>154</v>
      </c>
      <c r="D867" s="58">
        <v>2</v>
      </c>
      <c r="E867" s="57">
        <v>0</v>
      </c>
    </row>
    <row r="868" spans="2:5" ht="15" customHeight="1">
      <c r="B868" s="90"/>
      <c r="C868" s="55" t="s">
        <v>168</v>
      </c>
      <c r="D868" s="58">
        <v>2</v>
      </c>
      <c r="E868" s="57">
        <v>0</v>
      </c>
    </row>
    <row r="869" spans="2:5" ht="15" customHeight="1">
      <c r="B869" s="90"/>
      <c r="C869" s="55" t="s">
        <v>169</v>
      </c>
      <c r="D869" s="58">
        <v>1</v>
      </c>
      <c r="E869" s="57">
        <v>0</v>
      </c>
    </row>
    <row r="870" spans="2:5" ht="15" customHeight="1">
      <c r="B870" s="90"/>
      <c r="C870" s="55" t="s">
        <v>141</v>
      </c>
      <c r="D870" s="58">
        <v>1</v>
      </c>
      <c r="E870" s="57">
        <v>0</v>
      </c>
    </row>
    <row r="871" spans="2:5" ht="15" customHeight="1">
      <c r="B871" s="90"/>
      <c r="C871" s="55" t="s">
        <v>152</v>
      </c>
      <c r="D871" s="58">
        <v>1</v>
      </c>
      <c r="E871" s="57">
        <v>0</v>
      </c>
    </row>
    <row r="872" spans="2:5" ht="15" customHeight="1">
      <c r="B872" s="91"/>
      <c r="C872" s="72" t="s">
        <v>284</v>
      </c>
      <c r="D872" s="73">
        <v>29</v>
      </c>
      <c r="E872" s="71">
        <v>2E-3</v>
      </c>
    </row>
    <row r="873" spans="2:5" ht="15" customHeight="1">
      <c r="B873" s="89" t="s">
        <v>117</v>
      </c>
      <c r="C873" s="55" t="s">
        <v>143</v>
      </c>
      <c r="D873" s="58">
        <v>10</v>
      </c>
      <c r="E873" s="57">
        <v>1E-3</v>
      </c>
    </row>
    <row r="874" spans="2:5" ht="15" customHeight="1">
      <c r="B874" s="90"/>
      <c r="C874" s="55" t="s">
        <v>144</v>
      </c>
      <c r="D874" s="58">
        <v>7</v>
      </c>
      <c r="E874" s="57">
        <v>0</v>
      </c>
    </row>
    <row r="875" spans="2:5" ht="15" customHeight="1">
      <c r="B875" s="90"/>
      <c r="C875" s="55" t="s">
        <v>167</v>
      </c>
      <c r="D875" s="58">
        <v>4</v>
      </c>
      <c r="E875" s="57">
        <v>0</v>
      </c>
    </row>
    <row r="876" spans="2:5" ht="15" customHeight="1">
      <c r="B876" s="90"/>
      <c r="C876" s="55" t="s">
        <v>153</v>
      </c>
      <c r="D876" s="58">
        <v>2</v>
      </c>
      <c r="E876" s="57">
        <v>0</v>
      </c>
    </row>
    <row r="877" spans="2:5" ht="15" customHeight="1">
      <c r="B877" s="90"/>
      <c r="C877" s="55" t="s">
        <v>140</v>
      </c>
      <c r="D877" s="58">
        <v>1</v>
      </c>
      <c r="E877" s="57">
        <v>0</v>
      </c>
    </row>
    <row r="878" spans="2:5" ht="15" customHeight="1">
      <c r="B878" s="90"/>
      <c r="C878" s="55" t="s">
        <v>149</v>
      </c>
      <c r="D878" s="58">
        <v>1</v>
      </c>
      <c r="E878" s="57">
        <v>0</v>
      </c>
    </row>
    <row r="879" spans="2:5" ht="15" customHeight="1">
      <c r="B879" s="90"/>
      <c r="C879" s="55" t="s">
        <v>155</v>
      </c>
      <c r="D879" s="58">
        <v>1</v>
      </c>
      <c r="E879" s="57">
        <v>0</v>
      </c>
    </row>
    <row r="880" spans="2:5" ht="15" customHeight="1">
      <c r="B880" s="91"/>
      <c r="C880" s="72" t="s">
        <v>284</v>
      </c>
      <c r="D880" s="73">
        <v>26</v>
      </c>
      <c r="E880" s="71">
        <v>2E-3</v>
      </c>
    </row>
    <row r="881" spans="2:5" ht="15" customHeight="1">
      <c r="B881" s="89" t="s">
        <v>122</v>
      </c>
      <c r="C881" s="55" t="s">
        <v>144</v>
      </c>
      <c r="D881" s="58">
        <v>10</v>
      </c>
      <c r="E881" s="57">
        <v>1E-3</v>
      </c>
    </row>
    <row r="882" spans="2:5" ht="15" customHeight="1">
      <c r="B882" s="90"/>
      <c r="C882" s="55" t="s">
        <v>150</v>
      </c>
      <c r="D882" s="58">
        <v>3</v>
      </c>
      <c r="E882" s="57">
        <v>0</v>
      </c>
    </row>
    <row r="883" spans="2:5" ht="15" customHeight="1">
      <c r="B883" s="90"/>
      <c r="C883" s="55" t="s">
        <v>169</v>
      </c>
      <c r="D883" s="58">
        <v>1</v>
      </c>
      <c r="E883" s="57">
        <v>0</v>
      </c>
    </row>
    <row r="884" spans="2:5" ht="15" customHeight="1">
      <c r="B884" s="90"/>
      <c r="C884" s="55" t="s">
        <v>143</v>
      </c>
      <c r="D884" s="58">
        <v>1</v>
      </c>
      <c r="E884" s="57">
        <v>0</v>
      </c>
    </row>
    <row r="885" spans="2:5" ht="15" customHeight="1">
      <c r="B885" s="90"/>
      <c r="C885" s="55" t="s">
        <v>158</v>
      </c>
      <c r="D885" s="58">
        <v>1</v>
      </c>
      <c r="E885" s="57">
        <v>0</v>
      </c>
    </row>
    <row r="886" spans="2:5" ht="15" customHeight="1">
      <c r="B886" s="90"/>
      <c r="C886" s="55" t="s">
        <v>165</v>
      </c>
      <c r="D886" s="58">
        <v>1</v>
      </c>
      <c r="E886" s="57">
        <v>0</v>
      </c>
    </row>
    <row r="887" spans="2:5" ht="15" customHeight="1">
      <c r="B887" s="90"/>
      <c r="C887" s="55" t="s">
        <v>154</v>
      </c>
      <c r="D887" s="58">
        <v>1</v>
      </c>
      <c r="E887" s="57">
        <v>0</v>
      </c>
    </row>
    <row r="888" spans="2:5" ht="15" customHeight="1">
      <c r="B888" s="90"/>
      <c r="C888" s="55" t="s">
        <v>155</v>
      </c>
      <c r="D888" s="58">
        <v>1</v>
      </c>
      <c r="E888" s="57">
        <v>0</v>
      </c>
    </row>
    <row r="889" spans="2:5" ht="15" customHeight="1">
      <c r="B889" s="90"/>
      <c r="C889" s="55" t="s">
        <v>156</v>
      </c>
      <c r="D889" s="58">
        <v>1</v>
      </c>
      <c r="E889" s="57">
        <v>0</v>
      </c>
    </row>
    <row r="890" spans="2:5" ht="15" customHeight="1">
      <c r="B890" s="91"/>
      <c r="C890" s="72" t="s">
        <v>284</v>
      </c>
      <c r="D890" s="73">
        <v>20</v>
      </c>
      <c r="E890" s="71">
        <v>1E-3</v>
      </c>
    </row>
    <row r="891" spans="2:5" ht="15" customHeight="1">
      <c r="B891" s="89" t="s">
        <v>111</v>
      </c>
      <c r="C891" s="55" t="s">
        <v>144</v>
      </c>
      <c r="D891" s="58">
        <v>7</v>
      </c>
      <c r="E891" s="57">
        <v>0</v>
      </c>
    </row>
    <row r="892" spans="2:5" ht="15" customHeight="1">
      <c r="B892" s="90"/>
      <c r="C892" s="55" t="s">
        <v>155</v>
      </c>
      <c r="D892" s="58">
        <v>2</v>
      </c>
      <c r="E892" s="57">
        <v>0</v>
      </c>
    </row>
    <row r="893" spans="2:5" ht="15" customHeight="1">
      <c r="B893" s="90"/>
      <c r="C893" s="55" t="s">
        <v>141</v>
      </c>
      <c r="D893" s="58">
        <v>1</v>
      </c>
      <c r="E893" s="57">
        <v>0</v>
      </c>
    </row>
    <row r="894" spans="2:5" ht="15" customHeight="1">
      <c r="B894" s="90"/>
      <c r="C894" s="55" t="s">
        <v>142</v>
      </c>
      <c r="D894" s="58">
        <v>1</v>
      </c>
      <c r="E894" s="57">
        <v>0</v>
      </c>
    </row>
    <row r="895" spans="2:5" ht="15" customHeight="1">
      <c r="B895" s="90"/>
      <c r="C895" s="55" t="s">
        <v>146</v>
      </c>
      <c r="D895" s="58">
        <v>1</v>
      </c>
      <c r="E895" s="57">
        <v>0</v>
      </c>
    </row>
    <row r="896" spans="2:5" ht="15" customHeight="1">
      <c r="B896" s="90"/>
      <c r="C896" s="55" t="s">
        <v>149</v>
      </c>
      <c r="D896" s="58">
        <v>1</v>
      </c>
      <c r="E896" s="57">
        <v>0</v>
      </c>
    </row>
    <row r="897" spans="2:5" ht="15" customHeight="1">
      <c r="B897" s="90"/>
      <c r="C897" s="55" t="s">
        <v>150</v>
      </c>
      <c r="D897" s="58">
        <v>1</v>
      </c>
      <c r="E897" s="57">
        <v>0</v>
      </c>
    </row>
    <row r="898" spans="2:5" ht="15" customHeight="1">
      <c r="B898" s="90"/>
      <c r="C898" s="55" t="s">
        <v>163</v>
      </c>
      <c r="D898" s="58">
        <v>1</v>
      </c>
      <c r="E898" s="57">
        <v>0</v>
      </c>
    </row>
    <row r="899" spans="2:5" ht="15" customHeight="1">
      <c r="B899" s="90"/>
      <c r="C899" s="55" t="s">
        <v>164</v>
      </c>
      <c r="D899" s="58">
        <v>1</v>
      </c>
      <c r="E899" s="57">
        <v>0</v>
      </c>
    </row>
    <row r="900" spans="2:5" ht="15" customHeight="1">
      <c r="B900" s="90"/>
      <c r="C900" s="55" t="s">
        <v>156</v>
      </c>
      <c r="D900" s="58">
        <v>1</v>
      </c>
      <c r="E900" s="57">
        <v>0</v>
      </c>
    </row>
    <row r="901" spans="2:5" ht="15" customHeight="1">
      <c r="B901" s="91"/>
      <c r="C901" s="72" t="s">
        <v>284</v>
      </c>
      <c r="D901" s="73">
        <v>17</v>
      </c>
      <c r="E901" s="71">
        <v>1E-3</v>
      </c>
    </row>
    <row r="902" spans="2:5" ht="15" customHeight="1">
      <c r="B902" s="89" t="s">
        <v>137</v>
      </c>
      <c r="C902" s="55" t="s">
        <v>144</v>
      </c>
      <c r="D902" s="58">
        <v>2</v>
      </c>
      <c r="E902" s="57">
        <v>0</v>
      </c>
    </row>
    <row r="903" spans="2:5" ht="15" customHeight="1">
      <c r="B903" s="90"/>
      <c r="C903" s="55" t="s">
        <v>149</v>
      </c>
      <c r="D903" s="58">
        <v>2</v>
      </c>
      <c r="E903" s="57">
        <v>0</v>
      </c>
    </row>
    <row r="904" spans="2:5" ht="15" customHeight="1">
      <c r="B904" s="90"/>
      <c r="C904" s="55" t="s">
        <v>164</v>
      </c>
      <c r="D904" s="58">
        <v>1</v>
      </c>
      <c r="E904" s="57">
        <v>0</v>
      </c>
    </row>
    <row r="905" spans="2:5" ht="15" customHeight="1">
      <c r="B905" s="90"/>
      <c r="C905" s="55" t="s">
        <v>152</v>
      </c>
      <c r="D905" s="58">
        <v>1</v>
      </c>
      <c r="E905" s="57">
        <v>0</v>
      </c>
    </row>
    <row r="906" spans="2:5" ht="15" customHeight="1">
      <c r="B906" s="90"/>
      <c r="C906" s="55" t="s">
        <v>154</v>
      </c>
      <c r="D906" s="58">
        <v>1</v>
      </c>
      <c r="E906" s="57">
        <v>0</v>
      </c>
    </row>
    <row r="907" spans="2:5" ht="15" customHeight="1">
      <c r="B907" s="91"/>
      <c r="C907" s="72" t="s">
        <v>284</v>
      </c>
      <c r="D907" s="73">
        <v>7</v>
      </c>
      <c r="E907" s="71">
        <v>0</v>
      </c>
    </row>
    <row r="908" spans="2:5" ht="15" customHeight="1">
      <c r="B908" s="89" t="s">
        <v>102</v>
      </c>
      <c r="C908" s="55" t="s">
        <v>143</v>
      </c>
      <c r="D908" s="58">
        <v>3</v>
      </c>
      <c r="E908" s="57">
        <v>0</v>
      </c>
    </row>
    <row r="909" spans="2:5" ht="15" customHeight="1">
      <c r="B909" s="90"/>
      <c r="C909" s="55" t="s">
        <v>154</v>
      </c>
      <c r="D909" s="58">
        <v>2</v>
      </c>
      <c r="E909" s="57">
        <v>0</v>
      </c>
    </row>
    <row r="910" spans="2:5" ht="15" customHeight="1">
      <c r="B910" s="90"/>
      <c r="C910" s="55" t="s">
        <v>144</v>
      </c>
      <c r="D910" s="58">
        <v>1</v>
      </c>
      <c r="E910" s="57">
        <v>0</v>
      </c>
    </row>
    <row r="911" spans="2:5" ht="15" customHeight="1">
      <c r="B911" s="91"/>
      <c r="C911" s="72" t="s">
        <v>284</v>
      </c>
      <c r="D911" s="73">
        <v>6</v>
      </c>
      <c r="E911" s="71">
        <v>0</v>
      </c>
    </row>
    <row r="912" spans="2:5" ht="15" customHeight="1">
      <c r="B912" s="89" t="s">
        <v>131</v>
      </c>
      <c r="C912" s="55" t="s">
        <v>155</v>
      </c>
      <c r="D912" s="58">
        <v>2</v>
      </c>
      <c r="E912" s="57">
        <v>0</v>
      </c>
    </row>
    <row r="913" spans="2:5" ht="15" customHeight="1">
      <c r="B913" s="90"/>
      <c r="C913" s="55" t="s">
        <v>141</v>
      </c>
      <c r="D913" s="58">
        <v>1</v>
      </c>
      <c r="E913" s="57">
        <v>0</v>
      </c>
    </row>
    <row r="914" spans="2:5" ht="15" customHeight="1">
      <c r="B914" s="90"/>
      <c r="C914" s="55" t="s">
        <v>143</v>
      </c>
      <c r="D914" s="58">
        <v>1</v>
      </c>
      <c r="E914" s="57">
        <v>0</v>
      </c>
    </row>
    <row r="915" spans="2:5" ht="15" customHeight="1">
      <c r="B915" s="90"/>
      <c r="C915" s="55" t="s">
        <v>144</v>
      </c>
      <c r="D915" s="58">
        <v>1</v>
      </c>
      <c r="E915" s="57">
        <v>0</v>
      </c>
    </row>
    <row r="916" spans="2:5" ht="15" customHeight="1">
      <c r="B916" s="91"/>
      <c r="C916" s="72" t="s">
        <v>284</v>
      </c>
      <c r="D916" s="73">
        <v>5</v>
      </c>
      <c r="E916" s="71">
        <v>0</v>
      </c>
    </row>
    <row r="917" spans="2:5" ht="15" customHeight="1">
      <c r="B917" s="89" t="s">
        <v>255</v>
      </c>
      <c r="C917" s="55" t="s">
        <v>143</v>
      </c>
      <c r="D917" s="58">
        <v>1</v>
      </c>
      <c r="E917" s="57">
        <v>0</v>
      </c>
    </row>
    <row r="918" spans="2:5" ht="15" customHeight="1">
      <c r="B918" s="90"/>
      <c r="C918" s="55" t="s">
        <v>144</v>
      </c>
      <c r="D918" s="58">
        <v>1</v>
      </c>
      <c r="E918" s="57">
        <v>0</v>
      </c>
    </row>
    <row r="919" spans="2:5" ht="15" customHeight="1">
      <c r="B919" s="90"/>
      <c r="C919" s="55" t="s">
        <v>164</v>
      </c>
      <c r="D919" s="58">
        <v>1</v>
      </c>
      <c r="E919" s="57">
        <v>0</v>
      </c>
    </row>
    <row r="920" spans="2:5" ht="15" customHeight="1">
      <c r="B920" s="91"/>
      <c r="C920" s="72" t="s">
        <v>284</v>
      </c>
      <c r="D920" s="73">
        <v>3</v>
      </c>
      <c r="E920" s="71">
        <v>0</v>
      </c>
    </row>
    <row r="921" spans="2:5" ht="15" customHeight="1">
      <c r="B921" s="89" t="s">
        <v>114</v>
      </c>
      <c r="C921" s="55" t="s">
        <v>141</v>
      </c>
      <c r="D921" s="58">
        <v>1</v>
      </c>
      <c r="E921" s="57">
        <v>0</v>
      </c>
    </row>
    <row r="922" spans="2:5" ht="15" customHeight="1">
      <c r="B922" s="90"/>
      <c r="C922" s="55" t="s">
        <v>149</v>
      </c>
      <c r="D922" s="58">
        <v>1</v>
      </c>
      <c r="E922" s="57">
        <v>0</v>
      </c>
    </row>
    <row r="923" spans="2:5" ht="15" customHeight="1">
      <c r="B923" s="90"/>
      <c r="C923" s="55" t="s">
        <v>165</v>
      </c>
      <c r="D923" s="58">
        <v>1</v>
      </c>
      <c r="E923" s="57">
        <v>0</v>
      </c>
    </row>
    <row r="924" spans="2:5" ht="15" customHeight="1">
      <c r="B924" s="91"/>
      <c r="C924" s="72" t="s">
        <v>284</v>
      </c>
      <c r="D924" s="73">
        <v>3</v>
      </c>
      <c r="E924" s="71">
        <v>0</v>
      </c>
    </row>
    <row r="925" spans="2:5" ht="15" customHeight="1">
      <c r="B925" s="89" t="s">
        <v>129</v>
      </c>
      <c r="C925" s="55" t="s">
        <v>144</v>
      </c>
      <c r="D925" s="58">
        <v>2</v>
      </c>
      <c r="E925" s="57">
        <v>0</v>
      </c>
    </row>
    <row r="926" spans="2:5" ht="15" customHeight="1">
      <c r="B926" s="90"/>
      <c r="C926" s="55" t="s">
        <v>167</v>
      </c>
      <c r="D926" s="58">
        <v>1</v>
      </c>
      <c r="E926" s="57">
        <v>0</v>
      </c>
    </row>
    <row r="927" spans="2:5" ht="15" customHeight="1">
      <c r="B927" s="91"/>
      <c r="C927" s="72" t="s">
        <v>284</v>
      </c>
      <c r="D927" s="73">
        <v>3</v>
      </c>
      <c r="E927" s="71">
        <v>0</v>
      </c>
    </row>
    <row r="928" spans="2:5" ht="15" customHeight="1">
      <c r="B928" s="89" t="s">
        <v>112</v>
      </c>
      <c r="C928" s="55" t="s">
        <v>150</v>
      </c>
      <c r="D928" s="58">
        <v>1</v>
      </c>
      <c r="E928" s="57">
        <v>0</v>
      </c>
    </row>
    <row r="929" spans="2:5" ht="15" customHeight="1">
      <c r="B929" s="91"/>
      <c r="C929" s="72" t="s">
        <v>284</v>
      </c>
      <c r="D929" s="73">
        <v>1</v>
      </c>
      <c r="E929" s="71">
        <v>0</v>
      </c>
    </row>
    <row r="930" spans="2:5" ht="15" customHeight="1">
      <c r="B930" s="89" t="s">
        <v>256</v>
      </c>
      <c r="C930" s="55" t="s">
        <v>145</v>
      </c>
      <c r="D930" s="58">
        <v>1</v>
      </c>
      <c r="E930" s="57">
        <v>0</v>
      </c>
    </row>
    <row r="931" spans="2:5" ht="15" customHeight="1">
      <c r="B931" s="91"/>
      <c r="C931" s="72" t="s">
        <v>284</v>
      </c>
      <c r="D931" s="73">
        <v>1</v>
      </c>
      <c r="E931" s="71">
        <v>0</v>
      </c>
    </row>
    <row r="932" spans="2:5" ht="15" customHeight="1">
      <c r="B932" s="92" t="s">
        <v>288</v>
      </c>
      <c r="C932" s="92"/>
      <c r="D932" s="41">
        <v>15448</v>
      </c>
      <c r="E932" s="60">
        <v>1</v>
      </c>
    </row>
    <row r="933" spans="2:5" ht="15" customHeight="1">
      <c r="B933" s="36"/>
      <c r="C933" s="36"/>
      <c r="D933" s="36"/>
      <c r="E933" s="36"/>
    </row>
    <row r="934" spans="2:5" ht="15" customHeight="1">
      <c r="B934" s="32" t="s">
        <v>254</v>
      </c>
      <c r="C934" s="36"/>
      <c r="D934" s="36"/>
      <c r="E934" s="36"/>
    </row>
    <row r="935" spans="2:5" ht="15" customHeight="1">
      <c r="B935" s="34" t="s">
        <v>18</v>
      </c>
      <c r="C935" s="36"/>
      <c r="D935" s="36"/>
      <c r="E935" s="36"/>
    </row>
    <row r="936" spans="2:5" ht="15" customHeight="1">
      <c r="B936" s="35" t="s">
        <v>94</v>
      </c>
      <c r="C936" s="36"/>
      <c r="D936" s="36"/>
      <c r="E936" s="36"/>
    </row>
    <row r="937" spans="2:5" ht="15" customHeight="1">
      <c r="B937" s="32" t="s">
        <v>17</v>
      </c>
      <c r="C937" s="36"/>
      <c r="D937" s="36"/>
      <c r="E937" s="36"/>
    </row>
    <row r="938" spans="2:5" ht="15" customHeight="1">
      <c r="B938" s="32" t="s">
        <v>285</v>
      </c>
      <c r="C938" s="36"/>
      <c r="D938" s="36"/>
      <c r="E938" s="36"/>
    </row>
  </sheetData>
  <mergeCells count="48">
    <mergeCell ref="B680:B696"/>
    <mergeCell ref="B697:B718"/>
    <mergeCell ref="B719:B741"/>
    <mergeCell ref="B863:B872"/>
    <mergeCell ref="B873:B880"/>
    <mergeCell ref="B575:B598"/>
    <mergeCell ref="B599:B618"/>
    <mergeCell ref="B619:B638"/>
    <mergeCell ref="B639:B657"/>
    <mergeCell ref="B658:B679"/>
    <mergeCell ref="B152:B180"/>
    <mergeCell ref="B181:B209"/>
    <mergeCell ref="B210:B239"/>
    <mergeCell ref="B529:B554"/>
    <mergeCell ref="B555:B574"/>
    <mergeCell ref="B396:B416"/>
    <mergeCell ref="B417:B442"/>
    <mergeCell ref="B443:B472"/>
    <mergeCell ref="B473:B499"/>
    <mergeCell ref="B500:B528"/>
    <mergeCell ref="B240:B270"/>
    <mergeCell ref="B271:B303"/>
    <mergeCell ref="B304:B333"/>
    <mergeCell ref="B334:B364"/>
    <mergeCell ref="B365:B395"/>
    <mergeCell ref="B83:B118"/>
    <mergeCell ref="B119:B151"/>
    <mergeCell ref="B7:E8"/>
    <mergeCell ref="B10:B48"/>
    <mergeCell ref="B49:B82"/>
    <mergeCell ref="B742:B758"/>
    <mergeCell ref="B759:B774"/>
    <mergeCell ref="B775:B793"/>
    <mergeCell ref="B794:B814"/>
    <mergeCell ref="B908:B911"/>
    <mergeCell ref="B815:B831"/>
    <mergeCell ref="B832:B847"/>
    <mergeCell ref="B848:B862"/>
    <mergeCell ref="B881:B890"/>
    <mergeCell ref="B891:B901"/>
    <mergeCell ref="B902:B907"/>
    <mergeCell ref="B912:B916"/>
    <mergeCell ref="B917:B920"/>
    <mergeCell ref="B932:C932"/>
    <mergeCell ref="B921:B924"/>
    <mergeCell ref="B925:B927"/>
    <mergeCell ref="B928:B929"/>
    <mergeCell ref="B930:B9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124"/>
  <sheetViews>
    <sheetView showGridLines="0" view="pageBreakPreview" zoomScale="130" zoomScaleNormal="100" zoomScaleSheetLayoutView="130" workbookViewId="0"/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4.28515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93"/>
      <c r="C7" s="93"/>
      <c r="D7" s="93"/>
      <c r="E7" s="93"/>
    </row>
    <row r="8" spans="1:5" s="21" customFormat="1" ht="33" customHeight="1">
      <c r="A8" s="22"/>
      <c r="B8" s="93"/>
      <c r="C8" s="93"/>
      <c r="D8" s="93"/>
      <c r="E8" s="93"/>
    </row>
    <row r="9" spans="1:5" s="15" customFormat="1" ht="40.5" customHeight="1">
      <c r="B9" s="44" t="s">
        <v>22</v>
      </c>
      <c r="C9" s="45" t="s">
        <v>24</v>
      </c>
      <c r="D9" s="46" t="s">
        <v>20</v>
      </c>
      <c r="E9" s="44" t="s">
        <v>19</v>
      </c>
    </row>
    <row r="10" spans="1:5" ht="15" customHeight="1">
      <c r="B10" s="89" t="s">
        <v>84</v>
      </c>
      <c r="C10" s="55" t="s">
        <v>169</v>
      </c>
      <c r="D10" s="58">
        <v>1</v>
      </c>
      <c r="E10" s="57">
        <v>0</v>
      </c>
    </row>
    <row r="11" spans="1:5" ht="15" customHeight="1">
      <c r="B11" s="90"/>
      <c r="C11" s="55" t="s">
        <v>143</v>
      </c>
      <c r="D11" s="58">
        <v>2</v>
      </c>
      <c r="E11" s="57">
        <v>0</v>
      </c>
    </row>
    <row r="12" spans="1:5" ht="15" customHeight="1">
      <c r="B12" s="90"/>
      <c r="C12" s="55" t="s">
        <v>144</v>
      </c>
      <c r="D12" s="58">
        <v>7</v>
      </c>
      <c r="E12" s="57">
        <v>0</v>
      </c>
    </row>
    <row r="13" spans="1:5" ht="15" customHeight="1">
      <c r="B13" s="90"/>
      <c r="C13" s="55" t="s">
        <v>158</v>
      </c>
      <c r="D13" s="58">
        <v>1</v>
      </c>
      <c r="E13" s="57">
        <v>0</v>
      </c>
    </row>
    <row r="14" spans="1:5" ht="15" customHeight="1">
      <c r="B14" s="90"/>
      <c r="C14" s="55" t="s">
        <v>162</v>
      </c>
      <c r="D14" s="58">
        <v>1</v>
      </c>
      <c r="E14" s="57">
        <v>0</v>
      </c>
    </row>
    <row r="15" spans="1:5" ht="15" customHeight="1">
      <c r="B15" s="90"/>
      <c r="C15" s="55" t="s">
        <v>150</v>
      </c>
      <c r="D15" s="58">
        <v>2</v>
      </c>
      <c r="E15" s="57">
        <v>0</v>
      </c>
    </row>
    <row r="16" spans="1:5" ht="15" customHeight="1">
      <c r="B16" s="90"/>
      <c r="C16" s="55" t="s">
        <v>165</v>
      </c>
      <c r="D16" s="58">
        <v>1</v>
      </c>
      <c r="E16" s="57">
        <v>0</v>
      </c>
    </row>
    <row r="17" spans="2:5" ht="15" customHeight="1">
      <c r="B17" s="90"/>
      <c r="C17" s="55" t="s">
        <v>154</v>
      </c>
      <c r="D17" s="58">
        <v>1</v>
      </c>
      <c r="E17" s="57">
        <v>0</v>
      </c>
    </row>
    <row r="18" spans="2:5" ht="15" customHeight="1">
      <c r="B18" s="90"/>
      <c r="C18" s="55" t="s">
        <v>155</v>
      </c>
      <c r="D18" s="58">
        <v>2</v>
      </c>
      <c r="E18" s="57">
        <v>0</v>
      </c>
    </row>
    <row r="19" spans="2:5" ht="15" customHeight="1">
      <c r="B19" s="90"/>
      <c r="C19" s="55" t="s">
        <v>156</v>
      </c>
      <c r="D19" s="58">
        <v>1</v>
      </c>
      <c r="E19" s="57">
        <v>0</v>
      </c>
    </row>
    <row r="20" spans="2:5" ht="15" customHeight="1">
      <c r="B20" s="91"/>
      <c r="C20" s="72" t="s">
        <v>284</v>
      </c>
      <c r="D20" s="73">
        <v>19</v>
      </c>
      <c r="E20" s="71">
        <v>1E-3</v>
      </c>
    </row>
    <row r="21" spans="2:5" ht="15" customHeight="1">
      <c r="B21" s="89" t="s">
        <v>53</v>
      </c>
      <c r="C21" s="55" t="s">
        <v>140</v>
      </c>
      <c r="D21" s="58">
        <v>1</v>
      </c>
      <c r="E21" s="57">
        <v>0</v>
      </c>
    </row>
    <row r="22" spans="2:5" ht="15" customHeight="1">
      <c r="B22" s="90"/>
      <c r="C22" s="55" t="s">
        <v>169</v>
      </c>
      <c r="D22" s="58">
        <v>2</v>
      </c>
      <c r="E22" s="57">
        <v>0</v>
      </c>
    </row>
    <row r="23" spans="2:5" ht="15" customHeight="1">
      <c r="B23" s="90"/>
      <c r="C23" s="55" t="s">
        <v>141</v>
      </c>
      <c r="D23" s="58">
        <v>1</v>
      </c>
      <c r="E23" s="57">
        <v>0</v>
      </c>
    </row>
    <row r="24" spans="2:5" ht="15" customHeight="1">
      <c r="B24" s="90"/>
      <c r="C24" s="55" t="s">
        <v>142</v>
      </c>
      <c r="D24" s="58">
        <v>14</v>
      </c>
      <c r="E24" s="57">
        <v>1E-3</v>
      </c>
    </row>
    <row r="25" spans="2:5" ht="15" customHeight="1">
      <c r="B25" s="90"/>
      <c r="C25" s="55" t="s">
        <v>157</v>
      </c>
      <c r="D25" s="58">
        <v>7</v>
      </c>
      <c r="E25" s="57">
        <v>0</v>
      </c>
    </row>
    <row r="26" spans="2:5" ht="15" customHeight="1">
      <c r="B26" s="90"/>
      <c r="C26" s="55" t="s">
        <v>143</v>
      </c>
      <c r="D26" s="58">
        <v>44</v>
      </c>
      <c r="E26" s="57">
        <v>3.0000000000000001E-3</v>
      </c>
    </row>
    <row r="27" spans="2:5" ht="15" customHeight="1">
      <c r="B27" s="90"/>
      <c r="C27" s="55" t="s">
        <v>144</v>
      </c>
      <c r="D27" s="58">
        <v>94</v>
      </c>
      <c r="E27" s="57">
        <v>6.0000000000000001E-3</v>
      </c>
    </row>
    <row r="28" spans="2:5" ht="15" customHeight="1">
      <c r="B28" s="90"/>
      <c r="C28" s="55" t="s">
        <v>257</v>
      </c>
      <c r="D28" s="58">
        <v>2</v>
      </c>
      <c r="E28" s="57">
        <v>0</v>
      </c>
    </row>
    <row r="29" spans="2:5" ht="15" customHeight="1">
      <c r="B29" s="90"/>
      <c r="C29" s="55" t="s">
        <v>145</v>
      </c>
      <c r="D29" s="58">
        <v>9</v>
      </c>
      <c r="E29" s="57">
        <v>1E-3</v>
      </c>
    </row>
    <row r="30" spans="2:5" ht="15" customHeight="1">
      <c r="B30" s="90"/>
      <c r="C30" s="55" t="s">
        <v>158</v>
      </c>
      <c r="D30" s="58">
        <v>1</v>
      </c>
      <c r="E30" s="57">
        <v>0</v>
      </c>
    </row>
    <row r="31" spans="2:5" ht="15" customHeight="1">
      <c r="B31" s="90"/>
      <c r="C31" s="55" t="s">
        <v>159</v>
      </c>
      <c r="D31" s="58">
        <v>14</v>
      </c>
      <c r="E31" s="57">
        <v>1E-3</v>
      </c>
    </row>
    <row r="32" spans="2:5" ht="15" customHeight="1">
      <c r="B32" s="90"/>
      <c r="C32" s="55" t="s">
        <v>146</v>
      </c>
      <c r="D32" s="58">
        <v>6</v>
      </c>
      <c r="E32" s="57">
        <v>0</v>
      </c>
    </row>
    <row r="33" spans="2:5" ht="15" customHeight="1">
      <c r="B33" s="90"/>
      <c r="C33" s="55" t="s">
        <v>147</v>
      </c>
      <c r="D33" s="58">
        <v>23</v>
      </c>
      <c r="E33" s="57">
        <v>1E-3</v>
      </c>
    </row>
    <row r="34" spans="2:5" ht="15" customHeight="1">
      <c r="B34" s="90"/>
      <c r="C34" s="55" t="s">
        <v>160</v>
      </c>
      <c r="D34" s="58">
        <v>2</v>
      </c>
      <c r="E34" s="57">
        <v>0</v>
      </c>
    </row>
    <row r="35" spans="2:5" ht="15" customHeight="1">
      <c r="B35" s="90"/>
      <c r="C35" s="55" t="s">
        <v>161</v>
      </c>
      <c r="D35" s="58">
        <v>1</v>
      </c>
      <c r="E35" s="57">
        <v>0</v>
      </c>
    </row>
    <row r="36" spans="2:5" ht="15" customHeight="1">
      <c r="B36" s="90"/>
      <c r="C36" s="55" t="s">
        <v>162</v>
      </c>
      <c r="D36" s="58">
        <v>12</v>
      </c>
      <c r="E36" s="57">
        <v>1E-3</v>
      </c>
    </row>
    <row r="37" spans="2:5" ht="15" customHeight="1">
      <c r="B37" s="90"/>
      <c r="C37" s="55" t="s">
        <v>148</v>
      </c>
      <c r="D37" s="58">
        <v>3</v>
      </c>
      <c r="E37" s="57">
        <v>0</v>
      </c>
    </row>
    <row r="38" spans="2:5" ht="15" customHeight="1">
      <c r="B38" s="90"/>
      <c r="C38" s="55" t="s">
        <v>149</v>
      </c>
      <c r="D38" s="58">
        <v>8</v>
      </c>
      <c r="E38" s="57">
        <v>1E-3</v>
      </c>
    </row>
    <row r="39" spans="2:5" ht="15" customHeight="1">
      <c r="B39" s="90"/>
      <c r="C39" s="55" t="s">
        <v>150</v>
      </c>
      <c r="D39" s="58">
        <v>11</v>
      </c>
      <c r="E39" s="57">
        <v>1E-3</v>
      </c>
    </row>
    <row r="40" spans="2:5" ht="15" customHeight="1">
      <c r="B40" s="90"/>
      <c r="C40" s="55" t="s">
        <v>163</v>
      </c>
      <c r="D40" s="58">
        <v>1</v>
      </c>
      <c r="E40" s="57">
        <v>0</v>
      </c>
    </row>
    <row r="41" spans="2:5" ht="15" customHeight="1">
      <c r="B41" s="90"/>
      <c r="C41" s="55" t="s">
        <v>164</v>
      </c>
      <c r="D41" s="58">
        <v>2</v>
      </c>
      <c r="E41" s="57">
        <v>0</v>
      </c>
    </row>
    <row r="42" spans="2:5" ht="15" customHeight="1">
      <c r="B42" s="90"/>
      <c r="C42" s="55" t="s">
        <v>151</v>
      </c>
      <c r="D42" s="58">
        <v>1</v>
      </c>
      <c r="E42" s="57">
        <v>0</v>
      </c>
    </row>
    <row r="43" spans="2:5" ht="15" customHeight="1">
      <c r="B43" s="90"/>
      <c r="C43" s="55" t="s">
        <v>152</v>
      </c>
      <c r="D43" s="58">
        <v>4</v>
      </c>
      <c r="E43" s="57">
        <v>0</v>
      </c>
    </row>
    <row r="44" spans="2:5" ht="15" customHeight="1">
      <c r="B44" s="90"/>
      <c r="C44" s="55" t="s">
        <v>165</v>
      </c>
      <c r="D44" s="58">
        <v>37</v>
      </c>
      <c r="E44" s="57">
        <v>2E-3</v>
      </c>
    </row>
    <row r="45" spans="2:5" ht="15" customHeight="1">
      <c r="B45" s="90"/>
      <c r="C45" s="55" t="s">
        <v>173</v>
      </c>
      <c r="D45" s="58">
        <v>2</v>
      </c>
      <c r="E45" s="57">
        <v>0</v>
      </c>
    </row>
    <row r="46" spans="2:5" ht="15" customHeight="1">
      <c r="B46" s="90"/>
      <c r="C46" s="55" t="s">
        <v>153</v>
      </c>
      <c r="D46" s="58">
        <v>12</v>
      </c>
      <c r="E46" s="57">
        <v>1E-3</v>
      </c>
    </row>
    <row r="47" spans="2:5" ht="15" customHeight="1">
      <c r="B47" s="90"/>
      <c r="C47" s="55" t="s">
        <v>154</v>
      </c>
      <c r="D47" s="58">
        <v>4</v>
      </c>
      <c r="E47" s="57">
        <v>0</v>
      </c>
    </row>
    <row r="48" spans="2:5" ht="15" customHeight="1">
      <c r="B48" s="90"/>
      <c r="C48" s="55" t="s">
        <v>170</v>
      </c>
      <c r="D48" s="58">
        <v>7</v>
      </c>
      <c r="E48" s="57">
        <v>0</v>
      </c>
    </row>
    <row r="49" spans="2:5" ht="15" customHeight="1">
      <c r="B49" s="90"/>
      <c r="C49" s="55" t="s">
        <v>174</v>
      </c>
      <c r="D49" s="58">
        <v>2</v>
      </c>
      <c r="E49" s="57">
        <v>0</v>
      </c>
    </row>
    <row r="50" spans="2:5" ht="15" customHeight="1">
      <c r="B50" s="90"/>
      <c r="C50" s="55" t="s">
        <v>166</v>
      </c>
      <c r="D50" s="58">
        <v>4</v>
      </c>
      <c r="E50" s="57">
        <v>0</v>
      </c>
    </row>
    <row r="51" spans="2:5" ht="15" customHeight="1">
      <c r="B51" s="90"/>
      <c r="C51" s="55" t="s">
        <v>258</v>
      </c>
      <c r="D51" s="58">
        <v>1</v>
      </c>
      <c r="E51" s="57">
        <v>0</v>
      </c>
    </row>
    <row r="52" spans="2:5" ht="15" customHeight="1">
      <c r="B52" s="90"/>
      <c r="C52" s="55" t="s">
        <v>155</v>
      </c>
      <c r="D52" s="58">
        <v>17</v>
      </c>
      <c r="E52" s="57">
        <v>1E-3</v>
      </c>
    </row>
    <row r="53" spans="2:5" ht="15" customHeight="1">
      <c r="B53" s="90"/>
      <c r="C53" s="55" t="s">
        <v>167</v>
      </c>
      <c r="D53" s="58">
        <v>9</v>
      </c>
      <c r="E53" s="57">
        <v>1E-3</v>
      </c>
    </row>
    <row r="54" spans="2:5" ht="15" customHeight="1">
      <c r="B54" s="90"/>
      <c r="C54" s="55" t="s">
        <v>156</v>
      </c>
      <c r="D54" s="58">
        <v>30</v>
      </c>
      <c r="E54" s="57">
        <v>2E-3</v>
      </c>
    </row>
    <row r="55" spans="2:5" ht="15" customHeight="1">
      <c r="B55" s="91"/>
      <c r="C55" s="72" t="s">
        <v>284</v>
      </c>
      <c r="D55" s="73">
        <v>388</v>
      </c>
      <c r="E55" s="75">
        <v>2.5000000000000001E-2</v>
      </c>
    </row>
    <row r="56" spans="2:5" ht="15" customHeight="1">
      <c r="B56" s="89" t="s">
        <v>66</v>
      </c>
      <c r="C56" s="55" t="s">
        <v>140</v>
      </c>
      <c r="D56" s="58">
        <v>1</v>
      </c>
      <c r="E56" s="57">
        <v>0</v>
      </c>
    </row>
    <row r="57" spans="2:5" ht="15" customHeight="1">
      <c r="B57" s="90"/>
      <c r="C57" s="55" t="s">
        <v>169</v>
      </c>
      <c r="D57" s="58">
        <v>3</v>
      </c>
      <c r="E57" s="57">
        <v>0</v>
      </c>
    </row>
    <row r="58" spans="2:5" ht="15" customHeight="1">
      <c r="B58" s="90"/>
      <c r="C58" s="55" t="s">
        <v>142</v>
      </c>
      <c r="D58" s="58">
        <v>3</v>
      </c>
      <c r="E58" s="57">
        <v>0</v>
      </c>
    </row>
    <row r="59" spans="2:5" ht="15" customHeight="1">
      <c r="B59" s="90"/>
      <c r="C59" s="55" t="s">
        <v>157</v>
      </c>
      <c r="D59" s="58">
        <v>4</v>
      </c>
      <c r="E59" s="57">
        <v>0</v>
      </c>
    </row>
    <row r="60" spans="2:5" ht="15" customHeight="1">
      <c r="B60" s="90"/>
      <c r="C60" s="55" t="s">
        <v>143</v>
      </c>
      <c r="D60" s="58">
        <v>24</v>
      </c>
      <c r="E60" s="57">
        <v>2E-3</v>
      </c>
    </row>
    <row r="61" spans="2:5" ht="15" customHeight="1">
      <c r="B61" s="90"/>
      <c r="C61" s="55" t="s">
        <v>144</v>
      </c>
      <c r="D61" s="58">
        <v>38</v>
      </c>
      <c r="E61" s="57">
        <v>2E-3</v>
      </c>
    </row>
    <row r="62" spans="2:5" ht="15" customHeight="1">
      <c r="B62" s="90"/>
      <c r="C62" s="55" t="s">
        <v>257</v>
      </c>
      <c r="D62" s="58">
        <v>9</v>
      </c>
      <c r="E62" s="57">
        <v>1E-3</v>
      </c>
    </row>
    <row r="63" spans="2:5" ht="15" customHeight="1">
      <c r="B63" s="90"/>
      <c r="C63" s="55" t="s">
        <v>145</v>
      </c>
      <c r="D63" s="58">
        <v>1</v>
      </c>
      <c r="E63" s="57">
        <v>0</v>
      </c>
    </row>
    <row r="64" spans="2:5" ht="15" customHeight="1">
      <c r="B64" s="90"/>
      <c r="C64" s="55" t="s">
        <v>158</v>
      </c>
      <c r="D64" s="58">
        <v>2</v>
      </c>
      <c r="E64" s="57">
        <v>0</v>
      </c>
    </row>
    <row r="65" spans="2:5" ht="15" customHeight="1">
      <c r="B65" s="90"/>
      <c r="C65" s="55" t="s">
        <v>146</v>
      </c>
      <c r="D65" s="58">
        <v>2</v>
      </c>
      <c r="E65" s="57">
        <v>0</v>
      </c>
    </row>
    <row r="66" spans="2:5" ht="15" customHeight="1">
      <c r="B66" s="90"/>
      <c r="C66" s="55" t="s">
        <v>147</v>
      </c>
      <c r="D66" s="58">
        <v>3</v>
      </c>
      <c r="E66" s="57">
        <v>0</v>
      </c>
    </row>
    <row r="67" spans="2:5" ht="15" customHeight="1">
      <c r="B67" s="90"/>
      <c r="C67" s="55" t="s">
        <v>161</v>
      </c>
      <c r="D67" s="58">
        <v>4</v>
      </c>
      <c r="E67" s="57">
        <v>0</v>
      </c>
    </row>
    <row r="68" spans="2:5" ht="15" customHeight="1">
      <c r="B68" s="90"/>
      <c r="C68" s="55" t="s">
        <v>162</v>
      </c>
      <c r="D68" s="58">
        <v>5</v>
      </c>
      <c r="E68" s="57">
        <v>0</v>
      </c>
    </row>
    <row r="69" spans="2:5" ht="15" customHeight="1">
      <c r="B69" s="90"/>
      <c r="C69" s="55" t="s">
        <v>148</v>
      </c>
      <c r="D69" s="58">
        <v>5</v>
      </c>
      <c r="E69" s="57">
        <v>0</v>
      </c>
    </row>
    <row r="70" spans="2:5" ht="15" customHeight="1">
      <c r="B70" s="90"/>
      <c r="C70" s="55" t="s">
        <v>149</v>
      </c>
      <c r="D70" s="58">
        <v>5</v>
      </c>
      <c r="E70" s="57">
        <v>0</v>
      </c>
    </row>
    <row r="71" spans="2:5" ht="15" customHeight="1">
      <c r="B71" s="90"/>
      <c r="C71" s="55" t="s">
        <v>150</v>
      </c>
      <c r="D71" s="58">
        <v>17</v>
      </c>
      <c r="E71" s="57">
        <v>1E-3</v>
      </c>
    </row>
    <row r="72" spans="2:5" ht="15" customHeight="1">
      <c r="B72" s="90"/>
      <c r="C72" s="55" t="s">
        <v>153</v>
      </c>
      <c r="D72" s="58">
        <v>1</v>
      </c>
      <c r="E72" s="57">
        <v>0</v>
      </c>
    </row>
    <row r="73" spans="2:5" ht="15" customHeight="1">
      <c r="B73" s="90"/>
      <c r="C73" s="55" t="s">
        <v>166</v>
      </c>
      <c r="D73" s="58">
        <v>2</v>
      </c>
      <c r="E73" s="57">
        <v>0</v>
      </c>
    </row>
    <row r="74" spans="2:5" ht="15" customHeight="1">
      <c r="B74" s="90"/>
      <c r="C74" s="55" t="s">
        <v>155</v>
      </c>
      <c r="D74" s="58">
        <v>3</v>
      </c>
      <c r="E74" s="57">
        <v>0</v>
      </c>
    </row>
    <row r="75" spans="2:5" ht="15" customHeight="1">
      <c r="B75" s="90"/>
      <c r="C75" s="55" t="s">
        <v>156</v>
      </c>
      <c r="D75" s="58">
        <v>3</v>
      </c>
      <c r="E75" s="57">
        <v>0</v>
      </c>
    </row>
    <row r="76" spans="2:5" ht="15" customHeight="1">
      <c r="B76" s="91"/>
      <c r="C76" s="72" t="s">
        <v>284</v>
      </c>
      <c r="D76" s="73">
        <v>135</v>
      </c>
      <c r="E76" s="71">
        <v>8.9999999999999993E-3</v>
      </c>
    </row>
    <row r="77" spans="2:5" ht="15" customHeight="1">
      <c r="B77" s="89" t="s">
        <v>77</v>
      </c>
      <c r="C77" s="55" t="s">
        <v>140</v>
      </c>
      <c r="D77" s="58">
        <v>1</v>
      </c>
      <c r="E77" s="57">
        <v>0</v>
      </c>
    </row>
    <row r="78" spans="2:5" ht="15" customHeight="1">
      <c r="B78" s="90"/>
      <c r="C78" s="55" t="s">
        <v>169</v>
      </c>
      <c r="D78" s="58">
        <v>1</v>
      </c>
      <c r="E78" s="57">
        <v>0</v>
      </c>
    </row>
    <row r="79" spans="2:5" ht="15" customHeight="1">
      <c r="B79" s="90"/>
      <c r="C79" s="55" t="s">
        <v>141</v>
      </c>
      <c r="D79" s="58">
        <v>1</v>
      </c>
      <c r="E79" s="57">
        <v>0</v>
      </c>
    </row>
    <row r="80" spans="2:5" ht="15" customHeight="1">
      <c r="B80" s="90"/>
      <c r="C80" s="55" t="s">
        <v>142</v>
      </c>
      <c r="D80" s="58">
        <v>7</v>
      </c>
      <c r="E80" s="57">
        <v>0</v>
      </c>
    </row>
    <row r="81" spans="2:5" ht="15" customHeight="1">
      <c r="B81" s="90"/>
      <c r="C81" s="55" t="s">
        <v>143</v>
      </c>
      <c r="D81" s="58">
        <v>11</v>
      </c>
      <c r="E81" s="57">
        <v>1E-3</v>
      </c>
    </row>
    <row r="82" spans="2:5" ht="15" customHeight="1">
      <c r="B82" s="90"/>
      <c r="C82" s="55" t="s">
        <v>144</v>
      </c>
      <c r="D82" s="58">
        <v>15</v>
      </c>
      <c r="E82" s="57">
        <v>1E-3</v>
      </c>
    </row>
    <row r="83" spans="2:5" ht="15" customHeight="1">
      <c r="B83" s="90"/>
      <c r="C83" s="55" t="s">
        <v>145</v>
      </c>
      <c r="D83" s="58">
        <v>3</v>
      </c>
      <c r="E83" s="57">
        <v>0</v>
      </c>
    </row>
    <row r="84" spans="2:5" ht="15" customHeight="1">
      <c r="B84" s="90"/>
      <c r="C84" s="55" t="s">
        <v>146</v>
      </c>
      <c r="D84" s="58">
        <v>2</v>
      </c>
      <c r="E84" s="57">
        <v>0</v>
      </c>
    </row>
    <row r="85" spans="2:5" ht="15" customHeight="1">
      <c r="B85" s="90"/>
      <c r="C85" s="55" t="s">
        <v>147</v>
      </c>
      <c r="D85" s="58">
        <v>22</v>
      </c>
      <c r="E85" s="57">
        <v>1E-3</v>
      </c>
    </row>
    <row r="86" spans="2:5" ht="15" customHeight="1">
      <c r="B86" s="90"/>
      <c r="C86" s="55" t="s">
        <v>162</v>
      </c>
      <c r="D86" s="58">
        <v>1</v>
      </c>
      <c r="E86" s="57">
        <v>0</v>
      </c>
    </row>
    <row r="87" spans="2:5" ht="15" customHeight="1">
      <c r="B87" s="90"/>
      <c r="C87" s="55" t="s">
        <v>149</v>
      </c>
      <c r="D87" s="58">
        <v>2</v>
      </c>
      <c r="E87" s="57">
        <v>0</v>
      </c>
    </row>
    <row r="88" spans="2:5" ht="15" customHeight="1">
      <c r="B88" s="90"/>
      <c r="C88" s="55" t="s">
        <v>150</v>
      </c>
      <c r="D88" s="58">
        <v>2</v>
      </c>
      <c r="E88" s="57">
        <v>0</v>
      </c>
    </row>
    <row r="89" spans="2:5" ht="15" customHeight="1">
      <c r="B89" s="90"/>
      <c r="C89" s="55" t="s">
        <v>164</v>
      </c>
      <c r="D89" s="58">
        <v>1</v>
      </c>
      <c r="E89" s="57">
        <v>0</v>
      </c>
    </row>
    <row r="90" spans="2:5" ht="15" customHeight="1">
      <c r="B90" s="90"/>
      <c r="C90" s="55" t="s">
        <v>151</v>
      </c>
      <c r="D90" s="58">
        <v>1</v>
      </c>
      <c r="E90" s="57">
        <v>0</v>
      </c>
    </row>
    <row r="91" spans="2:5" ht="15" customHeight="1">
      <c r="B91" s="90"/>
      <c r="C91" s="55" t="s">
        <v>165</v>
      </c>
      <c r="D91" s="58">
        <v>3</v>
      </c>
      <c r="E91" s="57">
        <v>0</v>
      </c>
    </row>
    <row r="92" spans="2:5" ht="15" customHeight="1">
      <c r="B92" s="90"/>
      <c r="C92" s="55" t="s">
        <v>153</v>
      </c>
      <c r="D92" s="58">
        <v>1</v>
      </c>
      <c r="E92" s="57">
        <v>0</v>
      </c>
    </row>
    <row r="93" spans="2:5" ht="15" customHeight="1">
      <c r="B93" s="90"/>
      <c r="C93" s="55" t="s">
        <v>154</v>
      </c>
      <c r="D93" s="58">
        <v>3</v>
      </c>
      <c r="E93" s="57">
        <v>0</v>
      </c>
    </row>
    <row r="94" spans="2:5" ht="15" customHeight="1">
      <c r="B94" s="90"/>
      <c r="C94" s="55" t="s">
        <v>174</v>
      </c>
      <c r="D94" s="58">
        <v>1</v>
      </c>
      <c r="E94" s="57">
        <v>0</v>
      </c>
    </row>
    <row r="95" spans="2:5" ht="15" customHeight="1">
      <c r="B95" s="90"/>
      <c r="C95" s="55" t="s">
        <v>166</v>
      </c>
      <c r="D95" s="58">
        <v>4</v>
      </c>
      <c r="E95" s="57">
        <v>0</v>
      </c>
    </row>
    <row r="96" spans="2:5" ht="15" customHeight="1">
      <c r="B96" s="90"/>
      <c r="C96" s="55" t="s">
        <v>167</v>
      </c>
      <c r="D96" s="58">
        <v>1</v>
      </c>
      <c r="E96" s="57">
        <v>0</v>
      </c>
    </row>
    <row r="97" spans="2:5" ht="15" customHeight="1">
      <c r="B97" s="90"/>
      <c r="C97" s="55" t="s">
        <v>156</v>
      </c>
      <c r="D97" s="58">
        <v>2</v>
      </c>
      <c r="E97" s="57">
        <v>0</v>
      </c>
    </row>
    <row r="98" spans="2:5" ht="15" customHeight="1">
      <c r="B98" s="91"/>
      <c r="C98" s="72" t="s">
        <v>284</v>
      </c>
      <c r="D98" s="73">
        <v>85</v>
      </c>
      <c r="E98" s="71">
        <v>6.0000000000000001E-3</v>
      </c>
    </row>
    <row r="99" spans="2:5" ht="15" customHeight="1">
      <c r="B99" s="89" t="s">
        <v>81</v>
      </c>
      <c r="C99" s="55" t="s">
        <v>141</v>
      </c>
      <c r="D99" s="58">
        <v>1</v>
      </c>
      <c r="E99" s="57">
        <v>0</v>
      </c>
    </row>
    <row r="100" spans="2:5" ht="15" customHeight="1">
      <c r="B100" s="90"/>
      <c r="C100" s="55" t="s">
        <v>142</v>
      </c>
      <c r="D100" s="58">
        <v>7</v>
      </c>
      <c r="E100" s="57">
        <v>0</v>
      </c>
    </row>
    <row r="101" spans="2:5" ht="15" customHeight="1">
      <c r="B101" s="90"/>
      <c r="C101" s="55" t="s">
        <v>143</v>
      </c>
      <c r="D101" s="58">
        <v>5</v>
      </c>
      <c r="E101" s="57">
        <v>0</v>
      </c>
    </row>
    <row r="102" spans="2:5" ht="15" customHeight="1">
      <c r="B102" s="90"/>
      <c r="C102" s="55" t="s">
        <v>144</v>
      </c>
      <c r="D102" s="58">
        <v>5</v>
      </c>
      <c r="E102" s="57">
        <v>0</v>
      </c>
    </row>
    <row r="103" spans="2:5" ht="15" customHeight="1">
      <c r="B103" s="90"/>
      <c r="C103" s="55" t="s">
        <v>145</v>
      </c>
      <c r="D103" s="58">
        <v>1</v>
      </c>
      <c r="E103" s="57">
        <v>0</v>
      </c>
    </row>
    <row r="104" spans="2:5" ht="15" customHeight="1">
      <c r="B104" s="90"/>
      <c r="C104" s="55" t="s">
        <v>147</v>
      </c>
      <c r="D104" s="58">
        <v>1</v>
      </c>
      <c r="E104" s="57">
        <v>0</v>
      </c>
    </row>
    <row r="105" spans="2:5" ht="15" customHeight="1">
      <c r="B105" s="90"/>
      <c r="C105" s="55" t="s">
        <v>160</v>
      </c>
      <c r="D105" s="58">
        <v>1</v>
      </c>
      <c r="E105" s="57">
        <v>0</v>
      </c>
    </row>
    <row r="106" spans="2:5" ht="15" customHeight="1">
      <c r="B106" s="90"/>
      <c r="C106" s="55" t="s">
        <v>149</v>
      </c>
      <c r="D106" s="58">
        <v>1</v>
      </c>
      <c r="E106" s="57">
        <v>0</v>
      </c>
    </row>
    <row r="107" spans="2:5" ht="15" customHeight="1">
      <c r="B107" s="90"/>
      <c r="C107" s="55" t="s">
        <v>150</v>
      </c>
      <c r="D107" s="58">
        <v>1</v>
      </c>
      <c r="E107" s="57">
        <v>0</v>
      </c>
    </row>
    <row r="108" spans="2:5" ht="15" customHeight="1">
      <c r="B108" s="90"/>
      <c r="C108" s="55" t="s">
        <v>163</v>
      </c>
      <c r="D108" s="58">
        <v>5</v>
      </c>
      <c r="E108" s="57">
        <v>0</v>
      </c>
    </row>
    <row r="109" spans="2:5" ht="15" customHeight="1">
      <c r="B109" s="90"/>
      <c r="C109" s="55" t="s">
        <v>164</v>
      </c>
      <c r="D109" s="58">
        <v>1</v>
      </c>
      <c r="E109" s="57">
        <v>0</v>
      </c>
    </row>
    <row r="110" spans="2:5" ht="15" customHeight="1">
      <c r="B110" s="90"/>
      <c r="C110" s="55" t="s">
        <v>165</v>
      </c>
      <c r="D110" s="58">
        <v>2</v>
      </c>
      <c r="E110" s="57">
        <v>0</v>
      </c>
    </row>
    <row r="111" spans="2:5" ht="15" customHeight="1">
      <c r="B111" s="90"/>
      <c r="C111" s="55" t="s">
        <v>167</v>
      </c>
      <c r="D111" s="58">
        <v>2</v>
      </c>
      <c r="E111" s="57">
        <v>0</v>
      </c>
    </row>
    <row r="112" spans="2:5" ht="15" customHeight="1">
      <c r="B112" s="90"/>
      <c r="C112" s="55" t="s">
        <v>168</v>
      </c>
      <c r="D112" s="58">
        <v>2</v>
      </c>
      <c r="E112" s="57">
        <v>0</v>
      </c>
    </row>
    <row r="113" spans="2:5" ht="15" customHeight="1">
      <c r="B113" s="91"/>
      <c r="C113" s="72" t="s">
        <v>284</v>
      </c>
      <c r="D113" s="73">
        <v>35</v>
      </c>
      <c r="E113" s="71">
        <v>2E-3</v>
      </c>
    </row>
    <row r="114" spans="2:5" ht="15" customHeight="1">
      <c r="B114" s="89" t="s">
        <v>85</v>
      </c>
      <c r="C114" s="55" t="s">
        <v>143</v>
      </c>
      <c r="D114" s="58">
        <v>3</v>
      </c>
      <c r="E114" s="57">
        <v>0</v>
      </c>
    </row>
    <row r="115" spans="2:5" ht="15" customHeight="1">
      <c r="B115" s="90"/>
      <c r="C115" s="55" t="s">
        <v>144</v>
      </c>
      <c r="D115" s="58">
        <v>7</v>
      </c>
      <c r="E115" s="57">
        <v>0</v>
      </c>
    </row>
    <row r="116" spans="2:5" ht="15" customHeight="1">
      <c r="B116" s="90"/>
      <c r="C116" s="55" t="s">
        <v>150</v>
      </c>
      <c r="D116" s="58">
        <v>1</v>
      </c>
      <c r="E116" s="57">
        <v>0</v>
      </c>
    </row>
    <row r="117" spans="2:5" ht="15" customHeight="1">
      <c r="B117" s="90"/>
      <c r="C117" s="55" t="s">
        <v>152</v>
      </c>
      <c r="D117" s="58">
        <v>2</v>
      </c>
      <c r="E117" s="57">
        <v>0</v>
      </c>
    </row>
    <row r="118" spans="2:5" ht="15" customHeight="1">
      <c r="B118" s="90"/>
      <c r="C118" s="55" t="s">
        <v>173</v>
      </c>
      <c r="D118" s="58">
        <v>1</v>
      </c>
      <c r="E118" s="57">
        <v>0</v>
      </c>
    </row>
    <row r="119" spans="2:5" ht="15" customHeight="1">
      <c r="B119" s="90"/>
      <c r="C119" s="55" t="s">
        <v>154</v>
      </c>
      <c r="D119" s="58">
        <v>1</v>
      </c>
      <c r="E119" s="57">
        <v>0</v>
      </c>
    </row>
    <row r="120" spans="2:5" ht="15" customHeight="1">
      <c r="B120" s="90"/>
      <c r="C120" s="55" t="s">
        <v>166</v>
      </c>
      <c r="D120" s="58">
        <v>1</v>
      </c>
      <c r="E120" s="57">
        <v>0</v>
      </c>
    </row>
    <row r="121" spans="2:5" ht="15" customHeight="1">
      <c r="B121" s="91"/>
      <c r="C121" s="72" t="s">
        <v>284</v>
      </c>
      <c r="D121" s="73">
        <v>16</v>
      </c>
      <c r="E121" s="71">
        <v>1E-3</v>
      </c>
    </row>
    <row r="122" spans="2:5" ht="15" customHeight="1">
      <c r="B122" s="89" t="s">
        <v>92</v>
      </c>
      <c r="C122" s="55" t="s">
        <v>144</v>
      </c>
      <c r="D122" s="58">
        <v>1</v>
      </c>
      <c r="E122" s="57">
        <v>0</v>
      </c>
    </row>
    <row r="123" spans="2:5" ht="15" customHeight="1">
      <c r="B123" s="90"/>
      <c r="C123" s="55" t="s">
        <v>155</v>
      </c>
      <c r="D123" s="58">
        <v>1</v>
      </c>
      <c r="E123" s="57">
        <v>0</v>
      </c>
    </row>
    <row r="124" spans="2:5" ht="15" customHeight="1">
      <c r="B124" s="90"/>
      <c r="C124" s="55" t="s">
        <v>156</v>
      </c>
      <c r="D124" s="58">
        <v>1</v>
      </c>
      <c r="E124" s="57">
        <v>0</v>
      </c>
    </row>
    <row r="125" spans="2:5" ht="15" customHeight="1">
      <c r="B125" s="91"/>
      <c r="C125" s="72" t="s">
        <v>284</v>
      </c>
      <c r="D125" s="73">
        <v>3</v>
      </c>
      <c r="E125" s="71">
        <v>0</v>
      </c>
    </row>
    <row r="126" spans="2:5" ht="15" customHeight="1">
      <c r="B126" s="89" t="s">
        <v>44</v>
      </c>
      <c r="C126" s="55" t="s">
        <v>140</v>
      </c>
      <c r="D126" s="58">
        <v>46</v>
      </c>
      <c r="E126" s="57">
        <v>3.0000000000000001E-3</v>
      </c>
    </row>
    <row r="127" spans="2:5" ht="15" customHeight="1">
      <c r="B127" s="90"/>
      <c r="C127" s="55" t="s">
        <v>169</v>
      </c>
      <c r="D127" s="58">
        <v>13</v>
      </c>
      <c r="E127" s="57">
        <v>1E-3</v>
      </c>
    </row>
    <row r="128" spans="2:5" ht="15" customHeight="1">
      <c r="B128" s="90"/>
      <c r="C128" s="55" t="s">
        <v>141</v>
      </c>
      <c r="D128" s="58">
        <v>75</v>
      </c>
      <c r="E128" s="57">
        <v>5.0000000000000001E-3</v>
      </c>
    </row>
    <row r="129" spans="2:5" ht="15" customHeight="1">
      <c r="B129" s="90"/>
      <c r="C129" s="55" t="s">
        <v>142</v>
      </c>
      <c r="D129" s="58">
        <v>92</v>
      </c>
      <c r="E129" s="57">
        <v>6.0000000000000001E-3</v>
      </c>
    </row>
    <row r="130" spans="2:5" ht="15" customHeight="1">
      <c r="B130" s="90"/>
      <c r="C130" s="55" t="s">
        <v>157</v>
      </c>
      <c r="D130" s="58">
        <v>11</v>
      </c>
      <c r="E130" s="57">
        <v>1E-3</v>
      </c>
    </row>
    <row r="131" spans="2:5" ht="15" customHeight="1">
      <c r="B131" s="90"/>
      <c r="C131" s="55" t="s">
        <v>143</v>
      </c>
      <c r="D131" s="58">
        <v>292</v>
      </c>
      <c r="E131" s="57">
        <v>1.9E-2</v>
      </c>
    </row>
    <row r="132" spans="2:5" ht="39.950000000000003" customHeight="1">
      <c r="B132" s="90"/>
      <c r="C132" s="55" t="s">
        <v>144</v>
      </c>
      <c r="D132" s="58">
        <v>927</v>
      </c>
      <c r="E132" s="57">
        <v>0.06</v>
      </c>
    </row>
    <row r="133" spans="2:5" ht="15" customHeight="1">
      <c r="B133" s="90"/>
      <c r="C133" s="55" t="s">
        <v>145</v>
      </c>
      <c r="D133" s="58">
        <v>65</v>
      </c>
      <c r="E133" s="57">
        <v>4.0000000000000001E-3</v>
      </c>
    </row>
    <row r="134" spans="2:5" ht="15" customHeight="1">
      <c r="B134" s="90"/>
      <c r="C134" s="55" t="s">
        <v>158</v>
      </c>
      <c r="D134" s="58">
        <v>2</v>
      </c>
      <c r="E134" s="57">
        <v>0</v>
      </c>
    </row>
    <row r="135" spans="2:5" ht="15" customHeight="1">
      <c r="B135" s="90"/>
      <c r="C135" s="55" t="s">
        <v>159</v>
      </c>
      <c r="D135" s="58">
        <v>8</v>
      </c>
      <c r="E135" s="57">
        <v>1E-3</v>
      </c>
    </row>
    <row r="136" spans="2:5" ht="15" customHeight="1">
      <c r="B136" s="90"/>
      <c r="C136" s="55" t="s">
        <v>146</v>
      </c>
      <c r="D136" s="58">
        <v>81</v>
      </c>
      <c r="E136" s="57">
        <v>5.0000000000000001E-3</v>
      </c>
    </row>
    <row r="137" spans="2:5" ht="15" customHeight="1">
      <c r="B137" s="90"/>
      <c r="C137" s="55" t="s">
        <v>147</v>
      </c>
      <c r="D137" s="58">
        <v>258</v>
      </c>
      <c r="E137" s="57">
        <v>1.7000000000000001E-2</v>
      </c>
    </row>
    <row r="138" spans="2:5" ht="15" customHeight="1">
      <c r="B138" s="90"/>
      <c r="C138" s="55" t="s">
        <v>160</v>
      </c>
      <c r="D138" s="58">
        <v>11</v>
      </c>
      <c r="E138" s="57">
        <v>1E-3</v>
      </c>
    </row>
    <row r="139" spans="2:5" ht="15" customHeight="1">
      <c r="B139" s="90"/>
      <c r="C139" s="55" t="s">
        <v>161</v>
      </c>
      <c r="D139" s="58">
        <v>33</v>
      </c>
      <c r="E139" s="57">
        <v>2E-3</v>
      </c>
    </row>
    <row r="140" spans="2:5" ht="15" customHeight="1">
      <c r="B140" s="90"/>
      <c r="C140" s="55" t="s">
        <v>162</v>
      </c>
      <c r="D140" s="58">
        <v>32</v>
      </c>
      <c r="E140" s="57">
        <v>2E-3</v>
      </c>
    </row>
    <row r="141" spans="2:5" ht="15" customHeight="1">
      <c r="B141" s="90"/>
      <c r="C141" s="55" t="s">
        <v>148</v>
      </c>
      <c r="D141" s="58">
        <v>13</v>
      </c>
      <c r="E141" s="57">
        <v>1E-3</v>
      </c>
    </row>
    <row r="142" spans="2:5" ht="15" customHeight="1">
      <c r="B142" s="90"/>
      <c r="C142" s="55" t="s">
        <v>149</v>
      </c>
      <c r="D142" s="58">
        <v>166</v>
      </c>
      <c r="E142" s="57">
        <v>1.0999999999999999E-2</v>
      </c>
    </row>
    <row r="143" spans="2:5" ht="15" customHeight="1">
      <c r="B143" s="90"/>
      <c r="C143" s="55" t="s">
        <v>150</v>
      </c>
      <c r="D143" s="58">
        <v>145</v>
      </c>
      <c r="E143" s="57">
        <v>8.9999999999999993E-3</v>
      </c>
    </row>
    <row r="144" spans="2:5" ht="15" customHeight="1">
      <c r="B144" s="90"/>
      <c r="C144" s="55" t="s">
        <v>163</v>
      </c>
      <c r="D144" s="58">
        <v>5</v>
      </c>
      <c r="E144" s="57">
        <v>0</v>
      </c>
    </row>
    <row r="145" spans="2:5" ht="15" customHeight="1">
      <c r="B145" s="90"/>
      <c r="C145" s="55" t="s">
        <v>164</v>
      </c>
      <c r="D145" s="58">
        <v>39</v>
      </c>
      <c r="E145" s="57">
        <v>3.0000000000000001E-3</v>
      </c>
    </row>
    <row r="146" spans="2:5" ht="15" customHeight="1">
      <c r="B146" s="90"/>
      <c r="C146" s="55" t="s">
        <v>151</v>
      </c>
      <c r="D146" s="58">
        <v>17</v>
      </c>
      <c r="E146" s="57">
        <v>1E-3</v>
      </c>
    </row>
    <row r="147" spans="2:5" ht="15" customHeight="1">
      <c r="B147" s="90"/>
      <c r="C147" s="55" t="s">
        <v>152</v>
      </c>
      <c r="D147" s="58">
        <v>29</v>
      </c>
      <c r="E147" s="57">
        <v>2E-3</v>
      </c>
    </row>
    <row r="148" spans="2:5" ht="15" customHeight="1">
      <c r="B148" s="90"/>
      <c r="C148" s="55" t="s">
        <v>165</v>
      </c>
      <c r="D148" s="58">
        <v>10</v>
      </c>
      <c r="E148" s="57">
        <v>1E-3</v>
      </c>
    </row>
    <row r="149" spans="2:5" ht="15" customHeight="1">
      <c r="B149" s="90"/>
      <c r="C149" s="55" t="s">
        <v>153</v>
      </c>
      <c r="D149" s="58">
        <v>79</v>
      </c>
      <c r="E149" s="57">
        <v>5.0000000000000001E-3</v>
      </c>
    </row>
    <row r="150" spans="2:5" ht="15" customHeight="1">
      <c r="B150" s="90"/>
      <c r="C150" s="55" t="s">
        <v>154</v>
      </c>
      <c r="D150" s="58">
        <v>102</v>
      </c>
      <c r="E150" s="57">
        <v>7.0000000000000001E-3</v>
      </c>
    </row>
    <row r="151" spans="2:5" ht="15" customHeight="1">
      <c r="B151" s="90"/>
      <c r="C151" s="55" t="s">
        <v>170</v>
      </c>
      <c r="D151" s="58">
        <v>10</v>
      </c>
      <c r="E151" s="57">
        <v>1E-3</v>
      </c>
    </row>
    <row r="152" spans="2:5" ht="15" customHeight="1">
      <c r="B152" s="90"/>
      <c r="C152" s="55" t="s">
        <v>174</v>
      </c>
      <c r="D152" s="58">
        <v>2</v>
      </c>
      <c r="E152" s="57">
        <v>0</v>
      </c>
    </row>
    <row r="153" spans="2:5" ht="15" customHeight="1">
      <c r="B153" s="90"/>
      <c r="C153" s="55" t="s">
        <v>166</v>
      </c>
      <c r="D153" s="58">
        <v>57</v>
      </c>
      <c r="E153" s="57">
        <v>4.0000000000000001E-3</v>
      </c>
    </row>
    <row r="154" spans="2:5" ht="15" customHeight="1">
      <c r="B154" s="90"/>
      <c r="C154" s="55" t="s">
        <v>155</v>
      </c>
      <c r="D154" s="58">
        <v>151</v>
      </c>
      <c r="E154" s="57">
        <v>0.01</v>
      </c>
    </row>
    <row r="155" spans="2:5" ht="15" customHeight="1">
      <c r="B155" s="90"/>
      <c r="C155" s="55" t="s">
        <v>167</v>
      </c>
      <c r="D155" s="58">
        <v>23</v>
      </c>
      <c r="E155" s="57">
        <v>1E-3</v>
      </c>
    </row>
    <row r="156" spans="2:5" ht="15" customHeight="1">
      <c r="B156" s="90"/>
      <c r="C156" s="55" t="s">
        <v>156</v>
      </c>
      <c r="D156" s="58">
        <v>137</v>
      </c>
      <c r="E156" s="57">
        <v>8.9999999999999993E-3</v>
      </c>
    </row>
    <row r="157" spans="2:5" ht="15" customHeight="1">
      <c r="B157" s="90"/>
      <c r="C157" s="55" t="s">
        <v>175</v>
      </c>
      <c r="D157" s="58">
        <v>1</v>
      </c>
      <c r="E157" s="57">
        <v>0</v>
      </c>
    </row>
    <row r="158" spans="2:5" ht="15" customHeight="1">
      <c r="B158" s="90"/>
      <c r="C158" s="55" t="s">
        <v>168</v>
      </c>
      <c r="D158" s="58">
        <v>4</v>
      </c>
      <c r="E158" s="57">
        <v>0</v>
      </c>
    </row>
    <row r="159" spans="2:5" ht="15" customHeight="1">
      <c r="B159" s="91"/>
      <c r="C159" s="72" t="s">
        <v>284</v>
      </c>
      <c r="D159" s="73">
        <v>2936</v>
      </c>
      <c r="E159" s="71">
        <v>0.19</v>
      </c>
    </row>
    <row r="160" spans="2:5" ht="15" customHeight="1">
      <c r="B160" s="89" t="s">
        <v>50</v>
      </c>
      <c r="C160" s="55" t="s">
        <v>140</v>
      </c>
      <c r="D160" s="58">
        <v>10</v>
      </c>
      <c r="E160" s="57">
        <v>1E-3</v>
      </c>
    </row>
    <row r="161" spans="2:5" ht="15" customHeight="1">
      <c r="B161" s="90"/>
      <c r="C161" s="55" t="s">
        <v>169</v>
      </c>
      <c r="D161" s="58">
        <v>4</v>
      </c>
      <c r="E161" s="57">
        <v>0</v>
      </c>
    </row>
    <row r="162" spans="2:5" ht="15" customHeight="1">
      <c r="B162" s="90"/>
      <c r="C162" s="55" t="s">
        <v>141</v>
      </c>
      <c r="D162" s="58">
        <v>9</v>
      </c>
      <c r="E162" s="57">
        <v>1E-3</v>
      </c>
    </row>
    <row r="163" spans="2:5" ht="15" customHeight="1">
      <c r="B163" s="90"/>
      <c r="C163" s="55" t="s">
        <v>142</v>
      </c>
      <c r="D163" s="58">
        <v>23</v>
      </c>
      <c r="E163" s="57">
        <v>1E-3</v>
      </c>
    </row>
    <row r="164" spans="2:5" ht="15" customHeight="1">
      <c r="B164" s="90"/>
      <c r="C164" s="55" t="s">
        <v>157</v>
      </c>
      <c r="D164" s="58">
        <v>16</v>
      </c>
      <c r="E164" s="57">
        <v>1E-3</v>
      </c>
    </row>
    <row r="165" spans="2:5" ht="15" customHeight="1">
      <c r="B165" s="90"/>
      <c r="C165" s="55" t="s">
        <v>143</v>
      </c>
      <c r="D165" s="58">
        <v>44</v>
      </c>
      <c r="E165" s="57">
        <v>3.0000000000000001E-3</v>
      </c>
    </row>
    <row r="166" spans="2:5" ht="15" customHeight="1">
      <c r="B166" s="90"/>
      <c r="C166" s="55" t="s">
        <v>144</v>
      </c>
      <c r="D166" s="58">
        <v>151</v>
      </c>
      <c r="E166" s="57">
        <v>0.01</v>
      </c>
    </row>
    <row r="167" spans="2:5" ht="15" customHeight="1">
      <c r="B167" s="90"/>
      <c r="C167" s="55" t="s">
        <v>145</v>
      </c>
      <c r="D167" s="58">
        <v>10</v>
      </c>
      <c r="E167" s="57">
        <v>1E-3</v>
      </c>
    </row>
    <row r="168" spans="2:5" ht="15" customHeight="1">
      <c r="B168" s="90"/>
      <c r="C168" s="55" t="s">
        <v>159</v>
      </c>
      <c r="D168" s="58">
        <v>5</v>
      </c>
      <c r="E168" s="57">
        <v>0</v>
      </c>
    </row>
    <row r="169" spans="2:5" ht="15" customHeight="1">
      <c r="B169" s="90"/>
      <c r="C169" s="55" t="s">
        <v>146</v>
      </c>
      <c r="D169" s="58">
        <v>9</v>
      </c>
      <c r="E169" s="57">
        <v>1E-3</v>
      </c>
    </row>
    <row r="170" spans="2:5" ht="15" customHeight="1">
      <c r="B170" s="90"/>
      <c r="C170" s="55" t="s">
        <v>147</v>
      </c>
      <c r="D170" s="58">
        <v>22</v>
      </c>
      <c r="E170" s="57">
        <v>1E-3</v>
      </c>
    </row>
    <row r="171" spans="2:5" ht="15" customHeight="1">
      <c r="B171" s="90"/>
      <c r="C171" s="55" t="s">
        <v>160</v>
      </c>
      <c r="D171" s="58">
        <v>6</v>
      </c>
      <c r="E171" s="57">
        <v>0</v>
      </c>
    </row>
    <row r="172" spans="2:5" ht="15" customHeight="1">
      <c r="B172" s="90"/>
      <c r="C172" s="55" t="s">
        <v>161</v>
      </c>
      <c r="D172" s="58">
        <v>10</v>
      </c>
      <c r="E172" s="57">
        <v>1E-3</v>
      </c>
    </row>
    <row r="173" spans="2:5" ht="15" customHeight="1">
      <c r="B173" s="90"/>
      <c r="C173" s="55" t="s">
        <v>162</v>
      </c>
      <c r="D173" s="58">
        <v>19</v>
      </c>
      <c r="E173" s="57">
        <v>1E-3</v>
      </c>
    </row>
    <row r="174" spans="2:5" ht="15" customHeight="1">
      <c r="B174" s="90"/>
      <c r="C174" s="55" t="s">
        <v>148</v>
      </c>
      <c r="D174" s="58">
        <v>28</v>
      </c>
      <c r="E174" s="57">
        <v>2E-3</v>
      </c>
    </row>
    <row r="175" spans="2:5" ht="15" customHeight="1">
      <c r="B175" s="90"/>
      <c r="C175" s="55" t="s">
        <v>149</v>
      </c>
      <c r="D175" s="58">
        <v>17</v>
      </c>
      <c r="E175" s="57">
        <v>1E-3</v>
      </c>
    </row>
    <row r="176" spans="2:5" ht="15" customHeight="1">
      <c r="B176" s="90"/>
      <c r="C176" s="55" t="s">
        <v>150</v>
      </c>
      <c r="D176" s="58">
        <v>25</v>
      </c>
      <c r="E176" s="57">
        <v>2E-3</v>
      </c>
    </row>
    <row r="177" spans="2:5" ht="15" customHeight="1">
      <c r="B177" s="90"/>
      <c r="C177" s="55" t="s">
        <v>164</v>
      </c>
      <c r="D177" s="58">
        <v>52</v>
      </c>
      <c r="E177" s="57">
        <v>3.0000000000000001E-3</v>
      </c>
    </row>
    <row r="178" spans="2:5" ht="15" customHeight="1">
      <c r="B178" s="90"/>
      <c r="C178" s="55" t="s">
        <v>151</v>
      </c>
      <c r="D178" s="58">
        <v>2</v>
      </c>
      <c r="E178" s="57">
        <v>0</v>
      </c>
    </row>
    <row r="179" spans="2:5" ht="15" customHeight="1">
      <c r="B179" s="90"/>
      <c r="C179" s="55" t="s">
        <v>152</v>
      </c>
      <c r="D179" s="58">
        <v>9</v>
      </c>
      <c r="E179" s="57">
        <v>1E-3</v>
      </c>
    </row>
    <row r="180" spans="2:5" ht="15" customHeight="1">
      <c r="B180" s="90"/>
      <c r="C180" s="55" t="s">
        <v>165</v>
      </c>
      <c r="D180" s="58">
        <v>6</v>
      </c>
      <c r="E180" s="57">
        <v>0</v>
      </c>
    </row>
    <row r="181" spans="2:5" ht="15" customHeight="1">
      <c r="B181" s="90"/>
      <c r="C181" s="55" t="s">
        <v>173</v>
      </c>
      <c r="D181" s="58">
        <v>1</v>
      </c>
      <c r="E181" s="57">
        <v>0</v>
      </c>
    </row>
    <row r="182" spans="2:5" ht="15" customHeight="1">
      <c r="B182" s="90"/>
      <c r="C182" s="55" t="s">
        <v>153</v>
      </c>
      <c r="D182" s="58">
        <v>4</v>
      </c>
      <c r="E182" s="57">
        <v>0</v>
      </c>
    </row>
    <row r="183" spans="2:5" ht="15" customHeight="1">
      <c r="B183" s="90"/>
      <c r="C183" s="55" t="s">
        <v>154</v>
      </c>
      <c r="D183" s="58">
        <v>9</v>
      </c>
      <c r="E183" s="57">
        <v>1E-3</v>
      </c>
    </row>
    <row r="184" spans="2:5" ht="15" customHeight="1">
      <c r="B184" s="90"/>
      <c r="C184" s="55" t="s">
        <v>166</v>
      </c>
      <c r="D184" s="58">
        <v>10</v>
      </c>
      <c r="E184" s="57">
        <v>1E-3</v>
      </c>
    </row>
    <row r="185" spans="2:5" ht="15" customHeight="1">
      <c r="B185" s="90"/>
      <c r="C185" s="55" t="s">
        <v>155</v>
      </c>
      <c r="D185" s="58">
        <v>14</v>
      </c>
      <c r="E185" s="57">
        <v>1E-3</v>
      </c>
    </row>
    <row r="186" spans="2:5" ht="15" customHeight="1">
      <c r="B186" s="90"/>
      <c r="C186" s="55" t="s">
        <v>167</v>
      </c>
      <c r="D186" s="58">
        <v>8</v>
      </c>
      <c r="E186" s="57">
        <v>1E-3</v>
      </c>
    </row>
    <row r="187" spans="2:5" ht="15" customHeight="1">
      <c r="B187" s="90"/>
      <c r="C187" s="55" t="s">
        <v>156</v>
      </c>
      <c r="D187" s="58">
        <v>20</v>
      </c>
      <c r="E187" s="57">
        <v>1E-3</v>
      </c>
    </row>
    <row r="188" spans="2:5" ht="15" customHeight="1">
      <c r="B188" s="90"/>
      <c r="C188" s="55" t="s">
        <v>168</v>
      </c>
      <c r="D188" s="58">
        <v>1</v>
      </c>
      <c r="E188" s="57">
        <v>0</v>
      </c>
    </row>
    <row r="189" spans="2:5" ht="15" customHeight="1">
      <c r="B189" s="91"/>
      <c r="C189" s="72" t="s">
        <v>284</v>
      </c>
      <c r="D189" s="73">
        <v>544</v>
      </c>
      <c r="E189" s="71">
        <v>3.5000000000000003E-2</v>
      </c>
    </row>
    <row r="190" spans="2:5" ht="15" customHeight="1">
      <c r="B190" s="89" t="s">
        <v>89</v>
      </c>
      <c r="C190" s="55" t="s">
        <v>144</v>
      </c>
      <c r="D190" s="58">
        <v>1</v>
      </c>
      <c r="E190" s="57">
        <v>0</v>
      </c>
    </row>
    <row r="191" spans="2:5" ht="15" customHeight="1">
      <c r="B191" s="91"/>
      <c r="C191" s="72" t="s">
        <v>284</v>
      </c>
      <c r="D191" s="73">
        <v>1</v>
      </c>
      <c r="E191" s="71">
        <v>0</v>
      </c>
    </row>
    <row r="192" spans="2:5" ht="15" customHeight="1">
      <c r="B192" s="89" t="s">
        <v>61</v>
      </c>
      <c r="C192" s="55" t="s">
        <v>140</v>
      </c>
      <c r="D192" s="58">
        <v>2</v>
      </c>
      <c r="E192" s="57">
        <v>0</v>
      </c>
    </row>
    <row r="193" spans="2:5" ht="15" customHeight="1">
      <c r="B193" s="90"/>
      <c r="C193" s="55" t="s">
        <v>141</v>
      </c>
      <c r="D193" s="58">
        <v>4</v>
      </c>
      <c r="E193" s="57">
        <v>0</v>
      </c>
    </row>
    <row r="194" spans="2:5" ht="15" customHeight="1">
      <c r="B194" s="90"/>
      <c r="C194" s="55" t="s">
        <v>142</v>
      </c>
      <c r="D194" s="58">
        <v>10</v>
      </c>
      <c r="E194" s="57">
        <v>1E-3</v>
      </c>
    </row>
    <row r="195" spans="2:5" ht="15" customHeight="1">
      <c r="B195" s="90"/>
      <c r="C195" s="55" t="s">
        <v>157</v>
      </c>
      <c r="D195" s="58">
        <v>1</v>
      </c>
      <c r="E195" s="57">
        <v>0</v>
      </c>
    </row>
    <row r="196" spans="2:5" ht="15" customHeight="1">
      <c r="B196" s="90"/>
      <c r="C196" s="55" t="s">
        <v>143</v>
      </c>
      <c r="D196" s="58">
        <v>12</v>
      </c>
      <c r="E196" s="57">
        <v>1E-3</v>
      </c>
    </row>
    <row r="197" spans="2:5" ht="15" customHeight="1">
      <c r="B197" s="90"/>
      <c r="C197" s="55" t="s">
        <v>144</v>
      </c>
      <c r="D197" s="58">
        <v>30</v>
      </c>
      <c r="E197" s="57">
        <v>2E-3</v>
      </c>
    </row>
    <row r="198" spans="2:5" ht="15" customHeight="1">
      <c r="B198" s="90"/>
      <c r="C198" s="55" t="s">
        <v>257</v>
      </c>
      <c r="D198" s="58">
        <v>14</v>
      </c>
      <c r="E198" s="57">
        <v>1E-3</v>
      </c>
    </row>
    <row r="199" spans="2:5" ht="15" customHeight="1">
      <c r="B199" s="90"/>
      <c r="C199" s="55" t="s">
        <v>145</v>
      </c>
      <c r="D199" s="58">
        <v>4</v>
      </c>
      <c r="E199" s="57">
        <v>0</v>
      </c>
    </row>
    <row r="200" spans="2:5" ht="15" customHeight="1">
      <c r="B200" s="90"/>
      <c r="C200" s="55" t="s">
        <v>146</v>
      </c>
      <c r="D200" s="58">
        <v>3</v>
      </c>
      <c r="E200" s="57">
        <v>0</v>
      </c>
    </row>
    <row r="201" spans="2:5" ht="15" customHeight="1">
      <c r="B201" s="90"/>
      <c r="C201" s="55" t="s">
        <v>147</v>
      </c>
      <c r="D201" s="58">
        <v>29</v>
      </c>
      <c r="E201" s="57">
        <v>2E-3</v>
      </c>
    </row>
    <row r="202" spans="2:5" ht="15" customHeight="1">
      <c r="B202" s="90"/>
      <c r="C202" s="55" t="s">
        <v>149</v>
      </c>
      <c r="D202" s="58">
        <v>4</v>
      </c>
      <c r="E202" s="57">
        <v>0</v>
      </c>
    </row>
    <row r="203" spans="2:5" ht="15" customHeight="1">
      <c r="B203" s="90"/>
      <c r="C203" s="55" t="s">
        <v>150</v>
      </c>
      <c r="D203" s="58">
        <v>2</v>
      </c>
      <c r="E203" s="57">
        <v>0</v>
      </c>
    </row>
    <row r="204" spans="2:5" ht="15" customHeight="1">
      <c r="B204" s="90"/>
      <c r="C204" s="55" t="s">
        <v>163</v>
      </c>
      <c r="D204" s="58">
        <v>2</v>
      </c>
      <c r="E204" s="57">
        <v>0</v>
      </c>
    </row>
    <row r="205" spans="2:5" ht="15" customHeight="1">
      <c r="B205" s="90"/>
      <c r="C205" s="55" t="s">
        <v>164</v>
      </c>
      <c r="D205" s="58">
        <v>4</v>
      </c>
      <c r="E205" s="57">
        <v>0</v>
      </c>
    </row>
    <row r="206" spans="2:5" ht="15" customHeight="1">
      <c r="B206" s="90"/>
      <c r="C206" s="55" t="s">
        <v>153</v>
      </c>
      <c r="D206" s="58">
        <v>23</v>
      </c>
      <c r="E206" s="57">
        <v>1E-3</v>
      </c>
    </row>
    <row r="207" spans="2:5" ht="15" customHeight="1">
      <c r="B207" s="90"/>
      <c r="C207" s="55" t="s">
        <v>154</v>
      </c>
      <c r="D207" s="58">
        <v>25</v>
      </c>
      <c r="E207" s="57">
        <v>2E-3</v>
      </c>
    </row>
    <row r="208" spans="2:5" ht="15" customHeight="1">
      <c r="B208" s="90"/>
      <c r="C208" s="55" t="s">
        <v>170</v>
      </c>
      <c r="D208" s="58">
        <v>1</v>
      </c>
      <c r="E208" s="57">
        <v>0</v>
      </c>
    </row>
    <row r="209" spans="2:5" ht="15" customHeight="1">
      <c r="B209" s="90"/>
      <c r="C209" s="55" t="s">
        <v>166</v>
      </c>
      <c r="D209" s="58">
        <v>2</v>
      </c>
      <c r="E209" s="57">
        <v>0</v>
      </c>
    </row>
    <row r="210" spans="2:5" ht="15" customHeight="1">
      <c r="B210" s="90"/>
      <c r="C210" s="55" t="s">
        <v>155</v>
      </c>
      <c r="D210" s="58">
        <v>6</v>
      </c>
      <c r="E210" s="57">
        <v>0</v>
      </c>
    </row>
    <row r="211" spans="2:5" ht="15" customHeight="1">
      <c r="B211" s="90"/>
      <c r="C211" s="55" t="s">
        <v>156</v>
      </c>
      <c r="D211" s="58">
        <v>26</v>
      </c>
      <c r="E211" s="57">
        <v>2E-3</v>
      </c>
    </row>
    <row r="212" spans="2:5" ht="15" customHeight="1">
      <c r="B212" s="91"/>
      <c r="C212" s="72" t="s">
        <v>284</v>
      </c>
      <c r="D212" s="73">
        <v>204</v>
      </c>
      <c r="E212" s="71">
        <v>1.2999999999999999E-2</v>
      </c>
    </row>
    <row r="213" spans="2:5" ht="15" customHeight="1">
      <c r="B213" s="89" t="s">
        <v>62</v>
      </c>
      <c r="C213" s="55" t="s">
        <v>140</v>
      </c>
      <c r="D213" s="58">
        <v>1</v>
      </c>
      <c r="E213" s="57">
        <v>0</v>
      </c>
    </row>
    <row r="214" spans="2:5" ht="15" customHeight="1">
      <c r="B214" s="90"/>
      <c r="C214" s="55" t="s">
        <v>169</v>
      </c>
      <c r="D214" s="58">
        <v>4</v>
      </c>
      <c r="E214" s="57">
        <v>0</v>
      </c>
    </row>
    <row r="215" spans="2:5" ht="15" customHeight="1">
      <c r="B215" s="90"/>
      <c r="C215" s="55" t="s">
        <v>141</v>
      </c>
      <c r="D215" s="58">
        <v>9</v>
      </c>
      <c r="E215" s="57">
        <v>1E-3</v>
      </c>
    </row>
    <row r="216" spans="2:5" ht="15" customHeight="1">
      <c r="B216" s="90"/>
      <c r="C216" s="55" t="s">
        <v>142</v>
      </c>
      <c r="D216" s="58">
        <v>13</v>
      </c>
      <c r="E216" s="57">
        <v>1E-3</v>
      </c>
    </row>
    <row r="217" spans="2:5" ht="15" customHeight="1">
      <c r="B217" s="90"/>
      <c r="C217" s="55" t="s">
        <v>143</v>
      </c>
      <c r="D217" s="58">
        <v>29</v>
      </c>
      <c r="E217" s="57">
        <v>2E-3</v>
      </c>
    </row>
    <row r="218" spans="2:5" ht="15" customHeight="1">
      <c r="B218" s="90"/>
      <c r="C218" s="55" t="s">
        <v>144</v>
      </c>
      <c r="D218" s="58">
        <v>48</v>
      </c>
      <c r="E218" s="57">
        <v>3.0000000000000001E-3</v>
      </c>
    </row>
    <row r="219" spans="2:5" ht="15" customHeight="1">
      <c r="B219" s="90"/>
      <c r="C219" s="55" t="s">
        <v>257</v>
      </c>
      <c r="D219" s="58">
        <v>2</v>
      </c>
      <c r="E219" s="57">
        <v>0</v>
      </c>
    </row>
    <row r="220" spans="2:5" ht="15" customHeight="1">
      <c r="B220" s="90"/>
      <c r="C220" s="55" t="s">
        <v>145</v>
      </c>
      <c r="D220" s="58">
        <v>4</v>
      </c>
      <c r="E220" s="57">
        <v>0</v>
      </c>
    </row>
    <row r="221" spans="2:5" ht="15" customHeight="1">
      <c r="B221" s="90"/>
      <c r="C221" s="55" t="s">
        <v>159</v>
      </c>
      <c r="D221" s="58">
        <v>1</v>
      </c>
      <c r="E221" s="57">
        <v>0</v>
      </c>
    </row>
    <row r="222" spans="2:5" ht="15" customHeight="1">
      <c r="B222" s="90"/>
      <c r="C222" s="55" t="s">
        <v>146</v>
      </c>
      <c r="D222" s="58">
        <v>1</v>
      </c>
      <c r="E222" s="57">
        <v>0</v>
      </c>
    </row>
    <row r="223" spans="2:5" ht="15" customHeight="1">
      <c r="B223" s="90"/>
      <c r="C223" s="55" t="s">
        <v>147</v>
      </c>
      <c r="D223" s="58">
        <v>9</v>
      </c>
      <c r="E223" s="57">
        <v>1E-3</v>
      </c>
    </row>
    <row r="224" spans="2:5" ht="15" customHeight="1">
      <c r="B224" s="90"/>
      <c r="C224" s="55" t="s">
        <v>160</v>
      </c>
      <c r="D224" s="58">
        <v>9</v>
      </c>
      <c r="E224" s="57">
        <v>1E-3</v>
      </c>
    </row>
    <row r="225" spans="2:5" ht="15" customHeight="1">
      <c r="B225" s="90"/>
      <c r="C225" s="55" t="s">
        <v>162</v>
      </c>
      <c r="D225" s="58">
        <v>4</v>
      </c>
      <c r="E225" s="57">
        <v>0</v>
      </c>
    </row>
    <row r="226" spans="2:5" ht="15" customHeight="1">
      <c r="B226" s="90"/>
      <c r="C226" s="55" t="s">
        <v>148</v>
      </c>
      <c r="D226" s="58">
        <v>4</v>
      </c>
      <c r="E226" s="57">
        <v>0</v>
      </c>
    </row>
    <row r="227" spans="2:5" ht="15" customHeight="1">
      <c r="B227" s="90"/>
      <c r="C227" s="55" t="s">
        <v>149</v>
      </c>
      <c r="D227" s="58">
        <v>11</v>
      </c>
      <c r="E227" s="57">
        <v>1E-3</v>
      </c>
    </row>
    <row r="228" spans="2:5" ht="15" customHeight="1">
      <c r="B228" s="90"/>
      <c r="C228" s="55" t="s">
        <v>150</v>
      </c>
      <c r="D228" s="58">
        <v>10</v>
      </c>
      <c r="E228" s="57">
        <v>1E-3</v>
      </c>
    </row>
    <row r="229" spans="2:5" ht="15" customHeight="1">
      <c r="B229" s="90"/>
      <c r="C229" s="55" t="s">
        <v>163</v>
      </c>
      <c r="D229" s="58">
        <v>8</v>
      </c>
      <c r="E229" s="57">
        <v>1E-3</v>
      </c>
    </row>
    <row r="230" spans="2:5" ht="15" customHeight="1">
      <c r="B230" s="90"/>
      <c r="C230" s="55" t="s">
        <v>164</v>
      </c>
      <c r="D230" s="58">
        <v>3</v>
      </c>
      <c r="E230" s="57">
        <v>0</v>
      </c>
    </row>
    <row r="231" spans="2:5" ht="15" customHeight="1">
      <c r="B231" s="90"/>
      <c r="C231" s="55" t="s">
        <v>151</v>
      </c>
      <c r="D231" s="58">
        <v>4</v>
      </c>
      <c r="E231" s="57">
        <v>0</v>
      </c>
    </row>
    <row r="232" spans="2:5" ht="15" customHeight="1">
      <c r="B232" s="90"/>
      <c r="C232" s="55" t="s">
        <v>152</v>
      </c>
      <c r="D232" s="58">
        <v>1</v>
      </c>
      <c r="E232" s="57">
        <v>0</v>
      </c>
    </row>
    <row r="233" spans="2:5" ht="15" customHeight="1">
      <c r="B233" s="90"/>
      <c r="C233" s="55" t="s">
        <v>165</v>
      </c>
      <c r="D233" s="58">
        <v>1</v>
      </c>
      <c r="E233" s="57">
        <v>0</v>
      </c>
    </row>
    <row r="234" spans="2:5" ht="15" customHeight="1">
      <c r="B234" s="90"/>
      <c r="C234" s="55" t="s">
        <v>153</v>
      </c>
      <c r="D234" s="58">
        <v>2</v>
      </c>
      <c r="E234" s="57">
        <v>0</v>
      </c>
    </row>
    <row r="235" spans="2:5" ht="15" customHeight="1">
      <c r="B235" s="90"/>
      <c r="C235" s="55" t="s">
        <v>154</v>
      </c>
      <c r="D235" s="58">
        <v>6</v>
      </c>
      <c r="E235" s="57">
        <v>0</v>
      </c>
    </row>
    <row r="236" spans="2:5" ht="15" customHeight="1">
      <c r="B236" s="90"/>
      <c r="C236" s="55" t="s">
        <v>170</v>
      </c>
      <c r="D236" s="58">
        <v>1</v>
      </c>
      <c r="E236" s="57">
        <v>0</v>
      </c>
    </row>
    <row r="237" spans="2:5" ht="15" customHeight="1">
      <c r="B237" s="90"/>
      <c r="C237" s="55" t="s">
        <v>166</v>
      </c>
      <c r="D237" s="58">
        <v>3</v>
      </c>
      <c r="E237" s="57">
        <v>0</v>
      </c>
    </row>
    <row r="238" spans="2:5" ht="15" customHeight="1">
      <c r="B238" s="90"/>
      <c r="C238" s="55" t="s">
        <v>155</v>
      </c>
      <c r="D238" s="58">
        <v>3</v>
      </c>
      <c r="E238" s="57">
        <v>0</v>
      </c>
    </row>
    <row r="239" spans="2:5" ht="15" customHeight="1">
      <c r="B239" s="90"/>
      <c r="C239" s="55" t="s">
        <v>167</v>
      </c>
      <c r="D239" s="58">
        <v>1</v>
      </c>
      <c r="E239" s="57">
        <v>0</v>
      </c>
    </row>
    <row r="240" spans="2:5" ht="15" customHeight="1">
      <c r="B240" s="90"/>
      <c r="C240" s="55" t="s">
        <v>156</v>
      </c>
      <c r="D240" s="58">
        <v>4</v>
      </c>
      <c r="E240" s="57">
        <v>0</v>
      </c>
    </row>
    <row r="241" spans="2:5" ht="15" customHeight="1">
      <c r="B241" s="90"/>
      <c r="C241" s="55" t="s">
        <v>175</v>
      </c>
      <c r="D241" s="58">
        <v>2</v>
      </c>
      <c r="E241" s="57">
        <v>0</v>
      </c>
    </row>
    <row r="242" spans="2:5" ht="15" customHeight="1">
      <c r="B242" s="90"/>
      <c r="C242" s="55" t="s">
        <v>168</v>
      </c>
      <c r="D242" s="58">
        <v>1</v>
      </c>
      <c r="E242" s="57">
        <v>0</v>
      </c>
    </row>
    <row r="243" spans="2:5" ht="15" customHeight="1">
      <c r="B243" s="91"/>
      <c r="C243" s="72" t="s">
        <v>284</v>
      </c>
      <c r="D243" s="73">
        <v>199</v>
      </c>
      <c r="E243" s="71">
        <v>1.2999999999999999E-2</v>
      </c>
    </row>
    <row r="244" spans="2:5" ht="15" customHeight="1">
      <c r="B244" s="89" t="s">
        <v>93</v>
      </c>
      <c r="C244" s="55" t="s">
        <v>143</v>
      </c>
      <c r="D244" s="58">
        <v>1</v>
      </c>
      <c r="E244" s="57">
        <v>0</v>
      </c>
    </row>
    <row r="245" spans="2:5" ht="15" customHeight="1">
      <c r="B245" s="91"/>
      <c r="C245" s="72" t="s">
        <v>284</v>
      </c>
      <c r="D245" s="73">
        <v>1</v>
      </c>
      <c r="E245" s="71">
        <v>0</v>
      </c>
    </row>
    <row r="246" spans="2:5" ht="15" customHeight="1">
      <c r="B246" s="89" t="s">
        <v>86</v>
      </c>
      <c r="C246" s="55" t="s">
        <v>144</v>
      </c>
      <c r="D246" s="58">
        <v>7</v>
      </c>
      <c r="E246" s="57">
        <v>0</v>
      </c>
    </row>
    <row r="247" spans="2:5" ht="15" customHeight="1">
      <c r="B247" s="90"/>
      <c r="C247" s="55" t="s">
        <v>147</v>
      </c>
      <c r="D247" s="58">
        <v>1</v>
      </c>
      <c r="E247" s="57">
        <v>0</v>
      </c>
    </row>
    <row r="248" spans="2:5" ht="15" customHeight="1">
      <c r="B248" s="90"/>
      <c r="C248" s="55" t="s">
        <v>150</v>
      </c>
      <c r="D248" s="58">
        <v>1</v>
      </c>
      <c r="E248" s="57">
        <v>0</v>
      </c>
    </row>
    <row r="249" spans="2:5" ht="15" customHeight="1">
      <c r="B249" s="90"/>
      <c r="C249" s="55" t="s">
        <v>155</v>
      </c>
      <c r="D249" s="58">
        <v>1</v>
      </c>
      <c r="E249" s="57">
        <v>0</v>
      </c>
    </row>
    <row r="250" spans="2:5" ht="15" customHeight="1">
      <c r="B250" s="91"/>
      <c r="C250" s="72" t="s">
        <v>284</v>
      </c>
      <c r="D250" s="73">
        <v>10</v>
      </c>
      <c r="E250" s="71">
        <v>1E-3</v>
      </c>
    </row>
    <row r="251" spans="2:5" ht="15" customHeight="1">
      <c r="B251" s="89" t="s">
        <v>58</v>
      </c>
      <c r="C251" s="55" t="s">
        <v>140</v>
      </c>
      <c r="D251" s="58">
        <v>3</v>
      </c>
      <c r="E251" s="57">
        <v>0</v>
      </c>
    </row>
    <row r="252" spans="2:5" ht="15" customHeight="1">
      <c r="B252" s="90"/>
      <c r="C252" s="55" t="s">
        <v>141</v>
      </c>
      <c r="D252" s="58">
        <v>6</v>
      </c>
      <c r="E252" s="57">
        <v>0</v>
      </c>
    </row>
    <row r="253" spans="2:5" ht="15" customHeight="1">
      <c r="B253" s="90"/>
      <c r="C253" s="55" t="s">
        <v>142</v>
      </c>
      <c r="D253" s="58">
        <v>10</v>
      </c>
      <c r="E253" s="57">
        <v>1E-3</v>
      </c>
    </row>
    <row r="254" spans="2:5" ht="15" customHeight="1">
      <c r="B254" s="90"/>
      <c r="C254" s="55" t="s">
        <v>157</v>
      </c>
      <c r="D254" s="58">
        <v>1</v>
      </c>
      <c r="E254" s="57">
        <v>0</v>
      </c>
    </row>
    <row r="255" spans="2:5" ht="15" customHeight="1">
      <c r="B255" s="90"/>
      <c r="C255" s="55" t="s">
        <v>143</v>
      </c>
      <c r="D255" s="58">
        <v>32</v>
      </c>
      <c r="E255" s="57">
        <v>2E-3</v>
      </c>
    </row>
    <row r="256" spans="2:5" ht="15" customHeight="1">
      <c r="B256" s="90"/>
      <c r="C256" s="55" t="s">
        <v>144</v>
      </c>
      <c r="D256" s="58">
        <v>39</v>
      </c>
      <c r="E256" s="57">
        <v>3.0000000000000001E-3</v>
      </c>
    </row>
    <row r="257" spans="2:5" ht="15" customHeight="1">
      <c r="B257" s="90"/>
      <c r="C257" s="55" t="s">
        <v>257</v>
      </c>
      <c r="D257" s="58">
        <v>1</v>
      </c>
      <c r="E257" s="57">
        <v>0</v>
      </c>
    </row>
    <row r="258" spans="2:5" ht="15" customHeight="1">
      <c r="B258" s="90"/>
      <c r="C258" s="55" t="s">
        <v>145</v>
      </c>
      <c r="D258" s="58">
        <v>6</v>
      </c>
      <c r="E258" s="57">
        <v>0</v>
      </c>
    </row>
    <row r="259" spans="2:5" ht="15" customHeight="1">
      <c r="B259" s="90"/>
      <c r="C259" s="55" t="s">
        <v>159</v>
      </c>
      <c r="D259" s="58">
        <v>4</v>
      </c>
      <c r="E259" s="57">
        <v>0</v>
      </c>
    </row>
    <row r="260" spans="2:5" ht="15" customHeight="1">
      <c r="B260" s="90"/>
      <c r="C260" s="55" t="s">
        <v>146</v>
      </c>
      <c r="D260" s="58">
        <v>6</v>
      </c>
      <c r="E260" s="57">
        <v>0</v>
      </c>
    </row>
    <row r="261" spans="2:5" ht="15" customHeight="1">
      <c r="B261" s="90"/>
      <c r="C261" s="55" t="s">
        <v>147</v>
      </c>
      <c r="D261" s="58">
        <v>16</v>
      </c>
      <c r="E261" s="57">
        <v>1E-3</v>
      </c>
    </row>
    <row r="262" spans="2:5" ht="15" customHeight="1">
      <c r="B262" s="90"/>
      <c r="C262" s="55" t="s">
        <v>160</v>
      </c>
      <c r="D262" s="58">
        <v>3</v>
      </c>
      <c r="E262" s="57">
        <v>0</v>
      </c>
    </row>
    <row r="263" spans="2:5" ht="15" customHeight="1">
      <c r="B263" s="90"/>
      <c r="C263" s="55" t="s">
        <v>161</v>
      </c>
      <c r="D263" s="58">
        <v>1</v>
      </c>
      <c r="E263" s="57">
        <v>0</v>
      </c>
    </row>
    <row r="264" spans="2:5" ht="15" customHeight="1">
      <c r="B264" s="90"/>
      <c r="C264" s="55" t="s">
        <v>148</v>
      </c>
      <c r="D264" s="58">
        <v>39</v>
      </c>
      <c r="E264" s="57">
        <v>3.0000000000000001E-3</v>
      </c>
    </row>
    <row r="265" spans="2:5" ht="15" customHeight="1">
      <c r="B265" s="90"/>
      <c r="C265" s="55" t="s">
        <v>149</v>
      </c>
      <c r="D265" s="58">
        <v>2</v>
      </c>
      <c r="E265" s="57">
        <v>0</v>
      </c>
    </row>
    <row r="266" spans="2:5" ht="15" customHeight="1">
      <c r="B266" s="90"/>
      <c r="C266" s="55" t="s">
        <v>150</v>
      </c>
      <c r="D266" s="58">
        <v>6</v>
      </c>
      <c r="E266" s="57">
        <v>0</v>
      </c>
    </row>
    <row r="267" spans="2:5" ht="15" customHeight="1">
      <c r="B267" s="90"/>
      <c r="C267" s="55" t="s">
        <v>152</v>
      </c>
      <c r="D267" s="58">
        <v>3</v>
      </c>
      <c r="E267" s="57">
        <v>0</v>
      </c>
    </row>
    <row r="268" spans="2:5" ht="15" customHeight="1">
      <c r="B268" s="90"/>
      <c r="C268" s="55" t="s">
        <v>165</v>
      </c>
      <c r="D268" s="58">
        <v>6</v>
      </c>
      <c r="E268" s="57">
        <v>0</v>
      </c>
    </row>
    <row r="269" spans="2:5" ht="15" customHeight="1">
      <c r="B269" s="90"/>
      <c r="C269" s="55" t="s">
        <v>153</v>
      </c>
      <c r="D269" s="58">
        <v>8</v>
      </c>
      <c r="E269" s="57">
        <v>1E-3</v>
      </c>
    </row>
    <row r="270" spans="2:5" ht="15" customHeight="1">
      <c r="B270" s="90"/>
      <c r="C270" s="55" t="s">
        <v>154</v>
      </c>
      <c r="D270" s="58">
        <v>7</v>
      </c>
      <c r="E270" s="57">
        <v>0</v>
      </c>
    </row>
    <row r="271" spans="2:5" ht="15" customHeight="1">
      <c r="B271" s="90"/>
      <c r="C271" s="55" t="s">
        <v>166</v>
      </c>
      <c r="D271" s="58">
        <v>1</v>
      </c>
      <c r="E271" s="57">
        <v>0</v>
      </c>
    </row>
    <row r="272" spans="2:5" ht="15" customHeight="1">
      <c r="B272" s="90"/>
      <c r="C272" s="55" t="s">
        <v>155</v>
      </c>
      <c r="D272" s="58">
        <v>9</v>
      </c>
      <c r="E272" s="57">
        <v>1E-3</v>
      </c>
    </row>
    <row r="273" spans="2:5" ht="15" customHeight="1">
      <c r="B273" s="90"/>
      <c r="C273" s="55" t="s">
        <v>167</v>
      </c>
      <c r="D273" s="58">
        <v>14</v>
      </c>
      <c r="E273" s="57">
        <v>1E-3</v>
      </c>
    </row>
    <row r="274" spans="2:5" ht="15" customHeight="1">
      <c r="B274" s="90"/>
      <c r="C274" s="55" t="s">
        <v>156</v>
      </c>
      <c r="D274" s="58">
        <v>14</v>
      </c>
      <c r="E274" s="57">
        <v>1E-3</v>
      </c>
    </row>
    <row r="275" spans="2:5" ht="15" customHeight="1">
      <c r="B275" s="90"/>
      <c r="C275" s="55" t="s">
        <v>175</v>
      </c>
      <c r="D275" s="58">
        <v>1</v>
      </c>
      <c r="E275" s="57">
        <v>0</v>
      </c>
    </row>
    <row r="276" spans="2:5" ht="15" customHeight="1">
      <c r="B276" s="90"/>
      <c r="C276" s="55" t="s">
        <v>168</v>
      </c>
      <c r="D276" s="58">
        <v>2</v>
      </c>
      <c r="E276" s="57">
        <v>0</v>
      </c>
    </row>
    <row r="277" spans="2:5" ht="15" customHeight="1">
      <c r="B277" s="91"/>
      <c r="C277" s="72" t="s">
        <v>284</v>
      </c>
      <c r="D277" s="73">
        <v>240</v>
      </c>
      <c r="E277" s="71">
        <v>1.6E-2</v>
      </c>
    </row>
    <row r="278" spans="2:5" ht="15" customHeight="1">
      <c r="B278" s="89" t="s">
        <v>59</v>
      </c>
      <c r="C278" s="55" t="s">
        <v>140</v>
      </c>
      <c r="D278" s="58">
        <v>7</v>
      </c>
      <c r="E278" s="57">
        <v>0</v>
      </c>
    </row>
    <row r="279" spans="2:5" ht="15" customHeight="1">
      <c r="B279" s="90"/>
      <c r="C279" s="55" t="s">
        <v>169</v>
      </c>
      <c r="D279" s="58">
        <v>3</v>
      </c>
      <c r="E279" s="57">
        <v>0</v>
      </c>
    </row>
    <row r="280" spans="2:5" ht="15" customHeight="1">
      <c r="B280" s="90"/>
      <c r="C280" s="55" t="s">
        <v>141</v>
      </c>
      <c r="D280" s="58">
        <v>1</v>
      </c>
      <c r="E280" s="57">
        <v>0</v>
      </c>
    </row>
    <row r="281" spans="2:5" ht="15" customHeight="1">
      <c r="B281" s="90"/>
      <c r="C281" s="55" t="s">
        <v>142</v>
      </c>
      <c r="D281" s="58">
        <v>14</v>
      </c>
      <c r="E281" s="57">
        <v>1E-3</v>
      </c>
    </row>
    <row r="282" spans="2:5" ht="15" customHeight="1">
      <c r="B282" s="90"/>
      <c r="C282" s="55" t="s">
        <v>157</v>
      </c>
      <c r="D282" s="58">
        <v>3</v>
      </c>
      <c r="E282" s="57">
        <v>0</v>
      </c>
    </row>
    <row r="283" spans="2:5" ht="15" customHeight="1">
      <c r="B283" s="90"/>
      <c r="C283" s="55" t="s">
        <v>143</v>
      </c>
      <c r="D283" s="58">
        <v>24</v>
      </c>
      <c r="E283" s="57">
        <v>2E-3</v>
      </c>
    </row>
    <row r="284" spans="2:5" ht="15" customHeight="1">
      <c r="B284" s="90"/>
      <c r="C284" s="55" t="s">
        <v>144</v>
      </c>
      <c r="D284" s="58">
        <v>62</v>
      </c>
      <c r="E284" s="57">
        <v>4.0000000000000001E-3</v>
      </c>
    </row>
    <row r="285" spans="2:5" ht="15" customHeight="1">
      <c r="B285" s="90"/>
      <c r="C285" s="55" t="s">
        <v>145</v>
      </c>
      <c r="D285" s="58">
        <v>1</v>
      </c>
      <c r="E285" s="57">
        <v>0</v>
      </c>
    </row>
    <row r="286" spans="2:5" ht="15" customHeight="1">
      <c r="B286" s="90"/>
      <c r="C286" s="55" t="s">
        <v>159</v>
      </c>
      <c r="D286" s="58">
        <v>2</v>
      </c>
      <c r="E286" s="57">
        <v>0</v>
      </c>
    </row>
    <row r="287" spans="2:5" ht="15" customHeight="1">
      <c r="B287" s="90"/>
      <c r="C287" s="55" t="s">
        <v>146</v>
      </c>
      <c r="D287" s="58">
        <v>7</v>
      </c>
      <c r="E287" s="57">
        <v>0</v>
      </c>
    </row>
    <row r="288" spans="2:5" ht="15" customHeight="1">
      <c r="B288" s="90"/>
      <c r="C288" s="55" t="s">
        <v>147</v>
      </c>
      <c r="D288" s="58">
        <v>4</v>
      </c>
      <c r="E288" s="57">
        <v>0</v>
      </c>
    </row>
    <row r="289" spans="2:5" ht="15" customHeight="1">
      <c r="B289" s="90"/>
      <c r="C289" s="55" t="s">
        <v>160</v>
      </c>
      <c r="D289" s="58">
        <v>1</v>
      </c>
      <c r="E289" s="57">
        <v>0</v>
      </c>
    </row>
    <row r="290" spans="2:5" ht="15" customHeight="1">
      <c r="B290" s="90"/>
      <c r="C290" s="55" t="s">
        <v>162</v>
      </c>
      <c r="D290" s="58">
        <v>5</v>
      </c>
      <c r="E290" s="57">
        <v>0</v>
      </c>
    </row>
    <row r="291" spans="2:5" ht="15" customHeight="1">
      <c r="B291" s="90"/>
      <c r="C291" s="55" t="s">
        <v>148</v>
      </c>
      <c r="D291" s="58">
        <v>10</v>
      </c>
      <c r="E291" s="57">
        <v>1E-3</v>
      </c>
    </row>
    <row r="292" spans="2:5" ht="15" customHeight="1">
      <c r="B292" s="90"/>
      <c r="C292" s="55" t="s">
        <v>149</v>
      </c>
      <c r="D292" s="58">
        <v>5</v>
      </c>
      <c r="E292" s="57">
        <v>0</v>
      </c>
    </row>
    <row r="293" spans="2:5" ht="15" customHeight="1">
      <c r="B293" s="90"/>
      <c r="C293" s="55" t="s">
        <v>150</v>
      </c>
      <c r="D293" s="58">
        <v>7</v>
      </c>
      <c r="E293" s="57">
        <v>0</v>
      </c>
    </row>
    <row r="294" spans="2:5" ht="15" customHeight="1">
      <c r="B294" s="90"/>
      <c r="C294" s="55" t="s">
        <v>163</v>
      </c>
      <c r="D294" s="58">
        <v>1</v>
      </c>
      <c r="E294" s="57">
        <v>0</v>
      </c>
    </row>
    <row r="295" spans="2:5" ht="15" customHeight="1">
      <c r="B295" s="90"/>
      <c r="C295" s="55" t="s">
        <v>164</v>
      </c>
      <c r="D295" s="58">
        <v>6</v>
      </c>
      <c r="E295" s="57">
        <v>0</v>
      </c>
    </row>
    <row r="296" spans="2:5" ht="15" customHeight="1">
      <c r="B296" s="90"/>
      <c r="C296" s="55" t="s">
        <v>151</v>
      </c>
      <c r="D296" s="58">
        <v>1</v>
      </c>
      <c r="E296" s="57">
        <v>0</v>
      </c>
    </row>
    <row r="297" spans="2:5" ht="15" customHeight="1">
      <c r="B297" s="90"/>
      <c r="C297" s="55" t="s">
        <v>165</v>
      </c>
      <c r="D297" s="58">
        <v>3</v>
      </c>
      <c r="E297" s="57">
        <v>0</v>
      </c>
    </row>
    <row r="298" spans="2:5" ht="15" customHeight="1">
      <c r="B298" s="90"/>
      <c r="C298" s="55" t="s">
        <v>153</v>
      </c>
      <c r="D298" s="58">
        <v>3</v>
      </c>
      <c r="E298" s="57">
        <v>0</v>
      </c>
    </row>
    <row r="299" spans="2:5" ht="15" customHeight="1">
      <c r="B299" s="90"/>
      <c r="C299" s="55" t="s">
        <v>154</v>
      </c>
      <c r="D299" s="58">
        <v>8</v>
      </c>
      <c r="E299" s="57">
        <v>1E-3</v>
      </c>
    </row>
    <row r="300" spans="2:5" ht="15" customHeight="1">
      <c r="B300" s="90"/>
      <c r="C300" s="55" t="s">
        <v>166</v>
      </c>
      <c r="D300" s="58">
        <v>1</v>
      </c>
      <c r="E300" s="57">
        <v>0</v>
      </c>
    </row>
    <row r="301" spans="2:5" ht="15" customHeight="1">
      <c r="B301" s="90"/>
      <c r="C301" s="55" t="s">
        <v>155</v>
      </c>
      <c r="D301" s="58">
        <v>16</v>
      </c>
      <c r="E301" s="57">
        <v>1E-3</v>
      </c>
    </row>
    <row r="302" spans="2:5" ht="15" customHeight="1">
      <c r="B302" s="90"/>
      <c r="C302" s="55" t="s">
        <v>167</v>
      </c>
      <c r="D302" s="58">
        <v>2</v>
      </c>
      <c r="E302" s="57">
        <v>0</v>
      </c>
    </row>
    <row r="303" spans="2:5" ht="15" customHeight="1">
      <c r="B303" s="90"/>
      <c r="C303" s="55" t="s">
        <v>156</v>
      </c>
      <c r="D303" s="58">
        <v>8</v>
      </c>
      <c r="E303" s="57">
        <v>1E-3</v>
      </c>
    </row>
    <row r="304" spans="2:5" ht="15" customHeight="1">
      <c r="B304" s="91"/>
      <c r="C304" s="72" t="s">
        <v>284</v>
      </c>
      <c r="D304" s="73">
        <v>205</v>
      </c>
      <c r="E304" s="71">
        <v>1.2999999999999999E-2</v>
      </c>
    </row>
    <row r="305" spans="2:5" ht="15" customHeight="1">
      <c r="B305" s="89" t="s">
        <v>49</v>
      </c>
      <c r="C305" s="55" t="s">
        <v>140</v>
      </c>
      <c r="D305" s="58">
        <v>11</v>
      </c>
      <c r="E305" s="57">
        <v>1E-3</v>
      </c>
    </row>
    <row r="306" spans="2:5" ht="15" customHeight="1">
      <c r="B306" s="90"/>
      <c r="C306" s="55" t="s">
        <v>169</v>
      </c>
      <c r="D306" s="58">
        <v>3</v>
      </c>
      <c r="E306" s="57">
        <v>0</v>
      </c>
    </row>
    <row r="307" spans="2:5" ht="15" customHeight="1">
      <c r="B307" s="90"/>
      <c r="C307" s="55" t="s">
        <v>141</v>
      </c>
      <c r="D307" s="58">
        <v>9</v>
      </c>
      <c r="E307" s="57">
        <v>1E-3</v>
      </c>
    </row>
    <row r="308" spans="2:5" ht="15" customHeight="1">
      <c r="B308" s="90"/>
      <c r="C308" s="55" t="s">
        <v>142</v>
      </c>
      <c r="D308" s="58">
        <v>48</v>
      </c>
      <c r="E308" s="57">
        <v>3.0000000000000001E-3</v>
      </c>
    </row>
    <row r="309" spans="2:5" ht="15" customHeight="1">
      <c r="B309" s="90"/>
      <c r="C309" s="55" t="s">
        <v>171</v>
      </c>
      <c r="D309" s="58">
        <v>1</v>
      </c>
      <c r="E309" s="57">
        <v>0</v>
      </c>
    </row>
    <row r="310" spans="2:5" ht="15" customHeight="1">
      <c r="B310" s="90"/>
      <c r="C310" s="55" t="s">
        <v>157</v>
      </c>
      <c r="D310" s="58">
        <v>53</v>
      </c>
      <c r="E310" s="57">
        <v>3.0000000000000001E-3</v>
      </c>
    </row>
    <row r="311" spans="2:5" ht="15" customHeight="1">
      <c r="B311" s="90"/>
      <c r="C311" s="55" t="s">
        <v>143</v>
      </c>
      <c r="D311" s="58">
        <v>103</v>
      </c>
      <c r="E311" s="57">
        <v>7.0000000000000001E-3</v>
      </c>
    </row>
    <row r="312" spans="2:5" ht="15" customHeight="1">
      <c r="B312" s="90"/>
      <c r="C312" s="55" t="s">
        <v>144</v>
      </c>
      <c r="D312" s="58">
        <v>290</v>
      </c>
      <c r="E312" s="57">
        <v>1.9E-2</v>
      </c>
    </row>
    <row r="313" spans="2:5" ht="15" customHeight="1">
      <c r="B313" s="90"/>
      <c r="C313" s="55" t="s">
        <v>145</v>
      </c>
      <c r="D313" s="58">
        <v>22</v>
      </c>
      <c r="E313" s="57">
        <v>1E-3</v>
      </c>
    </row>
    <row r="314" spans="2:5" ht="15" customHeight="1">
      <c r="B314" s="90"/>
      <c r="C314" s="55" t="s">
        <v>159</v>
      </c>
      <c r="D314" s="58">
        <v>14</v>
      </c>
      <c r="E314" s="57">
        <v>1E-3</v>
      </c>
    </row>
    <row r="315" spans="2:5" ht="15" customHeight="1">
      <c r="B315" s="90"/>
      <c r="C315" s="55" t="s">
        <v>146</v>
      </c>
      <c r="D315" s="58">
        <v>12</v>
      </c>
      <c r="E315" s="57">
        <v>1E-3</v>
      </c>
    </row>
    <row r="316" spans="2:5" ht="15" customHeight="1">
      <c r="B316" s="90"/>
      <c r="C316" s="55" t="s">
        <v>147</v>
      </c>
      <c r="D316" s="58">
        <v>57</v>
      </c>
      <c r="E316" s="57">
        <v>4.0000000000000001E-3</v>
      </c>
    </row>
    <row r="317" spans="2:5" ht="15" customHeight="1">
      <c r="B317" s="90"/>
      <c r="C317" s="55" t="s">
        <v>160</v>
      </c>
      <c r="D317" s="58">
        <v>5</v>
      </c>
      <c r="E317" s="57">
        <v>0</v>
      </c>
    </row>
    <row r="318" spans="2:5" ht="15" customHeight="1">
      <c r="B318" s="90"/>
      <c r="C318" s="55" t="s">
        <v>161</v>
      </c>
      <c r="D318" s="58">
        <v>8</v>
      </c>
      <c r="E318" s="57">
        <v>1E-3</v>
      </c>
    </row>
    <row r="319" spans="2:5" ht="15" customHeight="1">
      <c r="B319" s="90"/>
      <c r="C319" s="55" t="s">
        <v>162</v>
      </c>
      <c r="D319" s="58">
        <v>41</v>
      </c>
      <c r="E319" s="57">
        <v>3.0000000000000001E-3</v>
      </c>
    </row>
    <row r="320" spans="2:5" ht="15" customHeight="1">
      <c r="B320" s="90"/>
      <c r="C320" s="55" t="s">
        <v>148</v>
      </c>
      <c r="D320" s="58">
        <v>4</v>
      </c>
      <c r="E320" s="57">
        <v>0</v>
      </c>
    </row>
    <row r="321" spans="2:5" ht="15" customHeight="1">
      <c r="B321" s="90"/>
      <c r="C321" s="55" t="s">
        <v>149</v>
      </c>
      <c r="D321" s="58">
        <v>20</v>
      </c>
      <c r="E321" s="57">
        <v>1E-3</v>
      </c>
    </row>
    <row r="322" spans="2:5" ht="15" customHeight="1">
      <c r="B322" s="90"/>
      <c r="C322" s="55" t="s">
        <v>150</v>
      </c>
      <c r="D322" s="58">
        <v>78</v>
      </c>
      <c r="E322" s="57">
        <v>5.0000000000000001E-3</v>
      </c>
    </row>
    <row r="323" spans="2:5" ht="15" customHeight="1">
      <c r="B323" s="90"/>
      <c r="C323" s="55" t="s">
        <v>163</v>
      </c>
      <c r="D323" s="58">
        <v>4</v>
      </c>
      <c r="E323" s="57">
        <v>0</v>
      </c>
    </row>
    <row r="324" spans="2:5" ht="15" customHeight="1">
      <c r="B324" s="90"/>
      <c r="C324" s="55" t="s">
        <v>164</v>
      </c>
      <c r="D324" s="58">
        <v>11</v>
      </c>
      <c r="E324" s="57">
        <v>1E-3</v>
      </c>
    </row>
    <row r="325" spans="2:5" ht="15" customHeight="1">
      <c r="B325" s="90"/>
      <c r="C325" s="55" t="s">
        <v>151</v>
      </c>
      <c r="D325" s="58">
        <v>2</v>
      </c>
      <c r="E325" s="57">
        <v>0</v>
      </c>
    </row>
    <row r="326" spans="2:5" ht="15" customHeight="1">
      <c r="B326" s="90"/>
      <c r="C326" s="55" t="s">
        <v>152</v>
      </c>
      <c r="D326" s="58">
        <v>17</v>
      </c>
      <c r="E326" s="57">
        <v>1E-3</v>
      </c>
    </row>
    <row r="327" spans="2:5" ht="15" customHeight="1">
      <c r="B327" s="90"/>
      <c r="C327" s="55" t="s">
        <v>153</v>
      </c>
      <c r="D327" s="58">
        <v>17</v>
      </c>
      <c r="E327" s="57">
        <v>1E-3</v>
      </c>
    </row>
    <row r="328" spans="2:5" ht="15" customHeight="1">
      <c r="B328" s="90"/>
      <c r="C328" s="55" t="s">
        <v>154</v>
      </c>
      <c r="D328" s="58">
        <v>18</v>
      </c>
      <c r="E328" s="57">
        <v>1E-3</v>
      </c>
    </row>
    <row r="329" spans="2:5" ht="15" customHeight="1">
      <c r="B329" s="90"/>
      <c r="C329" s="55" t="s">
        <v>170</v>
      </c>
      <c r="D329" s="58">
        <v>2</v>
      </c>
      <c r="E329" s="57">
        <v>0</v>
      </c>
    </row>
    <row r="330" spans="2:5" ht="15" customHeight="1">
      <c r="B330" s="90"/>
      <c r="C330" s="55" t="s">
        <v>166</v>
      </c>
      <c r="D330" s="58">
        <v>21</v>
      </c>
      <c r="E330" s="57">
        <v>1E-3</v>
      </c>
    </row>
    <row r="331" spans="2:5" ht="15" customHeight="1">
      <c r="B331" s="90"/>
      <c r="C331" s="55" t="s">
        <v>258</v>
      </c>
      <c r="D331" s="58">
        <v>1</v>
      </c>
      <c r="E331" s="57">
        <v>0</v>
      </c>
    </row>
    <row r="332" spans="2:5" ht="15" customHeight="1">
      <c r="B332" s="90"/>
      <c r="C332" s="55" t="s">
        <v>155</v>
      </c>
      <c r="D332" s="58">
        <v>13</v>
      </c>
      <c r="E332" s="57">
        <v>1E-3</v>
      </c>
    </row>
    <row r="333" spans="2:5" ht="15" customHeight="1">
      <c r="B333" s="90"/>
      <c r="C333" s="55" t="s">
        <v>167</v>
      </c>
      <c r="D333" s="58">
        <v>10</v>
      </c>
      <c r="E333" s="57">
        <v>1E-3</v>
      </c>
    </row>
    <row r="334" spans="2:5" ht="15" customHeight="1">
      <c r="B334" s="90"/>
      <c r="C334" s="55" t="s">
        <v>156</v>
      </c>
      <c r="D334" s="58">
        <v>36</v>
      </c>
      <c r="E334" s="57">
        <v>2E-3</v>
      </c>
    </row>
    <row r="335" spans="2:5" ht="15" customHeight="1">
      <c r="B335" s="90"/>
      <c r="C335" s="55" t="s">
        <v>168</v>
      </c>
      <c r="D335" s="58">
        <v>2</v>
      </c>
      <c r="E335" s="57">
        <v>0</v>
      </c>
    </row>
    <row r="336" spans="2:5" ht="15" customHeight="1">
      <c r="B336" s="91"/>
      <c r="C336" s="72" t="s">
        <v>284</v>
      </c>
      <c r="D336" s="73">
        <v>933</v>
      </c>
      <c r="E336" s="71">
        <v>0.06</v>
      </c>
    </row>
    <row r="337" spans="2:5" ht="15" customHeight="1">
      <c r="B337" s="89" t="s">
        <v>57</v>
      </c>
      <c r="C337" s="55" t="s">
        <v>140</v>
      </c>
      <c r="D337" s="58">
        <v>3</v>
      </c>
      <c r="E337" s="57">
        <v>0</v>
      </c>
    </row>
    <row r="338" spans="2:5" ht="15" customHeight="1">
      <c r="B338" s="90"/>
      <c r="C338" s="55" t="s">
        <v>141</v>
      </c>
      <c r="D338" s="58">
        <v>13</v>
      </c>
      <c r="E338" s="57">
        <v>1E-3</v>
      </c>
    </row>
    <row r="339" spans="2:5" ht="15" customHeight="1">
      <c r="B339" s="90"/>
      <c r="C339" s="55" t="s">
        <v>142</v>
      </c>
      <c r="D339" s="58">
        <v>6</v>
      </c>
      <c r="E339" s="57">
        <v>0</v>
      </c>
    </row>
    <row r="340" spans="2:5" ht="15" customHeight="1">
      <c r="B340" s="90"/>
      <c r="C340" s="55" t="s">
        <v>157</v>
      </c>
      <c r="D340" s="58">
        <v>2</v>
      </c>
      <c r="E340" s="57">
        <v>0</v>
      </c>
    </row>
    <row r="341" spans="2:5" ht="15" customHeight="1">
      <c r="B341" s="90"/>
      <c r="C341" s="55" t="s">
        <v>143</v>
      </c>
      <c r="D341" s="58">
        <v>16</v>
      </c>
      <c r="E341" s="57">
        <v>1E-3</v>
      </c>
    </row>
    <row r="342" spans="2:5" ht="15" customHeight="1">
      <c r="B342" s="90"/>
      <c r="C342" s="55" t="s">
        <v>144</v>
      </c>
      <c r="D342" s="58">
        <v>75</v>
      </c>
      <c r="E342" s="57">
        <v>5.0000000000000001E-3</v>
      </c>
    </row>
    <row r="343" spans="2:5" ht="15" customHeight="1">
      <c r="B343" s="90"/>
      <c r="C343" s="55" t="s">
        <v>257</v>
      </c>
      <c r="D343" s="58">
        <v>2</v>
      </c>
      <c r="E343" s="57">
        <v>0</v>
      </c>
    </row>
    <row r="344" spans="2:5" ht="15" customHeight="1">
      <c r="B344" s="90"/>
      <c r="C344" s="55" t="s">
        <v>145</v>
      </c>
      <c r="D344" s="58">
        <v>30</v>
      </c>
      <c r="E344" s="57">
        <v>2E-3</v>
      </c>
    </row>
    <row r="345" spans="2:5" ht="15" customHeight="1">
      <c r="B345" s="90"/>
      <c r="C345" s="55" t="s">
        <v>158</v>
      </c>
      <c r="D345" s="58">
        <v>1</v>
      </c>
      <c r="E345" s="57">
        <v>0</v>
      </c>
    </row>
    <row r="346" spans="2:5" ht="15" customHeight="1">
      <c r="B346" s="90"/>
      <c r="C346" s="55" t="s">
        <v>159</v>
      </c>
      <c r="D346" s="58">
        <v>2</v>
      </c>
      <c r="E346" s="57">
        <v>0</v>
      </c>
    </row>
    <row r="347" spans="2:5" ht="15" customHeight="1">
      <c r="B347" s="90"/>
      <c r="C347" s="55" t="s">
        <v>146</v>
      </c>
      <c r="D347" s="58">
        <v>9</v>
      </c>
      <c r="E347" s="57">
        <v>1E-3</v>
      </c>
    </row>
    <row r="348" spans="2:5" ht="15" customHeight="1">
      <c r="B348" s="90"/>
      <c r="C348" s="55" t="s">
        <v>147</v>
      </c>
      <c r="D348" s="58">
        <v>8</v>
      </c>
      <c r="E348" s="57">
        <v>1E-3</v>
      </c>
    </row>
    <row r="349" spans="2:5" ht="15" customHeight="1">
      <c r="B349" s="90"/>
      <c r="C349" s="55" t="s">
        <v>161</v>
      </c>
      <c r="D349" s="58">
        <v>1</v>
      </c>
      <c r="E349" s="57">
        <v>0</v>
      </c>
    </row>
    <row r="350" spans="2:5" ht="15" customHeight="1">
      <c r="B350" s="90"/>
      <c r="C350" s="55" t="s">
        <v>162</v>
      </c>
      <c r="D350" s="58">
        <v>2</v>
      </c>
      <c r="E350" s="57">
        <v>0</v>
      </c>
    </row>
    <row r="351" spans="2:5" ht="15" customHeight="1">
      <c r="B351" s="90"/>
      <c r="C351" s="55" t="s">
        <v>148</v>
      </c>
      <c r="D351" s="58">
        <v>5</v>
      </c>
      <c r="E351" s="57">
        <v>0</v>
      </c>
    </row>
    <row r="352" spans="2:5" ht="15" customHeight="1">
      <c r="B352" s="90"/>
      <c r="C352" s="55" t="s">
        <v>149</v>
      </c>
      <c r="D352" s="58">
        <v>7</v>
      </c>
      <c r="E352" s="57">
        <v>0</v>
      </c>
    </row>
    <row r="353" spans="2:5" ht="15" customHeight="1">
      <c r="B353" s="90"/>
      <c r="C353" s="55" t="s">
        <v>150</v>
      </c>
      <c r="D353" s="58">
        <v>14</v>
      </c>
      <c r="E353" s="57">
        <v>1E-3</v>
      </c>
    </row>
    <row r="354" spans="2:5" ht="15" customHeight="1">
      <c r="B354" s="90"/>
      <c r="C354" s="55" t="s">
        <v>163</v>
      </c>
      <c r="D354" s="58">
        <v>1</v>
      </c>
      <c r="E354" s="57">
        <v>0</v>
      </c>
    </row>
    <row r="355" spans="2:5" ht="15" customHeight="1">
      <c r="B355" s="90"/>
      <c r="C355" s="55" t="s">
        <v>164</v>
      </c>
      <c r="D355" s="58">
        <v>11</v>
      </c>
      <c r="E355" s="57">
        <v>1E-3</v>
      </c>
    </row>
    <row r="356" spans="2:5" ht="15" customHeight="1">
      <c r="B356" s="90"/>
      <c r="C356" s="55" t="s">
        <v>153</v>
      </c>
      <c r="D356" s="58">
        <v>1</v>
      </c>
      <c r="E356" s="57">
        <v>0</v>
      </c>
    </row>
    <row r="357" spans="2:5" ht="15" customHeight="1">
      <c r="B357" s="90"/>
      <c r="C357" s="55" t="s">
        <v>154</v>
      </c>
      <c r="D357" s="58">
        <v>2</v>
      </c>
      <c r="E357" s="57">
        <v>0</v>
      </c>
    </row>
    <row r="358" spans="2:5" ht="15" customHeight="1">
      <c r="B358" s="90"/>
      <c r="C358" s="55" t="s">
        <v>166</v>
      </c>
      <c r="D358" s="58">
        <v>2</v>
      </c>
      <c r="E358" s="57">
        <v>0</v>
      </c>
    </row>
    <row r="359" spans="2:5" ht="15" customHeight="1">
      <c r="B359" s="90"/>
      <c r="C359" s="55" t="s">
        <v>155</v>
      </c>
      <c r="D359" s="58">
        <v>1</v>
      </c>
      <c r="E359" s="57">
        <v>0</v>
      </c>
    </row>
    <row r="360" spans="2:5" ht="15" customHeight="1">
      <c r="B360" s="90"/>
      <c r="C360" s="55" t="s">
        <v>167</v>
      </c>
      <c r="D360" s="58">
        <v>6</v>
      </c>
      <c r="E360" s="57">
        <v>0</v>
      </c>
    </row>
    <row r="361" spans="2:5" ht="15" customHeight="1">
      <c r="B361" s="90"/>
      <c r="C361" s="55" t="s">
        <v>156</v>
      </c>
      <c r="D361" s="58">
        <v>4</v>
      </c>
      <c r="E361" s="57">
        <v>0</v>
      </c>
    </row>
    <row r="362" spans="2:5" ht="15" customHeight="1">
      <c r="B362" s="90"/>
      <c r="C362" s="55" t="s">
        <v>168</v>
      </c>
      <c r="D362" s="58">
        <v>1</v>
      </c>
      <c r="E362" s="57">
        <v>0</v>
      </c>
    </row>
    <row r="363" spans="2:5" ht="15" customHeight="1">
      <c r="B363" s="91"/>
      <c r="C363" s="72" t="s">
        <v>284</v>
      </c>
      <c r="D363" s="73">
        <v>225</v>
      </c>
      <c r="E363" s="71">
        <v>1.4999999999999999E-2</v>
      </c>
    </row>
    <row r="364" spans="2:5" ht="15" customHeight="1">
      <c r="B364" s="89" t="s">
        <v>69</v>
      </c>
      <c r="C364" s="55" t="s">
        <v>141</v>
      </c>
      <c r="D364" s="58">
        <v>4</v>
      </c>
      <c r="E364" s="57">
        <v>0</v>
      </c>
    </row>
    <row r="365" spans="2:5" ht="15" customHeight="1">
      <c r="B365" s="90"/>
      <c r="C365" s="55" t="s">
        <v>142</v>
      </c>
      <c r="D365" s="58">
        <v>3</v>
      </c>
      <c r="E365" s="57">
        <v>0</v>
      </c>
    </row>
    <row r="366" spans="2:5" ht="15" customHeight="1">
      <c r="B366" s="90"/>
      <c r="C366" s="55" t="s">
        <v>143</v>
      </c>
      <c r="D366" s="58">
        <v>14</v>
      </c>
      <c r="E366" s="57">
        <v>1E-3</v>
      </c>
    </row>
    <row r="367" spans="2:5" ht="15" customHeight="1">
      <c r="B367" s="90"/>
      <c r="C367" s="55" t="s">
        <v>144</v>
      </c>
      <c r="D367" s="58">
        <v>34</v>
      </c>
      <c r="E367" s="57">
        <v>2E-3</v>
      </c>
    </row>
    <row r="368" spans="2:5" ht="15" customHeight="1">
      <c r="B368" s="90"/>
      <c r="C368" s="55" t="s">
        <v>257</v>
      </c>
      <c r="D368" s="58">
        <v>6</v>
      </c>
      <c r="E368" s="57">
        <v>0</v>
      </c>
    </row>
    <row r="369" spans="2:5" ht="15" customHeight="1">
      <c r="B369" s="90"/>
      <c r="C369" s="55" t="s">
        <v>145</v>
      </c>
      <c r="D369" s="58">
        <v>4</v>
      </c>
      <c r="E369" s="57">
        <v>0</v>
      </c>
    </row>
    <row r="370" spans="2:5" ht="15" customHeight="1">
      <c r="B370" s="90"/>
      <c r="C370" s="55" t="s">
        <v>146</v>
      </c>
      <c r="D370" s="58">
        <v>4</v>
      </c>
      <c r="E370" s="57">
        <v>0</v>
      </c>
    </row>
    <row r="371" spans="2:5" ht="15" customHeight="1">
      <c r="B371" s="90"/>
      <c r="C371" s="55" t="s">
        <v>147</v>
      </c>
      <c r="D371" s="58">
        <v>5</v>
      </c>
      <c r="E371" s="57">
        <v>0</v>
      </c>
    </row>
    <row r="372" spans="2:5" ht="15" customHeight="1">
      <c r="B372" s="90"/>
      <c r="C372" s="55" t="s">
        <v>160</v>
      </c>
      <c r="D372" s="58">
        <v>1</v>
      </c>
      <c r="E372" s="57">
        <v>0</v>
      </c>
    </row>
    <row r="373" spans="2:5" ht="15" customHeight="1">
      <c r="B373" s="90"/>
      <c r="C373" s="55" t="s">
        <v>161</v>
      </c>
      <c r="D373" s="58">
        <v>1</v>
      </c>
      <c r="E373" s="57">
        <v>0</v>
      </c>
    </row>
    <row r="374" spans="2:5" ht="15" customHeight="1">
      <c r="B374" s="90"/>
      <c r="C374" s="55" t="s">
        <v>162</v>
      </c>
      <c r="D374" s="58">
        <v>2</v>
      </c>
      <c r="E374" s="57">
        <v>0</v>
      </c>
    </row>
    <row r="375" spans="2:5" ht="15" customHeight="1">
      <c r="B375" s="90"/>
      <c r="C375" s="55" t="s">
        <v>148</v>
      </c>
      <c r="D375" s="58">
        <v>3</v>
      </c>
      <c r="E375" s="57">
        <v>0</v>
      </c>
    </row>
    <row r="376" spans="2:5" ht="15" customHeight="1">
      <c r="B376" s="90"/>
      <c r="C376" s="55" t="s">
        <v>149</v>
      </c>
      <c r="D376" s="58">
        <v>4</v>
      </c>
      <c r="E376" s="57">
        <v>0</v>
      </c>
    </row>
    <row r="377" spans="2:5" ht="15" customHeight="1">
      <c r="B377" s="90"/>
      <c r="C377" s="55" t="s">
        <v>150</v>
      </c>
      <c r="D377" s="58">
        <v>4</v>
      </c>
      <c r="E377" s="57">
        <v>0</v>
      </c>
    </row>
    <row r="378" spans="2:5" ht="15" customHeight="1">
      <c r="B378" s="90"/>
      <c r="C378" s="55" t="s">
        <v>164</v>
      </c>
      <c r="D378" s="58">
        <v>2</v>
      </c>
      <c r="E378" s="57">
        <v>0</v>
      </c>
    </row>
    <row r="379" spans="2:5" ht="15" customHeight="1">
      <c r="B379" s="90"/>
      <c r="C379" s="55" t="s">
        <v>151</v>
      </c>
      <c r="D379" s="58">
        <v>7</v>
      </c>
      <c r="E379" s="57">
        <v>0</v>
      </c>
    </row>
    <row r="380" spans="2:5" ht="39.950000000000003" customHeight="1">
      <c r="B380" s="90"/>
      <c r="C380" s="55" t="s">
        <v>152</v>
      </c>
      <c r="D380" s="58">
        <v>1</v>
      </c>
      <c r="E380" s="57">
        <v>0</v>
      </c>
    </row>
    <row r="381" spans="2:5" ht="15" customHeight="1">
      <c r="B381" s="90"/>
      <c r="C381" s="55" t="s">
        <v>153</v>
      </c>
      <c r="D381" s="58">
        <v>2</v>
      </c>
      <c r="E381" s="57">
        <v>0</v>
      </c>
    </row>
    <row r="382" spans="2:5" ht="15" customHeight="1">
      <c r="B382" s="90"/>
      <c r="C382" s="55" t="s">
        <v>154</v>
      </c>
      <c r="D382" s="58">
        <v>3</v>
      </c>
      <c r="E382" s="57">
        <v>0</v>
      </c>
    </row>
    <row r="383" spans="2:5" ht="15" customHeight="1">
      <c r="B383" s="90"/>
      <c r="C383" s="55" t="s">
        <v>166</v>
      </c>
      <c r="D383" s="58">
        <v>1</v>
      </c>
      <c r="E383" s="57">
        <v>0</v>
      </c>
    </row>
    <row r="384" spans="2:5" ht="15" customHeight="1">
      <c r="B384" s="90"/>
      <c r="C384" s="55" t="s">
        <v>155</v>
      </c>
      <c r="D384" s="58">
        <v>3</v>
      </c>
      <c r="E384" s="57">
        <v>0</v>
      </c>
    </row>
    <row r="385" spans="2:5" ht="15" customHeight="1">
      <c r="B385" s="90"/>
      <c r="C385" s="55" t="s">
        <v>167</v>
      </c>
      <c r="D385" s="58">
        <v>2</v>
      </c>
      <c r="E385" s="57">
        <v>0</v>
      </c>
    </row>
    <row r="386" spans="2:5" ht="15" customHeight="1">
      <c r="B386" s="90"/>
      <c r="C386" s="55" t="s">
        <v>156</v>
      </c>
      <c r="D386" s="58">
        <v>5</v>
      </c>
      <c r="E386" s="57">
        <v>0</v>
      </c>
    </row>
    <row r="387" spans="2:5" ht="15" customHeight="1">
      <c r="B387" s="91"/>
      <c r="C387" s="72" t="s">
        <v>284</v>
      </c>
      <c r="D387" s="73">
        <v>115</v>
      </c>
      <c r="E387" s="71">
        <v>7.0000000000000001E-3</v>
      </c>
    </row>
    <row r="388" spans="2:5" ht="15" customHeight="1">
      <c r="B388" s="89" t="s">
        <v>87</v>
      </c>
      <c r="C388" s="55" t="s">
        <v>141</v>
      </c>
      <c r="D388" s="58">
        <v>2</v>
      </c>
      <c r="E388" s="57">
        <v>0</v>
      </c>
    </row>
    <row r="389" spans="2:5" ht="15" customHeight="1">
      <c r="B389" s="90"/>
      <c r="C389" s="55" t="s">
        <v>143</v>
      </c>
      <c r="D389" s="58">
        <v>1</v>
      </c>
      <c r="E389" s="57">
        <v>0</v>
      </c>
    </row>
    <row r="390" spans="2:5" ht="15" customHeight="1">
      <c r="B390" s="90"/>
      <c r="C390" s="55" t="s">
        <v>144</v>
      </c>
      <c r="D390" s="58">
        <v>1</v>
      </c>
      <c r="E390" s="57">
        <v>0</v>
      </c>
    </row>
    <row r="391" spans="2:5" ht="15" customHeight="1">
      <c r="B391" s="90"/>
      <c r="C391" s="55" t="s">
        <v>148</v>
      </c>
      <c r="D391" s="58">
        <v>1</v>
      </c>
      <c r="E391" s="57">
        <v>0</v>
      </c>
    </row>
    <row r="392" spans="2:5" ht="15" customHeight="1">
      <c r="B392" s="90"/>
      <c r="C392" s="55" t="s">
        <v>156</v>
      </c>
      <c r="D392" s="58">
        <v>1</v>
      </c>
      <c r="E392" s="57">
        <v>0</v>
      </c>
    </row>
    <row r="393" spans="2:5" ht="15" customHeight="1">
      <c r="B393" s="91"/>
      <c r="C393" s="72" t="s">
        <v>284</v>
      </c>
      <c r="D393" s="73">
        <v>6</v>
      </c>
      <c r="E393" s="71">
        <v>0</v>
      </c>
    </row>
    <row r="394" spans="2:5" ht="15" customHeight="1">
      <c r="B394" s="89" t="s">
        <v>56</v>
      </c>
      <c r="C394" s="55" t="s">
        <v>140</v>
      </c>
      <c r="D394" s="58">
        <v>3</v>
      </c>
      <c r="E394" s="57">
        <v>0</v>
      </c>
    </row>
    <row r="395" spans="2:5" ht="15" customHeight="1">
      <c r="B395" s="90"/>
      <c r="C395" s="55" t="s">
        <v>141</v>
      </c>
      <c r="D395" s="58">
        <v>5</v>
      </c>
      <c r="E395" s="57">
        <v>0</v>
      </c>
    </row>
    <row r="396" spans="2:5" ht="15" customHeight="1">
      <c r="B396" s="90"/>
      <c r="C396" s="55" t="s">
        <v>142</v>
      </c>
      <c r="D396" s="58">
        <v>20</v>
      </c>
      <c r="E396" s="57">
        <v>1E-3</v>
      </c>
    </row>
    <row r="397" spans="2:5" ht="15" customHeight="1">
      <c r="B397" s="90"/>
      <c r="C397" s="55" t="s">
        <v>143</v>
      </c>
      <c r="D397" s="58">
        <v>47</v>
      </c>
      <c r="E397" s="57">
        <v>3.0000000000000001E-3</v>
      </c>
    </row>
    <row r="398" spans="2:5" ht="15" customHeight="1">
      <c r="B398" s="90"/>
      <c r="C398" s="55" t="s">
        <v>144</v>
      </c>
      <c r="D398" s="58">
        <v>52</v>
      </c>
      <c r="E398" s="57">
        <v>3.0000000000000001E-3</v>
      </c>
    </row>
    <row r="399" spans="2:5" ht="15" customHeight="1">
      <c r="B399" s="90"/>
      <c r="C399" s="55" t="s">
        <v>257</v>
      </c>
      <c r="D399" s="58">
        <v>21</v>
      </c>
      <c r="E399" s="57">
        <v>1E-3</v>
      </c>
    </row>
    <row r="400" spans="2:5" ht="15" customHeight="1">
      <c r="B400" s="90"/>
      <c r="C400" s="55" t="s">
        <v>145</v>
      </c>
      <c r="D400" s="58">
        <v>2</v>
      </c>
      <c r="E400" s="57">
        <v>0</v>
      </c>
    </row>
    <row r="401" spans="2:5" ht="15" customHeight="1">
      <c r="B401" s="90"/>
      <c r="C401" s="55" t="s">
        <v>159</v>
      </c>
      <c r="D401" s="58">
        <v>7</v>
      </c>
      <c r="E401" s="57">
        <v>0</v>
      </c>
    </row>
    <row r="402" spans="2:5" ht="15" customHeight="1">
      <c r="B402" s="90"/>
      <c r="C402" s="55" t="s">
        <v>146</v>
      </c>
      <c r="D402" s="58">
        <v>4</v>
      </c>
      <c r="E402" s="57">
        <v>0</v>
      </c>
    </row>
    <row r="403" spans="2:5" ht="15" customHeight="1">
      <c r="B403" s="90"/>
      <c r="C403" s="55" t="s">
        <v>147</v>
      </c>
      <c r="D403" s="58">
        <v>24</v>
      </c>
      <c r="E403" s="57">
        <v>2E-3</v>
      </c>
    </row>
    <row r="404" spans="2:5" ht="15" customHeight="1">
      <c r="B404" s="90"/>
      <c r="C404" s="55" t="s">
        <v>160</v>
      </c>
      <c r="D404" s="58">
        <v>4</v>
      </c>
      <c r="E404" s="57">
        <v>0</v>
      </c>
    </row>
    <row r="405" spans="2:5" ht="15" customHeight="1">
      <c r="B405" s="90"/>
      <c r="C405" s="55" t="s">
        <v>161</v>
      </c>
      <c r="D405" s="58">
        <v>1</v>
      </c>
      <c r="E405" s="57">
        <v>0</v>
      </c>
    </row>
    <row r="406" spans="2:5" ht="15" customHeight="1">
      <c r="B406" s="90"/>
      <c r="C406" s="55" t="s">
        <v>162</v>
      </c>
      <c r="D406" s="58">
        <v>2</v>
      </c>
      <c r="E406" s="57">
        <v>0</v>
      </c>
    </row>
    <row r="407" spans="2:5" ht="15" customHeight="1">
      <c r="B407" s="90"/>
      <c r="C407" s="55" t="s">
        <v>148</v>
      </c>
      <c r="D407" s="58">
        <v>1</v>
      </c>
      <c r="E407" s="57">
        <v>0</v>
      </c>
    </row>
    <row r="408" spans="2:5" ht="15" customHeight="1">
      <c r="B408" s="90"/>
      <c r="C408" s="55" t="s">
        <v>149</v>
      </c>
      <c r="D408" s="58">
        <v>13</v>
      </c>
      <c r="E408" s="57">
        <v>1E-3</v>
      </c>
    </row>
    <row r="409" spans="2:5" ht="15" customHeight="1">
      <c r="B409" s="90"/>
      <c r="C409" s="55" t="s">
        <v>150</v>
      </c>
      <c r="D409" s="58">
        <v>3</v>
      </c>
      <c r="E409" s="57">
        <v>0</v>
      </c>
    </row>
    <row r="410" spans="2:5" ht="15" customHeight="1">
      <c r="B410" s="90"/>
      <c r="C410" s="55" t="s">
        <v>163</v>
      </c>
      <c r="D410" s="58">
        <v>3</v>
      </c>
      <c r="E410" s="57">
        <v>0</v>
      </c>
    </row>
    <row r="411" spans="2:5" ht="15" customHeight="1">
      <c r="B411" s="90"/>
      <c r="C411" s="55" t="s">
        <v>164</v>
      </c>
      <c r="D411" s="58">
        <v>4</v>
      </c>
      <c r="E411" s="57">
        <v>0</v>
      </c>
    </row>
    <row r="412" spans="2:5" ht="15" customHeight="1">
      <c r="B412" s="90"/>
      <c r="C412" s="55" t="s">
        <v>151</v>
      </c>
      <c r="D412" s="58">
        <v>6</v>
      </c>
      <c r="E412" s="57">
        <v>0</v>
      </c>
    </row>
    <row r="413" spans="2:5" ht="15" customHeight="1">
      <c r="B413" s="90"/>
      <c r="C413" s="55" t="s">
        <v>173</v>
      </c>
      <c r="D413" s="58">
        <v>1</v>
      </c>
      <c r="E413" s="57">
        <v>0</v>
      </c>
    </row>
    <row r="414" spans="2:5" ht="15" customHeight="1">
      <c r="B414" s="90"/>
      <c r="C414" s="55" t="s">
        <v>153</v>
      </c>
      <c r="D414" s="58">
        <v>9</v>
      </c>
      <c r="E414" s="57">
        <v>1E-3</v>
      </c>
    </row>
    <row r="415" spans="2:5" ht="15" customHeight="1">
      <c r="B415" s="90"/>
      <c r="C415" s="55" t="s">
        <v>154</v>
      </c>
      <c r="D415" s="58">
        <v>9</v>
      </c>
      <c r="E415" s="57">
        <v>1E-3</v>
      </c>
    </row>
    <row r="416" spans="2:5" ht="15" customHeight="1">
      <c r="B416" s="90"/>
      <c r="C416" s="55" t="s">
        <v>174</v>
      </c>
      <c r="D416" s="58">
        <v>2</v>
      </c>
      <c r="E416" s="57">
        <v>0</v>
      </c>
    </row>
    <row r="417" spans="2:5" ht="15" customHeight="1">
      <c r="B417" s="90"/>
      <c r="C417" s="55" t="s">
        <v>166</v>
      </c>
      <c r="D417" s="58">
        <v>5</v>
      </c>
      <c r="E417" s="57">
        <v>0</v>
      </c>
    </row>
    <row r="418" spans="2:5" ht="15" customHeight="1">
      <c r="B418" s="90"/>
      <c r="C418" s="55" t="s">
        <v>155</v>
      </c>
      <c r="D418" s="58">
        <v>12</v>
      </c>
      <c r="E418" s="57">
        <v>1E-3</v>
      </c>
    </row>
    <row r="419" spans="2:5" ht="15" customHeight="1">
      <c r="B419" s="90"/>
      <c r="C419" s="55" t="s">
        <v>167</v>
      </c>
      <c r="D419" s="58">
        <v>7</v>
      </c>
      <c r="E419" s="57">
        <v>0</v>
      </c>
    </row>
    <row r="420" spans="2:5" ht="15" customHeight="1">
      <c r="B420" s="90"/>
      <c r="C420" s="55" t="s">
        <v>156</v>
      </c>
      <c r="D420" s="58">
        <v>19</v>
      </c>
      <c r="E420" s="57">
        <v>1E-3</v>
      </c>
    </row>
    <row r="421" spans="2:5" ht="15" customHeight="1">
      <c r="B421" s="90"/>
      <c r="C421" s="55" t="s">
        <v>175</v>
      </c>
      <c r="D421" s="58">
        <v>1</v>
      </c>
      <c r="E421" s="57">
        <v>0</v>
      </c>
    </row>
    <row r="422" spans="2:5" ht="15" customHeight="1">
      <c r="B422" s="90"/>
      <c r="C422" s="55" t="s">
        <v>168</v>
      </c>
      <c r="D422" s="58">
        <v>5</v>
      </c>
      <c r="E422" s="57">
        <v>0</v>
      </c>
    </row>
    <row r="423" spans="2:5" ht="15" customHeight="1">
      <c r="B423" s="91"/>
      <c r="C423" s="72" t="s">
        <v>284</v>
      </c>
      <c r="D423" s="73">
        <v>292</v>
      </c>
      <c r="E423" s="71">
        <v>1.9E-2</v>
      </c>
    </row>
    <row r="424" spans="2:5" ht="15" customHeight="1">
      <c r="B424" s="89" t="s">
        <v>60</v>
      </c>
      <c r="C424" s="55" t="s">
        <v>140</v>
      </c>
      <c r="D424" s="58">
        <v>2</v>
      </c>
      <c r="E424" s="57">
        <v>0</v>
      </c>
    </row>
    <row r="425" spans="2:5" ht="15" customHeight="1">
      <c r="B425" s="90"/>
      <c r="C425" s="55" t="s">
        <v>169</v>
      </c>
      <c r="D425" s="58">
        <v>9</v>
      </c>
      <c r="E425" s="57">
        <v>1E-3</v>
      </c>
    </row>
    <row r="426" spans="2:5" ht="15" customHeight="1">
      <c r="B426" s="90"/>
      <c r="C426" s="55" t="s">
        <v>141</v>
      </c>
      <c r="D426" s="58">
        <v>6</v>
      </c>
      <c r="E426" s="57">
        <v>0</v>
      </c>
    </row>
    <row r="427" spans="2:5" ht="15" customHeight="1">
      <c r="B427" s="90"/>
      <c r="C427" s="55" t="s">
        <v>142</v>
      </c>
      <c r="D427" s="58">
        <v>8</v>
      </c>
      <c r="E427" s="57">
        <v>1E-3</v>
      </c>
    </row>
    <row r="428" spans="2:5" ht="15" customHeight="1">
      <c r="B428" s="90"/>
      <c r="C428" s="55" t="s">
        <v>143</v>
      </c>
      <c r="D428" s="58">
        <v>27</v>
      </c>
      <c r="E428" s="57">
        <v>2E-3</v>
      </c>
    </row>
    <row r="429" spans="2:5" ht="15" customHeight="1">
      <c r="B429" s="90"/>
      <c r="C429" s="55" t="s">
        <v>144</v>
      </c>
      <c r="D429" s="58">
        <v>54</v>
      </c>
      <c r="E429" s="57">
        <v>3.0000000000000001E-3</v>
      </c>
    </row>
    <row r="430" spans="2:5" ht="15" customHeight="1">
      <c r="B430" s="90"/>
      <c r="C430" s="55" t="s">
        <v>145</v>
      </c>
      <c r="D430" s="58">
        <v>8</v>
      </c>
      <c r="E430" s="57">
        <v>1E-3</v>
      </c>
    </row>
    <row r="431" spans="2:5" ht="15" customHeight="1">
      <c r="B431" s="90"/>
      <c r="C431" s="55" t="s">
        <v>159</v>
      </c>
      <c r="D431" s="58">
        <v>2</v>
      </c>
      <c r="E431" s="57">
        <v>0</v>
      </c>
    </row>
    <row r="432" spans="2:5" ht="15" customHeight="1">
      <c r="B432" s="90"/>
      <c r="C432" s="55" t="s">
        <v>146</v>
      </c>
      <c r="D432" s="58">
        <v>9</v>
      </c>
      <c r="E432" s="57">
        <v>1E-3</v>
      </c>
    </row>
    <row r="433" spans="2:5" ht="15" customHeight="1">
      <c r="B433" s="90"/>
      <c r="C433" s="55" t="s">
        <v>147</v>
      </c>
      <c r="D433" s="58">
        <v>5</v>
      </c>
      <c r="E433" s="57">
        <v>0</v>
      </c>
    </row>
    <row r="434" spans="2:5" ht="15" customHeight="1">
      <c r="B434" s="90"/>
      <c r="C434" s="55" t="s">
        <v>160</v>
      </c>
      <c r="D434" s="58">
        <v>6</v>
      </c>
      <c r="E434" s="57">
        <v>0</v>
      </c>
    </row>
    <row r="435" spans="2:5" ht="15" customHeight="1">
      <c r="B435" s="90"/>
      <c r="C435" s="55" t="s">
        <v>161</v>
      </c>
      <c r="D435" s="58">
        <v>4</v>
      </c>
      <c r="E435" s="57">
        <v>0</v>
      </c>
    </row>
    <row r="436" spans="2:5" ht="15" customHeight="1">
      <c r="B436" s="90"/>
      <c r="C436" s="55" t="s">
        <v>162</v>
      </c>
      <c r="D436" s="58">
        <v>3</v>
      </c>
      <c r="E436" s="57">
        <v>0</v>
      </c>
    </row>
    <row r="437" spans="2:5" ht="15" customHeight="1">
      <c r="B437" s="90"/>
      <c r="C437" s="55" t="s">
        <v>148</v>
      </c>
      <c r="D437" s="58">
        <v>1</v>
      </c>
      <c r="E437" s="57">
        <v>0</v>
      </c>
    </row>
    <row r="438" spans="2:5" ht="15" customHeight="1">
      <c r="B438" s="90"/>
      <c r="C438" s="55" t="s">
        <v>149</v>
      </c>
      <c r="D438" s="58">
        <v>9</v>
      </c>
      <c r="E438" s="57">
        <v>1E-3</v>
      </c>
    </row>
    <row r="439" spans="2:5" ht="15" customHeight="1">
      <c r="B439" s="90"/>
      <c r="C439" s="55" t="s">
        <v>150</v>
      </c>
      <c r="D439" s="58">
        <v>14</v>
      </c>
      <c r="E439" s="57">
        <v>1E-3</v>
      </c>
    </row>
    <row r="440" spans="2:5" ht="15" customHeight="1">
      <c r="B440" s="90"/>
      <c r="C440" s="55" t="s">
        <v>164</v>
      </c>
      <c r="D440" s="58">
        <v>5</v>
      </c>
      <c r="E440" s="57">
        <v>0</v>
      </c>
    </row>
    <row r="441" spans="2:5" ht="15" customHeight="1">
      <c r="B441" s="90"/>
      <c r="C441" s="55" t="s">
        <v>152</v>
      </c>
      <c r="D441" s="58">
        <v>1</v>
      </c>
      <c r="E441" s="57">
        <v>0</v>
      </c>
    </row>
    <row r="442" spans="2:5" ht="15" customHeight="1">
      <c r="B442" s="90"/>
      <c r="C442" s="55" t="s">
        <v>165</v>
      </c>
      <c r="D442" s="58">
        <v>5</v>
      </c>
      <c r="E442" s="57">
        <v>0</v>
      </c>
    </row>
    <row r="443" spans="2:5" ht="15" customHeight="1">
      <c r="B443" s="90"/>
      <c r="C443" s="55" t="s">
        <v>153</v>
      </c>
      <c r="D443" s="58">
        <v>5</v>
      </c>
      <c r="E443" s="57">
        <v>0</v>
      </c>
    </row>
    <row r="444" spans="2:5" ht="15" customHeight="1">
      <c r="B444" s="90"/>
      <c r="C444" s="55" t="s">
        <v>154</v>
      </c>
      <c r="D444" s="58">
        <v>6</v>
      </c>
      <c r="E444" s="57">
        <v>0</v>
      </c>
    </row>
    <row r="445" spans="2:5" ht="15" customHeight="1">
      <c r="B445" s="90"/>
      <c r="C445" s="55" t="s">
        <v>174</v>
      </c>
      <c r="D445" s="58">
        <v>1</v>
      </c>
      <c r="E445" s="57">
        <v>0</v>
      </c>
    </row>
    <row r="446" spans="2:5" ht="15" customHeight="1">
      <c r="B446" s="90"/>
      <c r="C446" s="55" t="s">
        <v>166</v>
      </c>
      <c r="D446" s="58">
        <v>2</v>
      </c>
      <c r="E446" s="57">
        <v>0</v>
      </c>
    </row>
    <row r="447" spans="2:5" ht="15" customHeight="1">
      <c r="B447" s="90"/>
      <c r="C447" s="55" t="s">
        <v>155</v>
      </c>
      <c r="D447" s="58">
        <v>6</v>
      </c>
      <c r="E447" s="57">
        <v>0</v>
      </c>
    </row>
    <row r="448" spans="2:5" ht="15" customHeight="1">
      <c r="B448" s="90"/>
      <c r="C448" s="55" t="s">
        <v>167</v>
      </c>
      <c r="D448" s="58">
        <v>4</v>
      </c>
      <c r="E448" s="57">
        <v>0</v>
      </c>
    </row>
    <row r="449" spans="2:5" ht="15" customHeight="1">
      <c r="B449" s="90"/>
      <c r="C449" s="55" t="s">
        <v>156</v>
      </c>
      <c r="D449" s="58">
        <v>9</v>
      </c>
      <c r="E449" s="57">
        <v>1E-3</v>
      </c>
    </row>
    <row r="450" spans="2:5" ht="15" customHeight="1">
      <c r="B450" s="90"/>
      <c r="C450" s="55" t="s">
        <v>175</v>
      </c>
      <c r="D450" s="58">
        <v>1</v>
      </c>
      <c r="E450" s="57">
        <v>0</v>
      </c>
    </row>
    <row r="451" spans="2:5" ht="15" customHeight="1">
      <c r="B451" s="91"/>
      <c r="C451" s="72" t="s">
        <v>284</v>
      </c>
      <c r="D451" s="73">
        <v>212</v>
      </c>
      <c r="E451" s="71">
        <v>1.4E-2</v>
      </c>
    </row>
    <row r="452" spans="2:5" ht="15" customHeight="1">
      <c r="B452" s="89" t="s">
        <v>47</v>
      </c>
      <c r="C452" s="55" t="s">
        <v>140</v>
      </c>
      <c r="D452" s="58">
        <v>10</v>
      </c>
      <c r="E452" s="57">
        <v>1E-3</v>
      </c>
    </row>
    <row r="453" spans="2:5" ht="15" customHeight="1">
      <c r="B453" s="90"/>
      <c r="C453" s="55" t="s">
        <v>169</v>
      </c>
      <c r="D453" s="58">
        <v>4</v>
      </c>
      <c r="E453" s="57">
        <v>0</v>
      </c>
    </row>
    <row r="454" spans="2:5" ht="15" customHeight="1">
      <c r="B454" s="90"/>
      <c r="C454" s="55" t="s">
        <v>141</v>
      </c>
      <c r="D454" s="58">
        <v>56</v>
      </c>
      <c r="E454" s="57">
        <v>4.0000000000000001E-3</v>
      </c>
    </row>
    <row r="455" spans="2:5" ht="15" customHeight="1">
      <c r="B455" s="90"/>
      <c r="C455" s="55" t="s">
        <v>142</v>
      </c>
      <c r="D455" s="58">
        <v>71</v>
      </c>
      <c r="E455" s="57">
        <v>5.0000000000000001E-3</v>
      </c>
    </row>
    <row r="456" spans="2:5" ht="15" customHeight="1">
      <c r="B456" s="90"/>
      <c r="C456" s="55" t="s">
        <v>157</v>
      </c>
      <c r="D456" s="58">
        <v>8</v>
      </c>
      <c r="E456" s="57">
        <v>1E-3</v>
      </c>
    </row>
    <row r="457" spans="2:5" ht="15" customHeight="1">
      <c r="B457" s="90"/>
      <c r="C457" s="55" t="s">
        <v>143</v>
      </c>
      <c r="D457" s="58">
        <v>199</v>
      </c>
      <c r="E457" s="57">
        <v>1.2999999999999999E-2</v>
      </c>
    </row>
    <row r="458" spans="2:5" ht="15" customHeight="1">
      <c r="B458" s="90"/>
      <c r="C458" s="55" t="s">
        <v>144</v>
      </c>
      <c r="D458" s="58">
        <v>294</v>
      </c>
      <c r="E458" s="57">
        <v>1.9E-2</v>
      </c>
    </row>
    <row r="459" spans="2:5" ht="15" customHeight="1">
      <c r="B459" s="90"/>
      <c r="C459" s="55" t="s">
        <v>257</v>
      </c>
      <c r="D459" s="58">
        <v>3</v>
      </c>
      <c r="E459" s="57">
        <v>0</v>
      </c>
    </row>
    <row r="460" spans="2:5" ht="15" customHeight="1">
      <c r="B460" s="90"/>
      <c r="C460" s="55" t="s">
        <v>145</v>
      </c>
      <c r="D460" s="58">
        <v>22</v>
      </c>
      <c r="E460" s="57">
        <v>1E-3</v>
      </c>
    </row>
    <row r="461" spans="2:5" ht="15" customHeight="1">
      <c r="B461" s="90"/>
      <c r="C461" s="55" t="s">
        <v>158</v>
      </c>
      <c r="D461" s="58">
        <v>5</v>
      </c>
      <c r="E461" s="57">
        <v>0</v>
      </c>
    </row>
    <row r="462" spans="2:5" ht="15" customHeight="1">
      <c r="B462" s="90"/>
      <c r="C462" s="55" t="s">
        <v>159</v>
      </c>
      <c r="D462" s="58">
        <v>12</v>
      </c>
      <c r="E462" s="57">
        <v>1E-3</v>
      </c>
    </row>
    <row r="463" spans="2:5" ht="15" customHeight="1">
      <c r="B463" s="90"/>
      <c r="C463" s="55" t="s">
        <v>146</v>
      </c>
      <c r="D463" s="58">
        <v>29</v>
      </c>
      <c r="E463" s="57">
        <v>2E-3</v>
      </c>
    </row>
    <row r="464" spans="2:5" ht="15" customHeight="1">
      <c r="B464" s="90"/>
      <c r="C464" s="55" t="s">
        <v>147</v>
      </c>
      <c r="D464" s="58">
        <v>122</v>
      </c>
      <c r="E464" s="57">
        <v>8.0000000000000002E-3</v>
      </c>
    </row>
    <row r="465" spans="2:5" ht="15" customHeight="1">
      <c r="B465" s="90"/>
      <c r="C465" s="55" t="s">
        <v>160</v>
      </c>
      <c r="D465" s="58">
        <v>5</v>
      </c>
      <c r="E465" s="57">
        <v>0</v>
      </c>
    </row>
    <row r="466" spans="2:5" ht="15" customHeight="1">
      <c r="B466" s="90"/>
      <c r="C466" s="55" t="s">
        <v>161</v>
      </c>
      <c r="D466" s="58">
        <v>14</v>
      </c>
      <c r="E466" s="57">
        <v>1E-3</v>
      </c>
    </row>
    <row r="467" spans="2:5" ht="15" customHeight="1">
      <c r="B467" s="90"/>
      <c r="C467" s="55" t="s">
        <v>162</v>
      </c>
      <c r="D467" s="58">
        <v>27</v>
      </c>
      <c r="E467" s="57">
        <v>2E-3</v>
      </c>
    </row>
    <row r="468" spans="2:5" ht="15" customHeight="1">
      <c r="B468" s="90"/>
      <c r="C468" s="55" t="s">
        <v>148</v>
      </c>
      <c r="D468" s="58">
        <v>9</v>
      </c>
      <c r="E468" s="57">
        <v>1E-3</v>
      </c>
    </row>
    <row r="469" spans="2:5" ht="15" customHeight="1">
      <c r="B469" s="90"/>
      <c r="C469" s="55" t="s">
        <v>149</v>
      </c>
      <c r="D469" s="58">
        <v>52</v>
      </c>
      <c r="E469" s="57">
        <v>3.0000000000000001E-3</v>
      </c>
    </row>
    <row r="470" spans="2:5" ht="15" customHeight="1">
      <c r="B470" s="90"/>
      <c r="C470" s="55" t="s">
        <v>150</v>
      </c>
      <c r="D470" s="58">
        <v>37</v>
      </c>
      <c r="E470" s="57">
        <v>2E-3</v>
      </c>
    </row>
    <row r="471" spans="2:5" ht="15" customHeight="1">
      <c r="B471" s="90"/>
      <c r="C471" s="55" t="s">
        <v>164</v>
      </c>
      <c r="D471" s="58">
        <v>14</v>
      </c>
      <c r="E471" s="57">
        <v>1E-3</v>
      </c>
    </row>
    <row r="472" spans="2:5" ht="15" customHeight="1">
      <c r="B472" s="90"/>
      <c r="C472" s="55" t="s">
        <v>151</v>
      </c>
      <c r="D472" s="58">
        <v>13</v>
      </c>
      <c r="E472" s="57">
        <v>1E-3</v>
      </c>
    </row>
    <row r="473" spans="2:5" ht="15" customHeight="1">
      <c r="B473" s="90"/>
      <c r="C473" s="55" t="s">
        <v>152</v>
      </c>
      <c r="D473" s="58">
        <v>17</v>
      </c>
      <c r="E473" s="57">
        <v>1E-3</v>
      </c>
    </row>
    <row r="474" spans="2:5" ht="15" customHeight="1">
      <c r="B474" s="90"/>
      <c r="C474" s="55" t="s">
        <v>165</v>
      </c>
      <c r="D474" s="58">
        <v>4</v>
      </c>
      <c r="E474" s="57">
        <v>0</v>
      </c>
    </row>
    <row r="475" spans="2:5" ht="15" customHeight="1">
      <c r="B475" s="90"/>
      <c r="C475" s="55" t="s">
        <v>173</v>
      </c>
      <c r="D475" s="58">
        <v>1</v>
      </c>
      <c r="E475" s="57">
        <v>0</v>
      </c>
    </row>
    <row r="476" spans="2:5" ht="15" customHeight="1">
      <c r="B476" s="90"/>
      <c r="C476" s="55" t="s">
        <v>153</v>
      </c>
      <c r="D476" s="58">
        <v>30</v>
      </c>
      <c r="E476" s="57">
        <v>2E-3</v>
      </c>
    </row>
    <row r="477" spans="2:5" ht="15" customHeight="1">
      <c r="B477" s="90"/>
      <c r="C477" s="55" t="s">
        <v>154</v>
      </c>
      <c r="D477" s="58">
        <v>40</v>
      </c>
      <c r="E477" s="57">
        <v>3.0000000000000001E-3</v>
      </c>
    </row>
    <row r="478" spans="2:5" ht="15" customHeight="1">
      <c r="B478" s="90"/>
      <c r="C478" s="55" t="s">
        <v>170</v>
      </c>
      <c r="D478" s="58">
        <v>5</v>
      </c>
      <c r="E478" s="57">
        <v>0</v>
      </c>
    </row>
    <row r="479" spans="2:5" ht="15" customHeight="1">
      <c r="B479" s="90"/>
      <c r="C479" s="55" t="s">
        <v>174</v>
      </c>
      <c r="D479" s="58">
        <v>1</v>
      </c>
      <c r="E479" s="57">
        <v>0</v>
      </c>
    </row>
    <row r="480" spans="2:5" ht="15" customHeight="1">
      <c r="B480" s="90"/>
      <c r="C480" s="55" t="s">
        <v>166</v>
      </c>
      <c r="D480" s="58">
        <v>17</v>
      </c>
      <c r="E480" s="57">
        <v>1E-3</v>
      </c>
    </row>
    <row r="481" spans="2:5" ht="15" customHeight="1">
      <c r="B481" s="90"/>
      <c r="C481" s="55" t="s">
        <v>155</v>
      </c>
      <c r="D481" s="58">
        <v>55</v>
      </c>
      <c r="E481" s="57">
        <v>4.0000000000000001E-3</v>
      </c>
    </row>
    <row r="482" spans="2:5" ht="15" customHeight="1">
      <c r="B482" s="90"/>
      <c r="C482" s="55" t="s">
        <v>167</v>
      </c>
      <c r="D482" s="58">
        <v>17</v>
      </c>
      <c r="E482" s="57">
        <v>1E-3</v>
      </c>
    </row>
    <row r="483" spans="2:5" ht="15" customHeight="1">
      <c r="B483" s="90"/>
      <c r="C483" s="55" t="s">
        <v>156</v>
      </c>
      <c r="D483" s="58">
        <v>76</v>
      </c>
      <c r="E483" s="57">
        <v>5.0000000000000001E-3</v>
      </c>
    </row>
    <row r="484" spans="2:5" ht="15" customHeight="1">
      <c r="B484" s="90"/>
      <c r="C484" s="55" t="s">
        <v>175</v>
      </c>
      <c r="D484" s="58">
        <v>6</v>
      </c>
      <c r="E484" s="57">
        <v>0</v>
      </c>
    </row>
    <row r="485" spans="2:5" ht="15" customHeight="1">
      <c r="B485" s="90"/>
      <c r="C485" s="55" t="s">
        <v>168</v>
      </c>
      <c r="D485" s="58">
        <v>5</v>
      </c>
      <c r="E485" s="57">
        <v>0</v>
      </c>
    </row>
    <row r="486" spans="2:5" ht="15" customHeight="1">
      <c r="B486" s="91"/>
      <c r="C486" s="72" t="s">
        <v>284</v>
      </c>
      <c r="D486" s="73">
        <v>1280</v>
      </c>
      <c r="E486" s="71">
        <v>8.3000000000000004E-2</v>
      </c>
    </row>
    <row r="487" spans="2:5" ht="15" customHeight="1">
      <c r="B487" s="89" t="s">
        <v>79</v>
      </c>
      <c r="C487" s="55" t="s">
        <v>140</v>
      </c>
      <c r="D487" s="58">
        <v>1</v>
      </c>
      <c r="E487" s="57">
        <v>0</v>
      </c>
    </row>
    <row r="488" spans="2:5" ht="15" customHeight="1">
      <c r="B488" s="90"/>
      <c r="C488" s="55" t="s">
        <v>142</v>
      </c>
      <c r="D488" s="58">
        <v>3</v>
      </c>
      <c r="E488" s="57">
        <v>0</v>
      </c>
    </row>
    <row r="489" spans="2:5" ht="15" customHeight="1">
      <c r="B489" s="90"/>
      <c r="C489" s="55" t="s">
        <v>157</v>
      </c>
      <c r="D489" s="58">
        <v>1</v>
      </c>
      <c r="E489" s="57">
        <v>0</v>
      </c>
    </row>
    <row r="490" spans="2:5" ht="15" customHeight="1">
      <c r="B490" s="90"/>
      <c r="C490" s="55" t="s">
        <v>143</v>
      </c>
      <c r="D490" s="58">
        <v>10</v>
      </c>
      <c r="E490" s="57">
        <v>1E-3</v>
      </c>
    </row>
    <row r="491" spans="2:5" ht="15" customHeight="1">
      <c r="B491" s="90"/>
      <c r="C491" s="55" t="s">
        <v>144</v>
      </c>
      <c r="D491" s="58">
        <v>10</v>
      </c>
      <c r="E491" s="57">
        <v>1E-3</v>
      </c>
    </row>
    <row r="492" spans="2:5" ht="15" customHeight="1">
      <c r="B492" s="90"/>
      <c r="C492" s="55" t="s">
        <v>145</v>
      </c>
      <c r="D492" s="58">
        <v>1</v>
      </c>
      <c r="E492" s="57">
        <v>0</v>
      </c>
    </row>
    <row r="493" spans="2:5" ht="15" customHeight="1">
      <c r="B493" s="90"/>
      <c r="C493" s="55" t="s">
        <v>146</v>
      </c>
      <c r="D493" s="58">
        <v>1</v>
      </c>
      <c r="E493" s="57">
        <v>0</v>
      </c>
    </row>
    <row r="494" spans="2:5" ht="15" customHeight="1">
      <c r="B494" s="90"/>
      <c r="C494" s="55" t="s">
        <v>147</v>
      </c>
      <c r="D494" s="58">
        <v>1</v>
      </c>
      <c r="E494" s="57">
        <v>0</v>
      </c>
    </row>
    <row r="495" spans="2:5" ht="15" customHeight="1">
      <c r="B495" s="90"/>
      <c r="C495" s="55" t="s">
        <v>161</v>
      </c>
      <c r="D495" s="58">
        <v>1</v>
      </c>
      <c r="E495" s="57">
        <v>0</v>
      </c>
    </row>
    <row r="496" spans="2:5" ht="15" customHeight="1">
      <c r="B496" s="90"/>
      <c r="C496" s="55" t="s">
        <v>162</v>
      </c>
      <c r="D496" s="58">
        <v>1</v>
      </c>
      <c r="E496" s="57">
        <v>0</v>
      </c>
    </row>
    <row r="497" spans="2:5" ht="15" customHeight="1">
      <c r="B497" s="90"/>
      <c r="C497" s="55" t="s">
        <v>149</v>
      </c>
      <c r="D497" s="58">
        <v>3</v>
      </c>
      <c r="E497" s="57">
        <v>0</v>
      </c>
    </row>
    <row r="498" spans="2:5" ht="15" customHeight="1">
      <c r="B498" s="90"/>
      <c r="C498" s="55" t="s">
        <v>150</v>
      </c>
      <c r="D498" s="58">
        <v>3</v>
      </c>
      <c r="E498" s="57">
        <v>0</v>
      </c>
    </row>
    <row r="499" spans="2:5" ht="15" customHeight="1">
      <c r="B499" s="90"/>
      <c r="C499" s="55" t="s">
        <v>164</v>
      </c>
      <c r="D499" s="58">
        <v>3</v>
      </c>
      <c r="E499" s="57">
        <v>0</v>
      </c>
    </row>
    <row r="500" spans="2:5" ht="15" customHeight="1">
      <c r="B500" s="90"/>
      <c r="C500" s="55" t="s">
        <v>154</v>
      </c>
      <c r="D500" s="58">
        <v>2</v>
      </c>
      <c r="E500" s="57">
        <v>0</v>
      </c>
    </row>
    <row r="501" spans="2:5" ht="15" customHeight="1">
      <c r="B501" s="90"/>
      <c r="C501" s="55" t="s">
        <v>166</v>
      </c>
      <c r="D501" s="58">
        <v>3</v>
      </c>
      <c r="E501" s="57">
        <v>0</v>
      </c>
    </row>
    <row r="502" spans="2:5" ht="15" customHeight="1">
      <c r="B502" s="90"/>
      <c r="C502" s="55" t="s">
        <v>155</v>
      </c>
      <c r="D502" s="58">
        <v>1</v>
      </c>
      <c r="E502" s="57">
        <v>0</v>
      </c>
    </row>
    <row r="503" spans="2:5" ht="15" customHeight="1">
      <c r="B503" s="90"/>
      <c r="C503" s="55" t="s">
        <v>156</v>
      </c>
      <c r="D503" s="58">
        <v>1</v>
      </c>
      <c r="E503" s="57">
        <v>0</v>
      </c>
    </row>
    <row r="504" spans="2:5" ht="15" customHeight="1">
      <c r="B504" s="91"/>
      <c r="C504" s="72" t="s">
        <v>284</v>
      </c>
      <c r="D504" s="73">
        <v>46</v>
      </c>
      <c r="E504" s="71">
        <v>3.0000000000000001E-3</v>
      </c>
    </row>
    <row r="505" spans="2:5" ht="15" customHeight="1">
      <c r="B505" s="89" t="s">
        <v>70</v>
      </c>
      <c r="C505" s="55" t="s">
        <v>169</v>
      </c>
      <c r="D505" s="58">
        <v>2</v>
      </c>
      <c r="E505" s="57">
        <v>0</v>
      </c>
    </row>
    <row r="506" spans="2:5" ht="15" customHeight="1">
      <c r="B506" s="90"/>
      <c r="C506" s="55" t="s">
        <v>141</v>
      </c>
      <c r="D506" s="58">
        <v>3</v>
      </c>
      <c r="E506" s="57">
        <v>0</v>
      </c>
    </row>
    <row r="507" spans="2:5" ht="15" customHeight="1">
      <c r="B507" s="90"/>
      <c r="C507" s="55" t="s">
        <v>142</v>
      </c>
      <c r="D507" s="58">
        <v>3</v>
      </c>
      <c r="E507" s="57">
        <v>0</v>
      </c>
    </row>
    <row r="508" spans="2:5" ht="15" customHeight="1">
      <c r="B508" s="90"/>
      <c r="C508" s="55" t="s">
        <v>157</v>
      </c>
      <c r="D508" s="58">
        <v>1</v>
      </c>
      <c r="E508" s="57">
        <v>0</v>
      </c>
    </row>
    <row r="509" spans="2:5" ht="15" customHeight="1">
      <c r="B509" s="90"/>
      <c r="C509" s="55" t="s">
        <v>143</v>
      </c>
      <c r="D509" s="58">
        <v>14</v>
      </c>
      <c r="E509" s="57">
        <v>1E-3</v>
      </c>
    </row>
    <row r="510" spans="2:5" ht="15" customHeight="1">
      <c r="B510" s="90"/>
      <c r="C510" s="55" t="s">
        <v>144</v>
      </c>
      <c r="D510" s="58">
        <v>30</v>
      </c>
      <c r="E510" s="57">
        <v>2E-3</v>
      </c>
    </row>
    <row r="511" spans="2:5" ht="15" customHeight="1">
      <c r="B511" s="90"/>
      <c r="C511" s="55" t="s">
        <v>257</v>
      </c>
      <c r="D511" s="58">
        <v>3</v>
      </c>
      <c r="E511" s="57">
        <v>0</v>
      </c>
    </row>
    <row r="512" spans="2:5" ht="15" customHeight="1">
      <c r="B512" s="90"/>
      <c r="C512" s="55" t="s">
        <v>145</v>
      </c>
      <c r="D512" s="58">
        <v>2</v>
      </c>
      <c r="E512" s="57">
        <v>0</v>
      </c>
    </row>
    <row r="513" spans="2:5" ht="15" customHeight="1">
      <c r="B513" s="90"/>
      <c r="C513" s="55" t="s">
        <v>158</v>
      </c>
      <c r="D513" s="58">
        <v>1</v>
      </c>
      <c r="E513" s="57">
        <v>0</v>
      </c>
    </row>
    <row r="514" spans="2:5" ht="15" customHeight="1">
      <c r="B514" s="90"/>
      <c r="C514" s="55" t="s">
        <v>146</v>
      </c>
      <c r="D514" s="58">
        <v>3</v>
      </c>
      <c r="E514" s="57">
        <v>0</v>
      </c>
    </row>
    <row r="515" spans="2:5" ht="15" customHeight="1">
      <c r="B515" s="90"/>
      <c r="C515" s="55" t="s">
        <v>147</v>
      </c>
      <c r="D515" s="58">
        <v>5</v>
      </c>
      <c r="E515" s="57">
        <v>0</v>
      </c>
    </row>
    <row r="516" spans="2:5" ht="15" customHeight="1">
      <c r="B516" s="90"/>
      <c r="C516" s="55" t="s">
        <v>160</v>
      </c>
      <c r="D516" s="58">
        <v>1</v>
      </c>
      <c r="E516" s="57">
        <v>0</v>
      </c>
    </row>
    <row r="517" spans="2:5" ht="15" customHeight="1">
      <c r="B517" s="90"/>
      <c r="C517" s="55" t="s">
        <v>162</v>
      </c>
      <c r="D517" s="58">
        <v>9</v>
      </c>
      <c r="E517" s="57">
        <v>1E-3</v>
      </c>
    </row>
    <row r="518" spans="2:5" ht="15" customHeight="1">
      <c r="B518" s="90"/>
      <c r="C518" s="55" t="s">
        <v>148</v>
      </c>
      <c r="D518" s="58">
        <v>12</v>
      </c>
      <c r="E518" s="57">
        <v>1E-3</v>
      </c>
    </row>
    <row r="519" spans="2:5" ht="15" customHeight="1">
      <c r="B519" s="90"/>
      <c r="C519" s="55" t="s">
        <v>149</v>
      </c>
      <c r="D519" s="58">
        <v>3</v>
      </c>
      <c r="E519" s="57">
        <v>0</v>
      </c>
    </row>
    <row r="520" spans="2:5" ht="15" customHeight="1">
      <c r="B520" s="90"/>
      <c r="C520" s="55" t="s">
        <v>150</v>
      </c>
      <c r="D520" s="58">
        <v>4</v>
      </c>
      <c r="E520" s="57">
        <v>0</v>
      </c>
    </row>
    <row r="521" spans="2:5" ht="15" customHeight="1">
      <c r="B521" s="90"/>
      <c r="C521" s="55" t="s">
        <v>164</v>
      </c>
      <c r="D521" s="58">
        <v>2</v>
      </c>
      <c r="E521" s="57">
        <v>0</v>
      </c>
    </row>
    <row r="522" spans="2:5" ht="15" customHeight="1">
      <c r="B522" s="90"/>
      <c r="C522" s="55" t="s">
        <v>151</v>
      </c>
      <c r="D522" s="58">
        <v>1</v>
      </c>
      <c r="E522" s="57">
        <v>0</v>
      </c>
    </row>
    <row r="523" spans="2:5" ht="15" customHeight="1">
      <c r="B523" s="90"/>
      <c r="C523" s="55" t="s">
        <v>152</v>
      </c>
      <c r="D523" s="58">
        <v>1</v>
      </c>
      <c r="E523" s="57">
        <v>0</v>
      </c>
    </row>
    <row r="524" spans="2:5" ht="15" customHeight="1">
      <c r="B524" s="90"/>
      <c r="C524" s="55" t="s">
        <v>165</v>
      </c>
      <c r="D524" s="58">
        <v>3</v>
      </c>
      <c r="E524" s="57">
        <v>0</v>
      </c>
    </row>
    <row r="525" spans="2:5" ht="15" customHeight="1">
      <c r="B525" s="90"/>
      <c r="C525" s="55" t="s">
        <v>173</v>
      </c>
      <c r="D525" s="58">
        <v>1</v>
      </c>
      <c r="E525" s="57">
        <v>0</v>
      </c>
    </row>
    <row r="526" spans="2:5" ht="15" customHeight="1">
      <c r="B526" s="90"/>
      <c r="C526" s="55" t="s">
        <v>153</v>
      </c>
      <c r="D526" s="58">
        <v>3</v>
      </c>
      <c r="E526" s="57">
        <v>0</v>
      </c>
    </row>
    <row r="527" spans="2:5" ht="15" customHeight="1">
      <c r="B527" s="90"/>
      <c r="C527" s="55" t="s">
        <v>154</v>
      </c>
      <c r="D527" s="58">
        <v>5</v>
      </c>
      <c r="E527" s="57">
        <v>0</v>
      </c>
    </row>
    <row r="528" spans="2:5" ht="15" customHeight="1">
      <c r="B528" s="90"/>
      <c r="C528" s="55" t="s">
        <v>170</v>
      </c>
      <c r="D528" s="58">
        <v>2</v>
      </c>
      <c r="E528" s="57">
        <v>0</v>
      </c>
    </row>
    <row r="529" spans="2:5" ht="15" customHeight="1">
      <c r="B529" s="90"/>
      <c r="C529" s="55" t="s">
        <v>166</v>
      </c>
      <c r="D529" s="58">
        <v>1</v>
      </c>
      <c r="E529" s="57">
        <v>0</v>
      </c>
    </row>
    <row r="530" spans="2:5" ht="15" customHeight="1">
      <c r="B530" s="90"/>
      <c r="C530" s="55" t="s">
        <v>155</v>
      </c>
      <c r="D530" s="58">
        <v>1</v>
      </c>
      <c r="E530" s="57">
        <v>0</v>
      </c>
    </row>
    <row r="531" spans="2:5" ht="15" customHeight="1">
      <c r="B531" s="90"/>
      <c r="C531" s="55" t="s">
        <v>167</v>
      </c>
      <c r="D531" s="58">
        <v>4</v>
      </c>
      <c r="E531" s="57">
        <v>0</v>
      </c>
    </row>
    <row r="532" spans="2:5" ht="15" customHeight="1">
      <c r="B532" s="90"/>
      <c r="C532" s="55" t="s">
        <v>156</v>
      </c>
      <c r="D532" s="58">
        <v>7</v>
      </c>
      <c r="E532" s="57">
        <v>0</v>
      </c>
    </row>
    <row r="533" spans="2:5" ht="15" customHeight="1">
      <c r="B533" s="91"/>
      <c r="C533" s="72" t="s">
        <v>284</v>
      </c>
      <c r="D533" s="73">
        <v>127</v>
      </c>
      <c r="E533" s="71">
        <v>8.0000000000000002E-3</v>
      </c>
    </row>
    <row r="534" spans="2:5" ht="15" customHeight="1">
      <c r="B534" s="89" t="s">
        <v>72</v>
      </c>
      <c r="C534" s="55" t="s">
        <v>140</v>
      </c>
      <c r="D534" s="58">
        <v>1</v>
      </c>
      <c r="E534" s="57">
        <v>0</v>
      </c>
    </row>
    <row r="535" spans="2:5" ht="15" customHeight="1">
      <c r="B535" s="90"/>
      <c r="C535" s="55" t="s">
        <v>169</v>
      </c>
      <c r="D535" s="58">
        <v>5</v>
      </c>
      <c r="E535" s="57">
        <v>0</v>
      </c>
    </row>
    <row r="536" spans="2:5" ht="15" customHeight="1">
      <c r="B536" s="90"/>
      <c r="C536" s="55" t="s">
        <v>142</v>
      </c>
      <c r="D536" s="58">
        <v>4</v>
      </c>
      <c r="E536" s="57">
        <v>0</v>
      </c>
    </row>
    <row r="537" spans="2:5" ht="15" customHeight="1">
      <c r="B537" s="90"/>
      <c r="C537" s="55" t="s">
        <v>157</v>
      </c>
      <c r="D537" s="58">
        <v>1</v>
      </c>
      <c r="E537" s="57">
        <v>0</v>
      </c>
    </row>
    <row r="538" spans="2:5" ht="15" customHeight="1">
      <c r="B538" s="90"/>
      <c r="C538" s="55" t="s">
        <v>143</v>
      </c>
      <c r="D538" s="58">
        <v>16</v>
      </c>
      <c r="E538" s="57">
        <v>1E-3</v>
      </c>
    </row>
    <row r="539" spans="2:5" ht="15" customHeight="1">
      <c r="B539" s="90"/>
      <c r="C539" s="55" t="s">
        <v>144</v>
      </c>
      <c r="D539" s="58">
        <v>16</v>
      </c>
      <c r="E539" s="57">
        <v>1E-3</v>
      </c>
    </row>
    <row r="540" spans="2:5" ht="15" customHeight="1">
      <c r="B540" s="90"/>
      <c r="C540" s="55" t="s">
        <v>257</v>
      </c>
      <c r="D540" s="58">
        <v>1</v>
      </c>
      <c r="E540" s="57">
        <v>0</v>
      </c>
    </row>
    <row r="541" spans="2:5" ht="15" customHeight="1">
      <c r="B541" s="90"/>
      <c r="C541" s="55" t="s">
        <v>159</v>
      </c>
      <c r="D541" s="58">
        <v>3</v>
      </c>
      <c r="E541" s="57">
        <v>0</v>
      </c>
    </row>
    <row r="542" spans="2:5" ht="15" customHeight="1">
      <c r="B542" s="90"/>
      <c r="C542" s="55" t="s">
        <v>146</v>
      </c>
      <c r="D542" s="58">
        <v>2</v>
      </c>
      <c r="E542" s="57">
        <v>0</v>
      </c>
    </row>
    <row r="543" spans="2:5" ht="15" customHeight="1">
      <c r="B543" s="90"/>
      <c r="C543" s="55" t="s">
        <v>147</v>
      </c>
      <c r="D543" s="58">
        <v>7</v>
      </c>
      <c r="E543" s="57">
        <v>0</v>
      </c>
    </row>
    <row r="544" spans="2:5" ht="15" customHeight="1">
      <c r="B544" s="90"/>
      <c r="C544" s="55" t="s">
        <v>160</v>
      </c>
      <c r="D544" s="58">
        <v>5</v>
      </c>
      <c r="E544" s="57">
        <v>0</v>
      </c>
    </row>
    <row r="545" spans="2:5" ht="15" customHeight="1">
      <c r="B545" s="90"/>
      <c r="C545" s="55" t="s">
        <v>161</v>
      </c>
      <c r="D545" s="58">
        <v>2</v>
      </c>
      <c r="E545" s="57">
        <v>0</v>
      </c>
    </row>
    <row r="546" spans="2:5" ht="15" customHeight="1">
      <c r="B546" s="90"/>
      <c r="C546" s="55" t="s">
        <v>162</v>
      </c>
      <c r="D546" s="58">
        <v>1</v>
      </c>
      <c r="E546" s="57">
        <v>0</v>
      </c>
    </row>
    <row r="547" spans="2:5" ht="15" customHeight="1">
      <c r="B547" s="90"/>
      <c r="C547" s="55" t="s">
        <v>149</v>
      </c>
      <c r="D547" s="58">
        <v>1</v>
      </c>
      <c r="E547" s="57">
        <v>0</v>
      </c>
    </row>
    <row r="548" spans="2:5" ht="15" customHeight="1">
      <c r="B548" s="90"/>
      <c r="C548" s="55" t="s">
        <v>150</v>
      </c>
      <c r="D548" s="58">
        <v>5</v>
      </c>
      <c r="E548" s="57">
        <v>0</v>
      </c>
    </row>
    <row r="549" spans="2:5" ht="15" customHeight="1">
      <c r="B549" s="90"/>
      <c r="C549" s="55" t="s">
        <v>163</v>
      </c>
      <c r="D549" s="58">
        <v>2</v>
      </c>
      <c r="E549" s="57">
        <v>0</v>
      </c>
    </row>
    <row r="550" spans="2:5" ht="15" customHeight="1">
      <c r="B550" s="90"/>
      <c r="C550" s="55" t="s">
        <v>164</v>
      </c>
      <c r="D550" s="58">
        <v>3</v>
      </c>
      <c r="E550" s="57">
        <v>0</v>
      </c>
    </row>
    <row r="551" spans="2:5" ht="15" customHeight="1">
      <c r="B551" s="90"/>
      <c r="C551" s="55" t="s">
        <v>151</v>
      </c>
      <c r="D551" s="58">
        <v>1</v>
      </c>
      <c r="E551" s="57">
        <v>0</v>
      </c>
    </row>
    <row r="552" spans="2:5" ht="15" customHeight="1">
      <c r="B552" s="90"/>
      <c r="C552" s="55" t="s">
        <v>152</v>
      </c>
      <c r="D552" s="58">
        <v>2</v>
      </c>
      <c r="E552" s="57">
        <v>0</v>
      </c>
    </row>
    <row r="553" spans="2:5" ht="15" customHeight="1">
      <c r="B553" s="90"/>
      <c r="C553" s="55" t="s">
        <v>153</v>
      </c>
      <c r="D553" s="58">
        <v>1</v>
      </c>
      <c r="E553" s="57">
        <v>0</v>
      </c>
    </row>
    <row r="554" spans="2:5" ht="15" customHeight="1">
      <c r="B554" s="90"/>
      <c r="C554" s="55" t="s">
        <v>154</v>
      </c>
      <c r="D554" s="58">
        <v>2</v>
      </c>
      <c r="E554" s="57">
        <v>0</v>
      </c>
    </row>
    <row r="555" spans="2:5" ht="15" customHeight="1">
      <c r="B555" s="90"/>
      <c r="C555" s="55" t="s">
        <v>174</v>
      </c>
      <c r="D555" s="58">
        <v>1</v>
      </c>
      <c r="E555" s="57">
        <v>0</v>
      </c>
    </row>
    <row r="556" spans="2:5" ht="15" customHeight="1">
      <c r="B556" s="90"/>
      <c r="C556" s="55" t="s">
        <v>166</v>
      </c>
      <c r="D556" s="58">
        <v>2</v>
      </c>
      <c r="E556" s="57">
        <v>0</v>
      </c>
    </row>
    <row r="557" spans="2:5" ht="15" customHeight="1">
      <c r="B557" s="90"/>
      <c r="C557" s="55" t="s">
        <v>155</v>
      </c>
      <c r="D557" s="58">
        <v>9</v>
      </c>
      <c r="E557" s="57">
        <v>1E-3</v>
      </c>
    </row>
    <row r="558" spans="2:5" ht="15" customHeight="1">
      <c r="B558" s="90"/>
      <c r="C558" s="55" t="s">
        <v>167</v>
      </c>
      <c r="D558" s="58">
        <v>1</v>
      </c>
      <c r="E558" s="57">
        <v>0</v>
      </c>
    </row>
    <row r="559" spans="2:5" ht="15" customHeight="1">
      <c r="B559" s="90"/>
      <c r="C559" s="55" t="s">
        <v>156</v>
      </c>
      <c r="D559" s="58">
        <v>2</v>
      </c>
      <c r="E559" s="57">
        <v>0</v>
      </c>
    </row>
    <row r="560" spans="2:5" ht="15" customHeight="1">
      <c r="B560" s="91"/>
      <c r="C560" s="72" t="s">
        <v>284</v>
      </c>
      <c r="D560" s="73">
        <v>96</v>
      </c>
      <c r="E560" s="71">
        <v>6.0000000000000001E-3</v>
      </c>
    </row>
    <row r="561" spans="2:5" ht="15" customHeight="1">
      <c r="B561" s="89" t="s">
        <v>82</v>
      </c>
      <c r="C561" s="55" t="s">
        <v>141</v>
      </c>
      <c r="D561" s="58">
        <v>9</v>
      </c>
      <c r="E561" s="57">
        <v>1E-3</v>
      </c>
    </row>
    <row r="562" spans="2:5" ht="15" customHeight="1">
      <c r="B562" s="90"/>
      <c r="C562" s="55" t="s">
        <v>142</v>
      </c>
      <c r="D562" s="58">
        <v>13</v>
      </c>
      <c r="E562" s="57">
        <v>1E-3</v>
      </c>
    </row>
    <row r="563" spans="2:5" ht="15" customHeight="1">
      <c r="B563" s="90"/>
      <c r="C563" s="55" t="s">
        <v>143</v>
      </c>
      <c r="D563" s="58">
        <v>56</v>
      </c>
      <c r="E563" s="57">
        <v>4.0000000000000001E-3</v>
      </c>
    </row>
    <row r="564" spans="2:5" ht="15" customHeight="1">
      <c r="B564" s="90"/>
      <c r="C564" s="55" t="s">
        <v>144</v>
      </c>
      <c r="D564" s="58">
        <v>18</v>
      </c>
      <c r="E564" s="57">
        <v>1E-3</v>
      </c>
    </row>
    <row r="565" spans="2:5" ht="15" customHeight="1">
      <c r="B565" s="90"/>
      <c r="C565" s="55" t="s">
        <v>257</v>
      </c>
      <c r="D565" s="58">
        <v>2</v>
      </c>
      <c r="E565" s="57">
        <v>0</v>
      </c>
    </row>
    <row r="566" spans="2:5" ht="15" customHeight="1">
      <c r="B566" s="90"/>
      <c r="C566" s="55" t="s">
        <v>159</v>
      </c>
      <c r="D566" s="58">
        <v>4</v>
      </c>
      <c r="E566" s="57">
        <v>0</v>
      </c>
    </row>
    <row r="567" spans="2:5" ht="15" customHeight="1">
      <c r="B567" s="90"/>
      <c r="C567" s="55" t="s">
        <v>147</v>
      </c>
      <c r="D567" s="58">
        <v>5</v>
      </c>
      <c r="E567" s="57">
        <v>0</v>
      </c>
    </row>
    <row r="568" spans="2:5" ht="15" customHeight="1">
      <c r="B568" s="90"/>
      <c r="C568" s="55" t="s">
        <v>160</v>
      </c>
      <c r="D568" s="58">
        <v>4</v>
      </c>
      <c r="E568" s="57">
        <v>0</v>
      </c>
    </row>
    <row r="569" spans="2:5" ht="15" customHeight="1">
      <c r="B569" s="90"/>
      <c r="C569" s="55" t="s">
        <v>148</v>
      </c>
      <c r="D569" s="58">
        <v>10</v>
      </c>
      <c r="E569" s="57">
        <v>1E-3</v>
      </c>
    </row>
    <row r="570" spans="2:5" ht="15" customHeight="1">
      <c r="B570" s="90"/>
      <c r="C570" s="55" t="s">
        <v>149</v>
      </c>
      <c r="D570" s="58">
        <v>1</v>
      </c>
      <c r="E570" s="57">
        <v>0</v>
      </c>
    </row>
    <row r="571" spans="2:5" ht="15" customHeight="1">
      <c r="B571" s="90"/>
      <c r="C571" s="55" t="s">
        <v>163</v>
      </c>
      <c r="D571" s="58">
        <v>3</v>
      </c>
      <c r="E571" s="57">
        <v>0</v>
      </c>
    </row>
    <row r="572" spans="2:5" ht="15" customHeight="1">
      <c r="B572" s="90"/>
      <c r="C572" s="55" t="s">
        <v>151</v>
      </c>
      <c r="D572" s="58">
        <v>3</v>
      </c>
      <c r="E572" s="57">
        <v>0</v>
      </c>
    </row>
    <row r="573" spans="2:5" ht="15" customHeight="1">
      <c r="B573" s="90"/>
      <c r="C573" s="55" t="s">
        <v>165</v>
      </c>
      <c r="D573" s="58">
        <v>18</v>
      </c>
      <c r="E573" s="57">
        <v>1E-3</v>
      </c>
    </row>
    <row r="574" spans="2:5" ht="15" customHeight="1">
      <c r="B574" s="90"/>
      <c r="C574" s="55" t="s">
        <v>173</v>
      </c>
      <c r="D574" s="58">
        <v>1</v>
      </c>
      <c r="E574" s="57">
        <v>0</v>
      </c>
    </row>
    <row r="575" spans="2:5" ht="15" customHeight="1">
      <c r="B575" s="90"/>
      <c r="C575" s="55" t="s">
        <v>153</v>
      </c>
      <c r="D575" s="58">
        <v>1</v>
      </c>
      <c r="E575" s="57">
        <v>0</v>
      </c>
    </row>
    <row r="576" spans="2:5" ht="15" customHeight="1">
      <c r="B576" s="90"/>
      <c r="C576" s="55" t="s">
        <v>154</v>
      </c>
      <c r="D576" s="58">
        <v>1</v>
      </c>
      <c r="E576" s="57">
        <v>0</v>
      </c>
    </row>
    <row r="577" spans="2:5" ht="15" customHeight="1">
      <c r="B577" s="90"/>
      <c r="C577" s="55" t="s">
        <v>170</v>
      </c>
      <c r="D577" s="58">
        <v>4</v>
      </c>
      <c r="E577" s="57">
        <v>0</v>
      </c>
    </row>
    <row r="578" spans="2:5" ht="15" customHeight="1">
      <c r="B578" s="90"/>
      <c r="C578" s="55" t="s">
        <v>174</v>
      </c>
      <c r="D578" s="58">
        <v>1</v>
      </c>
      <c r="E578" s="57">
        <v>0</v>
      </c>
    </row>
    <row r="579" spans="2:5" ht="15" customHeight="1">
      <c r="B579" s="90"/>
      <c r="C579" s="55" t="s">
        <v>166</v>
      </c>
      <c r="D579" s="58">
        <v>1</v>
      </c>
      <c r="E579" s="57">
        <v>0</v>
      </c>
    </row>
    <row r="580" spans="2:5" ht="15" customHeight="1">
      <c r="B580" s="90"/>
      <c r="C580" s="55" t="s">
        <v>155</v>
      </c>
      <c r="D580" s="58">
        <v>8</v>
      </c>
      <c r="E580" s="57">
        <v>1E-3</v>
      </c>
    </row>
    <row r="581" spans="2:5" ht="15" customHeight="1">
      <c r="B581" s="90"/>
      <c r="C581" s="55" t="s">
        <v>167</v>
      </c>
      <c r="D581" s="58">
        <v>24</v>
      </c>
      <c r="E581" s="57">
        <v>2E-3</v>
      </c>
    </row>
    <row r="582" spans="2:5" ht="15" customHeight="1">
      <c r="B582" s="90"/>
      <c r="C582" s="55" t="s">
        <v>168</v>
      </c>
      <c r="D582" s="58">
        <v>2</v>
      </c>
      <c r="E582" s="57">
        <v>0</v>
      </c>
    </row>
    <row r="583" spans="2:5" ht="15" customHeight="1">
      <c r="B583" s="91"/>
      <c r="C583" s="72" t="s">
        <v>284</v>
      </c>
      <c r="D583" s="73">
        <v>189</v>
      </c>
      <c r="E583" s="71">
        <v>1.2E-2</v>
      </c>
    </row>
    <row r="584" spans="2:5" ht="15" customHeight="1">
      <c r="B584" s="89" t="s">
        <v>83</v>
      </c>
      <c r="C584" s="55" t="s">
        <v>140</v>
      </c>
      <c r="D584" s="58">
        <v>2</v>
      </c>
      <c r="E584" s="57">
        <v>0</v>
      </c>
    </row>
    <row r="585" spans="2:5" ht="15" customHeight="1">
      <c r="B585" s="90"/>
      <c r="C585" s="55" t="s">
        <v>141</v>
      </c>
      <c r="D585" s="58">
        <v>1</v>
      </c>
      <c r="E585" s="57">
        <v>0</v>
      </c>
    </row>
    <row r="586" spans="2:5" ht="15" customHeight="1">
      <c r="B586" s="90"/>
      <c r="C586" s="55" t="s">
        <v>142</v>
      </c>
      <c r="D586" s="58">
        <v>1</v>
      </c>
      <c r="E586" s="57">
        <v>0</v>
      </c>
    </row>
    <row r="587" spans="2:5" ht="15" customHeight="1">
      <c r="B587" s="90"/>
      <c r="C587" s="55" t="s">
        <v>143</v>
      </c>
      <c r="D587" s="58">
        <v>11</v>
      </c>
      <c r="E587" s="57">
        <v>1E-3</v>
      </c>
    </row>
    <row r="588" spans="2:5" ht="15" customHeight="1">
      <c r="B588" s="90"/>
      <c r="C588" s="55" t="s">
        <v>144</v>
      </c>
      <c r="D588" s="58">
        <v>21</v>
      </c>
      <c r="E588" s="57">
        <v>1E-3</v>
      </c>
    </row>
    <row r="589" spans="2:5" ht="15" customHeight="1">
      <c r="B589" s="90"/>
      <c r="C589" s="55" t="s">
        <v>145</v>
      </c>
      <c r="D589" s="58">
        <v>2</v>
      </c>
      <c r="E589" s="57">
        <v>0</v>
      </c>
    </row>
    <row r="590" spans="2:5" ht="15" customHeight="1">
      <c r="B590" s="90"/>
      <c r="C590" s="55" t="s">
        <v>146</v>
      </c>
      <c r="D590" s="58">
        <v>1</v>
      </c>
      <c r="E590" s="57">
        <v>0</v>
      </c>
    </row>
    <row r="591" spans="2:5" ht="15" customHeight="1">
      <c r="B591" s="90"/>
      <c r="C591" s="55" t="s">
        <v>147</v>
      </c>
      <c r="D591" s="58">
        <v>1</v>
      </c>
      <c r="E591" s="57">
        <v>0</v>
      </c>
    </row>
    <row r="592" spans="2:5" ht="15" customHeight="1">
      <c r="B592" s="90"/>
      <c r="C592" s="55" t="s">
        <v>149</v>
      </c>
      <c r="D592" s="58">
        <v>4</v>
      </c>
      <c r="E592" s="57">
        <v>0</v>
      </c>
    </row>
    <row r="593" spans="2:5" ht="15" customHeight="1">
      <c r="B593" s="90"/>
      <c r="C593" s="55" t="s">
        <v>150</v>
      </c>
      <c r="D593" s="58">
        <v>1</v>
      </c>
      <c r="E593" s="57">
        <v>0</v>
      </c>
    </row>
    <row r="594" spans="2:5" ht="15" customHeight="1">
      <c r="B594" s="90"/>
      <c r="C594" s="55" t="s">
        <v>163</v>
      </c>
      <c r="D594" s="58">
        <v>1</v>
      </c>
      <c r="E594" s="57">
        <v>0</v>
      </c>
    </row>
    <row r="595" spans="2:5" ht="15" customHeight="1">
      <c r="B595" s="90"/>
      <c r="C595" s="55" t="s">
        <v>164</v>
      </c>
      <c r="D595" s="58">
        <v>1</v>
      </c>
      <c r="E595" s="57">
        <v>0</v>
      </c>
    </row>
    <row r="596" spans="2:5" ht="15" customHeight="1">
      <c r="B596" s="90"/>
      <c r="C596" s="55" t="s">
        <v>153</v>
      </c>
      <c r="D596" s="58">
        <v>1</v>
      </c>
      <c r="E596" s="57">
        <v>0</v>
      </c>
    </row>
    <row r="597" spans="2:5" ht="15" customHeight="1">
      <c r="B597" s="90"/>
      <c r="C597" s="55" t="s">
        <v>166</v>
      </c>
      <c r="D597" s="58">
        <v>1</v>
      </c>
      <c r="E597" s="57">
        <v>0</v>
      </c>
    </row>
    <row r="598" spans="2:5" ht="15" customHeight="1">
      <c r="B598" s="90"/>
      <c r="C598" s="55" t="s">
        <v>155</v>
      </c>
      <c r="D598" s="58">
        <v>5</v>
      </c>
      <c r="E598" s="57">
        <v>0</v>
      </c>
    </row>
    <row r="599" spans="2:5" ht="15" customHeight="1">
      <c r="B599" s="90"/>
      <c r="C599" s="55" t="s">
        <v>167</v>
      </c>
      <c r="D599" s="58">
        <v>4</v>
      </c>
      <c r="E599" s="57">
        <v>0</v>
      </c>
    </row>
    <row r="600" spans="2:5" ht="15" customHeight="1">
      <c r="B600" s="90"/>
      <c r="C600" s="55" t="s">
        <v>156</v>
      </c>
      <c r="D600" s="58">
        <v>1</v>
      </c>
      <c r="E600" s="57">
        <v>0</v>
      </c>
    </row>
    <row r="601" spans="2:5" ht="15" customHeight="1">
      <c r="B601" s="91"/>
      <c r="C601" s="72" t="s">
        <v>284</v>
      </c>
      <c r="D601" s="73">
        <v>59</v>
      </c>
      <c r="E601" s="71">
        <v>4.0000000000000001E-3</v>
      </c>
    </row>
    <row r="602" spans="2:5" ht="15" customHeight="1">
      <c r="B602" s="89" t="s">
        <v>48</v>
      </c>
      <c r="C602" s="55" t="s">
        <v>140</v>
      </c>
      <c r="D602" s="58">
        <v>6</v>
      </c>
      <c r="E602" s="57">
        <v>0</v>
      </c>
    </row>
    <row r="603" spans="2:5" ht="15" customHeight="1">
      <c r="B603" s="90"/>
      <c r="C603" s="55" t="s">
        <v>169</v>
      </c>
      <c r="D603" s="58">
        <v>40</v>
      </c>
      <c r="E603" s="57">
        <v>3.0000000000000001E-3</v>
      </c>
    </row>
    <row r="604" spans="2:5" ht="15" customHeight="1">
      <c r="B604" s="90"/>
      <c r="C604" s="55" t="s">
        <v>141</v>
      </c>
      <c r="D604" s="58">
        <v>39</v>
      </c>
      <c r="E604" s="57">
        <v>3.0000000000000001E-3</v>
      </c>
    </row>
    <row r="605" spans="2:5" ht="15" customHeight="1">
      <c r="B605" s="90"/>
      <c r="C605" s="55" t="s">
        <v>142</v>
      </c>
      <c r="D605" s="58">
        <v>157</v>
      </c>
      <c r="E605" s="57">
        <v>0.01</v>
      </c>
    </row>
    <row r="606" spans="2:5" ht="15" customHeight="1">
      <c r="B606" s="90"/>
      <c r="C606" s="55" t="s">
        <v>157</v>
      </c>
      <c r="D606" s="58">
        <v>1</v>
      </c>
      <c r="E606" s="57">
        <v>0</v>
      </c>
    </row>
    <row r="607" spans="2:5" ht="15" customHeight="1">
      <c r="B607" s="90"/>
      <c r="C607" s="55" t="s">
        <v>143</v>
      </c>
      <c r="D607" s="58">
        <v>426</v>
      </c>
      <c r="E607" s="57">
        <v>2.8000000000000001E-2</v>
      </c>
    </row>
    <row r="608" spans="2:5" ht="15" customHeight="1">
      <c r="B608" s="90"/>
      <c r="C608" s="55" t="s">
        <v>144</v>
      </c>
      <c r="D608" s="58">
        <v>75</v>
      </c>
      <c r="E608" s="57">
        <v>5.0000000000000001E-3</v>
      </c>
    </row>
    <row r="609" spans="2:5" ht="15" customHeight="1">
      <c r="B609" s="90"/>
      <c r="C609" s="55" t="s">
        <v>257</v>
      </c>
      <c r="D609" s="58">
        <v>24</v>
      </c>
      <c r="E609" s="57">
        <v>2E-3</v>
      </c>
    </row>
    <row r="610" spans="2:5" ht="15" customHeight="1">
      <c r="B610" s="90"/>
      <c r="C610" s="55" t="s">
        <v>145</v>
      </c>
      <c r="D610" s="58">
        <v>7</v>
      </c>
      <c r="E610" s="57">
        <v>0</v>
      </c>
    </row>
    <row r="611" spans="2:5" ht="15" customHeight="1">
      <c r="B611" s="90"/>
      <c r="C611" s="55" t="s">
        <v>159</v>
      </c>
      <c r="D611" s="58">
        <v>31</v>
      </c>
      <c r="E611" s="57">
        <v>2E-3</v>
      </c>
    </row>
    <row r="612" spans="2:5" ht="15" customHeight="1">
      <c r="B612" s="90"/>
      <c r="C612" s="55" t="s">
        <v>146</v>
      </c>
      <c r="D612" s="58">
        <v>6</v>
      </c>
      <c r="E612" s="57">
        <v>0</v>
      </c>
    </row>
    <row r="613" spans="2:5" ht="15" customHeight="1">
      <c r="B613" s="90"/>
      <c r="C613" s="55" t="s">
        <v>147</v>
      </c>
      <c r="D613" s="58">
        <v>8</v>
      </c>
      <c r="E613" s="57">
        <v>1E-3</v>
      </c>
    </row>
    <row r="614" spans="2:5" ht="15" customHeight="1">
      <c r="B614" s="90"/>
      <c r="C614" s="55" t="s">
        <v>160</v>
      </c>
      <c r="D614" s="58">
        <v>27</v>
      </c>
      <c r="E614" s="57">
        <v>2E-3</v>
      </c>
    </row>
    <row r="615" spans="2:5" ht="15" customHeight="1">
      <c r="B615" s="90"/>
      <c r="C615" s="55" t="s">
        <v>161</v>
      </c>
      <c r="D615" s="58">
        <v>2</v>
      </c>
      <c r="E615" s="57">
        <v>0</v>
      </c>
    </row>
    <row r="616" spans="2:5" ht="15" customHeight="1">
      <c r="B616" s="90"/>
      <c r="C616" s="55" t="s">
        <v>162</v>
      </c>
      <c r="D616" s="58">
        <v>1</v>
      </c>
      <c r="E616" s="57">
        <v>0</v>
      </c>
    </row>
    <row r="617" spans="2:5" ht="15" customHeight="1">
      <c r="B617" s="90"/>
      <c r="C617" s="55" t="s">
        <v>148</v>
      </c>
      <c r="D617" s="58">
        <v>15</v>
      </c>
      <c r="E617" s="57">
        <v>1E-3</v>
      </c>
    </row>
    <row r="618" spans="2:5" ht="15" customHeight="1">
      <c r="B618" s="90"/>
      <c r="C618" s="55" t="s">
        <v>149</v>
      </c>
      <c r="D618" s="58">
        <v>8</v>
      </c>
      <c r="E618" s="57">
        <v>1E-3</v>
      </c>
    </row>
    <row r="619" spans="2:5" ht="15" customHeight="1">
      <c r="B619" s="90"/>
      <c r="C619" s="55" t="s">
        <v>150</v>
      </c>
      <c r="D619" s="58">
        <v>10</v>
      </c>
      <c r="E619" s="57">
        <v>1E-3</v>
      </c>
    </row>
    <row r="620" spans="2:5" ht="15" customHeight="1">
      <c r="B620" s="90"/>
      <c r="C620" s="55" t="s">
        <v>163</v>
      </c>
      <c r="D620" s="58">
        <v>17</v>
      </c>
      <c r="E620" s="57">
        <v>1E-3</v>
      </c>
    </row>
    <row r="621" spans="2:5" ht="15" customHeight="1">
      <c r="B621" s="90"/>
      <c r="C621" s="55" t="s">
        <v>164</v>
      </c>
      <c r="D621" s="58">
        <v>21</v>
      </c>
      <c r="E621" s="57">
        <v>1E-3</v>
      </c>
    </row>
    <row r="622" spans="2:5" ht="15" customHeight="1">
      <c r="B622" s="90"/>
      <c r="C622" s="55" t="s">
        <v>151</v>
      </c>
      <c r="D622" s="58">
        <v>6</v>
      </c>
      <c r="E622" s="57">
        <v>0</v>
      </c>
    </row>
    <row r="623" spans="2:5" ht="15" customHeight="1">
      <c r="B623" s="90"/>
      <c r="C623" s="55" t="s">
        <v>152</v>
      </c>
      <c r="D623" s="58">
        <v>4</v>
      </c>
      <c r="E623" s="57">
        <v>0</v>
      </c>
    </row>
    <row r="624" spans="2:5" ht="15" customHeight="1">
      <c r="B624" s="90"/>
      <c r="C624" s="55" t="s">
        <v>165</v>
      </c>
      <c r="D624" s="58">
        <v>118</v>
      </c>
      <c r="E624" s="57">
        <v>8.0000000000000002E-3</v>
      </c>
    </row>
    <row r="625" spans="2:5" ht="15" customHeight="1">
      <c r="B625" s="90"/>
      <c r="C625" s="55" t="s">
        <v>153</v>
      </c>
      <c r="D625" s="58">
        <v>6</v>
      </c>
      <c r="E625" s="57">
        <v>0</v>
      </c>
    </row>
    <row r="626" spans="2:5" ht="15" customHeight="1">
      <c r="B626" s="90"/>
      <c r="C626" s="55" t="s">
        <v>154</v>
      </c>
      <c r="D626" s="58">
        <v>11</v>
      </c>
      <c r="E626" s="57">
        <v>1E-3</v>
      </c>
    </row>
    <row r="627" spans="2:5" ht="15" customHeight="1">
      <c r="B627" s="90"/>
      <c r="C627" s="55" t="s">
        <v>170</v>
      </c>
      <c r="D627" s="58">
        <v>22</v>
      </c>
      <c r="E627" s="57">
        <v>1E-3</v>
      </c>
    </row>
    <row r="628" spans="2:5" ht="39.950000000000003" customHeight="1">
      <c r="B628" s="90"/>
      <c r="C628" s="55" t="s">
        <v>174</v>
      </c>
      <c r="D628" s="58">
        <v>8</v>
      </c>
      <c r="E628" s="57">
        <v>1E-3</v>
      </c>
    </row>
    <row r="629" spans="2:5" ht="15" customHeight="1">
      <c r="B629" s="90"/>
      <c r="C629" s="55" t="s">
        <v>166</v>
      </c>
      <c r="D629" s="58">
        <v>10</v>
      </c>
      <c r="E629" s="57">
        <v>1E-3</v>
      </c>
    </row>
    <row r="630" spans="2:5" ht="15" customHeight="1">
      <c r="B630" s="90"/>
      <c r="C630" s="55" t="s">
        <v>155</v>
      </c>
      <c r="D630" s="58">
        <v>48</v>
      </c>
      <c r="E630" s="57">
        <v>3.0000000000000001E-3</v>
      </c>
    </row>
    <row r="631" spans="2:5" ht="15" customHeight="1">
      <c r="B631" s="90"/>
      <c r="C631" s="55" t="s">
        <v>167</v>
      </c>
      <c r="D631" s="58">
        <v>60</v>
      </c>
      <c r="E631" s="57">
        <v>4.0000000000000001E-3</v>
      </c>
    </row>
    <row r="632" spans="2:5" ht="15" customHeight="1">
      <c r="B632" s="90"/>
      <c r="C632" s="55" t="s">
        <v>156</v>
      </c>
      <c r="D632" s="58">
        <v>12</v>
      </c>
      <c r="E632" s="57">
        <v>1E-3</v>
      </c>
    </row>
    <row r="633" spans="2:5" ht="15" customHeight="1">
      <c r="B633" s="90"/>
      <c r="C633" s="55" t="s">
        <v>175</v>
      </c>
      <c r="D633" s="58">
        <v>17</v>
      </c>
      <c r="E633" s="57">
        <v>1E-3</v>
      </c>
    </row>
    <row r="634" spans="2:5" ht="15" customHeight="1">
      <c r="B634" s="90"/>
      <c r="C634" s="55" t="s">
        <v>168</v>
      </c>
      <c r="D634" s="58">
        <v>19</v>
      </c>
      <c r="E634" s="57">
        <v>1E-3</v>
      </c>
    </row>
    <row r="635" spans="2:5" ht="15" customHeight="1">
      <c r="B635" s="91"/>
      <c r="C635" s="72" t="s">
        <v>284</v>
      </c>
      <c r="D635" s="73">
        <v>1262</v>
      </c>
      <c r="E635" s="71">
        <v>8.2000000000000003E-2</v>
      </c>
    </row>
    <row r="636" spans="2:5" ht="15" customHeight="1">
      <c r="B636" s="89" t="s">
        <v>75</v>
      </c>
      <c r="C636" s="55" t="s">
        <v>141</v>
      </c>
      <c r="D636" s="58">
        <v>2</v>
      </c>
      <c r="E636" s="57">
        <v>0</v>
      </c>
    </row>
    <row r="637" spans="2:5" ht="15" customHeight="1">
      <c r="B637" s="90"/>
      <c r="C637" s="55" t="s">
        <v>142</v>
      </c>
      <c r="D637" s="58">
        <v>6</v>
      </c>
      <c r="E637" s="57">
        <v>0</v>
      </c>
    </row>
    <row r="638" spans="2:5" ht="15" customHeight="1">
      <c r="B638" s="90"/>
      <c r="C638" s="55" t="s">
        <v>157</v>
      </c>
      <c r="D638" s="58">
        <v>2</v>
      </c>
      <c r="E638" s="57">
        <v>0</v>
      </c>
    </row>
    <row r="639" spans="2:5" ht="15" customHeight="1">
      <c r="B639" s="90"/>
      <c r="C639" s="55" t="s">
        <v>143</v>
      </c>
      <c r="D639" s="58">
        <v>15</v>
      </c>
      <c r="E639" s="57">
        <v>1E-3</v>
      </c>
    </row>
    <row r="640" spans="2:5" ht="15" customHeight="1">
      <c r="B640" s="90"/>
      <c r="C640" s="55" t="s">
        <v>144</v>
      </c>
      <c r="D640" s="58">
        <v>24</v>
      </c>
      <c r="E640" s="57">
        <v>2E-3</v>
      </c>
    </row>
    <row r="641" spans="2:5" ht="15" customHeight="1">
      <c r="B641" s="90"/>
      <c r="C641" s="55" t="s">
        <v>145</v>
      </c>
      <c r="D641" s="58">
        <v>6</v>
      </c>
      <c r="E641" s="57">
        <v>0</v>
      </c>
    </row>
    <row r="642" spans="2:5" ht="15" customHeight="1">
      <c r="B642" s="90"/>
      <c r="C642" s="55" t="s">
        <v>146</v>
      </c>
      <c r="D642" s="58">
        <v>2</v>
      </c>
      <c r="E642" s="57">
        <v>0</v>
      </c>
    </row>
    <row r="643" spans="2:5" ht="15" customHeight="1">
      <c r="B643" s="90"/>
      <c r="C643" s="55" t="s">
        <v>147</v>
      </c>
      <c r="D643" s="58">
        <v>6</v>
      </c>
      <c r="E643" s="57">
        <v>0</v>
      </c>
    </row>
    <row r="644" spans="2:5" ht="15" customHeight="1">
      <c r="B644" s="90"/>
      <c r="C644" s="55" t="s">
        <v>160</v>
      </c>
      <c r="D644" s="58">
        <v>3</v>
      </c>
      <c r="E644" s="57">
        <v>0</v>
      </c>
    </row>
    <row r="645" spans="2:5" ht="15" customHeight="1">
      <c r="B645" s="90"/>
      <c r="C645" s="55" t="s">
        <v>161</v>
      </c>
      <c r="D645" s="58">
        <v>1</v>
      </c>
      <c r="E645" s="57">
        <v>0</v>
      </c>
    </row>
    <row r="646" spans="2:5" ht="15" customHeight="1">
      <c r="B646" s="90"/>
      <c r="C646" s="55" t="s">
        <v>162</v>
      </c>
      <c r="D646" s="58">
        <v>1</v>
      </c>
      <c r="E646" s="57">
        <v>0</v>
      </c>
    </row>
    <row r="647" spans="2:5" ht="15" customHeight="1">
      <c r="B647" s="90"/>
      <c r="C647" s="55" t="s">
        <v>148</v>
      </c>
      <c r="D647" s="58">
        <v>1</v>
      </c>
      <c r="E647" s="57">
        <v>0</v>
      </c>
    </row>
    <row r="648" spans="2:5" ht="15" customHeight="1">
      <c r="B648" s="90"/>
      <c r="C648" s="55" t="s">
        <v>149</v>
      </c>
      <c r="D648" s="58">
        <v>5</v>
      </c>
      <c r="E648" s="57">
        <v>0</v>
      </c>
    </row>
    <row r="649" spans="2:5" ht="15" customHeight="1">
      <c r="B649" s="90"/>
      <c r="C649" s="55" t="s">
        <v>150</v>
      </c>
      <c r="D649" s="58">
        <v>2</v>
      </c>
      <c r="E649" s="57">
        <v>0</v>
      </c>
    </row>
    <row r="650" spans="2:5" ht="15" customHeight="1">
      <c r="B650" s="90"/>
      <c r="C650" s="55" t="s">
        <v>164</v>
      </c>
      <c r="D650" s="58">
        <v>1</v>
      </c>
      <c r="E650" s="57">
        <v>0</v>
      </c>
    </row>
    <row r="651" spans="2:5" ht="15" customHeight="1">
      <c r="B651" s="90"/>
      <c r="C651" s="55" t="s">
        <v>151</v>
      </c>
      <c r="D651" s="58">
        <v>5</v>
      </c>
      <c r="E651" s="57">
        <v>0</v>
      </c>
    </row>
    <row r="652" spans="2:5" ht="15" customHeight="1">
      <c r="B652" s="90"/>
      <c r="C652" s="55" t="s">
        <v>165</v>
      </c>
      <c r="D652" s="58">
        <v>1</v>
      </c>
      <c r="E652" s="57">
        <v>0</v>
      </c>
    </row>
    <row r="653" spans="2:5" ht="15" customHeight="1">
      <c r="B653" s="90"/>
      <c r="C653" s="55" t="s">
        <v>154</v>
      </c>
      <c r="D653" s="58">
        <v>2</v>
      </c>
      <c r="E653" s="57">
        <v>0</v>
      </c>
    </row>
    <row r="654" spans="2:5" ht="15" customHeight="1">
      <c r="B654" s="90"/>
      <c r="C654" s="55" t="s">
        <v>174</v>
      </c>
      <c r="D654" s="58">
        <v>1</v>
      </c>
      <c r="E654" s="57">
        <v>0</v>
      </c>
    </row>
    <row r="655" spans="2:5" ht="15" customHeight="1">
      <c r="B655" s="90"/>
      <c r="C655" s="55" t="s">
        <v>166</v>
      </c>
      <c r="D655" s="58">
        <v>6</v>
      </c>
      <c r="E655" s="57">
        <v>0</v>
      </c>
    </row>
    <row r="656" spans="2:5" ht="15" customHeight="1">
      <c r="B656" s="90"/>
      <c r="C656" s="55" t="s">
        <v>155</v>
      </c>
      <c r="D656" s="58">
        <v>1</v>
      </c>
      <c r="E656" s="57">
        <v>0</v>
      </c>
    </row>
    <row r="657" spans="2:5" ht="15" customHeight="1">
      <c r="B657" s="90"/>
      <c r="C657" s="55" t="s">
        <v>156</v>
      </c>
      <c r="D657" s="58">
        <v>2</v>
      </c>
      <c r="E657" s="57">
        <v>0</v>
      </c>
    </row>
    <row r="658" spans="2:5" ht="15" customHeight="1">
      <c r="B658" s="91"/>
      <c r="C658" s="72" t="s">
        <v>284</v>
      </c>
      <c r="D658" s="73">
        <v>95</v>
      </c>
      <c r="E658" s="71">
        <v>6.0000000000000001E-3</v>
      </c>
    </row>
    <row r="659" spans="2:5" ht="15" customHeight="1">
      <c r="B659" s="89" t="s">
        <v>73</v>
      </c>
      <c r="C659" s="55" t="s">
        <v>140</v>
      </c>
      <c r="D659" s="58">
        <v>1</v>
      </c>
      <c r="E659" s="57">
        <v>0</v>
      </c>
    </row>
    <row r="660" spans="2:5" ht="15" customHeight="1">
      <c r="B660" s="90"/>
      <c r="C660" s="55" t="s">
        <v>141</v>
      </c>
      <c r="D660" s="58">
        <v>6</v>
      </c>
      <c r="E660" s="57">
        <v>0</v>
      </c>
    </row>
    <row r="661" spans="2:5" ht="15" customHeight="1">
      <c r="B661" s="90"/>
      <c r="C661" s="55" t="s">
        <v>142</v>
      </c>
      <c r="D661" s="58">
        <v>1</v>
      </c>
      <c r="E661" s="57">
        <v>0</v>
      </c>
    </row>
    <row r="662" spans="2:5" ht="15" customHeight="1">
      <c r="B662" s="90"/>
      <c r="C662" s="55" t="s">
        <v>143</v>
      </c>
      <c r="D662" s="58">
        <v>24</v>
      </c>
      <c r="E662" s="57">
        <v>2E-3</v>
      </c>
    </row>
    <row r="663" spans="2:5" ht="15" customHeight="1">
      <c r="B663" s="90"/>
      <c r="C663" s="55" t="s">
        <v>144</v>
      </c>
      <c r="D663" s="58">
        <v>29</v>
      </c>
      <c r="E663" s="57">
        <v>2E-3</v>
      </c>
    </row>
    <row r="664" spans="2:5" ht="15" customHeight="1">
      <c r="B664" s="90"/>
      <c r="C664" s="55" t="s">
        <v>257</v>
      </c>
      <c r="D664" s="58">
        <v>2</v>
      </c>
      <c r="E664" s="57">
        <v>0</v>
      </c>
    </row>
    <row r="665" spans="2:5" ht="15" customHeight="1">
      <c r="B665" s="90"/>
      <c r="C665" s="55" t="s">
        <v>145</v>
      </c>
      <c r="D665" s="58">
        <v>2</v>
      </c>
      <c r="E665" s="57">
        <v>0</v>
      </c>
    </row>
    <row r="666" spans="2:5" ht="15" customHeight="1">
      <c r="B666" s="90"/>
      <c r="C666" s="55" t="s">
        <v>159</v>
      </c>
      <c r="D666" s="58">
        <v>1</v>
      </c>
      <c r="E666" s="57">
        <v>0</v>
      </c>
    </row>
    <row r="667" spans="2:5" ht="15" customHeight="1">
      <c r="B667" s="90"/>
      <c r="C667" s="55" t="s">
        <v>146</v>
      </c>
      <c r="D667" s="58">
        <v>1</v>
      </c>
      <c r="E667" s="57">
        <v>0</v>
      </c>
    </row>
    <row r="668" spans="2:5" ht="15" customHeight="1">
      <c r="B668" s="90"/>
      <c r="C668" s="55" t="s">
        <v>147</v>
      </c>
      <c r="D668" s="58">
        <v>15</v>
      </c>
      <c r="E668" s="57">
        <v>1E-3</v>
      </c>
    </row>
    <row r="669" spans="2:5" ht="15" customHeight="1">
      <c r="B669" s="90"/>
      <c r="C669" s="55" t="s">
        <v>160</v>
      </c>
      <c r="D669" s="58">
        <v>1</v>
      </c>
      <c r="E669" s="57">
        <v>0</v>
      </c>
    </row>
    <row r="670" spans="2:5" ht="39.950000000000003" customHeight="1">
      <c r="B670" s="90"/>
      <c r="C670" s="55" t="s">
        <v>161</v>
      </c>
      <c r="D670" s="58">
        <v>2</v>
      </c>
      <c r="E670" s="57">
        <v>0</v>
      </c>
    </row>
    <row r="671" spans="2:5" ht="15" customHeight="1">
      <c r="B671" s="90"/>
      <c r="C671" s="55" t="s">
        <v>149</v>
      </c>
      <c r="D671" s="58">
        <v>6</v>
      </c>
      <c r="E671" s="57">
        <v>0</v>
      </c>
    </row>
    <row r="672" spans="2:5" ht="15" customHeight="1">
      <c r="B672" s="90"/>
      <c r="C672" s="55" t="s">
        <v>150</v>
      </c>
      <c r="D672" s="58">
        <v>8</v>
      </c>
      <c r="E672" s="57">
        <v>1E-3</v>
      </c>
    </row>
    <row r="673" spans="2:5" ht="15" customHeight="1">
      <c r="B673" s="90"/>
      <c r="C673" s="55" t="s">
        <v>164</v>
      </c>
      <c r="D673" s="58">
        <v>1</v>
      </c>
      <c r="E673" s="57">
        <v>0</v>
      </c>
    </row>
    <row r="674" spans="2:5" ht="15" customHeight="1">
      <c r="B674" s="90"/>
      <c r="C674" s="55" t="s">
        <v>153</v>
      </c>
      <c r="D674" s="58">
        <v>13</v>
      </c>
      <c r="E674" s="57">
        <v>1E-3</v>
      </c>
    </row>
    <row r="675" spans="2:5" ht="15" customHeight="1">
      <c r="B675" s="90"/>
      <c r="C675" s="55" t="s">
        <v>154</v>
      </c>
      <c r="D675" s="58">
        <v>15</v>
      </c>
      <c r="E675" s="57">
        <v>1E-3</v>
      </c>
    </row>
    <row r="676" spans="2:5" ht="15" customHeight="1">
      <c r="B676" s="90"/>
      <c r="C676" s="55" t="s">
        <v>166</v>
      </c>
      <c r="D676" s="58">
        <v>8</v>
      </c>
      <c r="E676" s="57">
        <v>1E-3</v>
      </c>
    </row>
    <row r="677" spans="2:5" ht="15" customHeight="1">
      <c r="B677" s="90"/>
      <c r="C677" s="55" t="s">
        <v>155</v>
      </c>
      <c r="D677" s="58">
        <v>4</v>
      </c>
      <c r="E677" s="57">
        <v>0</v>
      </c>
    </row>
    <row r="678" spans="2:5" ht="15" customHeight="1">
      <c r="B678" s="90"/>
      <c r="C678" s="55" t="s">
        <v>156</v>
      </c>
      <c r="D678" s="58">
        <v>5</v>
      </c>
      <c r="E678" s="57">
        <v>0</v>
      </c>
    </row>
    <row r="679" spans="2:5" ht="15" customHeight="1">
      <c r="B679" s="91"/>
      <c r="C679" s="72" t="s">
        <v>284</v>
      </c>
      <c r="D679" s="73">
        <v>145</v>
      </c>
      <c r="E679" s="71">
        <v>8.9999999999999993E-3</v>
      </c>
    </row>
    <row r="680" spans="2:5" ht="15" customHeight="1">
      <c r="B680" s="89" t="s">
        <v>65</v>
      </c>
      <c r="C680" s="55" t="s">
        <v>140</v>
      </c>
      <c r="D680" s="58">
        <v>2</v>
      </c>
      <c r="E680" s="57">
        <v>0</v>
      </c>
    </row>
    <row r="681" spans="2:5" ht="15" customHeight="1">
      <c r="B681" s="90"/>
      <c r="C681" s="55" t="s">
        <v>169</v>
      </c>
      <c r="D681" s="58">
        <v>1</v>
      </c>
      <c r="E681" s="57">
        <v>0</v>
      </c>
    </row>
    <row r="682" spans="2:5" ht="15" customHeight="1">
      <c r="B682" s="90"/>
      <c r="C682" s="55" t="s">
        <v>141</v>
      </c>
      <c r="D682" s="58">
        <v>1</v>
      </c>
      <c r="E682" s="57">
        <v>0</v>
      </c>
    </row>
    <row r="683" spans="2:5" ht="15" customHeight="1">
      <c r="B683" s="90"/>
      <c r="C683" s="55" t="s">
        <v>142</v>
      </c>
      <c r="D683" s="58">
        <v>7</v>
      </c>
      <c r="E683" s="57">
        <v>0</v>
      </c>
    </row>
    <row r="684" spans="2:5" ht="15" customHeight="1">
      <c r="B684" s="90"/>
      <c r="C684" s="55" t="s">
        <v>157</v>
      </c>
      <c r="D684" s="58">
        <v>3</v>
      </c>
      <c r="E684" s="57">
        <v>0</v>
      </c>
    </row>
    <row r="685" spans="2:5" ht="15" customHeight="1">
      <c r="B685" s="90"/>
      <c r="C685" s="55" t="s">
        <v>143</v>
      </c>
      <c r="D685" s="58">
        <v>17</v>
      </c>
      <c r="E685" s="57">
        <v>1E-3</v>
      </c>
    </row>
    <row r="686" spans="2:5" ht="15" customHeight="1">
      <c r="B686" s="90"/>
      <c r="C686" s="55" t="s">
        <v>144</v>
      </c>
      <c r="D686" s="58">
        <v>28</v>
      </c>
      <c r="E686" s="57">
        <v>2E-3</v>
      </c>
    </row>
    <row r="687" spans="2:5" ht="15" customHeight="1">
      <c r="B687" s="90"/>
      <c r="C687" s="55" t="s">
        <v>159</v>
      </c>
      <c r="D687" s="58">
        <v>7</v>
      </c>
      <c r="E687" s="57">
        <v>0</v>
      </c>
    </row>
    <row r="688" spans="2:5" ht="15" customHeight="1">
      <c r="B688" s="90"/>
      <c r="C688" s="55" t="s">
        <v>146</v>
      </c>
      <c r="D688" s="58">
        <v>6</v>
      </c>
      <c r="E688" s="57">
        <v>0</v>
      </c>
    </row>
    <row r="689" spans="2:5" ht="15" customHeight="1">
      <c r="B689" s="90"/>
      <c r="C689" s="55" t="s">
        <v>147</v>
      </c>
      <c r="D689" s="58">
        <v>5</v>
      </c>
      <c r="E689" s="57">
        <v>0</v>
      </c>
    </row>
    <row r="690" spans="2:5" ht="15" customHeight="1">
      <c r="B690" s="90"/>
      <c r="C690" s="55" t="s">
        <v>160</v>
      </c>
      <c r="D690" s="58">
        <v>3</v>
      </c>
      <c r="E690" s="57">
        <v>0</v>
      </c>
    </row>
    <row r="691" spans="2:5" ht="15" customHeight="1">
      <c r="B691" s="90"/>
      <c r="C691" s="55" t="s">
        <v>162</v>
      </c>
      <c r="D691" s="58">
        <v>6</v>
      </c>
      <c r="E691" s="57">
        <v>0</v>
      </c>
    </row>
    <row r="692" spans="2:5" ht="15" customHeight="1">
      <c r="B692" s="90"/>
      <c r="C692" s="55" t="s">
        <v>148</v>
      </c>
      <c r="D692" s="58">
        <v>7</v>
      </c>
      <c r="E692" s="57">
        <v>0</v>
      </c>
    </row>
    <row r="693" spans="2:5" ht="15" customHeight="1">
      <c r="B693" s="90"/>
      <c r="C693" s="55" t="s">
        <v>149</v>
      </c>
      <c r="D693" s="58">
        <v>5</v>
      </c>
      <c r="E693" s="57">
        <v>0</v>
      </c>
    </row>
    <row r="694" spans="2:5" ht="15" customHeight="1">
      <c r="B694" s="90"/>
      <c r="C694" s="55" t="s">
        <v>150</v>
      </c>
      <c r="D694" s="58">
        <v>7</v>
      </c>
      <c r="E694" s="57">
        <v>0</v>
      </c>
    </row>
    <row r="695" spans="2:5" ht="15" customHeight="1">
      <c r="B695" s="90"/>
      <c r="C695" s="55" t="s">
        <v>164</v>
      </c>
      <c r="D695" s="58">
        <v>1</v>
      </c>
      <c r="E695" s="57">
        <v>0</v>
      </c>
    </row>
    <row r="696" spans="2:5" ht="15" customHeight="1">
      <c r="B696" s="90"/>
      <c r="C696" s="55" t="s">
        <v>151</v>
      </c>
      <c r="D696" s="58">
        <v>3</v>
      </c>
      <c r="E696" s="57">
        <v>0</v>
      </c>
    </row>
    <row r="697" spans="2:5" ht="15" customHeight="1">
      <c r="B697" s="90"/>
      <c r="C697" s="55" t="s">
        <v>152</v>
      </c>
      <c r="D697" s="58">
        <v>1</v>
      </c>
      <c r="E697" s="57">
        <v>0</v>
      </c>
    </row>
    <row r="698" spans="2:5" ht="15" customHeight="1">
      <c r="B698" s="90"/>
      <c r="C698" s="55" t="s">
        <v>154</v>
      </c>
      <c r="D698" s="58">
        <v>1</v>
      </c>
      <c r="E698" s="57">
        <v>0</v>
      </c>
    </row>
    <row r="699" spans="2:5" ht="15" customHeight="1">
      <c r="B699" s="90"/>
      <c r="C699" s="55" t="s">
        <v>166</v>
      </c>
      <c r="D699" s="58">
        <v>2</v>
      </c>
      <c r="E699" s="57">
        <v>0</v>
      </c>
    </row>
    <row r="700" spans="2:5" ht="15" customHeight="1">
      <c r="B700" s="90"/>
      <c r="C700" s="55" t="s">
        <v>155</v>
      </c>
      <c r="D700" s="58">
        <v>1</v>
      </c>
      <c r="E700" s="57">
        <v>0</v>
      </c>
    </row>
    <row r="701" spans="2:5" ht="15" customHeight="1">
      <c r="B701" s="90"/>
      <c r="C701" s="55" t="s">
        <v>167</v>
      </c>
      <c r="D701" s="58">
        <v>3</v>
      </c>
      <c r="E701" s="57">
        <v>0</v>
      </c>
    </row>
    <row r="702" spans="2:5" ht="15" customHeight="1">
      <c r="B702" s="90"/>
      <c r="C702" s="55" t="s">
        <v>156</v>
      </c>
      <c r="D702" s="58">
        <v>4</v>
      </c>
      <c r="E702" s="57">
        <v>0</v>
      </c>
    </row>
    <row r="703" spans="2:5" ht="15" customHeight="1">
      <c r="B703" s="91"/>
      <c r="C703" s="72" t="s">
        <v>284</v>
      </c>
      <c r="D703" s="73">
        <v>121</v>
      </c>
      <c r="E703" s="71">
        <v>8.0000000000000002E-3</v>
      </c>
    </row>
    <row r="704" spans="2:5" ht="15" customHeight="1">
      <c r="B704" s="89" t="s">
        <v>71</v>
      </c>
      <c r="C704" s="55" t="s">
        <v>142</v>
      </c>
      <c r="D704" s="58">
        <v>20</v>
      </c>
      <c r="E704" s="57">
        <v>1E-3</v>
      </c>
    </row>
    <row r="705" spans="2:5" ht="15" customHeight="1">
      <c r="B705" s="90"/>
      <c r="C705" s="55" t="s">
        <v>157</v>
      </c>
      <c r="D705" s="58">
        <v>2</v>
      </c>
      <c r="E705" s="57">
        <v>0</v>
      </c>
    </row>
    <row r="706" spans="2:5" ht="15" customHeight="1">
      <c r="B706" s="90"/>
      <c r="C706" s="55" t="s">
        <v>143</v>
      </c>
      <c r="D706" s="58">
        <v>24</v>
      </c>
      <c r="E706" s="57">
        <v>2E-3</v>
      </c>
    </row>
    <row r="707" spans="2:5" ht="15" customHeight="1">
      <c r="B707" s="90"/>
      <c r="C707" s="55" t="s">
        <v>144</v>
      </c>
      <c r="D707" s="58">
        <v>54</v>
      </c>
      <c r="E707" s="57">
        <v>3.0000000000000001E-3</v>
      </c>
    </row>
    <row r="708" spans="2:5" ht="15" customHeight="1">
      <c r="B708" s="90"/>
      <c r="C708" s="55" t="s">
        <v>145</v>
      </c>
      <c r="D708" s="58">
        <v>7</v>
      </c>
      <c r="E708" s="57">
        <v>0</v>
      </c>
    </row>
    <row r="709" spans="2:5" ht="15" customHeight="1">
      <c r="B709" s="90"/>
      <c r="C709" s="55" t="s">
        <v>158</v>
      </c>
      <c r="D709" s="58">
        <v>3</v>
      </c>
      <c r="E709" s="57">
        <v>0</v>
      </c>
    </row>
    <row r="710" spans="2:5" ht="15" customHeight="1">
      <c r="B710" s="90"/>
      <c r="C710" s="55" t="s">
        <v>159</v>
      </c>
      <c r="D710" s="58">
        <v>2</v>
      </c>
      <c r="E710" s="57">
        <v>0</v>
      </c>
    </row>
    <row r="711" spans="2:5" ht="15" customHeight="1">
      <c r="B711" s="90"/>
      <c r="C711" s="55" t="s">
        <v>146</v>
      </c>
      <c r="D711" s="58">
        <v>2</v>
      </c>
      <c r="E711" s="57">
        <v>0</v>
      </c>
    </row>
    <row r="712" spans="2:5" ht="15" customHeight="1">
      <c r="B712" s="90"/>
      <c r="C712" s="55" t="s">
        <v>147</v>
      </c>
      <c r="D712" s="58">
        <v>6</v>
      </c>
      <c r="E712" s="57">
        <v>0</v>
      </c>
    </row>
    <row r="713" spans="2:5" ht="15" customHeight="1">
      <c r="B713" s="90"/>
      <c r="C713" s="55" t="s">
        <v>160</v>
      </c>
      <c r="D713" s="58">
        <v>1</v>
      </c>
      <c r="E713" s="57">
        <v>0</v>
      </c>
    </row>
    <row r="714" spans="2:5" ht="15" customHeight="1">
      <c r="B714" s="90"/>
      <c r="C714" s="55" t="s">
        <v>162</v>
      </c>
      <c r="D714" s="58">
        <v>5</v>
      </c>
      <c r="E714" s="57">
        <v>0</v>
      </c>
    </row>
    <row r="715" spans="2:5" ht="15" customHeight="1">
      <c r="B715" s="90"/>
      <c r="C715" s="55" t="s">
        <v>148</v>
      </c>
      <c r="D715" s="58">
        <v>1</v>
      </c>
      <c r="E715" s="57">
        <v>0</v>
      </c>
    </row>
    <row r="716" spans="2:5" ht="15" customHeight="1">
      <c r="B716" s="90"/>
      <c r="C716" s="55" t="s">
        <v>149</v>
      </c>
      <c r="D716" s="58">
        <v>7</v>
      </c>
      <c r="E716" s="57">
        <v>0</v>
      </c>
    </row>
    <row r="717" spans="2:5" ht="15" customHeight="1">
      <c r="B717" s="90"/>
      <c r="C717" s="55" t="s">
        <v>150</v>
      </c>
      <c r="D717" s="58">
        <v>11</v>
      </c>
      <c r="E717" s="57">
        <v>1E-3</v>
      </c>
    </row>
    <row r="718" spans="2:5" ht="15" customHeight="1">
      <c r="B718" s="90"/>
      <c r="C718" s="55" t="s">
        <v>164</v>
      </c>
      <c r="D718" s="58">
        <v>1</v>
      </c>
      <c r="E718" s="57">
        <v>0</v>
      </c>
    </row>
    <row r="719" spans="2:5" ht="15" customHeight="1">
      <c r="B719" s="90"/>
      <c r="C719" s="55" t="s">
        <v>151</v>
      </c>
      <c r="D719" s="58">
        <v>1</v>
      </c>
      <c r="E719" s="57">
        <v>0</v>
      </c>
    </row>
    <row r="720" spans="2:5" ht="15" customHeight="1">
      <c r="B720" s="90"/>
      <c r="C720" s="55" t="s">
        <v>152</v>
      </c>
      <c r="D720" s="58">
        <v>3</v>
      </c>
      <c r="E720" s="57">
        <v>0</v>
      </c>
    </row>
    <row r="721" spans="2:5" ht="15" customHeight="1">
      <c r="B721" s="90"/>
      <c r="C721" s="55" t="s">
        <v>153</v>
      </c>
      <c r="D721" s="58">
        <v>5</v>
      </c>
      <c r="E721" s="57">
        <v>0</v>
      </c>
    </row>
    <row r="722" spans="2:5" ht="15" customHeight="1">
      <c r="B722" s="90"/>
      <c r="C722" s="55" t="s">
        <v>154</v>
      </c>
      <c r="D722" s="58">
        <v>3</v>
      </c>
      <c r="E722" s="57">
        <v>0</v>
      </c>
    </row>
    <row r="723" spans="2:5" ht="15" customHeight="1">
      <c r="B723" s="90"/>
      <c r="C723" s="55" t="s">
        <v>170</v>
      </c>
      <c r="D723" s="58">
        <v>2</v>
      </c>
      <c r="E723" s="57">
        <v>0</v>
      </c>
    </row>
    <row r="724" spans="2:5" ht="15" customHeight="1">
      <c r="B724" s="90"/>
      <c r="C724" s="55" t="s">
        <v>166</v>
      </c>
      <c r="D724" s="58">
        <v>3</v>
      </c>
      <c r="E724" s="57">
        <v>0</v>
      </c>
    </row>
    <row r="725" spans="2:5" ht="15" customHeight="1">
      <c r="B725" s="90"/>
      <c r="C725" s="55" t="s">
        <v>155</v>
      </c>
      <c r="D725" s="58">
        <v>9</v>
      </c>
      <c r="E725" s="57">
        <v>1E-3</v>
      </c>
    </row>
    <row r="726" spans="2:5" ht="15" customHeight="1">
      <c r="B726" s="90"/>
      <c r="C726" s="55" t="s">
        <v>156</v>
      </c>
      <c r="D726" s="58">
        <v>6</v>
      </c>
      <c r="E726" s="57">
        <v>0</v>
      </c>
    </row>
    <row r="727" spans="2:5" ht="15" customHeight="1">
      <c r="B727" s="91"/>
      <c r="C727" s="72" t="s">
        <v>284</v>
      </c>
      <c r="D727" s="73">
        <v>178</v>
      </c>
      <c r="E727" s="71">
        <v>1.2E-2</v>
      </c>
    </row>
    <row r="728" spans="2:5" ht="15" customHeight="1">
      <c r="B728" s="89" t="s">
        <v>54</v>
      </c>
      <c r="C728" s="55" t="s">
        <v>140</v>
      </c>
      <c r="D728" s="58">
        <v>8</v>
      </c>
      <c r="E728" s="57">
        <v>1E-3</v>
      </c>
    </row>
    <row r="729" spans="2:5" ht="15" customHeight="1">
      <c r="B729" s="90"/>
      <c r="C729" s="55" t="s">
        <v>141</v>
      </c>
      <c r="D729" s="58">
        <v>3</v>
      </c>
      <c r="E729" s="57">
        <v>0</v>
      </c>
    </row>
    <row r="730" spans="2:5" ht="15" customHeight="1">
      <c r="B730" s="90"/>
      <c r="C730" s="55" t="s">
        <v>142</v>
      </c>
      <c r="D730" s="58">
        <v>8</v>
      </c>
      <c r="E730" s="57">
        <v>1E-3</v>
      </c>
    </row>
    <row r="731" spans="2:5" ht="15" customHeight="1">
      <c r="B731" s="90"/>
      <c r="C731" s="55" t="s">
        <v>143</v>
      </c>
      <c r="D731" s="58">
        <v>25</v>
      </c>
      <c r="E731" s="57">
        <v>2E-3</v>
      </c>
    </row>
    <row r="732" spans="2:5" ht="15" customHeight="1">
      <c r="B732" s="90"/>
      <c r="C732" s="55" t="s">
        <v>144</v>
      </c>
      <c r="D732" s="58">
        <v>107</v>
      </c>
      <c r="E732" s="57">
        <v>7.0000000000000001E-3</v>
      </c>
    </row>
    <row r="733" spans="2:5" ht="15" customHeight="1">
      <c r="B733" s="90"/>
      <c r="C733" s="55" t="s">
        <v>257</v>
      </c>
      <c r="D733" s="58">
        <v>3</v>
      </c>
      <c r="E733" s="57">
        <v>0</v>
      </c>
    </row>
    <row r="734" spans="2:5" ht="15" customHeight="1">
      <c r="B734" s="90"/>
      <c r="C734" s="55" t="s">
        <v>145</v>
      </c>
      <c r="D734" s="58">
        <v>9</v>
      </c>
      <c r="E734" s="57">
        <v>1E-3</v>
      </c>
    </row>
    <row r="735" spans="2:5" ht="15" customHeight="1">
      <c r="B735" s="90"/>
      <c r="C735" s="55" t="s">
        <v>146</v>
      </c>
      <c r="D735" s="58">
        <v>8</v>
      </c>
      <c r="E735" s="57">
        <v>1E-3</v>
      </c>
    </row>
    <row r="736" spans="2:5" ht="15" customHeight="1">
      <c r="B736" s="90"/>
      <c r="C736" s="55" t="s">
        <v>147</v>
      </c>
      <c r="D736" s="58">
        <v>50</v>
      </c>
      <c r="E736" s="57">
        <v>3.0000000000000001E-3</v>
      </c>
    </row>
    <row r="737" spans="2:5" ht="15" customHeight="1">
      <c r="B737" s="90"/>
      <c r="C737" s="55" t="s">
        <v>160</v>
      </c>
      <c r="D737" s="58">
        <v>2</v>
      </c>
      <c r="E737" s="57">
        <v>0</v>
      </c>
    </row>
    <row r="738" spans="2:5" ht="15" customHeight="1">
      <c r="B738" s="90"/>
      <c r="C738" s="55" t="s">
        <v>161</v>
      </c>
      <c r="D738" s="58">
        <v>2</v>
      </c>
      <c r="E738" s="57">
        <v>0</v>
      </c>
    </row>
    <row r="739" spans="2:5" ht="15" customHeight="1">
      <c r="B739" s="90"/>
      <c r="C739" s="55" t="s">
        <v>162</v>
      </c>
      <c r="D739" s="58">
        <v>3</v>
      </c>
      <c r="E739" s="57">
        <v>0</v>
      </c>
    </row>
    <row r="740" spans="2:5" ht="15" customHeight="1">
      <c r="B740" s="90"/>
      <c r="C740" s="55" t="s">
        <v>148</v>
      </c>
      <c r="D740" s="58">
        <v>3</v>
      </c>
      <c r="E740" s="57">
        <v>0</v>
      </c>
    </row>
    <row r="741" spans="2:5" ht="15" customHeight="1">
      <c r="B741" s="90"/>
      <c r="C741" s="55" t="s">
        <v>149</v>
      </c>
      <c r="D741" s="58">
        <v>18</v>
      </c>
      <c r="E741" s="57">
        <v>1E-3</v>
      </c>
    </row>
    <row r="742" spans="2:5" ht="15" customHeight="1">
      <c r="B742" s="90"/>
      <c r="C742" s="55" t="s">
        <v>150</v>
      </c>
      <c r="D742" s="58">
        <v>14</v>
      </c>
      <c r="E742" s="57">
        <v>1E-3</v>
      </c>
    </row>
    <row r="743" spans="2:5" ht="15" customHeight="1">
      <c r="B743" s="90"/>
      <c r="C743" s="55" t="s">
        <v>163</v>
      </c>
      <c r="D743" s="58">
        <v>1</v>
      </c>
      <c r="E743" s="57">
        <v>0</v>
      </c>
    </row>
    <row r="744" spans="2:5" ht="15" customHeight="1">
      <c r="B744" s="90"/>
      <c r="C744" s="55" t="s">
        <v>164</v>
      </c>
      <c r="D744" s="58">
        <v>2</v>
      </c>
      <c r="E744" s="57">
        <v>0</v>
      </c>
    </row>
    <row r="745" spans="2:5" ht="15" customHeight="1">
      <c r="B745" s="90"/>
      <c r="C745" s="55" t="s">
        <v>151</v>
      </c>
      <c r="D745" s="58">
        <v>11</v>
      </c>
      <c r="E745" s="57">
        <v>1E-3</v>
      </c>
    </row>
    <row r="746" spans="2:5" ht="15" customHeight="1">
      <c r="B746" s="90"/>
      <c r="C746" s="55" t="s">
        <v>152</v>
      </c>
      <c r="D746" s="58">
        <v>5</v>
      </c>
      <c r="E746" s="57">
        <v>0</v>
      </c>
    </row>
    <row r="747" spans="2:5" ht="15" customHeight="1">
      <c r="B747" s="90"/>
      <c r="C747" s="55" t="s">
        <v>165</v>
      </c>
      <c r="D747" s="58">
        <v>2</v>
      </c>
      <c r="E747" s="57">
        <v>0</v>
      </c>
    </row>
    <row r="748" spans="2:5" ht="15" customHeight="1">
      <c r="B748" s="90"/>
      <c r="C748" s="55" t="s">
        <v>153</v>
      </c>
      <c r="D748" s="58">
        <v>17</v>
      </c>
      <c r="E748" s="57">
        <v>1E-3</v>
      </c>
    </row>
    <row r="749" spans="2:5" ht="15" customHeight="1">
      <c r="B749" s="90"/>
      <c r="C749" s="55" t="s">
        <v>154</v>
      </c>
      <c r="D749" s="58">
        <v>40</v>
      </c>
      <c r="E749" s="57">
        <v>3.0000000000000001E-3</v>
      </c>
    </row>
    <row r="750" spans="2:5" ht="15" customHeight="1">
      <c r="B750" s="90"/>
      <c r="C750" s="55" t="s">
        <v>170</v>
      </c>
      <c r="D750" s="58">
        <v>1</v>
      </c>
      <c r="E750" s="57">
        <v>0</v>
      </c>
    </row>
    <row r="751" spans="2:5" ht="15" customHeight="1">
      <c r="B751" s="90"/>
      <c r="C751" s="55" t="s">
        <v>166</v>
      </c>
      <c r="D751" s="58">
        <v>5</v>
      </c>
      <c r="E751" s="57">
        <v>0</v>
      </c>
    </row>
    <row r="752" spans="2:5" ht="15" customHeight="1">
      <c r="B752" s="90"/>
      <c r="C752" s="55" t="s">
        <v>155</v>
      </c>
      <c r="D752" s="58">
        <v>6</v>
      </c>
      <c r="E752" s="57">
        <v>0</v>
      </c>
    </row>
    <row r="753" spans="2:5" ht="15" customHeight="1">
      <c r="B753" s="90"/>
      <c r="C753" s="55" t="s">
        <v>167</v>
      </c>
      <c r="D753" s="58">
        <v>2</v>
      </c>
      <c r="E753" s="57">
        <v>0</v>
      </c>
    </row>
    <row r="754" spans="2:5" ht="15" customHeight="1">
      <c r="B754" s="90"/>
      <c r="C754" s="55" t="s">
        <v>156</v>
      </c>
      <c r="D754" s="58">
        <v>14</v>
      </c>
      <c r="E754" s="57">
        <v>1E-3</v>
      </c>
    </row>
    <row r="755" spans="2:5" ht="15" customHeight="1">
      <c r="B755" s="90"/>
      <c r="C755" s="55" t="s">
        <v>175</v>
      </c>
      <c r="D755" s="58">
        <v>2</v>
      </c>
      <c r="E755" s="57">
        <v>0</v>
      </c>
    </row>
    <row r="756" spans="2:5" ht="15" customHeight="1">
      <c r="B756" s="91"/>
      <c r="C756" s="72" t="s">
        <v>284</v>
      </c>
      <c r="D756" s="73">
        <v>371</v>
      </c>
      <c r="E756" s="71">
        <v>2.4E-2</v>
      </c>
    </row>
    <row r="757" spans="2:5" ht="15" customHeight="1">
      <c r="B757" s="89" t="s">
        <v>76</v>
      </c>
      <c r="C757" s="55" t="s">
        <v>169</v>
      </c>
      <c r="D757" s="58">
        <v>6</v>
      </c>
      <c r="E757" s="57">
        <v>0</v>
      </c>
    </row>
    <row r="758" spans="2:5" ht="15" customHeight="1">
      <c r="B758" s="90"/>
      <c r="C758" s="55" t="s">
        <v>141</v>
      </c>
      <c r="D758" s="58">
        <v>3</v>
      </c>
      <c r="E758" s="57">
        <v>0</v>
      </c>
    </row>
    <row r="759" spans="2:5" ht="15" customHeight="1">
      <c r="B759" s="90"/>
      <c r="C759" s="55" t="s">
        <v>142</v>
      </c>
      <c r="D759" s="58">
        <v>4</v>
      </c>
      <c r="E759" s="57">
        <v>0</v>
      </c>
    </row>
    <row r="760" spans="2:5" ht="15" customHeight="1">
      <c r="B760" s="90"/>
      <c r="C760" s="55" t="s">
        <v>143</v>
      </c>
      <c r="D760" s="58">
        <v>11</v>
      </c>
      <c r="E760" s="57">
        <v>1E-3</v>
      </c>
    </row>
    <row r="761" spans="2:5" ht="15" customHeight="1">
      <c r="B761" s="90"/>
      <c r="C761" s="55" t="s">
        <v>144</v>
      </c>
      <c r="D761" s="58">
        <v>17</v>
      </c>
      <c r="E761" s="57">
        <v>1E-3</v>
      </c>
    </row>
    <row r="762" spans="2:5" ht="15" customHeight="1">
      <c r="B762" s="90"/>
      <c r="C762" s="55" t="s">
        <v>147</v>
      </c>
      <c r="D762" s="58">
        <v>2</v>
      </c>
      <c r="E762" s="57">
        <v>0</v>
      </c>
    </row>
    <row r="763" spans="2:5" ht="15" customHeight="1">
      <c r="B763" s="90"/>
      <c r="C763" s="55" t="s">
        <v>160</v>
      </c>
      <c r="D763" s="58">
        <v>1</v>
      </c>
      <c r="E763" s="57">
        <v>0</v>
      </c>
    </row>
    <row r="764" spans="2:5" ht="15" customHeight="1">
      <c r="B764" s="90"/>
      <c r="C764" s="55" t="s">
        <v>161</v>
      </c>
      <c r="D764" s="58">
        <v>1</v>
      </c>
      <c r="E764" s="57">
        <v>0</v>
      </c>
    </row>
    <row r="765" spans="2:5" ht="15" customHeight="1">
      <c r="B765" s="90"/>
      <c r="C765" s="55" t="s">
        <v>149</v>
      </c>
      <c r="D765" s="58">
        <v>5</v>
      </c>
      <c r="E765" s="57">
        <v>0</v>
      </c>
    </row>
    <row r="766" spans="2:5" ht="15" customHeight="1">
      <c r="B766" s="90"/>
      <c r="C766" s="55" t="s">
        <v>150</v>
      </c>
      <c r="D766" s="58">
        <v>5</v>
      </c>
      <c r="E766" s="57">
        <v>0</v>
      </c>
    </row>
    <row r="767" spans="2:5" ht="15" customHeight="1">
      <c r="B767" s="90"/>
      <c r="C767" s="55" t="s">
        <v>164</v>
      </c>
      <c r="D767" s="58">
        <v>11</v>
      </c>
      <c r="E767" s="57">
        <v>1E-3</v>
      </c>
    </row>
    <row r="768" spans="2:5" ht="15" customHeight="1">
      <c r="B768" s="90"/>
      <c r="C768" s="55" t="s">
        <v>154</v>
      </c>
      <c r="D768" s="58">
        <v>2</v>
      </c>
      <c r="E768" s="57">
        <v>0</v>
      </c>
    </row>
    <row r="769" spans="2:5" ht="15" customHeight="1">
      <c r="B769" s="90"/>
      <c r="C769" s="55" t="s">
        <v>166</v>
      </c>
      <c r="D769" s="58">
        <v>1</v>
      </c>
      <c r="E769" s="57">
        <v>0</v>
      </c>
    </row>
    <row r="770" spans="2:5" ht="15" customHeight="1">
      <c r="B770" s="90"/>
      <c r="C770" s="55" t="s">
        <v>155</v>
      </c>
      <c r="D770" s="58">
        <v>1</v>
      </c>
      <c r="E770" s="57">
        <v>0</v>
      </c>
    </row>
    <row r="771" spans="2:5" ht="15" customHeight="1">
      <c r="B771" s="90"/>
      <c r="C771" s="55" t="s">
        <v>167</v>
      </c>
      <c r="D771" s="58">
        <v>1</v>
      </c>
      <c r="E771" s="57">
        <v>0</v>
      </c>
    </row>
    <row r="772" spans="2:5" ht="15" customHeight="1">
      <c r="B772" s="90"/>
      <c r="C772" s="55" t="s">
        <v>156</v>
      </c>
      <c r="D772" s="58">
        <v>7</v>
      </c>
      <c r="E772" s="57">
        <v>0</v>
      </c>
    </row>
    <row r="773" spans="2:5" ht="15" customHeight="1">
      <c r="B773" s="91"/>
      <c r="C773" s="72" t="s">
        <v>284</v>
      </c>
      <c r="D773" s="73">
        <v>78</v>
      </c>
      <c r="E773" s="71">
        <v>5.0000000000000001E-3</v>
      </c>
    </row>
    <row r="774" spans="2:5" ht="15" customHeight="1">
      <c r="B774" s="89" t="s">
        <v>90</v>
      </c>
      <c r="C774" s="55" t="s">
        <v>144</v>
      </c>
      <c r="D774" s="58">
        <v>2</v>
      </c>
      <c r="E774" s="57">
        <v>0</v>
      </c>
    </row>
    <row r="775" spans="2:5" ht="15" customHeight="1">
      <c r="B775" s="90"/>
      <c r="C775" s="55" t="s">
        <v>147</v>
      </c>
      <c r="D775" s="58">
        <v>2</v>
      </c>
      <c r="E775" s="57">
        <v>0</v>
      </c>
    </row>
    <row r="776" spans="2:5" ht="15" customHeight="1">
      <c r="B776" s="91"/>
      <c r="C776" s="72" t="s">
        <v>284</v>
      </c>
      <c r="D776" s="73">
        <v>4</v>
      </c>
      <c r="E776" s="71">
        <v>0</v>
      </c>
    </row>
    <row r="777" spans="2:5" ht="15" customHeight="1">
      <c r="B777" s="89" t="s">
        <v>51</v>
      </c>
      <c r="C777" s="55" t="s">
        <v>140</v>
      </c>
      <c r="D777" s="58">
        <v>7</v>
      </c>
      <c r="E777" s="57">
        <v>0</v>
      </c>
    </row>
    <row r="778" spans="2:5" ht="15" customHeight="1">
      <c r="B778" s="90"/>
      <c r="C778" s="55" t="s">
        <v>169</v>
      </c>
      <c r="D778" s="58">
        <v>2</v>
      </c>
      <c r="E778" s="57">
        <v>0</v>
      </c>
    </row>
    <row r="779" spans="2:5" ht="15" customHeight="1">
      <c r="B779" s="90"/>
      <c r="C779" s="55" t="s">
        <v>141</v>
      </c>
      <c r="D779" s="58">
        <v>4</v>
      </c>
      <c r="E779" s="57">
        <v>0</v>
      </c>
    </row>
    <row r="780" spans="2:5" ht="15" customHeight="1">
      <c r="B780" s="90"/>
      <c r="C780" s="55" t="s">
        <v>142</v>
      </c>
      <c r="D780" s="58">
        <v>29</v>
      </c>
      <c r="E780" s="57">
        <v>2E-3</v>
      </c>
    </row>
    <row r="781" spans="2:5" ht="15" customHeight="1">
      <c r="B781" s="90"/>
      <c r="C781" s="55" t="s">
        <v>171</v>
      </c>
      <c r="D781" s="58">
        <v>1</v>
      </c>
      <c r="E781" s="57">
        <v>0</v>
      </c>
    </row>
    <row r="782" spans="2:5" ht="15" customHeight="1">
      <c r="B782" s="90"/>
      <c r="C782" s="55" t="s">
        <v>157</v>
      </c>
      <c r="D782" s="58">
        <v>46</v>
      </c>
      <c r="E782" s="57">
        <v>3.0000000000000001E-3</v>
      </c>
    </row>
    <row r="783" spans="2:5" ht="15" customHeight="1">
      <c r="B783" s="90"/>
      <c r="C783" s="55" t="s">
        <v>143</v>
      </c>
      <c r="D783" s="58">
        <v>68</v>
      </c>
      <c r="E783" s="57">
        <v>4.0000000000000001E-3</v>
      </c>
    </row>
    <row r="784" spans="2:5" ht="15" customHeight="1">
      <c r="B784" s="90"/>
      <c r="C784" s="55" t="s">
        <v>144</v>
      </c>
      <c r="D784" s="58">
        <v>112</v>
      </c>
      <c r="E784" s="57">
        <v>7.0000000000000001E-3</v>
      </c>
    </row>
    <row r="785" spans="2:5" ht="15" customHeight="1">
      <c r="B785" s="90"/>
      <c r="C785" s="55" t="s">
        <v>257</v>
      </c>
      <c r="D785" s="58">
        <v>2</v>
      </c>
      <c r="E785" s="57">
        <v>0</v>
      </c>
    </row>
    <row r="786" spans="2:5" ht="15" customHeight="1">
      <c r="B786" s="90"/>
      <c r="C786" s="55" t="s">
        <v>145</v>
      </c>
      <c r="D786" s="58">
        <v>3</v>
      </c>
      <c r="E786" s="57">
        <v>0</v>
      </c>
    </row>
    <row r="787" spans="2:5" ht="15" customHeight="1">
      <c r="B787" s="90"/>
      <c r="C787" s="55" t="s">
        <v>158</v>
      </c>
      <c r="D787" s="58">
        <v>1</v>
      </c>
      <c r="E787" s="57">
        <v>0</v>
      </c>
    </row>
    <row r="788" spans="2:5" ht="15" customHeight="1">
      <c r="B788" s="90"/>
      <c r="C788" s="55" t="s">
        <v>159</v>
      </c>
      <c r="D788" s="58">
        <v>12</v>
      </c>
      <c r="E788" s="57">
        <v>1E-3</v>
      </c>
    </row>
    <row r="789" spans="2:5" ht="15" customHeight="1">
      <c r="B789" s="90"/>
      <c r="C789" s="55" t="s">
        <v>146</v>
      </c>
      <c r="D789" s="58">
        <v>10</v>
      </c>
      <c r="E789" s="57">
        <v>1E-3</v>
      </c>
    </row>
    <row r="790" spans="2:5" ht="15" customHeight="1">
      <c r="B790" s="90"/>
      <c r="C790" s="55" t="s">
        <v>147</v>
      </c>
      <c r="D790" s="58">
        <v>18</v>
      </c>
      <c r="E790" s="57">
        <v>1E-3</v>
      </c>
    </row>
    <row r="791" spans="2:5" ht="15" customHeight="1">
      <c r="B791" s="90"/>
      <c r="C791" s="55" t="s">
        <v>160</v>
      </c>
      <c r="D791" s="58">
        <v>3</v>
      </c>
      <c r="E791" s="57">
        <v>0</v>
      </c>
    </row>
    <row r="792" spans="2:5" ht="15" customHeight="1">
      <c r="B792" s="90"/>
      <c r="C792" s="55" t="s">
        <v>161</v>
      </c>
      <c r="D792" s="58">
        <v>6</v>
      </c>
      <c r="E792" s="57">
        <v>0</v>
      </c>
    </row>
    <row r="793" spans="2:5" ht="15" customHeight="1">
      <c r="B793" s="90"/>
      <c r="C793" s="55" t="s">
        <v>162</v>
      </c>
      <c r="D793" s="58">
        <v>45</v>
      </c>
      <c r="E793" s="57">
        <v>3.0000000000000001E-3</v>
      </c>
    </row>
    <row r="794" spans="2:5" ht="15" customHeight="1">
      <c r="B794" s="90"/>
      <c r="C794" s="55" t="s">
        <v>148</v>
      </c>
      <c r="D794" s="58">
        <v>42</v>
      </c>
      <c r="E794" s="57">
        <v>3.0000000000000001E-3</v>
      </c>
    </row>
    <row r="795" spans="2:5" ht="15" customHeight="1">
      <c r="B795" s="90"/>
      <c r="C795" s="55" t="s">
        <v>149</v>
      </c>
      <c r="D795" s="58">
        <v>4</v>
      </c>
      <c r="E795" s="57">
        <v>0</v>
      </c>
    </row>
    <row r="796" spans="2:5" ht="15" customHeight="1">
      <c r="B796" s="90"/>
      <c r="C796" s="55" t="s">
        <v>150</v>
      </c>
      <c r="D796" s="58">
        <v>12</v>
      </c>
      <c r="E796" s="57">
        <v>1E-3</v>
      </c>
    </row>
    <row r="797" spans="2:5" ht="15" customHeight="1">
      <c r="B797" s="90"/>
      <c r="C797" s="55" t="s">
        <v>164</v>
      </c>
      <c r="D797" s="58">
        <v>7</v>
      </c>
      <c r="E797" s="57">
        <v>0</v>
      </c>
    </row>
    <row r="798" spans="2:5" ht="15" customHeight="1">
      <c r="B798" s="90"/>
      <c r="C798" s="55" t="s">
        <v>151</v>
      </c>
      <c r="D798" s="58">
        <v>3</v>
      </c>
      <c r="E798" s="57">
        <v>0</v>
      </c>
    </row>
    <row r="799" spans="2:5" ht="15" customHeight="1">
      <c r="B799" s="90"/>
      <c r="C799" s="55" t="s">
        <v>152</v>
      </c>
      <c r="D799" s="58">
        <v>16</v>
      </c>
      <c r="E799" s="57">
        <v>1E-3</v>
      </c>
    </row>
    <row r="800" spans="2:5" ht="15" customHeight="1">
      <c r="B800" s="90"/>
      <c r="C800" s="55" t="s">
        <v>165</v>
      </c>
      <c r="D800" s="58">
        <v>12</v>
      </c>
      <c r="E800" s="57">
        <v>1E-3</v>
      </c>
    </row>
    <row r="801" spans="2:5" ht="15" customHeight="1">
      <c r="B801" s="90"/>
      <c r="C801" s="55" t="s">
        <v>173</v>
      </c>
      <c r="D801" s="58">
        <v>2</v>
      </c>
      <c r="E801" s="57">
        <v>0</v>
      </c>
    </row>
    <row r="802" spans="2:5" ht="15" customHeight="1">
      <c r="B802" s="90"/>
      <c r="C802" s="55" t="s">
        <v>153</v>
      </c>
      <c r="D802" s="58">
        <v>5</v>
      </c>
      <c r="E802" s="57">
        <v>0</v>
      </c>
    </row>
    <row r="803" spans="2:5" ht="15" customHeight="1">
      <c r="B803" s="90"/>
      <c r="C803" s="55" t="s">
        <v>154</v>
      </c>
      <c r="D803" s="58">
        <v>3</v>
      </c>
      <c r="E803" s="57">
        <v>0</v>
      </c>
    </row>
    <row r="804" spans="2:5" ht="15" customHeight="1">
      <c r="B804" s="90"/>
      <c r="C804" s="55" t="s">
        <v>170</v>
      </c>
      <c r="D804" s="58">
        <v>3</v>
      </c>
      <c r="E804" s="57">
        <v>0</v>
      </c>
    </row>
    <row r="805" spans="2:5" ht="15" customHeight="1">
      <c r="B805" s="90"/>
      <c r="C805" s="55" t="s">
        <v>166</v>
      </c>
      <c r="D805" s="58">
        <v>5</v>
      </c>
      <c r="E805" s="57">
        <v>0</v>
      </c>
    </row>
    <row r="806" spans="2:5" ht="15" customHeight="1">
      <c r="B806" s="90"/>
      <c r="C806" s="55" t="s">
        <v>155</v>
      </c>
      <c r="D806" s="58">
        <v>13</v>
      </c>
      <c r="E806" s="57">
        <v>1E-3</v>
      </c>
    </row>
    <row r="807" spans="2:5" ht="15" customHeight="1">
      <c r="B807" s="90"/>
      <c r="C807" s="55" t="s">
        <v>167</v>
      </c>
      <c r="D807" s="58">
        <v>8</v>
      </c>
      <c r="E807" s="57">
        <v>1E-3</v>
      </c>
    </row>
    <row r="808" spans="2:5" ht="15" customHeight="1">
      <c r="B808" s="90"/>
      <c r="C808" s="55" t="s">
        <v>156</v>
      </c>
      <c r="D808" s="58">
        <v>28</v>
      </c>
      <c r="E808" s="57">
        <v>2E-3</v>
      </c>
    </row>
    <row r="809" spans="2:5" ht="15" customHeight="1">
      <c r="B809" s="90"/>
      <c r="C809" s="55" t="s">
        <v>168</v>
      </c>
      <c r="D809" s="58">
        <v>1</v>
      </c>
      <c r="E809" s="57">
        <v>0</v>
      </c>
    </row>
    <row r="810" spans="2:5" ht="15" customHeight="1">
      <c r="B810" s="91"/>
      <c r="C810" s="72" t="s">
        <v>284</v>
      </c>
      <c r="D810" s="73">
        <v>533</v>
      </c>
      <c r="E810" s="71">
        <v>3.5000000000000003E-2</v>
      </c>
    </row>
    <row r="811" spans="2:5" ht="15" customHeight="1">
      <c r="B811" s="89" t="s">
        <v>67</v>
      </c>
      <c r="C811" s="55" t="s">
        <v>140</v>
      </c>
      <c r="D811" s="58">
        <v>4</v>
      </c>
      <c r="E811" s="57">
        <v>0</v>
      </c>
    </row>
    <row r="812" spans="2:5" ht="15" customHeight="1">
      <c r="B812" s="90"/>
      <c r="C812" s="55" t="s">
        <v>169</v>
      </c>
      <c r="D812" s="58">
        <v>1</v>
      </c>
      <c r="E812" s="57">
        <v>0</v>
      </c>
    </row>
    <row r="813" spans="2:5" ht="15" customHeight="1">
      <c r="B813" s="90"/>
      <c r="C813" s="55" t="s">
        <v>141</v>
      </c>
      <c r="D813" s="58">
        <v>2</v>
      </c>
      <c r="E813" s="57">
        <v>0</v>
      </c>
    </row>
    <row r="814" spans="2:5" ht="15" customHeight="1">
      <c r="B814" s="90"/>
      <c r="C814" s="55" t="s">
        <v>142</v>
      </c>
      <c r="D814" s="58">
        <v>7</v>
      </c>
      <c r="E814" s="57">
        <v>0</v>
      </c>
    </row>
    <row r="815" spans="2:5" ht="15" customHeight="1">
      <c r="B815" s="90"/>
      <c r="C815" s="55" t="s">
        <v>157</v>
      </c>
      <c r="D815" s="58">
        <v>1</v>
      </c>
      <c r="E815" s="57">
        <v>0</v>
      </c>
    </row>
    <row r="816" spans="2:5" ht="15" customHeight="1">
      <c r="B816" s="90"/>
      <c r="C816" s="55" t="s">
        <v>143</v>
      </c>
      <c r="D816" s="58">
        <v>22</v>
      </c>
      <c r="E816" s="57">
        <v>1E-3</v>
      </c>
    </row>
    <row r="817" spans="2:5" ht="15" customHeight="1">
      <c r="B817" s="90"/>
      <c r="C817" s="55" t="s">
        <v>144</v>
      </c>
      <c r="D817" s="58">
        <v>34</v>
      </c>
      <c r="E817" s="57">
        <v>2E-3</v>
      </c>
    </row>
    <row r="818" spans="2:5" ht="15" customHeight="1">
      <c r="B818" s="90"/>
      <c r="C818" s="55" t="s">
        <v>257</v>
      </c>
      <c r="D818" s="58">
        <v>1</v>
      </c>
      <c r="E818" s="57">
        <v>0</v>
      </c>
    </row>
    <row r="819" spans="2:5" ht="15" customHeight="1">
      <c r="B819" s="90"/>
      <c r="C819" s="55" t="s">
        <v>145</v>
      </c>
      <c r="D819" s="58">
        <v>3</v>
      </c>
      <c r="E819" s="57">
        <v>0</v>
      </c>
    </row>
    <row r="820" spans="2:5" ht="15" customHeight="1">
      <c r="B820" s="90"/>
      <c r="C820" s="55" t="s">
        <v>146</v>
      </c>
      <c r="D820" s="58">
        <v>1</v>
      </c>
      <c r="E820" s="57">
        <v>0</v>
      </c>
    </row>
    <row r="821" spans="2:5" ht="15" customHeight="1">
      <c r="B821" s="90"/>
      <c r="C821" s="55" t="s">
        <v>147</v>
      </c>
      <c r="D821" s="58">
        <v>1</v>
      </c>
      <c r="E821" s="57">
        <v>0</v>
      </c>
    </row>
    <row r="822" spans="2:5" ht="15" customHeight="1">
      <c r="B822" s="90"/>
      <c r="C822" s="55" t="s">
        <v>162</v>
      </c>
      <c r="D822" s="58">
        <v>1</v>
      </c>
      <c r="E822" s="57">
        <v>0</v>
      </c>
    </row>
    <row r="823" spans="2:5" ht="15" customHeight="1">
      <c r="B823" s="90"/>
      <c r="C823" s="55" t="s">
        <v>148</v>
      </c>
      <c r="D823" s="58">
        <v>7</v>
      </c>
      <c r="E823" s="57">
        <v>0</v>
      </c>
    </row>
    <row r="824" spans="2:5" ht="15" customHeight="1">
      <c r="B824" s="90"/>
      <c r="C824" s="55" t="s">
        <v>149</v>
      </c>
      <c r="D824" s="58">
        <v>7</v>
      </c>
      <c r="E824" s="57">
        <v>0</v>
      </c>
    </row>
    <row r="825" spans="2:5" ht="15" customHeight="1">
      <c r="B825" s="90"/>
      <c r="C825" s="55" t="s">
        <v>150</v>
      </c>
      <c r="D825" s="58">
        <v>4</v>
      </c>
      <c r="E825" s="57">
        <v>0</v>
      </c>
    </row>
    <row r="826" spans="2:5" ht="39.950000000000003" customHeight="1">
      <c r="B826" s="90"/>
      <c r="C826" s="55" t="s">
        <v>164</v>
      </c>
      <c r="D826" s="58">
        <v>1</v>
      </c>
      <c r="E826" s="57">
        <v>0</v>
      </c>
    </row>
    <row r="827" spans="2:5" ht="15" customHeight="1">
      <c r="B827" s="90"/>
      <c r="C827" s="55" t="s">
        <v>152</v>
      </c>
      <c r="D827" s="58">
        <v>2</v>
      </c>
      <c r="E827" s="57">
        <v>0</v>
      </c>
    </row>
    <row r="828" spans="2:5" ht="15" customHeight="1">
      <c r="B828" s="90"/>
      <c r="C828" s="55" t="s">
        <v>165</v>
      </c>
      <c r="D828" s="58">
        <v>3</v>
      </c>
      <c r="E828" s="57">
        <v>0</v>
      </c>
    </row>
    <row r="829" spans="2:5" ht="15" customHeight="1">
      <c r="B829" s="90"/>
      <c r="C829" s="55" t="s">
        <v>153</v>
      </c>
      <c r="D829" s="58">
        <v>1</v>
      </c>
      <c r="E829" s="57">
        <v>0</v>
      </c>
    </row>
    <row r="830" spans="2:5" ht="15" customHeight="1">
      <c r="B830" s="90"/>
      <c r="C830" s="55" t="s">
        <v>154</v>
      </c>
      <c r="D830" s="58">
        <v>1</v>
      </c>
      <c r="E830" s="57">
        <v>0</v>
      </c>
    </row>
    <row r="831" spans="2:5" ht="15" customHeight="1">
      <c r="B831" s="90"/>
      <c r="C831" s="55" t="s">
        <v>166</v>
      </c>
      <c r="D831" s="58">
        <v>1</v>
      </c>
      <c r="E831" s="57">
        <v>0</v>
      </c>
    </row>
    <row r="832" spans="2:5" ht="15" customHeight="1">
      <c r="B832" s="90"/>
      <c r="C832" s="55" t="s">
        <v>155</v>
      </c>
      <c r="D832" s="58">
        <v>6</v>
      </c>
      <c r="E832" s="57">
        <v>0</v>
      </c>
    </row>
    <row r="833" spans="2:5" ht="15" customHeight="1">
      <c r="B833" s="90"/>
      <c r="C833" s="55" t="s">
        <v>167</v>
      </c>
      <c r="D833" s="58">
        <v>1</v>
      </c>
      <c r="E833" s="57">
        <v>0</v>
      </c>
    </row>
    <row r="834" spans="2:5" ht="15" customHeight="1">
      <c r="B834" s="90"/>
      <c r="C834" s="55" t="s">
        <v>156</v>
      </c>
      <c r="D834" s="58">
        <v>2</v>
      </c>
      <c r="E834" s="57">
        <v>0</v>
      </c>
    </row>
    <row r="835" spans="2:5" ht="15" customHeight="1">
      <c r="B835" s="90"/>
      <c r="C835" s="55" t="s">
        <v>175</v>
      </c>
      <c r="D835" s="58">
        <v>1</v>
      </c>
      <c r="E835" s="57">
        <v>0</v>
      </c>
    </row>
    <row r="836" spans="2:5" ht="15" customHeight="1">
      <c r="B836" s="90"/>
      <c r="C836" s="55" t="s">
        <v>168</v>
      </c>
      <c r="D836" s="58">
        <v>1</v>
      </c>
      <c r="E836" s="57">
        <v>0</v>
      </c>
    </row>
    <row r="837" spans="2:5" ht="15" customHeight="1">
      <c r="B837" s="91"/>
      <c r="C837" s="72" t="s">
        <v>284</v>
      </c>
      <c r="D837" s="73">
        <v>116</v>
      </c>
      <c r="E837" s="71">
        <v>8.0000000000000002E-3</v>
      </c>
    </row>
    <row r="838" spans="2:5" ht="15" customHeight="1">
      <c r="B838" s="89" t="s">
        <v>45</v>
      </c>
      <c r="C838" s="55" t="s">
        <v>140</v>
      </c>
      <c r="D838" s="58">
        <v>1</v>
      </c>
      <c r="E838" s="57">
        <v>0</v>
      </c>
    </row>
    <row r="839" spans="2:5" ht="15" customHeight="1">
      <c r="B839" s="90"/>
      <c r="C839" s="55" t="s">
        <v>169</v>
      </c>
      <c r="D839" s="58">
        <v>5</v>
      </c>
      <c r="E839" s="57">
        <v>0</v>
      </c>
    </row>
    <row r="840" spans="2:5" ht="15" customHeight="1">
      <c r="B840" s="90"/>
      <c r="C840" s="55" t="s">
        <v>141</v>
      </c>
      <c r="D840" s="58">
        <v>407</v>
      </c>
      <c r="E840" s="57">
        <v>2.5999999999999999E-2</v>
      </c>
    </row>
    <row r="841" spans="2:5" ht="15" customHeight="1">
      <c r="B841" s="90"/>
      <c r="C841" s="55" t="s">
        <v>142</v>
      </c>
      <c r="D841" s="58">
        <v>69</v>
      </c>
      <c r="E841" s="57">
        <v>4.0000000000000001E-3</v>
      </c>
    </row>
    <row r="842" spans="2:5" ht="15" customHeight="1">
      <c r="B842" s="90"/>
      <c r="C842" s="55" t="s">
        <v>143</v>
      </c>
      <c r="D842" s="58">
        <v>178</v>
      </c>
      <c r="E842" s="57">
        <v>1.2E-2</v>
      </c>
    </row>
    <row r="843" spans="2:5" ht="15" customHeight="1">
      <c r="B843" s="90"/>
      <c r="C843" s="55" t="s">
        <v>144</v>
      </c>
      <c r="D843" s="58">
        <v>57</v>
      </c>
      <c r="E843" s="57">
        <v>4.0000000000000001E-3</v>
      </c>
    </row>
    <row r="844" spans="2:5" ht="15" customHeight="1">
      <c r="B844" s="90"/>
      <c r="C844" s="55" t="s">
        <v>145</v>
      </c>
      <c r="D844" s="58">
        <v>5</v>
      </c>
      <c r="E844" s="57">
        <v>0</v>
      </c>
    </row>
    <row r="845" spans="2:5" ht="15" customHeight="1">
      <c r="B845" s="90"/>
      <c r="C845" s="55" t="s">
        <v>159</v>
      </c>
      <c r="D845" s="58">
        <v>50</v>
      </c>
      <c r="E845" s="57">
        <v>3.0000000000000001E-3</v>
      </c>
    </row>
    <row r="846" spans="2:5" ht="15" customHeight="1">
      <c r="B846" s="90"/>
      <c r="C846" s="55" t="s">
        <v>146</v>
      </c>
      <c r="D846" s="58">
        <v>4</v>
      </c>
      <c r="E846" s="57">
        <v>0</v>
      </c>
    </row>
    <row r="847" spans="2:5" ht="15" customHeight="1">
      <c r="B847" s="90"/>
      <c r="C847" s="55" t="s">
        <v>147</v>
      </c>
      <c r="D847" s="58">
        <v>12</v>
      </c>
      <c r="E847" s="57">
        <v>1E-3</v>
      </c>
    </row>
    <row r="848" spans="2:5" ht="15" customHeight="1">
      <c r="B848" s="90"/>
      <c r="C848" s="55" t="s">
        <v>160</v>
      </c>
      <c r="D848" s="58">
        <v>65</v>
      </c>
      <c r="E848" s="57">
        <v>4.0000000000000001E-3</v>
      </c>
    </row>
    <row r="849" spans="2:5" ht="15" customHeight="1">
      <c r="B849" s="90"/>
      <c r="C849" s="55" t="s">
        <v>161</v>
      </c>
      <c r="D849" s="58">
        <v>2</v>
      </c>
      <c r="E849" s="57">
        <v>0</v>
      </c>
    </row>
    <row r="850" spans="2:5" ht="15" customHeight="1">
      <c r="B850" s="90"/>
      <c r="C850" s="55" t="s">
        <v>162</v>
      </c>
      <c r="D850" s="58">
        <v>3</v>
      </c>
      <c r="E850" s="57">
        <v>0</v>
      </c>
    </row>
    <row r="851" spans="2:5" ht="15" customHeight="1">
      <c r="B851" s="90"/>
      <c r="C851" s="55" t="s">
        <v>148</v>
      </c>
      <c r="D851" s="58">
        <v>2</v>
      </c>
      <c r="E851" s="57">
        <v>0</v>
      </c>
    </row>
    <row r="852" spans="2:5" ht="15" customHeight="1">
      <c r="B852" s="90"/>
      <c r="C852" s="55" t="s">
        <v>149</v>
      </c>
      <c r="D852" s="58">
        <v>2</v>
      </c>
      <c r="E852" s="57">
        <v>0</v>
      </c>
    </row>
    <row r="853" spans="2:5" ht="15" customHeight="1">
      <c r="B853" s="90"/>
      <c r="C853" s="55" t="s">
        <v>150</v>
      </c>
      <c r="D853" s="58">
        <v>13</v>
      </c>
      <c r="E853" s="57">
        <v>1E-3</v>
      </c>
    </row>
    <row r="854" spans="2:5" ht="15" customHeight="1">
      <c r="B854" s="90"/>
      <c r="C854" s="55" t="s">
        <v>163</v>
      </c>
      <c r="D854" s="58">
        <v>16</v>
      </c>
      <c r="E854" s="57">
        <v>1E-3</v>
      </c>
    </row>
    <row r="855" spans="2:5" ht="15" customHeight="1">
      <c r="B855" s="90"/>
      <c r="C855" s="55" t="s">
        <v>164</v>
      </c>
      <c r="D855" s="58">
        <v>97</v>
      </c>
      <c r="E855" s="57">
        <v>6.0000000000000001E-3</v>
      </c>
    </row>
    <row r="856" spans="2:5" ht="15" customHeight="1">
      <c r="B856" s="90"/>
      <c r="C856" s="55" t="s">
        <v>152</v>
      </c>
      <c r="D856" s="58">
        <v>3</v>
      </c>
      <c r="E856" s="57">
        <v>0</v>
      </c>
    </row>
    <row r="857" spans="2:5" ht="15" customHeight="1">
      <c r="B857" s="90"/>
      <c r="C857" s="55" t="s">
        <v>165</v>
      </c>
      <c r="D857" s="58">
        <v>4</v>
      </c>
      <c r="E857" s="57">
        <v>0</v>
      </c>
    </row>
    <row r="858" spans="2:5" ht="15" customHeight="1">
      <c r="B858" s="90"/>
      <c r="C858" s="55" t="s">
        <v>153</v>
      </c>
      <c r="D858" s="58">
        <v>6</v>
      </c>
      <c r="E858" s="57">
        <v>0</v>
      </c>
    </row>
    <row r="859" spans="2:5" ht="15" customHeight="1">
      <c r="B859" s="90"/>
      <c r="C859" s="55" t="s">
        <v>154</v>
      </c>
      <c r="D859" s="58">
        <v>14</v>
      </c>
      <c r="E859" s="57">
        <v>1E-3</v>
      </c>
    </row>
    <row r="860" spans="2:5" ht="15" customHeight="1">
      <c r="B860" s="90"/>
      <c r="C860" s="55" t="s">
        <v>170</v>
      </c>
      <c r="D860" s="58">
        <v>6</v>
      </c>
      <c r="E860" s="57">
        <v>0</v>
      </c>
    </row>
    <row r="861" spans="2:5" ht="15" customHeight="1">
      <c r="B861" s="90"/>
      <c r="C861" s="55" t="s">
        <v>166</v>
      </c>
      <c r="D861" s="58">
        <v>1</v>
      </c>
      <c r="E861" s="57">
        <v>0</v>
      </c>
    </row>
    <row r="862" spans="2:5" ht="15" customHeight="1">
      <c r="B862" s="90"/>
      <c r="C862" s="55" t="s">
        <v>155</v>
      </c>
      <c r="D862" s="58">
        <v>17</v>
      </c>
      <c r="E862" s="57">
        <v>1E-3</v>
      </c>
    </row>
    <row r="863" spans="2:5" ht="15" customHeight="1">
      <c r="B863" s="90"/>
      <c r="C863" s="55" t="s">
        <v>167</v>
      </c>
      <c r="D863" s="58">
        <v>2</v>
      </c>
      <c r="E863" s="57">
        <v>0</v>
      </c>
    </row>
    <row r="864" spans="2:5" ht="15" customHeight="1">
      <c r="B864" s="90"/>
      <c r="C864" s="55" t="s">
        <v>156</v>
      </c>
      <c r="D864" s="58">
        <v>6</v>
      </c>
      <c r="E864" s="57">
        <v>0</v>
      </c>
    </row>
    <row r="865" spans="2:5" ht="15" customHeight="1">
      <c r="B865" s="90"/>
      <c r="C865" s="55" t="s">
        <v>175</v>
      </c>
      <c r="D865" s="58">
        <v>7</v>
      </c>
      <c r="E865" s="57">
        <v>0</v>
      </c>
    </row>
    <row r="866" spans="2:5" ht="15" customHeight="1">
      <c r="B866" s="90"/>
      <c r="C866" s="55" t="s">
        <v>168</v>
      </c>
      <c r="D866" s="58">
        <v>10</v>
      </c>
      <c r="E866" s="57">
        <v>1E-3</v>
      </c>
    </row>
    <row r="867" spans="2:5" ht="15" customHeight="1">
      <c r="B867" s="91"/>
      <c r="C867" s="72" t="s">
        <v>284</v>
      </c>
      <c r="D867" s="73">
        <v>1064</v>
      </c>
      <c r="E867" s="71">
        <v>6.9000000000000006E-2</v>
      </c>
    </row>
    <row r="868" spans="2:5" ht="15" customHeight="1">
      <c r="B868" s="89" t="s">
        <v>68</v>
      </c>
      <c r="C868" s="55" t="s">
        <v>140</v>
      </c>
      <c r="D868" s="58">
        <v>17</v>
      </c>
      <c r="E868" s="57">
        <v>1E-3</v>
      </c>
    </row>
    <row r="869" spans="2:5" ht="15" customHeight="1">
      <c r="B869" s="90"/>
      <c r="C869" s="55" t="s">
        <v>142</v>
      </c>
      <c r="D869" s="58">
        <v>3</v>
      </c>
      <c r="E869" s="57">
        <v>0</v>
      </c>
    </row>
    <row r="870" spans="2:5" ht="15" customHeight="1">
      <c r="B870" s="90"/>
      <c r="C870" s="55" t="s">
        <v>157</v>
      </c>
      <c r="D870" s="58">
        <v>2</v>
      </c>
      <c r="E870" s="57">
        <v>0</v>
      </c>
    </row>
    <row r="871" spans="2:5" ht="15" customHeight="1">
      <c r="B871" s="90"/>
      <c r="C871" s="55" t="s">
        <v>143</v>
      </c>
      <c r="D871" s="58">
        <v>19</v>
      </c>
      <c r="E871" s="57">
        <v>1E-3</v>
      </c>
    </row>
    <row r="872" spans="2:5" ht="15" customHeight="1">
      <c r="B872" s="90"/>
      <c r="C872" s="55" t="s">
        <v>144</v>
      </c>
      <c r="D872" s="58">
        <v>40</v>
      </c>
      <c r="E872" s="57">
        <v>3.0000000000000001E-3</v>
      </c>
    </row>
    <row r="873" spans="2:5" ht="15" customHeight="1">
      <c r="B873" s="90"/>
      <c r="C873" s="55" t="s">
        <v>145</v>
      </c>
      <c r="D873" s="58">
        <v>1</v>
      </c>
      <c r="E873" s="57">
        <v>0</v>
      </c>
    </row>
    <row r="874" spans="2:5" ht="15" customHeight="1">
      <c r="B874" s="90"/>
      <c r="C874" s="55" t="s">
        <v>146</v>
      </c>
      <c r="D874" s="58">
        <v>4</v>
      </c>
      <c r="E874" s="57">
        <v>0</v>
      </c>
    </row>
    <row r="875" spans="2:5" ht="15" customHeight="1">
      <c r="B875" s="90"/>
      <c r="C875" s="55" t="s">
        <v>147</v>
      </c>
      <c r="D875" s="58">
        <v>12</v>
      </c>
      <c r="E875" s="57">
        <v>1E-3</v>
      </c>
    </row>
    <row r="876" spans="2:5" ht="15" customHeight="1">
      <c r="B876" s="90"/>
      <c r="C876" s="55" t="s">
        <v>161</v>
      </c>
      <c r="D876" s="58">
        <v>1</v>
      </c>
      <c r="E876" s="57">
        <v>0</v>
      </c>
    </row>
    <row r="877" spans="2:5" ht="15" customHeight="1">
      <c r="B877" s="90"/>
      <c r="C877" s="55" t="s">
        <v>162</v>
      </c>
      <c r="D877" s="58">
        <v>1</v>
      </c>
      <c r="E877" s="57">
        <v>0</v>
      </c>
    </row>
    <row r="878" spans="2:5" ht="15" customHeight="1">
      <c r="B878" s="90"/>
      <c r="C878" s="55" t="s">
        <v>148</v>
      </c>
      <c r="D878" s="58">
        <v>1</v>
      </c>
      <c r="E878" s="57">
        <v>0</v>
      </c>
    </row>
    <row r="879" spans="2:5" ht="15" customHeight="1">
      <c r="B879" s="90"/>
      <c r="C879" s="55" t="s">
        <v>149</v>
      </c>
      <c r="D879" s="58">
        <v>15</v>
      </c>
      <c r="E879" s="57">
        <v>1E-3</v>
      </c>
    </row>
    <row r="880" spans="2:5" ht="15" customHeight="1">
      <c r="B880" s="90"/>
      <c r="C880" s="55" t="s">
        <v>150</v>
      </c>
      <c r="D880" s="58">
        <v>7</v>
      </c>
      <c r="E880" s="57">
        <v>0</v>
      </c>
    </row>
    <row r="881" spans="2:5" ht="15" customHeight="1">
      <c r="B881" s="90"/>
      <c r="C881" s="55" t="s">
        <v>164</v>
      </c>
      <c r="D881" s="58">
        <v>1</v>
      </c>
      <c r="E881" s="57">
        <v>0</v>
      </c>
    </row>
    <row r="882" spans="2:5" ht="15" customHeight="1">
      <c r="B882" s="90"/>
      <c r="C882" s="55" t="s">
        <v>151</v>
      </c>
      <c r="D882" s="58">
        <v>1</v>
      </c>
      <c r="E882" s="57">
        <v>0</v>
      </c>
    </row>
    <row r="883" spans="2:5" ht="15" customHeight="1">
      <c r="B883" s="90"/>
      <c r="C883" s="55" t="s">
        <v>152</v>
      </c>
      <c r="D883" s="58">
        <v>3</v>
      </c>
      <c r="E883" s="57">
        <v>0</v>
      </c>
    </row>
    <row r="884" spans="2:5" ht="15" customHeight="1">
      <c r="B884" s="90"/>
      <c r="C884" s="55" t="s">
        <v>165</v>
      </c>
      <c r="D884" s="58">
        <v>1</v>
      </c>
      <c r="E884" s="57">
        <v>0</v>
      </c>
    </row>
    <row r="885" spans="2:5" ht="15" customHeight="1">
      <c r="B885" s="90"/>
      <c r="C885" s="55" t="s">
        <v>153</v>
      </c>
      <c r="D885" s="58">
        <v>6</v>
      </c>
      <c r="E885" s="57">
        <v>0</v>
      </c>
    </row>
    <row r="886" spans="2:5" ht="15" customHeight="1">
      <c r="B886" s="90"/>
      <c r="C886" s="55" t="s">
        <v>154</v>
      </c>
      <c r="D886" s="58">
        <v>5</v>
      </c>
      <c r="E886" s="57">
        <v>0</v>
      </c>
    </row>
    <row r="887" spans="2:5" ht="15" customHeight="1">
      <c r="B887" s="90"/>
      <c r="C887" s="55" t="s">
        <v>166</v>
      </c>
      <c r="D887" s="58">
        <v>4</v>
      </c>
      <c r="E887" s="57">
        <v>0</v>
      </c>
    </row>
    <row r="888" spans="2:5" ht="15" customHeight="1">
      <c r="B888" s="90"/>
      <c r="C888" s="55" t="s">
        <v>155</v>
      </c>
      <c r="D888" s="58">
        <v>6</v>
      </c>
      <c r="E888" s="57">
        <v>0</v>
      </c>
    </row>
    <row r="889" spans="2:5" ht="15" customHeight="1">
      <c r="B889" s="90"/>
      <c r="C889" s="55" t="s">
        <v>167</v>
      </c>
      <c r="D889" s="58">
        <v>2</v>
      </c>
      <c r="E889" s="57">
        <v>0</v>
      </c>
    </row>
    <row r="890" spans="2:5" ht="15" customHeight="1">
      <c r="B890" s="90"/>
      <c r="C890" s="55" t="s">
        <v>156</v>
      </c>
      <c r="D890" s="58">
        <v>16</v>
      </c>
      <c r="E890" s="57">
        <v>1E-3</v>
      </c>
    </row>
    <row r="891" spans="2:5" ht="15" customHeight="1">
      <c r="B891" s="91"/>
      <c r="C891" s="72" t="s">
        <v>284</v>
      </c>
      <c r="D891" s="73">
        <v>168</v>
      </c>
      <c r="E891" s="71">
        <v>1.0999999999999999E-2</v>
      </c>
    </row>
    <row r="892" spans="2:5" ht="15" customHeight="1">
      <c r="B892" s="89" t="s">
        <v>78</v>
      </c>
      <c r="C892" s="55" t="s">
        <v>140</v>
      </c>
      <c r="D892" s="58">
        <v>1</v>
      </c>
      <c r="E892" s="57">
        <v>0</v>
      </c>
    </row>
    <row r="893" spans="2:5" ht="15" customHeight="1">
      <c r="B893" s="90"/>
      <c r="C893" s="55" t="s">
        <v>169</v>
      </c>
      <c r="D893" s="58">
        <v>1</v>
      </c>
      <c r="E893" s="57">
        <v>0</v>
      </c>
    </row>
    <row r="894" spans="2:5" ht="15" customHeight="1">
      <c r="B894" s="90"/>
      <c r="C894" s="55" t="s">
        <v>141</v>
      </c>
      <c r="D894" s="58">
        <v>1</v>
      </c>
      <c r="E894" s="57">
        <v>0</v>
      </c>
    </row>
    <row r="895" spans="2:5" ht="15" customHeight="1">
      <c r="B895" s="90"/>
      <c r="C895" s="55" t="s">
        <v>142</v>
      </c>
      <c r="D895" s="58">
        <v>3</v>
      </c>
      <c r="E895" s="57">
        <v>0</v>
      </c>
    </row>
    <row r="896" spans="2:5" ht="15" customHeight="1">
      <c r="B896" s="90"/>
      <c r="C896" s="55" t="s">
        <v>157</v>
      </c>
      <c r="D896" s="58">
        <v>3</v>
      </c>
      <c r="E896" s="57">
        <v>0</v>
      </c>
    </row>
    <row r="897" spans="2:5" ht="15" customHeight="1">
      <c r="B897" s="90"/>
      <c r="C897" s="55" t="s">
        <v>143</v>
      </c>
      <c r="D897" s="58">
        <v>3</v>
      </c>
      <c r="E897" s="57">
        <v>0</v>
      </c>
    </row>
    <row r="898" spans="2:5" ht="15" customHeight="1">
      <c r="B898" s="90"/>
      <c r="C898" s="55" t="s">
        <v>144</v>
      </c>
      <c r="D898" s="58">
        <v>28</v>
      </c>
      <c r="E898" s="57">
        <v>2E-3</v>
      </c>
    </row>
    <row r="899" spans="2:5" ht="15" customHeight="1">
      <c r="B899" s="90"/>
      <c r="C899" s="55" t="s">
        <v>145</v>
      </c>
      <c r="D899" s="58">
        <v>3</v>
      </c>
      <c r="E899" s="57">
        <v>0</v>
      </c>
    </row>
    <row r="900" spans="2:5" ht="39.950000000000003" customHeight="1">
      <c r="B900" s="90"/>
      <c r="C900" s="55" t="s">
        <v>146</v>
      </c>
      <c r="D900" s="58">
        <v>2</v>
      </c>
      <c r="E900" s="57">
        <v>0</v>
      </c>
    </row>
    <row r="901" spans="2:5" ht="15" customHeight="1">
      <c r="B901" s="90"/>
      <c r="C901" s="55" t="s">
        <v>147</v>
      </c>
      <c r="D901" s="58">
        <v>1</v>
      </c>
      <c r="E901" s="57">
        <v>0</v>
      </c>
    </row>
    <row r="902" spans="2:5" ht="15" customHeight="1">
      <c r="B902" s="90"/>
      <c r="C902" s="55" t="s">
        <v>161</v>
      </c>
      <c r="D902" s="58">
        <v>5</v>
      </c>
      <c r="E902" s="57">
        <v>0</v>
      </c>
    </row>
    <row r="903" spans="2:5" ht="15" customHeight="1">
      <c r="B903" s="90"/>
      <c r="C903" s="55" t="s">
        <v>162</v>
      </c>
      <c r="D903" s="58">
        <v>1</v>
      </c>
      <c r="E903" s="57">
        <v>0</v>
      </c>
    </row>
    <row r="904" spans="2:5" ht="15" customHeight="1">
      <c r="B904" s="90"/>
      <c r="C904" s="55" t="s">
        <v>148</v>
      </c>
      <c r="D904" s="58">
        <v>1</v>
      </c>
      <c r="E904" s="57">
        <v>0</v>
      </c>
    </row>
    <row r="905" spans="2:5" ht="15" customHeight="1">
      <c r="B905" s="90"/>
      <c r="C905" s="55" t="s">
        <v>149</v>
      </c>
      <c r="D905" s="58">
        <v>4</v>
      </c>
      <c r="E905" s="57">
        <v>0</v>
      </c>
    </row>
    <row r="906" spans="2:5" ht="15" customHeight="1">
      <c r="B906" s="90"/>
      <c r="C906" s="55" t="s">
        <v>150</v>
      </c>
      <c r="D906" s="58">
        <v>4</v>
      </c>
      <c r="E906" s="57">
        <v>0</v>
      </c>
    </row>
    <row r="907" spans="2:5" ht="15" customHeight="1">
      <c r="B907" s="90"/>
      <c r="C907" s="55" t="s">
        <v>164</v>
      </c>
      <c r="D907" s="58">
        <v>1</v>
      </c>
      <c r="E907" s="57">
        <v>0</v>
      </c>
    </row>
    <row r="908" spans="2:5" ht="15" customHeight="1">
      <c r="B908" s="90"/>
      <c r="C908" s="55" t="s">
        <v>152</v>
      </c>
      <c r="D908" s="58">
        <v>4</v>
      </c>
      <c r="E908" s="57">
        <v>0</v>
      </c>
    </row>
    <row r="909" spans="2:5" ht="15" customHeight="1">
      <c r="B909" s="90"/>
      <c r="C909" s="55" t="s">
        <v>153</v>
      </c>
      <c r="D909" s="58">
        <v>1</v>
      </c>
      <c r="E909" s="57">
        <v>0</v>
      </c>
    </row>
    <row r="910" spans="2:5" ht="15" customHeight="1">
      <c r="B910" s="90"/>
      <c r="C910" s="55" t="s">
        <v>167</v>
      </c>
      <c r="D910" s="58">
        <v>1</v>
      </c>
      <c r="E910" s="57">
        <v>0</v>
      </c>
    </row>
    <row r="911" spans="2:5" ht="15" customHeight="1">
      <c r="B911" s="90"/>
      <c r="C911" s="55" t="s">
        <v>156</v>
      </c>
      <c r="D911" s="58">
        <v>3</v>
      </c>
      <c r="E911" s="57">
        <v>0</v>
      </c>
    </row>
    <row r="912" spans="2:5" ht="15" customHeight="1">
      <c r="B912" s="91"/>
      <c r="C912" s="72" t="s">
        <v>284</v>
      </c>
      <c r="D912" s="73">
        <v>71</v>
      </c>
      <c r="E912" s="71">
        <v>5.0000000000000001E-3</v>
      </c>
    </row>
    <row r="913" spans="2:5" ht="15" customHeight="1">
      <c r="B913" s="89" t="s">
        <v>52</v>
      </c>
      <c r="C913" s="55" t="s">
        <v>140</v>
      </c>
      <c r="D913" s="58">
        <v>4</v>
      </c>
      <c r="E913" s="57">
        <v>0</v>
      </c>
    </row>
    <row r="914" spans="2:5" ht="15" customHeight="1">
      <c r="B914" s="90"/>
      <c r="C914" s="55" t="s">
        <v>169</v>
      </c>
      <c r="D914" s="58">
        <v>3</v>
      </c>
      <c r="E914" s="57">
        <v>0</v>
      </c>
    </row>
    <row r="915" spans="2:5" ht="15" customHeight="1">
      <c r="B915" s="90"/>
      <c r="C915" s="55" t="s">
        <v>141</v>
      </c>
      <c r="D915" s="58">
        <v>6</v>
      </c>
      <c r="E915" s="57">
        <v>0</v>
      </c>
    </row>
    <row r="916" spans="2:5" ht="15" customHeight="1">
      <c r="B916" s="90"/>
      <c r="C916" s="55" t="s">
        <v>142</v>
      </c>
      <c r="D916" s="58">
        <v>20</v>
      </c>
      <c r="E916" s="57">
        <v>1E-3</v>
      </c>
    </row>
    <row r="917" spans="2:5" ht="15" customHeight="1">
      <c r="B917" s="90"/>
      <c r="C917" s="55" t="s">
        <v>157</v>
      </c>
      <c r="D917" s="58">
        <v>7</v>
      </c>
      <c r="E917" s="57">
        <v>0</v>
      </c>
    </row>
    <row r="918" spans="2:5" ht="15" customHeight="1">
      <c r="B918" s="90"/>
      <c r="C918" s="55" t="s">
        <v>143</v>
      </c>
      <c r="D918" s="58">
        <v>62</v>
      </c>
      <c r="E918" s="57">
        <v>4.0000000000000001E-3</v>
      </c>
    </row>
    <row r="919" spans="2:5" ht="15" customHeight="1">
      <c r="B919" s="90"/>
      <c r="C919" s="55" t="s">
        <v>144</v>
      </c>
      <c r="D919" s="58">
        <v>123</v>
      </c>
      <c r="E919" s="57">
        <v>8.0000000000000002E-3</v>
      </c>
    </row>
    <row r="920" spans="2:5" ht="15" customHeight="1">
      <c r="B920" s="90"/>
      <c r="C920" s="55" t="s">
        <v>257</v>
      </c>
      <c r="D920" s="58">
        <v>1</v>
      </c>
      <c r="E920" s="57">
        <v>0</v>
      </c>
    </row>
    <row r="921" spans="2:5" ht="15" customHeight="1">
      <c r="B921" s="90"/>
      <c r="C921" s="55" t="s">
        <v>145</v>
      </c>
      <c r="D921" s="58">
        <v>6</v>
      </c>
      <c r="E921" s="57">
        <v>0</v>
      </c>
    </row>
    <row r="922" spans="2:5" ht="15" customHeight="1">
      <c r="B922" s="90"/>
      <c r="C922" s="55" t="s">
        <v>159</v>
      </c>
      <c r="D922" s="58">
        <v>3</v>
      </c>
      <c r="E922" s="57">
        <v>0</v>
      </c>
    </row>
    <row r="923" spans="2:5" ht="15" customHeight="1">
      <c r="B923" s="90"/>
      <c r="C923" s="55" t="s">
        <v>146</v>
      </c>
      <c r="D923" s="58">
        <v>9</v>
      </c>
      <c r="E923" s="57">
        <v>1E-3</v>
      </c>
    </row>
    <row r="924" spans="2:5" ht="15" customHeight="1">
      <c r="B924" s="90"/>
      <c r="C924" s="55" t="s">
        <v>147</v>
      </c>
      <c r="D924" s="58">
        <v>31</v>
      </c>
      <c r="E924" s="57">
        <v>2E-3</v>
      </c>
    </row>
    <row r="925" spans="2:5" ht="15" customHeight="1">
      <c r="B925" s="90"/>
      <c r="C925" s="55" t="s">
        <v>160</v>
      </c>
      <c r="D925" s="58">
        <v>2</v>
      </c>
      <c r="E925" s="57">
        <v>0</v>
      </c>
    </row>
    <row r="926" spans="2:5" ht="15" customHeight="1">
      <c r="B926" s="90"/>
      <c r="C926" s="55" t="s">
        <v>161</v>
      </c>
      <c r="D926" s="58">
        <v>4</v>
      </c>
      <c r="E926" s="57">
        <v>0</v>
      </c>
    </row>
    <row r="927" spans="2:5" ht="15" customHeight="1">
      <c r="B927" s="90"/>
      <c r="C927" s="55" t="s">
        <v>162</v>
      </c>
      <c r="D927" s="58">
        <v>8</v>
      </c>
      <c r="E927" s="57">
        <v>1E-3</v>
      </c>
    </row>
    <row r="928" spans="2:5" ht="15" customHeight="1">
      <c r="B928" s="90"/>
      <c r="C928" s="55" t="s">
        <v>148</v>
      </c>
      <c r="D928" s="58">
        <v>4</v>
      </c>
      <c r="E928" s="57">
        <v>0</v>
      </c>
    </row>
    <row r="929" spans="2:5" ht="15" customHeight="1">
      <c r="B929" s="90"/>
      <c r="C929" s="55" t="s">
        <v>149</v>
      </c>
      <c r="D929" s="58">
        <v>20</v>
      </c>
      <c r="E929" s="57">
        <v>1E-3</v>
      </c>
    </row>
    <row r="930" spans="2:5" ht="15" customHeight="1">
      <c r="B930" s="90"/>
      <c r="C930" s="55" t="s">
        <v>150</v>
      </c>
      <c r="D930" s="58">
        <v>19</v>
      </c>
      <c r="E930" s="57">
        <v>1E-3</v>
      </c>
    </row>
    <row r="931" spans="2:5" ht="15" customHeight="1">
      <c r="B931" s="90"/>
      <c r="C931" s="55" t="s">
        <v>163</v>
      </c>
      <c r="D931" s="58">
        <v>2</v>
      </c>
      <c r="E931" s="57">
        <v>0</v>
      </c>
    </row>
    <row r="932" spans="2:5" ht="15" customHeight="1">
      <c r="B932" s="90"/>
      <c r="C932" s="55" t="s">
        <v>164</v>
      </c>
      <c r="D932" s="58">
        <v>6</v>
      </c>
      <c r="E932" s="57">
        <v>0</v>
      </c>
    </row>
    <row r="933" spans="2:5" ht="15" customHeight="1">
      <c r="B933" s="90"/>
      <c r="C933" s="55" t="s">
        <v>151</v>
      </c>
      <c r="D933" s="58">
        <v>8</v>
      </c>
      <c r="E933" s="57">
        <v>1E-3</v>
      </c>
    </row>
    <row r="934" spans="2:5" ht="15" customHeight="1">
      <c r="B934" s="90"/>
      <c r="C934" s="55" t="s">
        <v>152</v>
      </c>
      <c r="D934" s="58">
        <v>6</v>
      </c>
      <c r="E934" s="57">
        <v>0</v>
      </c>
    </row>
    <row r="935" spans="2:5" ht="15" customHeight="1">
      <c r="B935" s="90"/>
      <c r="C935" s="55" t="s">
        <v>165</v>
      </c>
      <c r="D935" s="58">
        <v>11</v>
      </c>
      <c r="E935" s="57">
        <v>1E-3</v>
      </c>
    </row>
    <row r="936" spans="2:5" ht="15" customHeight="1">
      <c r="B936" s="90"/>
      <c r="C936" s="55" t="s">
        <v>153</v>
      </c>
      <c r="D936" s="58">
        <v>10</v>
      </c>
      <c r="E936" s="57">
        <v>1E-3</v>
      </c>
    </row>
    <row r="937" spans="2:5" ht="15" customHeight="1">
      <c r="B937" s="90"/>
      <c r="C937" s="55" t="s">
        <v>154</v>
      </c>
      <c r="D937" s="58">
        <v>13</v>
      </c>
      <c r="E937" s="57">
        <v>1E-3</v>
      </c>
    </row>
    <row r="938" spans="2:5" ht="15" customHeight="1">
      <c r="B938" s="90"/>
      <c r="C938" s="55" t="s">
        <v>174</v>
      </c>
      <c r="D938" s="58">
        <v>1</v>
      </c>
      <c r="E938" s="57">
        <v>0</v>
      </c>
    </row>
    <row r="939" spans="2:5" ht="15" customHeight="1">
      <c r="B939" s="90"/>
      <c r="C939" s="55" t="s">
        <v>166</v>
      </c>
      <c r="D939" s="58">
        <v>18</v>
      </c>
      <c r="E939" s="57">
        <v>1E-3</v>
      </c>
    </row>
    <row r="940" spans="2:5" ht="15" customHeight="1">
      <c r="B940" s="90"/>
      <c r="C940" s="55" t="s">
        <v>155</v>
      </c>
      <c r="D940" s="58">
        <v>21</v>
      </c>
      <c r="E940" s="57">
        <v>1E-3</v>
      </c>
    </row>
    <row r="941" spans="2:5" ht="15" customHeight="1">
      <c r="B941" s="90"/>
      <c r="C941" s="55" t="s">
        <v>167</v>
      </c>
      <c r="D941" s="58">
        <v>7</v>
      </c>
      <c r="E941" s="57">
        <v>0</v>
      </c>
    </row>
    <row r="942" spans="2:5" ht="15" customHeight="1">
      <c r="B942" s="90"/>
      <c r="C942" s="55" t="s">
        <v>156</v>
      </c>
      <c r="D942" s="58">
        <v>22</v>
      </c>
      <c r="E942" s="57">
        <v>1E-3</v>
      </c>
    </row>
    <row r="943" spans="2:5" ht="15" customHeight="1">
      <c r="B943" s="91"/>
      <c r="C943" s="72" t="s">
        <v>284</v>
      </c>
      <c r="D943" s="73">
        <v>457</v>
      </c>
      <c r="E943" s="71">
        <v>0.03</v>
      </c>
    </row>
    <row r="944" spans="2:5" ht="15" customHeight="1">
      <c r="B944" s="89" t="s">
        <v>55</v>
      </c>
      <c r="C944" s="55" t="s">
        <v>140</v>
      </c>
      <c r="D944" s="58">
        <v>3</v>
      </c>
      <c r="E944" s="57">
        <v>0</v>
      </c>
    </row>
    <row r="945" spans="2:5" ht="15" customHeight="1">
      <c r="B945" s="90"/>
      <c r="C945" s="55" t="s">
        <v>169</v>
      </c>
      <c r="D945" s="58">
        <v>3</v>
      </c>
      <c r="E945" s="57">
        <v>0</v>
      </c>
    </row>
    <row r="946" spans="2:5" ht="15" customHeight="1">
      <c r="B946" s="90"/>
      <c r="C946" s="55" t="s">
        <v>141</v>
      </c>
      <c r="D946" s="58">
        <v>8</v>
      </c>
      <c r="E946" s="57">
        <v>1E-3</v>
      </c>
    </row>
    <row r="947" spans="2:5" ht="15" customHeight="1">
      <c r="B947" s="90"/>
      <c r="C947" s="55" t="s">
        <v>142</v>
      </c>
      <c r="D947" s="58">
        <v>28</v>
      </c>
      <c r="E947" s="57">
        <v>2E-3</v>
      </c>
    </row>
    <row r="948" spans="2:5" ht="15" customHeight="1">
      <c r="B948" s="90"/>
      <c r="C948" s="55" t="s">
        <v>143</v>
      </c>
      <c r="D948" s="58">
        <v>55</v>
      </c>
      <c r="E948" s="57">
        <v>4.0000000000000001E-3</v>
      </c>
    </row>
    <row r="949" spans="2:5" ht="15" customHeight="1">
      <c r="B949" s="90"/>
      <c r="C949" s="55" t="s">
        <v>144</v>
      </c>
      <c r="D949" s="58">
        <v>105</v>
      </c>
      <c r="E949" s="57">
        <v>7.0000000000000001E-3</v>
      </c>
    </row>
    <row r="950" spans="2:5" ht="15" customHeight="1">
      <c r="B950" s="90"/>
      <c r="C950" s="55" t="s">
        <v>257</v>
      </c>
      <c r="D950" s="58">
        <v>1</v>
      </c>
      <c r="E950" s="57">
        <v>0</v>
      </c>
    </row>
    <row r="951" spans="2:5" ht="15" customHeight="1">
      <c r="B951" s="90"/>
      <c r="C951" s="55" t="s">
        <v>145</v>
      </c>
      <c r="D951" s="58">
        <v>8</v>
      </c>
      <c r="E951" s="57">
        <v>1E-3</v>
      </c>
    </row>
    <row r="952" spans="2:5" ht="15" customHeight="1">
      <c r="B952" s="90"/>
      <c r="C952" s="55" t="s">
        <v>158</v>
      </c>
      <c r="D952" s="58">
        <v>4</v>
      </c>
      <c r="E952" s="57">
        <v>0</v>
      </c>
    </row>
    <row r="953" spans="2:5" ht="15" customHeight="1">
      <c r="B953" s="90"/>
      <c r="C953" s="55" t="s">
        <v>159</v>
      </c>
      <c r="D953" s="58">
        <v>2</v>
      </c>
      <c r="E953" s="57">
        <v>0</v>
      </c>
    </row>
    <row r="954" spans="2:5" ht="15" customHeight="1">
      <c r="B954" s="90"/>
      <c r="C954" s="55" t="s">
        <v>146</v>
      </c>
      <c r="D954" s="58">
        <v>10</v>
      </c>
      <c r="E954" s="57">
        <v>1E-3</v>
      </c>
    </row>
    <row r="955" spans="2:5" ht="15" customHeight="1">
      <c r="B955" s="90"/>
      <c r="C955" s="55" t="s">
        <v>147</v>
      </c>
      <c r="D955" s="58">
        <v>14</v>
      </c>
      <c r="E955" s="57">
        <v>1E-3</v>
      </c>
    </row>
    <row r="956" spans="2:5" ht="15" customHeight="1">
      <c r="B956" s="90"/>
      <c r="C956" s="55" t="s">
        <v>160</v>
      </c>
      <c r="D956" s="58">
        <v>3</v>
      </c>
      <c r="E956" s="57">
        <v>0</v>
      </c>
    </row>
    <row r="957" spans="2:5" ht="15" customHeight="1">
      <c r="B957" s="90"/>
      <c r="C957" s="55" t="s">
        <v>172</v>
      </c>
      <c r="D957" s="58">
        <v>1</v>
      </c>
      <c r="E957" s="57">
        <v>0</v>
      </c>
    </row>
    <row r="958" spans="2:5" ht="15" customHeight="1">
      <c r="B958" s="90"/>
      <c r="C958" s="55" t="s">
        <v>161</v>
      </c>
      <c r="D958" s="58">
        <v>2</v>
      </c>
      <c r="E958" s="57">
        <v>0</v>
      </c>
    </row>
    <row r="959" spans="2:5" ht="15" customHeight="1">
      <c r="B959" s="90"/>
      <c r="C959" s="55" t="s">
        <v>148</v>
      </c>
      <c r="D959" s="58">
        <v>1</v>
      </c>
      <c r="E959" s="57">
        <v>0</v>
      </c>
    </row>
    <row r="960" spans="2:5" ht="15" customHeight="1">
      <c r="B960" s="90"/>
      <c r="C960" s="55" t="s">
        <v>149</v>
      </c>
      <c r="D960" s="58">
        <v>17</v>
      </c>
      <c r="E960" s="57">
        <v>1E-3</v>
      </c>
    </row>
    <row r="961" spans="2:5" ht="15" customHeight="1">
      <c r="B961" s="90"/>
      <c r="C961" s="55" t="s">
        <v>150</v>
      </c>
      <c r="D961" s="58">
        <v>16</v>
      </c>
      <c r="E961" s="57">
        <v>1E-3</v>
      </c>
    </row>
    <row r="962" spans="2:5" ht="15" customHeight="1">
      <c r="B962" s="90"/>
      <c r="C962" s="55" t="s">
        <v>164</v>
      </c>
      <c r="D962" s="58">
        <v>49</v>
      </c>
      <c r="E962" s="57">
        <v>3.0000000000000001E-3</v>
      </c>
    </row>
    <row r="963" spans="2:5" ht="15" customHeight="1">
      <c r="B963" s="90"/>
      <c r="C963" s="55" t="s">
        <v>151</v>
      </c>
      <c r="D963" s="58">
        <v>3</v>
      </c>
      <c r="E963" s="57">
        <v>0</v>
      </c>
    </row>
    <row r="964" spans="2:5" ht="15" customHeight="1">
      <c r="B964" s="90"/>
      <c r="C964" s="55" t="s">
        <v>152</v>
      </c>
      <c r="D964" s="58">
        <v>6</v>
      </c>
      <c r="E964" s="57">
        <v>0</v>
      </c>
    </row>
    <row r="965" spans="2:5" ht="15" customHeight="1">
      <c r="B965" s="90"/>
      <c r="C965" s="55" t="s">
        <v>165</v>
      </c>
      <c r="D965" s="58">
        <v>3</v>
      </c>
      <c r="E965" s="57">
        <v>0</v>
      </c>
    </row>
    <row r="966" spans="2:5" ht="15" customHeight="1">
      <c r="B966" s="90"/>
      <c r="C966" s="55" t="s">
        <v>153</v>
      </c>
      <c r="D966" s="58">
        <v>6</v>
      </c>
      <c r="E966" s="57">
        <v>0</v>
      </c>
    </row>
    <row r="967" spans="2:5" ht="15" customHeight="1">
      <c r="B967" s="90"/>
      <c r="C967" s="55" t="s">
        <v>154</v>
      </c>
      <c r="D967" s="58">
        <v>5</v>
      </c>
      <c r="E967" s="57">
        <v>0</v>
      </c>
    </row>
    <row r="968" spans="2:5" ht="15" customHeight="1">
      <c r="B968" s="90"/>
      <c r="C968" s="55" t="s">
        <v>174</v>
      </c>
      <c r="D968" s="58">
        <v>4</v>
      </c>
      <c r="E968" s="57">
        <v>0</v>
      </c>
    </row>
    <row r="969" spans="2:5" ht="15" customHeight="1">
      <c r="B969" s="90"/>
      <c r="C969" s="55" t="s">
        <v>155</v>
      </c>
      <c r="D969" s="58">
        <v>13</v>
      </c>
      <c r="E969" s="57">
        <v>1E-3</v>
      </c>
    </row>
    <row r="970" spans="2:5" ht="15" customHeight="1">
      <c r="B970" s="90"/>
      <c r="C970" s="55" t="s">
        <v>167</v>
      </c>
      <c r="D970" s="58">
        <v>13</v>
      </c>
      <c r="E970" s="57">
        <v>1E-3</v>
      </c>
    </row>
    <row r="971" spans="2:5" ht="15" customHeight="1">
      <c r="B971" s="90"/>
      <c r="C971" s="55" t="s">
        <v>156</v>
      </c>
      <c r="D971" s="58">
        <v>13</v>
      </c>
      <c r="E971" s="57">
        <v>1E-3</v>
      </c>
    </row>
    <row r="972" spans="2:5" ht="15" customHeight="1">
      <c r="B972" s="90"/>
      <c r="C972" s="55" t="s">
        <v>168</v>
      </c>
      <c r="D972" s="58">
        <v>3</v>
      </c>
      <c r="E972" s="57">
        <v>0</v>
      </c>
    </row>
    <row r="973" spans="2:5" ht="15" customHeight="1">
      <c r="B973" s="91"/>
      <c r="C973" s="72" t="s">
        <v>284</v>
      </c>
      <c r="D973" s="73">
        <v>399</v>
      </c>
      <c r="E973" s="71">
        <v>2.5999999999999999E-2</v>
      </c>
    </row>
    <row r="974" spans="2:5" ht="15" customHeight="1">
      <c r="B974" s="89" t="s">
        <v>63</v>
      </c>
      <c r="C974" s="55" t="s">
        <v>140</v>
      </c>
      <c r="D974" s="58">
        <v>2</v>
      </c>
      <c r="E974" s="57">
        <v>0</v>
      </c>
    </row>
    <row r="975" spans="2:5" ht="15" customHeight="1">
      <c r="B975" s="90"/>
      <c r="C975" s="55" t="s">
        <v>141</v>
      </c>
      <c r="D975" s="58">
        <v>1</v>
      </c>
      <c r="E975" s="57">
        <v>0</v>
      </c>
    </row>
    <row r="976" spans="2:5" ht="15" customHeight="1">
      <c r="B976" s="90"/>
      <c r="C976" s="55" t="s">
        <v>142</v>
      </c>
      <c r="D976" s="58">
        <v>20</v>
      </c>
      <c r="E976" s="57">
        <v>1E-3</v>
      </c>
    </row>
    <row r="977" spans="2:5" ht="15" customHeight="1">
      <c r="B977" s="90"/>
      <c r="C977" s="55" t="s">
        <v>143</v>
      </c>
      <c r="D977" s="58">
        <v>24</v>
      </c>
      <c r="E977" s="57">
        <v>2E-3</v>
      </c>
    </row>
    <row r="978" spans="2:5" ht="15" customHeight="1">
      <c r="B978" s="90"/>
      <c r="C978" s="55" t="s">
        <v>144</v>
      </c>
      <c r="D978" s="58">
        <v>44</v>
      </c>
      <c r="E978" s="57">
        <v>3.0000000000000001E-3</v>
      </c>
    </row>
    <row r="979" spans="2:5" ht="15" customHeight="1">
      <c r="B979" s="90"/>
      <c r="C979" s="55" t="s">
        <v>257</v>
      </c>
      <c r="D979" s="58">
        <v>6</v>
      </c>
      <c r="E979" s="57">
        <v>0</v>
      </c>
    </row>
    <row r="980" spans="2:5" ht="15" customHeight="1">
      <c r="B980" s="90"/>
      <c r="C980" s="55" t="s">
        <v>145</v>
      </c>
      <c r="D980" s="58">
        <v>2</v>
      </c>
      <c r="E980" s="57">
        <v>0</v>
      </c>
    </row>
    <row r="981" spans="2:5" ht="15" customHeight="1">
      <c r="B981" s="90"/>
      <c r="C981" s="55" t="s">
        <v>146</v>
      </c>
      <c r="D981" s="58">
        <v>3</v>
      </c>
      <c r="E981" s="57">
        <v>0</v>
      </c>
    </row>
    <row r="982" spans="2:5" ht="15" customHeight="1">
      <c r="B982" s="90"/>
      <c r="C982" s="55" t="s">
        <v>147</v>
      </c>
      <c r="D982" s="58">
        <v>7</v>
      </c>
      <c r="E982" s="57">
        <v>0</v>
      </c>
    </row>
    <row r="983" spans="2:5" ht="15" customHeight="1">
      <c r="B983" s="90"/>
      <c r="C983" s="55" t="s">
        <v>160</v>
      </c>
      <c r="D983" s="58">
        <v>1</v>
      </c>
      <c r="E983" s="57">
        <v>0</v>
      </c>
    </row>
    <row r="984" spans="2:5" ht="15" customHeight="1">
      <c r="B984" s="90"/>
      <c r="C984" s="55" t="s">
        <v>162</v>
      </c>
      <c r="D984" s="58">
        <v>2</v>
      </c>
      <c r="E984" s="57">
        <v>0</v>
      </c>
    </row>
    <row r="985" spans="2:5" ht="15" customHeight="1">
      <c r="B985" s="90"/>
      <c r="C985" s="55" t="s">
        <v>148</v>
      </c>
      <c r="D985" s="58">
        <v>3</v>
      </c>
      <c r="E985" s="57">
        <v>0</v>
      </c>
    </row>
    <row r="986" spans="2:5" ht="15" customHeight="1">
      <c r="B986" s="90"/>
      <c r="C986" s="55" t="s">
        <v>149</v>
      </c>
      <c r="D986" s="58">
        <v>13</v>
      </c>
      <c r="E986" s="57">
        <v>1E-3</v>
      </c>
    </row>
    <row r="987" spans="2:5" ht="15" customHeight="1">
      <c r="B987" s="90"/>
      <c r="C987" s="55" t="s">
        <v>150</v>
      </c>
      <c r="D987" s="58">
        <v>5</v>
      </c>
      <c r="E987" s="57">
        <v>0</v>
      </c>
    </row>
    <row r="988" spans="2:5" ht="15" customHeight="1">
      <c r="B988" s="90"/>
      <c r="C988" s="55" t="s">
        <v>164</v>
      </c>
      <c r="D988" s="58">
        <v>5</v>
      </c>
      <c r="E988" s="57">
        <v>0</v>
      </c>
    </row>
    <row r="989" spans="2:5" ht="15" customHeight="1">
      <c r="B989" s="90"/>
      <c r="C989" s="55" t="s">
        <v>151</v>
      </c>
      <c r="D989" s="58">
        <v>1</v>
      </c>
      <c r="E989" s="57">
        <v>0</v>
      </c>
    </row>
    <row r="990" spans="2:5" ht="15" customHeight="1">
      <c r="B990" s="90"/>
      <c r="C990" s="55" t="s">
        <v>165</v>
      </c>
      <c r="D990" s="58">
        <v>2</v>
      </c>
      <c r="E990" s="57">
        <v>0</v>
      </c>
    </row>
    <row r="991" spans="2:5" ht="15" customHeight="1">
      <c r="B991" s="90"/>
      <c r="C991" s="55" t="s">
        <v>153</v>
      </c>
      <c r="D991" s="58">
        <v>3</v>
      </c>
      <c r="E991" s="57">
        <v>0</v>
      </c>
    </row>
    <row r="992" spans="2:5" ht="15" customHeight="1">
      <c r="B992" s="90"/>
      <c r="C992" s="55" t="s">
        <v>154</v>
      </c>
      <c r="D992" s="58">
        <v>3</v>
      </c>
      <c r="E992" s="57">
        <v>0</v>
      </c>
    </row>
    <row r="993" spans="2:5" ht="15" customHeight="1">
      <c r="B993" s="90"/>
      <c r="C993" s="55" t="s">
        <v>166</v>
      </c>
      <c r="D993" s="58">
        <v>2</v>
      </c>
      <c r="E993" s="57">
        <v>0</v>
      </c>
    </row>
    <row r="994" spans="2:5" ht="15" customHeight="1">
      <c r="B994" s="90"/>
      <c r="C994" s="55" t="s">
        <v>155</v>
      </c>
      <c r="D994" s="58">
        <v>2</v>
      </c>
      <c r="E994" s="57">
        <v>0</v>
      </c>
    </row>
    <row r="995" spans="2:5" ht="15" customHeight="1">
      <c r="B995" s="90"/>
      <c r="C995" s="55" t="s">
        <v>156</v>
      </c>
      <c r="D995" s="58">
        <v>3</v>
      </c>
      <c r="E995" s="57">
        <v>0</v>
      </c>
    </row>
    <row r="996" spans="2:5" ht="15" customHeight="1">
      <c r="B996" s="90"/>
      <c r="C996" s="55" t="s">
        <v>175</v>
      </c>
      <c r="D996" s="58">
        <v>1</v>
      </c>
      <c r="E996" s="57">
        <v>0</v>
      </c>
    </row>
    <row r="997" spans="2:5" ht="15" customHeight="1">
      <c r="B997" s="91"/>
      <c r="C997" s="72" t="s">
        <v>284</v>
      </c>
      <c r="D997" s="73">
        <v>155</v>
      </c>
      <c r="E997" s="71">
        <v>0.01</v>
      </c>
    </row>
    <row r="998" spans="2:5" ht="15" customHeight="1">
      <c r="B998" s="89" t="s">
        <v>64</v>
      </c>
      <c r="C998" s="55" t="s">
        <v>140</v>
      </c>
      <c r="D998" s="58">
        <v>5</v>
      </c>
      <c r="E998" s="57">
        <v>0</v>
      </c>
    </row>
    <row r="999" spans="2:5" ht="15" customHeight="1">
      <c r="B999" s="90"/>
      <c r="C999" s="55" t="s">
        <v>169</v>
      </c>
      <c r="D999" s="58">
        <v>1</v>
      </c>
      <c r="E999" s="57">
        <v>0</v>
      </c>
    </row>
    <row r="1000" spans="2:5" ht="15" customHeight="1">
      <c r="B1000" s="90"/>
      <c r="C1000" s="55" t="s">
        <v>141</v>
      </c>
      <c r="D1000" s="58">
        <v>8</v>
      </c>
      <c r="E1000" s="57">
        <v>1E-3</v>
      </c>
    </row>
    <row r="1001" spans="2:5" ht="15" customHeight="1">
      <c r="B1001" s="90"/>
      <c r="C1001" s="55" t="s">
        <v>142</v>
      </c>
      <c r="D1001" s="58">
        <v>12</v>
      </c>
      <c r="E1001" s="57">
        <v>1E-3</v>
      </c>
    </row>
    <row r="1002" spans="2:5" ht="15" customHeight="1">
      <c r="B1002" s="90"/>
      <c r="C1002" s="55" t="s">
        <v>143</v>
      </c>
      <c r="D1002" s="58">
        <v>20</v>
      </c>
      <c r="E1002" s="57">
        <v>1E-3</v>
      </c>
    </row>
    <row r="1003" spans="2:5" ht="15" customHeight="1">
      <c r="B1003" s="90"/>
      <c r="C1003" s="55" t="s">
        <v>144</v>
      </c>
      <c r="D1003" s="58">
        <v>45</v>
      </c>
      <c r="E1003" s="57">
        <v>3.0000000000000001E-3</v>
      </c>
    </row>
    <row r="1004" spans="2:5" ht="15" customHeight="1">
      <c r="B1004" s="90"/>
      <c r="C1004" s="55" t="s">
        <v>257</v>
      </c>
      <c r="D1004" s="58">
        <v>1</v>
      </c>
      <c r="E1004" s="57">
        <v>0</v>
      </c>
    </row>
    <row r="1005" spans="2:5" ht="15" customHeight="1">
      <c r="B1005" s="90"/>
      <c r="C1005" s="55" t="s">
        <v>145</v>
      </c>
      <c r="D1005" s="58">
        <v>4</v>
      </c>
      <c r="E1005" s="57">
        <v>0</v>
      </c>
    </row>
    <row r="1006" spans="2:5" ht="15" customHeight="1">
      <c r="B1006" s="90"/>
      <c r="C1006" s="55" t="s">
        <v>146</v>
      </c>
      <c r="D1006" s="58">
        <v>3</v>
      </c>
      <c r="E1006" s="57">
        <v>0</v>
      </c>
    </row>
    <row r="1007" spans="2:5" ht="15" customHeight="1">
      <c r="B1007" s="90"/>
      <c r="C1007" s="55" t="s">
        <v>147</v>
      </c>
      <c r="D1007" s="58">
        <v>4</v>
      </c>
      <c r="E1007" s="57">
        <v>0</v>
      </c>
    </row>
    <row r="1008" spans="2:5" ht="15" customHeight="1">
      <c r="B1008" s="90"/>
      <c r="C1008" s="55" t="s">
        <v>160</v>
      </c>
      <c r="D1008" s="58">
        <v>1</v>
      </c>
      <c r="E1008" s="57">
        <v>0</v>
      </c>
    </row>
    <row r="1009" spans="2:5" ht="15" customHeight="1">
      <c r="B1009" s="90"/>
      <c r="C1009" s="55" t="s">
        <v>162</v>
      </c>
      <c r="D1009" s="58">
        <v>2</v>
      </c>
      <c r="E1009" s="57">
        <v>0</v>
      </c>
    </row>
    <row r="1010" spans="2:5" ht="15" customHeight="1">
      <c r="B1010" s="90"/>
      <c r="C1010" s="55" t="s">
        <v>148</v>
      </c>
      <c r="D1010" s="58">
        <v>4</v>
      </c>
      <c r="E1010" s="57">
        <v>0</v>
      </c>
    </row>
    <row r="1011" spans="2:5" ht="39.950000000000003" customHeight="1">
      <c r="B1011" s="90"/>
      <c r="C1011" s="55" t="s">
        <v>149</v>
      </c>
      <c r="D1011" s="58">
        <v>4</v>
      </c>
      <c r="E1011" s="57">
        <v>0</v>
      </c>
    </row>
    <row r="1012" spans="2:5" ht="15" customHeight="1">
      <c r="B1012" s="90"/>
      <c r="C1012" s="55" t="s">
        <v>150</v>
      </c>
      <c r="D1012" s="58">
        <v>1</v>
      </c>
      <c r="E1012" s="57">
        <v>0</v>
      </c>
    </row>
    <row r="1013" spans="2:5" ht="15" customHeight="1">
      <c r="B1013" s="90"/>
      <c r="C1013" s="55" t="s">
        <v>163</v>
      </c>
      <c r="D1013" s="58">
        <v>1</v>
      </c>
      <c r="E1013" s="57">
        <v>0</v>
      </c>
    </row>
    <row r="1014" spans="2:5" ht="15" customHeight="1">
      <c r="B1014" s="90"/>
      <c r="C1014" s="55" t="s">
        <v>164</v>
      </c>
      <c r="D1014" s="58">
        <v>6</v>
      </c>
      <c r="E1014" s="57">
        <v>0</v>
      </c>
    </row>
    <row r="1015" spans="2:5" ht="15" customHeight="1">
      <c r="B1015" s="90"/>
      <c r="C1015" s="55" t="s">
        <v>151</v>
      </c>
      <c r="D1015" s="58">
        <v>1</v>
      </c>
      <c r="E1015" s="57">
        <v>0</v>
      </c>
    </row>
    <row r="1016" spans="2:5" ht="15" customHeight="1">
      <c r="B1016" s="90"/>
      <c r="C1016" s="55" t="s">
        <v>152</v>
      </c>
      <c r="D1016" s="58">
        <v>1</v>
      </c>
      <c r="E1016" s="57">
        <v>0</v>
      </c>
    </row>
    <row r="1017" spans="2:5" ht="15" customHeight="1">
      <c r="B1017" s="90"/>
      <c r="C1017" s="55" t="s">
        <v>165</v>
      </c>
      <c r="D1017" s="58">
        <v>8</v>
      </c>
      <c r="E1017" s="57">
        <v>1E-3</v>
      </c>
    </row>
    <row r="1018" spans="2:5" ht="15" customHeight="1">
      <c r="B1018" s="90"/>
      <c r="C1018" s="55" t="s">
        <v>153</v>
      </c>
      <c r="D1018" s="58">
        <v>1</v>
      </c>
      <c r="E1018" s="57">
        <v>0</v>
      </c>
    </row>
    <row r="1019" spans="2:5" ht="15" customHeight="1">
      <c r="B1019" s="90"/>
      <c r="C1019" s="55" t="s">
        <v>154</v>
      </c>
      <c r="D1019" s="58">
        <v>3</v>
      </c>
      <c r="E1019" s="57">
        <v>0</v>
      </c>
    </row>
    <row r="1020" spans="2:5" ht="15" customHeight="1">
      <c r="B1020" s="90"/>
      <c r="C1020" s="55" t="s">
        <v>174</v>
      </c>
      <c r="D1020" s="58">
        <v>1</v>
      </c>
      <c r="E1020" s="57">
        <v>0</v>
      </c>
    </row>
    <row r="1021" spans="2:5" ht="15" customHeight="1">
      <c r="B1021" s="90"/>
      <c r="C1021" s="55" t="s">
        <v>166</v>
      </c>
      <c r="D1021" s="58">
        <v>3</v>
      </c>
      <c r="E1021" s="57">
        <v>0</v>
      </c>
    </row>
    <row r="1022" spans="2:5" ht="15" customHeight="1">
      <c r="B1022" s="90"/>
      <c r="C1022" s="55" t="s">
        <v>155</v>
      </c>
      <c r="D1022" s="58">
        <v>15</v>
      </c>
      <c r="E1022" s="57">
        <v>1E-3</v>
      </c>
    </row>
    <row r="1023" spans="2:5" ht="15" customHeight="1">
      <c r="B1023" s="90"/>
      <c r="C1023" s="55" t="s">
        <v>167</v>
      </c>
      <c r="D1023" s="58">
        <v>2</v>
      </c>
      <c r="E1023" s="57">
        <v>0</v>
      </c>
    </row>
    <row r="1024" spans="2:5" ht="15" customHeight="1">
      <c r="B1024" s="90"/>
      <c r="C1024" s="55" t="s">
        <v>156</v>
      </c>
      <c r="D1024" s="58">
        <v>4</v>
      </c>
      <c r="E1024" s="57">
        <v>0</v>
      </c>
    </row>
    <row r="1025" spans="2:5" ht="15" customHeight="1">
      <c r="B1025" s="90"/>
      <c r="C1025" s="55" t="s">
        <v>175</v>
      </c>
      <c r="D1025" s="58">
        <v>3</v>
      </c>
      <c r="E1025" s="57">
        <v>0</v>
      </c>
    </row>
    <row r="1026" spans="2:5" ht="15" customHeight="1">
      <c r="B1026" s="90"/>
      <c r="C1026" s="55" t="s">
        <v>168</v>
      </c>
      <c r="D1026" s="58">
        <v>1</v>
      </c>
      <c r="E1026" s="57">
        <v>0</v>
      </c>
    </row>
    <row r="1027" spans="2:5" ht="15" customHeight="1">
      <c r="B1027" s="91"/>
      <c r="C1027" s="72" t="s">
        <v>284</v>
      </c>
      <c r="D1027" s="73">
        <v>165</v>
      </c>
      <c r="E1027" s="71">
        <v>1.0999999999999999E-2</v>
      </c>
    </row>
    <row r="1028" spans="2:5" ht="15" customHeight="1">
      <c r="B1028" s="89" t="s">
        <v>46</v>
      </c>
      <c r="C1028" s="55" t="s">
        <v>140</v>
      </c>
      <c r="D1028" s="58">
        <v>17</v>
      </c>
      <c r="E1028" s="57">
        <v>1E-3</v>
      </c>
    </row>
    <row r="1029" spans="2:5" ht="15" customHeight="1">
      <c r="B1029" s="90"/>
      <c r="C1029" s="55" t="s">
        <v>169</v>
      </c>
      <c r="D1029" s="58">
        <v>5</v>
      </c>
      <c r="E1029" s="57">
        <v>0</v>
      </c>
    </row>
    <row r="1030" spans="2:5" ht="15" customHeight="1">
      <c r="B1030" s="90"/>
      <c r="C1030" s="55" t="s">
        <v>141</v>
      </c>
      <c r="D1030" s="58">
        <v>35</v>
      </c>
      <c r="E1030" s="57">
        <v>2E-3</v>
      </c>
    </row>
    <row r="1031" spans="2:5" ht="15" customHeight="1">
      <c r="B1031" s="90"/>
      <c r="C1031" s="55" t="s">
        <v>142</v>
      </c>
      <c r="D1031" s="58">
        <v>42</v>
      </c>
      <c r="E1031" s="57">
        <v>3.0000000000000001E-3</v>
      </c>
    </row>
    <row r="1032" spans="2:5" ht="15" customHeight="1">
      <c r="B1032" s="90"/>
      <c r="C1032" s="55" t="s">
        <v>171</v>
      </c>
      <c r="D1032" s="58">
        <v>2</v>
      </c>
      <c r="E1032" s="57">
        <v>0</v>
      </c>
    </row>
    <row r="1033" spans="2:5" ht="15" customHeight="1">
      <c r="B1033" s="90"/>
      <c r="C1033" s="55" t="s">
        <v>157</v>
      </c>
      <c r="D1033" s="58">
        <v>21</v>
      </c>
      <c r="E1033" s="57">
        <v>1E-3</v>
      </c>
    </row>
    <row r="1034" spans="2:5" ht="15" customHeight="1">
      <c r="B1034" s="90"/>
      <c r="C1034" s="55" t="s">
        <v>143</v>
      </c>
      <c r="D1034" s="58">
        <v>173</v>
      </c>
      <c r="E1034" s="57">
        <v>1.0999999999999999E-2</v>
      </c>
    </row>
    <row r="1035" spans="2:5" ht="15" customHeight="1">
      <c r="B1035" s="90"/>
      <c r="C1035" s="55" t="s">
        <v>144</v>
      </c>
      <c r="D1035" s="58">
        <v>304</v>
      </c>
      <c r="E1035" s="57">
        <v>0.02</v>
      </c>
    </row>
    <row r="1036" spans="2:5" ht="15" customHeight="1">
      <c r="B1036" s="90"/>
      <c r="C1036" s="55" t="s">
        <v>257</v>
      </c>
      <c r="D1036" s="58">
        <v>6</v>
      </c>
      <c r="E1036" s="57">
        <v>0</v>
      </c>
    </row>
    <row r="1037" spans="2:5" ht="15" customHeight="1">
      <c r="B1037" s="90"/>
      <c r="C1037" s="55" t="s">
        <v>145</v>
      </c>
      <c r="D1037" s="58">
        <v>38</v>
      </c>
      <c r="E1037" s="57">
        <v>2E-3</v>
      </c>
    </row>
    <row r="1038" spans="2:5" ht="15" customHeight="1">
      <c r="B1038" s="90"/>
      <c r="C1038" s="55" t="s">
        <v>158</v>
      </c>
      <c r="D1038" s="58">
        <v>2</v>
      </c>
      <c r="E1038" s="57">
        <v>0</v>
      </c>
    </row>
    <row r="1039" spans="2:5" ht="15" customHeight="1">
      <c r="B1039" s="90"/>
      <c r="C1039" s="55" t="s">
        <v>159</v>
      </c>
      <c r="D1039" s="58">
        <v>11</v>
      </c>
      <c r="E1039" s="57">
        <v>1E-3</v>
      </c>
    </row>
    <row r="1040" spans="2:5" ht="15" customHeight="1">
      <c r="B1040" s="90"/>
      <c r="C1040" s="55" t="s">
        <v>146</v>
      </c>
      <c r="D1040" s="58">
        <v>39</v>
      </c>
      <c r="E1040" s="57">
        <v>3.0000000000000001E-3</v>
      </c>
    </row>
    <row r="1041" spans="2:5" ht="15" customHeight="1">
      <c r="B1041" s="90"/>
      <c r="C1041" s="55" t="s">
        <v>147</v>
      </c>
      <c r="D1041" s="58">
        <v>84</v>
      </c>
      <c r="E1041" s="57">
        <v>5.0000000000000001E-3</v>
      </c>
    </row>
    <row r="1042" spans="2:5" ht="15" customHeight="1">
      <c r="B1042" s="90"/>
      <c r="C1042" s="55" t="s">
        <v>160</v>
      </c>
      <c r="D1042" s="58">
        <v>6</v>
      </c>
      <c r="E1042" s="57">
        <v>0</v>
      </c>
    </row>
    <row r="1043" spans="2:5" ht="15" customHeight="1">
      <c r="B1043" s="90"/>
      <c r="C1043" s="55" t="s">
        <v>161</v>
      </c>
      <c r="D1043" s="58">
        <v>11</v>
      </c>
      <c r="E1043" s="57">
        <v>1E-3</v>
      </c>
    </row>
    <row r="1044" spans="2:5" ht="15" customHeight="1">
      <c r="B1044" s="90"/>
      <c r="C1044" s="55" t="s">
        <v>162</v>
      </c>
      <c r="D1044" s="58">
        <v>27</v>
      </c>
      <c r="E1044" s="57">
        <v>2E-3</v>
      </c>
    </row>
    <row r="1045" spans="2:5" ht="15" customHeight="1">
      <c r="B1045" s="90"/>
      <c r="C1045" s="55" t="s">
        <v>148</v>
      </c>
      <c r="D1045" s="58">
        <v>8</v>
      </c>
      <c r="E1045" s="57">
        <v>1E-3</v>
      </c>
    </row>
    <row r="1046" spans="2:5" ht="15" customHeight="1">
      <c r="B1046" s="90"/>
      <c r="C1046" s="55" t="s">
        <v>149</v>
      </c>
      <c r="D1046" s="58">
        <v>69</v>
      </c>
      <c r="E1046" s="57">
        <v>4.0000000000000001E-3</v>
      </c>
    </row>
    <row r="1047" spans="2:5" ht="15" customHeight="1">
      <c r="B1047" s="90"/>
      <c r="C1047" s="55" t="s">
        <v>150</v>
      </c>
      <c r="D1047" s="58">
        <v>39</v>
      </c>
      <c r="E1047" s="57">
        <v>3.0000000000000001E-3</v>
      </c>
    </row>
    <row r="1048" spans="2:5" ht="15" customHeight="1">
      <c r="B1048" s="90"/>
      <c r="C1048" s="55" t="s">
        <v>163</v>
      </c>
      <c r="D1048" s="58">
        <v>6</v>
      </c>
      <c r="E1048" s="57">
        <v>0</v>
      </c>
    </row>
    <row r="1049" spans="2:5" ht="15" customHeight="1">
      <c r="B1049" s="90"/>
      <c r="C1049" s="55" t="s">
        <v>164</v>
      </c>
      <c r="D1049" s="58">
        <v>19</v>
      </c>
      <c r="E1049" s="57">
        <v>1E-3</v>
      </c>
    </row>
    <row r="1050" spans="2:5" ht="15" customHeight="1">
      <c r="B1050" s="90"/>
      <c r="C1050" s="55" t="s">
        <v>151</v>
      </c>
      <c r="D1050" s="58">
        <v>31</v>
      </c>
      <c r="E1050" s="57">
        <v>2E-3</v>
      </c>
    </row>
    <row r="1051" spans="2:5" ht="15" customHeight="1">
      <c r="B1051" s="90"/>
      <c r="C1051" s="55" t="s">
        <v>152</v>
      </c>
      <c r="D1051" s="58">
        <v>22</v>
      </c>
      <c r="E1051" s="57">
        <v>1E-3</v>
      </c>
    </row>
    <row r="1052" spans="2:5" ht="15" customHeight="1">
      <c r="B1052" s="90"/>
      <c r="C1052" s="55" t="s">
        <v>165</v>
      </c>
      <c r="D1052" s="58">
        <v>8</v>
      </c>
      <c r="E1052" s="57">
        <v>1E-3</v>
      </c>
    </row>
    <row r="1053" spans="2:5" ht="15" customHeight="1">
      <c r="B1053" s="90"/>
      <c r="C1053" s="55" t="s">
        <v>153</v>
      </c>
      <c r="D1053" s="58">
        <v>33</v>
      </c>
      <c r="E1053" s="57">
        <v>2E-3</v>
      </c>
    </row>
    <row r="1054" spans="2:5" ht="15" customHeight="1">
      <c r="B1054" s="90"/>
      <c r="C1054" s="55" t="s">
        <v>154</v>
      </c>
      <c r="D1054" s="58">
        <v>20</v>
      </c>
      <c r="E1054" s="57">
        <v>1E-3</v>
      </c>
    </row>
    <row r="1055" spans="2:5" ht="15" customHeight="1">
      <c r="B1055" s="90"/>
      <c r="C1055" s="55" t="s">
        <v>170</v>
      </c>
      <c r="D1055" s="58">
        <v>7</v>
      </c>
      <c r="E1055" s="57">
        <v>0</v>
      </c>
    </row>
    <row r="1056" spans="2:5" ht="15" customHeight="1">
      <c r="B1056" s="90"/>
      <c r="C1056" s="55" t="s">
        <v>174</v>
      </c>
      <c r="D1056" s="58">
        <v>9</v>
      </c>
      <c r="E1056" s="57">
        <v>1E-3</v>
      </c>
    </row>
    <row r="1057" spans="2:5" ht="15" customHeight="1">
      <c r="B1057" s="90"/>
      <c r="C1057" s="55" t="s">
        <v>166</v>
      </c>
      <c r="D1057" s="58">
        <v>21</v>
      </c>
      <c r="E1057" s="57">
        <v>1E-3</v>
      </c>
    </row>
    <row r="1058" spans="2:5" ht="15" customHeight="1">
      <c r="B1058" s="90"/>
      <c r="C1058" s="55" t="s">
        <v>258</v>
      </c>
      <c r="D1058" s="58">
        <v>1</v>
      </c>
      <c r="E1058" s="57">
        <v>0</v>
      </c>
    </row>
    <row r="1059" spans="2:5" ht="15" customHeight="1">
      <c r="B1059" s="90"/>
      <c r="C1059" s="55" t="s">
        <v>155</v>
      </c>
      <c r="D1059" s="58">
        <v>73</v>
      </c>
      <c r="E1059" s="57">
        <v>5.0000000000000001E-3</v>
      </c>
    </row>
    <row r="1060" spans="2:5" ht="15" customHeight="1">
      <c r="B1060" s="90"/>
      <c r="C1060" s="55" t="s">
        <v>167</v>
      </c>
      <c r="D1060" s="58">
        <v>9</v>
      </c>
      <c r="E1060" s="57">
        <v>1E-3</v>
      </c>
    </row>
    <row r="1061" spans="2:5" ht="15" customHeight="1">
      <c r="B1061" s="90"/>
      <c r="C1061" s="55" t="s">
        <v>156</v>
      </c>
      <c r="D1061" s="58">
        <v>69</v>
      </c>
      <c r="E1061" s="57">
        <v>4.0000000000000001E-3</v>
      </c>
    </row>
    <row r="1062" spans="2:5" ht="15" customHeight="1">
      <c r="B1062" s="90"/>
      <c r="C1062" s="55" t="s">
        <v>175</v>
      </c>
      <c r="D1062" s="58">
        <v>5</v>
      </c>
      <c r="E1062" s="57">
        <v>0</v>
      </c>
    </row>
    <row r="1063" spans="2:5" ht="15" customHeight="1">
      <c r="B1063" s="90"/>
      <c r="C1063" s="55" t="s">
        <v>168</v>
      </c>
      <c r="D1063" s="58">
        <v>12</v>
      </c>
      <c r="E1063" s="57">
        <v>1E-3</v>
      </c>
    </row>
    <row r="1064" spans="2:5" ht="15" customHeight="1">
      <c r="B1064" s="91"/>
      <c r="C1064" s="72" t="s">
        <v>284</v>
      </c>
      <c r="D1064" s="73">
        <v>1284</v>
      </c>
      <c r="E1064" s="71">
        <v>8.3000000000000004E-2</v>
      </c>
    </row>
    <row r="1065" spans="2:5" ht="15" customHeight="1">
      <c r="B1065" s="89" t="s">
        <v>80</v>
      </c>
      <c r="C1065" s="55" t="s">
        <v>140</v>
      </c>
      <c r="D1065" s="58">
        <v>4</v>
      </c>
      <c r="E1065" s="57">
        <v>0</v>
      </c>
    </row>
    <row r="1066" spans="2:5" ht="15" customHeight="1">
      <c r="B1066" s="90"/>
      <c r="C1066" s="55" t="s">
        <v>141</v>
      </c>
      <c r="D1066" s="58">
        <v>1</v>
      </c>
      <c r="E1066" s="57">
        <v>0</v>
      </c>
    </row>
    <row r="1067" spans="2:5" ht="15" customHeight="1">
      <c r="B1067" s="90"/>
      <c r="C1067" s="55" t="s">
        <v>142</v>
      </c>
      <c r="D1067" s="58">
        <v>2</v>
      </c>
      <c r="E1067" s="57">
        <v>0</v>
      </c>
    </row>
    <row r="1068" spans="2:5" ht="15" customHeight="1">
      <c r="B1068" s="90"/>
      <c r="C1068" s="55" t="s">
        <v>157</v>
      </c>
      <c r="D1068" s="58">
        <v>1</v>
      </c>
      <c r="E1068" s="57">
        <v>0</v>
      </c>
    </row>
    <row r="1069" spans="2:5" ht="15" customHeight="1">
      <c r="B1069" s="90"/>
      <c r="C1069" s="55" t="s">
        <v>143</v>
      </c>
      <c r="D1069" s="58">
        <v>11</v>
      </c>
      <c r="E1069" s="57">
        <v>1E-3</v>
      </c>
    </row>
    <row r="1070" spans="2:5" ht="15" customHeight="1">
      <c r="B1070" s="90"/>
      <c r="C1070" s="55" t="s">
        <v>144</v>
      </c>
      <c r="D1070" s="58">
        <v>12</v>
      </c>
      <c r="E1070" s="57">
        <v>1E-3</v>
      </c>
    </row>
    <row r="1071" spans="2:5" ht="15" customHeight="1">
      <c r="B1071" s="90"/>
      <c r="C1071" s="55" t="s">
        <v>147</v>
      </c>
      <c r="D1071" s="58">
        <v>4</v>
      </c>
      <c r="E1071" s="57">
        <v>0</v>
      </c>
    </row>
    <row r="1072" spans="2:5" ht="15" customHeight="1">
      <c r="B1072" s="90"/>
      <c r="C1072" s="55" t="s">
        <v>162</v>
      </c>
      <c r="D1072" s="58">
        <v>2</v>
      </c>
      <c r="E1072" s="57">
        <v>0</v>
      </c>
    </row>
    <row r="1073" spans="2:5" ht="15" customHeight="1">
      <c r="B1073" s="90"/>
      <c r="C1073" s="55" t="s">
        <v>148</v>
      </c>
      <c r="D1073" s="58">
        <v>1</v>
      </c>
      <c r="E1073" s="57">
        <v>0</v>
      </c>
    </row>
    <row r="1074" spans="2:5" ht="15" customHeight="1">
      <c r="B1074" s="90"/>
      <c r="C1074" s="55" t="s">
        <v>149</v>
      </c>
      <c r="D1074" s="58">
        <v>1</v>
      </c>
      <c r="E1074" s="57">
        <v>0</v>
      </c>
    </row>
    <row r="1075" spans="2:5" ht="15" customHeight="1">
      <c r="B1075" s="90"/>
      <c r="C1075" s="55" t="s">
        <v>150</v>
      </c>
      <c r="D1075" s="58">
        <v>4</v>
      </c>
      <c r="E1075" s="57">
        <v>0</v>
      </c>
    </row>
    <row r="1076" spans="2:5" ht="15" customHeight="1">
      <c r="B1076" s="90"/>
      <c r="C1076" s="55" t="s">
        <v>164</v>
      </c>
      <c r="D1076" s="58">
        <v>1</v>
      </c>
      <c r="E1076" s="57">
        <v>0</v>
      </c>
    </row>
    <row r="1077" spans="2:5" ht="15" customHeight="1">
      <c r="B1077" s="90"/>
      <c r="C1077" s="55" t="s">
        <v>151</v>
      </c>
      <c r="D1077" s="58">
        <v>2</v>
      </c>
      <c r="E1077" s="57">
        <v>0</v>
      </c>
    </row>
    <row r="1078" spans="2:5" ht="15" customHeight="1">
      <c r="B1078" s="90"/>
      <c r="C1078" s="55" t="s">
        <v>153</v>
      </c>
      <c r="D1078" s="58">
        <v>1</v>
      </c>
      <c r="E1078" s="57">
        <v>0</v>
      </c>
    </row>
    <row r="1079" spans="2:5" ht="15" customHeight="1">
      <c r="B1079" s="90"/>
      <c r="C1079" s="55" t="s">
        <v>154</v>
      </c>
      <c r="D1079" s="58">
        <v>1</v>
      </c>
      <c r="E1079" s="57">
        <v>0</v>
      </c>
    </row>
    <row r="1080" spans="2:5" ht="15" customHeight="1">
      <c r="B1080" s="90"/>
      <c r="C1080" s="55" t="s">
        <v>170</v>
      </c>
      <c r="D1080" s="58">
        <v>1</v>
      </c>
      <c r="E1080" s="57">
        <v>0</v>
      </c>
    </row>
    <row r="1081" spans="2:5" ht="15" customHeight="1">
      <c r="B1081" s="90"/>
      <c r="C1081" s="55" t="s">
        <v>155</v>
      </c>
      <c r="D1081" s="58">
        <v>2</v>
      </c>
      <c r="E1081" s="57">
        <v>0</v>
      </c>
    </row>
    <row r="1082" spans="2:5" ht="15" customHeight="1">
      <c r="B1082" s="90"/>
      <c r="C1082" s="55" t="s">
        <v>167</v>
      </c>
      <c r="D1082" s="58">
        <v>1</v>
      </c>
      <c r="E1082" s="57">
        <v>0</v>
      </c>
    </row>
    <row r="1083" spans="2:5" ht="15" customHeight="1">
      <c r="B1083" s="90"/>
      <c r="C1083" s="55" t="s">
        <v>156</v>
      </c>
      <c r="D1083" s="58">
        <v>6</v>
      </c>
      <c r="E1083" s="57">
        <v>0</v>
      </c>
    </row>
    <row r="1084" spans="2:5" ht="15" customHeight="1">
      <c r="B1084" s="91"/>
      <c r="C1084" s="72" t="s">
        <v>284</v>
      </c>
      <c r="D1084" s="73">
        <v>58</v>
      </c>
      <c r="E1084" s="71">
        <v>4.0000000000000001E-3</v>
      </c>
    </row>
    <row r="1085" spans="2:5" ht="15" customHeight="1">
      <c r="B1085" s="89" t="s">
        <v>88</v>
      </c>
      <c r="C1085" s="55" t="s">
        <v>143</v>
      </c>
      <c r="D1085" s="58">
        <v>1</v>
      </c>
      <c r="E1085" s="57">
        <v>0</v>
      </c>
    </row>
    <row r="1086" spans="2:5" ht="15" customHeight="1">
      <c r="B1086" s="90"/>
      <c r="C1086" s="55" t="s">
        <v>144</v>
      </c>
      <c r="D1086" s="58">
        <v>2</v>
      </c>
      <c r="E1086" s="57">
        <v>0</v>
      </c>
    </row>
    <row r="1087" spans="2:5" ht="15" customHeight="1">
      <c r="B1087" s="90"/>
      <c r="C1087" s="55" t="s">
        <v>147</v>
      </c>
      <c r="D1087" s="58">
        <v>1</v>
      </c>
      <c r="E1087" s="57">
        <v>0</v>
      </c>
    </row>
    <row r="1088" spans="2:5" ht="15" customHeight="1">
      <c r="B1088" s="90"/>
      <c r="C1088" s="55" t="s">
        <v>148</v>
      </c>
      <c r="D1088" s="58">
        <v>2</v>
      </c>
      <c r="E1088" s="57">
        <v>0</v>
      </c>
    </row>
    <row r="1089" spans="2:5" ht="15" customHeight="1">
      <c r="B1089" s="90"/>
      <c r="C1089" s="55" t="s">
        <v>165</v>
      </c>
      <c r="D1089" s="58">
        <v>5</v>
      </c>
      <c r="E1089" s="57">
        <v>0</v>
      </c>
    </row>
    <row r="1090" spans="2:5" ht="15" customHeight="1">
      <c r="B1090" s="90"/>
      <c r="C1090" s="55" t="s">
        <v>166</v>
      </c>
      <c r="D1090" s="58">
        <v>1</v>
      </c>
      <c r="E1090" s="57">
        <v>0</v>
      </c>
    </row>
    <row r="1091" spans="2:5" ht="15" customHeight="1">
      <c r="B1091" s="91"/>
      <c r="C1091" s="72" t="s">
        <v>284</v>
      </c>
      <c r="D1091" s="73">
        <v>12</v>
      </c>
      <c r="E1091" s="71">
        <v>1E-3</v>
      </c>
    </row>
    <row r="1092" spans="2:5" ht="15" customHeight="1">
      <c r="B1092" s="89" t="s">
        <v>74</v>
      </c>
      <c r="C1092" s="55" t="s">
        <v>169</v>
      </c>
      <c r="D1092" s="58">
        <v>1</v>
      </c>
      <c r="E1092" s="57">
        <v>0</v>
      </c>
    </row>
    <row r="1093" spans="2:5" ht="15" customHeight="1">
      <c r="B1093" s="90"/>
      <c r="C1093" s="55" t="s">
        <v>141</v>
      </c>
      <c r="D1093" s="58">
        <v>1</v>
      </c>
      <c r="E1093" s="57">
        <v>0</v>
      </c>
    </row>
    <row r="1094" spans="2:5" ht="15" customHeight="1">
      <c r="B1094" s="90"/>
      <c r="C1094" s="55" t="s">
        <v>142</v>
      </c>
      <c r="D1094" s="58">
        <v>9</v>
      </c>
      <c r="E1094" s="57">
        <v>1E-3</v>
      </c>
    </row>
    <row r="1095" spans="2:5" ht="15" customHeight="1">
      <c r="B1095" s="90"/>
      <c r="C1095" s="55" t="s">
        <v>143</v>
      </c>
      <c r="D1095" s="58">
        <v>23</v>
      </c>
      <c r="E1095" s="57">
        <v>1E-3</v>
      </c>
    </row>
    <row r="1096" spans="2:5" ht="15" customHeight="1">
      <c r="B1096" s="90"/>
      <c r="C1096" s="55" t="s">
        <v>144</v>
      </c>
      <c r="D1096" s="58">
        <v>17</v>
      </c>
      <c r="E1096" s="57">
        <v>1E-3</v>
      </c>
    </row>
    <row r="1097" spans="2:5" ht="15" customHeight="1">
      <c r="B1097" s="90"/>
      <c r="C1097" s="55" t="s">
        <v>145</v>
      </c>
      <c r="D1097" s="58">
        <v>3</v>
      </c>
      <c r="E1097" s="57">
        <v>0</v>
      </c>
    </row>
    <row r="1098" spans="2:5" ht="15" customHeight="1">
      <c r="B1098" s="90"/>
      <c r="C1098" s="55" t="s">
        <v>146</v>
      </c>
      <c r="D1098" s="58">
        <v>4</v>
      </c>
      <c r="E1098" s="57">
        <v>0</v>
      </c>
    </row>
    <row r="1099" spans="2:5" ht="15" customHeight="1">
      <c r="B1099" s="90"/>
      <c r="C1099" s="55" t="s">
        <v>147</v>
      </c>
      <c r="D1099" s="58">
        <v>2</v>
      </c>
      <c r="E1099" s="57">
        <v>0</v>
      </c>
    </row>
    <row r="1100" spans="2:5" ht="15" customHeight="1">
      <c r="B1100" s="90"/>
      <c r="C1100" s="55" t="s">
        <v>161</v>
      </c>
      <c r="D1100" s="58">
        <v>2</v>
      </c>
      <c r="E1100" s="57">
        <v>0</v>
      </c>
    </row>
    <row r="1101" spans="2:5" ht="15" customHeight="1">
      <c r="B1101" s="90"/>
      <c r="C1101" s="55" t="s">
        <v>162</v>
      </c>
      <c r="D1101" s="58">
        <v>9</v>
      </c>
      <c r="E1101" s="57">
        <v>1E-3</v>
      </c>
    </row>
    <row r="1102" spans="2:5" ht="15" customHeight="1">
      <c r="B1102" s="90"/>
      <c r="C1102" s="55" t="s">
        <v>148</v>
      </c>
      <c r="D1102" s="58">
        <v>1</v>
      </c>
      <c r="E1102" s="57">
        <v>0</v>
      </c>
    </row>
    <row r="1103" spans="2:5" ht="15" customHeight="1">
      <c r="B1103" s="90"/>
      <c r="C1103" s="55" t="s">
        <v>150</v>
      </c>
      <c r="D1103" s="58">
        <v>5</v>
      </c>
      <c r="E1103" s="57">
        <v>0</v>
      </c>
    </row>
    <row r="1104" spans="2:5" ht="15" customHeight="1">
      <c r="B1104" s="90"/>
      <c r="C1104" s="55" t="s">
        <v>164</v>
      </c>
      <c r="D1104" s="58">
        <v>3</v>
      </c>
      <c r="E1104" s="57">
        <v>0</v>
      </c>
    </row>
    <row r="1105" spans="2:5" ht="15" customHeight="1">
      <c r="B1105" s="90"/>
      <c r="C1105" s="55" t="s">
        <v>151</v>
      </c>
      <c r="D1105" s="58">
        <v>4</v>
      </c>
      <c r="E1105" s="57">
        <v>0</v>
      </c>
    </row>
    <row r="1106" spans="2:5" ht="15" customHeight="1">
      <c r="B1106" s="90"/>
      <c r="C1106" s="55" t="s">
        <v>152</v>
      </c>
      <c r="D1106" s="58">
        <v>2</v>
      </c>
      <c r="E1106" s="57">
        <v>0</v>
      </c>
    </row>
    <row r="1107" spans="2:5" ht="15" customHeight="1">
      <c r="B1107" s="90"/>
      <c r="C1107" s="55" t="s">
        <v>153</v>
      </c>
      <c r="D1107" s="58">
        <v>2</v>
      </c>
      <c r="E1107" s="57">
        <v>0</v>
      </c>
    </row>
    <row r="1108" spans="2:5" ht="15" customHeight="1">
      <c r="B1108" s="90"/>
      <c r="C1108" s="55" t="s">
        <v>154</v>
      </c>
      <c r="D1108" s="58">
        <v>9</v>
      </c>
      <c r="E1108" s="57">
        <v>1E-3</v>
      </c>
    </row>
    <row r="1109" spans="2:5" ht="15" customHeight="1">
      <c r="B1109" s="90"/>
      <c r="C1109" s="55" t="s">
        <v>155</v>
      </c>
      <c r="D1109" s="58">
        <v>2</v>
      </c>
      <c r="E1109" s="57">
        <v>0</v>
      </c>
    </row>
    <row r="1110" spans="2:5" ht="15" customHeight="1">
      <c r="B1110" s="90"/>
      <c r="C1110" s="55" t="s">
        <v>167</v>
      </c>
      <c r="D1110" s="58">
        <v>1</v>
      </c>
      <c r="E1110" s="57">
        <v>0</v>
      </c>
    </row>
    <row r="1111" spans="2:5" ht="15" customHeight="1">
      <c r="B1111" s="90"/>
      <c r="C1111" s="55" t="s">
        <v>156</v>
      </c>
      <c r="D1111" s="58">
        <v>5</v>
      </c>
      <c r="E1111" s="57">
        <v>0</v>
      </c>
    </row>
    <row r="1112" spans="2:5" ht="15" customHeight="1">
      <c r="B1112" s="90"/>
      <c r="C1112" s="55" t="s">
        <v>175</v>
      </c>
      <c r="D1112" s="58">
        <v>2</v>
      </c>
      <c r="E1112" s="57">
        <v>0</v>
      </c>
    </row>
    <row r="1113" spans="2:5" ht="15" customHeight="1">
      <c r="B1113" s="90"/>
      <c r="C1113" s="55" t="s">
        <v>168</v>
      </c>
      <c r="D1113" s="58">
        <v>2</v>
      </c>
      <c r="E1113" s="57">
        <v>0</v>
      </c>
    </row>
    <row r="1114" spans="2:5" ht="15" customHeight="1">
      <c r="B1114" s="91"/>
      <c r="C1114" s="72" t="s">
        <v>284</v>
      </c>
      <c r="D1114" s="73">
        <v>109</v>
      </c>
      <c r="E1114" s="71">
        <v>7.0000000000000001E-3</v>
      </c>
    </row>
    <row r="1115" spans="2:5" ht="15" customHeight="1">
      <c r="B1115" s="89" t="s">
        <v>91</v>
      </c>
      <c r="C1115" s="55" t="s">
        <v>143</v>
      </c>
      <c r="D1115" s="58">
        <v>1</v>
      </c>
      <c r="E1115" s="57">
        <v>0</v>
      </c>
    </row>
    <row r="1116" spans="2:5" ht="15" customHeight="1">
      <c r="B1116" s="90"/>
      <c r="C1116" s="55" t="s">
        <v>144</v>
      </c>
      <c r="D1116" s="58">
        <v>1</v>
      </c>
      <c r="E1116" s="57">
        <v>0</v>
      </c>
    </row>
    <row r="1117" spans="2:5" ht="15" customHeight="1">
      <c r="B1117" s="91"/>
      <c r="C1117" s="72" t="s">
        <v>284</v>
      </c>
      <c r="D1117" s="73">
        <v>2</v>
      </c>
      <c r="E1117" s="71">
        <v>0</v>
      </c>
    </row>
    <row r="1118" spans="2:5" ht="15" customHeight="1">
      <c r="B1118" s="102" t="s">
        <v>284</v>
      </c>
      <c r="C1118" s="103"/>
      <c r="D1118" s="41">
        <v>15448</v>
      </c>
      <c r="E1118" s="60">
        <v>1</v>
      </c>
    </row>
    <row r="1119" spans="2:5" ht="15" customHeight="1">
      <c r="B1119" s="36"/>
      <c r="C1119" s="36"/>
      <c r="D1119" s="36"/>
      <c r="E1119" s="36"/>
    </row>
    <row r="1120" spans="2:5" ht="15" customHeight="1">
      <c r="B1120" s="32" t="s">
        <v>254</v>
      </c>
      <c r="C1120" s="36"/>
      <c r="D1120" s="36"/>
      <c r="E1120" s="36"/>
    </row>
    <row r="1121" spans="2:5" ht="15" customHeight="1">
      <c r="B1121" s="34" t="s">
        <v>18</v>
      </c>
      <c r="C1121" s="36"/>
      <c r="D1121" s="36"/>
      <c r="E1121" s="36"/>
    </row>
    <row r="1122" spans="2:5" ht="15" customHeight="1">
      <c r="B1122" s="35" t="s">
        <v>94</v>
      </c>
      <c r="C1122" s="36"/>
      <c r="D1122" s="36"/>
      <c r="E1122" s="36"/>
    </row>
    <row r="1123" spans="2:5" ht="15" customHeight="1">
      <c r="B1123" s="32" t="s">
        <v>17</v>
      </c>
      <c r="C1123" s="36"/>
      <c r="D1123" s="36"/>
      <c r="E1123" s="36"/>
    </row>
    <row r="1124" spans="2:5" ht="15" customHeight="1">
      <c r="B1124" s="32" t="s">
        <v>285</v>
      </c>
      <c r="C1124" s="36"/>
      <c r="D1124" s="36"/>
      <c r="E1124" s="36"/>
    </row>
  </sheetData>
  <mergeCells count="52">
    <mergeCell ref="B1118:C1118"/>
    <mergeCell ref="B10:B20"/>
    <mergeCell ref="B21:B55"/>
    <mergeCell ref="B56:B76"/>
    <mergeCell ref="B77:B98"/>
    <mergeCell ref="B7:E8"/>
    <mergeCell ref="B99:B113"/>
    <mergeCell ref="B114:B121"/>
    <mergeCell ref="B122:B125"/>
    <mergeCell ref="B126:B159"/>
    <mergeCell ref="B160:B189"/>
    <mergeCell ref="B190:B191"/>
    <mergeCell ref="B192:B212"/>
    <mergeCell ref="B213:B243"/>
    <mergeCell ref="B244:B245"/>
    <mergeCell ref="B246:B250"/>
    <mergeCell ref="B251:B277"/>
    <mergeCell ref="B278:B304"/>
    <mergeCell ref="B305:B336"/>
    <mergeCell ref="B337:B363"/>
    <mergeCell ref="B364:B387"/>
    <mergeCell ref="B388:B393"/>
    <mergeCell ref="B394:B423"/>
    <mergeCell ref="B424:B451"/>
    <mergeCell ref="B452:B486"/>
    <mergeCell ref="B487:B504"/>
    <mergeCell ref="B505:B533"/>
    <mergeCell ref="B534:B560"/>
    <mergeCell ref="B561:B583"/>
    <mergeCell ref="B584:B601"/>
    <mergeCell ref="B602:B635"/>
    <mergeCell ref="B636:B658"/>
    <mergeCell ref="B659:B679"/>
    <mergeCell ref="B680:B703"/>
    <mergeCell ref="B704:B727"/>
    <mergeCell ref="B728:B756"/>
    <mergeCell ref="B757:B773"/>
    <mergeCell ref="B774:B776"/>
    <mergeCell ref="B777:B810"/>
    <mergeCell ref="B811:B837"/>
    <mergeCell ref="B838:B867"/>
    <mergeCell ref="B868:B891"/>
    <mergeCell ref="B892:B912"/>
    <mergeCell ref="B913:B943"/>
    <mergeCell ref="B944:B973"/>
    <mergeCell ref="B974:B997"/>
    <mergeCell ref="B1115:B1117"/>
    <mergeCell ref="B998:B1027"/>
    <mergeCell ref="B1028:B1064"/>
    <mergeCell ref="B1065:B1084"/>
    <mergeCell ref="B1085:B1091"/>
    <mergeCell ref="B1092:B11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rowBreaks count="1" manualBreakCount="1">
    <brk id="107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0"/>
  <sheetViews>
    <sheetView showGridLines="0" view="pageBreakPreview" topLeftCell="A15" zoomScale="115" zoomScaleNormal="100" zoomScaleSheetLayoutView="115" workbookViewId="0">
      <selection activeCell="D37" sqref="D37"/>
    </sheetView>
  </sheetViews>
  <sheetFormatPr baseColWidth="10" defaultColWidth="11.42578125" defaultRowHeight="15"/>
  <cols>
    <col min="1" max="1" width="9.28515625" style="13" customWidth="1"/>
    <col min="2" max="2" width="36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37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7" t="s">
        <v>27</v>
      </c>
      <c r="C11" s="38" t="s">
        <v>26</v>
      </c>
      <c r="D11" s="39" t="s">
        <v>19</v>
      </c>
      <c r="E11" s="29"/>
      <c r="F11" s="29"/>
    </row>
    <row r="12" spans="1:6" ht="16.5">
      <c r="A12" s="31"/>
      <c r="B12" s="61" t="s">
        <v>176</v>
      </c>
      <c r="C12" s="62">
        <v>161</v>
      </c>
      <c r="D12" s="63">
        <v>1.0422061108234E-2</v>
      </c>
      <c r="E12" s="31"/>
      <c r="F12" s="31"/>
    </row>
    <row r="13" spans="1:6" ht="16.5">
      <c r="A13" s="31"/>
      <c r="B13" s="61" t="s">
        <v>259</v>
      </c>
      <c r="C13" s="62">
        <v>1</v>
      </c>
      <c r="D13" s="63">
        <v>6.4733298808999996E-5</v>
      </c>
      <c r="E13" s="31"/>
      <c r="F13" s="31"/>
    </row>
    <row r="14" spans="1:6" ht="16.5">
      <c r="A14" s="31"/>
      <c r="B14" s="61" t="s">
        <v>177</v>
      </c>
      <c r="C14" s="62">
        <v>65</v>
      </c>
      <c r="D14" s="63">
        <v>4.2076644225790003E-3</v>
      </c>
      <c r="E14" s="31"/>
      <c r="F14" s="31"/>
    </row>
    <row r="15" spans="1:6" ht="16.5">
      <c r="A15" s="31"/>
      <c r="B15" s="61" t="s">
        <v>178</v>
      </c>
      <c r="C15" s="62">
        <v>85</v>
      </c>
      <c r="D15" s="63">
        <v>5.5023303987570002E-3</v>
      </c>
      <c r="E15" s="31"/>
      <c r="F15" s="31"/>
    </row>
    <row r="16" spans="1:6" ht="16.5">
      <c r="A16" s="31"/>
      <c r="B16" s="61" t="s">
        <v>179</v>
      </c>
      <c r="C16" s="62">
        <v>154</v>
      </c>
      <c r="D16" s="63">
        <v>9.9689280165719991E-3</v>
      </c>
      <c r="E16" s="31"/>
      <c r="F16" s="31"/>
    </row>
    <row r="17" spans="1:6" ht="16.5">
      <c r="A17" s="31"/>
      <c r="B17" s="61" t="s">
        <v>180</v>
      </c>
      <c r="C17" s="62">
        <v>107</v>
      </c>
      <c r="D17" s="63">
        <v>6.9264629725530004E-3</v>
      </c>
      <c r="E17" s="31"/>
      <c r="F17" s="31"/>
    </row>
    <row r="18" spans="1:6" ht="16.5">
      <c r="A18" s="31"/>
      <c r="B18" s="61" t="s">
        <v>181</v>
      </c>
      <c r="C18" s="62">
        <v>135</v>
      </c>
      <c r="D18" s="63">
        <v>8.7389953392019992E-3</v>
      </c>
      <c r="E18" s="31"/>
      <c r="F18" s="31"/>
    </row>
    <row r="19" spans="1:6" ht="16.5">
      <c r="A19" s="31"/>
      <c r="B19" s="61" t="s">
        <v>182</v>
      </c>
      <c r="C19" s="62">
        <v>783</v>
      </c>
      <c r="D19" s="63">
        <v>5.0686172967374002E-2</v>
      </c>
      <c r="E19" s="31"/>
      <c r="F19" s="31"/>
    </row>
    <row r="20" spans="1:6" ht="16.5">
      <c r="A20" s="31"/>
      <c r="B20" s="61" t="s">
        <v>183</v>
      </c>
      <c r="C20" s="62">
        <v>1801</v>
      </c>
      <c r="D20" s="63">
        <v>0.116584671154842</v>
      </c>
      <c r="E20" s="31"/>
      <c r="F20" s="31"/>
    </row>
    <row r="21" spans="1:6" ht="16.5">
      <c r="A21" s="31"/>
      <c r="B21" s="61" t="s">
        <v>184</v>
      </c>
      <c r="C21" s="62">
        <v>150</v>
      </c>
      <c r="D21" s="63">
        <v>9.7099948213360005E-3</v>
      </c>
      <c r="E21" s="31"/>
      <c r="F21" s="31"/>
    </row>
    <row r="22" spans="1:6" ht="16.5">
      <c r="A22" s="31"/>
      <c r="B22" s="61" t="s">
        <v>185</v>
      </c>
      <c r="C22" s="62">
        <v>290</v>
      </c>
      <c r="D22" s="63">
        <v>1.8772656654583001E-2</v>
      </c>
      <c r="E22" s="31"/>
      <c r="F22" s="31"/>
    </row>
    <row r="23" spans="1:6" ht="16.5">
      <c r="A23" s="31"/>
      <c r="B23" s="61" t="s">
        <v>186</v>
      </c>
      <c r="C23" s="62">
        <v>595</v>
      </c>
      <c r="D23" s="63">
        <v>3.8516312791300002E-2</v>
      </c>
      <c r="E23" s="31"/>
      <c r="F23" s="31"/>
    </row>
    <row r="24" spans="1:6" ht="16.5">
      <c r="A24" s="31"/>
      <c r="B24" s="61" t="s">
        <v>187</v>
      </c>
      <c r="C24" s="62">
        <v>5720</v>
      </c>
      <c r="D24" s="63">
        <v>0.37027446918695001</v>
      </c>
      <c r="E24" s="31"/>
      <c r="F24" s="31"/>
    </row>
    <row r="25" spans="1:6" ht="16.5">
      <c r="A25" s="31"/>
      <c r="B25" s="61" t="s">
        <v>188</v>
      </c>
      <c r="C25" s="62">
        <v>277</v>
      </c>
      <c r="D25" s="63">
        <v>1.7931123770067E-2</v>
      </c>
      <c r="E25" s="31"/>
      <c r="F25" s="31"/>
    </row>
    <row r="26" spans="1:6" ht="16.5">
      <c r="A26" s="31"/>
      <c r="B26" s="61" t="s">
        <v>189</v>
      </c>
      <c r="C26" s="62">
        <v>881</v>
      </c>
      <c r="D26" s="63">
        <v>5.7030036250647002E-2</v>
      </c>
      <c r="E26" s="31"/>
      <c r="F26" s="31"/>
    </row>
    <row r="27" spans="1:6" ht="16.5">
      <c r="A27" s="31"/>
      <c r="B27" s="61" t="s">
        <v>190</v>
      </c>
      <c r="C27" s="62">
        <v>3430</v>
      </c>
      <c r="D27" s="63">
        <v>0.222035214914552</v>
      </c>
      <c r="E27" s="31"/>
      <c r="F27" s="31"/>
    </row>
    <row r="28" spans="1:6" ht="16.5">
      <c r="A28" s="31"/>
      <c r="B28" s="61" t="s">
        <v>191</v>
      </c>
      <c r="C28" s="62">
        <v>51</v>
      </c>
      <c r="D28" s="63">
        <v>3.301398239254E-3</v>
      </c>
      <c r="E28" s="31"/>
      <c r="F28" s="31"/>
    </row>
    <row r="29" spans="1:6" ht="16.5">
      <c r="A29" s="31"/>
      <c r="B29" s="61" t="s">
        <v>192</v>
      </c>
      <c r="C29" s="62">
        <v>64</v>
      </c>
      <c r="D29" s="63">
        <v>4.1429311237700002E-3</v>
      </c>
      <c r="E29" s="31"/>
      <c r="F29" s="31"/>
    </row>
    <row r="30" spans="1:6" ht="16.5">
      <c r="A30" s="31"/>
      <c r="B30" s="61" t="s">
        <v>193</v>
      </c>
      <c r="C30" s="62">
        <v>15</v>
      </c>
      <c r="D30" s="63">
        <v>9.7099948213399999E-4</v>
      </c>
      <c r="E30" s="31"/>
      <c r="F30" s="31"/>
    </row>
    <row r="31" spans="1:6" ht="16.5">
      <c r="A31" s="31"/>
      <c r="B31" s="61" t="s">
        <v>194</v>
      </c>
      <c r="C31" s="62">
        <v>10</v>
      </c>
      <c r="D31" s="63">
        <v>6.4733298808899997E-4</v>
      </c>
      <c r="E31" s="31"/>
      <c r="F31" s="31"/>
    </row>
    <row r="32" spans="1:6" ht="16.5">
      <c r="A32" s="31"/>
      <c r="B32" s="61" t="s">
        <v>195</v>
      </c>
      <c r="C32" s="62">
        <v>148</v>
      </c>
      <c r="D32" s="63">
        <v>9.5805282237180003E-3</v>
      </c>
      <c r="E32" s="31"/>
      <c r="F32" s="31"/>
    </row>
    <row r="33" spans="1:6" ht="16.5">
      <c r="A33" s="31"/>
      <c r="B33" s="61" t="s">
        <v>196</v>
      </c>
      <c r="C33" s="62">
        <v>499</v>
      </c>
      <c r="D33" s="63">
        <v>3.2301916105645E-2</v>
      </c>
      <c r="E33" s="31"/>
      <c r="F33" s="31"/>
    </row>
    <row r="34" spans="1:6" ht="16.5">
      <c r="A34" s="31"/>
      <c r="B34" s="61" t="s">
        <v>197</v>
      </c>
      <c r="C34" s="62">
        <v>7</v>
      </c>
      <c r="D34" s="63">
        <v>4.5313309166200003E-4</v>
      </c>
      <c r="E34" s="31"/>
      <c r="F34" s="31"/>
    </row>
    <row r="35" spans="1:6" ht="16.5">
      <c r="A35" s="31"/>
      <c r="B35" s="61" t="s">
        <v>198</v>
      </c>
      <c r="C35" s="62">
        <v>16</v>
      </c>
      <c r="D35" s="63">
        <v>1.0357327809430001E-3</v>
      </c>
      <c r="E35" s="31"/>
      <c r="F35" s="31"/>
    </row>
    <row r="36" spans="1:6" ht="16.5">
      <c r="A36" s="31"/>
      <c r="B36" s="61" t="s">
        <v>199</v>
      </c>
      <c r="C36" s="62">
        <v>3</v>
      </c>
      <c r="D36" s="63">
        <v>1.94199896427E-4</v>
      </c>
      <c r="E36" s="31"/>
      <c r="F36" s="31"/>
    </row>
    <row r="37" spans="1:6" ht="16.5">
      <c r="A37" s="31"/>
      <c r="B37" s="70" t="s">
        <v>287</v>
      </c>
      <c r="C37" s="65">
        <v>15448</v>
      </c>
      <c r="D37" s="66">
        <v>1</v>
      </c>
      <c r="E37" s="31"/>
      <c r="F37" s="31"/>
    </row>
    <row r="38" spans="1:6" ht="16.5">
      <c r="A38" s="31"/>
      <c r="B38" s="43"/>
      <c r="C38" s="31"/>
      <c r="D38" s="31"/>
      <c r="E38" s="31"/>
      <c r="F38" s="31"/>
    </row>
    <row r="39" spans="1:6" ht="16.5">
      <c r="A39" s="31"/>
      <c r="B39" s="32" t="s">
        <v>254</v>
      </c>
      <c r="C39" s="36"/>
      <c r="D39" s="31"/>
      <c r="E39" s="31"/>
      <c r="F39" s="31"/>
    </row>
    <row r="40" spans="1:6" ht="16.5">
      <c r="A40" s="31"/>
      <c r="B40" s="34" t="s">
        <v>18</v>
      </c>
      <c r="C40" s="36"/>
      <c r="D40" s="31"/>
      <c r="E40" s="31"/>
      <c r="F40" s="31"/>
    </row>
    <row r="41" spans="1:6" ht="16.5">
      <c r="A41" s="31"/>
      <c r="B41" s="35" t="s">
        <v>94</v>
      </c>
      <c r="C41" s="36"/>
      <c r="D41" s="31"/>
      <c r="E41" s="31"/>
      <c r="F41" s="31"/>
    </row>
    <row r="42" spans="1:6" ht="16.5">
      <c r="A42" s="31"/>
      <c r="B42" s="32" t="s">
        <v>17</v>
      </c>
      <c r="C42" s="36"/>
      <c r="D42" s="31"/>
      <c r="E42" s="31"/>
      <c r="F42" s="31"/>
    </row>
    <row r="43" spans="1:6" ht="16.5">
      <c r="A43" s="31"/>
      <c r="B43" s="32" t="s">
        <v>285</v>
      </c>
      <c r="C43" s="36"/>
      <c r="D43" s="31"/>
      <c r="E43" s="31"/>
      <c r="F43" s="31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646"/>
  <sheetViews>
    <sheetView showGridLines="0" view="pageBreakPreview" zoomScale="115" zoomScaleNormal="100" zoomScaleSheetLayoutView="115" workbookViewId="0">
      <selection activeCell="G19" sqref="G1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93"/>
      <c r="C7" s="93"/>
      <c r="D7" s="93"/>
      <c r="E7" s="93"/>
    </row>
    <row r="8" spans="1:5" s="21" customFormat="1" ht="33" customHeight="1">
      <c r="A8" s="22"/>
      <c r="B8" s="93"/>
      <c r="C8" s="93"/>
      <c r="D8" s="93"/>
      <c r="E8" s="93"/>
    </row>
    <row r="9" spans="1:5" s="15" customFormat="1" ht="40.5" customHeight="1">
      <c r="B9" s="52" t="s">
        <v>28</v>
      </c>
      <c r="C9" s="53" t="s">
        <v>25</v>
      </c>
      <c r="D9" s="54" t="s">
        <v>20</v>
      </c>
      <c r="E9" s="52" t="s">
        <v>19</v>
      </c>
    </row>
    <row r="10" spans="1:5" ht="15" customHeight="1">
      <c r="B10" s="95" t="s">
        <v>176</v>
      </c>
      <c r="C10" s="55" t="s">
        <v>95</v>
      </c>
      <c r="D10" s="58">
        <v>1</v>
      </c>
      <c r="E10" s="57">
        <v>0</v>
      </c>
    </row>
    <row r="11" spans="1:5">
      <c r="B11" s="95"/>
      <c r="C11" s="55" t="s">
        <v>96</v>
      </c>
      <c r="D11" s="58">
        <v>1</v>
      </c>
      <c r="E11" s="57">
        <v>0</v>
      </c>
    </row>
    <row r="12" spans="1:5">
      <c r="B12" s="95"/>
      <c r="C12" s="55" t="s">
        <v>98</v>
      </c>
      <c r="D12" s="58">
        <v>58</v>
      </c>
      <c r="E12" s="57">
        <v>4.0000000000000001E-3</v>
      </c>
    </row>
    <row r="13" spans="1:5">
      <c r="B13" s="95"/>
      <c r="C13" s="55" t="s">
        <v>99</v>
      </c>
      <c r="D13" s="58">
        <v>4</v>
      </c>
      <c r="E13" s="57">
        <v>0</v>
      </c>
    </row>
    <row r="14" spans="1:5">
      <c r="B14" s="95"/>
      <c r="C14" s="55" t="s">
        <v>100</v>
      </c>
      <c r="D14" s="58">
        <v>3</v>
      </c>
      <c r="E14" s="57">
        <v>0</v>
      </c>
    </row>
    <row r="15" spans="1:5">
      <c r="B15" s="95"/>
      <c r="C15" s="55" t="s">
        <v>101</v>
      </c>
      <c r="D15" s="58">
        <v>2</v>
      </c>
      <c r="E15" s="57">
        <v>0</v>
      </c>
    </row>
    <row r="16" spans="1:5">
      <c r="B16" s="95"/>
      <c r="C16" s="55" t="s">
        <v>103</v>
      </c>
      <c r="D16" s="58">
        <v>3</v>
      </c>
      <c r="E16" s="57">
        <v>0</v>
      </c>
    </row>
    <row r="17" spans="2:5">
      <c r="B17" s="95"/>
      <c r="C17" s="55" t="s">
        <v>104</v>
      </c>
      <c r="D17" s="58">
        <v>4</v>
      </c>
      <c r="E17" s="57">
        <v>0</v>
      </c>
    </row>
    <row r="18" spans="2:5">
      <c r="B18" s="95"/>
      <c r="C18" s="55" t="s">
        <v>106</v>
      </c>
      <c r="D18" s="58">
        <v>18</v>
      </c>
      <c r="E18" s="57">
        <v>1E-3</v>
      </c>
    </row>
    <row r="19" spans="2:5">
      <c r="B19" s="95"/>
      <c r="C19" s="55" t="s">
        <v>107</v>
      </c>
      <c r="D19" s="58">
        <v>3</v>
      </c>
      <c r="E19" s="57">
        <v>0</v>
      </c>
    </row>
    <row r="20" spans="2:5">
      <c r="B20" s="95"/>
      <c r="C20" s="55" t="s">
        <v>110</v>
      </c>
      <c r="D20" s="58">
        <v>2</v>
      </c>
      <c r="E20" s="57">
        <v>0</v>
      </c>
    </row>
    <row r="21" spans="2:5">
      <c r="B21" s="95"/>
      <c r="C21" s="55" t="s">
        <v>111</v>
      </c>
      <c r="D21" s="58">
        <v>1</v>
      </c>
      <c r="E21" s="57">
        <v>0</v>
      </c>
    </row>
    <row r="22" spans="2:5">
      <c r="B22" s="95"/>
      <c r="C22" s="55" t="s">
        <v>116</v>
      </c>
      <c r="D22" s="58">
        <v>12</v>
      </c>
      <c r="E22" s="57">
        <v>1E-3</v>
      </c>
    </row>
    <row r="23" spans="2:5">
      <c r="B23" s="95"/>
      <c r="C23" s="55" t="s">
        <v>118</v>
      </c>
      <c r="D23" s="58">
        <v>1</v>
      </c>
      <c r="E23" s="57">
        <v>0</v>
      </c>
    </row>
    <row r="24" spans="2:5">
      <c r="B24" s="95"/>
      <c r="C24" s="55" t="s">
        <v>119</v>
      </c>
      <c r="D24" s="58">
        <v>1</v>
      </c>
      <c r="E24" s="57">
        <v>0</v>
      </c>
    </row>
    <row r="25" spans="2:5">
      <c r="B25" s="95"/>
      <c r="C25" s="55" t="s">
        <v>120</v>
      </c>
      <c r="D25" s="58">
        <v>1</v>
      </c>
      <c r="E25" s="57">
        <v>0</v>
      </c>
    </row>
    <row r="26" spans="2:5">
      <c r="B26" s="95"/>
      <c r="C26" s="55" t="s">
        <v>121</v>
      </c>
      <c r="D26" s="58">
        <v>3</v>
      </c>
      <c r="E26" s="57">
        <v>0</v>
      </c>
    </row>
    <row r="27" spans="2:5">
      <c r="B27" s="95"/>
      <c r="C27" s="55" t="s">
        <v>123</v>
      </c>
      <c r="D27" s="58">
        <v>11</v>
      </c>
      <c r="E27" s="57">
        <v>1E-3</v>
      </c>
    </row>
    <row r="28" spans="2:5">
      <c r="B28" s="95"/>
      <c r="C28" s="55" t="s">
        <v>124</v>
      </c>
      <c r="D28" s="58">
        <v>5</v>
      </c>
      <c r="E28" s="57">
        <v>0</v>
      </c>
    </row>
    <row r="29" spans="2:5">
      <c r="B29" s="95"/>
      <c r="C29" s="55" t="s">
        <v>125</v>
      </c>
      <c r="D29" s="58">
        <v>2</v>
      </c>
      <c r="E29" s="57">
        <v>0</v>
      </c>
    </row>
    <row r="30" spans="2:5">
      <c r="B30" s="95"/>
      <c r="C30" s="55" t="s">
        <v>126</v>
      </c>
      <c r="D30" s="58">
        <v>1</v>
      </c>
      <c r="E30" s="57">
        <v>0</v>
      </c>
    </row>
    <row r="31" spans="2:5">
      <c r="B31" s="95"/>
      <c r="C31" s="55" t="s">
        <v>128</v>
      </c>
      <c r="D31" s="58">
        <v>3</v>
      </c>
      <c r="E31" s="57">
        <v>0</v>
      </c>
    </row>
    <row r="32" spans="2:5">
      <c r="B32" s="95"/>
      <c r="C32" s="55" t="s">
        <v>130</v>
      </c>
      <c r="D32" s="58">
        <v>2</v>
      </c>
      <c r="E32" s="57">
        <v>0</v>
      </c>
    </row>
    <row r="33" spans="2:5">
      <c r="B33" s="95"/>
      <c r="C33" s="55" t="s">
        <v>132</v>
      </c>
      <c r="D33" s="58">
        <v>2</v>
      </c>
      <c r="E33" s="57">
        <v>0</v>
      </c>
    </row>
    <row r="34" spans="2:5">
      <c r="B34" s="95"/>
      <c r="C34" s="55" t="s">
        <v>133</v>
      </c>
      <c r="D34" s="58">
        <v>12</v>
      </c>
      <c r="E34" s="57">
        <v>1E-3</v>
      </c>
    </row>
    <row r="35" spans="2:5">
      <c r="B35" s="95"/>
      <c r="C35" s="55" t="s">
        <v>134</v>
      </c>
      <c r="D35" s="58">
        <v>2</v>
      </c>
      <c r="E35" s="57">
        <v>0</v>
      </c>
    </row>
    <row r="36" spans="2:5">
      <c r="B36" s="95"/>
      <c r="C36" s="55" t="s">
        <v>135</v>
      </c>
      <c r="D36" s="58">
        <v>1</v>
      </c>
      <c r="E36" s="57">
        <v>0</v>
      </c>
    </row>
    <row r="37" spans="2:5">
      <c r="B37" s="95"/>
      <c r="C37" s="55" t="s">
        <v>136</v>
      </c>
      <c r="D37" s="58">
        <v>2</v>
      </c>
      <c r="E37" s="57">
        <v>0</v>
      </c>
    </row>
    <row r="38" spans="2:5">
      <c r="B38" s="95"/>
      <c r="C38" s="72" t="s">
        <v>284</v>
      </c>
      <c r="D38" s="73">
        <v>161</v>
      </c>
      <c r="E38" s="71">
        <v>0.01</v>
      </c>
    </row>
    <row r="39" spans="2:5">
      <c r="B39" s="95" t="s">
        <v>259</v>
      </c>
      <c r="C39" s="55" t="s">
        <v>133</v>
      </c>
      <c r="D39" s="58">
        <v>1</v>
      </c>
      <c r="E39" s="57">
        <v>0</v>
      </c>
    </row>
    <row r="40" spans="2:5">
      <c r="B40" s="95"/>
      <c r="C40" s="72" t="s">
        <v>284</v>
      </c>
      <c r="D40" s="73">
        <v>1</v>
      </c>
      <c r="E40" s="71">
        <v>0</v>
      </c>
    </row>
    <row r="41" spans="2:5">
      <c r="B41" s="94" t="s">
        <v>261</v>
      </c>
      <c r="C41" s="55" t="s">
        <v>96</v>
      </c>
      <c r="D41" s="58">
        <v>1</v>
      </c>
      <c r="E41" s="57">
        <v>0</v>
      </c>
    </row>
    <row r="42" spans="2:5">
      <c r="B42" s="94"/>
      <c r="C42" s="55" t="s">
        <v>98</v>
      </c>
      <c r="D42" s="58">
        <v>18</v>
      </c>
      <c r="E42" s="57">
        <v>1E-3</v>
      </c>
    </row>
    <row r="43" spans="2:5">
      <c r="B43" s="94"/>
      <c r="C43" s="55" t="s">
        <v>99</v>
      </c>
      <c r="D43" s="58">
        <v>1</v>
      </c>
      <c r="E43" s="57">
        <v>0</v>
      </c>
    </row>
    <row r="44" spans="2:5">
      <c r="B44" s="94"/>
      <c r="C44" s="55" t="s">
        <v>100</v>
      </c>
      <c r="D44" s="58">
        <v>1</v>
      </c>
      <c r="E44" s="57">
        <v>0</v>
      </c>
    </row>
    <row r="45" spans="2:5">
      <c r="B45" s="94"/>
      <c r="C45" s="55" t="s">
        <v>102</v>
      </c>
      <c r="D45" s="58">
        <v>1</v>
      </c>
      <c r="E45" s="57">
        <v>0</v>
      </c>
    </row>
    <row r="46" spans="2:5">
      <c r="B46" s="94"/>
      <c r="C46" s="55" t="s">
        <v>103</v>
      </c>
      <c r="D46" s="58">
        <v>2</v>
      </c>
      <c r="E46" s="57">
        <v>0</v>
      </c>
    </row>
    <row r="47" spans="2:5">
      <c r="B47" s="94"/>
      <c r="C47" s="55" t="s">
        <v>104</v>
      </c>
      <c r="D47" s="58">
        <v>1</v>
      </c>
      <c r="E47" s="57">
        <v>0</v>
      </c>
    </row>
    <row r="48" spans="2:5">
      <c r="B48" s="94"/>
      <c r="C48" s="55" t="s">
        <v>106</v>
      </c>
      <c r="D48" s="58">
        <v>10</v>
      </c>
      <c r="E48" s="57">
        <v>1E-3</v>
      </c>
    </row>
    <row r="49" spans="2:5">
      <c r="B49" s="94"/>
      <c r="C49" s="55" t="s">
        <v>107</v>
      </c>
      <c r="D49" s="58">
        <v>2</v>
      </c>
      <c r="E49" s="57">
        <v>0</v>
      </c>
    </row>
    <row r="50" spans="2:5">
      <c r="B50" s="94"/>
      <c r="C50" s="55" t="s">
        <v>108</v>
      </c>
      <c r="D50" s="58">
        <v>1</v>
      </c>
      <c r="E50" s="57">
        <v>0</v>
      </c>
    </row>
    <row r="51" spans="2:5">
      <c r="B51" s="94"/>
      <c r="C51" s="55" t="s">
        <v>116</v>
      </c>
      <c r="D51" s="58">
        <v>5</v>
      </c>
      <c r="E51" s="57">
        <v>0</v>
      </c>
    </row>
    <row r="52" spans="2:5">
      <c r="B52" s="94"/>
      <c r="C52" s="55" t="s">
        <v>118</v>
      </c>
      <c r="D52" s="58">
        <v>1</v>
      </c>
      <c r="E52" s="57">
        <v>0</v>
      </c>
    </row>
    <row r="53" spans="2:5">
      <c r="B53" s="94"/>
      <c r="C53" s="55" t="s">
        <v>121</v>
      </c>
      <c r="D53" s="58">
        <v>2</v>
      </c>
      <c r="E53" s="57">
        <v>0</v>
      </c>
    </row>
    <row r="54" spans="2:5">
      <c r="B54" s="94"/>
      <c r="C54" s="55" t="s">
        <v>123</v>
      </c>
      <c r="D54" s="58">
        <v>4</v>
      </c>
      <c r="E54" s="57">
        <v>0</v>
      </c>
    </row>
    <row r="55" spans="2:5">
      <c r="B55" s="94"/>
      <c r="C55" s="55" t="s">
        <v>128</v>
      </c>
      <c r="D55" s="58">
        <v>1</v>
      </c>
      <c r="E55" s="57">
        <v>0</v>
      </c>
    </row>
    <row r="56" spans="2:5">
      <c r="B56" s="94"/>
      <c r="C56" s="55" t="s">
        <v>133</v>
      </c>
      <c r="D56" s="58">
        <v>10</v>
      </c>
      <c r="E56" s="57">
        <v>1E-3</v>
      </c>
    </row>
    <row r="57" spans="2:5">
      <c r="B57" s="94"/>
      <c r="C57" s="55" t="s">
        <v>134</v>
      </c>
      <c r="D57" s="58">
        <v>1</v>
      </c>
      <c r="E57" s="57">
        <v>0</v>
      </c>
    </row>
    <row r="58" spans="2:5">
      <c r="B58" s="94"/>
      <c r="C58" s="55" t="s">
        <v>135</v>
      </c>
      <c r="D58" s="58">
        <v>2</v>
      </c>
      <c r="E58" s="57">
        <v>0</v>
      </c>
    </row>
    <row r="59" spans="2:5">
      <c r="B59" s="94"/>
      <c r="C59" s="55" t="s">
        <v>136</v>
      </c>
      <c r="D59" s="58">
        <v>1</v>
      </c>
      <c r="E59" s="57">
        <v>0</v>
      </c>
    </row>
    <row r="60" spans="2:5">
      <c r="B60" s="94"/>
      <c r="C60" s="72" t="s">
        <v>284</v>
      </c>
      <c r="D60" s="73">
        <v>65</v>
      </c>
      <c r="E60" s="71">
        <v>4.0000000000000001E-3</v>
      </c>
    </row>
    <row r="61" spans="2:5">
      <c r="B61" s="95" t="s">
        <v>262</v>
      </c>
      <c r="C61" s="55" t="s">
        <v>96</v>
      </c>
      <c r="D61" s="58">
        <v>3</v>
      </c>
      <c r="E61" s="57">
        <v>0</v>
      </c>
    </row>
    <row r="62" spans="2:5">
      <c r="B62" s="95"/>
      <c r="C62" s="55" t="s">
        <v>97</v>
      </c>
      <c r="D62" s="58">
        <v>1</v>
      </c>
      <c r="E62" s="57">
        <v>0</v>
      </c>
    </row>
    <row r="63" spans="2:5">
      <c r="B63" s="95"/>
      <c r="C63" s="55" t="s">
        <v>98</v>
      </c>
      <c r="D63" s="58">
        <v>40</v>
      </c>
      <c r="E63" s="57">
        <v>3.0000000000000001E-3</v>
      </c>
    </row>
    <row r="64" spans="2:5">
      <c r="B64" s="95"/>
      <c r="C64" s="55" t="s">
        <v>99</v>
      </c>
      <c r="D64" s="58">
        <v>1</v>
      </c>
      <c r="E64" s="57">
        <v>0</v>
      </c>
    </row>
    <row r="65" spans="2:5">
      <c r="B65" s="95"/>
      <c r="C65" s="55" t="s">
        <v>103</v>
      </c>
      <c r="D65" s="58">
        <v>2</v>
      </c>
      <c r="E65" s="57">
        <v>0</v>
      </c>
    </row>
    <row r="66" spans="2:5">
      <c r="B66" s="95"/>
      <c r="C66" s="55" t="s">
        <v>104</v>
      </c>
      <c r="D66" s="58">
        <v>1</v>
      </c>
      <c r="E66" s="57">
        <v>0</v>
      </c>
    </row>
    <row r="67" spans="2:5">
      <c r="B67" s="95"/>
      <c r="C67" s="55" t="s">
        <v>106</v>
      </c>
      <c r="D67" s="58">
        <v>4</v>
      </c>
      <c r="E67" s="57">
        <v>0</v>
      </c>
    </row>
    <row r="68" spans="2:5">
      <c r="B68" s="95"/>
      <c r="C68" s="55" t="s">
        <v>107</v>
      </c>
      <c r="D68" s="58">
        <v>2</v>
      </c>
      <c r="E68" s="57">
        <v>0</v>
      </c>
    </row>
    <row r="69" spans="2:5">
      <c r="B69" s="95"/>
      <c r="C69" s="55" t="s">
        <v>116</v>
      </c>
      <c r="D69" s="58">
        <v>9</v>
      </c>
      <c r="E69" s="57">
        <v>1E-3</v>
      </c>
    </row>
    <row r="70" spans="2:5">
      <c r="B70" s="95"/>
      <c r="C70" s="55" t="s">
        <v>120</v>
      </c>
      <c r="D70" s="58">
        <v>1</v>
      </c>
      <c r="E70" s="57">
        <v>0</v>
      </c>
    </row>
    <row r="71" spans="2:5">
      <c r="B71" s="95"/>
      <c r="C71" s="55" t="s">
        <v>121</v>
      </c>
      <c r="D71" s="58">
        <v>1</v>
      </c>
      <c r="E71" s="57">
        <v>0</v>
      </c>
    </row>
    <row r="72" spans="2:5">
      <c r="B72" s="95"/>
      <c r="C72" s="55" t="s">
        <v>123</v>
      </c>
      <c r="D72" s="58">
        <v>10</v>
      </c>
      <c r="E72" s="57">
        <v>1E-3</v>
      </c>
    </row>
    <row r="73" spans="2:5">
      <c r="B73" s="95"/>
      <c r="C73" s="55" t="s">
        <v>124</v>
      </c>
      <c r="D73" s="58">
        <v>1</v>
      </c>
      <c r="E73" s="57">
        <v>0</v>
      </c>
    </row>
    <row r="74" spans="2:5">
      <c r="B74" s="95"/>
      <c r="C74" s="55" t="s">
        <v>125</v>
      </c>
      <c r="D74" s="58">
        <v>1</v>
      </c>
      <c r="E74" s="57">
        <v>0</v>
      </c>
    </row>
    <row r="75" spans="2:5">
      <c r="B75" s="95"/>
      <c r="C75" s="55" t="s">
        <v>128</v>
      </c>
      <c r="D75" s="58">
        <v>1</v>
      </c>
      <c r="E75" s="57">
        <v>0</v>
      </c>
    </row>
    <row r="76" spans="2:5">
      <c r="B76" s="95"/>
      <c r="C76" s="55" t="s">
        <v>130</v>
      </c>
      <c r="D76" s="58">
        <v>2</v>
      </c>
      <c r="E76" s="57">
        <v>0</v>
      </c>
    </row>
    <row r="77" spans="2:5">
      <c r="B77" s="95"/>
      <c r="C77" s="55" t="s">
        <v>133</v>
      </c>
      <c r="D77" s="58">
        <v>4</v>
      </c>
      <c r="E77" s="57">
        <v>0</v>
      </c>
    </row>
    <row r="78" spans="2:5">
      <c r="B78" s="95"/>
      <c r="C78" s="55" t="s">
        <v>134</v>
      </c>
      <c r="D78" s="58">
        <v>1</v>
      </c>
      <c r="E78" s="57">
        <v>0</v>
      </c>
    </row>
    <row r="79" spans="2:5">
      <c r="B79" s="95"/>
      <c r="C79" s="72" t="s">
        <v>284</v>
      </c>
      <c r="D79" s="73">
        <v>85</v>
      </c>
      <c r="E79" s="71">
        <v>6.0000000000000001E-3</v>
      </c>
    </row>
    <row r="80" spans="2:5">
      <c r="B80" s="95" t="s">
        <v>263</v>
      </c>
      <c r="C80" s="55" t="s">
        <v>95</v>
      </c>
      <c r="D80" s="58">
        <v>1</v>
      </c>
      <c r="E80" s="57">
        <v>0</v>
      </c>
    </row>
    <row r="81" spans="2:5">
      <c r="B81" s="95"/>
      <c r="C81" s="55" t="s">
        <v>96</v>
      </c>
      <c r="D81" s="58">
        <v>4</v>
      </c>
      <c r="E81" s="57">
        <v>0</v>
      </c>
    </row>
    <row r="82" spans="2:5">
      <c r="B82" s="95"/>
      <c r="C82" s="55" t="s">
        <v>97</v>
      </c>
      <c r="D82" s="58">
        <v>2</v>
      </c>
      <c r="E82" s="57">
        <v>0</v>
      </c>
    </row>
    <row r="83" spans="2:5">
      <c r="B83" s="95"/>
      <c r="C83" s="55" t="s">
        <v>98</v>
      </c>
      <c r="D83" s="58">
        <v>49</v>
      </c>
      <c r="E83" s="57">
        <v>3.0000000000000001E-3</v>
      </c>
    </row>
    <row r="84" spans="2:5">
      <c r="B84" s="95"/>
      <c r="C84" s="55" t="s">
        <v>99</v>
      </c>
      <c r="D84" s="58">
        <v>1</v>
      </c>
      <c r="E84" s="57">
        <v>0</v>
      </c>
    </row>
    <row r="85" spans="2:5">
      <c r="B85" s="95"/>
      <c r="C85" s="55" t="s">
        <v>101</v>
      </c>
      <c r="D85" s="58">
        <v>1</v>
      </c>
      <c r="E85" s="57">
        <v>0</v>
      </c>
    </row>
    <row r="86" spans="2:5">
      <c r="B86" s="95"/>
      <c r="C86" s="55" t="s">
        <v>103</v>
      </c>
      <c r="D86" s="58">
        <v>3</v>
      </c>
      <c r="E86" s="57">
        <v>0</v>
      </c>
    </row>
    <row r="87" spans="2:5">
      <c r="B87" s="95"/>
      <c r="C87" s="55" t="s">
        <v>104</v>
      </c>
      <c r="D87" s="58">
        <v>1</v>
      </c>
      <c r="E87" s="57">
        <v>0</v>
      </c>
    </row>
    <row r="88" spans="2:5">
      <c r="B88" s="95"/>
      <c r="C88" s="55" t="s">
        <v>105</v>
      </c>
      <c r="D88" s="58">
        <v>1</v>
      </c>
      <c r="E88" s="57">
        <v>0</v>
      </c>
    </row>
    <row r="89" spans="2:5">
      <c r="B89" s="95"/>
      <c r="C89" s="55" t="s">
        <v>106</v>
      </c>
      <c r="D89" s="58">
        <v>12</v>
      </c>
      <c r="E89" s="57">
        <v>1E-3</v>
      </c>
    </row>
    <row r="90" spans="2:5">
      <c r="B90" s="95"/>
      <c r="C90" s="55" t="s">
        <v>107</v>
      </c>
      <c r="D90" s="58">
        <v>2</v>
      </c>
      <c r="E90" s="57">
        <v>0</v>
      </c>
    </row>
    <row r="91" spans="2:5">
      <c r="B91" s="95"/>
      <c r="C91" s="55" t="s">
        <v>116</v>
      </c>
      <c r="D91" s="58">
        <v>7</v>
      </c>
      <c r="E91" s="57">
        <v>0</v>
      </c>
    </row>
    <row r="92" spans="2:5">
      <c r="B92" s="95"/>
      <c r="C92" s="55" t="s">
        <v>118</v>
      </c>
      <c r="D92" s="58">
        <v>2</v>
      </c>
      <c r="E92" s="57">
        <v>0</v>
      </c>
    </row>
    <row r="93" spans="2:5">
      <c r="B93" s="95"/>
      <c r="C93" s="55" t="s">
        <v>119</v>
      </c>
      <c r="D93" s="58">
        <v>4</v>
      </c>
      <c r="E93" s="57">
        <v>0</v>
      </c>
    </row>
    <row r="94" spans="2:5">
      <c r="B94" s="95"/>
      <c r="C94" s="55" t="s">
        <v>120</v>
      </c>
      <c r="D94" s="58">
        <v>4</v>
      </c>
      <c r="E94" s="57">
        <v>0</v>
      </c>
    </row>
    <row r="95" spans="2:5">
      <c r="B95" s="95"/>
      <c r="C95" s="55" t="s">
        <v>121</v>
      </c>
      <c r="D95" s="58">
        <v>6</v>
      </c>
      <c r="E95" s="57">
        <v>0</v>
      </c>
    </row>
    <row r="96" spans="2:5">
      <c r="B96" s="95"/>
      <c r="C96" s="55" t="s">
        <v>123</v>
      </c>
      <c r="D96" s="58">
        <v>25</v>
      </c>
      <c r="E96" s="57">
        <v>2E-3</v>
      </c>
    </row>
    <row r="97" spans="2:5">
      <c r="B97" s="95"/>
      <c r="C97" s="55" t="s">
        <v>124</v>
      </c>
      <c r="D97" s="58">
        <v>7</v>
      </c>
      <c r="E97" s="57">
        <v>0</v>
      </c>
    </row>
    <row r="98" spans="2:5">
      <c r="B98" s="95"/>
      <c r="C98" s="55" t="s">
        <v>126</v>
      </c>
      <c r="D98" s="58">
        <v>1</v>
      </c>
      <c r="E98" s="57">
        <v>0</v>
      </c>
    </row>
    <row r="99" spans="2:5">
      <c r="B99" s="95"/>
      <c r="C99" s="55" t="s">
        <v>127</v>
      </c>
      <c r="D99" s="58">
        <v>1</v>
      </c>
      <c r="E99" s="57">
        <v>0</v>
      </c>
    </row>
    <row r="100" spans="2:5">
      <c r="B100" s="95"/>
      <c r="C100" s="55" t="s">
        <v>128</v>
      </c>
      <c r="D100" s="58">
        <v>1</v>
      </c>
      <c r="E100" s="57">
        <v>0</v>
      </c>
    </row>
    <row r="101" spans="2:5">
      <c r="B101" s="95"/>
      <c r="C101" s="55" t="s">
        <v>130</v>
      </c>
      <c r="D101" s="58">
        <v>2</v>
      </c>
      <c r="E101" s="57">
        <v>0</v>
      </c>
    </row>
    <row r="102" spans="2:5">
      <c r="B102" s="95"/>
      <c r="C102" s="55" t="s">
        <v>132</v>
      </c>
      <c r="D102" s="58">
        <v>3</v>
      </c>
      <c r="E102" s="57">
        <v>0</v>
      </c>
    </row>
    <row r="103" spans="2:5">
      <c r="B103" s="95"/>
      <c r="C103" s="55" t="s">
        <v>133</v>
      </c>
      <c r="D103" s="58">
        <v>14</v>
      </c>
      <c r="E103" s="57">
        <v>1E-3</v>
      </c>
    </row>
    <row r="104" spans="2:5">
      <c r="B104" s="95"/>
      <c r="C104" s="72" t="s">
        <v>284</v>
      </c>
      <c r="D104" s="73">
        <v>154</v>
      </c>
      <c r="E104" s="71">
        <v>0.01</v>
      </c>
    </row>
    <row r="105" spans="2:5">
      <c r="B105" s="95" t="s">
        <v>264</v>
      </c>
      <c r="C105" s="55" t="s">
        <v>96</v>
      </c>
      <c r="D105" s="58">
        <v>3</v>
      </c>
      <c r="E105" s="57">
        <v>0</v>
      </c>
    </row>
    <row r="106" spans="2:5">
      <c r="B106" s="95"/>
      <c r="C106" s="55" t="s">
        <v>97</v>
      </c>
      <c r="D106" s="58">
        <v>1</v>
      </c>
      <c r="E106" s="57">
        <v>0</v>
      </c>
    </row>
    <row r="107" spans="2:5">
      <c r="B107" s="95"/>
      <c r="C107" s="55" t="s">
        <v>98</v>
      </c>
      <c r="D107" s="58">
        <v>28</v>
      </c>
      <c r="E107" s="57">
        <v>2E-3</v>
      </c>
    </row>
    <row r="108" spans="2:5">
      <c r="B108" s="95"/>
      <c r="C108" s="55" t="s">
        <v>99</v>
      </c>
      <c r="D108" s="58">
        <v>1</v>
      </c>
      <c r="E108" s="57">
        <v>0</v>
      </c>
    </row>
    <row r="109" spans="2:5">
      <c r="B109" s="95"/>
      <c r="C109" s="55" t="s">
        <v>103</v>
      </c>
      <c r="D109" s="58">
        <v>1</v>
      </c>
      <c r="E109" s="57">
        <v>0</v>
      </c>
    </row>
    <row r="110" spans="2:5">
      <c r="B110" s="95"/>
      <c r="C110" s="55" t="s">
        <v>104</v>
      </c>
      <c r="D110" s="58">
        <v>2</v>
      </c>
      <c r="E110" s="57">
        <v>0</v>
      </c>
    </row>
    <row r="111" spans="2:5">
      <c r="B111" s="95"/>
      <c r="C111" s="55" t="s">
        <v>106</v>
      </c>
      <c r="D111" s="58">
        <v>10</v>
      </c>
      <c r="E111" s="57">
        <v>1E-3</v>
      </c>
    </row>
    <row r="112" spans="2:5">
      <c r="B112" s="95"/>
      <c r="C112" s="55" t="s">
        <v>108</v>
      </c>
      <c r="D112" s="58">
        <v>1</v>
      </c>
      <c r="E112" s="57">
        <v>0</v>
      </c>
    </row>
    <row r="113" spans="2:5">
      <c r="B113" s="95"/>
      <c r="C113" s="55" t="s">
        <v>115</v>
      </c>
      <c r="D113" s="58">
        <v>1</v>
      </c>
      <c r="E113" s="57">
        <v>0</v>
      </c>
    </row>
    <row r="114" spans="2:5">
      <c r="B114" s="95"/>
      <c r="C114" s="55" t="s">
        <v>116</v>
      </c>
      <c r="D114" s="58">
        <v>9</v>
      </c>
      <c r="E114" s="57">
        <v>1E-3</v>
      </c>
    </row>
    <row r="115" spans="2:5">
      <c r="B115" s="95"/>
      <c r="C115" s="55" t="s">
        <v>119</v>
      </c>
      <c r="D115" s="58">
        <v>1</v>
      </c>
      <c r="E115" s="57">
        <v>0</v>
      </c>
    </row>
    <row r="116" spans="2:5">
      <c r="B116" s="95"/>
      <c r="C116" s="55" t="s">
        <v>120</v>
      </c>
      <c r="D116" s="58">
        <v>1</v>
      </c>
      <c r="E116" s="57">
        <v>0</v>
      </c>
    </row>
    <row r="117" spans="2:5">
      <c r="B117" s="95"/>
      <c r="C117" s="55" t="s">
        <v>121</v>
      </c>
      <c r="D117" s="58">
        <v>3</v>
      </c>
      <c r="E117" s="57">
        <v>0</v>
      </c>
    </row>
    <row r="118" spans="2:5">
      <c r="B118" s="95"/>
      <c r="C118" s="55" t="s">
        <v>123</v>
      </c>
      <c r="D118" s="58">
        <v>14</v>
      </c>
      <c r="E118" s="57">
        <v>1E-3</v>
      </c>
    </row>
    <row r="119" spans="2:5">
      <c r="B119" s="95"/>
      <c r="C119" s="55" t="s">
        <v>124</v>
      </c>
      <c r="D119" s="58">
        <v>6</v>
      </c>
      <c r="E119" s="57">
        <v>0</v>
      </c>
    </row>
    <row r="120" spans="2:5">
      <c r="B120" s="95"/>
      <c r="C120" s="55" t="s">
        <v>126</v>
      </c>
      <c r="D120" s="58">
        <v>2</v>
      </c>
      <c r="E120" s="57">
        <v>0</v>
      </c>
    </row>
    <row r="121" spans="2:5">
      <c r="B121" s="95"/>
      <c r="C121" s="55" t="s">
        <v>128</v>
      </c>
      <c r="D121" s="58">
        <v>1</v>
      </c>
      <c r="E121" s="57">
        <v>0</v>
      </c>
    </row>
    <row r="122" spans="2:5">
      <c r="B122" s="95"/>
      <c r="C122" s="55" t="s">
        <v>130</v>
      </c>
      <c r="D122" s="58">
        <v>2</v>
      </c>
      <c r="E122" s="57">
        <v>0</v>
      </c>
    </row>
    <row r="123" spans="2:5">
      <c r="B123" s="95"/>
      <c r="C123" s="55" t="s">
        <v>132</v>
      </c>
      <c r="D123" s="58">
        <v>3</v>
      </c>
      <c r="E123" s="57">
        <v>0</v>
      </c>
    </row>
    <row r="124" spans="2:5">
      <c r="B124" s="95"/>
      <c r="C124" s="55" t="s">
        <v>133</v>
      </c>
      <c r="D124" s="58">
        <v>12</v>
      </c>
      <c r="E124" s="57">
        <v>1E-3</v>
      </c>
    </row>
    <row r="125" spans="2:5">
      <c r="B125" s="95"/>
      <c r="C125" s="55" t="s">
        <v>135</v>
      </c>
      <c r="D125" s="58">
        <v>2</v>
      </c>
      <c r="E125" s="57">
        <v>0</v>
      </c>
    </row>
    <row r="126" spans="2:5">
      <c r="B126" s="95"/>
      <c r="C126" s="55" t="s">
        <v>74</v>
      </c>
      <c r="D126" s="58">
        <v>1</v>
      </c>
      <c r="E126" s="57">
        <v>0</v>
      </c>
    </row>
    <row r="127" spans="2:5">
      <c r="B127" s="95"/>
      <c r="C127" s="55" t="s">
        <v>136</v>
      </c>
      <c r="D127" s="58">
        <v>2</v>
      </c>
      <c r="E127" s="57">
        <v>0</v>
      </c>
    </row>
    <row r="128" spans="2:5">
      <c r="B128" s="95"/>
      <c r="C128" s="72" t="s">
        <v>284</v>
      </c>
      <c r="D128" s="73">
        <v>107</v>
      </c>
      <c r="E128" s="71">
        <v>7.0000000000000001E-3</v>
      </c>
    </row>
    <row r="129" spans="2:5">
      <c r="B129" s="95" t="s">
        <v>265</v>
      </c>
      <c r="C129" s="55" t="s">
        <v>96</v>
      </c>
      <c r="D129" s="58">
        <v>3</v>
      </c>
      <c r="E129" s="57">
        <v>0</v>
      </c>
    </row>
    <row r="130" spans="2:5">
      <c r="B130" s="95"/>
      <c r="C130" s="55" t="s">
        <v>97</v>
      </c>
      <c r="D130" s="58">
        <v>2</v>
      </c>
      <c r="E130" s="57">
        <v>0</v>
      </c>
    </row>
    <row r="131" spans="2:5">
      <c r="B131" s="95"/>
      <c r="C131" s="55" t="s">
        <v>98</v>
      </c>
      <c r="D131" s="58">
        <v>28</v>
      </c>
      <c r="E131" s="57">
        <v>2E-3</v>
      </c>
    </row>
    <row r="132" spans="2:5">
      <c r="B132" s="95"/>
      <c r="C132" s="55" t="s">
        <v>99</v>
      </c>
      <c r="D132" s="58">
        <v>2</v>
      </c>
      <c r="E132" s="57">
        <v>0</v>
      </c>
    </row>
    <row r="133" spans="2:5">
      <c r="B133" s="95"/>
      <c r="C133" s="55" t="s">
        <v>103</v>
      </c>
      <c r="D133" s="58">
        <v>2</v>
      </c>
      <c r="E133" s="57">
        <v>0</v>
      </c>
    </row>
    <row r="134" spans="2:5">
      <c r="B134" s="95"/>
      <c r="C134" s="55" t="s">
        <v>104</v>
      </c>
      <c r="D134" s="58">
        <v>2</v>
      </c>
      <c r="E134" s="57">
        <v>0</v>
      </c>
    </row>
    <row r="135" spans="2:5">
      <c r="B135" s="95"/>
      <c r="C135" s="55" t="s">
        <v>106</v>
      </c>
      <c r="D135" s="58">
        <v>9</v>
      </c>
      <c r="E135" s="57">
        <v>1E-3</v>
      </c>
    </row>
    <row r="136" spans="2:5">
      <c r="B136" s="95"/>
      <c r="C136" s="55" t="s">
        <v>107</v>
      </c>
      <c r="D136" s="58">
        <v>3</v>
      </c>
      <c r="E136" s="57">
        <v>0</v>
      </c>
    </row>
    <row r="137" spans="2:5">
      <c r="B137" s="95"/>
      <c r="C137" s="55" t="s">
        <v>108</v>
      </c>
      <c r="D137" s="58">
        <v>1</v>
      </c>
      <c r="E137" s="57">
        <v>0</v>
      </c>
    </row>
    <row r="138" spans="2:5">
      <c r="B138" s="95"/>
      <c r="C138" s="55" t="s">
        <v>112</v>
      </c>
      <c r="D138" s="58">
        <v>1</v>
      </c>
      <c r="E138" s="57">
        <v>0</v>
      </c>
    </row>
    <row r="139" spans="2:5">
      <c r="B139" s="95"/>
      <c r="C139" s="55" t="s">
        <v>116</v>
      </c>
      <c r="D139" s="58">
        <v>14</v>
      </c>
      <c r="E139" s="57">
        <v>1E-3</v>
      </c>
    </row>
    <row r="140" spans="2:5">
      <c r="B140" s="95"/>
      <c r="C140" s="55" t="s">
        <v>118</v>
      </c>
      <c r="D140" s="58">
        <v>1</v>
      </c>
      <c r="E140" s="57">
        <v>0</v>
      </c>
    </row>
    <row r="141" spans="2:5">
      <c r="B141" s="95"/>
      <c r="C141" s="55" t="s">
        <v>120</v>
      </c>
      <c r="D141" s="58">
        <v>5</v>
      </c>
      <c r="E141" s="57">
        <v>0</v>
      </c>
    </row>
    <row r="142" spans="2:5">
      <c r="B142" s="95"/>
      <c r="C142" s="55" t="s">
        <v>121</v>
      </c>
      <c r="D142" s="58">
        <v>7</v>
      </c>
      <c r="E142" s="57">
        <v>0</v>
      </c>
    </row>
    <row r="143" spans="2:5">
      <c r="B143" s="95"/>
      <c r="C143" s="55" t="s">
        <v>123</v>
      </c>
      <c r="D143" s="58">
        <v>21</v>
      </c>
      <c r="E143" s="57">
        <v>1E-3</v>
      </c>
    </row>
    <row r="144" spans="2:5">
      <c r="B144" s="95"/>
      <c r="C144" s="55" t="s">
        <v>124</v>
      </c>
      <c r="D144" s="58">
        <v>6</v>
      </c>
      <c r="E144" s="57">
        <v>0</v>
      </c>
    </row>
    <row r="145" spans="2:5">
      <c r="B145" s="95"/>
      <c r="C145" s="55" t="s">
        <v>125</v>
      </c>
      <c r="D145" s="58">
        <v>1</v>
      </c>
      <c r="E145" s="57">
        <v>0</v>
      </c>
    </row>
    <row r="146" spans="2:5">
      <c r="B146" s="95"/>
      <c r="C146" s="55" t="s">
        <v>127</v>
      </c>
      <c r="D146" s="58">
        <v>1</v>
      </c>
      <c r="E146" s="57">
        <v>0</v>
      </c>
    </row>
    <row r="147" spans="2:5">
      <c r="B147" s="95"/>
      <c r="C147" s="55" t="s">
        <v>128</v>
      </c>
      <c r="D147" s="58">
        <v>2</v>
      </c>
      <c r="E147" s="57">
        <v>0</v>
      </c>
    </row>
    <row r="148" spans="2:5">
      <c r="B148" s="95"/>
      <c r="C148" s="55" t="s">
        <v>130</v>
      </c>
      <c r="D148" s="58">
        <v>2</v>
      </c>
      <c r="E148" s="57">
        <v>0</v>
      </c>
    </row>
    <row r="149" spans="2:5">
      <c r="B149" s="95"/>
      <c r="C149" s="55" t="s">
        <v>133</v>
      </c>
      <c r="D149" s="58">
        <v>17</v>
      </c>
      <c r="E149" s="57">
        <v>1E-3</v>
      </c>
    </row>
    <row r="150" spans="2:5">
      <c r="B150" s="95"/>
      <c r="C150" s="55" t="s">
        <v>134</v>
      </c>
      <c r="D150" s="58">
        <v>1</v>
      </c>
      <c r="E150" s="57">
        <v>0</v>
      </c>
    </row>
    <row r="151" spans="2:5">
      <c r="B151" s="95"/>
      <c r="C151" s="55" t="s">
        <v>136</v>
      </c>
      <c r="D151" s="58">
        <v>4</v>
      </c>
      <c r="E151" s="57">
        <v>0</v>
      </c>
    </row>
    <row r="152" spans="2:5">
      <c r="B152" s="95"/>
      <c r="C152" s="72" t="s">
        <v>284</v>
      </c>
      <c r="D152" s="73">
        <v>135</v>
      </c>
      <c r="E152" s="71">
        <v>8.9999999999999993E-3</v>
      </c>
    </row>
    <row r="153" spans="2:5">
      <c r="B153" s="95" t="s">
        <v>266</v>
      </c>
      <c r="C153" s="55" t="s">
        <v>95</v>
      </c>
      <c r="D153" s="58">
        <v>2</v>
      </c>
      <c r="E153" s="57">
        <v>0</v>
      </c>
    </row>
    <row r="154" spans="2:5">
      <c r="B154" s="95"/>
      <c r="C154" s="55" t="s">
        <v>96</v>
      </c>
      <c r="D154" s="58">
        <v>23</v>
      </c>
      <c r="E154" s="57">
        <v>1E-3</v>
      </c>
    </row>
    <row r="155" spans="2:5">
      <c r="B155" s="95"/>
      <c r="C155" s="55" t="s">
        <v>97</v>
      </c>
      <c r="D155" s="58">
        <v>3</v>
      </c>
      <c r="E155" s="57">
        <v>0</v>
      </c>
    </row>
    <row r="156" spans="2:5">
      <c r="B156" s="95"/>
      <c r="C156" s="55" t="s">
        <v>98</v>
      </c>
      <c r="D156" s="58">
        <v>254</v>
      </c>
      <c r="E156" s="57">
        <v>1.6E-2</v>
      </c>
    </row>
    <row r="157" spans="2:5">
      <c r="B157" s="95"/>
      <c r="C157" s="55" t="s">
        <v>99</v>
      </c>
      <c r="D157" s="58">
        <v>17</v>
      </c>
      <c r="E157" s="57">
        <v>1E-3</v>
      </c>
    </row>
    <row r="158" spans="2:5">
      <c r="B158" s="95"/>
      <c r="C158" s="55" t="s">
        <v>100</v>
      </c>
      <c r="D158" s="58">
        <v>3</v>
      </c>
      <c r="E158" s="57">
        <v>0</v>
      </c>
    </row>
    <row r="159" spans="2:5">
      <c r="B159" s="95"/>
      <c r="C159" s="55" t="s">
        <v>101</v>
      </c>
      <c r="D159" s="58">
        <v>5</v>
      </c>
      <c r="E159" s="57">
        <v>0</v>
      </c>
    </row>
    <row r="160" spans="2:5">
      <c r="B160" s="95"/>
      <c r="C160" s="55" t="s">
        <v>103</v>
      </c>
      <c r="D160" s="58">
        <v>7</v>
      </c>
      <c r="E160" s="57">
        <v>0</v>
      </c>
    </row>
    <row r="161" spans="2:5">
      <c r="B161" s="95"/>
      <c r="C161" s="55" t="s">
        <v>104</v>
      </c>
      <c r="D161" s="58">
        <v>7</v>
      </c>
      <c r="E161" s="57">
        <v>0</v>
      </c>
    </row>
    <row r="162" spans="2:5">
      <c r="B162" s="95"/>
      <c r="C162" s="55" t="s">
        <v>255</v>
      </c>
      <c r="D162" s="58">
        <v>1</v>
      </c>
      <c r="E162" s="57">
        <v>0</v>
      </c>
    </row>
    <row r="163" spans="2:5">
      <c r="B163" s="95"/>
      <c r="C163" s="55" t="s">
        <v>105</v>
      </c>
      <c r="D163" s="58">
        <v>4</v>
      </c>
      <c r="E163" s="57">
        <v>0</v>
      </c>
    </row>
    <row r="164" spans="2:5">
      <c r="B164" s="95"/>
      <c r="C164" s="55" t="s">
        <v>106</v>
      </c>
      <c r="D164" s="58">
        <v>91</v>
      </c>
      <c r="E164" s="57">
        <v>6.0000000000000001E-3</v>
      </c>
    </row>
    <row r="165" spans="2:5">
      <c r="B165" s="95"/>
      <c r="C165" s="55" t="s">
        <v>107</v>
      </c>
      <c r="D165" s="58">
        <v>18</v>
      </c>
      <c r="E165" s="57">
        <v>1E-3</v>
      </c>
    </row>
    <row r="166" spans="2:5">
      <c r="B166" s="95"/>
      <c r="C166" s="55" t="s">
        <v>108</v>
      </c>
      <c r="D166" s="58">
        <v>4</v>
      </c>
      <c r="E166" s="57">
        <v>0</v>
      </c>
    </row>
    <row r="167" spans="2:5">
      <c r="B167" s="95"/>
      <c r="C167" s="55" t="s">
        <v>109</v>
      </c>
      <c r="D167" s="58">
        <v>1</v>
      </c>
      <c r="E167" s="57">
        <v>0</v>
      </c>
    </row>
    <row r="168" spans="2:5">
      <c r="B168" s="95"/>
      <c r="C168" s="55" t="s">
        <v>110</v>
      </c>
      <c r="D168" s="58">
        <v>2</v>
      </c>
      <c r="E168" s="57">
        <v>0</v>
      </c>
    </row>
    <row r="169" spans="2:5">
      <c r="B169" s="95"/>
      <c r="C169" s="55" t="s">
        <v>113</v>
      </c>
      <c r="D169" s="58">
        <v>1</v>
      </c>
      <c r="E169" s="57">
        <v>0</v>
      </c>
    </row>
    <row r="170" spans="2:5">
      <c r="B170" s="95"/>
      <c r="C170" s="55" t="s">
        <v>115</v>
      </c>
      <c r="D170" s="58">
        <v>12</v>
      </c>
      <c r="E170" s="57">
        <v>1E-3</v>
      </c>
    </row>
    <row r="171" spans="2:5">
      <c r="B171" s="95"/>
      <c r="C171" s="55" t="s">
        <v>116</v>
      </c>
      <c r="D171" s="58">
        <v>17</v>
      </c>
      <c r="E171" s="57">
        <v>1E-3</v>
      </c>
    </row>
    <row r="172" spans="2:5">
      <c r="B172" s="95"/>
      <c r="C172" s="55" t="s">
        <v>117</v>
      </c>
      <c r="D172" s="58">
        <v>1</v>
      </c>
      <c r="E172" s="57">
        <v>0</v>
      </c>
    </row>
    <row r="173" spans="2:5">
      <c r="B173" s="95"/>
      <c r="C173" s="55" t="s">
        <v>118</v>
      </c>
      <c r="D173" s="58">
        <v>6</v>
      </c>
      <c r="E173" s="57">
        <v>0</v>
      </c>
    </row>
    <row r="174" spans="2:5">
      <c r="B174" s="95"/>
      <c r="C174" s="55" t="s">
        <v>119</v>
      </c>
      <c r="D174" s="58">
        <v>3</v>
      </c>
      <c r="E174" s="57">
        <v>0</v>
      </c>
    </row>
    <row r="175" spans="2:5">
      <c r="B175" s="95"/>
      <c r="C175" s="55" t="s">
        <v>120</v>
      </c>
      <c r="D175" s="58">
        <v>22</v>
      </c>
      <c r="E175" s="57">
        <v>1E-3</v>
      </c>
    </row>
    <row r="176" spans="2:5">
      <c r="B176" s="95"/>
      <c r="C176" s="55" t="s">
        <v>121</v>
      </c>
      <c r="D176" s="58">
        <v>20</v>
      </c>
      <c r="E176" s="57">
        <v>1E-3</v>
      </c>
    </row>
    <row r="177" spans="2:5">
      <c r="B177" s="95"/>
      <c r="C177" s="55" t="s">
        <v>122</v>
      </c>
      <c r="D177" s="58">
        <v>1</v>
      </c>
      <c r="E177" s="57">
        <v>0</v>
      </c>
    </row>
    <row r="178" spans="2:5">
      <c r="B178" s="95"/>
      <c r="C178" s="55" t="s">
        <v>123</v>
      </c>
      <c r="D178" s="58">
        <v>76</v>
      </c>
      <c r="E178" s="57">
        <v>5.0000000000000001E-3</v>
      </c>
    </row>
    <row r="179" spans="2:5">
      <c r="B179" s="95"/>
      <c r="C179" s="55" t="s">
        <v>124</v>
      </c>
      <c r="D179" s="58">
        <v>20</v>
      </c>
      <c r="E179" s="57">
        <v>1E-3</v>
      </c>
    </row>
    <row r="180" spans="2:5">
      <c r="B180" s="95"/>
      <c r="C180" s="55" t="s">
        <v>125</v>
      </c>
      <c r="D180" s="58">
        <v>2</v>
      </c>
      <c r="E180" s="57">
        <v>0</v>
      </c>
    </row>
    <row r="181" spans="2:5">
      <c r="B181" s="95"/>
      <c r="C181" s="55" t="s">
        <v>126</v>
      </c>
      <c r="D181" s="58">
        <v>5</v>
      </c>
      <c r="E181" s="57">
        <v>0</v>
      </c>
    </row>
    <row r="182" spans="2:5">
      <c r="B182" s="95"/>
      <c r="C182" s="55" t="s">
        <v>127</v>
      </c>
      <c r="D182" s="58">
        <v>4</v>
      </c>
      <c r="E182" s="57">
        <v>0</v>
      </c>
    </row>
    <row r="183" spans="2:5">
      <c r="B183" s="95"/>
      <c r="C183" s="55" t="s">
        <v>128</v>
      </c>
      <c r="D183" s="58">
        <v>6</v>
      </c>
      <c r="E183" s="57">
        <v>0</v>
      </c>
    </row>
    <row r="184" spans="2:5">
      <c r="B184" s="95"/>
      <c r="C184" s="55" t="s">
        <v>129</v>
      </c>
      <c r="D184" s="58">
        <v>1</v>
      </c>
      <c r="E184" s="57">
        <v>0</v>
      </c>
    </row>
    <row r="185" spans="2:5">
      <c r="B185" s="95"/>
      <c r="C185" s="55" t="s">
        <v>130</v>
      </c>
      <c r="D185" s="58">
        <v>12</v>
      </c>
      <c r="E185" s="57">
        <v>1E-3</v>
      </c>
    </row>
    <row r="186" spans="2:5">
      <c r="B186" s="95"/>
      <c r="C186" s="55" t="s">
        <v>132</v>
      </c>
      <c r="D186" s="58">
        <v>5</v>
      </c>
      <c r="E186" s="57">
        <v>0</v>
      </c>
    </row>
    <row r="187" spans="2:5">
      <c r="B187" s="95"/>
      <c r="C187" s="55" t="s">
        <v>133</v>
      </c>
      <c r="D187" s="58">
        <v>100</v>
      </c>
      <c r="E187" s="57">
        <v>6.0000000000000001E-3</v>
      </c>
    </row>
    <row r="188" spans="2:5">
      <c r="B188" s="95"/>
      <c r="C188" s="55" t="s">
        <v>134</v>
      </c>
      <c r="D188" s="58">
        <v>5</v>
      </c>
      <c r="E188" s="57">
        <v>0</v>
      </c>
    </row>
    <row r="189" spans="2:5">
      <c r="B189" s="95"/>
      <c r="C189" s="55" t="s">
        <v>135</v>
      </c>
      <c r="D189" s="58">
        <v>5</v>
      </c>
      <c r="E189" s="57">
        <v>0</v>
      </c>
    </row>
    <row r="190" spans="2:5">
      <c r="B190" s="95"/>
      <c r="C190" s="55" t="s">
        <v>74</v>
      </c>
      <c r="D190" s="58">
        <v>11</v>
      </c>
      <c r="E190" s="57">
        <v>1E-3</v>
      </c>
    </row>
    <row r="191" spans="2:5" ht="15" customHeight="1">
      <c r="B191" s="95"/>
      <c r="C191" s="55" t="s">
        <v>136</v>
      </c>
      <c r="D191" s="58">
        <v>6</v>
      </c>
      <c r="E191" s="57">
        <v>0</v>
      </c>
    </row>
    <row r="192" spans="2:5">
      <c r="B192" s="95"/>
      <c r="C192" s="72" t="s">
        <v>284</v>
      </c>
      <c r="D192" s="73">
        <v>783</v>
      </c>
      <c r="E192" s="71">
        <v>5.0999999999999997E-2</v>
      </c>
    </row>
    <row r="193" spans="2:5">
      <c r="B193" s="95" t="s">
        <v>183</v>
      </c>
      <c r="C193" s="55" t="s">
        <v>95</v>
      </c>
      <c r="D193" s="58">
        <v>9</v>
      </c>
      <c r="E193" s="57">
        <v>1E-3</v>
      </c>
    </row>
    <row r="194" spans="2:5">
      <c r="B194" s="95"/>
      <c r="C194" s="55" t="s">
        <v>96</v>
      </c>
      <c r="D194" s="58">
        <v>45</v>
      </c>
      <c r="E194" s="57">
        <v>3.0000000000000001E-3</v>
      </c>
    </row>
    <row r="195" spans="2:5">
      <c r="B195" s="95"/>
      <c r="C195" s="55" t="s">
        <v>97</v>
      </c>
      <c r="D195" s="58">
        <v>17</v>
      </c>
      <c r="E195" s="57">
        <v>1E-3</v>
      </c>
    </row>
    <row r="196" spans="2:5">
      <c r="B196" s="95"/>
      <c r="C196" s="55" t="s">
        <v>98</v>
      </c>
      <c r="D196" s="58">
        <v>460</v>
      </c>
      <c r="E196" s="57">
        <v>0.03</v>
      </c>
    </row>
    <row r="197" spans="2:5">
      <c r="B197" s="95"/>
      <c r="C197" s="55" t="s">
        <v>99</v>
      </c>
      <c r="D197" s="58">
        <v>17</v>
      </c>
      <c r="E197" s="57">
        <v>1E-3</v>
      </c>
    </row>
    <row r="198" spans="2:5">
      <c r="B198" s="95"/>
      <c r="C198" s="55" t="s">
        <v>100</v>
      </c>
      <c r="D198" s="58">
        <v>3</v>
      </c>
      <c r="E198" s="57">
        <v>0</v>
      </c>
    </row>
    <row r="199" spans="2:5">
      <c r="B199" s="95"/>
      <c r="C199" s="55" t="s">
        <v>101</v>
      </c>
      <c r="D199" s="58">
        <v>6</v>
      </c>
      <c r="E199" s="57">
        <v>0</v>
      </c>
    </row>
    <row r="200" spans="2:5">
      <c r="B200" s="95"/>
      <c r="C200" s="55" t="s">
        <v>102</v>
      </c>
      <c r="D200" s="58">
        <v>1</v>
      </c>
      <c r="E200" s="57">
        <v>0</v>
      </c>
    </row>
    <row r="201" spans="2:5">
      <c r="B201" s="95"/>
      <c r="C201" s="55" t="s">
        <v>103</v>
      </c>
      <c r="D201" s="58">
        <v>30</v>
      </c>
      <c r="E201" s="57">
        <v>2E-3</v>
      </c>
    </row>
    <row r="202" spans="2:5">
      <c r="B202" s="95"/>
      <c r="C202" s="55" t="s">
        <v>104</v>
      </c>
      <c r="D202" s="58">
        <v>46</v>
      </c>
      <c r="E202" s="57">
        <v>3.0000000000000001E-3</v>
      </c>
    </row>
    <row r="203" spans="2:5">
      <c r="B203" s="95"/>
      <c r="C203" s="55" t="s">
        <v>105</v>
      </c>
      <c r="D203" s="58">
        <v>12</v>
      </c>
      <c r="E203" s="57">
        <v>1E-3</v>
      </c>
    </row>
    <row r="204" spans="2:5">
      <c r="B204" s="95"/>
      <c r="C204" s="55" t="s">
        <v>106</v>
      </c>
      <c r="D204" s="58">
        <v>378</v>
      </c>
      <c r="E204" s="57">
        <v>2.4E-2</v>
      </c>
    </row>
    <row r="205" spans="2:5">
      <c r="B205" s="95"/>
      <c r="C205" s="55" t="s">
        <v>107</v>
      </c>
      <c r="D205" s="58">
        <v>43</v>
      </c>
      <c r="E205" s="57">
        <v>3.0000000000000001E-3</v>
      </c>
    </row>
    <row r="206" spans="2:5">
      <c r="B206" s="95"/>
      <c r="C206" s="55" t="s">
        <v>108</v>
      </c>
      <c r="D206" s="58">
        <v>8</v>
      </c>
      <c r="E206" s="57">
        <v>1E-3</v>
      </c>
    </row>
    <row r="207" spans="2:5">
      <c r="B207" s="95"/>
      <c r="C207" s="55" t="s">
        <v>109</v>
      </c>
      <c r="D207" s="58">
        <v>3</v>
      </c>
      <c r="E207" s="57">
        <v>0</v>
      </c>
    </row>
    <row r="208" spans="2:5">
      <c r="B208" s="95"/>
      <c r="C208" s="55" t="s">
        <v>110</v>
      </c>
      <c r="D208" s="58">
        <v>4</v>
      </c>
      <c r="E208" s="57">
        <v>0</v>
      </c>
    </row>
    <row r="209" spans="2:5">
      <c r="B209" s="95"/>
      <c r="C209" s="55" t="s">
        <v>111</v>
      </c>
      <c r="D209" s="58">
        <v>1</v>
      </c>
      <c r="E209" s="57">
        <v>0</v>
      </c>
    </row>
    <row r="210" spans="2:5">
      <c r="B210" s="95"/>
      <c r="C210" s="55" t="s">
        <v>113</v>
      </c>
      <c r="D210" s="58">
        <v>3</v>
      </c>
      <c r="E210" s="57">
        <v>0</v>
      </c>
    </row>
    <row r="211" spans="2:5">
      <c r="B211" s="95"/>
      <c r="C211" s="55" t="s">
        <v>115</v>
      </c>
      <c r="D211" s="58">
        <v>7</v>
      </c>
      <c r="E211" s="57">
        <v>0</v>
      </c>
    </row>
    <row r="212" spans="2:5">
      <c r="B212" s="95"/>
      <c r="C212" s="55" t="s">
        <v>116</v>
      </c>
      <c r="D212" s="58">
        <v>177</v>
      </c>
      <c r="E212" s="57">
        <v>1.0999999999999999E-2</v>
      </c>
    </row>
    <row r="213" spans="2:5">
      <c r="B213" s="95"/>
      <c r="C213" s="55" t="s">
        <v>117</v>
      </c>
      <c r="D213" s="58">
        <v>3</v>
      </c>
      <c r="E213" s="57">
        <v>0</v>
      </c>
    </row>
    <row r="214" spans="2:5">
      <c r="B214" s="95"/>
      <c r="C214" s="55" t="s">
        <v>118</v>
      </c>
      <c r="D214" s="58">
        <v>6</v>
      </c>
      <c r="E214" s="57">
        <v>0</v>
      </c>
    </row>
    <row r="215" spans="2:5">
      <c r="B215" s="95"/>
      <c r="C215" s="55" t="s">
        <v>119</v>
      </c>
      <c r="D215" s="58">
        <v>8</v>
      </c>
      <c r="E215" s="57">
        <v>1E-3</v>
      </c>
    </row>
    <row r="216" spans="2:5">
      <c r="B216" s="95"/>
      <c r="C216" s="55" t="s">
        <v>120</v>
      </c>
      <c r="D216" s="58">
        <v>26</v>
      </c>
      <c r="E216" s="57">
        <v>2E-3</v>
      </c>
    </row>
    <row r="217" spans="2:5">
      <c r="B217" s="95"/>
      <c r="C217" s="55" t="s">
        <v>121</v>
      </c>
      <c r="D217" s="58">
        <v>39</v>
      </c>
      <c r="E217" s="57">
        <v>3.0000000000000001E-3</v>
      </c>
    </row>
    <row r="218" spans="2:5">
      <c r="B218" s="95"/>
      <c r="C218" s="55" t="s">
        <v>122</v>
      </c>
      <c r="D218" s="58">
        <v>3</v>
      </c>
      <c r="E218" s="57">
        <v>0</v>
      </c>
    </row>
    <row r="219" spans="2:5">
      <c r="B219" s="95"/>
      <c r="C219" s="55" t="s">
        <v>123</v>
      </c>
      <c r="D219" s="58">
        <v>121</v>
      </c>
      <c r="E219" s="57">
        <v>8.0000000000000002E-3</v>
      </c>
    </row>
    <row r="220" spans="2:5">
      <c r="B220" s="95"/>
      <c r="C220" s="55" t="s">
        <v>124</v>
      </c>
      <c r="D220" s="58">
        <v>48</v>
      </c>
      <c r="E220" s="57">
        <v>3.0000000000000001E-3</v>
      </c>
    </row>
    <row r="221" spans="2:5">
      <c r="B221" s="95"/>
      <c r="C221" s="55" t="s">
        <v>125</v>
      </c>
      <c r="D221" s="58">
        <v>5</v>
      </c>
      <c r="E221" s="57">
        <v>0</v>
      </c>
    </row>
    <row r="222" spans="2:5">
      <c r="B222" s="95"/>
      <c r="C222" s="55" t="s">
        <v>126</v>
      </c>
      <c r="D222" s="58">
        <v>10</v>
      </c>
      <c r="E222" s="57">
        <v>1E-3</v>
      </c>
    </row>
    <row r="223" spans="2:5">
      <c r="B223" s="95"/>
      <c r="C223" s="55" t="s">
        <v>127</v>
      </c>
      <c r="D223" s="58">
        <v>5</v>
      </c>
      <c r="E223" s="57">
        <v>0</v>
      </c>
    </row>
    <row r="224" spans="2:5">
      <c r="B224" s="95"/>
      <c r="C224" s="55" t="s">
        <v>128</v>
      </c>
      <c r="D224" s="58">
        <v>12</v>
      </c>
      <c r="E224" s="57">
        <v>1E-3</v>
      </c>
    </row>
    <row r="225" spans="2:5">
      <c r="B225" s="95"/>
      <c r="C225" s="55" t="s">
        <v>130</v>
      </c>
      <c r="D225" s="58">
        <v>17</v>
      </c>
      <c r="E225" s="57">
        <v>1E-3</v>
      </c>
    </row>
    <row r="226" spans="2:5">
      <c r="B226" s="95"/>
      <c r="C226" s="55" t="s">
        <v>131</v>
      </c>
      <c r="D226" s="58">
        <v>1</v>
      </c>
      <c r="E226" s="57">
        <v>0</v>
      </c>
    </row>
    <row r="227" spans="2:5">
      <c r="B227" s="95"/>
      <c r="C227" s="55" t="s">
        <v>132</v>
      </c>
      <c r="D227" s="58">
        <v>22</v>
      </c>
      <c r="E227" s="57">
        <v>1E-3</v>
      </c>
    </row>
    <row r="228" spans="2:5">
      <c r="B228" s="95"/>
      <c r="C228" s="55" t="s">
        <v>133</v>
      </c>
      <c r="D228" s="58">
        <v>157</v>
      </c>
      <c r="E228" s="57">
        <v>0.01</v>
      </c>
    </row>
    <row r="229" spans="2:5">
      <c r="B229" s="95"/>
      <c r="C229" s="55" t="s">
        <v>134</v>
      </c>
      <c r="D229" s="58">
        <v>15</v>
      </c>
      <c r="E229" s="57">
        <v>1E-3</v>
      </c>
    </row>
    <row r="230" spans="2:5">
      <c r="B230" s="95"/>
      <c r="C230" s="55" t="s">
        <v>135</v>
      </c>
      <c r="D230" s="58">
        <v>13</v>
      </c>
      <c r="E230" s="57">
        <v>1E-3</v>
      </c>
    </row>
    <row r="231" spans="2:5">
      <c r="B231" s="95"/>
      <c r="C231" s="55" t="s">
        <v>74</v>
      </c>
      <c r="D231" s="58">
        <v>5</v>
      </c>
      <c r="E231" s="57">
        <v>0</v>
      </c>
    </row>
    <row r="232" spans="2:5">
      <c r="B232" s="95"/>
      <c r="C232" s="55" t="s">
        <v>136</v>
      </c>
      <c r="D232" s="58">
        <v>14</v>
      </c>
      <c r="E232" s="57">
        <v>1E-3</v>
      </c>
    </row>
    <row r="233" spans="2:5">
      <c r="B233" s="95"/>
      <c r="C233" s="55" t="s">
        <v>137</v>
      </c>
      <c r="D233" s="58">
        <v>1</v>
      </c>
      <c r="E233" s="57">
        <v>0</v>
      </c>
    </row>
    <row r="234" spans="2:5" ht="14.45" customHeight="1">
      <c r="B234" s="95"/>
      <c r="C234" s="72" t="s">
        <v>284</v>
      </c>
      <c r="D234" s="69">
        <v>1801</v>
      </c>
      <c r="E234" s="71">
        <v>0.11700000000000001</v>
      </c>
    </row>
    <row r="235" spans="2:5">
      <c r="B235" s="95" t="s">
        <v>267</v>
      </c>
      <c r="C235" s="55" t="s">
        <v>96</v>
      </c>
      <c r="D235" s="58">
        <v>3</v>
      </c>
      <c r="E235" s="57">
        <v>0</v>
      </c>
    </row>
    <row r="236" spans="2:5">
      <c r="B236" s="95"/>
      <c r="C236" s="55" t="s">
        <v>97</v>
      </c>
      <c r="D236" s="58">
        <v>1</v>
      </c>
      <c r="E236" s="57">
        <v>0</v>
      </c>
    </row>
    <row r="237" spans="2:5">
      <c r="B237" s="95"/>
      <c r="C237" s="55" t="s">
        <v>98</v>
      </c>
      <c r="D237" s="58">
        <v>46</v>
      </c>
      <c r="E237" s="57">
        <v>3.0000000000000001E-3</v>
      </c>
    </row>
    <row r="238" spans="2:5">
      <c r="B238" s="95"/>
      <c r="C238" s="55" t="s">
        <v>99</v>
      </c>
      <c r="D238" s="58">
        <v>4</v>
      </c>
      <c r="E238" s="57">
        <v>0</v>
      </c>
    </row>
    <row r="239" spans="2:5">
      <c r="B239" s="95"/>
      <c r="C239" s="55" t="s">
        <v>101</v>
      </c>
      <c r="D239" s="58">
        <v>1</v>
      </c>
      <c r="E239" s="57">
        <v>0</v>
      </c>
    </row>
    <row r="240" spans="2:5">
      <c r="B240" s="95"/>
      <c r="C240" s="55" t="s">
        <v>102</v>
      </c>
      <c r="D240" s="58">
        <v>1</v>
      </c>
      <c r="E240" s="57">
        <v>0</v>
      </c>
    </row>
    <row r="241" spans="2:5">
      <c r="B241" s="95"/>
      <c r="C241" s="55" t="s">
        <v>103</v>
      </c>
      <c r="D241" s="58">
        <v>4</v>
      </c>
      <c r="E241" s="57">
        <v>0</v>
      </c>
    </row>
    <row r="242" spans="2:5">
      <c r="B242" s="95"/>
      <c r="C242" s="55" t="s">
        <v>104</v>
      </c>
      <c r="D242" s="58">
        <v>1</v>
      </c>
      <c r="E242" s="57">
        <v>0</v>
      </c>
    </row>
    <row r="243" spans="2:5">
      <c r="B243" s="95"/>
      <c r="C243" s="55" t="s">
        <v>105</v>
      </c>
      <c r="D243" s="58">
        <v>2</v>
      </c>
      <c r="E243" s="57">
        <v>0</v>
      </c>
    </row>
    <row r="244" spans="2:5">
      <c r="B244" s="95"/>
      <c r="C244" s="55" t="s">
        <v>106</v>
      </c>
      <c r="D244" s="58">
        <v>18</v>
      </c>
      <c r="E244" s="57">
        <v>1E-3</v>
      </c>
    </row>
    <row r="245" spans="2:5">
      <c r="B245" s="95"/>
      <c r="C245" s="55" t="s">
        <v>107</v>
      </c>
      <c r="D245" s="58">
        <v>1</v>
      </c>
      <c r="E245" s="57">
        <v>0</v>
      </c>
    </row>
    <row r="246" spans="2:5">
      <c r="B246" s="95"/>
      <c r="C246" s="55" t="s">
        <v>108</v>
      </c>
      <c r="D246" s="58">
        <v>1</v>
      </c>
      <c r="E246" s="57">
        <v>0</v>
      </c>
    </row>
    <row r="247" spans="2:5">
      <c r="B247" s="95"/>
      <c r="C247" s="55" t="s">
        <v>110</v>
      </c>
      <c r="D247" s="58">
        <v>1</v>
      </c>
      <c r="E247" s="57">
        <v>0</v>
      </c>
    </row>
    <row r="248" spans="2:5">
      <c r="B248" s="95"/>
      <c r="C248" s="55" t="s">
        <v>113</v>
      </c>
      <c r="D248" s="58">
        <v>1</v>
      </c>
      <c r="E248" s="57">
        <v>0</v>
      </c>
    </row>
    <row r="249" spans="2:5">
      <c r="B249" s="95"/>
      <c r="C249" s="55" t="s">
        <v>115</v>
      </c>
      <c r="D249" s="58">
        <v>2</v>
      </c>
      <c r="E249" s="57">
        <v>0</v>
      </c>
    </row>
    <row r="250" spans="2:5">
      <c r="B250" s="95"/>
      <c r="C250" s="55" t="s">
        <v>116</v>
      </c>
      <c r="D250" s="58">
        <v>15</v>
      </c>
      <c r="E250" s="57">
        <v>1E-3</v>
      </c>
    </row>
    <row r="251" spans="2:5">
      <c r="B251" s="95"/>
      <c r="C251" s="55" t="s">
        <v>118</v>
      </c>
      <c r="D251" s="58">
        <v>3</v>
      </c>
      <c r="E251" s="57">
        <v>0</v>
      </c>
    </row>
    <row r="252" spans="2:5">
      <c r="B252" s="95"/>
      <c r="C252" s="55" t="s">
        <v>119</v>
      </c>
      <c r="D252" s="58">
        <v>1</v>
      </c>
      <c r="E252" s="57">
        <v>0</v>
      </c>
    </row>
    <row r="253" spans="2:5">
      <c r="B253" s="95"/>
      <c r="C253" s="55" t="s">
        <v>120</v>
      </c>
      <c r="D253" s="58">
        <v>3</v>
      </c>
      <c r="E253" s="57">
        <v>0</v>
      </c>
    </row>
    <row r="254" spans="2:5">
      <c r="B254" s="95"/>
      <c r="C254" s="55" t="s">
        <v>121</v>
      </c>
      <c r="D254" s="58">
        <v>3</v>
      </c>
      <c r="E254" s="57">
        <v>0</v>
      </c>
    </row>
    <row r="255" spans="2:5">
      <c r="B255" s="95"/>
      <c r="C255" s="55" t="s">
        <v>123</v>
      </c>
      <c r="D255" s="58">
        <v>10</v>
      </c>
      <c r="E255" s="57">
        <v>1E-3</v>
      </c>
    </row>
    <row r="256" spans="2:5">
      <c r="B256" s="95"/>
      <c r="C256" s="55" t="s">
        <v>124</v>
      </c>
      <c r="D256" s="58">
        <v>2</v>
      </c>
      <c r="E256" s="57">
        <v>0</v>
      </c>
    </row>
    <row r="257" spans="2:5">
      <c r="B257" s="95"/>
      <c r="C257" s="55" t="s">
        <v>125</v>
      </c>
      <c r="D257" s="58">
        <v>1</v>
      </c>
      <c r="E257" s="57">
        <v>0</v>
      </c>
    </row>
    <row r="258" spans="2:5">
      <c r="B258" s="95"/>
      <c r="C258" s="55" t="s">
        <v>127</v>
      </c>
      <c r="D258" s="58">
        <v>1</v>
      </c>
      <c r="E258" s="57">
        <v>0</v>
      </c>
    </row>
    <row r="259" spans="2:5">
      <c r="B259" s="95"/>
      <c r="C259" s="55" t="s">
        <v>128</v>
      </c>
      <c r="D259" s="58">
        <v>4</v>
      </c>
      <c r="E259" s="57">
        <v>0</v>
      </c>
    </row>
    <row r="260" spans="2:5">
      <c r="B260" s="95"/>
      <c r="C260" s="55" t="s">
        <v>132</v>
      </c>
      <c r="D260" s="58">
        <v>2</v>
      </c>
      <c r="E260" s="57">
        <v>0</v>
      </c>
    </row>
    <row r="261" spans="2:5">
      <c r="B261" s="95"/>
      <c r="C261" s="55" t="s">
        <v>133</v>
      </c>
      <c r="D261" s="58">
        <v>11</v>
      </c>
      <c r="E261" s="57">
        <v>1E-3</v>
      </c>
    </row>
    <row r="262" spans="2:5">
      <c r="B262" s="95"/>
      <c r="C262" s="55" t="s">
        <v>134</v>
      </c>
      <c r="D262" s="58">
        <v>3</v>
      </c>
      <c r="E262" s="57">
        <v>0</v>
      </c>
    </row>
    <row r="263" spans="2:5">
      <c r="B263" s="95"/>
      <c r="C263" s="55" t="s">
        <v>135</v>
      </c>
      <c r="D263" s="58">
        <v>2</v>
      </c>
      <c r="E263" s="57">
        <v>0</v>
      </c>
    </row>
    <row r="264" spans="2:5">
      <c r="B264" s="95"/>
      <c r="C264" s="55" t="s">
        <v>74</v>
      </c>
      <c r="D264" s="58">
        <v>1</v>
      </c>
      <c r="E264" s="57">
        <v>0</v>
      </c>
    </row>
    <row r="265" spans="2:5">
      <c r="B265" s="95"/>
      <c r="C265" s="55" t="s">
        <v>136</v>
      </c>
      <c r="D265" s="58">
        <v>1</v>
      </c>
      <c r="E265" s="57">
        <v>0</v>
      </c>
    </row>
    <row r="266" spans="2:5">
      <c r="B266" s="95"/>
      <c r="C266" s="72" t="s">
        <v>284</v>
      </c>
      <c r="D266" s="73">
        <v>150</v>
      </c>
      <c r="E266" s="71">
        <v>0.01</v>
      </c>
    </row>
    <row r="267" spans="2:5">
      <c r="B267" s="95" t="s">
        <v>268</v>
      </c>
      <c r="C267" s="55" t="s">
        <v>95</v>
      </c>
      <c r="D267" s="58">
        <v>4</v>
      </c>
      <c r="E267" s="57">
        <v>0</v>
      </c>
    </row>
    <row r="268" spans="2:5">
      <c r="B268" s="95"/>
      <c r="C268" s="55" t="s">
        <v>96</v>
      </c>
      <c r="D268" s="58">
        <v>12</v>
      </c>
      <c r="E268" s="57">
        <v>1E-3</v>
      </c>
    </row>
    <row r="269" spans="2:5">
      <c r="B269" s="95"/>
      <c r="C269" s="55" t="s">
        <v>97</v>
      </c>
      <c r="D269" s="58">
        <v>2</v>
      </c>
      <c r="E269" s="57">
        <v>0</v>
      </c>
    </row>
    <row r="270" spans="2:5">
      <c r="B270" s="95"/>
      <c r="C270" s="55" t="s">
        <v>98</v>
      </c>
      <c r="D270" s="58">
        <v>94</v>
      </c>
      <c r="E270" s="57">
        <v>6.0000000000000001E-3</v>
      </c>
    </row>
    <row r="271" spans="2:5">
      <c r="B271" s="95"/>
      <c r="C271" s="55" t="s">
        <v>99</v>
      </c>
      <c r="D271" s="58">
        <v>3</v>
      </c>
      <c r="E271" s="57">
        <v>0</v>
      </c>
    </row>
    <row r="272" spans="2:5">
      <c r="B272" s="95"/>
      <c r="C272" s="55" t="s">
        <v>100</v>
      </c>
      <c r="D272" s="58">
        <v>2</v>
      </c>
      <c r="E272" s="57">
        <v>0</v>
      </c>
    </row>
    <row r="273" spans="2:5">
      <c r="B273" s="95"/>
      <c r="C273" s="55" t="s">
        <v>103</v>
      </c>
      <c r="D273" s="58">
        <v>9</v>
      </c>
      <c r="E273" s="57">
        <v>1E-3</v>
      </c>
    </row>
    <row r="274" spans="2:5">
      <c r="B274" s="95"/>
      <c r="C274" s="55" t="s">
        <v>104</v>
      </c>
      <c r="D274" s="58">
        <v>3</v>
      </c>
      <c r="E274" s="57">
        <v>0</v>
      </c>
    </row>
    <row r="275" spans="2:5">
      <c r="B275" s="95"/>
      <c r="C275" s="55" t="s">
        <v>105</v>
      </c>
      <c r="D275" s="58">
        <v>3</v>
      </c>
      <c r="E275" s="57">
        <v>0</v>
      </c>
    </row>
    <row r="276" spans="2:5">
      <c r="B276" s="95"/>
      <c r="C276" s="55" t="s">
        <v>106</v>
      </c>
      <c r="D276" s="58">
        <v>21</v>
      </c>
      <c r="E276" s="57">
        <v>1E-3</v>
      </c>
    </row>
    <row r="277" spans="2:5">
      <c r="B277" s="95"/>
      <c r="C277" s="55" t="s">
        <v>107</v>
      </c>
      <c r="D277" s="58">
        <v>5</v>
      </c>
      <c r="E277" s="57">
        <v>0</v>
      </c>
    </row>
    <row r="278" spans="2:5">
      <c r="B278" s="95"/>
      <c r="C278" s="55" t="s">
        <v>108</v>
      </c>
      <c r="D278" s="58">
        <v>2</v>
      </c>
      <c r="E278" s="57">
        <v>0</v>
      </c>
    </row>
    <row r="279" spans="2:5">
      <c r="B279" s="95"/>
      <c r="C279" s="55" t="s">
        <v>109</v>
      </c>
      <c r="D279" s="58">
        <v>1</v>
      </c>
      <c r="E279" s="57">
        <v>0</v>
      </c>
    </row>
    <row r="280" spans="2:5">
      <c r="B280" s="95"/>
      <c r="C280" s="55" t="s">
        <v>110</v>
      </c>
      <c r="D280" s="58">
        <v>1</v>
      </c>
      <c r="E280" s="57">
        <v>0</v>
      </c>
    </row>
    <row r="281" spans="2:5">
      <c r="B281" s="95"/>
      <c r="C281" s="55" t="s">
        <v>111</v>
      </c>
      <c r="D281" s="58">
        <v>2</v>
      </c>
      <c r="E281" s="57">
        <v>0</v>
      </c>
    </row>
    <row r="282" spans="2:5">
      <c r="B282" s="95"/>
      <c r="C282" s="55" t="s">
        <v>113</v>
      </c>
      <c r="D282" s="58">
        <v>2</v>
      </c>
      <c r="E282" s="57">
        <v>0</v>
      </c>
    </row>
    <row r="283" spans="2:5">
      <c r="B283" s="95"/>
      <c r="C283" s="55" t="s">
        <v>115</v>
      </c>
      <c r="D283" s="58">
        <v>4</v>
      </c>
      <c r="E283" s="57">
        <v>0</v>
      </c>
    </row>
    <row r="284" spans="2:5">
      <c r="B284" s="95"/>
      <c r="C284" s="55" t="s">
        <v>116</v>
      </c>
      <c r="D284" s="58">
        <v>13</v>
      </c>
      <c r="E284" s="57">
        <v>1E-3</v>
      </c>
    </row>
    <row r="285" spans="2:5">
      <c r="B285" s="95"/>
      <c r="C285" s="55" t="s">
        <v>117</v>
      </c>
      <c r="D285" s="58">
        <v>1</v>
      </c>
      <c r="E285" s="57">
        <v>0</v>
      </c>
    </row>
    <row r="286" spans="2:5">
      <c r="B286" s="95"/>
      <c r="C286" s="55" t="s">
        <v>118</v>
      </c>
      <c r="D286" s="58">
        <v>4</v>
      </c>
      <c r="E286" s="57">
        <v>0</v>
      </c>
    </row>
    <row r="287" spans="2:5">
      <c r="B287" s="95"/>
      <c r="C287" s="55" t="s">
        <v>119</v>
      </c>
      <c r="D287" s="58">
        <v>4</v>
      </c>
      <c r="E287" s="57">
        <v>0</v>
      </c>
    </row>
    <row r="288" spans="2:5">
      <c r="B288" s="95"/>
      <c r="C288" s="55" t="s">
        <v>120</v>
      </c>
      <c r="D288" s="58">
        <v>7</v>
      </c>
      <c r="E288" s="57">
        <v>0</v>
      </c>
    </row>
    <row r="289" spans="2:5">
      <c r="B289" s="95"/>
      <c r="C289" s="55" t="s">
        <v>121</v>
      </c>
      <c r="D289" s="58">
        <v>7</v>
      </c>
      <c r="E289" s="57">
        <v>0</v>
      </c>
    </row>
    <row r="290" spans="2:5">
      <c r="B290" s="95"/>
      <c r="C290" s="55" t="s">
        <v>123</v>
      </c>
      <c r="D290" s="58">
        <v>29</v>
      </c>
      <c r="E290" s="57">
        <v>2E-3</v>
      </c>
    </row>
    <row r="291" spans="2:5">
      <c r="B291" s="95"/>
      <c r="C291" s="55" t="s">
        <v>124</v>
      </c>
      <c r="D291" s="58">
        <v>6</v>
      </c>
      <c r="E291" s="57">
        <v>0</v>
      </c>
    </row>
    <row r="292" spans="2:5">
      <c r="B292" s="95"/>
      <c r="C292" s="55" t="s">
        <v>125</v>
      </c>
      <c r="D292" s="58">
        <v>1</v>
      </c>
      <c r="E292" s="57">
        <v>0</v>
      </c>
    </row>
    <row r="293" spans="2:5">
      <c r="B293" s="95"/>
      <c r="C293" s="55" t="s">
        <v>126</v>
      </c>
      <c r="D293" s="58">
        <v>2</v>
      </c>
      <c r="E293" s="57">
        <v>0</v>
      </c>
    </row>
    <row r="294" spans="2:5">
      <c r="B294" s="95"/>
      <c r="C294" s="55" t="s">
        <v>127</v>
      </c>
      <c r="D294" s="58">
        <v>1</v>
      </c>
      <c r="E294" s="57">
        <v>0</v>
      </c>
    </row>
    <row r="295" spans="2:5">
      <c r="B295" s="95"/>
      <c r="C295" s="55" t="s">
        <v>128</v>
      </c>
      <c r="D295" s="58">
        <v>2</v>
      </c>
      <c r="E295" s="57">
        <v>0</v>
      </c>
    </row>
    <row r="296" spans="2:5">
      <c r="B296" s="95"/>
      <c r="C296" s="55" t="s">
        <v>130</v>
      </c>
      <c r="D296" s="58">
        <v>2</v>
      </c>
      <c r="E296" s="57">
        <v>0</v>
      </c>
    </row>
    <row r="297" spans="2:5">
      <c r="B297" s="95"/>
      <c r="C297" s="55" t="s">
        <v>133</v>
      </c>
      <c r="D297" s="58">
        <v>30</v>
      </c>
      <c r="E297" s="57">
        <v>2E-3</v>
      </c>
    </row>
    <row r="298" spans="2:5">
      <c r="B298" s="95"/>
      <c r="C298" s="55" t="s">
        <v>134</v>
      </c>
      <c r="D298" s="58">
        <v>5</v>
      </c>
      <c r="E298" s="57">
        <v>0</v>
      </c>
    </row>
    <row r="299" spans="2:5">
      <c r="B299" s="95"/>
      <c r="C299" s="55" t="s">
        <v>135</v>
      </c>
      <c r="D299" s="58">
        <v>1</v>
      </c>
      <c r="E299" s="57">
        <v>0</v>
      </c>
    </row>
    <row r="300" spans="2:5">
      <c r="B300" s="95"/>
      <c r="C300" s="55" t="s">
        <v>74</v>
      </c>
      <c r="D300" s="58">
        <v>2</v>
      </c>
      <c r="E300" s="57">
        <v>0</v>
      </c>
    </row>
    <row r="301" spans="2:5">
      <c r="B301" s="95"/>
      <c r="C301" s="55" t="s">
        <v>136</v>
      </c>
      <c r="D301" s="58">
        <v>3</v>
      </c>
      <c r="E301" s="57">
        <v>0</v>
      </c>
    </row>
    <row r="302" spans="2:5">
      <c r="B302" s="95"/>
      <c r="C302" s="72" t="s">
        <v>284</v>
      </c>
      <c r="D302" s="73">
        <v>290</v>
      </c>
      <c r="E302" s="71">
        <v>1.9E-2</v>
      </c>
    </row>
    <row r="303" spans="2:5">
      <c r="B303" s="95" t="s">
        <v>269</v>
      </c>
      <c r="C303" s="55" t="s">
        <v>95</v>
      </c>
      <c r="D303" s="58">
        <v>3</v>
      </c>
      <c r="E303" s="57">
        <v>0</v>
      </c>
    </row>
    <row r="304" spans="2:5">
      <c r="B304" s="95"/>
      <c r="C304" s="55" t="s">
        <v>96</v>
      </c>
      <c r="D304" s="58">
        <v>22</v>
      </c>
      <c r="E304" s="57">
        <v>1E-3</v>
      </c>
    </row>
    <row r="305" spans="2:5">
      <c r="B305" s="95"/>
      <c r="C305" s="55" t="s">
        <v>97</v>
      </c>
      <c r="D305" s="58">
        <v>4</v>
      </c>
      <c r="E305" s="57">
        <v>0</v>
      </c>
    </row>
    <row r="306" spans="2:5">
      <c r="B306" s="95"/>
      <c r="C306" s="55" t="s">
        <v>98</v>
      </c>
      <c r="D306" s="58">
        <v>172</v>
      </c>
      <c r="E306" s="57">
        <v>1.0999999999999999E-2</v>
      </c>
    </row>
    <row r="307" spans="2:5">
      <c r="B307" s="95"/>
      <c r="C307" s="55" t="s">
        <v>99</v>
      </c>
      <c r="D307" s="58">
        <v>17</v>
      </c>
      <c r="E307" s="57">
        <v>1E-3</v>
      </c>
    </row>
    <row r="308" spans="2:5">
      <c r="B308" s="95"/>
      <c r="C308" s="55" t="s">
        <v>100</v>
      </c>
      <c r="D308" s="58">
        <v>2</v>
      </c>
      <c r="E308" s="57">
        <v>0</v>
      </c>
    </row>
    <row r="309" spans="2:5">
      <c r="B309" s="95"/>
      <c r="C309" s="55" t="s">
        <v>101</v>
      </c>
      <c r="D309" s="58">
        <v>3</v>
      </c>
      <c r="E309" s="57">
        <v>0</v>
      </c>
    </row>
    <row r="310" spans="2:5">
      <c r="B310" s="95"/>
      <c r="C310" s="55" t="s">
        <v>103</v>
      </c>
      <c r="D310" s="58">
        <v>13</v>
      </c>
      <c r="E310" s="57">
        <v>1E-3</v>
      </c>
    </row>
    <row r="311" spans="2:5">
      <c r="B311" s="95"/>
      <c r="C311" s="55" t="s">
        <v>104</v>
      </c>
      <c r="D311" s="58">
        <v>6</v>
      </c>
      <c r="E311" s="57">
        <v>0</v>
      </c>
    </row>
    <row r="312" spans="2:5">
      <c r="B312" s="95"/>
      <c r="C312" s="55" t="s">
        <v>105</v>
      </c>
      <c r="D312" s="58">
        <v>5</v>
      </c>
      <c r="E312" s="57">
        <v>0</v>
      </c>
    </row>
    <row r="313" spans="2:5">
      <c r="B313" s="95"/>
      <c r="C313" s="55" t="s">
        <v>106</v>
      </c>
      <c r="D313" s="58">
        <v>57</v>
      </c>
      <c r="E313" s="57">
        <v>4.0000000000000001E-3</v>
      </c>
    </row>
    <row r="314" spans="2:5">
      <c r="B314" s="95"/>
      <c r="C314" s="55" t="s">
        <v>107</v>
      </c>
      <c r="D314" s="58">
        <v>14</v>
      </c>
      <c r="E314" s="57">
        <v>1E-3</v>
      </c>
    </row>
    <row r="315" spans="2:5">
      <c r="B315" s="95"/>
      <c r="C315" s="55" t="s">
        <v>108</v>
      </c>
      <c r="D315" s="58">
        <v>3</v>
      </c>
      <c r="E315" s="57">
        <v>0</v>
      </c>
    </row>
    <row r="316" spans="2:5">
      <c r="B316" s="95"/>
      <c r="C316" s="55" t="s">
        <v>109</v>
      </c>
      <c r="D316" s="58">
        <v>2</v>
      </c>
      <c r="E316" s="57">
        <v>0</v>
      </c>
    </row>
    <row r="317" spans="2:5">
      <c r="B317" s="95"/>
      <c r="C317" s="55" t="s">
        <v>110</v>
      </c>
      <c r="D317" s="58">
        <v>2</v>
      </c>
      <c r="E317" s="57">
        <v>0</v>
      </c>
    </row>
    <row r="318" spans="2:5">
      <c r="B318" s="95"/>
      <c r="C318" s="55" t="s">
        <v>111</v>
      </c>
      <c r="D318" s="58">
        <v>2</v>
      </c>
      <c r="E318" s="57">
        <v>0</v>
      </c>
    </row>
    <row r="319" spans="2:5">
      <c r="B319" s="95"/>
      <c r="C319" s="55" t="s">
        <v>113</v>
      </c>
      <c r="D319" s="58">
        <v>2</v>
      </c>
      <c r="E319" s="57">
        <v>0</v>
      </c>
    </row>
    <row r="320" spans="2:5">
      <c r="B320" s="95"/>
      <c r="C320" s="55" t="s">
        <v>115</v>
      </c>
      <c r="D320" s="58">
        <v>10</v>
      </c>
      <c r="E320" s="57">
        <v>1E-3</v>
      </c>
    </row>
    <row r="321" spans="2:5">
      <c r="B321" s="95"/>
      <c r="C321" s="55" t="s">
        <v>116</v>
      </c>
      <c r="D321" s="58">
        <v>23</v>
      </c>
      <c r="E321" s="57">
        <v>1E-3</v>
      </c>
    </row>
    <row r="322" spans="2:5">
      <c r="B322" s="95"/>
      <c r="C322" s="55" t="s">
        <v>117</v>
      </c>
      <c r="D322" s="58">
        <v>1</v>
      </c>
      <c r="E322" s="57">
        <v>0</v>
      </c>
    </row>
    <row r="323" spans="2:5">
      <c r="B323" s="95"/>
      <c r="C323" s="55" t="s">
        <v>118</v>
      </c>
      <c r="D323" s="58">
        <v>4</v>
      </c>
      <c r="E323" s="57">
        <v>0</v>
      </c>
    </row>
    <row r="324" spans="2:5">
      <c r="B324" s="95"/>
      <c r="C324" s="55" t="s">
        <v>119</v>
      </c>
      <c r="D324" s="58">
        <v>4</v>
      </c>
      <c r="E324" s="57">
        <v>0</v>
      </c>
    </row>
    <row r="325" spans="2:5">
      <c r="B325" s="95"/>
      <c r="C325" s="55" t="s">
        <v>120</v>
      </c>
      <c r="D325" s="58">
        <v>16</v>
      </c>
      <c r="E325" s="57">
        <v>1E-3</v>
      </c>
    </row>
    <row r="326" spans="2:5">
      <c r="B326" s="95"/>
      <c r="C326" s="55" t="s">
        <v>121</v>
      </c>
      <c r="D326" s="58">
        <v>19</v>
      </c>
      <c r="E326" s="57">
        <v>1E-3</v>
      </c>
    </row>
    <row r="327" spans="2:5">
      <c r="B327" s="95"/>
      <c r="C327" s="55" t="s">
        <v>122</v>
      </c>
      <c r="D327" s="58">
        <v>2</v>
      </c>
      <c r="E327" s="57">
        <v>0</v>
      </c>
    </row>
    <row r="328" spans="2:5">
      <c r="B328" s="95"/>
      <c r="C328" s="55" t="s">
        <v>123</v>
      </c>
      <c r="D328" s="58">
        <v>46</v>
      </c>
      <c r="E328" s="57">
        <v>3.0000000000000001E-3</v>
      </c>
    </row>
    <row r="329" spans="2:5">
      <c r="B329" s="95"/>
      <c r="C329" s="55" t="s">
        <v>124</v>
      </c>
      <c r="D329" s="58">
        <v>12</v>
      </c>
      <c r="E329" s="57">
        <v>1E-3</v>
      </c>
    </row>
    <row r="330" spans="2:5" ht="15" customHeight="1">
      <c r="B330" s="95"/>
      <c r="C330" s="55" t="s">
        <v>125</v>
      </c>
      <c r="D330" s="58">
        <v>4</v>
      </c>
      <c r="E330" s="57">
        <v>0</v>
      </c>
    </row>
    <row r="331" spans="2:5">
      <c r="B331" s="95"/>
      <c r="C331" s="55" t="s">
        <v>126</v>
      </c>
      <c r="D331" s="58">
        <v>4</v>
      </c>
      <c r="E331" s="57">
        <v>0</v>
      </c>
    </row>
    <row r="332" spans="2:5">
      <c r="B332" s="95"/>
      <c r="C332" s="55" t="s">
        <v>127</v>
      </c>
      <c r="D332" s="58">
        <v>5</v>
      </c>
      <c r="E332" s="57">
        <v>0</v>
      </c>
    </row>
    <row r="333" spans="2:5">
      <c r="B333" s="95"/>
      <c r="C333" s="55" t="s">
        <v>128</v>
      </c>
      <c r="D333" s="58">
        <v>4</v>
      </c>
      <c r="E333" s="57">
        <v>0</v>
      </c>
    </row>
    <row r="334" spans="2:5">
      <c r="B334" s="95"/>
      <c r="C334" s="55" t="s">
        <v>130</v>
      </c>
      <c r="D334" s="58">
        <v>3</v>
      </c>
      <c r="E334" s="57">
        <v>0</v>
      </c>
    </row>
    <row r="335" spans="2:5">
      <c r="B335" s="95"/>
      <c r="C335" s="55" t="s">
        <v>132</v>
      </c>
      <c r="D335" s="58">
        <v>4</v>
      </c>
      <c r="E335" s="57">
        <v>0</v>
      </c>
    </row>
    <row r="336" spans="2:5">
      <c r="B336" s="95"/>
      <c r="C336" s="55" t="s">
        <v>133</v>
      </c>
      <c r="D336" s="58">
        <v>77</v>
      </c>
      <c r="E336" s="57">
        <v>5.0000000000000001E-3</v>
      </c>
    </row>
    <row r="337" spans="2:5">
      <c r="B337" s="95"/>
      <c r="C337" s="55" t="s">
        <v>134</v>
      </c>
      <c r="D337" s="58">
        <v>12</v>
      </c>
      <c r="E337" s="57">
        <v>1E-3</v>
      </c>
    </row>
    <row r="338" spans="2:5">
      <c r="B338" s="95"/>
      <c r="C338" s="55" t="s">
        <v>135</v>
      </c>
      <c r="D338" s="58">
        <v>3</v>
      </c>
      <c r="E338" s="57">
        <v>0</v>
      </c>
    </row>
    <row r="339" spans="2:5">
      <c r="B339" s="95"/>
      <c r="C339" s="55" t="s">
        <v>74</v>
      </c>
      <c r="D339" s="58">
        <v>6</v>
      </c>
      <c r="E339" s="57">
        <v>0</v>
      </c>
    </row>
    <row r="340" spans="2:5">
      <c r="B340" s="95"/>
      <c r="C340" s="55" t="s">
        <v>136</v>
      </c>
      <c r="D340" s="58">
        <v>6</v>
      </c>
      <c r="E340" s="57">
        <v>0</v>
      </c>
    </row>
    <row r="341" spans="2:5">
      <c r="B341" s="95"/>
      <c r="C341" s="55" t="s">
        <v>137</v>
      </c>
      <c r="D341" s="58">
        <v>1</v>
      </c>
      <c r="E341" s="57">
        <v>0</v>
      </c>
    </row>
    <row r="342" spans="2:5">
      <c r="B342" s="95"/>
      <c r="C342" s="72" t="s">
        <v>284</v>
      </c>
      <c r="D342" s="73">
        <v>595</v>
      </c>
      <c r="E342" s="71">
        <v>3.9E-2</v>
      </c>
    </row>
    <row r="343" spans="2:5" ht="24" customHeight="1">
      <c r="B343" s="95" t="s">
        <v>187</v>
      </c>
      <c r="C343" s="55" t="s">
        <v>95</v>
      </c>
      <c r="D343" s="58">
        <v>36</v>
      </c>
      <c r="E343" s="57">
        <v>2E-3</v>
      </c>
    </row>
    <row r="344" spans="2:5">
      <c r="B344" s="95"/>
      <c r="C344" s="55" t="s">
        <v>96</v>
      </c>
      <c r="D344" s="58">
        <v>115</v>
      </c>
      <c r="E344" s="57">
        <v>7.0000000000000001E-3</v>
      </c>
    </row>
    <row r="345" spans="2:5">
      <c r="B345" s="95"/>
      <c r="C345" s="55" t="s">
        <v>97</v>
      </c>
      <c r="D345" s="58">
        <v>32</v>
      </c>
      <c r="E345" s="57">
        <v>2E-3</v>
      </c>
    </row>
    <row r="346" spans="2:5">
      <c r="B346" s="95"/>
      <c r="C346" s="55" t="s">
        <v>98</v>
      </c>
      <c r="D346" s="56">
        <v>1394</v>
      </c>
      <c r="E346" s="57">
        <v>0.09</v>
      </c>
    </row>
    <row r="347" spans="2:5">
      <c r="B347" s="95"/>
      <c r="C347" s="55" t="s">
        <v>99</v>
      </c>
      <c r="D347" s="58">
        <v>74</v>
      </c>
      <c r="E347" s="57">
        <v>5.0000000000000001E-3</v>
      </c>
    </row>
    <row r="348" spans="2:5">
      <c r="B348" s="95"/>
      <c r="C348" s="55" t="s">
        <v>100</v>
      </c>
      <c r="D348" s="58">
        <v>29</v>
      </c>
      <c r="E348" s="57">
        <v>2E-3</v>
      </c>
    </row>
    <row r="349" spans="2:5">
      <c r="B349" s="95"/>
      <c r="C349" s="55" t="s">
        <v>101</v>
      </c>
      <c r="D349" s="58">
        <v>23</v>
      </c>
      <c r="E349" s="57">
        <v>1E-3</v>
      </c>
    </row>
    <row r="350" spans="2:5">
      <c r="B350" s="95"/>
      <c r="C350" s="55" t="s">
        <v>102</v>
      </c>
      <c r="D350" s="58">
        <v>2</v>
      </c>
      <c r="E350" s="57">
        <v>0</v>
      </c>
    </row>
    <row r="351" spans="2:5">
      <c r="B351" s="95"/>
      <c r="C351" s="55" t="s">
        <v>103</v>
      </c>
      <c r="D351" s="58">
        <v>91</v>
      </c>
      <c r="E351" s="57">
        <v>6.0000000000000001E-3</v>
      </c>
    </row>
    <row r="352" spans="2:5">
      <c r="B352" s="95"/>
      <c r="C352" s="55" t="s">
        <v>104</v>
      </c>
      <c r="D352" s="58">
        <v>151</v>
      </c>
      <c r="E352" s="57">
        <v>0.01</v>
      </c>
    </row>
    <row r="353" spans="2:5">
      <c r="B353" s="95"/>
      <c r="C353" s="55" t="s">
        <v>255</v>
      </c>
      <c r="D353" s="58">
        <v>1</v>
      </c>
      <c r="E353" s="57">
        <v>0</v>
      </c>
    </row>
    <row r="354" spans="2:5">
      <c r="B354" s="95"/>
      <c r="C354" s="55" t="s">
        <v>105</v>
      </c>
      <c r="D354" s="58">
        <v>14</v>
      </c>
      <c r="E354" s="57">
        <v>1E-3</v>
      </c>
    </row>
    <row r="355" spans="2:5">
      <c r="B355" s="95"/>
      <c r="C355" s="55" t="s">
        <v>106</v>
      </c>
      <c r="D355" s="56">
        <v>1169</v>
      </c>
      <c r="E355" s="57">
        <v>7.5999999999999998E-2</v>
      </c>
    </row>
    <row r="356" spans="2:5">
      <c r="B356" s="95"/>
      <c r="C356" s="55" t="s">
        <v>107</v>
      </c>
      <c r="D356" s="58">
        <v>138</v>
      </c>
      <c r="E356" s="57">
        <v>8.9999999999999993E-3</v>
      </c>
    </row>
    <row r="357" spans="2:5">
      <c r="B357" s="95"/>
      <c r="C357" s="55" t="s">
        <v>108</v>
      </c>
      <c r="D357" s="58">
        <v>31</v>
      </c>
      <c r="E357" s="57">
        <v>2E-3</v>
      </c>
    </row>
    <row r="358" spans="2:5">
      <c r="B358" s="95"/>
      <c r="C358" s="55" t="s">
        <v>109</v>
      </c>
      <c r="D358" s="58">
        <v>13</v>
      </c>
      <c r="E358" s="57">
        <v>1E-3</v>
      </c>
    </row>
    <row r="359" spans="2:5">
      <c r="B359" s="95"/>
      <c r="C359" s="55" t="s">
        <v>110</v>
      </c>
      <c r="D359" s="58">
        <v>32</v>
      </c>
      <c r="E359" s="57">
        <v>2E-3</v>
      </c>
    </row>
    <row r="360" spans="2:5">
      <c r="B360" s="95"/>
      <c r="C360" s="55" t="s">
        <v>111</v>
      </c>
      <c r="D360" s="58">
        <v>3</v>
      </c>
      <c r="E360" s="57">
        <v>0</v>
      </c>
    </row>
    <row r="361" spans="2:5">
      <c r="B361" s="95"/>
      <c r="C361" s="55" t="s">
        <v>113</v>
      </c>
      <c r="D361" s="58">
        <v>11</v>
      </c>
      <c r="E361" s="57">
        <v>1E-3</v>
      </c>
    </row>
    <row r="362" spans="2:5">
      <c r="B362" s="95"/>
      <c r="C362" s="55" t="s">
        <v>114</v>
      </c>
      <c r="D362" s="58">
        <v>1</v>
      </c>
      <c r="E362" s="57">
        <v>0</v>
      </c>
    </row>
    <row r="363" spans="2:5">
      <c r="B363" s="95"/>
      <c r="C363" s="55" t="s">
        <v>115</v>
      </c>
      <c r="D363" s="58">
        <v>49</v>
      </c>
      <c r="E363" s="57">
        <v>3.0000000000000001E-3</v>
      </c>
    </row>
    <row r="364" spans="2:5">
      <c r="B364" s="95"/>
      <c r="C364" s="55" t="s">
        <v>116</v>
      </c>
      <c r="D364" s="58">
        <v>414</v>
      </c>
      <c r="E364" s="57">
        <v>2.7E-2</v>
      </c>
    </row>
    <row r="365" spans="2:5">
      <c r="B365" s="95"/>
      <c r="C365" s="55" t="s">
        <v>117</v>
      </c>
      <c r="D365" s="58">
        <v>10</v>
      </c>
      <c r="E365" s="57">
        <v>1E-3</v>
      </c>
    </row>
    <row r="366" spans="2:5">
      <c r="B366" s="95"/>
      <c r="C366" s="55" t="s">
        <v>118</v>
      </c>
      <c r="D366" s="58">
        <v>26</v>
      </c>
      <c r="E366" s="57">
        <v>2E-3</v>
      </c>
    </row>
    <row r="367" spans="2:5">
      <c r="B367" s="95"/>
      <c r="C367" s="55" t="s">
        <v>119</v>
      </c>
      <c r="D367" s="58">
        <v>24</v>
      </c>
      <c r="E367" s="57">
        <v>2E-3</v>
      </c>
    </row>
    <row r="368" spans="2:5">
      <c r="B368" s="95"/>
      <c r="C368" s="55" t="s">
        <v>120</v>
      </c>
      <c r="D368" s="58">
        <v>105</v>
      </c>
      <c r="E368" s="57">
        <v>7.0000000000000001E-3</v>
      </c>
    </row>
    <row r="369" spans="2:5">
      <c r="B369" s="95"/>
      <c r="C369" s="55" t="s">
        <v>256</v>
      </c>
      <c r="D369" s="58">
        <v>1</v>
      </c>
      <c r="E369" s="57">
        <v>0</v>
      </c>
    </row>
    <row r="370" spans="2:5">
      <c r="B370" s="95"/>
      <c r="C370" s="55" t="s">
        <v>121</v>
      </c>
      <c r="D370" s="58">
        <v>139</v>
      </c>
      <c r="E370" s="57">
        <v>8.9999999999999993E-3</v>
      </c>
    </row>
    <row r="371" spans="2:5">
      <c r="B371" s="95"/>
      <c r="C371" s="55" t="s">
        <v>122</v>
      </c>
      <c r="D371" s="58">
        <v>5</v>
      </c>
      <c r="E371" s="57">
        <v>0</v>
      </c>
    </row>
    <row r="372" spans="2:5">
      <c r="B372" s="95"/>
      <c r="C372" s="55" t="s">
        <v>123</v>
      </c>
      <c r="D372" s="58">
        <v>441</v>
      </c>
      <c r="E372" s="57">
        <v>2.9000000000000001E-2</v>
      </c>
    </row>
    <row r="373" spans="2:5">
      <c r="B373" s="95"/>
      <c r="C373" s="55" t="s">
        <v>124</v>
      </c>
      <c r="D373" s="58">
        <v>121</v>
      </c>
      <c r="E373" s="57">
        <v>8.0000000000000002E-3</v>
      </c>
    </row>
    <row r="374" spans="2:5">
      <c r="B374" s="95"/>
      <c r="C374" s="55" t="s">
        <v>125</v>
      </c>
      <c r="D374" s="58">
        <v>23</v>
      </c>
      <c r="E374" s="57">
        <v>1E-3</v>
      </c>
    </row>
    <row r="375" spans="2:5">
      <c r="B375" s="95"/>
      <c r="C375" s="55" t="s">
        <v>126</v>
      </c>
      <c r="D375" s="58">
        <v>34</v>
      </c>
      <c r="E375" s="57">
        <v>2E-3</v>
      </c>
    </row>
    <row r="376" spans="2:5" ht="15" customHeight="1">
      <c r="B376" s="95"/>
      <c r="C376" s="55" t="s">
        <v>127</v>
      </c>
      <c r="D376" s="58">
        <v>18</v>
      </c>
      <c r="E376" s="57">
        <v>1E-3</v>
      </c>
    </row>
    <row r="377" spans="2:5">
      <c r="B377" s="95"/>
      <c r="C377" s="55" t="s">
        <v>128</v>
      </c>
      <c r="D377" s="58">
        <v>46</v>
      </c>
      <c r="E377" s="57">
        <v>3.0000000000000001E-3</v>
      </c>
    </row>
    <row r="378" spans="2:5">
      <c r="B378" s="95"/>
      <c r="C378" s="55" t="s">
        <v>129</v>
      </c>
      <c r="D378" s="58">
        <v>1</v>
      </c>
      <c r="E378" s="57">
        <v>0</v>
      </c>
    </row>
    <row r="379" spans="2:5">
      <c r="B379" s="95"/>
      <c r="C379" s="55" t="s">
        <v>130</v>
      </c>
      <c r="D379" s="58">
        <v>54</v>
      </c>
      <c r="E379" s="57">
        <v>3.0000000000000001E-3</v>
      </c>
    </row>
    <row r="380" spans="2:5">
      <c r="B380" s="95"/>
      <c r="C380" s="55" t="s">
        <v>131</v>
      </c>
      <c r="D380" s="58">
        <v>3</v>
      </c>
      <c r="E380" s="57">
        <v>0</v>
      </c>
    </row>
    <row r="381" spans="2:5">
      <c r="B381" s="95"/>
      <c r="C381" s="55" t="s">
        <v>132</v>
      </c>
      <c r="D381" s="58">
        <v>56</v>
      </c>
      <c r="E381" s="57">
        <v>4.0000000000000001E-3</v>
      </c>
    </row>
    <row r="382" spans="2:5">
      <c r="B382" s="95"/>
      <c r="C382" s="55" t="s">
        <v>133</v>
      </c>
      <c r="D382" s="58">
        <v>615</v>
      </c>
      <c r="E382" s="57">
        <v>0.04</v>
      </c>
    </row>
    <row r="383" spans="2:5">
      <c r="B383" s="95"/>
      <c r="C383" s="55" t="s">
        <v>134</v>
      </c>
      <c r="D383" s="58">
        <v>58</v>
      </c>
      <c r="E383" s="57">
        <v>4.0000000000000001E-3</v>
      </c>
    </row>
    <row r="384" spans="2:5">
      <c r="B384" s="95"/>
      <c r="C384" s="55" t="s">
        <v>135</v>
      </c>
      <c r="D384" s="58">
        <v>37</v>
      </c>
      <c r="E384" s="57">
        <v>2E-3</v>
      </c>
    </row>
    <row r="385" spans="2:5">
      <c r="B385" s="95"/>
      <c r="C385" s="55" t="s">
        <v>74</v>
      </c>
      <c r="D385" s="58">
        <v>22</v>
      </c>
      <c r="E385" s="57">
        <v>1E-3</v>
      </c>
    </row>
    <row r="386" spans="2:5">
      <c r="B386" s="95"/>
      <c r="C386" s="55" t="s">
        <v>136</v>
      </c>
      <c r="D386" s="58">
        <v>55</v>
      </c>
      <c r="E386" s="57">
        <v>4.0000000000000001E-3</v>
      </c>
    </row>
    <row r="387" spans="2:5">
      <c r="B387" s="95"/>
      <c r="C387" s="55" t="s">
        <v>137</v>
      </c>
      <c r="D387" s="58">
        <v>3</v>
      </c>
      <c r="E387" s="57">
        <v>0</v>
      </c>
    </row>
    <row r="388" spans="2:5" ht="14.45" customHeight="1">
      <c r="B388" s="95"/>
      <c r="C388" s="72" t="s">
        <v>284</v>
      </c>
      <c r="D388" s="69">
        <v>5720</v>
      </c>
      <c r="E388" s="71">
        <v>0.37</v>
      </c>
    </row>
    <row r="389" spans="2:5">
      <c r="B389" s="95" t="s">
        <v>188</v>
      </c>
      <c r="C389" s="55" t="s">
        <v>96</v>
      </c>
      <c r="D389" s="58">
        <v>14</v>
      </c>
      <c r="E389" s="57">
        <v>1E-3</v>
      </c>
    </row>
    <row r="390" spans="2:5">
      <c r="B390" s="95"/>
      <c r="C390" s="55" t="s">
        <v>97</v>
      </c>
      <c r="D390" s="58">
        <v>1</v>
      </c>
      <c r="E390" s="57">
        <v>0</v>
      </c>
    </row>
    <row r="391" spans="2:5">
      <c r="B391" s="95"/>
      <c r="C391" s="55" t="s">
        <v>98</v>
      </c>
      <c r="D391" s="58">
        <v>94</v>
      </c>
      <c r="E391" s="57">
        <v>6.0000000000000001E-3</v>
      </c>
    </row>
    <row r="392" spans="2:5">
      <c r="B392" s="95"/>
      <c r="C392" s="55" t="s">
        <v>99</v>
      </c>
      <c r="D392" s="58">
        <v>1</v>
      </c>
      <c r="E392" s="57">
        <v>0</v>
      </c>
    </row>
    <row r="393" spans="2:5">
      <c r="B393" s="95"/>
      <c r="C393" s="55" t="s">
        <v>101</v>
      </c>
      <c r="D393" s="58">
        <v>1</v>
      </c>
      <c r="E393" s="57">
        <v>0</v>
      </c>
    </row>
    <row r="394" spans="2:5">
      <c r="B394" s="95"/>
      <c r="C394" s="55" t="s">
        <v>103</v>
      </c>
      <c r="D394" s="58">
        <v>5</v>
      </c>
      <c r="E394" s="57">
        <v>0</v>
      </c>
    </row>
    <row r="395" spans="2:5">
      <c r="B395" s="95"/>
      <c r="C395" s="55" t="s">
        <v>104</v>
      </c>
      <c r="D395" s="58">
        <v>5</v>
      </c>
      <c r="E395" s="57">
        <v>0</v>
      </c>
    </row>
    <row r="396" spans="2:5">
      <c r="B396" s="95"/>
      <c r="C396" s="55" t="s">
        <v>106</v>
      </c>
      <c r="D396" s="58">
        <v>51</v>
      </c>
      <c r="E396" s="57">
        <v>3.0000000000000001E-3</v>
      </c>
    </row>
    <row r="397" spans="2:5">
      <c r="B397" s="95"/>
      <c r="C397" s="55" t="s">
        <v>107</v>
      </c>
      <c r="D397" s="58">
        <v>9</v>
      </c>
      <c r="E397" s="57">
        <v>1E-3</v>
      </c>
    </row>
    <row r="398" spans="2:5">
      <c r="B398" s="95"/>
      <c r="C398" s="55" t="s">
        <v>108</v>
      </c>
      <c r="D398" s="58">
        <v>1</v>
      </c>
      <c r="E398" s="57">
        <v>0</v>
      </c>
    </row>
    <row r="399" spans="2:5">
      <c r="B399" s="95"/>
      <c r="C399" s="55" t="s">
        <v>109</v>
      </c>
      <c r="D399" s="58">
        <v>1</v>
      </c>
      <c r="E399" s="57">
        <v>0</v>
      </c>
    </row>
    <row r="400" spans="2:5">
      <c r="B400" s="95"/>
      <c r="C400" s="55" t="s">
        <v>110</v>
      </c>
      <c r="D400" s="58">
        <v>1</v>
      </c>
      <c r="E400" s="57">
        <v>0</v>
      </c>
    </row>
    <row r="401" spans="2:5">
      <c r="B401" s="95"/>
      <c r="C401" s="55" t="s">
        <v>114</v>
      </c>
      <c r="D401" s="58">
        <v>1</v>
      </c>
      <c r="E401" s="57">
        <v>0</v>
      </c>
    </row>
    <row r="402" spans="2:5">
      <c r="B402" s="95"/>
      <c r="C402" s="55" t="s">
        <v>115</v>
      </c>
      <c r="D402" s="58">
        <v>1</v>
      </c>
      <c r="E402" s="57">
        <v>0</v>
      </c>
    </row>
    <row r="403" spans="2:5">
      <c r="B403" s="95"/>
      <c r="C403" s="55" t="s">
        <v>116</v>
      </c>
      <c r="D403" s="58">
        <v>19</v>
      </c>
      <c r="E403" s="57">
        <v>1E-3</v>
      </c>
    </row>
    <row r="404" spans="2:5">
      <c r="B404" s="95"/>
      <c r="C404" s="55" t="s">
        <v>117</v>
      </c>
      <c r="D404" s="58">
        <v>1</v>
      </c>
      <c r="E404" s="57">
        <v>0</v>
      </c>
    </row>
    <row r="405" spans="2:5">
      <c r="B405" s="95"/>
      <c r="C405" s="55" t="s">
        <v>118</v>
      </c>
      <c r="D405" s="58">
        <v>2</v>
      </c>
      <c r="E405" s="57">
        <v>0</v>
      </c>
    </row>
    <row r="406" spans="2:5">
      <c r="B406" s="95"/>
      <c r="C406" s="55" t="s">
        <v>120</v>
      </c>
      <c r="D406" s="58">
        <v>10</v>
      </c>
      <c r="E406" s="57">
        <v>1E-3</v>
      </c>
    </row>
    <row r="407" spans="2:5" ht="15" customHeight="1">
      <c r="B407" s="95"/>
      <c r="C407" s="55" t="s">
        <v>121</v>
      </c>
      <c r="D407" s="58">
        <v>3</v>
      </c>
      <c r="E407" s="57">
        <v>0</v>
      </c>
    </row>
    <row r="408" spans="2:5">
      <c r="B408" s="95"/>
      <c r="C408" s="55" t="s">
        <v>122</v>
      </c>
      <c r="D408" s="58">
        <v>2</v>
      </c>
      <c r="E408" s="57">
        <v>0</v>
      </c>
    </row>
    <row r="409" spans="2:5">
      <c r="B409" s="95"/>
      <c r="C409" s="55" t="s">
        <v>123</v>
      </c>
      <c r="D409" s="58">
        <v>8</v>
      </c>
      <c r="E409" s="57">
        <v>1E-3</v>
      </c>
    </row>
    <row r="410" spans="2:5">
      <c r="B410" s="95"/>
      <c r="C410" s="55" t="s">
        <v>124</v>
      </c>
      <c r="D410" s="58">
        <v>6</v>
      </c>
      <c r="E410" s="57">
        <v>0</v>
      </c>
    </row>
    <row r="411" spans="2:5">
      <c r="B411" s="95"/>
      <c r="C411" s="55" t="s">
        <v>126</v>
      </c>
      <c r="D411" s="58">
        <v>4</v>
      </c>
      <c r="E411" s="57">
        <v>0</v>
      </c>
    </row>
    <row r="412" spans="2:5">
      <c r="B412" s="95"/>
      <c r="C412" s="55" t="s">
        <v>127</v>
      </c>
      <c r="D412" s="58">
        <v>1</v>
      </c>
      <c r="E412" s="57">
        <v>0</v>
      </c>
    </row>
    <row r="413" spans="2:5">
      <c r="B413" s="95"/>
      <c r="C413" s="55" t="s">
        <v>130</v>
      </c>
      <c r="D413" s="58">
        <v>1</v>
      </c>
      <c r="E413" s="57">
        <v>0</v>
      </c>
    </row>
    <row r="414" spans="2:5">
      <c r="B414" s="95"/>
      <c r="C414" s="55" t="s">
        <v>132</v>
      </c>
      <c r="D414" s="58">
        <v>5</v>
      </c>
      <c r="E414" s="57">
        <v>0</v>
      </c>
    </row>
    <row r="415" spans="2:5">
      <c r="B415" s="95"/>
      <c r="C415" s="55" t="s">
        <v>133</v>
      </c>
      <c r="D415" s="58">
        <v>25</v>
      </c>
      <c r="E415" s="57">
        <v>2E-3</v>
      </c>
    </row>
    <row r="416" spans="2:5">
      <c r="B416" s="95"/>
      <c r="C416" s="55" t="s">
        <v>135</v>
      </c>
      <c r="D416" s="58">
        <v>1</v>
      </c>
      <c r="E416" s="57">
        <v>0</v>
      </c>
    </row>
    <row r="417" spans="2:5">
      <c r="B417" s="95"/>
      <c r="C417" s="55" t="s">
        <v>74</v>
      </c>
      <c r="D417" s="58">
        <v>2</v>
      </c>
      <c r="E417" s="57">
        <v>0</v>
      </c>
    </row>
    <row r="418" spans="2:5">
      <c r="B418" s="95"/>
      <c r="C418" s="55" t="s">
        <v>136</v>
      </c>
      <c r="D418" s="58">
        <v>1</v>
      </c>
      <c r="E418" s="57">
        <v>0</v>
      </c>
    </row>
    <row r="419" spans="2:5">
      <c r="B419" s="95"/>
      <c r="C419" s="72" t="s">
        <v>284</v>
      </c>
      <c r="D419" s="73">
        <v>277</v>
      </c>
      <c r="E419" s="71">
        <v>1.7999999999999999E-2</v>
      </c>
    </row>
    <row r="420" spans="2:5" ht="14.45" customHeight="1">
      <c r="B420" s="95" t="s">
        <v>189</v>
      </c>
      <c r="C420" s="55" t="s">
        <v>95</v>
      </c>
      <c r="D420" s="58">
        <v>6</v>
      </c>
      <c r="E420" s="57">
        <v>0</v>
      </c>
    </row>
    <row r="421" spans="2:5">
      <c r="B421" s="95"/>
      <c r="C421" s="55" t="s">
        <v>96</v>
      </c>
      <c r="D421" s="58">
        <v>22</v>
      </c>
      <c r="E421" s="57">
        <v>1E-3</v>
      </c>
    </row>
    <row r="422" spans="2:5">
      <c r="B422" s="95"/>
      <c r="C422" s="55" t="s">
        <v>97</v>
      </c>
      <c r="D422" s="58">
        <v>11</v>
      </c>
      <c r="E422" s="57">
        <v>1E-3</v>
      </c>
    </row>
    <row r="423" spans="2:5">
      <c r="B423" s="95"/>
      <c r="C423" s="55" t="s">
        <v>98</v>
      </c>
      <c r="D423" s="58">
        <v>293</v>
      </c>
      <c r="E423" s="57">
        <v>1.9E-2</v>
      </c>
    </row>
    <row r="424" spans="2:5">
      <c r="B424" s="95"/>
      <c r="C424" s="55" t="s">
        <v>99</v>
      </c>
      <c r="D424" s="58">
        <v>10</v>
      </c>
      <c r="E424" s="57">
        <v>1E-3</v>
      </c>
    </row>
    <row r="425" spans="2:5">
      <c r="B425" s="95"/>
      <c r="C425" s="55" t="s">
        <v>100</v>
      </c>
      <c r="D425" s="58">
        <v>6</v>
      </c>
      <c r="E425" s="57">
        <v>0</v>
      </c>
    </row>
    <row r="426" spans="2:5">
      <c r="B426" s="95"/>
      <c r="C426" s="55" t="s">
        <v>101</v>
      </c>
      <c r="D426" s="58">
        <v>4</v>
      </c>
      <c r="E426" s="57">
        <v>0</v>
      </c>
    </row>
    <row r="427" spans="2:5">
      <c r="B427" s="95"/>
      <c r="C427" s="55" t="s">
        <v>102</v>
      </c>
      <c r="D427" s="58">
        <v>1</v>
      </c>
      <c r="E427" s="57">
        <v>0</v>
      </c>
    </row>
    <row r="428" spans="2:5">
      <c r="B428" s="95"/>
      <c r="C428" s="55" t="s">
        <v>103</v>
      </c>
      <c r="D428" s="58">
        <v>10</v>
      </c>
      <c r="E428" s="57">
        <v>1E-3</v>
      </c>
    </row>
    <row r="429" spans="2:5">
      <c r="B429" s="95"/>
      <c r="C429" s="55" t="s">
        <v>104</v>
      </c>
      <c r="D429" s="58">
        <v>16</v>
      </c>
      <c r="E429" s="57">
        <v>1E-3</v>
      </c>
    </row>
    <row r="430" spans="2:5">
      <c r="B430" s="95"/>
      <c r="C430" s="55" t="s">
        <v>105</v>
      </c>
      <c r="D430" s="58">
        <v>3</v>
      </c>
      <c r="E430" s="57">
        <v>0</v>
      </c>
    </row>
    <row r="431" spans="2:5">
      <c r="B431" s="95"/>
      <c r="C431" s="55" t="s">
        <v>106</v>
      </c>
      <c r="D431" s="58">
        <v>104</v>
      </c>
      <c r="E431" s="57">
        <v>7.0000000000000001E-3</v>
      </c>
    </row>
    <row r="432" spans="2:5">
      <c r="B432" s="95"/>
      <c r="C432" s="55" t="s">
        <v>107</v>
      </c>
      <c r="D432" s="58">
        <v>20</v>
      </c>
      <c r="E432" s="57">
        <v>1E-3</v>
      </c>
    </row>
    <row r="433" spans="2:5">
      <c r="B433" s="95"/>
      <c r="C433" s="55" t="s">
        <v>108</v>
      </c>
      <c r="D433" s="58">
        <v>5</v>
      </c>
      <c r="E433" s="57">
        <v>0</v>
      </c>
    </row>
    <row r="434" spans="2:5">
      <c r="B434" s="95"/>
      <c r="C434" s="55" t="s">
        <v>109</v>
      </c>
      <c r="D434" s="58">
        <v>3</v>
      </c>
      <c r="E434" s="57">
        <v>0</v>
      </c>
    </row>
    <row r="435" spans="2:5">
      <c r="B435" s="95"/>
      <c r="C435" s="55" t="s">
        <v>110</v>
      </c>
      <c r="D435" s="58">
        <v>3</v>
      </c>
      <c r="E435" s="57">
        <v>0</v>
      </c>
    </row>
    <row r="436" spans="2:5">
      <c r="B436" s="95"/>
      <c r="C436" s="55" t="s">
        <v>111</v>
      </c>
      <c r="D436" s="58">
        <v>2</v>
      </c>
      <c r="E436" s="57">
        <v>0</v>
      </c>
    </row>
    <row r="437" spans="2:5">
      <c r="B437" s="95"/>
      <c r="C437" s="55" t="s">
        <v>113</v>
      </c>
      <c r="D437" s="58">
        <v>3</v>
      </c>
      <c r="E437" s="57">
        <v>0</v>
      </c>
    </row>
    <row r="438" spans="2:5">
      <c r="B438" s="95"/>
      <c r="C438" s="55" t="s">
        <v>115</v>
      </c>
      <c r="D438" s="58">
        <v>15</v>
      </c>
      <c r="E438" s="57">
        <v>1E-3</v>
      </c>
    </row>
    <row r="439" spans="2:5">
      <c r="B439" s="95"/>
      <c r="C439" s="55" t="s">
        <v>116</v>
      </c>
      <c r="D439" s="58">
        <v>50</v>
      </c>
      <c r="E439" s="57">
        <v>3.0000000000000001E-3</v>
      </c>
    </row>
    <row r="440" spans="2:5">
      <c r="B440" s="95"/>
      <c r="C440" s="55" t="s">
        <v>117</v>
      </c>
      <c r="D440" s="58">
        <v>1</v>
      </c>
      <c r="E440" s="57">
        <v>0</v>
      </c>
    </row>
    <row r="441" spans="2:5">
      <c r="B441" s="95"/>
      <c r="C441" s="55" t="s">
        <v>118</v>
      </c>
      <c r="D441" s="58">
        <v>3</v>
      </c>
      <c r="E441" s="57">
        <v>0</v>
      </c>
    </row>
    <row r="442" spans="2:5">
      <c r="B442" s="95"/>
      <c r="C442" s="55" t="s">
        <v>119</v>
      </c>
      <c r="D442" s="58">
        <v>2</v>
      </c>
      <c r="E442" s="57">
        <v>0</v>
      </c>
    </row>
    <row r="443" spans="2:5">
      <c r="B443" s="95"/>
      <c r="C443" s="55" t="s">
        <v>120</v>
      </c>
      <c r="D443" s="58">
        <v>14</v>
      </c>
      <c r="E443" s="57">
        <v>1E-3</v>
      </c>
    </row>
    <row r="444" spans="2:5">
      <c r="B444" s="95"/>
      <c r="C444" s="55" t="s">
        <v>121</v>
      </c>
      <c r="D444" s="58">
        <v>19</v>
      </c>
      <c r="E444" s="57">
        <v>1E-3</v>
      </c>
    </row>
    <row r="445" spans="2:5">
      <c r="B445" s="95"/>
      <c r="C445" s="55" t="s">
        <v>122</v>
      </c>
      <c r="D445" s="58">
        <v>1</v>
      </c>
      <c r="E445" s="57">
        <v>0</v>
      </c>
    </row>
    <row r="446" spans="2:5" ht="15" customHeight="1">
      <c r="B446" s="95"/>
      <c r="C446" s="55" t="s">
        <v>123</v>
      </c>
      <c r="D446" s="58">
        <v>41</v>
      </c>
      <c r="E446" s="57">
        <v>3.0000000000000001E-3</v>
      </c>
    </row>
    <row r="447" spans="2:5">
      <c r="B447" s="95"/>
      <c r="C447" s="55" t="s">
        <v>124</v>
      </c>
      <c r="D447" s="58">
        <v>14</v>
      </c>
      <c r="E447" s="57">
        <v>1E-3</v>
      </c>
    </row>
    <row r="448" spans="2:5">
      <c r="B448" s="95"/>
      <c r="C448" s="55" t="s">
        <v>125</v>
      </c>
      <c r="D448" s="58">
        <v>9</v>
      </c>
      <c r="E448" s="57">
        <v>1E-3</v>
      </c>
    </row>
    <row r="449" spans="2:5">
      <c r="B449" s="95"/>
      <c r="C449" s="55" t="s">
        <v>126</v>
      </c>
      <c r="D449" s="58">
        <v>5</v>
      </c>
      <c r="E449" s="57">
        <v>0</v>
      </c>
    </row>
    <row r="450" spans="2:5">
      <c r="B450" s="95"/>
      <c r="C450" s="55" t="s">
        <v>127</v>
      </c>
      <c r="D450" s="58">
        <v>6</v>
      </c>
      <c r="E450" s="57">
        <v>0</v>
      </c>
    </row>
    <row r="451" spans="2:5">
      <c r="B451" s="95"/>
      <c r="C451" s="55" t="s">
        <v>128</v>
      </c>
      <c r="D451" s="58">
        <v>3</v>
      </c>
      <c r="E451" s="57">
        <v>0</v>
      </c>
    </row>
    <row r="452" spans="2:5">
      <c r="B452" s="95"/>
      <c r="C452" s="55" t="s">
        <v>130</v>
      </c>
      <c r="D452" s="58">
        <v>12</v>
      </c>
      <c r="E452" s="57">
        <v>1E-3</v>
      </c>
    </row>
    <row r="453" spans="2:5">
      <c r="B453" s="95"/>
      <c r="C453" s="55" t="s">
        <v>132</v>
      </c>
      <c r="D453" s="58">
        <v>12</v>
      </c>
      <c r="E453" s="57">
        <v>1E-3</v>
      </c>
    </row>
    <row r="454" spans="2:5">
      <c r="B454" s="95"/>
      <c r="C454" s="55" t="s">
        <v>133</v>
      </c>
      <c r="D454" s="58">
        <v>129</v>
      </c>
      <c r="E454" s="57">
        <v>8.0000000000000002E-3</v>
      </c>
    </row>
    <row r="455" spans="2:5">
      <c r="B455" s="95"/>
      <c r="C455" s="55" t="s">
        <v>134</v>
      </c>
      <c r="D455" s="58">
        <v>8</v>
      </c>
      <c r="E455" s="57">
        <v>1E-3</v>
      </c>
    </row>
    <row r="456" spans="2:5">
      <c r="B456" s="95"/>
      <c r="C456" s="55" t="s">
        <v>135</v>
      </c>
      <c r="D456" s="58">
        <v>1</v>
      </c>
      <c r="E456" s="57">
        <v>0</v>
      </c>
    </row>
    <row r="457" spans="2:5">
      <c r="B457" s="95"/>
      <c r="C457" s="55" t="s">
        <v>74</v>
      </c>
      <c r="D457" s="58">
        <v>9</v>
      </c>
      <c r="E457" s="57">
        <v>1E-3</v>
      </c>
    </row>
    <row r="458" spans="2:5">
      <c r="B458" s="95"/>
      <c r="C458" s="55" t="s">
        <v>136</v>
      </c>
      <c r="D458" s="58">
        <v>4</v>
      </c>
      <c r="E458" s="57">
        <v>0</v>
      </c>
    </row>
    <row r="459" spans="2:5">
      <c r="B459" s="95"/>
      <c r="C459" s="55" t="s">
        <v>137</v>
      </c>
      <c r="D459" s="58">
        <v>1</v>
      </c>
      <c r="E459" s="57">
        <v>0</v>
      </c>
    </row>
    <row r="460" spans="2:5" ht="14.45" customHeight="1">
      <c r="B460" s="95"/>
      <c r="C460" s="72" t="s">
        <v>284</v>
      </c>
      <c r="D460" s="73">
        <v>881</v>
      </c>
      <c r="E460" s="71">
        <v>5.7000000000000002E-2</v>
      </c>
    </row>
    <row r="461" spans="2:5" ht="14.45" customHeight="1">
      <c r="B461" s="95" t="s">
        <v>190</v>
      </c>
      <c r="C461" s="55" t="s">
        <v>95</v>
      </c>
      <c r="D461" s="58">
        <v>30</v>
      </c>
      <c r="E461" s="57">
        <v>2E-3</v>
      </c>
    </row>
    <row r="462" spans="2:5">
      <c r="B462" s="95"/>
      <c r="C462" s="55" t="s">
        <v>96</v>
      </c>
      <c r="D462" s="58">
        <v>91</v>
      </c>
      <c r="E462" s="57">
        <v>6.0000000000000001E-3</v>
      </c>
    </row>
    <row r="463" spans="2:5">
      <c r="B463" s="95"/>
      <c r="C463" s="55" t="s">
        <v>97</v>
      </c>
      <c r="D463" s="58">
        <v>20</v>
      </c>
      <c r="E463" s="57">
        <v>1E-3</v>
      </c>
    </row>
    <row r="464" spans="2:5">
      <c r="B464" s="95"/>
      <c r="C464" s="55" t="s">
        <v>98</v>
      </c>
      <c r="D464" s="58">
        <v>987</v>
      </c>
      <c r="E464" s="57">
        <v>6.4000000000000001E-2</v>
      </c>
    </row>
    <row r="465" spans="2:5">
      <c r="B465" s="95"/>
      <c r="C465" s="55" t="s">
        <v>99</v>
      </c>
      <c r="D465" s="58">
        <v>40</v>
      </c>
      <c r="E465" s="57">
        <v>3.0000000000000001E-3</v>
      </c>
    </row>
    <row r="466" spans="2:5">
      <c r="B466" s="95"/>
      <c r="C466" s="55" t="s">
        <v>100</v>
      </c>
      <c r="D466" s="58">
        <v>18</v>
      </c>
      <c r="E466" s="57">
        <v>1E-3</v>
      </c>
    </row>
    <row r="467" spans="2:5">
      <c r="B467" s="95"/>
      <c r="C467" s="55" t="s">
        <v>101</v>
      </c>
      <c r="D467" s="58">
        <v>11</v>
      </c>
      <c r="E467" s="57">
        <v>1E-3</v>
      </c>
    </row>
    <row r="468" spans="2:5">
      <c r="B468" s="95"/>
      <c r="C468" s="55" t="s">
        <v>103</v>
      </c>
      <c r="D468" s="58">
        <v>48</v>
      </c>
      <c r="E468" s="57">
        <v>3.0000000000000001E-3</v>
      </c>
    </row>
    <row r="469" spans="2:5">
      <c r="B469" s="95"/>
      <c r="C469" s="55" t="s">
        <v>104</v>
      </c>
      <c r="D469" s="58">
        <v>55</v>
      </c>
      <c r="E469" s="57">
        <v>4.0000000000000001E-3</v>
      </c>
    </row>
    <row r="470" spans="2:5">
      <c r="B470" s="95"/>
      <c r="C470" s="55" t="s">
        <v>255</v>
      </c>
      <c r="D470" s="58">
        <v>1</v>
      </c>
      <c r="E470" s="57">
        <v>0</v>
      </c>
    </row>
    <row r="471" spans="2:5">
      <c r="B471" s="95"/>
      <c r="C471" s="55" t="s">
        <v>105</v>
      </c>
      <c r="D471" s="58">
        <v>15</v>
      </c>
      <c r="E471" s="57">
        <v>1E-3</v>
      </c>
    </row>
    <row r="472" spans="2:5">
      <c r="B472" s="95"/>
      <c r="C472" s="55" t="s">
        <v>106</v>
      </c>
      <c r="D472" s="58">
        <v>596</v>
      </c>
      <c r="E472" s="57">
        <v>3.9E-2</v>
      </c>
    </row>
    <row r="473" spans="2:5">
      <c r="B473" s="95"/>
      <c r="C473" s="55" t="s">
        <v>107</v>
      </c>
      <c r="D473" s="58">
        <v>74</v>
      </c>
      <c r="E473" s="57">
        <v>5.0000000000000001E-3</v>
      </c>
    </row>
    <row r="474" spans="2:5">
      <c r="B474" s="95"/>
      <c r="C474" s="55" t="s">
        <v>108</v>
      </c>
      <c r="D474" s="58">
        <v>22</v>
      </c>
      <c r="E474" s="57">
        <v>1E-3</v>
      </c>
    </row>
    <row r="475" spans="2:5">
      <c r="B475" s="95"/>
      <c r="C475" s="55" t="s">
        <v>109</v>
      </c>
      <c r="D475" s="58">
        <v>10</v>
      </c>
      <c r="E475" s="57">
        <v>1E-3</v>
      </c>
    </row>
    <row r="476" spans="2:5">
      <c r="B476" s="95"/>
      <c r="C476" s="55" t="s">
        <v>110</v>
      </c>
      <c r="D476" s="58">
        <v>16</v>
      </c>
      <c r="E476" s="57">
        <v>1E-3</v>
      </c>
    </row>
    <row r="477" spans="2:5">
      <c r="B477" s="95"/>
      <c r="C477" s="55" t="s">
        <v>111</v>
      </c>
      <c r="D477" s="58">
        <v>6</v>
      </c>
      <c r="E477" s="57">
        <v>0</v>
      </c>
    </row>
    <row r="478" spans="2:5">
      <c r="B478" s="95"/>
      <c r="C478" s="55" t="s">
        <v>113</v>
      </c>
      <c r="D478" s="58">
        <v>5</v>
      </c>
      <c r="E478" s="57">
        <v>0</v>
      </c>
    </row>
    <row r="479" spans="2:5">
      <c r="B479" s="95"/>
      <c r="C479" s="55" t="s">
        <v>114</v>
      </c>
      <c r="D479" s="58">
        <v>1</v>
      </c>
      <c r="E479" s="57">
        <v>0</v>
      </c>
    </row>
    <row r="480" spans="2:5">
      <c r="B480" s="95"/>
      <c r="C480" s="55" t="s">
        <v>115</v>
      </c>
      <c r="D480" s="58">
        <v>18</v>
      </c>
      <c r="E480" s="57">
        <v>1E-3</v>
      </c>
    </row>
    <row r="481" spans="2:5">
      <c r="B481" s="95"/>
      <c r="C481" s="55" t="s">
        <v>116</v>
      </c>
      <c r="D481" s="58">
        <v>216</v>
      </c>
      <c r="E481" s="57">
        <v>1.4E-2</v>
      </c>
    </row>
    <row r="482" spans="2:5">
      <c r="B482" s="95"/>
      <c r="C482" s="55" t="s">
        <v>117</v>
      </c>
      <c r="D482" s="58">
        <v>5</v>
      </c>
      <c r="E482" s="57">
        <v>0</v>
      </c>
    </row>
    <row r="483" spans="2:5">
      <c r="B483" s="95"/>
      <c r="C483" s="55" t="s">
        <v>118</v>
      </c>
      <c r="D483" s="58">
        <v>17</v>
      </c>
      <c r="E483" s="57">
        <v>1E-3</v>
      </c>
    </row>
    <row r="484" spans="2:5">
      <c r="B484" s="95"/>
      <c r="C484" s="55" t="s">
        <v>119</v>
      </c>
      <c r="D484" s="58">
        <v>13</v>
      </c>
      <c r="E484" s="57">
        <v>1E-3</v>
      </c>
    </row>
    <row r="485" spans="2:5">
      <c r="B485" s="95"/>
      <c r="C485" s="55" t="s">
        <v>120</v>
      </c>
      <c r="D485" s="58">
        <v>74</v>
      </c>
      <c r="E485" s="57">
        <v>5.0000000000000001E-3</v>
      </c>
    </row>
    <row r="486" spans="2:5">
      <c r="B486" s="95"/>
      <c r="C486" s="55" t="s">
        <v>121</v>
      </c>
      <c r="D486" s="58">
        <v>68</v>
      </c>
      <c r="E486" s="57">
        <v>4.0000000000000001E-3</v>
      </c>
    </row>
    <row r="487" spans="2:5">
      <c r="B487" s="95"/>
      <c r="C487" s="55" t="s">
        <v>122</v>
      </c>
      <c r="D487" s="58">
        <v>4</v>
      </c>
      <c r="E487" s="57">
        <v>0</v>
      </c>
    </row>
    <row r="488" spans="2:5" ht="15" customHeight="1">
      <c r="B488" s="95"/>
      <c r="C488" s="55" t="s">
        <v>123</v>
      </c>
      <c r="D488" s="58">
        <v>208</v>
      </c>
      <c r="E488" s="57">
        <v>1.2999999999999999E-2</v>
      </c>
    </row>
    <row r="489" spans="2:5">
      <c r="B489" s="95"/>
      <c r="C489" s="55" t="s">
        <v>124</v>
      </c>
      <c r="D489" s="58">
        <v>50</v>
      </c>
      <c r="E489" s="57">
        <v>3.0000000000000001E-3</v>
      </c>
    </row>
    <row r="490" spans="2:5">
      <c r="B490" s="95"/>
      <c r="C490" s="55" t="s">
        <v>125</v>
      </c>
      <c r="D490" s="58">
        <v>12</v>
      </c>
      <c r="E490" s="57">
        <v>1E-3</v>
      </c>
    </row>
    <row r="491" spans="2:5">
      <c r="B491" s="95"/>
      <c r="C491" s="55" t="s">
        <v>126</v>
      </c>
      <c r="D491" s="58">
        <v>19</v>
      </c>
      <c r="E491" s="57">
        <v>1E-3</v>
      </c>
    </row>
    <row r="492" spans="2:5">
      <c r="B492" s="95"/>
      <c r="C492" s="55" t="s">
        <v>127</v>
      </c>
      <c r="D492" s="58">
        <v>22</v>
      </c>
      <c r="E492" s="57">
        <v>1E-3</v>
      </c>
    </row>
    <row r="493" spans="2:5">
      <c r="B493" s="95"/>
      <c r="C493" s="55" t="s">
        <v>128</v>
      </c>
      <c r="D493" s="58">
        <v>24</v>
      </c>
      <c r="E493" s="57">
        <v>2E-3</v>
      </c>
    </row>
    <row r="494" spans="2:5">
      <c r="B494" s="95"/>
      <c r="C494" s="55" t="s">
        <v>129</v>
      </c>
      <c r="D494" s="58">
        <v>1</v>
      </c>
      <c r="E494" s="57">
        <v>0</v>
      </c>
    </row>
    <row r="495" spans="2:5">
      <c r="B495" s="95"/>
      <c r="C495" s="55" t="s">
        <v>130</v>
      </c>
      <c r="D495" s="58">
        <v>28</v>
      </c>
      <c r="E495" s="57">
        <v>2E-3</v>
      </c>
    </row>
    <row r="496" spans="2:5">
      <c r="B496" s="95"/>
      <c r="C496" s="55" t="s">
        <v>131</v>
      </c>
      <c r="D496" s="58">
        <v>1</v>
      </c>
      <c r="E496" s="57">
        <v>0</v>
      </c>
    </row>
    <row r="497" spans="2:5">
      <c r="B497" s="95"/>
      <c r="C497" s="55" t="s">
        <v>132</v>
      </c>
      <c r="D497" s="58">
        <v>37</v>
      </c>
      <c r="E497" s="57">
        <v>2E-3</v>
      </c>
    </row>
    <row r="498" spans="2:5">
      <c r="B498" s="95"/>
      <c r="C498" s="55" t="s">
        <v>133</v>
      </c>
      <c r="D498" s="58">
        <v>443</v>
      </c>
      <c r="E498" s="57">
        <v>2.9000000000000001E-2</v>
      </c>
    </row>
    <row r="499" spans="2:5">
      <c r="B499" s="95"/>
      <c r="C499" s="55" t="s">
        <v>134</v>
      </c>
      <c r="D499" s="58">
        <v>55</v>
      </c>
      <c r="E499" s="57">
        <v>4.0000000000000001E-3</v>
      </c>
    </row>
    <row r="500" spans="2:5">
      <c r="B500" s="95"/>
      <c r="C500" s="55" t="s">
        <v>135</v>
      </c>
      <c r="D500" s="58">
        <v>15</v>
      </c>
      <c r="E500" s="57">
        <v>1E-3</v>
      </c>
    </row>
    <row r="501" spans="2:5">
      <c r="B501" s="95"/>
      <c r="C501" s="55" t="s">
        <v>74</v>
      </c>
      <c r="D501" s="58">
        <v>27</v>
      </c>
      <c r="E501" s="57">
        <v>2E-3</v>
      </c>
    </row>
    <row r="502" spans="2:5">
      <c r="B502" s="95"/>
      <c r="C502" s="55" t="s">
        <v>136</v>
      </c>
      <c r="D502" s="58">
        <v>26</v>
      </c>
      <c r="E502" s="57">
        <v>2E-3</v>
      </c>
    </row>
    <row r="503" spans="2:5">
      <c r="B503" s="95"/>
      <c r="C503" s="55" t="s">
        <v>137</v>
      </c>
      <c r="D503" s="58">
        <v>1</v>
      </c>
      <c r="E503" s="57">
        <v>0</v>
      </c>
    </row>
    <row r="504" spans="2:5" ht="14.45" customHeight="1">
      <c r="B504" s="95"/>
      <c r="C504" s="72" t="s">
        <v>284</v>
      </c>
      <c r="D504" s="69">
        <v>3430</v>
      </c>
      <c r="E504" s="71">
        <v>0.222</v>
      </c>
    </row>
    <row r="505" spans="2:5" ht="15" customHeight="1">
      <c r="B505" s="95" t="s">
        <v>270</v>
      </c>
      <c r="C505" s="55" t="s">
        <v>96</v>
      </c>
      <c r="D505" s="58">
        <v>2</v>
      </c>
      <c r="E505" s="57">
        <v>0</v>
      </c>
    </row>
    <row r="506" spans="2:5">
      <c r="B506" s="95"/>
      <c r="C506" s="55" t="s">
        <v>98</v>
      </c>
      <c r="D506" s="58">
        <v>14</v>
      </c>
      <c r="E506" s="57">
        <v>1E-3</v>
      </c>
    </row>
    <row r="507" spans="2:5">
      <c r="B507" s="95"/>
      <c r="C507" s="55" t="s">
        <v>104</v>
      </c>
      <c r="D507" s="58">
        <v>1</v>
      </c>
      <c r="E507" s="57">
        <v>0</v>
      </c>
    </row>
    <row r="508" spans="2:5">
      <c r="B508" s="95"/>
      <c r="C508" s="55" t="s">
        <v>106</v>
      </c>
      <c r="D508" s="58">
        <v>9</v>
      </c>
      <c r="E508" s="57">
        <v>1E-3</v>
      </c>
    </row>
    <row r="509" spans="2:5">
      <c r="B509" s="95"/>
      <c r="C509" s="55" t="s">
        <v>107</v>
      </c>
      <c r="D509" s="58">
        <v>2</v>
      </c>
      <c r="E509" s="57">
        <v>0</v>
      </c>
    </row>
    <row r="510" spans="2:5">
      <c r="B510" s="95"/>
      <c r="C510" s="55" t="s">
        <v>116</v>
      </c>
      <c r="D510" s="58">
        <v>3</v>
      </c>
      <c r="E510" s="57">
        <v>0</v>
      </c>
    </row>
    <row r="511" spans="2:5">
      <c r="B511" s="95"/>
      <c r="C511" s="55" t="s">
        <v>117</v>
      </c>
      <c r="D511" s="58">
        <v>1</v>
      </c>
      <c r="E511" s="57">
        <v>0</v>
      </c>
    </row>
    <row r="512" spans="2:5">
      <c r="B512" s="95"/>
      <c r="C512" s="55" t="s">
        <v>120</v>
      </c>
      <c r="D512" s="58">
        <v>1</v>
      </c>
      <c r="E512" s="57">
        <v>0</v>
      </c>
    </row>
    <row r="513" spans="2:5">
      <c r="B513" s="95"/>
      <c r="C513" s="55" t="s">
        <v>121</v>
      </c>
      <c r="D513" s="58">
        <v>2</v>
      </c>
      <c r="E513" s="57">
        <v>0</v>
      </c>
    </row>
    <row r="514" spans="2:5">
      <c r="B514" s="95"/>
      <c r="C514" s="55" t="s">
        <v>123</v>
      </c>
      <c r="D514" s="58">
        <v>3</v>
      </c>
      <c r="E514" s="57">
        <v>0</v>
      </c>
    </row>
    <row r="515" spans="2:5">
      <c r="B515" s="95"/>
      <c r="C515" s="55" t="s">
        <v>124</v>
      </c>
      <c r="D515" s="58">
        <v>1</v>
      </c>
      <c r="E515" s="57">
        <v>0</v>
      </c>
    </row>
    <row r="516" spans="2:5">
      <c r="B516" s="95"/>
      <c r="C516" s="55" t="s">
        <v>125</v>
      </c>
      <c r="D516" s="58">
        <v>1</v>
      </c>
      <c r="E516" s="57">
        <v>0</v>
      </c>
    </row>
    <row r="517" spans="2:5">
      <c r="B517" s="95"/>
      <c r="C517" s="55" t="s">
        <v>130</v>
      </c>
      <c r="D517" s="58">
        <v>1</v>
      </c>
      <c r="E517" s="57">
        <v>0</v>
      </c>
    </row>
    <row r="518" spans="2:5">
      <c r="B518" s="95"/>
      <c r="C518" s="55" t="s">
        <v>132</v>
      </c>
      <c r="D518" s="58">
        <v>2</v>
      </c>
      <c r="E518" s="57">
        <v>0</v>
      </c>
    </row>
    <row r="519" spans="2:5" ht="15" customHeight="1">
      <c r="B519" s="95"/>
      <c r="C519" s="55" t="s">
        <v>133</v>
      </c>
      <c r="D519" s="58">
        <v>6</v>
      </c>
      <c r="E519" s="57">
        <v>0</v>
      </c>
    </row>
    <row r="520" spans="2:5">
      <c r="B520" s="95"/>
      <c r="C520" s="55" t="s">
        <v>134</v>
      </c>
      <c r="D520" s="58">
        <v>1</v>
      </c>
      <c r="E520" s="57">
        <v>0</v>
      </c>
    </row>
    <row r="521" spans="2:5">
      <c r="B521" s="95"/>
      <c r="C521" s="55" t="s">
        <v>74</v>
      </c>
      <c r="D521" s="58">
        <v>1</v>
      </c>
      <c r="E521" s="57">
        <v>0</v>
      </c>
    </row>
    <row r="522" spans="2:5" ht="14.45" customHeight="1">
      <c r="B522" s="95"/>
      <c r="C522" s="72" t="s">
        <v>284</v>
      </c>
      <c r="D522" s="73">
        <v>51</v>
      </c>
      <c r="E522" s="71">
        <v>3.0000000000000001E-3</v>
      </c>
    </row>
    <row r="523" spans="2:5">
      <c r="B523" s="95" t="s">
        <v>271</v>
      </c>
      <c r="C523" s="55" t="s">
        <v>98</v>
      </c>
      <c r="D523" s="58">
        <v>27</v>
      </c>
      <c r="E523" s="57">
        <v>2E-3</v>
      </c>
    </row>
    <row r="524" spans="2:5">
      <c r="B524" s="95"/>
      <c r="C524" s="55" t="s">
        <v>99</v>
      </c>
      <c r="D524" s="58">
        <v>1</v>
      </c>
      <c r="E524" s="57">
        <v>0</v>
      </c>
    </row>
    <row r="525" spans="2:5">
      <c r="B525" s="95"/>
      <c r="C525" s="55" t="s">
        <v>100</v>
      </c>
      <c r="D525" s="58">
        <v>1</v>
      </c>
      <c r="E525" s="57">
        <v>0</v>
      </c>
    </row>
    <row r="526" spans="2:5">
      <c r="B526" s="95"/>
      <c r="C526" s="55" t="s">
        <v>103</v>
      </c>
      <c r="D526" s="58">
        <v>2</v>
      </c>
      <c r="E526" s="57">
        <v>0</v>
      </c>
    </row>
    <row r="527" spans="2:5">
      <c r="B527" s="95"/>
      <c r="C527" s="55" t="s">
        <v>106</v>
      </c>
      <c r="D527" s="58">
        <v>8</v>
      </c>
      <c r="E527" s="57">
        <v>1E-3</v>
      </c>
    </row>
    <row r="528" spans="2:5">
      <c r="B528" s="95"/>
      <c r="C528" s="55" t="s">
        <v>107</v>
      </c>
      <c r="D528" s="58">
        <v>3</v>
      </c>
      <c r="E528" s="57">
        <v>0</v>
      </c>
    </row>
    <row r="529" spans="2:5">
      <c r="B529" s="95"/>
      <c r="C529" s="55" t="s">
        <v>108</v>
      </c>
      <c r="D529" s="58">
        <v>1</v>
      </c>
      <c r="E529" s="57">
        <v>0</v>
      </c>
    </row>
    <row r="530" spans="2:5">
      <c r="B530" s="95"/>
      <c r="C530" s="55" t="s">
        <v>110</v>
      </c>
      <c r="D530" s="58">
        <v>1</v>
      </c>
      <c r="E530" s="57">
        <v>0</v>
      </c>
    </row>
    <row r="531" spans="2:5" ht="15" customHeight="1">
      <c r="B531" s="95"/>
      <c r="C531" s="55" t="s">
        <v>115</v>
      </c>
      <c r="D531" s="58">
        <v>1</v>
      </c>
      <c r="E531" s="57">
        <v>0</v>
      </c>
    </row>
    <row r="532" spans="2:5">
      <c r="B532" s="95"/>
      <c r="C532" s="55" t="s">
        <v>116</v>
      </c>
      <c r="D532" s="58">
        <v>3</v>
      </c>
      <c r="E532" s="57">
        <v>0</v>
      </c>
    </row>
    <row r="533" spans="2:5">
      <c r="B533" s="95"/>
      <c r="C533" s="55" t="s">
        <v>118</v>
      </c>
      <c r="D533" s="58">
        <v>1</v>
      </c>
      <c r="E533" s="57">
        <v>0</v>
      </c>
    </row>
    <row r="534" spans="2:5">
      <c r="B534" s="95"/>
      <c r="C534" s="55" t="s">
        <v>120</v>
      </c>
      <c r="D534" s="58">
        <v>2</v>
      </c>
      <c r="E534" s="57">
        <v>0</v>
      </c>
    </row>
    <row r="535" spans="2:5">
      <c r="B535" s="95"/>
      <c r="C535" s="55" t="s">
        <v>123</v>
      </c>
      <c r="D535" s="58">
        <v>2</v>
      </c>
      <c r="E535" s="57">
        <v>0</v>
      </c>
    </row>
    <row r="536" spans="2:5">
      <c r="B536" s="95"/>
      <c r="C536" s="55" t="s">
        <v>126</v>
      </c>
      <c r="D536" s="58">
        <v>1</v>
      </c>
      <c r="E536" s="57">
        <v>0</v>
      </c>
    </row>
    <row r="537" spans="2:5">
      <c r="B537" s="95"/>
      <c r="C537" s="55" t="s">
        <v>132</v>
      </c>
      <c r="D537" s="58">
        <v>1</v>
      </c>
      <c r="E537" s="57">
        <v>0</v>
      </c>
    </row>
    <row r="538" spans="2:5">
      <c r="B538" s="95"/>
      <c r="C538" s="55" t="s">
        <v>133</v>
      </c>
      <c r="D538" s="58">
        <v>8</v>
      </c>
      <c r="E538" s="57">
        <v>1E-3</v>
      </c>
    </row>
    <row r="539" spans="2:5">
      <c r="B539" s="95"/>
      <c r="C539" s="55" t="s">
        <v>136</v>
      </c>
      <c r="D539" s="58">
        <v>1</v>
      </c>
      <c r="E539" s="57">
        <v>0</v>
      </c>
    </row>
    <row r="540" spans="2:5" ht="14.45" customHeight="1">
      <c r="B540" s="95"/>
      <c r="C540" s="72" t="s">
        <v>284</v>
      </c>
      <c r="D540" s="73">
        <v>64</v>
      </c>
      <c r="E540" s="71">
        <v>4.0000000000000001E-3</v>
      </c>
    </row>
    <row r="541" spans="2:5" ht="15" customHeight="1">
      <c r="B541" s="95" t="s">
        <v>272</v>
      </c>
      <c r="C541" s="55" t="s">
        <v>97</v>
      </c>
      <c r="D541" s="58">
        <v>1</v>
      </c>
      <c r="E541" s="57">
        <v>0</v>
      </c>
    </row>
    <row r="542" spans="2:5">
      <c r="B542" s="95"/>
      <c r="C542" s="55" t="s">
        <v>98</v>
      </c>
      <c r="D542" s="58">
        <v>8</v>
      </c>
      <c r="E542" s="57">
        <v>1E-3</v>
      </c>
    </row>
    <row r="543" spans="2:5">
      <c r="B543" s="95"/>
      <c r="C543" s="55" t="s">
        <v>113</v>
      </c>
      <c r="D543" s="58">
        <v>1</v>
      </c>
      <c r="E543" s="57">
        <v>0</v>
      </c>
    </row>
    <row r="544" spans="2:5">
      <c r="B544" s="95"/>
      <c r="C544" s="55" t="s">
        <v>116</v>
      </c>
      <c r="D544" s="58">
        <v>1</v>
      </c>
      <c r="E544" s="57">
        <v>0</v>
      </c>
    </row>
    <row r="545" spans="2:5">
      <c r="B545" s="95"/>
      <c r="C545" s="55" t="s">
        <v>119</v>
      </c>
      <c r="D545" s="58">
        <v>1</v>
      </c>
      <c r="E545" s="57">
        <v>0</v>
      </c>
    </row>
    <row r="546" spans="2:5">
      <c r="B546" s="95"/>
      <c r="C546" s="55" t="s">
        <v>133</v>
      </c>
      <c r="D546" s="58">
        <v>3</v>
      </c>
      <c r="E546" s="57">
        <v>0</v>
      </c>
    </row>
    <row r="547" spans="2:5" ht="14.45" customHeight="1">
      <c r="B547" s="95"/>
      <c r="C547" s="72" t="s">
        <v>284</v>
      </c>
      <c r="D547" s="73">
        <v>15</v>
      </c>
      <c r="E547" s="71">
        <v>1E-3</v>
      </c>
    </row>
    <row r="548" spans="2:5">
      <c r="B548" s="95" t="s">
        <v>273</v>
      </c>
      <c r="C548" s="55" t="s">
        <v>95</v>
      </c>
      <c r="D548" s="58">
        <v>1</v>
      </c>
      <c r="E548" s="57">
        <v>0</v>
      </c>
    </row>
    <row r="549" spans="2:5">
      <c r="B549" s="95"/>
      <c r="C549" s="55" t="s">
        <v>98</v>
      </c>
      <c r="D549" s="58">
        <v>4</v>
      </c>
      <c r="E549" s="57">
        <v>0</v>
      </c>
    </row>
    <row r="550" spans="2:5">
      <c r="B550" s="95"/>
      <c r="C550" s="55" t="s">
        <v>104</v>
      </c>
      <c r="D550" s="58">
        <v>1</v>
      </c>
      <c r="E550" s="57">
        <v>0</v>
      </c>
    </row>
    <row r="551" spans="2:5">
      <c r="B551" s="95"/>
      <c r="C551" s="55" t="s">
        <v>121</v>
      </c>
      <c r="D551" s="58">
        <v>1</v>
      </c>
      <c r="E551" s="57">
        <v>0</v>
      </c>
    </row>
    <row r="552" spans="2:5">
      <c r="B552" s="95"/>
      <c r="C552" s="55" t="s">
        <v>123</v>
      </c>
      <c r="D552" s="58">
        <v>2</v>
      </c>
      <c r="E552" s="57">
        <v>0</v>
      </c>
    </row>
    <row r="553" spans="2:5">
      <c r="B553" s="95"/>
      <c r="C553" s="55" t="s">
        <v>133</v>
      </c>
      <c r="D553" s="58">
        <v>1</v>
      </c>
      <c r="E553" s="57">
        <v>0</v>
      </c>
    </row>
    <row r="554" spans="2:5" ht="14.45" customHeight="1">
      <c r="B554" s="95"/>
      <c r="C554" s="72" t="s">
        <v>284</v>
      </c>
      <c r="D554" s="73">
        <v>10</v>
      </c>
      <c r="E554" s="71">
        <v>1E-3</v>
      </c>
    </row>
    <row r="555" spans="2:5">
      <c r="B555" s="95" t="s">
        <v>195</v>
      </c>
      <c r="C555" s="55" t="s">
        <v>95</v>
      </c>
      <c r="D555" s="58">
        <v>2</v>
      </c>
      <c r="E555" s="57">
        <v>0</v>
      </c>
    </row>
    <row r="556" spans="2:5">
      <c r="B556" s="95"/>
      <c r="C556" s="55" t="s">
        <v>96</v>
      </c>
      <c r="D556" s="58">
        <v>5</v>
      </c>
      <c r="E556" s="57">
        <v>0</v>
      </c>
    </row>
    <row r="557" spans="2:5">
      <c r="B557" s="95"/>
      <c r="C557" s="55" t="s">
        <v>97</v>
      </c>
      <c r="D557" s="58">
        <v>2</v>
      </c>
      <c r="E557" s="57">
        <v>0</v>
      </c>
    </row>
    <row r="558" spans="2:5">
      <c r="B558" s="95"/>
      <c r="C558" s="55" t="s">
        <v>98</v>
      </c>
      <c r="D558" s="58">
        <v>35</v>
      </c>
      <c r="E558" s="57">
        <v>2E-3</v>
      </c>
    </row>
    <row r="559" spans="2:5">
      <c r="B559" s="95"/>
      <c r="C559" s="55" t="s">
        <v>99</v>
      </c>
      <c r="D559" s="58">
        <v>2</v>
      </c>
      <c r="E559" s="57">
        <v>0</v>
      </c>
    </row>
    <row r="560" spans="2:5">
      <c r="B560" s="95"/>
      <c r="C560" s="55" t="s">
        <v>100</v>
      </c>
      <c r="D560" s="58">
        <v>3</v>
      </c>
      <c r="E560" s="57">
        <v>0</v>
      </c>
    </row>
    <row r="561" spans="2:5">
      <c r="B561" s="95"/>
      <c r="C561" s="55" t="s">
        <v>101</v>
      </c>
      <c r="D561" s="58">
        <v>2</v>
      </c>
      <c r="E561" s="57">
        <v>0</v>
      </c>
    </row>
    <row r="562" spans="2:5">
      <c r="B562" s="95"/>
      <c r="C562" s="55" t="s">
        <v>104</v>
      </c>
      <c r="D562" s="58">
        <v>1</v>
      </c>
      <c r="E562" s="57">
        <v>0</v>
      </c>
    </row>
    <row r="563" spans="2:5">
      <c r="B563" s="95"/>
      <c r="C563" s="55" t="s">
        <v>106</v>
      </c>
      <c r="D563" s="58">
        <v>29</v>
      </c>
      <c r="E563" s="57">
        <v>2E-3</v>
      </c>
    </row>
    <row r="564" spans="2:5">
      <c r="B564" s="95"/>
      <c r="C564" s="55" t="s">
        <v>107</v>
      </c>
      <c r="D564" s="58">
        <v>3</v>
      </c>
      <c r="E564" s="57">
        <v>0</v>
      </c>
    </row>
    <row r="565" spans="2:5">
      <c r="B565" s="95"/>
      <c r="C565" s="55" t="s">
        <v>108</v>
      </c>
      <c r="D565" s="58">
        <v>1</v>
      </c>
      <c r="E565" s="57">
        <v>0</v>
      </c>
    </row>
    <row r="566" spans="2:5">
      <c r="B566" s="95"/>
      <c r="C566" s="55" t="s">
        <v>109</v>
      </c>
      <c r="D566" s="58">
        <v>1</v>
      </c>
      <c r="E566" s="57">
        <v>0</v>
      </c>
    </row>
    <row r="567" spans="2:5">
      <c r="B567" s="95"/>
      <c r="C567" s="55" t="s">
        <v>116</v>
      </c>
      <c r="D567" s="58">
        <v>15</v>
      </c>
      <c r="E567" s="57">
        <v>1E-3</v>
      </c>
    </row>
    <row r="568" spans="2:5">
      <c r="B568" s="95"/>
      <c r="C568" s="55" t="s">
        <v>119</v>
      </c>
      <c r="D568" s="58">
        <v>2</v>
      </c>
      <c r="E568" s="57">
        <v>0</v>
      </c>
    </row>
    <row r="569" spans="2:5">
      <c r="B569" s="95"/>
      <c r="C569" s="55" t="s">
        <v>120</v>
      </c>
      <c r="D569" s="58">
        <v>3</v>
      </c>
      <c r="E569" s="57">
        <v>0</v>
      </c>
    </row>
    <row r="570" spans="2:5" ht="15" customHeight="1">
      <c r="B570" s="95"/>
      <c r="C570" s="55" t="s">
        <v>121</v>
      </c>
      <c r="D570" s="58">
        <v>1</v>
      </c>
      <c r="E570" s="57">
        <v>0</v>
      </c>
    </row>
    <row r="571" spans="2:5">
      <c r="B571" s="95"/>
      <c r="C571" s="55" t="s">
        <v>122</v>
      </c>
      <c r="D571" s="58">
        <v>1</v>
      </c>
      <c r="E571" s="57">
        <v>0</v>
      </c>
    </row>
    <row r="572" spans="2:5">
      <c r="B572" s="95"/>
      <c r="C572" s="55" t="s">
        <v>123</v>
      </c>
      <c r="D572" s="58">
        <v>11</v>
      </c>
      <c r="E572" s="57">
        <v>1E-3</v>
      </c>
    </row>
    <row r="573" spans="2:5">
      <c r="B573" s="95"/>
      <c r="C573" s="55" t="s">
        <v>124</v>
      </c>
      <c r="D573" s="58">
        <v>1</v>
      </c>
      <c r="E573" s="57">
        <v>0</v>
      </c>
    </row>
    <row r="574" spans="2:5">
      <c r="B574" s="95"/>
      <c r="C574" s="55" t="s">
        <v>126</v>
      </c>
      <c r="D574" s="58">
        <v>1</v>
      </c>
      <c r="E574" s="57">
        <v>0</v>
      </c>
    </row>
    <row r="575" spans="2:5">
      <c r="B575" s="95"/>
      <c r="C575" s="55" t="s">
        <v>127</v>
      </c>
      <c r="D575" s="58">
        <v>1</v>
      </c>
      <c r="E575" s="57">
        <v>0</v>
      </c>
    </row>
    <row r="576" spans="2:5">
      <c r="B576" s="95"/>
      <c r="C576" s="55" t="s">
        <v>128</v>
      </c>
      <c r="D576" s="58">
        <v>2</v>
      </c>
      <c r="E576" s="57">
        <v>0</v>
      </c>
    </row>
    <row r="577" spans="2:5">
      <c r="B577" s="95"/>
      <c r="C577" s="55" t="s">
        <v>130</v>
      </c>
      <c r="D577" s="58">
        <v>1</v>
      </c>
      <c r="E577" s="57">
        <v>0</v>
      </c>
    </row>
    <row r="578" spans="2:5">
      <c r="B578" s="95"/>
      <c r="C578" s="55" t="s">
        <v>132</v>
      </c>
      <c r="D578" s="58">
        <v>1</v>
      </c>
      <c r="E578" s="57">
        <v>0</v>
      </c>
    </row>
    <row r="579" spans="2:5">
      <c r="B579" s="95"/>
      <c r="C579" s="55" t="s">
        <v>133</v>
      </c>
      <c r="D579" s="58">
        <v>18</v>
      </c>
      <c r="E579" s="57">
        <v>1E-3</v>
      </c>
    </row>
    <row r="580" spans="2:5">
      <c r="B580" s="95"/>
      <c r="C580" s="55" t="s">
        <v>134</v>
      </c>
      <c r="D580" s="58">
        <v>2</v>
      </c>
      <c r="E580" s="57">
        <v>0</v>
      </c>
    </row>
    <row r="581" spans="2:5">
      <c r="B581" s="95"/>
      <c r="C581" s="55" t="s">
        <v>74</v>
      </c>
      <c r="D581" s="58">
        <v>1</v>
      </c>
      <c r="E581" s="57">
        <v>0</v>
      </c>
    </row>
    <row r="582" spans="2:5">
      <c r="B582" s="95"/>
      <c r="C582" s="55" t="s">
        <v>136</v>
      </c>
      <c r="D582" s="58">
        <v>1</v>
      </c>
      <c r="E582" s="57">
        <v>0</v>
      </c>
    </row>
    <row r="583" spans="2:5">
      <c r="B583" s="95"/>
      <c r="C583" s="72" t="s">
        <v>284</v>
      </c>
      <c r="D583" s="73">
        <v>148</v>
      </c>
      <c r="E583" s="71">
        <v>0.01</v>
      </c>
    </row>
    <row r="584" spans="2:5">
      <c r="B584" s="95" t="s">
        <v>196</v>
      </c>
      <c r="C584" s="55" t="s">
        <v>95</v>
      </c>
      <c r="D584" s="58">
        <v>3</v>
      </c>
      <c r="E584" s="57">
        <v>0</v>
      </c>
    </row>
    <row r="585" spans="2:5">
      <c r="B585" s="95"/>
      <c r="C585" s="55" t="s">
        <v>96</v>
      </c>
      <c r="D585" s="58">
        <v>11</v>
      </c>
      <c r="E585" s="57">
        <v>1E-3</v>
      </c>
    </row>
    <row r="586" spans="2:5">
      <c r="B586" s="95"/>
      <c r="C586" s="55" t="s">
        <v>97</v>
      </c>
      <c r="D586" s="58">
        <v>4</v>
      </c>
      <c r="E586" s="57">
        <v>0</v>
      </c>
    </row>
    <row r="587" spans="2:5">
      <c r="B587" s="95"/>
      <c r="C587" s="55" t="s">
        <v>98</v>
      </c>
      <c r="D587" s="58">
        <v>123</v>
      </c>
      <c r="E587" s="57">
        <v>8.0000000000000002E-3</v>
      </c>
    </row>
    <row r="588" spans="2:5">
      <c r="B588" s="95"/>
      <c r="C588" s="55" t="s">
        <v>99</v>
      </c>
      <c r="D588" s="58">
        <v>5</v>
      </c>
      <c r="E588" s="57">
        <v>0</v>
      </c>
    </row>
    <row r="589" spans="2:5">
      <c r="B589" s="95"/>
      <c r="C589" s="55" t="s">
        <v>100</v>
      </c>
      <c r="D589" s="58">
        <v>1</v>
      </c>
      <c r="E589" s="57">
        <v>0</v>
      </c>
    </row>
    <row r="590" spans="2:5">
      <c r="B590" s="95"/>
      <c r="C590" s="55" t="s">
        <v>101</v>
      </c>
      <c r="D590" s="58">
        <v>1</v>
      </c>
      <c r="E590" s="57">
        <v>0</v>
      </c>
    </row>
    <row r="591" spans="2:5">
      <c r="B591" s="95"/>
      <c r="C591" s="55" t="s">
        <v>103</v>
      </c>
      <c r="D591" s="58">
        <v>12</v>
      </c>
      <c r="E591" s="57">
        <v>1E-3</v>
      </c>
    </row>
    <row r="592" spans="2:5">
      <c r="B592" s="95"/>
      <c r="C592" s="55" t="s">
        <v>104</v>
      </c>
      <c r="D592" s="58">
        <v>9</v>
      </c>
      <c r="E592" s="57">
        <v>1E-3</v>
      </c>
    </row>
    <row r="593" spans="2:5">
      <c r="B593" s="95"/>
      <c r="C593" s="55" t="s">
        <v>105</v>
      </c>
      <c r="D593" s="58">
        <v>2</v>
      </c>
      <c r="E593" s="57">
        <v>0</v>
      </c>
    </row>
    <row r="594" spans="2:5">
      <c r="B594" s="95"/>
      <c r="C594" s="55" t="s">
        <v>106</v>
      </c>
      <c r="D594" s="58">
        <v>111</v>
      </c>
      <c r="E594" s="57">
        <v>7.0000000000000001E-3</v>
      </c>
    </row>
    <row r="595" spans="2:5">
      <c r="B595" s="95"/>
      <c r="C595" s="55" t="s">
        <v>107</v>
      </c>
      <c r="D595" s="58">
        <v>11</v>
      </c>
      <c r="E595" s="57">
        <v>1E-3</v>
      </c>
    </row>
    <row r="596" spans="2:5">
      <c r="B596" s="95"/>
      <c r="C596" s="55" t="s">
        <v>108</v>
      </c>
      <c r="D596" s="58">
        <v>2</v>
      </c>
      <c r="E596" s="57">
        <v>0</v>
      </c>
    </row>
    <row r="597" spans="2:5">
      <c r="B597" s="95"/>
      <c r="C597" s="55" t="s">
        <v>109</v>
      </c>
      <c r="D597" s="58">
        <v>4</v>
      </c>
      <c r="E597" s="57">
        <v>0</v>
      </c>
    </row>
    <row r="598" spans="2:5">
      <c r="B598" s="95"/>
      <c r="C598" s="55" t="s">
        <v>110</v>
      </c>
      <c r="D598" s="58">
        <v>2</v>
      </c>
      <c r="E598" s="57">
        <v>0</v>
      </c>
    </row>
    <row r="599" spans="2:5">
      <c r="B599" s="95"/>
      <c r="C599" s="55" t="s">
        <v>115</v>
      </c>
      <c r="D599" s="58">
        <v>8</v>
      </c>
      <c r="E599" s="57">
        <v>1E-3</v>
      </c>
    </row>
    <row r="600" spans="2:5">
      <c r="B600" s="95"/>
      <c r="C600" s="55" t="s">
        <v>116</v>
      </c>
      <c r="D600" s="58">
        <v>37</v>
      </c>
      <c r="E600" s="57">
        <v>2E-3</v>
      </c>
    </row>
    <row r="601" spans="2:5">
      <c r="B601" s="95"/>
      <c r="C601" s="55" t="s">
        <v>117</v>
      </c>
      <c r="D601" s="58">
        <v>1</v>
      </c>
      <c r="E601" s="57">
        <v>0</v>
      </c>
    </row>
    <row r="602" spans="2:5">
      <c r="B602" s="95"/>
      <c r="C602" s="55" t="s">
        <v>119</v>
      </c>
      <c r="D602" s="58">
        <v>3</v>
      </c>
      <c r="E602" s="57">
        <v>0</v>
      </c>
    </row>
    <row r="603" spans="2:5">
      <c r="B603" s="95"/>
      <c r="C603" s="55" t="s">
        <v>120</v>
      </c>
      <c r="D603" s="58">
        <v>9</v>
      </c>
      <c r="E603" s="57">
        <v>1E-3</v>
      </c>
    </row>
    <row r="604" spans="2:5">
      <c r="B604" s="95"/>
      <c r="C604" s="55" t="s">
        <v>121</v>
      </c>
      <c r="D604" s="58">
        <v>8</v>
      </c>
      <c r="E604" s="57">
        <v>1E-3</v>
      </c>
    </row>
    <row r="605" spans="2:5">
      <c r="B605" s="95"/>
      <c r="C605" s="55" t="s">
        <v>122</v>
      </c>
      <c r="D605" s="58">
        <v>1</v>
      </c>
      <c r="E605" s="57">
        <v>0</v>
      </c>
    </row>
    <row r="606" spans="2:5">
      <c r="B606" s="95"/>
      <c r="C606" s="55" t="s">
        <v>123</v>
      </c>
      <c r="D606" s="58">
        <v>31</v>
      </c>
      <c r="E606" s="57">
        <v>2E-3</v>
      </c>
    </row>
    <row r="607" spans="2:5">
      <c r="B607" s="95"/>
      <c r="C607" s="55" t="s">
        <v>124</v>
      </c>
      <c r="D607" s="58">
        <v>5</v>
      </c>
      <c r="E607" s="57">
        <v>0</v>
      </c>
    </row>
    <row r="608" spans="2:5">
      <c r="B608" s="95"/>
      <c r="C608" s="55" t="s">
        <v>125</v>
      </c>
      <c r="D608" s="58">
        <v>2</v>
      </c>
      <c r="E608" s="57">
        <v>0</v>
      </c>
    </row>
    <row r="609" spans="2:5">
      <c r="B609" s="95"/>
      <c r="C609" s="55" t="s">
        <v>126</v>
      </c>
      <c r="D609" s="58">
        <v>3</v>
      </c>
      <c r="E609" s="57">
        <v>0</v>
      </c>
    </row>
    <row r="610" spans="2:5">
      <c r="B610" s="95"/>
      <c r="C610" s="55" t="s">
        <v>127</v>
      </c>
      <c r="D610" s="58">
        <v>1</v>
      </c>
      <c r="E610" s="57">
        <v>0</v>
      </c>
    </row>
    <row r="611" spans="2:5">
      <c r="B611" s="95"/>
      <c r="C611" s="55" t="s">
        <v>128</v>
      </c>
      <c r="D611" s="58">
        <v>4</v>
      </c>
      <c r="E611" s="57">
        <v>0</v>
      </c>
    </row>
    <row r="612" spans="2:5">
      <c r="B612" s="95"/>
      <c r="C612" s="55" t="s">
        <v>130</v>
      </c>
      <c r="D612" s="58">
        <v>8</v>
      </c>
      <c r="E612" s="57">
        <v>1E-3</v>
      </c>
    </row>
    <row r="613" spans="2:5">
      <c r="B613" s="95"/>
      <c r="C613" s="55" t="s">
        <v>132</v>
      </c>
      <c r="D613" s="58">
        <v>1</v>
      </c>
      <c r="E613" s="57">
        <v>0</v>
      </c>
    </row>
    <row r="614" spans="2:5">
      <c r="B614" s="95"/>
      <c r="C614" s="55" t="s">
        <v>133</v>
      </c>
      <c r="D614" s="58">
        <v>61</v>
      </c>
      <c r="E614" s="57">
        <v>4.0000000000000001E-3</v>
      </c>
    </row>
    <row r="615" spans="2:5">
      <c r="B615" s="95"/>
      <c r="C615" s="55" t="s">
        <v>134</v>
      </c>
      <c r="D615" s="58">
        <v>4</v>
      </c>
      <c r="E615" s="57">
        <v>0</v>
      </c>
    </row>
    <row r="616" spans="2:5">
      <c r="B616" s="95"/>
      <c r="C616" s="55" t="s">
        <v>135</v>
      </c>
      <c r="D616" s="58">
        <v>8</v>
      </c>
      <c r="E616" s="57">
        <v>1E-3</v>
      </c>
    </row>
    <row r="617" spans="2:5">
      <c r="B617" s="95"/>
      <c r="C617" s="55" t="s">
        <v>74</v>
      </c>
      <c r="D617" s="58">
        <v>1</v>
      </c>
      <c r="E617" s="57">
        <v>0</v>
      </c>
    </row>
    <row r="618" spans="2:5">
      <c r="B618" s="95"/>
      <c r="C618" s="55" t="s">
        <v>136</v>
      </c>
      <c r="D618" s="58">
        <v>2</v>
      </c>
      <c r="E618" s="57">
        <v>0</v>
      </c>
    </row>
    <row r="619" spans="2:5">
      <c r="B619" s="95"/>
      <c r="C619" s="72" t="s">
        <v>284</v>
      </c>
      <c r="D619" s="73">
        <v>499</v>
      </c>
      <c r="E619" s="71">
        <v>3.2000000000000001E-2</v>
      </c>
    </row>
    <row r="620" spans="2:5" ht="15" customHeight="1">
      <c r="B620" s="95" t="s">
        <v>197</v>
      </c>
      <c r="C620" s="55" t="s">
        <v>96</v>
      </c>
      <c r="D620" s="58">
        <v>1</v>
      </c>
      <c r="E620" s="57">
        <v>0</v>
      </c>
    </row>
    <row r="621" spans="2:5" ht="15" customHeight="1">
      <c r="B621" s="95"/>
      <c r="C621" s="55" t="s">
        <v>97</v>
      </c>
      <c r="D621" s="58">
        <v>1</v>
      </c>
      <c r="E621" s="57">
        <v>0</v>
      </c>
    </row>
    <row r="622" spans="2:5" ht="15" customHeight="1">
      <c r="B622" s="95"/>
      <c r="C622" s="55" t="s">
        <v>98</v>
      </c>
      <c r="D622" s="58">
        <v>1</v>
      </c>
      <c r="E622" s="57">
        <v>0</v>
      </c>
    </row>
    <row r="623" spans="2:5" ht="15" customHeight="1">
      <c r="B623" s="95"/>
      <c r="C623" s="55" t="s">
        <v>106</v>
      </c>
      <c r="D623" s="58">
        <v>1</v>
      </c>
      <c r="E623" s="57">
        <v>0</v>
      </c>
    </row>
    <row r="624" spans="2:5" ht="15" customHeight="1">
      <c r="B624" s="95"/>
      <c r="C624" s="55" t="s">
        <v>121</v>
      </c>
      <c r="D624" s="58">
        <v>1</v>
      </c>
      <c r="E624" s="57">
        <v>0</v>
      </c>
    </row>
    <row r="625" spans="2:5" ht="15" customHeight="1">
      <c r="B625" s="95"/>
      <c r="C625" s="55" t="s">
        <v>132</v>
      </c>
      <c r="D625" s="58">
        <v>2</v>
      </c>
      <c r="E625" s="57">
        <v>0</v>
      </c>
    </row>
    <row r="626" spans="2:5" ht="15" customHeight="1">
      <c r="B626" s="95"/>
      <c r="C626" s="72" t="s">
        <v>284</v>
      </c>
      <c r="D626" s="73">
        <v>7</v>
      </c>
      <c r="E626" s="71">
        <v>0</v>
      </c>
    </row>
    <row r="627" spans="2:5" ht="15" customHeight="1">
      <c r="B627" s="95" t="s">
        <v>198</v>
      </c>
      <c r="C627" s="55" t="s">
        <v>96</v>
      </c>
      <c r="D627" s="58">
        <v>1</v>
      </c>
      <c r="E627" s="57">
        <v>0</v>
      </c>
    </row>
    <row r="628" spans="2:5" ht="15" customHeight="1">
      <c r="B628" s="95"/>
      <c r="C628" s="55" t="s">
        <v>98</v>
      </c>
      <c r="D628" s="58">
        <v>4</v>
      </c>
      <c r="E628" s="57">
        <v>0</v>
      </c>
    </row>
    <row r="629" spans="2:5" ht="15" customHeight="1">
      <c r="B629" s="95"/>
      <c r="C629" s="55" t="s">
        <v>104</v>
      </c>
      <c r="D629" s="58">
        <v>1</v>
      </c>
      <c r="E629" s="57">
        <v>0</v>
      </c>
    </row>
    <row r="630" spans="2:5" ht="15" customHeight="1">
      <c r="B630" s="95"/>
      <c r="C630" s="55" t="s">
        <v>106</v>
      </c>
      <c r="D630" s="58">
        <v>2</v>
      </c>
      <c r="E630" s="57">
        <v>0</v>
      </c>
    </row>
    <row r="631" spans="2:5" ht="15" customHeight="1">
      <c r="B631" s="95"/>
      <c r="C631" s="55" t="s">
        <v>107</v>
      </c>
      <c r="D631" s="58">
        <v>1</v>
      </c>
      <c r="E631" s="57">
        <v>0</v>
      </c>
    </row>
    <row r="632" spans="2:5" ht="15" customHeight="1">
      <c r="B632" s="95"/>
      <c r="C632" s="55" t="s">
        <v>116</v>
      </c>
      <c r="D632" s="58">
        <v>2</v>
      </c>
      <c r="E632" s="57">
        <v>0</v>
      </c>
    </row>
    <row r="633" spans="2:5" ht="15" customHeight="1">
      <c r="B633" s="95"/>
      <c r="C633" s="55" t="s">
        <v>117</v>
      </c>
      <c r="D633" s="58">
        <v>1</v>
      </c>
      <c r="E633" s="57">
        <v>0</v>
      </c>
    </row>
    <row r="634" spans="2:5" ht="15" customHeight="1">
      <c r="B634" s="95"/>
      <c r="C634" s="55" t="s">
        <v>121</v>
      </c>
      <c r="D634" s="58">
        <v>1</v>
      </c>
      <c r="E634" s="57">
        <v>0</v>
      </c>
    </row>
    <row r="635" spans="2:5" ht="15" customHeight="1">
      <c r="B635" s="95"/>
      <c r="C635" s="55" t="s">
        <v>133</v>
      </c>
      <c r="D635" s="58">
        <v>3</v>
      </c>
      <c r="E635" s="57">
        <v>0</v>
      </c>
    </row>
    <row r="636" spans="2:5" ht="15" customHeight="1">
      <c r="B636" s="95"/>
      <c r="C636" s="72" t="s">
        <v>284</v>
      </c>
      <c r="D636" s="73">
        <v>16</v>
      </c>
      <c r="E636" s="71">
        <v>1E-3</v>
      </c>
    </row>
    <row r="637" spans="2:5" ht="15" customHeight="1">
      <c r="B637" s="95" t="s">
        <v>199</v>
      </c>
      <c r="C637" s="55" t="s">
        <v>98</v>
      </c>
      <c r="D637" s="58">
        <v>2</v>
      </c>
      <c r="E637" s="57">
        <v>0</v>
      </c>
    </row>
    <row r="638" spans="2:5" ht="15" customHeight="1">
      <c r="B638" s="95"/>
      <c r="C638" s="55" t="s">
        <v>133</v>
      </c>
      <c r="D638" s="58">
        <v>1</v>
      </c>
      <c r="E638" s="57">
        <v>0</v>
      </c>
    </row>
    <row r="639" spans="2:5" ht="15" customHeight="1">
      <c r="B639" s="95"/>
      <c r="C639" s="72" t="s">
        <v>284</v>
      </c>
      <c r="D639" s="73">
        <v>3</v>
      </c>
      <c r="E639" s="71">
        <v>0</v>
      </c>
    </row>
    <row r="640" spans="2:5" ht="15" customHeight="1">
      <c r="B640" s="102" t="s">
        <v>284</v>
      </c>
      <c r="C640" s="103"/>
      <c r="D640" s="41">
        <v>15448</v>
      </c>
      <c r="E640" s="60">
        <v>1</v>
      </c>
    </row>
    <row r="641" spans="2:5" ht="15" customHeight="1">
      <c r="B641" s="36"/>
      <c r="C641" s="36"/>
      <c r="D641" s="36"/>
      <c r="E641" s="36"/>
    </row>
    <row r="642" spans="2:5" ht="15" customHeight="1">
      <c r="B642" s="32" t="s">
        <v>254</v>
      </c>
      <c r="C642" s="36"/>
      <c r="D642" s="36"/>
      <c r="E642" s="36"/>
    </row>
    <row r="643" spans="2:5" ht="15" customHeight="1">
      <c r="B643" s="34" t="s">
        <v>18</v>
      </c>
      <c r="C643" s="36"/>
      <c r="D643" s="36"/>
      <c r="E643" s="36"/>
    </row>
    <row r="644" spans="2:5" ht="15" customHeight="1">
      <c r="B644" s="35" t="s">
        <v>94</v>
      </c>
      <c r="C644" s="36"/>
      <c r="D644" s="36"/>
      <c r="E644" s="36"/>
    </row>
    <row r="645" spans="2:5" ht="15" customHeight="1">
      <c r="B645" s="32" t="s">
        <v>17</v>
      </c>
      <c r="C645" s="36"/>
      <c r="D645" s="36"/>
      <c r="E645" s="36"/>
    </row>
    <row r="646" spans="2:5" ht="15" customHeight="1">
      <c r="B646" s="32" t="s">
        <v>285</v>
      </c>
      <c r="C646" s="36"/>
      <c r="D646" s="36"/>
      <c r="E646" s="36"/>
    </row>
  </sheetData>
  <mergeCells count="27">
    <mergeCell ref="B640:C640"/>
    <mergeCell ref="B584:B619"/>
    <mergeCell ref="B620:B626"/>
    <mergeCell ref="B627:B636"/>
    <mergeCell ref="B637:B639"/>
    <mergeCell ref="B505:B522"/>
    <mergeCell ref="B523:B540"/>
    <mergeCell ref="B541:B547"/>
    <mergeCell ref="B548:B554"/>
    <mergeCell ref="B555:B583"/>
    <mergeCell ref="B303:B342"/>
    <mergeCell ref="B343:B388"/>
    <mergeCell ref="B389:B419"/>
    <mergeCell ref="B420:B460"/>
    <mergeCell ref="B461:B504"/>
    <mergeCell ref="B129:B152"/>
    <mergeCell ref="B153:B192"/>
    <mergeCell ref="B193:B234"/>
    <mergeCell ref="B235:B266"/>
    <mergeCell ref="B267:B302"/>
    <mergeCell ref="B41:B60"/>
    <mergeCell ref="B61:B79"/>
    <mergeCell ref="B80:B104"/>
    <mergeCell ref="B105:B128"/>
    <mergeCell ref="B7:E8"/>
    <mergeCell ref="B10:B38"/>
    <mergeCell ref="B39:B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73"/>
  <sheetViews>
    <sheetView showGridLines="0" view="pageBreakPreview" zoomScaleNormal="100" zoomScaleSheetLayoutView="100" workbookViewId="0">
      <selection activeCell="F22" sqref="F22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6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93"/>
      <c r="C7" s="93"/>
      <c r="D7" s="93"/>
      <c r="E7" s="93"/>
    </row>
    <row r="8" spans="1:5" s="21" customFormat="1" ht="33" customHeight="1">
      <c r="A8" s="22"/>
      <c r="B8" s="93"/>
      <c r="C8" s="93"/>
      <c r="D8" s="93"/>
      <c r="E8" s="93"/>
    </row>
    <row r="9" spans="1:5" s="15" customFormat="1" ht="40.5" customHeight="1">
      <c r="B9" s="52" t="s">
        <v>22</v>
      </c>
      <c r="C9" s="53" t="s">
        <v>27</v>
      </c>
      <c r="D9" s="54" t="s">
        <v>20</v>
      </c>
      <c r="E9" s="52" t="s">
        <v>19</v>
      </c>
    </row>
    <row r="10" spans="1:5" ht="15" customHeight="1">
      <c r="B10" s="95" t="s">
        <v>84</v>
      </c>
      <c r="C10" s="55" t="s">
        <v>266</v>
      </c>
      <c r="D10" s="58">
        <v>1</v>
      </c>
      <c r="E10" s="57">
        <v>0</v>
      </c>
    </row>
    <row r="11" spans="1:5" ht="15" customHeight="1">
      <c r="B11" s="95"/>
      <c r="C11" s="55" t="s">
        <v>183</v>
      </c>
      <c r="D11" s="58">
        <v>4</v>
      </c>
      <c r="E11" s="57">
        <v>0</v>
      </c>
    </row>
    <row r="12" spans="1:5" ht="15" customHeight="1">
      <c r="B12" s="95"/>
      <c r="C12" s="55" t="s">
        <v>269</v>
      </c>
      <c r="D12" s="58">
        <v>1</v>
      </c>
      <c r="E12" s="57">
        <v>0</v>
      </c>
    </row>
    <row r="13" spans="1:5" ht="15" customHeight="1">
      <c r="B13" s="95"/>
      <c r="C13" s="55" t="s">
        <v>187</v>
      </c>
      <c r="D13" s="58">
        <v>6</v>
      </c>
      <c r="E13" s="57">
        <v>0</v>
      </c>
    </row>
    <row r="14" spans="1:5" ht="15" customHeight="1">
      <c r="B14" s="95"/>
      <c r="C14" s="55" t="s">
        <v>188</v>
      </c>
      <c r="D14" s="58">
        <v>1</v>
      </c>
      <c r="E14" s="57">
        <v>0</v>
      </c>
    </row>
    <row r="15" spans="1:5" ht="15" customHeight="1">
      <c r="B15" s="95"/>
      <c r="C15" s="55" t="s">
        <v>190</v>
      </c>
      <c r="D15" s="58">
        <v>5</v>
      </c>
      <c r="E15" s="57">
        <v>0</v>
      </c>
    </row>
    <row r="16" spans="1:5" ht="15" customHeight="1">
      <c r="B16" s="95"/>
      <c r="C16" s="55" t="s">
        <v>195</v>
      </c>
      <c r="D16" s="58">
        <v>1</v>
      </c>
      <c r="E16" s="57">
        <v>0</v>
      </c>
    </row>
    <row r="17" spans="2:5" ht="15" customHeight="1">
      <c r="B17" s="95"/>
      <c r="C17" s="72" t="s">
        <v>284</v>
      </c>
      <c r="D17" s="73">
        <v>19</v>
      </c>
      <c r="E17" s="71">
        <v>1E-3</v>
      </c>
    </row>
    <row r="18" spans="2:5" ht="15" customHeight="1">
      <c r="B18" s="95" t="s">
        <v>53</v>
      </c>
      <c r="C18" s="55" t="s">
        <v>176</v>
      </c>
      <c r="D18" s="58">
        <v>6</v>
      </c>
      <c r="E18" s="57">
        <v>0</v>
      </c>
    </row>
    <row r="19" spans="2:5" ht="15" customHeight="1">
      <c r="B19" s="95"/>
      <c r="C19" s="55" t="s">
        <v>260</v>
      </c>
      <c r="D19" s="58">
        <v>1</v>
      </c>
      <c r="E19" s="57">
        <v>0</v>
      </c>
    </row>
    <row r="20" spans="2:5" ht="15" customHeight="1">
      <c r="B20" s="95"/>
      <c r="C20" s="55" t="s">
        <v>262</v>
      </c>
      <c r="D20" s="58">
        <v>1</v>
      </c>
      <c r="E20" s="57">
        <v>0</v>
      </c>
    </row>
    <row r="21" spans="2:5" ht="15" customHeight="1">
      <c r="B21" s="95"/>
      <c r="C21" s="55" t="s">
        <v>263</v>
      </c>
      <c r="D21" s="58">
        <v>1</v>
      </c>
      <c r="E21" s="57">
        <v>0</v>
      </c>
    </row>
    <row r="22" spans="2:5" ht="15" customHeight="1">
      <c r="B22" s="95"/>
      <c r="C22" s="55" t="s">
        <v>264</v>
      </c>
      <c r="D22" s="58">
        <v>2</v>
      </c>
      <c r="E22" s="57">
        <v>0</v>
      </c>
    </row>
    <row r="23" spans="2:5" ht="15" customHeight="1">
      <c r="B23" s="95"/>
      <c r="C23" s="55" t="s">
        <v>265</v>
      </c>
      <c r="D23" s="58">
        <v>2</v>
      </c>
      <c r="E23" s="57">
        <v>0</v>
      </c>
    </row>
    <row r="24" spans="2:5" ht="15" customHeight="1">
      <c r="B24" s="95"/>
      <c r="C24" s="55" t="s">
        <v>266</v>
      </c>
      <c r="D24" s="58">
        <v>10</v>
      </c>
      <c r="E24" s="57">
        <v>1E-3</v>
      </c>
    </row>
    <row r="25" spans="2:5" ht="15" customHeight="1">
      <c r="B25" s="95"/>
      <c r="C25" s="55" t="s">
        <v>183</v>
      </c>
      <c r="D25" s="58">
        <v>51</v>
      </c>
      <c r="E25" s="57">
        <v>3.0000000000000001E-3</v>
      </c>
    </row>
    <row r="26" spans="2:5" ht="15" customHeight="1">
      <c r="B26" s="95"/>
      <c r="C26" s="55" t="s">
        <v>267</v>
      </c>
      <c r="D26" s="58">
        <v>3</v>
      </c>
      <c r="E26" s="57">
        <v>0</v>
      </c>
    </row>
    <row r="27" spans="2:5" ht="15" customHeight="1">
      <c r="B27" s="95"/>
      <c r="C27" s="55" t="s">
        <v>268</v>
      </c>
      <c r="D27" s="58">
        <v>6</v>
      </c>
      <c r="E27" s="57">
        <v>0</v>
      </c>
    </row>
    <row r="28" spans="2:5" ht="15" customHeight="1">
      <c r="B28" s="95"/>
      <c r="C28" s="55" t="s">
        <v>269</v>
      </c>
      <c r="D28" s="58">
        <v>9</v>
      </c>
      <c r="E28" s="57">
        <v>1E-3</v>
      </c>
    </row>
    <row r="29" spans="2:5" ht="15" customHeight="1">
      <c r="B29" s="95"/>
      <c r="C29" s="55" t="s">
        <v>187</v>
      </c>
      <c r="D29" s="58">
        <v>183</v>
      </c>
      <c r="E29" s="57">
        <v>1.2E-2</v>
      </c>
    </row>
    <row r="30" spans="2:5" ht="15" customHeight="1">
      <c r="B30" s="95"/>
      <c r="C30" s="55" t="s">
        <v>188</v>
      </c>
      <c r="D30" s="58">
        <v>6</v>
      </c>
      <c r="E30" s="57">
        <v>0</v>
      </c>
    </row>
    <row r="31" spans="2:5" ht="15" customHeight="1">
      <c r="B31" s="95"/>
      <c r="C31" s="55" t="s">
        <v>189</v>
      </c>
      <c r="D31" s="58">
        <v>20</v>
      </c>
      <c r="E31" s="57">
        <v>1E-3</v>
      </c>
    </row>
    <row r="32" spans="2:5" ht="15" customHeight="1">
      <c r="B32" s="95"/>
      <c r="C32" s="55" t="s">
        <v>190</v>
      </c>
      <c r="D32" s="58">
        <v>70</v>
      </c>
      <c r="E32" s="57">
        <v>5.0000000000000001E-3</v>
      </c>
    </row>
    <row r="33" spans="2:5" ht="15" customHeight="1">
      <c r="B33" s="95"/>
      <c r="C33" s="55" t="s">
        <v>270</v>
      </c>
      <c r="D33" s="58">
        <v>1</v>
      </c>
      <c r="E33" s="57">
        <v>0</v>
      </c>
    </row>
    <row r="34" spans="2:5" ht="15" customHeight="1">
      <c r="B34" s="95"/>
      <c r="C34" s="55" t="s">
        <v>273</v>
      </c>
      <c r="D34" s="58">
        <v>1</v>
      </c>
      <c r="E34" s="57">
        <v>0</v>
      </c>
    </row>
    <row r="35" spans="2:5" ht="15" customHeight="1">
      <c r="B35" s="95"/>
      <c r="C35" s="55" t="s">
        <v>195</v>
      </c>
      <c r="D35" s="58">
        <v>2</v>
      </c>
      <c r="E35" s="57">
        <v>0</v>
      </c>
    </row>
    <row r="36" spans="2:5" ht="15" customHeight="1">
      <c r="B36" s="95"/>
      <c r="C36" s="55" t="s">
        <v>196</v>
      </c>
      <c r="D36" s="58">
        <v>12</v>
      </c>
      <c r="E36" s="57">
        <v>1E-3</v>
      </c>
    </row>
    <row r="37" spans="2:5" ht="15" customHeight="1">
      <c r="B37" s="95"/>
      <c r="C37" s="55" t="s">
        <v>198</v>
      </c>
      <c r="D37" s="58">
        <v>1</v>
      </c>
      <c r="E37" s="57">
        <v>0</v>
      </c>
    </row>
    <row r="38" spans="2:5" ht="15" customHeight="1">
      <c r="B38" s="95"/>
      <c r="C38" s="72" t="s">
        <v>284</v>
      </c>
      <c r="D38" s="73">
        <v>388</v>
      </c>
      <c r="E38" s="71">
        <v>2.5000000000000001E-2</v>
      </c>
    </row>
    <row r="39" spans="2:5" ht="15" customHeight="1">
      <c r="B39" s="95" t="s">
        <v>66</v>
      </c>
      <c r="C39" s="55" t="s">
        <v>176</v>
      </c>
      <c r="D39" s="58">
        <v>2</v>
      </c>
      <c r="E39" s="57">
        <v>0</v>
      </c>
    </row>
    <row r="40" spans="2:5" ht="15" customHeight="1">
      <c r="B40" s="95"/>
      <c r="C40" s="55" t="s">
        <v>262</v>
      </c>
      <c r="D40" s="58">
        <v>1</v>
      </c>
      <c r="E40" s="57">
        <v>0</v>
      </c>
    </row>
    <row r="41" spans="2:5" ht="15" customHeight="1">
      <c r="B41" s="95"/>
      <c r="C41" s="55" t="s">
        <v>263</v>
      </c>
      <c r="D41" s="58">
        <v>1</v>
      </c>
      <c r="E41" s="57">
        <v>0</v>
      </c>
    </row>
    <row r="42" spans="2:5" ht="15" customHeight="1">
      <c r="B42" s="95"/>
      <c r="C42" s="55" t="s">
        <v>264</v>
      </c>
      <c r="D42" s="58">
        <v>2</v>
      </c>
      <c r="E42" s="57">
        <v>0</v>
      </c>
    </row>
    <row r="43" spans="2:5" ht="15" customHeight="1">
      <c r="B43" s="95"/>
      <c r="C43" s="55" t="s">
        <v>266</v>
      </c>
      <c r="D43" s="58">
        <v>5</v>
      </c>
      <c r="E43" s="57">
        <v>0</v>
      </c>
    </row>
    <row r="44" spans="2:5" ht="15" customHeight="1">
      <c r="B44" s="95"/>
      <c r="C44" s="55" t="s">
        <v>183</v>
      </c>
      <c r="D44" s="58">
        <v>14</v>
      </c>
      <c r="E44" s="57">
        <v>1E-3</v>
      </c>
    </row>
    <row r="45" spans="2:5" ht="15" customHeight="1">
      <c r="B45" s="95"/>
      <c r="C45" s="55" t="s">
        <v>267</v>
      </c>
      <c r="D45" s="58">
        <v>1</v>
      </c>
      <c r="E45" s="57">
        <v>0</v>
      </c>
    </row>
    <row r="46" spans="2:5" ht="15" customHeight="1">
      <c r="B46" s="95"/>
      <c r="C46" s="55" t="s">
        <v>268</v>
      </c>
      <c r="D46" s="58">
        <v>3</v>
      </c>
      <c r="E46" s="57">
        <v>0</v>
      </c>
    </row>
    <row r="47" spans="2:5" ht="15" customHeight="1">
      <c r="B47" s="95"/>
      <c r="C47" s="55" t="s">
        <v>269</v>
      </c>
      <c r="D47" s="58">
        <v>3</v>
      </c>
      <c r="E47" s="57">
        <v>0</v>
      </c>
    </row>
    <row r="48" spans="2:5" ht="15" customHeight="1">
      <c r="B48" s="95"/>
      <c r="C48" s="55" t="s">
        <v>187</v>
      </c>
      <c r="D48" s="58">
        <v>47</v>
      </c>
      <c r="E48" s="57">
        <v>3.0000000000000001E-3</v>
      </c>
    </row>
    <row r="49" spans="2:5" ht="15" customHeight="1">
      <c r="B49" s="95"/>
      <c r="C49" s="55" t="s">
        <v>188</v>
      </c>
      <c r="D49" s="58">
        <v>2</v>
      </c>
      <c r="E49" s="57">
        <v>0</v>
      </c>
    </row>
    <row r="50" spans="2:5" ht="15" customHeight="1">
      <c r="B50" s="95"/>
      <c r="C50" s="55" t="s">
        <v>189</v>
      </c>
      <c r="D50" s="58">
        <v>11</v>
      </c>
      <c r="E50" s="57">
        <v>1E-3</v>
      </c>
    </row>
    <row r="51" spans="2:5" ht="15" customHeight="1">
      <c r="B51" s="95"/>
      <c r="C51" s="55" t="s">
        <v>190</v>
      </c>
      <c r="D51" s="58">
        <v>38</v>
      </c>
      <c r="E51" s="57">
        <v>2E-3</v>
      </c>
    </row>
    <row r="52" spans="2:5" ht="15" customHeight="1">
      <c r="B52" s="95"/>
      <c r="C52" s="55" t="s">
        <v>195</v>
      </c>
      <c r="D52" s="58">
        <v>1</v>
      </c>
      <c r="E52" s="57">
        <v>0</v>
      </c>
    </row>
    <row r="53" spans="2:5" ht="15" customHeight="1">
      <c r="B53" s="95"/>
      <c r="C53" s="55" t="s">
        <v>196</v>
      </c>
      <c r="D53" s="58">
        <v>4</v>
      </c>
      <c r="E53" s="57">
        <v>0</v>
      </c>
    </row>
    <row r="54" spans="2:5" ht="15" customHeight="1">
      <c r="B54" s="95"/>
      <c r="C54" s="72" t="s">
        <v>284</v>
      </c>
      <c r="D54" s="73">
        <v>135</v>
      </c>
      <c r="E54" s="71">
        <v>8.9999999999999993E-3</v>
      </c>
    </row>
    <row r="55" spans="2:5" ht="15" customHeight="1">
      <c r="B55" s="95" t="s">
        <v>77</v>
      </c>
      <c r="C55" s="55" t="s">
        <v>263</v>
      </c>
      <c r="D55" s="58">
        <v>1</v>
      </c>
      <c r="E55" s="57">
        <v>0</v>
      </c>
    </row>
    <row r="56" spans="2:5" ht="15" customHeight="1">
      <c r="B56" s="95"/>
      <c r="C56" s="55" t="s">
        <v>266</v>
      </c>
      <c r="D56" s="58">
        <v>6</v>
      </c>
      <c r="E56" s="57">
        <v>0</v>
      </c>
    </row>
    <row r="57" spans="2:5" ht="15" customHeight="1">
      <c r="B57" s="95"/>
      <c r="C57" s="55" t="s">
        <v>183</v>
      </c>
      <c r="D57" s="58">
        <v>13</v>
      </c>
      <c r="E57" s="57">
        <v>1E-3</v>
      </c>
    </row>
    <row r="58" spans="2:5" ht="15" customHeight="1">
      <c r="B58" s="95"/>
      <c r="C58" s="55" t="s">
        <v>267</v>
      </c>
      <c r="D58" s="58">
        <v>2</v>
      </c>
      <c r="E58" s="57">
        <v>0</v>
      </c>
    </row>
    <row r="59" spans="2:5" ht="15" customHeight="1">
      <c r="B59" s="95"/>
      <c r="C59" s="55" t="s">
        <v>268</v>
      </c>
      <c r="D59" s="58">
        <v>4</v>
      </c>
      <c r="E59" s="57">
        <v>0</v>
      </c>
    </row>
    <row r="60" spans="2:5" ht="15" customHeight="1">
      <c r="B60" s="95"/>
      <c r="C60" s="55" t="s">
        <v>269</v>
      </c>
      <c r="D60" s="58">
        <v>6</v>
      </c>
      <c r="E60" s="57">
        <v>0</v>
      </c>
    </row>
    <row r="61" spans="2:5" ht="15" customHeight="1">
      <c r="B61" s="95"/>
      <c r="C61" s="55" t="s">
        <v>187</v>
      </c>
      <c r="D61" s="58">
        <v>23</v>
      </c>
      <c r="E61" s="57">
        <v>1E-3</v>
      </c>
    </row>
    <row r="62" spans="2:5" ht="15" customHeight="1">
      <c r="B62" s="95"/>
      <c r="C62" s="55" t="s">
        <v>189</v>
      </c>
      <c r="D62" s="58">
        <v>5</v>
      </c>
      <c r="E62" s="57">
        <v>0</v>
      </c>
    </row>
    <row r="63" spans="2:5" ht="15" customHeight="1">
      <c r="B63" s="95"/>
      <c r="C63" s="55" t="s">
        <v>190</v>
      </c>
      <c r="D63" s="58">
        <v>23</v>
      </c>
      <c r="E63" s="57">
        <v>1E-3</v>
      </c>
    </row>
    <row r="64" spans="2:5" ht="15" customHeight="1">
      <c r="B64" s="95"/>
      <c r="C64" s="55" t="s">
        <v>196</v>
      </c>
      <c r="D64" s="58">
        <v>2</v>
      </c>
      <c r="E64" s="57">
        <v>0</v>
      </c>
    </row>
    <row r="65" spans="2:5" ht="15" customHeight="1">
      <c r="B65" s="95"/>
      <c r="C65" s="72" t="s">
        <v>284</v>
      </c>
      <c r="D65" s="73">
        <v>85</v>
      </c>
      <c r="E65" s="71">
        <v>6.0000000000000001E-3</v>
      </c>
    </row>
    <row r="66" spans="2:5" ht="15" customHeight="1">
      <c r="B66" s="95" t="s">
        <v>81</v>
      </c>
      <c r="C66" s="55" t="s">
        <v>176</v>
      </c>
      <c r="D66" s="58">
        <v>2</v>
      </c>
      <c r="E66" s="57">
        <v>0</v>
      </c>
    </row>
    <row r="67" spans="2:5" ht="15" customHeight="1">
      <c r="B67" s="95"/>
      <c r="C67" s="55" t="s">
        <v>265</v>
      </c>
      <c r="D67" s="58">
        <v>1</v>
      </c>
      <c r="E67" s="57">
        <v>0</v>
      </c>
    </row>
    <row r="68" spans="2:5" ht="15" customHeight="1">
      <c r="B68" s="95"/>
      <c r="C68" s="55" t="s">
        <v>266</v>
      </c>
      <c r="D68" s="58">
        <v>2</v>
      </c>
      <c r="E68" s="57">
        <v>0</v>
      </c>
    </row>
    <row r="69" spans="2:5" ht="15" customHeight="1">
      <c r="B69" s="95"/>
      <c r="C69" s="55" t="s">
        <v>183</v>
      </c>
      <c r="D69" s="58">
        <v>1</v>
      </c>
      <c r="E69" s="57">
        <v>0</v>
      </c>
    </row>
    <row r="70" spans="2:5" ht="15" customHeight="1">
      <c r="B70" s="95"/>
      <c r="C70" s="55" t="s">
        <v>268</v>
      </c>
      <c r="D70" s="58">
        <v>1</v>
      </c>
      <c r="E70" s="57">
        <v>0</v>
      </c>
    </row>
    <row r="71" spans="2:5" ht="15" customHeight="1">
      <c r="B71" s="95"/>
      <c r="C71" s="55" t="s">
        <v>187</v>
      </c>
      <c r="D71" s="58">
        <v>15</v>
      </c>
      <c r="E71" s="57">
        <v>1E-3</v>
      </c>
    </row>
    <row r="72" spans="2:5" ht="15" customHeight="1">
      <c r="B72" s="95"/>
      <c r="C72" s="55" t="s">
        <v>188</v>
      </c>
      <c r="D72" s="58">
        <v>1</v>
      </c>
      <c r="E72" s="57">
        <v>0</v>
      </c>
    </row>
    <row r="73" spans="2:5" ht="15" customHeight="1">
      <c r="B73" s="95"/>
      <c r="C73" s="55" t="s">
        <v>189</v>
      </c>
      <c r="D73" s="58">
        <v>1</v>
      </c>
      <c r="E73" s="57">
        <v>0</v>
      </c>
    </row>
    <row r="74" spans="2:5" ht="15" customHeight="1">
      <c r="B74" s="95"/>
      <c r="C74" s="55" t="s">
        <v>190</v>
      </c>
      <c r="D74" s="58">
        <v>9</v>
      </c>
      <c r="E74" s="57">
        <v>1E-3</v>
      </c>
    </row>
    <row r="75" spans="2:5" ht="15" customHeight="1">
      <c r="B75" s="95"/>
      <c r="C75" s="55" t="s">
        <v>195</v>
      </c>
      <c r="D75" s="58">
        <v>2</v>
      </c>
      <c r="E75" s="57">
        <v>0</v>
      </c>
    </row>
    <row r="76" spans="2:5" ht="15" customHeight="1">
      <c r="B76" s="95"/>
      <c r="C76" s="72" t="s">
        <v>284</v>
      </c>
      <c r="D76" s="73">
        <v>35</v>
      </c>
      <c r="E76" s="71">
        <v>2E-3</v>
      </c>
    </row>
    <row r="77" spans="2:5" ht="15" customHeight="1">
      <c r="B77" s="95" t="s">
        <v>85</v>
      </c>
      <c r="C77" s="55" t="s">
        <v>266</v>
      </c>
      <c r="D77" s="58">
        <v>2</v>
      </c>
      <c r="E77" s="57">
        <v>0</v>
      </c>
    </row>
    <row r="78" spans="2:5" ht="15" customHeight="1">
      <c r="B78" s="95"/>
      <c r="C78" s="55" t="s">
        <v>187</v>
      </c>
      <c r="D78" s="58">
        <v>3</v>
      </c>
      <c r="E78" s="57">
        <v>0</v>
      </c>
    </row>
    <row r="79" spans="2:5" ht="15" customHeight="1">
      <c r="B79" s="95"/>
      <c r="C79" s="55" t="s">
        <v>189</v>
      </c>
      <c r="D79" s="58">
        <v>2</v>
      </c>
      <c r="E79" s="57">
        <v>0</v>
      </c>
    </row>
    <row r="80" spans="2:5" ht="15" customHeight="1">
      <c r="B80" s="95"/>
      <c r="C80" s="55" t="s">
        <v>190</v>
      </c>
      <c r="D80" s="58">
        <v>5</v>
      </c>
      <c r="E80" s="57">
        <v>0</v>
      </c>
    </row>
    <row r="81" spans="2:5" ht="15" customHeight="1">
      <c r="B81" s="95"/>
      <c r="C81" s="55" t="s">
        <v>270</v>
      </c>
      <c r="D81" s="58">
        <v>1</v>
      </c>
      <c r="E81" s="57">
        <v>0</v>
      </c>
    </row>
    <row r="82" spans="2:5" ht="15" customHeight="1">
      <c r="B82" s="95"/>
      <c r="C82" s="55" t="s">
        <v>196</v>
      </c>
      <c r="D82" s="58">
        <v>3</v>
      </c>
      <c r="E82" s="57">
        <v>0</v>
      </c>
    </row>
    <row r="83" spans="2:5" ht="15" customHeight="1">
      <c r="B83" s="95"/>
      <c r="C83" s="72" t="s">
        <v>284</v>
      </c>
      <c r="D83" s="73">
        <v>16</v>
      </c>
      <c r="E83" s="71">
        <v>1E-3</v>
      </c>
    </row>
    <row r="84" spans="2:5" ht="15" customHeight="1">
      <c r="B84" s="95" t="s">
        <v>92</v>
      </c>
      <c r="C84" s="55" t="s">
        <v>188</v>
      </c>
      <c r="D84" s="58">
        <v>2</v>
      </c>
      <c r="E84" s="57">
        <v>0</v>
      </c>
    </row>
    <row r="85" spans="2:5" ht="15" customHeight="1">
      <c r="B85" s="95"/>
      <c r="C85" s="55" t="s">
        <v>190</v>
      </c>
      <c r="D85" s="58">
        <v>1</v>
      </c>
      <c r="E85" s="57">
        <v>0</v>
      </c>
    </row>
    <row r="86" spans="2:5" ht="15" customHeight="1">
      <c r="B86" s="95"/>
      <c r="C86" s="72" t="s">
        <v>284</v>
      </c>
      <c r="D86" s="73">
        <v>3</v>
      </c>
      <c r="E86" s="71">
        <v>0</v>
      </c>
    </row>
    <row r="87" spans="2:5" ht="15" customHeight="1">
      <c r="B87" s="95" t="s">
        <v>44</v>
      </c>
      <c r="C87" s="55" t="s">
        <v>176</v>
      </c>
      <c r="D87" s="58">
        <v>19</v>
      </c>
      <c r="E87" s="57">
        <v>1E-3</v>
      </c>
    </row>
    <row r="88" spans="2:5" ht="15" customHeight="1">
      <c r="B88" s="95"/>
      <c r="C88" s="55" t="s">
        <v>260</v>
      </c>
      <c r="D88" s="58">
        <v>12</v>
      </c>
      <c r="E88" s="57">
        <v>1E-3</v>
      </c>
    </row>
    <row r="89" spans="2:5" ht="15" customHeight="1">
      <c r="B89" s="95"/>
      <c r="C89" s="55" t="s">
        <v>262</v>
      </c>
      <c r="D89" s="58">
        <v>4</v>
      </c>
      <c r="E89" s="57">
        <v>0</v>
      </c>
    </row>
    <row r="90" spans="2:5" ht="15" customHeight="1">
      <c r="B90" s="95"/>
      <c r="C90" s="55" t="s">
        <v>263</v>
      </c>
      <c r="D90" s="58">
        <v>14</v>
      </c>
      <c r="E90" s="57">
        <v>1E-3</v>
      </c>
    </row>
    <row r="91" spans="2:5" ht="15" customHeight="1">
      <c r="B91" s="95"/>
      <c r="C91" s="55" t="s">
        <v>264</v>
      </c>
      <c r="D91" s="58">
        <v>10</v>
      </c>
      <c r="E91" s="57">
        <v>1E-3</v>
      </c>
    </row>
    <row r="92" spans="2:5" ht="15" customHeight="1">
      <c r="B92" s="95"/>
      <c r="C92" s="55" t="s">
        <v>265</v>
      </c>
      <c r="D92" s="58">
        <v>10</v>
      </c>
      <c r="E92" s="57">
        <v>1E-3</v>
      </c>
    </row>
    <row r="93" spans="2:5" ht="15" customHeight="1">
      <c r="B93" s="95"/>
      <c r="C93" s="55" t="s">
        <v>266</v>
      </c>
      <c r="D93" s="58">
        <v>98</v>
      </c>
      <c r="E93" s="57">
        <v>6.0000000000000001E-3</v>
      </c>
    </row>
    <row r="94" spans="2:5" ht="15" customHeight="1">
      <c r="B94" s="95"/>
      <c r="C94" s="55" t="s">
        <v>183</v>
      </c>
      <c r="D94" s="58">
        <v>405</v>
      </c>
      <c r="E94" s="57">
        <v>2.5999999999999999E-2</v>
      </c>
    </row>
    <row r="95" spans="2:5" ht="15" customHeight="1">
      <c r="B95" s="95"/>
      <c r="C95" s="55" t="s">
        <v>267</v>
      </c>
      <c r="D95" s="58">
        <v>18</v>
      </c>
      <c r="E95" s="57">
        <v>1E-3</v>
      </c>
    </row>
    <row r="96" spans="2:5" ht="15" customHeight="1">
      <c r="B96" s="95"/>
      <c r="C96" s="55" t="s">
        <v>268</v>
      </c>
      <c r="D96" s="58">
        <v>25</v>
      </c>
      <c r="E96" s="57">
        <v>2E-3</v>
      </c>
    </row>
    <row r="97" spans="2:5" ht="15" customHeight="1">
      <c r="B97" s="95"/>
      <c r="C97" s="55" t="s">
        <v>269</v>
      </c>
      <c r="D97" s="58">
        <v>65</v>
      </c>
      <c r="E97" s="57">
        <v>4.0000000000000001E-3</v>
      </c>
    </row>
    <row r="98" spans="2:5" ht="15" customHeight="1">
      <c r="B98" s="95"/>
      <c r="C98" s="55" t="s">
        <v>187</v>
      </c>
      <c r="D98" s="56">
        <v>1263</v>
      </c>
      <c r="E98" s="57">
        <v>8.2000000000000003E-2</v>
      </c>
    </row>
    <row r="99" spans="2:5" ht="15" customHeight="1">
      <c r="B99" s="95"/>
      <c r="C99" s="55" t="s">
        <v>188</v>
      </c>
      <c r="D99" s="58">
        <v>56</v>
      </c>
      <c r="E99" s="57">
        <v>4.0000000000000001E-3</v>
      </c>
    </row>
    <row r="100" spans="2:5" ht="15" customHeight="1">
      <c r="B100" s="95"/>
      <c r="C100" s="55" t="s">
        <v>189</v>
      </c>
      <c r="D100" s="58">
        <v>119</v>
      </c>
      <c r="E100" s="57">
        <v>8.0000000000000002E-3</v>
      </c>
    </row>
    <row r="101" spans="2:5" ht="15" customHeight="1">
      <c r="B101" s="95"/>
      <c r="C101" s="55" t="s">
        <v>190</v>
      </c>
      <c r="D101" s="58">
        <v>643</v>
      </c>
      <c r="E101" s="57">
        <v>4.2000000000000003E-2</v>
      </c>
    </row>
    <row r="102" spans="2:5" ht="15" customHeight="1">
      <c r="B102" s="95"/>
      <c r="C102" s="55" t="s">
        <v>270</v>
      </c>
      <c r="D102" s="58">
        <v>10</v>
      </c>
      <c r="E102" s="57">
        <v>1E-3</v>
      </c>
    </row>
    <row r="103" spans="2:5" ht="15" customHeight="1">
      <c r="B103" s="95"/>
      <c r="C103" s="55" t="s">
        <v>271</v>
      </c>
      <c r="D103" s="58">
        <v>11</v>
      </c>
      <c r="E103" s="57">
        <v>1E-3</v>
      </c>
    </row>
    <row r="104" spans="2:5" ht="15" customHeight="1">
      <c r="B104" s="95"/>
      <c r="C104" s="55" t="s">
        <v>195</v>
      </c>
      <c r="D104" s="58">
        <v>29</v>
      </c>
      <c r="E104" s="57">
        <v>2E-3</v>
      </c>
    </row>
    <row r="105" spans="2:5" ht="15" customHeight="1">
      <c r="B105" s="95"/>
      <c r="C105" s="55" t="s">
        <v>196</v>
      </c>
      <c r="D105" s="58">
        <v>121</v>
      </c>
      <c r="E105" s="57">
        <v>8.0000000000000002E-3</v>
      </c>
    </row>
    <row r="106" spans="2:5" ht="15" customHeight="1">
      <c r="B106" s="95"/>
      <c r="C106" s="55" t="s">
        <v>197</v>
      </c>
      <c r="D106" s="58">
        <v>1</v>
      </c>
      <c r="E106" s="57">
        <v>0</v>
      </c>
    </row>
    <row r="107" spans="2:5" ht="15" customHeight="1">
      <c r="B107" s="95"/>
      <c r="C107" s="55" t="s">
        <v>198</v>
      </c>
      <c r="D107" s="58">
        <v>3</v>
      </c>
      <c r="E107" s="57">
        <v>0</v>
      </c>
    </row>
    <row r="108" spans="2:5" ht="15" customHeight="1">
      <c r="B108" s="95"/>
      <c r="C108" s="72" t="s">
        <v>284</v>
      </c>
      <c r="D108" s="69">
        <v>2936</v>
      </c>
      <c r="E108" s="71">
        <v>0.19</v>
      </c>
    </row>
    <row r="109" spans="2:5" ht="15" customHeight="1">
      <c r="B109" s="95" t="s">
        <v>50</v>
      </c>
      <c r="C109" s="55" t="s">
        <v>176</v>
      </c>
      <c r="D109" s="58">
        <v>3</v>
      </c>
      <c r="E109" s="57">
        <v>0</v>
      </c>
    </row>
    <row r="110" spans="2:5" ht="15" customHeight="1">
      <c r="B110" s="95"/>
      <c r="C110" s="55" t="s">
        <v>260</v>
      </c>
      <c r="D110" s="58">
        <v>4</v>
      </c>
      <c r="E110" s="57">
        <v>0</v>
      </c>
    </row>
    <row r="111" spans="2:5" ht="15" customHeight="1">
      <c r="B111" s="95"/>
      <c r="C111" s="55" t="s">
        <v>263</v>
      </c>
      <c r="D111" s="58">
        <v>5</v>
      </c>
      <c r="E111" s="57">
        <v>0</v>
      </c>
    </row>
    <row r="112" spans="2:5" ht="15" customHeight="1">
      <c r="B112" s="95"/>
      <c r="C112" s="55" t="s">
        <v>264</v>
      </c>
      <c r="D112" s="58">
        <v>4</v>
      </c>
      <c r="E112" s="57">
        <v>0</v>
      </c>
    </row>
    <row r="113" spans="2:5" ht="15" customHeight="1">
      <c r="B113" s="95"/>
      <c r="C113" s="55" t="s">
        <v>265</v>
      </c>
      <c r="D113" s="58">
        <v>2</v>
      </c>
      <c r="E113" s="57">
        <v>0</v>
      </c>
    </row>
    <row r="114" spans="2:5" ht="15" customHeight="1">
      <c r="B114" s="95"/>
      <c r="C114" s="55" t="s">
        <v>266</v>
      </c>
      <c r="D114" s="58">
        <v>31</v>
      </c>
      <c r="E114" s="57">
        <v>2E-3</v>
      </c>
    </row>
    <row r="115" spans="2:5" ht="15" customHeight="1">
      <c r="B115" s="95"/>
      <c r="C115" s="55" t="s">
        <v>183</v>
      </c>
      <c r="D115" s="58">
        <v>54</v>
      </c>
      <c r="E115" s="57">
        <v>3.0000000000000001E-3</v>
      </c>
    </row>
    <row r="116" spans="2:5" ht="15" customHeight="1">
      <c r="B116" s="95"/>
      <c r="C116" s="55" t="s">
        <v>267</v>
      </c>
      <c r="D116" s="58">
        <v>4</v>
      </c>
      <c r="E116" s="57">
        <v>0</v>
      </c>
    </row>
    <row r="117" spans="2:5" ht="15" customHeight="1">
      <c r="B117" s="95"/>
      <c r="C117" s="55" t="s">
        <v>268</v>
      </c>
      <c r="D117" s="58">
        <v>3</v>
      </c>
      <c r="E117" s="57">
        <v>0</v>
      </c>
    </row>
    <row r="118" spans="2:5" ht="15" customHeight="1">
      <c r="B118" s="95"/>
      <c r="C118" s="55" t="s">
        <v>269</v>
      </c>
      <c r="D118" s="58">
        <v>27</v>
      </c>
      <c r="E118" s="57">
        <v>2E-3</v>
      </c>
    </row>
    <row r="119" spans="2:5" ht="15" customHeight="1">
      <c r="B119" s="95"/>
      <c r="C119" s="55" t="s">
        <v>187</v>
      </c>
      <c r="D119" s="58">
        <v>189</v>
      </c>
      <c r="E119" s="57">
        <v>1.2E-2</v>
      </c>
    </row>
    <row r="120" spans="2:5" ht="15" customHeight="1">
      <c r="B120" s="95"/>
      <c r="C120" s="55" t="s">
        <v>188</v>
      </c>
      <c r="D120" s="58">
        <v>3</v>
      </c>
      <c r="E120" s="57">
        <v>0</v>
      </c>
    </row>
    <row r="121" spans="2:5" ht="15" customHeight="1">
      <c r="B121" s="95"/>
      <c r="C121" s="55" t="s">
        <v>189</v>
      </c>
      <c r="D121" s="58">
        <v>41</v>
      </c>
      <c r="E121" s="57">
        <v>3.0000000000000001E-3</v>
      </c>
    </row>
    <row r="122" spans="2:5" ht="15" customHeight="1">
      <c r="B122" s="95"/>
      <c r="C122" s="55" t="s">
        <v>190</v>
      </c>
      <c r="D122" s="58">
        <v>141</v>
      </c>
      <c r="E122" s="57">
        <v>8.9999999999999993E-3</v>
      </c>
    </row>
    <row r="123" spans="2:5" ht="15" customHeight="1">
      <c r="B123" s="95"/>
      <c r="C123" s="55" t="s">
        <v>270</v>
      </c>
      <c r="D123" s="58">
        <v>1</v>
      </c>
      <c r="E123" s="57">
        <v>0</v>
      </c>
    </row>
    <row r="124" spans="2:5" ht="15" customHeight="1">
      <c r="B124" s="95"/>
      <c r="C124" s="55" t="s">
        <v>271</v>
      </c>
      <c r="D124" s="58">
        <v>4</v>
      </c>
      <c r="E124" s="57">
        <v>0</v>
      </c>
    </row>
    <row r="125" spans="2:5" ht="15" customHeight="1">
      <c r="B125" s="95"/>
      <c r="C125" s="55" t="s">
        <v>272</v>
      </c>
      <c r="D125" s="58">
        <v>1</v>
      </c>
      <c r="E125" s="57">
        <v>0</v>
      </c>
    </row>
    <row r="126" spans="2:5" ht="15" customHeight="1">
      <c r="B126" s="95"/>
      <c r="C126" s="55" t="s">
        <v>195</v>
      </c>
      <c r="D126" s="58">
        <v>7</v>
      </c>
      <c r="E126" s="57">
        <v>0</v>
      </c>
    </row>
    <row r="127" spans="2:5" ht="15" customHeight="1">
      <c r="B127" s="95"/>
      <c r="C127" s="55" t="s">
        <v>196</v>
      </c>
      <c r="D127" s="58">
        <v>18</v>
      </c>
      <c r="E127" s="57">
        <v>1E-3</v>
      </c>
    </row>
    <row r="128" spans="2:5" ht="15" customHeight="1">
      <c r="B128" s="95"/>
      <c r="C128" s="55" t="s">
        <v>198</v>
      </c>
      <c r="D128" s="58">
        <v>2</v>
      </c>
      <c r="E128" s="57">
        <v>0</v>
      </c>
    </row>
    <row r="129" spans="2:5" ht="15" customHeight="1">
      <c r="B129" s="95"/>
      <c r="C129" s="72" t="s">
        <v>284</v>
      </c>
      <c r="D129" s="73">
        <v>544</v>
      </c>
      <c r="E129" s="71">
        <v>3.5000000000000003E-2</v>
      </c>
    </row>
    <row r="130" spans="2:5" ht="15" customHeight="1">
      <c r="B130" s="95" t="s">
        <v>89</v>
      </c>
      <c r="C130" s="55" t="s">
        <v>196</v>
      </c>
      <c r="D130" s="58">
        <v>1</v>
      </c>
      <c r="E130" s="57">
        <v>0</v>
      </c>
    </row>
    <row r="131" spans="2:5" ht="15" customHeight="1">
      <c r="B131" s="95"/>
      <c r="C131" s="72" t="s">
        <v>284</v>
      </c>
      <c r="D131" s="73">
        <v>1</v>
      </c>
      <c r="E131" s="71">
        <v>0</v>
      </c>
    </row>
    <row r="132" spans="2:5" ht="15" customHeight="1">
      <c r="B132" s="95" t="s">
        <v>61</v>
      </c>
      <c r="C132" s="55" t="s">
        <v>176</v>
      </c>
      <c r="D132" s="58">
        <v>4</v>
      </c>
      <c r="E132" s="57">
        <v>0</v>
      </c>
    </row>
    <row r="133" spans="2:5" ht="15" customHeight="1">
      <c r="B133" s="95"/>
      <c r="C133" s="55" t="s">
        <v>260</v>
      </c>
      <c r="D133" s="58">
        <v>1</v>
      </c>
      <c r="E133" s="57">
        <v>0</v>
      </c>
    </row>
    <row r="134" spans="2:5" ht="15" customHeight="1">
      <c r="B134" s="95"/>
      <c r="C134" s="55" t="s">
        <v>262</v>
      </c>
      <c r="D134" s="58">
        <v>1</v>
      </c>
      <c r="E134" s="57">
        <v>0</v>
      </c>
    </row>
    <row r="135" spans="2:5" ht="15" customHeight="1">
      <c r="B135" s="95"/>
      <c r="C135" s="55" t="s">
        <v>263</v>
      </c>
      <c r="D135" s="58">
        <v>1</v>
      </c>
      <c r="E135" s="57">
        <v>0</v>
      </c>
    </row>
    <row r="136" spans="2:5" ht="15" customHeight="1">
      <c r="B136" s="95"/>
      <c r="C136" s="55" t="s">
        <v>264</v>
      </c>
      <c r="D136" s="58">
        <v>1</v>
      </c>
      <c r="E136" s="57">
        <v>0</v>
      </c>
    </row>
    <row r="137" spans="2:5" ht="15" customHeight="1">
      <c r="B137" s="95"/>
      <c r="C137" s="55" t="s">
        <v>265</v>
      </c>
      <c r="D137" s="58">
        <v>2</v>
      </c>
      <c r="E137" s="57">
        <v>0</v>
      </c>
    </row>
    <row r="138" spans="2:5" ht="15" customHeight="1">
      <c r="B138" s="95"/>
      <c r="C138" s="55" t="s">
        <v>266</v>
      </c>
      <c r="D138" s="58">
        <v>17</v>
      </c>
      <c r="E138" s="57">
        <v>1E-3</v>
      </c>
    </row>
    <row r="139" spans="2:5" ht="15" customHeight="1">
      <c r="B139" s="95"/>
      <c r="C139" s="55" t="s">
        <v>183</v>
      </c>
      <c r="D139" s="58">
        <v>17</v>
      </c>
      <c r="E139" s="57">
        <v>1E-3</v>
      </c>
    </row>
    <row r="140" spans="2:5" ht="15" customHeight="1">
      <c r="B140" s="95"/>
      <c r="C140" s="55" t="s">
        <v>267</v>
      </c>
      <c r="D140" s="58">
        <v>4</v>
      </c>
      <c r="E140" s="57">
        <v>0</v>
      </c>
    </row>
    <row r="141" spans="2:5" ht="15" customHeight="1">
      <c r="B141" s="95"/>
      <c r="C141" s="55" t="s">
        <v>268</v>
      </c>
      <c r="D141" s="58">
        <v>3</v>
      </c>
      <c r="E141" s="57">
        <v>0</v>
      </c>
    </row>
    <row r="142" spans="2:5" ht="15" customHeight="1">
      <c r="B142" s="95"/>
      <c r="C142" s="55" t="s">
        <v>269</v>
      </c>
      <c r="D142" s="58">
        <v>18</v>
      </c>
      <c r="E142" s="57">
        <v>1E-3</v>
      </c>
    </row>
    <row r="143" spans="2:5" ht="15" customHeight="1">
      <c r="B143" s="95"/>
      <c r="C143" s="55" t="s">
        <v>187</v>
      </c>
      <c r="D143" s="58">
        <v>75</v>
      </c>
      <c r="E143" s="57">
        <v>5.0000000000000001E-3</v>
      </c>
    </row>
    <row r="144" spans="2:5" ht="15" customHeight="1">
      <c r="B144" s="95"/>
      <c r="C144" s="55" t="s">
        <v>188</v>
      </c>
      <c r="D144" s="58">
        <v>1</v>
      </c>
      <c r="E144" s="57">
        <v>0</v>
      </c>
    </row>
    <row r="145" spans="2:5" ht="15" customHeight="1">
      <c r="B145" s="95"/>
      <c r="C145" s="55" t="s">
        <v>189</v>
      </c>
      <c r="D145" s="58">
        <v>10</v>
      </c>
      <c r="E145" s="57">
        <v>1E-3</v>
      </c>
    </row>
    <row r="146" spans="2:5" ht="15" customHeight="1">
      <c r="B146" s="95"/>
      <c r="C146" s="55" t="s">
        <v>190</v>
      </c>
      <c r="D146" s="58">
        <v>41</v>
      </c>
      <c r="E146" s="57">
        <v>3.0000000000000001E-3</v>
      </c>
    </row>
    <row r="147" spans="2:5" ht="15" customHeight="1">
      <c r="B147" s="95"/>
      <c r="C147" s="55" t="s">
        <v>271</v>
      </c>
      <c r="D147" s="58">
        <v>1</v>
      </c>
      <c r="E147" s="57">
        <v>0</v>
      </c>
    </row>
    <row r="148" spans="2:5" ht="15" customHeight="1">
      <c r="B148" s="95"/>
      <c r="C148" s="55" t="s">
        <v>195</v>
      </c>
      <c r="D148" s="58">
        <v>2</v>
      </c>
      <c r="E148" s="57">
        <v>0</v>
      </c>
    </row>
    <row r="149" spans="2:5" ht="15" customHeight="1">
      <c r="B149" s="95"/>
      <c r="C149" s="55" t="s">
        <v>196</v>
      </c>
      <c r="D149" s="58">
        <v>5</v>
      </c>
      <c r="E149" s="57">
        <v>0</v>
      </c>
    </row>
    <row r="150" spans="2:5" ht="15" customHeight="1">
      <c r="B150" s="95"/>
      <c r="C150" s="72" t="s">
        <v>284</v>
      </c>
      <c r="D150" s="73">
        <v>204</v>
      </c>
      <c r="E150" s="71">
        <v>1.2999999999999999E-2</v>
      </c>
    </row>
    <row r="151" spans="2:5" ht="15" customHeight="1">
      <c r="B151" s="95" t="s">
        <v>62</v>
      </c>
      <c r="C151" s="55" t="s">
        <v>176</v>
      </c>
      <c r="D151" s="58">
        <v>2</v>
      </c>
      <c r="E151" s="57">
        <v>0</v>
      </c>
    </row>
    <row r="152" spans="2:5" ht="15" customHeight="1">
      <c r="B152" s="95"/>
      <c r="C152" s="55" t="s">
        <v>262</v>
      </c>
      <c r="D152" s="58">
        <v>1</v>
      </c>
      <c r="E152" s="57">
        <v>0</v>
      </c>
    </row>
    <row r="153" spans="2:5" ht="15" customHeight="1">
      <c r="B153" s="95"/>
      <c r="C153" s="55" t="s">
        <v>264</v>
      </c>
      <c r="D153" s="58">
        <v>1</v>
      </c>
      <c r="E153" s="57">
        <v>0</v>
      </c>
    </row>
    <row r="154" spans="2:5" ht="15" customHeight="1">
      <c r="B154" s="95"/>
      <c r="C154" s="55" t="s">
        <v>265</v>
      </c>
      <c r="D154" s="58">
        <v>1</v>
      </c>
      <c r="E154" s="57">
        <v>0</v>
      </c>
    </row>
    <row r="155" spans="2:5" ht="15" customHeight="1">
      <c r="B155" s="95"/>
      <c r="C155" s="55" t="s">
        <v>266</v>
      </c>
      <c r="D155" s="58">
        <v>15</v>
      </c>
      <c r="E155" s="57">
        <v>1E-3</v>
      </c>
    </row>
    <row r="156" spans="2:5" ht="15" customHeight="1">
      <c r="B156" s="95"/>
      <c r="C156" s="55" t="s">
        <v>183</v>
      </c>
      <c r="D156" s="58">
        <v>13</v>
      </c>
      <c r="E156" s="57">
        <v>1E-3</v>
      </c>
    </row>
    <row r="157" spans="2:5" ht="15" customHeight="1">
      <c r="B157" s="95"/>
      <c r="C157" s="55" t="s">
        <v>267</v>
      </c>
      <c r="D157" s="58">
        <v>3</v>
      </c>
      <c r="E157" s="57">
        <v>0</v>
      </c>
    </row>
    <row r="158" spans="2:5" ht="15" customHeight="1">
      <c r="B158" s="95"/>
      <c r="C158" s="55" t="s">
        <v>268</v>
      </c>
      <c r="D158" s="58">
        <v>5</v>
      </c>
      <c r="E158" s="57">
        <v>0</v>
      </c>
    </row>
    <row r="159" spans="2:5" ht="15" customHeight="1">
      <c r="B159" s="95"/>
      <c r="C159" s="55" t="s">
        <v>269</v>
      </c>
      <c r="D159" s="58">
        <v>14</v>
      </c>
      <c r="E159" s="57">
        <v>1E-3</v>
      </c>
    </row>
    <row r="160" spans="2:5" ht="15" customHeight="1">
      <c r="B160" s="95"/>
      <c r="C160" s="55" t="s">
        <v>187</v>
      </c>
      <c r="D160" s="58">
        <v>76</v>
      </c>
      <c r="E160" s="57">
        <v>5.0000000000000001E-3</v>
      </c>
    </row>
    <row r="161" spans="2:5" ht="15" customHeight="1">
      <c r="B161" s="95"/>
      <c r="C161" s="55" t="s">
        <v>188</v>
      </c>
      <c r="D161" s="58">
        <v>2</v>
      </c>
      <c r="E161" s="57">
        <v>0</v>
      </c>
    </row>
    <row r="162" spans="2:5" ht="15" customHeight="1">
      <c r="B162" s="95"/>
      <c r="C162" s="55" t="s">
        <v>189</v>
      </c>
      <c r="D162" s="58">
        <v>22</v>
      </c>
      <c r="E162" s="57">
        <v>1E-3</v>
      </c>
    </row>
    <row r="163" spans="2:5" ht="15" customHeight="1">
      <c r="B163" s="95"/>
      <c r="C163" s="55" t="s">
        <v>190</v>
      </c>
      <c r="D163" s="58">
        <v>32</v>
      </c>
      <c r="E163" s="57">
        <v>2E-3</v>
      </c>
    </row>
    <row r="164" spans="2:5" ht="15" customHeight="1">
      <c r="B164" s="95"/>
      <c r="C164" s="55" t="s">
        <v>270</v>
      </c>
      <c r="D164" s="58">
        <v>1</v>
      </c>
      <c r="E164" s="57">
        <v>0</v>
      </c>
    </row>
    <row r="165" spans="2:5" ht="15" customHeight="1">
      <c r="B165" s="95"/>
      <c r="C165" s="55" t="s">
        <v>271</v>
      </c>
      <c r="D165" s="58">
        <v>1</v>
      </c>
      <c r="E165" s="57">
        <v>0</v>
      </c>
    </row>
    <row r="166" spans="2:5" ht="15" customHeight="1">
      <c r="B166" s="95"/>
      <c r="C166" s="55" t="s">
        <v>196</v>
      </c>
      <c r="D166" s="58">
        <v>10</v>
      </c>
      <c r="E166" s="57">
        <v>1E-3</v>
      </c>
    </row>
    <row r="167" spans="2:5" ht="15" customHeight="1">
      <c r="B167" s="95"/>
      <c r="C167" s="72" t="s">
        <v>284</v>
      </c>
      <c r="D167" s="73">
        <v>199</v>
      </c>
      <c r="E167" s="71">
        <v>1.2999999999999999E-2</v>
      </c>
    </row>
    <row r="168" spans="2:5" ht="15" customHeight="1">
      <c r="B168" s="95" t="s">
        <v>93</v>
      </c>
      <c r="C168" s="55" t="s">
        <v>266</v>
      </c>
      <c r="D168" s="58">
        <v>1</v>
      </c>
      <c r="E168" s="57">
        <v>0</v>
      </c>
    </row>
    <row r="169" spans="2:5" ht="15" customHeight="1">
      <c r="B169" s="95"/>
      <c r="C169" s="72" t="s">
        <v>284</v>
      </c>
      <c r="D169" s="73">
        <v>1</v>
      </c>
      <c r="E169" s="71">
        <v>0</v>
      </c>
    </row>
    <row r="170" spans="2:5" ht="15" customHeight="1">
      <c r="B170" s="95" t="s">
        <v>86</v>
      </c>
      <c r="C170" s="55" t="s">
        <v>267</v>
      </c>
      <c r="D170" s="58">
        <v>1</v>
      </c>
      <c r="E170" s="57">
        <v>0</v>
      </c>
    </row>
    <row r="171" spans="2:5" ht="15" customHeight="1">
      <c r="B171" s="95"/>
      <c r="C171" s="55" t="s">
        <v>269</v>
      </c>
      <c r="D171" s="58">
        <v>1</v>
      </c>
      <c r="E171" s="57">
        <v>0</v>
      </c>
    </row>
    <row r="172" spans="2:5" ht="15" customHeight="1">
      <c r="B172" s="95"/>
      <c r="C172" s="55" t="s">
        <v>187</v>
      </c>
      <c r="D172" s="58">
        <v>2</v>
      </c>
      <c r="E172" s="57">
        <v>0</v>
      </c>
    </row>
    <row r="173" spans="2:5" ht="15" customHeight="1">
      <c r="B173" s="95"/>
      <c r="C173" s="55" t="s">
        <v>188</v>
      </c>
      <c r="D173" s="58">
        <v>1</v>
      </c>
      <c r="E173" s="57">
        <v>0</v>
      </c>
    </row>
    <row r="174" spans="2:5" ht="15" customHeight="1">
      <c r="B174" s="95"/>
      <c r="C174" s="55" t="s">
        <v>189</v>
      </c>
      <c r="D174" s="58">
        <v>1</v>
      </c>
      <c r="E174" s="57">
        <v>0</v>
      </c>
    </row>
    <row r="175" spans="2:5" ht="15" customHeight="1">
      <c r="B175" s="95"/>
      <c r="C175" s="55" t="s">
        <v>190</v>
      </c>
      <c r="D175" s="58">
        <v>2</v>
      </c>
      <c r="E175" s="57">
        <v>0</v>
      </c>
    </row>
    <row r="176" spans="2:5" ht="15" customHeight="1">
      <c r="B176" s="95"/>
      <c r="C176" s="55" t="s">
        <v>196</v>
      </c>
      <c r="D176" s="58">
        <v>2</v>
      </c>
      <c r="E176" s="57">
        <v>0</v>
      </c>
    </row>
    <row r="177" spans="2:5" ht="15" customHeight="1">
      <c r="B177" s="95"/>
      <c r="C177" s="72" t="s">
        <v>284</v>
      </c>
      <c r="D177" s="73">
        <v>10</v>
      </c>
      <c r="E177" s="71">
        <v>1E-3</v>
      </c>
    </row>
    <row r="178" spans="2:5" ht="15" customHeight="1">
      <c r="B178" s="95" t="s">
        <v>58</v>
      </c>
      <c r="C178" s="55" t="s">
        <v>176</v>
      </c>
      <c r="D178" s="58">
        <v>6</v>
      </c>
      <c r="E178" s="57">
        <v>0</v>
      </c>
    </row>
    <row r="179" spans="2:5" ht="15" customHeight="1">
      <c r="B179" s="95"/>
      <c r="C179" s="55" t="s">
        <v>260</v>
      </c>
      <c r="D179" s="58">
        <v>1</v>
      </c>
      <c r="E179" s="57">
        <v>0</v>
      </c>
    </row>
    <row r="180" spans="2:5" ht="15" customHeight="1">
      <c r="B180" s="95"/>
      <c r="C180" s="55" t="s">
        <v>262</v>
      </c>
      <c r="D180" s="58">
        <v>1</v>
      </c>
      <c r="E180" s="57">
        <v>0</v>
      </c>
    </row>
    <row r="181" spans="2:5" ht="15" customHeight="1">
      <c r="B181" s="95"/>
      <c r="C181" s="55" t="s">
        <v>263</v>
      </c>
      <c r="D181" s="58">
        <v>3</v>
      </c>
      <c r="E181" s="57">
        <v>0</v>
      </c>
    </row>
    <row r="182" spans="2:5" ht="15" customHeight="1">
      <c r="B182" s="95"/>
      <c r="C182" s="55" t="s">
        <v>264</v>
      </c>
      <c r="D182" s="58">
        <v>1</v>
      </c>
      <c r="E182" s="57">
        <v>0</v>
      </c>
    </row>
    <row r="183" spans="2:5" ht="15" customHeight="1">
      <c r="B183" s="95"/>
      <c r="C183" s="55" t="s">
        <v>265</v>
      </c>
      <c r="D183" s="58">
        <v>4</v>
      </c>
      <c r="E183" s="57">
        <v>0</v>
      </c>
    </row>
    <row r="184" spans="2:5" ht="15" customHeight="1">
      <c r="B184" s="95"/>
      <c r="C184" s="55" t="s">
        <v>266</v>
      </c>
      <c r="D184" s="58">
        <v>19</v>
      </c>
      <c r="E184" s="57">
        <v>1E-3</v>
      </c>
    </row>
    <row r="185" spans="2:5" ht="15" customHeight="1">
      <c r="B185" s="95"/>
      <c r="C185" s="55" t="s">
        <v>183</v>
      </c>
      <c r="D185" s="58">
        <v>24</v>
      </c>
      <c r="E185" s="57">
        <v>2E-3</v>
      </c>
    </row>
    <row r="186" spans="2:5" ht="15" customHeight="1">
      <c r="B186" s="95"/>
      <c r="C186" s="55" t="s">
        <v>267</v>
      </c>
      <c r="D186" s="58">
        <v>5</v>
      </c>
      <c r="E186" s="57">
        <v>0</v>
      </c>
    </row>
    <row r="187" spans="2:5" ht="15" customHeight="1">
      <c r="B187" s="95"/>
      <c r="C187" s="55" t="s">
        <v>268</v>
      </c>
      <c r="D187" s="58">
        <v>3</v>
      </c>
      <c r="E187" s="57">
        <v>0</v>
      </c>
    </row>
    <row r="188" spans="2:5" ht="15" customHeight="1">
      <c r="B188" s="95"/>
      <c r="C188" s="55" t="s">
        <v>269</v>
      </c>
      <c r="D188" s="58">
        <v>8</v>
      </c>
      <c r="E188" s="57">
        <v>1E-3</v>
      </c>
    </row>
    <row r="189" spans="2:5" ht="15" customHeight="1">
      <c r="B189" s="95"/>
      <c r="C189" s="55" t="s">
        <v>187</v>
      </c>
      <c r="D189" s="58">
        <v>90</v>
      </c>
      <c r="E189" s="57">
        <v>6.0000000000000001E-3</v>
      </c>
    </row>
    <row r="190" spans="2:5" ht="15" customHeight="1">
      <c r="B190" s="95"/>
      <c r="C190" s="55" t="s">
        <v>188</v>
      </c>
      <c r="D190" s="58">
        <v>2</v>
      </c>
      <c r="E190" s="57">
        <v>0</v>
      </c>
    </row>
    <row r="191" spans="2:5" ht="15" customHeight="1">
      <c r="B191" s="95"/>
      <c r="C191" s="55" t="s">
        <v>189</v>
      </c>
      <c r="D191" s="58">
        <v>14</v>
      </c>
      <c r="E191" s="57">
        <v>1E-3</v>
      </c>
    </row>
    <row r="192" spans="2:5" ht="15" customHeight="1">
      <c r="B192" s="95"/>
      <c r="C192" s="55" t="s">
        <v>190</v>
      </c>
      <c r="D192" s="58">
        <v>47</v>
      </c>
      <c r="E192" s="57">
        <v>3.0000000000000001E-3</v>
      </c>
    </row>
    <row r="193" spans="2:5" ht="15" customHeight="1">
      <c r="B193" s="95"/>
      <c r="C193" s="55" t="s">
        <v>195</v>
      </c>
      <c r="D193" s="58">
        <v>4</v>
      </c>
      <c r="E193" s="57">
        <v>0</v>
      </c>
    </row>
    <row r="194" spans="2:5" ht="15" customHeight="1">
      <c r="B194" s="95"/>
      <c r="C194" s="55" t="s">
        <v>196</v>
      </c>
      <c r="D194" s="58">
        <v>8</v>
      </c>
      <c r="E194" s="57">
        <v>1E-3</v>
      </c>
    </row>
    <row r="195" spans="2:5" ht="15" customHeight="1">
      <c r="B195" s="95"/>
      <c r="C195" s="72" t="s">
        <v>284</v>
      </c>
      <c r="D195" s="73">
        <v>240</v>
      </c>
      <c r="E195" s="71">
        <v>1.6E-2</v>
      </c>
    </row>
    <row r="196" spans="2:5" ht="15" customHeight="1">
      <c r="B196" s="95" t="s">
        <v>59</v>
      </c>
      <c r="C196" s="55" t="s">
        <v>260</v>
      </c>
      <c r="D196" s="58">
        <v>2</v>
      </c>
      <c r="E196" s="57">
        <v>0</v>
      </c>
    </row>
    <row r="197" spans="2:5" ht="15" customHeight="1">
      <c r="B197" s="95"/>
      <c r="C197" s="55" t="s">
        <v>262</v>
      </c>
      <c r="D197" s="58">
        <v>6</v>
      </c>
      <c r="E197" s="57">
        <v>0</v>
      </c>
    </row>
    <row r="198" spans="2:5" ht="15" customHeight="1">
      <c r="B198" s="95"/>
      <c r="C198" s="55" t="s">
        <v>263</v>
      </c>
      <c r="D198" s="58">
        <v>5</v>
      </c>
      <c r="E198" s="57">
        <v>0</v>
      </c>
    </row>
    <row r="199" spans="2:5" ht="15" customHeight="1">
      <c r="B199" s="95"/>
      <c r="C199" s="55" t="s">
        <v>264</v>
      </c>
      <c r="D199" s="58">
        <v>2</v>
      </c>
      <c r="E199" s="57">
        <v>0</v>
      </c>
    </row>
    <row r="200" spans="2:5" ht="15" customHeight="1">
      <c r="B200" s="95"/>
      <c r="C200" s="55" t="s">
        <v>265</v>
      </c>
      <c r="D200" s="58">
        <v>2</v>
      </c>
      <c r="E200" s="57">
        <v>0</v>
      </c>
    </row>
    <row r="201" spans="2:5" ht="15" customHeight="1">
      <c r="B201" s="95"/>
      <c r="C201" s="55" t="s">
        <v>266</v>
      </c>
      <c r="D201" s="58">
        <v>20</v>
      </c>
      <c r="E201" s="57">
        <v>1E-3</v>
      </c>
    </row>
    <row r="202" spans="2:5" ht="15" customHeight="1">
      <c r="B202" s="95"/>
      <c r="C202" s="55" t="s">
        <v>183</v>
      </c>
      <c r="D202" s="58">
        <v>24</v>
      </c>
      <c r="E202" s="57">
        <v>2E-3</v>
      </c>
    </row>
    <row r="203" spans="2:5" ht="15" customHeight="1">
      <c r="B203" s="95"/>
      <c r="C203" s="55" t="s">
        <v>267</v>
      </c>
      <c r="D203" s="58">
        <v>6</v>
      </c>
      <c r="E203" s="57">
        <v>0</v>
      </c>
    </row>
    <row r="204" spans="2:5" ht="15" customHeight="1">
      <c r="B204" s="95"/>
      <c r="C204" s="55" t="s">
        <v>268</v>
      </c>
      <c r="D204" s="58">
        <v>3</v>
      </c>
      <c r="E204" s="57">
        <v>0</v>
      </c>
    </row>
    <row r="205" spans="2:5" ht="15" customHeight="1">
      <c r="B205" s="95"/>
      <c r="C205" s="55" t="s">
        <v>269</v>
      </c>
      <c r="D205" s="58">
        <v>15</v>
      </c>
      <c r="E205" s="57">
        <v>1E-3</v>
      </c>
    </row>
    <row r="206" spans="2:5" ht="15" customHeight="1">
      <c r="B206" s="95"/>
      <c r="C206" s="55" t="s">
        <v>187</v>
      </c>
      <c r="D206" s="58">
        <v>56</v>
      </c>
      <c r="E206" s="57">
        <v>4.0000000000000001E-3</v>
      </c>
    </row>
    <row r="207" spans="2:5" ht="15" customHeight="1">
      <c r="B207" s="95"/>
      <c r="C207" s="55" t="s">
        <v>188</v>
      </c>
      <c r="D207" s="58">
        <v>2</v>
      </c>
      <c r="E207" s="57">
        <v>0</v>
      </c>
    </row>
    <row r="208" spans="2:5" ht="15" customHeight="1">
      <c r="B208" s="95"/>
      <c r="C208" s="55" t="s">
        <v>189</v>
      </c>
      <c r="D208" s="58">
        <v>17</v>
      </c>
      <c r="E208" s="57">
        <v>1E-3</v>
      </c>
    </row>
    <row r="209" spans="2:5" ht="15" customHeight="1">
      <c r="B209" s="95"/>
      <c r="C209" s="55" t="s">
        <v>190</v>
      </c>
      <c r="D209" s="58">
        <v>38</v>
      </c>
      <c r="E209" s="57">
        <v>2E-3</v>
      </c>
    </row>
    <row r="210" spans="2:5" ht="15" customHeight="1">
      <c r="B210" s="95"/>
      <c r="C210" s="55" t="s">
        <v>270</v>
      </c>
      <c r="D210" s="58">
        <v>1</v>
      </c>
      <c r="E210" s="57">
        <v>0</v>
      </c>
    </row>
    <row r="211" spans="2:5" ht="15" customHeight="1">
      <c r="B211" s="95"/>
      <c r="C211" s="55" t="s">
        <v>271</v>
      </c>
      <c r="D211" s="58">
        <v>2</v>
      </c>
      <c r="E211" s="57">
        <v>0</v>
      </c>
    </row>
    <row r="212" spans="2:5" ht="15" customHeight="1">
      <c r="B212" s="95"/>
      <c r="C212" s="55" t="s">
        <v>195</v>
      </c>
      <c r="D212" s="58">
        <v>2</v>
      </c>
      <c r="E212" s="57">
        <v>0</v>
      </c>
    </row>
    <row r="213" spans="2:5" ht="15" customHeight="1">
      <c r="B213" s="95"/>
      <c r="C213" s="55" t="s">
        <v>196</v>
      </c>
      <c r="D213" s="58">
        <v>2</v>
      </c>
      <c r="E213" s="57">
        <v>0</v>
      </c>
    </row>
    <row r="214" spans="2:5" ht="15" customHeight="1">
      <c r="B214" s="95"/>
      <c r="C214" s="72" t="s">
        <v>284</v>
      </c>
      <c r="D214" s="73">
        <v>205</v>
      </c>
      <c r="E214" s="71">
        <v>1.2999999999999999E-2</v>
      </c>
    </row>
    <row r="215" spans="2:5" ht="15" customHeight="1">
      <c r="B215" s="95" t="s">
        <v>49</v>
      </c>
      <c r="C215" s="55" t="s">
        <v>176</v>
      </c>
      <c r="D215" s="58">
        <v>6</v>
      </c>
      <c r="E215" s="57">
        <v>0</v>
      </c>
    </row>
    <row r="216" spans="2:5" ht="15" customHeight="1">
      <c r="B216" s="95"/>
      <c r="C216" s="55" t="s">
        <v>259</v>
      </c>
      <c r="D216" s="58">
        <v>1</v>
      </c>
      <c r="E216" s="57">
        <v>0</v>
      </c>
    </row>
    <row r="217" spans="2:5" ht="15" customHeight="1">
      <c r="B217" s="95"/>
      <c r="C217" s="55" t="s">
        <v>260</v>
      </c>
      <c r="D217" s="58">
        <v>5</v>
      </c>
      <c r="E217" s="57">
        <v>0</v>
      </c>
    </row>
    <row r="218" spans="2:5" ht="15" customHeight="1">
      <c r="B218" s="95"/>
      <c r="C218" s="55" t="s">
        <v>262</v>
      </c>
      <c r="D218" s="58">
        <v>2</v>
      </c>
      <c r="E218" s="57">
        <v>0</v>
      </c>
    </row>
    <row r="219" spans="2:5" ht="15" customHeight="1">
      <c r="B219" s="95"/>
      <c r="C219" s="55" t="s">
        <v>263</v>
      </c>
      <c r="D219" s="58">
        <v>6</v>
      </c>
      <c r="E219" s="57">
        <v>0</v>
      </c>
    </row>
    <row r="220" spans="2:5" ht="15" customHeight="1">
      <c r="B220" s="95"/>
      <c r="C220" s="55" t="s">
        <v>264</v>
      </c>
      <c r="D220" s="58">
        <v>5</v>
      </c>
      <c r="E220" s="57">
        <v>0</v>
      </c>
    </row>
    <row r="221" spans="2:5" ht="15" customHeight="1">
      <c r="B221" s="95"/>
      <c r="C221" s="55" t="s">
        <v>265</v>
      </c>
      <c r="D221" s="58">
        <v>15</v>
      </c>
      <c r="E221" s="57">
        <v>1E-3</v>
      </c>
    </row>
    <row r="222" spans="2:5" ht="15" customHeight="1">
      <c r="B222" s="95"/>
      <c r="C222" s="55" t="s">
        <v>266</v>
      </c>
      <c r="D222" s="58">
        <v>49</v>
      </c>
      <c r="E222" s="57">
        <v>3.0000000000000001E-3</v>
      </c>
    </row>
    <row r="223" spans="2:5" ht="15" customHeight="1">
      <c r="B223" s="95"/>
      <c r="C223" s="55" t="s">
        <v>183</v>
      </c>
      <c r="D223" s="58">
        <v>83</v>
      </c>
      <c r="E223" s="57">
        <v>5.0000000000000001E-3</v>
      </c>
    </row>
    <row r="224" spans="2:5" ht="15" customHeight="1">
      <c r="B224" s="95"/>
      <c r="C224" s="55" t="s">
        <v>267</v>
      </c>
      <c r="D224" s="58">
        <v>5</v>
      </c>
      <c r="E224" s="57">
        <v>0</v>
      </c>
    </row>
    <row r="225" spans="2:5" ht="15" customHeight="1">
      <c r="B225" s="95"/>
      <c r="C225" s="55" t="s">
        <v>268</v>
      </c>
      <c r="D225" s="58">
        <v>22</v>
      </c>
      <c r="E225" s="57">
        <v>1E-3</v>
      </c>
    </row>
    <row r="226" spans="2:5" ht="15" customHeight="1">
      <c r="B226" s="95"/>
      <c r="C226" s="55" t="s">
        <v>269</v>
      </c>
      <c r="D226" s="58">
        <v>40</v>
      </c>
      <c r="E226" s="57">
        <v>3.0000000000000001E-3</v>
      </c>
    </row>
    <row r="227" spans="2:5" ht="15" customHeight="1">
      <c r="B227" s="95"/>
      <c r="C227" s="55" t="s">
        <v>187</v>
      </c>
      <c r="D227" s="58">
        <v>335</v>
      </c>
      <c r="E227" s="57">
        <v>2.1999999999999999E-2</v>
      </c>
    </row>
    <row r="228" spans="2:5" ht="15" customHeight="1">
      <c r="B228" s="95"/>
      <c r="C228" s="55" t="s">
        <v>188</v>
      </c>
      <c r="D228" s="58">
        <v>19</v>
      </c>
      <c r="E228" s="57">
        <v>1E-3</v>
      </c>
    </row>
    <row r="229" spans="2:5" ht="15" customHeight="1">
      <c r="B229" s="95"/>
      <c r="C229" s="55" t="s">
        <v>189</v>
      </c>
      <c r="D229" s="58">
        <v>68</v>
      </c>
      <c r="E229" s="57">
        <v>4.0000000000000001E-3</v>
      </c>
    </row>
    <row r="230" spans="2:5" ht="15" customHeight="1">
      <c r="B230" s="95"/>
      <c r="C230" s="55" t="s">
        <v>190</v>
      </c>
      <c r="D230" s="58">
        <v>223</v>
      </c>
      <c r="E230" s="57">
        <v>1.4E-2</v>
      </c>
    </row>
    <row r="231" spans="2:5" ht="15" customHeight="1">
      <c r="B231" s="95"/>
      <c r="C231" s="55" t="s">
        <v>270</v>
      </c>
      <c r="D231" s="58">
        <v>2</v>
      </c>
      <c r="E231" s="57">
        <v>0</v>
      </c>
    </row>
    <row r="232" spans="2:5" ht="15" customHeight="1">
      <c r="B232" s="95"/>
      <c r="C232" s="55" t="s">
        <v>271</v>
      </c>
      <c r="D232" s="58">
        <v>4</v>
      </c>
      <c r="E232" s="57">
        <v>0</v>
      </c>
    </row>
    <row r="233" spans="2:5" ht="15" customHeight="1">
      <c r="B233" s="95"/>
      <c r="C233" s="55" t="s">
        <v>272</v>
      </c>
      <c r="D233" s="58">
        <v>2</v>
      </c>
      <c r="E233" s="57">
        <v>0</v>
      </c>
    </row>
    <row r="234" spans="2:5" ht="15" customHeight="1">
      <c r="B234" s="95"/>
      <c r="C234" s="55" t="s">
        <v>273</v>
      </c>
      <c r="D234" s="58">
        <v>1</v>
      </c>
      <c r="E234" s="57">
        <v>0</v>
      </c>
    </row>
    <row r="235" spans="2:5" ht="15" customHeight="1">
      <c r="B235" s="95"/>
      <c r="C235" s="55" t="s">
        <v>195</v>
      </c>
      <c r="D235" s="58">
        <v>9</v>
      </c>
      <c r="E235" s="57">
        <v>1E-3</v>
      </c>
    </row>
    <row r="236" spans="2:5" ht="15" customHeight="1">
      <c r="B236" s="95"/>
      <c r="C236" s="55" t="s">
        <v>196</v>
      </c>
      <c r="D236" s="58">
        <v>29</v>
      </c>
      <c r="E236" s="57">
        <v>2E-3</v>
      </c>
    </row>
    <row r="237" spans="2:5" ht="15" customHeight="1">
      <c r="B237" s="95"/>
      <c r="C237" s="55" t="s">
        <v>198</v>
      </c>
      <c r="D237" s="58">
        <v>1</v>
      </c>
      <c r="E237" s="57">
        <v>0</v>
      </c>
    </row>
    <row r="238" spans="2:5" ht="15" customHeight="1">
      <c r="B238" s="95"/>
      <c r="C238" s="55" t="s">
        <v>199</v>
      </c>
      <c r="D238" s="58">
        <v>1</v>
      </c>
      <c r="E238" s="57">
        <v>0</v>
      </c>
    </row>
    <row r="239" spans="2:5" ht="15" customHeight="1">
      <c r="B239" s="95"/>
      <c r="C239" s="72" t="s">
        <v>284</v>
      </c>
      <c r="D239" s="73">
        <v>933</v>
      </c>
      <c r="E239" s="71">
        <v>0.06</v>
      </c>
    </row>
    <row r="240" spans="2:5" ht="15" customHeight="1">
      <c r="B240" s="95" t="s">
        <v>57</v>
      </c>
      <c r="C240" s="55" t="s">
        <v>176</v>
      </c>
      <c r="D240" s="58">
        <v>4</v>
      </c>
      <c r="E240" s="57">
        <v>0</v>
      </c>
    </row>
    <row r="241" spans="2:5" ht="15" customHeight="1">
      <c r="B241" s="95"/>
      <c r="C241" s="55" t="s">
        <v>262</v>
      </c>
      <c r="D241" s="58">
        <v>2</v>
      </c>
      <c r="E241" s="57">
        <v>0</v>
      </c>
    </row>
    <row r="242" spans="2:5" ht="15" customHeight="1">
      <c r="B242" s="95"/>
      <c r="C242" s="55" t="s">
        <v>265</v>
      </c>
      <c r="D242" s="58">
        <v>3</v>
      </c>
      <c r="E242" s="57">
        <v>0</v>
      </c>
    </row>
    <row r="243" spans="2:5" ht="15" customHeight="1">
      <c r="B243" s="95"/>
      <c r="C243" s="55" t="s">
        <v>266</v>
      </c>
      <c r="D243" s="58">
        <v>15</v>
      </c>
      <c r="E243" s="57">
        <v>1E-3</v>
      </c>
    </row>
    <row r="244" spans="2:5" ht="15" customHeight="1">
      <c r="B244" s="95"/>
      <c r="C244" s="55" t="s">
        <v>183</v>
      </c>
      <c r="D244" s="58">
        <v>22</v>
      </c>
      <c r="E244" s="57">
        <v>1E-3</v>
      </c>
    </row>
    <row r="245" spans="2:5" ht="15" customHeight="1">
      <c r="B245" s="95"/>
      <c r="C245" s="55" t="s">
        <v>267</v>
      </c>
      <c r="D245" s="58">
        <v>2</v>
      </c>
      <c r="E245" s="57">
        <v>0</v>
      </c>
    </row>
    <row r="246" spans="2:5" ht="15" customHeight="1">
      <c r="B246" s="95"/>
      <c r="C246" s="55" t="s">
        <v>268</v>
      </c>
      <c r="D246" s="58">
        <v>3</v>
      </c>
      <c r="E246" s="57">
        <v>0</v>
      </c>
    </row>
    <row r="247" spans="2:5" ht="15" customHeight="1">
      <c r="B247" s="95"/>
      <c r="C247" s="55" t="s">
        <v>269</v>
      </c>
      <c r="D247" s="58">
        <v>12</v>
      </c>
      <c r="E247" s="57">
        <v>1E-3</v>
      </c>
    </row>
    <row r="248" spans="2:5" ht="15" customHeight="1">
      <c r="B248" s="95"/>
      <c r="C248" s="55" t="s">
        <v>187</v>
      </c>
      <c r="D248" s="58">
        <v>89</v>
      </c>
      <c r="E248" s="57">
        <v>6.0000000000000001E-3</v>
      </c>
    </row>
    <row r="249" spans="2:5" ht="15" customHeight="1">
      <c r="B249" s="95"/>
      <c r="C249" s="55" t="s">
        <v>188</v>
      </c>
      <c r="D249" s="58">
        <v>5</v>
      </c>
      <c r="E249" s="57">
        <v>0</v>
      </c>
    </row>
    <row r="250" spans="2:5" ht="15" customHeight="1">
      <c r="B250" s="95"/>
      <c r="C250" s="55" t="s">
        <v>189</v>
      </c>
      <c r="D250" s="58">
        <v>10</v>
      </c>
      <c r="E250" s="57">
        <v>1E-3</v>
      </c>
    </row>
    <row r="251" spans="2:5" ht="15" customHeight="1">
      <c r="B251" s="95"/>
      <c r="C251" s="55" t="s">
        <v>190</v>
      </c>
      <c r="D251" s="58">
        <v>49</v>
      </c>
      <c r="E251" s="57">
        <v>3.0000000000000001E-3</v>
      </c>
    </row>
    <row r="252" spans="2:5" ht="15" customHeight="1">
      <c r="B252" s="95"/>
      <c r="C252" s="55" t="s">
        <v>270</v>
      </c>
      <c r="D252" s="58">
        <v>1</v>
      </c>
      <c r="E252" s="57">
        <v>0</v>
      </c>
    </row>
    <row r="253" spans="2:5" ht="15" customHeight="1">
      <c r="B253" s="95"/>
      <c r="C253" s="55" t="s">
        <v>271</v>
      </c>
      <c r="D253" s="58">
        <v>1</v>
      </c>
      <c r="E253" s="57">
        <v>0</v>
      </c>
    </row>
    <row r="254" spans="2:5" ht="15" customHeight="1">
      <c r="B254" s="95"/>
      <c r="C254" s="55" t="s">
        <v>195</v>
      </c>
      <c r="D254" s="58">
        <v>2</v>
      </c>
      <c r="E254" s="57">
        <v>0</v>
      </c>
    </row>
    <row r="255" spans="2:5" ht="15" customHeight="1">
      <c r="B255" s="95"/>
      <c r="C255" s="55" t="s">
        <v>196</v>
      </c>
      <c r="D255" s="58">
        <v>5</v>
      </c>
      <c r="E255" s="57">
        <v>0</v>
      </c>
    </row>
    <row r="256" spans="2:5" ht="15" customHeight="1">
      <c r="B256" s="95"/>
      <c r="C256" s="72" t="s">
        <v>284</v>
      </c>
      <c r="D256" s="73">
        <v>225</v>
      </c>
      <c r="E256" s="71">
        <v>1.4999999999999999E-2</v>
      </c>
    </row>
    <row r="257" spans="2:5" ht="15" customHeight="1">
      <c r="B257" s="95" t="s">
        <v>69</v>
      </c>
      <c r="C257" s="55" t="s">
        <v>176</v>
      </c>
      <c r="D257" s="58">
        <v>1</v>
      </c>
      <c r="E257" s="57">
        <v>0</v>
      </c>
    </row>
    <row r="258" spans="2:5" ht="15" customHeight="1">
      <c r="B258" s="95"/>
      <c r="C258" s="55" t="s">
        <v>260</v>
      </c>
      <c r="D258" s="58">
        <v>1</v>
      </c>
      <c r="E258" s="57">
        <v>0</v>
      </c>
    </row>
    <row r="259" spans="2:5" ht="15" customHeight="1">
      <c r="B259" s="95"/>
      <c r="C259" s="55" t="s">
        <v>263</v>
      </c>
      <c r="D259" s="58">
        <v>3</v>
      </c>
      <c r="E259" s="57">
        <v>0</v>
      </c>
    </row>
    <row r="260" spans="2:5" ht="15" customHeight="1">
      <c r="B260" s="95"/>
      <c r="C260" s="55" t="s">
        <v>266</v>
      </c>
      <c r="D260" s="58">
        <v>5</v>
      </c>
      <c r="E260" s="57">
        <v>0</v>
      </c>
    </row>
    <row r="261" spans="2:5" ht="15" customHeight="1">
      <c r="B261" s="95"/>
      <c r="C261" s="55" t="s">
        <v>183</v>
      </c>
      <c r="D261" s="58">
        <v>11</v>
      </c>
      <c r="E261" s="57">
        <v>1E-3</v>
      </c>
    </row>
    <row r="262" spans="2:5" ht="15" customHeight="1">
      <c r="B262" s="95"/>
      <c r="C262" s="55" t="s">
        <v>267</v>
      </c>
      <c r="D262" s="58">
        <v>3</v>
      </c>
      <c r="E262" s="57">
        <v>0</v>
      </c>
    </row>
    <row r="263" spans="2:5" ht="15" customHeight="1">
      <c r="B263" s="95"/>
      <c r="C263" s="55" t="s">
        <v>268</v>
      </c>
      <c r="D263" s="58">
        <v>5</v>
      </c>
      <c r="E263" s="57">
        <v>0</v>
      </c>
    </row>
    <row r="264" spans="2:5" ht="15" customHeight="1">
      <c r="B264" s="95"/>
      <c r="C264" s="55" t="s">
        <v>269</v>
      </c>
      <c r="D264" s="58">
        <v>4</v>
      </c>
      <c r="E264" s="57">
        <v>0</v>
      </c>
    </row>
    <row r="265" spans="2:5" ht="15" customHeight="1">
      <c r="B265" s="95"/>
      <c r="C265" s="55" t="s">
        <v>187</v>
      </c>
      <c r="D265" s="58">
        <v>42</v>
      </c>
      <c r="E265" s="57">
        <v>3.0000000000000001E-3</v>
      </c>
    </row>
    <row r="266" spans="2:5" ht="15" customHeight="1">
      <c r="B266" s="95"/>
      <c r="C266" s="55" t="s">
        <v>188</v>
      </c>
      <c r="D266" s="58">
        <v>3</v>
      </c>
      <c r="E266" s="57">
        <v>0</v>
      </c>
    </row>
    <row r="267" spans="2:5" ht="15" customHeight="1">
      <c r="B267" s="95"/>
      <c r="C267" s="55" t="s">
        <v>189</v>
      </c>
      <c r="D267" s="58">
        <v>5</v>
      </c>
      <c r="E267" s="57">
        <v>0</v>
      </c>
    </row>
    <row r="268" spans="2:5" ht="15" customHeight="1">
      <c r="B268" s="95"/>
      <c r="C268" s="55" t="s">
        <v>190</v>
      </c>
      <c r="D268" s="58">
        <v>24</v>
      </c>
      <c r="E268" s="57">
        <v>2E-3</v>
      </c>
    </row>
    <row r="269" spans="2:5" ht="15" customHeight="1">
      <c r="B269" s="95"/>
      <c r="C269" s="55" t="s">
        <v>271</v>
      </c>
      <c r="D269" s="58">
        <v>2</v>
      </c>
      <c r="E269" s="57">
        <v>0</v>
      </c>
    </row>
    <row r="270" spans="2:5" ht="15" customHeight="1">
      <c r="B270" s="95"/>
      <c r="C270" s="55" t="s">
        <v>195</v>
      </c>
      <c r="D270" s="58">
        <v>2</v>
      </c>
      <c r="E270" s="57">
        <v>0</v>
      </c>
    </row>
    <row r="271" spans="2:5" ht="15" customHeight="1">
      <c r="B271" s="95"/>
      <c r="C271" s="55" t="s">
        <v>196</v>
      </c>
      <c r="D271" s="58">
        <v>4</v>
      </c>
      <c r="E271" s="57">
        <v>0</v>
      </c>
    </row>
    <row r="272" spans="2:5" ht="15" customHeight="1">
      <c r="B272" s="95"/>
      <c r="C272" s="72" t="s">
        <v>284</v>
      </c>
      <c r="D272" s="73">
        <v>115</v>
      </c>
      <c r="E272" s="71">
        <v>7.0000000000000001E-3</v>
      </c>
    </row>
    <row r="273" spans="2:5" ht="15" customHeight="1">
      <c r="B273" s="95" t="s">
        <v>87</v>
      </c>
      <c r="C273" s="55" t="s">
        <v>263</v>
      </c>
      <c r="D273" s="58">
        <v>1</v>
      </c>
      <c r="E273" s="57">
        <v>0</v>
      </c>
    </row>
    <row r="274" spans="2:5" ht="15" customHeight="1">
      <c r="B274" s="95"/>
      <c r="C274" s="55" t="s">
        <v>264</v>
      </c>
      <c r="D274" s="58">
        <v>1</v>
      </c>
      <c r="E274" s="57">
        <v>0</v>
      </c>
    </row>
    <row r="275" spans="2:5" ht="15" customHeight="1">
      <c r="B275" s="95"/>
      <c r="C275" s="55" t="s">
        <v>268</v>
      </c>
      <c r="D275" s="58">
        <v>1</v>
      </c>
      <c r="E275" s="57">
        <v>0</v>
      </c>
    </row>
    <row r="276" spans="2:5" ht="15" customHeight="1">
      <c r="B276" s="95"/>
      <c r="C276" s="55" t="s">
        <v>187</v>
      </c>
      <c r="D276" s="58">
        <v>2</v>
      </c>
      <c r="E276" s="57">
        <v>0</v>
      </c>
    </row>
    <row r="277" spans="2:5" ht="15" customHeight="1">
      <c r="B277" s="95"/>
      <c r="C277" s="55" t="s">
        <v>188</v>
      </c>
      <c r="D277" s="58">
        <v>1</v>
      </c>
      <c r="E277" s="57">
        <v>0</v>
      </c>
    </row>
    <row r="278" spans="2:5" ht="15" customHeight="1">
      <c r="B278" s="95"/>
      <c r="C278" s="72" t="s">
        <v>284</v>
      </c>
      <c r="D278" s="73">
        <v>6</v>
      </c>
      <c r="E278" s="71">
        <v>0</v>
      </c>
    </row>
    <row r="279" spans="2:5" ht="15" customHeight="1">
      <c r="B279" s="95" t="s">
        <v>56</v>
      </c>
      <c r="C279" s="55" t="s">
        <v>176</v>
      </c>
      <c r="D279" s="58">
        <v>1</v>
      </c>
      <c r="E279" s="57">
        <v>0</v>
      </c>
    </row>
    <row r="280" spans="2:5" ht="15" customHeight="1">
      <c r="B280" s="95"/>
      <c r="C280" s="55" t="s">
        <v>262</v>
      </c>
      <c r="D280" s="58">
        <v>1</v>
      </c>
      <c r="E280" s="57">
        <v>0</v>
      </c>
    </row>
    <row r="281" spans="2:5" ht="15" customHeight="1">
      <c r="B281" s="95"/>
      <c r="C281" s="55" t="s">
        <v>263</v>
      </c>
      <c r="D281" s="58">
        <v>4</v>
      </c>
      <c r="E281" s="57">
        <v>0</v>
      </c>
    </row>
    <row r="282" spans="2:5" ht="15" customHeight="1">
      <c r="B282" s="95"/>
      <c r="C282" s="55" t="s">
        <v>264</v>
      </c>
      <c r="D282" s="58">
        <v>1</v>
      </c>
      <c r="E282" s="57">
        <v>0</v>
      </c>
    </row>
    <row r="283" spans="2:5" ht="15" customHeight="1">
      <c r="B283" s="95"/>
      <c r="C283" s="55" t="s">
        <v>265</v>
      </c>
      <c r="D283" s="58">
        <v>5</v>
      </c>
      <c r="E283" s="57">
        <v>0</v>
      </c>
    </row>
    <row r="284" spans="2:5" ht="15" customHeight="1">
      <c r="B284" s="95"/>
      <c r="C284" s="55" t="s">
        <v>266</v>
      </c>
      <c r="D284" s="58">
        <v>22</v>
      </c>
      <c r="E284" s="57">
        <v>1E-3</v>
      </c>
    </row>
    <row r="285" spans="2:5" ht="15" customHeight="1">
      <c r="B285" s="95"/>
      <c r="C285" s="55" t="s">
        <v>183</v>
      </c>
      <c r="D285" s="58">
        <v>26</v>
      </c>
      <c r="E285" s="57">
        <v>2E-3</v>
      </c>
    </row>
    <row r="286" spans="2:5" ht="15" customHeight="1">
      <c r="B286" s="95"/>
      <c r="C286" s="55" t="s">
        <v>267</v>
      </c>
      <c r="D286" s="58">
        <v>3</v>
      </c>
      <c r="E286" s="57">
        <v>0</v>
      </c>
    </row>
    <row r="287" spans="2:5" ht="15" customHeight="1">
      <c r="B287" s="95"/>
      <c r="C287" s="55" t="s">
        <v>268</v>
      </c>
      <c r="D287" s="58">
        <v>6</v>
      </c>
      <c r="E287" s="57">
        <v>0</v>
      </c>
    </row>
    <row r="288" spans="2:5" ht="15" customHeight="1">
      <c r="B288" s="95"/>
      <c r="C288" s="55" t="s">
        <v>269</v>
      </c>
      <c r="D288" s="58">
        <v>16</v>
      </c>
      <c r="E288" s="57">
        <v>1E-3</v>
      </c>
    </row>
    <row r="289" spans="2:5" ht="15" customHeight="1">
      <c r="B289" s="95"/>
      <c r="C289" s="55" t="s">
        <v>187</v>
      </c>
      <c r="D289" s="58">
        <v>99</v>
      </c>
      <c r="E289" s="57">
        <v>6.0000000000000001E-3</v>
      </c>
    </row>
    <row r="290" spans="2:5" ht="15" customHeight="1">
      <c r="B290" s="95"/>
      <c r="C290" s="55" t="s">
        <v>188</v>
      </c>
      <c r="D290" s="58">
        <v>10</v>
      </c>
      <c r="E290" s="57">
        <v>1E-3</v>
      </c>
    </row>
    <row r="291" spans="2:5" ht="15" customHeight="1">
      <c r="B291" s="95"/>
      <c r="C291" s="55" t="s">
        <v>189</v>
      </c>
      <c r="D291" s="58">
        <v>11</v>
      </c>
      <c r="E291" s="57">
        <v>1E-3</v>
      </c>
    </row>
    <row r="292" spans="2:5" ht="15" customHeight="1">
      <c r="B292" s="95"/>
      <c r="C292" s="55" t="s">
        <v>190</v>
      </c>
      <c r="D292" s="58">
        <v>72</v>
      </c>
      <c r="E292" s="57">
        <v>5.0000000000000001E-3</v>
      </c>
    </row>
    <row r="293" spans="2:5" ht="15" customHeight="1">
      <c r="B293" s="95"/>
      <c r="C293" s="55" t="s">
        <v>270</v>
      </c>
      <c r="D293" s="58">
        <v>1</v>
      </c>
      <c r="E293" s="57">
        <v>0</v>
      </c>
    </row>
    <row r="294" spans="2:5" ht="15" customHeight="1">
      <c r="B294" s="95"/>
      <c r="C294" s="55" t="s">
        <v>271</v>
      </c>
      <c r="D294" s="58">
        <v>2</v>
      </c>
      <c r="E294" s="57">
        <v>0</v>
      </c>
    </row>
    <row r="295" spans="2:5" ht="15" customHeight="1">
      <c r="B295" s="95"/>
      <c r="C295" s="55" t="s">
        <v>195</v>
      </c>
      <c r="D295" s="58">
        <v>3</v>
      </c>
      <c r="E295" s="57">
        <v>0</v>
      </c>
    </row>
    <row r="296" spans="2:5" ht="15" customHeight="1">
      <c r="B296" s="95"/>
      <c r="C296" s="55" t="s">
        <v>196</v>
      </c>
      <c r="D296" s="58">
        <v>9</v>
      </c>
      <c r="E296" s="57">
        <v>1E-3</v>
      </c>
    </row>
    <row r="297" spans="2:5" ht="15" customHeight="1">
      <c r="B297" s="95"/>
      <c r="C297" s="72" t="s">
        <v>284</v>
      </c>
      <c r="D297" s="73">
        <v>292</v>
      </c>
      <c r="E297" s="71">
        <v>1.9E-2</v>
      </c>
    </row>
    <row r="298" spans="2:5" ht="15" customHeight="1">
      <c r="B298" s="95" t="s">
        <v>60</v>
      </c>
      <c r="C298" s="55" t="s">
        <v>262</v>
      </c>
      <c r="D298" s="58">
        <v>1</v>
      </c>
      <c r="E298" s="57">
        <v>0</v>
      </c>
    </row>
    <row r="299" spans="2:5" ht="15" customHeight="1">
      <c r="B299" s="95"/>
      <c r="C299" s="55" t="s">
        <v>263</v>
      </c>
      <c r="D299" s="58">
        <v>4</v>
      </c>
      <c r="E299" s="57">
        <v>0</v>
      </c>
    </row>
    <row r="300" spans="2:5" ht="15" customHeight="1">
      <c r="B300" s="95"/>
      <c r="C300" s="55" t="s">
        <v>264</v>
      </c>
      <c r="D300" s="58">
        <v>2</v>
      </c>
      <c r="E300" s="57">
        <v>0</v>
      </c>
    </row>
    <row r="301" spans="2:5" ht="15" customHeight="1">
      <c r="B301" s="95"/>
      <c r="C301" s="55" t="s">
        <v>265</v>
      </c>
      <c r="D301" s="58">
        <v>2</v>
      </c>
      <c r="E301" s="57">
        <v>0</v>
      </c>
    </row>
    <row r="302" spans="2:5" ht="15" customHeight="1">
      <c r="B302" s="95"/>
      <c r="C302" s="55" t="s">
        <v>266</v>
      </c>
      <c r="D302" s="58">
        <v>3</v>
      </c>
      <c r="E302" s="57">
        <v>0</v>
      </c>
    </row>
    <row r="303" spans="2:5" ht="15" customHeight="1">
      <c r="B303" s="95"/>
      <c r="C303" s="55" t="s">
        <v>183</v>
      </c>
      <c r="D303" s="58">
        <v>30</v>
      </c>
      <c r="E303" s="57">
        <v>2E-3</v>
      </c>
    </row>
    <row r="304" spans="2:5" ht="15" customHeight="1">
      <c r="B304" s="95"/>
      <c r="C304" s="55" t="s">
        <v>267</v>
      </c>
      <c r="D304" s="58">
        <v>1</v>
      </c>
      <c r="E304" s="57">
        <v>0</v>
      </c>
    </row>
    <row r="305" spans="2:5" ht="15" customHeight="1">
      <c r="B305" s="95"/>
      <c r="C305" s="55" t="s">
        <v>268</v>
      </c>
      <c r="D305" s="58">
        <v>1</v>
      </c>
      <c r="E305" s="57">
        <v>0</v>
      </c>
    </row>
    <row r="306" spans="2:5" ht="15" customHeight="1">
      <c r="B306" s="95"/>
      <c r="C306" s="55" t="s">
        <v>269</v>
      </c>
      <c r="D306" s="58">
        <v>8</v>
      </c>
      <c r="E306" s="57">
        <v>1E-3</v>
      </c>
    </row>
    <row r="307" spans="2:5" ht="15" customHeight="1">
      <c r="B307" s="95"/>
      <c r="C307" s="55" t="s">
        <v>187</v>
      </c>
      <c r="D307" s="58">
        <v>63</v>
      </c>
      <c r="E307" s="57">
        <v>4.0000000000000001E-3</v>
      </c>
    </row>
    <row r="308" spans="2:5" ht="15" customHeight="1">
      <c r="B308" s="95"/>
      <c r="C308" s="55" t="s">
        <v>188</v>
      </c>
      <c r="D308" s="58">
        <v>4</v>
      </c>
      <c r="E308" s="57">
        <v>0</v>
      </c>
    </row>
    <row r="309" spans="2:5" ht="15" customHeight="1">
      <c r="B309" s="95"/>
      <c r="C309" s="55" t="s">
        <v>189</v>
      </c>
      <c r="D309" s="58">
        <v>20</v>
      </c>
      <c r="E309" s="57">
        <v>1E-3</v>
      </c>
    </row>
    <row r="310" spans="2:5" ht="15" customHeight="1">
      <c r="B310" s="95"/>
      <c r="C310" s="55" t="s">
        <v>190</v>
      </c>
      <c r="D310" s="58">
        <v>60</v>
      </c>
      <c r="E310" s="57">
        <v>4.0000000000000001E-3</v>
      </c>
    </row>
    <row r="311" spans="2:5" ht="15" customHeight="1">
      <c r="B311" s="95"/>
      <c r="C311" s="55" t="s">
        <v>270</v>
      </c>
      <c r="D311" s="58">
        <v>2</v>
      </c>
      <c r="E311" s="57">
        <v>0</v>
      </c>
    </row>
    <row r="312" spans="2:5" ht="15" customHeight="1">
      <c r="B312" s="95"/>
      <c r="C312" s="55" t="s">
        <v>272</v>
      </c>
      <c r="D312" s="58">
        <v>1</v>
      </c>
      <c r="E312" s="57">
        <v>0</v>
      </c>
    </row>
    <row r="313" spans="2:5" ht="15" customHeight="1">
      <c r="B313" s="95"/>
      <c r="C313" s="55" t="s">
        <v>195</v>
      </c>
      <c r="D313" s="58">
        <v>2</v>
      </c>
      <c r="E313" s="57">
        <v>0</v>
      </c>
    </row>
    <row r="314" spans="2:5" ht="15" customHeight="1">
      <c r="B314" s="95"/>
      <c r="C314" s="55" t="s">
        <v>196</v>
      </c>
      <c r="D314" s="58">
        <v>5</v>
      </c>
      <c r="E314" s="57">
        <v>0</v>
      </c>
    </row>
    <row r="315" spans="2:5" ht="15" customHeight="1">
      <c r="B315" s="95"/>
      <c r="C315" s="55" t="s">
        <v>197</v>
      </c>
      <c r="D315" s="58">
        <v>3</v>
      </c>
      <c r="E315" s="57">
        <v>0</v>
      </c>
    </row>
    <row r="316" spans="2:5" ht="15" customHeight="1">
      <c r="B316" s="95"/>
      <c r="C316" s="72" t="s">
        <v>284</v>
      </c>
      <c r="D316" s="73">
        <v>212</v>
      </c>
      <c r="E316" s="71">
        <v>1.4E-2</v>
      </c>
    </row>
    <row r="317" spans="2:5" ht="15" customHeight="1">
      <c r="B317" s="95" t="s">
        <v>47</v>
      </c>
      <c r="C317" s="55" t="s">
        <v>176</v>
      </c>
      <c r="D317" s="58">
        <v>20</v>
      </c>
      <c r="E317" s="57">
        <v>1E-3</v>
      </c>
    </row>
    <row r="318" spans="2:5" ht="15" customHeight="1">
      <c r="B318" s="95"/>
      <c r="C318" s="55" t="s">
        <v>260</v>
      </c>
      <c r="D318" s="58">
        <v>7</v>
      </c>
      <c r="E318" s="57">
        <v>0</v>
      </c>
    </row>
    <row r="319" spans="2:5" ht="15" customHeight="1">
      <c r="B319" s="95"/>
      <c r="C319" s="55" t="s">
        <v>262</v>
      </c>
      <c r="D319" s="58">
        <v>9</v>
      </c>
      <c r="E319" s="57">
        <v>1E-3</v>
      </c>
    </row>
    <row r="320" spans="2:5" ht="15" customHeight="1">
      <c r="B320" s="95"/>
      <c r="C320" s="55" t="s">
        <v>263</v>
      </c>
      <c r="D320" s="58">
        <v>12</v>
      </c>
      <c r="E320" s="57">
        <v>1E-3</v>
      </c>
    </row>
    <row r="321" spans="2:5" ht="15" customHeight="1">
      <c r="B321" s="95"/>
      <c r="C321" s="55" t="s">
        <v>264</v>
      </c>
      <c r="D321" s="58">
        <v>9</v>
      </c>
      <c r="E321" s="57">
        <v>1E-3</v>
      </c>
    </row>
    <row r="322" spans="2:5" ht="15" customHeight="1">
      <c r="B322" s="95"/>
      <c r="C322" s="55" t="s">
        <v>265</v>
      </c>
      <c r="D322" s="58">
        <v>9</v>
      </c>
      <c r="E322" s="57">
        <v>1E-3</v>
      </c>
    </row>
    <row r="323" spans="2:5" ht="15" customHeight="1">
      <c r="B323" s="95"/>
      <c r="C323" s="55" t="s">
        <v>266</v>
      </c>
      <c r="D323" s="58">
        <v>92</v>
      </c>
      <c r="E323" s="57">
        <v>6.0000000000000001E-3</v>
      </c>
    </row>
    <row r="324" spans="2:5" ht="15" customHeight="1">
      <c r="B324" s="95"/>
      <c r="C324" s="55" t="s">
        <v>183</v>
      </c>
      <c r="D324" s="58">
        <v>149</v>
      </c>
      <c r="E324" s="57">
        <v>0.01</v>
      </c>
    </row>
    <row r="325" spans="2:5" ht="15" customHeight="1">
      <c r="B325" s="95"/>
      <c r="C325" s="55" t="s">
        <v>267</v>
      </c>
      <c r="D325" s="58">
        <v>9</v>
      </c>
      <c r="E325" s="57">
        <v>1E-3</v>
      </c>
    </row>
    <row r="326" spans="2:5" ht="15" customHeight="1">
      <c r="B326" s="95"/>
      <c r="C326" s="55" t="s">
        <v>268</v>
      </c>
      <c r="D326" s="58">
        <v>30</v>
      </c>
      <c r="E326" s="57">
        <v>2E-3</v>
      </c>
    </row>
    <row r="327" spans="2:5" ht="15" customHeight="1">
      <c r="B327" s="95"/>
      <c r="C327" s="55" t="s">
        <v>269</v>
      </c>
      <c r="D327" s="58">
        <v>71</v>
      </c>
      <c r="E327" s="57">
        <v>5.0000000000000001E-3</v>
      </c>
    </row>
    <row r="328" spans="2:5" ht="15" customHeight="1">
      <c r="B328" s="95"/>
      <c r="C328" s="55" t="s">
        <v>187</v>
      </c>
      <c r="D328" s="58">
        <v>415</v>
      </c>
      <c r="E328" s="57">
        <v>2.7E-2</v>
      </c>
    </row>
    <row r="329" spans="2:5" ht="15" customHeight="1">
      <c r="B329" s="95"/>
      <c r="C329" s="55" t="s">
        <v>188</v>
      </c>
      <c r="D329" s="58">
        <v>19</v>
      </c>
      <c r="E329" s="57">
        <v>1E-3</v>
      </c>
    </row>
    <row r="330" spans="2:5" ht="15" customHeight="1">
      <c r="B330" s="95"/>
      <c r="C330" s="55" t="s">
        <v>189</v>
      </c>
      <c r="D330" s="58">
        <v>76</v>
      </c>
      <c r="E330" s="57">
        <v>5.0000000000000001E-3</v>
      </c>
    </row>
    <row r="331" spans="2:5" ht="15" customHeight="1">
      <c r="B331" s="95"/>
      <c r="C331" s="55" t="s">
        <v>190</v>
      </c>
      <c r="D331" s="58">
        <v>288</v>
      </c>
      <c r="E331" s="57">
        <v>1.9E-2</v>
      </c>
    </row>
    <row r="332" spans="2:5" ht="15" customHeight="1">
      <c r="B332" s="95"/>
      <c r="C332" s="55" t="s">
        <v>270</v>
      </c>
      <c r="D332" s="58">
        <v>3</v>
      </c>
      <c r="E332" s="57">
        <v>0</v>
      </c>
    </row>
    <row r="333" spans="2:5" ht="15" customHeight="1">
      <c r="B333" s="95"/>
      <c r="C333" s="55" t="s">
        <v>271</v>
      </c>
      <c r="D333" s="58">
        <v>6</v>
      </c>
      <c r="E333" s="57">
        <v>0</v>
      </c>
    </row>
    <row r="334" spans="2:5" ht="15" customHeight="1">
      <c r="B334" s="95"/>
      <c r="C334" s="55" t="s">
        <v>272</v>
      </c>
      <c r="D334" s="58">
        <v>1</v>
      </c>
      <c r="E334" s="57">
        <v>0</v>
      </c>
    </row>
    <row r="335" spans="2:5" ht="15" customHeight="1">
      <c r="B335" s="95"/>
      <c r="C335" s="55" t="s">
        <v>273</v>
      </c>
      <c r="D335" s="58">
        <v>1</v>
      </c>
      <c r="E335" s="57">
        <v>0</v>
      </c>
    </row>
    <row r="336" spans="2:5" ht="15" customHeight="1">
      <c r="B336" s="95"/>
      <c r="C336" s="55" t="s">
        <v>195</v>
      </c>
      <c r="D336" s="58">
        <v>13</v>
      </c>
      <c r="E336" s="57">
        <v>1E-3</v>
      </c>
    </row>
    <row r="337" spans="2:5" ht="15" customHeight="1">
      <c r="B337" s="95"/>
      <c r="C337" s="55" t="s">
        <v>196</v>
      </c>
      <c r="D337" s="58">
        <v>40</v>
      </c>
      <c r="E337" s="57">
        <v>3.0000000000000001E-3</v>
      </c>
    </row>
    <row r="338" spans="2:5" ht="15" customHeight="1">
      <c r="B338" s="95"/>
      <c r="C338" s="55" t="s">
        <v>199</v>
      </c>
      <c r="D338" s="58">
        <v>1</v>
      </c>
      <c r="E338" s="57">
        <v>0</v>
      </c>
    </row>
    <row r="339" spans="2:5" ht="15" customHeight="1">
      <c r="B339" s="95"/>
      <c r="C339" s="72" t="s">
        <v>284</v>
      </c>
      <c r="D339" s="69">
        <v>1280</v>
      </c>
      <c r="E339" s="71">
        <v>8.3000000000000004E-2</v>
      </c>
    </row>
    <row r="340" spans="2:5" ht="15" customHeight="1">
      <c r="B340" s="95" t="s">
        <v>79</v>
      </c>
      <c r="C340" s="55" t="s">
        <v>262</v>
      </c>
      <c r="D340" s="58">
        <v>1</v>
      </c>
      <c r="E340" s="57">
        <v>0</v>
      </c>
    </row>
    <row r="341" spans="2:5" ht="15" customHeight="1">
      <c r="B341" s="95"/>
      <c r="C341" s="55" t="s">
        <v>266</v>
      </c>
      <c r="D341" s="58">
        <v>6</v>
      </c>
      <c r="E341" s="57">
        <v>0</v>
      </c>
    </row>
    <row r="342" spans="2:5" ht="15" customHeight="1">
      <c r="B342" s="95"/>
      <c r="C342" s="55" t="s">
        <v>183</v>
      </c>
      <c r="D342" s="58">
        <v>4</v>
      </c>
      <c r="E342" s="57">
        <v>0</v>
      </c>
    </row>
    <row r="343" spans="2:5" ht="15" customHeight="1">
      <c r="B343" s="95"/>
      <c r="C343" s="55" t="s">
        <v>269</v>
      </c>
      <c r="D343" s="58">
        <v>4</v>
      </c>
      <c r="E343" s="57">
        <v>0</v>
      </c>
    </row>
    <row r="344" spans="2:5" ht="15" customHeight="1">
      <c r="B344" s="95"/>
      <c r="C344" s="55" t="s">
        <v>187</v>
      </c>
      <c r="D344" s="58">
        <v>13</v>
      </c>
      <c r="E344" s="57">
        <v>1E-3</v>
      </c>
    </row>
    <row r="345" spans="2:5" ht="15" customHeight="1">
      <c r="B345" s="95"/>
      <c r="C345" s="55" t="s">
        <v>189</v>
      </c>
      <c r="D345" s="58">
        <v>6</v>
      </c>
      <c r="E345" s="57">
        <v>0</v>
      </c>
    </row>
    <row r="346" spans="2:5" ht="15" customHeight="1">
      <c r="B346" s="95"/>
      <c r="C346" s="55" t="s">
        <v>190</v>
      </c>
      <c r="D346" s="58">
        <v>11</v>
      </c>
      <c r="E346" s="57">
        <v>1E-3</v>
      </c>
    </row>
    <row r="347" spans="2:5" ht="15" customHeight="1">
      <c r="B347" s="95"/>
      <c r="C347" s="55" t="s">
        <v>270</v>
      </c>
      <c r="D347" s="58">
        <v>1</v>
      </c>
      <c r="E347" s="57">
        <v>0</v>
      </c>
    </row>
    <row r="348" spans="2:5" ht="15" customHeight="1">
      <c r="B348" s="95"/>
      <c r="C348" s="72" t="s">
        <v>284</v>
      </c>
      <c r="D348" s="73">
        <v>46</v>
      </c>
      <c r="E348" s="71">
        <v>3.0000000000000001E-3</v>
      </c>
    </row>
    <row r="349" spans="2:5" ht="15" customHeight="1">
      <c r="B349" s="95" t="s">
        <v>70</v>
      </c>
      <c r="C349" s="55" t="s">
        <v>176</v>
      </c>
      <c r="D349" s="58">
        <v>3</v>
      </c>
      <c r="E349" s="57">
        <v>0</v>
      </c>
    </row>
    <row r="350" spans="2:5" ht="15" customHeight="1">
      <c r="B350" s="95"/>
      <c r="C350" s="55" t="s">
        <v>260</v>
      </c>
      <c r="D350" s="58">
        <v>2</v>
      </c>
      <c r="E350" s="57">
        <v>0</v>
      </c>
    </row>
    <row r="351" spans="2:5" ht="15" customHeight="1">
      <c r="B351" s="95"/>
      <c r="C351" s="55" t="s">
        <v>262</v>
      </c>
      <c r="D351" s="58">
        <v>1</v>
      </c>
      <c r="E351" s="57">
        <v>0</v>
      </c>
    </row>
    <row r="352" spans="2:5" ht="15" customHeight="1">
      <c r="B352" s="95"/>
      <c r="C352" s="55" t="s">
        <v>263</v>
      </c>
      <c r="D352" s="58">
        <v>1</v>
      </c>
      <c r="E352" s="57">
        <v>0</v>
      </c>
    </row>
    <row r="353" spans="2:5" ht="15" customHeight="1">
      <c r="B353" s="95"/>
      <c r="C353" s="55" t="s">
        <v>264</v>
      </c>
      <c r="D353" s="58">
        <v>1</v>
      </c>
      <c r="E353" s="57">
        <v>0</v>
      </c>
    </row>
    <row r="354" spans="2:5" ht="15" customHeight="1">
      <c r="B354" s="95"/>
      <c r="C354" s="55" t="s">
        <v>266</v>
      </c>
      <c r="D354" s="58">
        <v>2</v>
      </c>
      <c r="E354" s="57">
        <v>0</v>
      </c>
    </row>
    <row r="355" spans="2:5" ht="15" customHeight="1">
      <c r="B355" s="95"/>
      <c r="C355" s="55" t="s">
        <v>183</v>
      </c>
      <c r="D355" s="58">
        <v>14</v>
      </c>
      <c r="E355" s="57">
        <v>1E-3</v>
      </c>
    </row>
    <row r="356" spans="2:5" ht="15" customHeight="1">
      <c r="B356" s="95"/>
      <c r="C356" s="55" t="s">
        <v>267</v>
      </c>
      <c r="D356" s="58">
        <v>3</v>
      </c>
      <c r="E356" s="57">
        <v>0</v>
      </c>
    </row>
    <row r="357" spans="2:5" ht="15" customHeight="1">
      <c r="B357" s="95"/>
      <c r="C357" s="55" t="s">
        <v>268</v>
      </c>
      <c r="D357" s="58">
        <v>1</v>
      </c>
      <c r="E357" s="57">
        <v>0</v>
      </c>
    </row>
    <row r="358" spans="2:5" ht="15" customHeight="1">
      <c r="B358" s="95"/>
      <c r="C358" s="55" t="s">
        <v>269</v>
      </c>
      <c r="D358" s="58">
        <v>7</v>
      </c>
      <c r="E358" s="57">
        <v>0</v>
      </c>
    </row>
    <row r="359" spans="2:5" ht="15" customHeight="1">
      <c r="B359" s="95"/>
      <c r="C359" s="55" t="s">
        <v>187</v>
      </c>
      <c r="D359" s="58">
        <v>51</v>
      </c>
      <c r="E359" s="57">
        <v>3.0000000000000001E-3</v>
      </c>
    </row>
    <row r="360" spans="2:5" ht="15" customHeight="1">
      <c r="B360" s="95"/>
      <c r="C360" s="55" t="s">
        <v>188</v>
      </c>
      <c r="D360" s="58">
        <v>1</v>
      </c>
      <c r="E360" s="57">
        <v>0</v>
      </c>
    </row>
    <row r="361" spans="2:5" ht="15" customHeight="1">
      <c r="B361" s="95"/>
      <c r="C361" s="55" t="s">
        <v>189</v>
      </c>
      <c r="D361" s="58">
        <v>5</v>
      </c>
      <c r="E361" s="57">
        <v>0</v>
      </c>
    </row>
    <row r="362" spans="2:5" ht="15" customHeight="1">
      <c r="B362" s="95"/>
      <c r="C362" s="55" t="s">
        <v>190</v>
      </c>
      <c r="D362" s="58">
        <v>25</v>
      </c>
      <c r="E362" s="57">
        <v>2E-3</v>
      </c>
    </row>
    <row r="363" spans="2:5" ht="15" customHeight="1">
      <c r="B363" s="95"/>
      <c r="C363" s="55" t="s">
        <v>271</v>
      </c>
      <c r="D363" s="58">
        <v>2</v>
      </c>
      <c r="E363" s="57">
        <v>0</v>
      </c>
    </row>
    <row r="364" spans="2:5" ht="15" customHeight="1">
      <c r="B364" s="95"/>
      <c r="C364" s="55" t="s">
        <v>195</v>
      </c>
      <c r="D364" s="58">
        <v>1</v>
      </c>
      <c r="E364" s="57">
        <v>0</v>
      </c>
    </row>
    <row r="365" spans="2:5" ht="15" customHeight="1">
      <c r="B365" s="95"/>
      <c r="C365" s="55" t="s">
        <v>196</v>
      </c>
      <c r="D365" s="58">
        <v>7</v>
      </c>
      <c r="E365" s="57">
        <v>0</v>
      </c>
    </row>
    <row r="366" spans="2:5" ht="15" customHeight="1">
      <c r="B366" s="95"/>
      <c r="C366" s="72" t="s">
        <v>284</v>
      </c>
      <c r="D366" s="73">
        <v>127</v>
      </c>
      <c r="E366" s="71">
        <v>8.0000000000000002E-3</v>
      </c>
    </row>
    <row r="367" spans="2:5" ht="15" customHeight="1">
      <c r="B367" s="95" t="s">
        <v>72</v>
      </c>
      <c r="C367" s="55" t="s">
        <v>176</v>
      </c>
      <c r="D367" s="58">
        <v>2</v>
      </c>
      <c r="E367" s="57">
        <v>0</v>
      </c>
    </row>
    <row r="368" spans="2:5" ht="15" customHeight="1">
      <c r="B368" s="95"/>
      <c r="C368" s="55" t="s">
        <v>260</v>
      </c>
      <c r="D368" s="58">
        <v>1</v>
      </c>
      <c r="E368" s="57">
        <v>0</v>
      </c>
    </row>
    <row r="369" spans="2:5" ht="15" customHeight="1">
      <c r="B369" s="95"/>
      <c r="C369" s="55" t="s">
        <v>264</v>
      </c>
      <c r="D369" s="58">
        <v>2</v>
      </c>
      <c r="E369" s="57">
        <v>0</v>
      </c>
    </row>
    <row r="370" spans="2:5" ht="15" customHeight="1">
      <c r="B370" s="95"/>
      <c r="C370" s="55" t="s">
        <v>265</v>
      </c>
      <c r="D370" s="58">
        <v>4</v>
      </c>
      <c r="E370" s="57">
        <v>0</v>
      </c>
    </row>
    <row r="371" spans="2:5" ht="15" customHeight="1">
      <c r="B371" s="95"/>
      <c r="C371" s="55" t="s">
        <v>266</v>
      </c>
      <c r="D371" s="58">
        <v>6</v>
      </c>
      <c r="E371" s="57">
        <v>0</v>
      </c>
    </row>
    <row r="372" spans="2:5" ht="15" customHeight="1">
      <c r="B372" s="95"/>
      <c r="C372" s="55" t="s">
        <v>183</v>
      </c>
      <c r="D372" s="58">
        <v>11</v>
      </c>
      <c r="E372" s="57">
        <v>1E-3</v>
      </c>
    </row>
    <row r="373" spans="2:5" ht="15" customHeight="1">
      <c r="B373" s="95"/>
      <c r="C373" s="55" t="s">
        <v>267</v>
      </c>
      <c r="D373" s="58">
        <v>1</v>
      </c>
      <c r="E373" s="57">
        <v>0</v>
      </c>
    </row>
    <row r="374" spans="2:5" ht="15" customHeight="1">
      <c r="B374" s="95"/>
      <c r="C374" s="55" t="s">
        <v>268</v>
      </c>
      <c r="D374" s="58">
        <v>2</v>
      </c>
      <c r="E374" s="57">
        <v>0</v>
      </c>
    </row>
    <row r="375" spans="2:5" ht="15" customHeight="1">
      <c r="B375" s="95"/>
      <c r="C375" s="55" t="s">
        <v>269</v>
      </c>
      <c r="D375" s="58">
        <v>5</v>
      </c>
      <c r="E375" s="57">
        <v>0</v>
      </c>
    </row>
    <row r="376" spans="2:5" ht="15" customHeight="1">
      <c r="B376" s="95"/>
      <c r="C376" s="55" t="s">
        <v>187</v>
      </c>
      <c r="D376" s="58">
        <v>32</v>
      </c>
      <c r="E376" s="57">
        <v>2E-3</v>
      </c>
    </row>
    <row r="377" spans="2:5" ht="15" customHeight="1">
      <c r="B377" s="95"/>
      <c r="C377" s="55" t="s">
        <v>189</v>
      </c>
      <c r="D377" s="58">
        <v>4</v>
      </c>
      <c r="E377" s="57">
        <v>0</v>
      </c>
    </row>
    <row r="378" spans="2:5" ht="15" customHeight="1">
      <c r="B378" s="95"/>
      <c r="C378" s="55" t="s">
        <v>190</v>
      </c>
      <c r="D378" s="58">
        <v>23</v>
      </c>
      <c r="E378" s="57">
        <v>1E-3</v>
      </c>
    </row>
    <row r="379" spans="2:5" ht="15" customHeight="1">
      <c r="B379" s="95"/>
      <c r="C379" s="55" t="s">
        <v>271</v>
      </c>
      <c r="D379" s="58">
        <v>1</v>
      </c>
      <c r="E379" s="57">
        <v>0</v>
      </c>
    </row>
    <row r="380" spans="2:5" ht="15" customHeight="1">
      <c r="B380" s="95"/>
      <c r="C380" s="55" t="s">
        <v>195</v>
      </c>
      <c r="D380" s="58">
        <v>1</v>
      </c>
      <c r="E380" s="57">
        <v>0</v>
      </c>
    </row>
    <row r="381" spans="2:5" ht="15" customHeight="1">
      <c r="B381" s="95"/>
      <c r="C381" s="55" t="s">
        <v>196</v>
      </c>
      <c r="D381" s="58">
        <v>1</v>
      </c>
      <c r="E381" s="57">
        <v>0</v>
      </c>
    </row>
    <row r="382" spans="2:5" ht="15" customHeight="1">
      <c r="B382" s="95"/>
      <c r="C382" s="72" t="s">
        <v>284</v>
      </c>
      <c r="D382" s="73">
        <v>96</v>
      </c>
      <c r="E382" s="71">
        <v>6.0000000000000001E-3</v>
      </c>
    </row>
    <row r="383" spans="2:5" ht="15" customHeight="1">
      <c r="B383" s="95" t="s">
        <v>82</v>
      </c>
      <c r="C383" s="55" t="s">
        <v>260</v>
      </c>
      <c r="D383" s="58">
        <v>1</v>
      </c>
      <c r="E383" s="57">
        <v>0</v>
      </c>
    </row>
    <row r="384" spans="2:5" ht="15" customHeight="1">
      <c r="B384" s="95"/>
      <c r="C384" s="55" t="s">
        <v>262</v>
      </c>
      <c r="D384" s="58">
        <v>1</v>
      </c>
      <c r="E384" s="57">
        <v>0</v>
      </c>
    </row>
    <row r="385" spans="2:5" ht="15" customHeight="1">
      <c r="B385" s="95"/>
      <c r="C385" s="55" t="s">
        <v>263</v>
      </c>
      <c r="D385" s="58">
        <v>4</v>
      </c>
      <c r="E385" s="57">
        <v>0</v>
      </c>
    </row>
    <row r="386" spans="2:5" ht="15" customHeight="1">
      <c r="B386" s="95"/>
      <c r="C386" s="55" t="s">
        <v>264</v>
      </c>
      <c r="D386" s="58">
        <v>3</v>
      </c>
      <c r="E386" s="57">
        <v>0</v>
      </c>
    </row>
    <row r="387" spans="2:5" ht="15" customHeight="1">
      <c r="B387" s="95"/>
      <c r="C387" s="55" t="s">
        <v>265</v>
      </c>
      <c r="D387" s="58">
        <v>5</v>
      </c>
      <c r="E387" s="57">
        <v>0</v>
      </c>
    </row>
    <row r="388" spans="2:5" ht="15" customHeight="1">
      <c r="B388" s="95"/>
      <c r="C388" s="55" t="s">
        <v>266</v>
      </c>
      <c r="D388" s="58">
        <v>10</v>
      </c>
      <c r="E388" s="57">
        <v>1E-3</v>
      </c>
    </row>
    <row r="389" spans="2:5" ht="15" customHeight="1">
      <c r="B389" s="95"/>
      <c r="C389" s="55" t="s">
        <v>183</v>
      </c>
      <c r="D389" s="58">
        <v>19</v>
      </c>
      <c r="E389" s="57">
        <v>1E-3</v>
      </c>
    </row>
    <row r="390" spans="2:5" ht="15" customHeight="1">
      <c r="B390" s="95"/>
      <c r="C390" s="55" t="s">
        <v>267</v>
      </c>
      <c r="D390" s="58">
        <v>2</v>
      </c>
      <c r="E390" s="57">
        <v>0</v>
      </c>
    </row>
    <row r="391" spans="2:5" ht="15" customHeight="1">
      <c r="B391" s="95"/>
      <c r="C391" s="55" t="s">
        <v>268</v>
      </c>
      <c r="D391" s="58">
        <v>3</v>
      </c>
      <c r="E391" s="57">
        <v>0</v>
      </c>
    </row>
    <row r="392" spans="2:5" ht="15" customHeight="1">
      <c r="B392" s="95"/>
      <c r="C392" s="55" t="s">
        <v>269</v>
      </c>
      <c r="D392" s="58">
        <v>10</v>
      </c>
      <c r="E392" s="57">
        <v>1E-3</v>
      </c>
    </row>
    <row r="393" spans="2:5" ht="15" customHeight="1">
      <c r="B393" s="95"/>
      <c r="C393" s="55" t="s">
        <v>187</v>
      </c>
      <c r="D393" s="58">
        <v>76</v>
      </c>
      <c r="E393" s="57">
        <v>5.0000000000000001E-3</v>
      </c>
    </row>
    <row r="394" spans="2:5" ht="15" customHeight="1">
      <c r="B394" s="95"/>
      <c r="C394" s="55" t="s">
        <v>188</v>
      </c>
      <c r="D394" s="58">
        <v>2</v>
      </c>
      <c r="E394" s="57">
        <v>0</v>
      </c>
    </row>
    <row r="395" spans="2:5" ht="15" customHeight="1">
      <c r="B395" s="95"/>
      <c r="C395" s="55" t="s">
        <v>189</v>
      </c>
      <c r="D395" s="58">
        <v>8</v>
      </c>
      <c r="E395" s="57">
        <v>1E-3</v>
      </c>
    </row>
    <row r="396" spans="2:5" ht="15" customHeight="1">
      <c r="B396" s="95"/>
      <c r="C396" s="55" t="s">
        <v>190</v>
      </c>
      <c r="D396" s="58">
        <v>35</v>
      </c>
      <c r="E396" s="57">
        <v>2E-3</v>
      </c>
    </row>
    <row r="397" spans="2:5" ht="15" customHeight="1">
      <c r="B397" s="95"/>
      <c r="C397" s="55" t="s">
        <v>270</v>
      </c>
      <c r="D397" s="58">
        <v>1</v>
      </c>
      <c r="E397" s="57">
        <v>0</v>
      </c>
    </row>
    <row r="398" spans="2:5" ht="15" customHeight="1">
      <c r="B398" s="95"/>
      <c r="C398" s="55" t="s">
        <v>273</v>
      </c>
      <c r="D398" s="58">
        <v>1</v>
      </c>
      <c r="E398" s="57">
        <v>0</v>
      </c>
    </row>
    <row r="399" spans="2:5" ht="15" customHeight="1">
      <c r="B399" s="95"/>
      <c r="C399" s="55" t="s">
        <v>195</v>
      </c>
      <c r="D399" s="58">
        <v>1</v>
      </c>
      <c r="E399" s="57">
        <v>0</v>
      </c>
    </row>
    <row r="400" spans="2:5" ht="15" customHeight="1">
      <c r="B400" s="95"/>
      <c r="C400" s="55" t="s">
        <v>196</v>
      </c>
      <c r="D400" s="58">
        <v>5</v>
      </c>
      <c r="E400" s="57">
        <v>0</v>
      </c>
    </row>
    <row r="401" spans="2:5" ht="15" customHeight="1">
      <c r="B401" s="95"/>
      <c r="C401" s="55" t="s">
        <v>197</v>
      </c>
      <c r="D401" s="58">
        <v>1</v>
      </c>
      <c r="E401" s="57">
        <v>0</v>
      </c>
    </row>
    <row r="402" spans="2:5" ht="15" customHeight="1">
      <c r="B402" s="95"/>
      <c r="C402" s="55" t="s">
        <v>198</v>
      </c>
      <c r="D402" s="58">
        <v>1</v>
      </c>
      <c r="E402" s="57">
        <v>0</v>
      </c>
    </row>
    <row r="403" spans="2:5" ht="15" customHeight="1">
      <c r="B403" s="95"/>
      <c r="C403" s="72" t="s">
        <v>284</v>
      </c>
      <c r="D403" s="73">
        <v>189</v>
      </c>
      <c r="E403" s="71">
        <v>1.2E-2</v>
      </c>
    </row>
    <row r="404" spans="2:5" ht="15" customHeight="1">
      <c r="B404" s="95" t="s">
        <v>83</v>
      </c>
      <c r="C404" s="55" t="s">
        <v>176</v>
      </c>
      <c r="D404" s="58">
        <v>1</v>
      </c>
      <c r="E404" s="57">
        <v>0</v>
      </c>
    </row>
    <row r="405" spans="2:5" ht="15" customHeight="1">
      <c r="B405" s="95"/>
      <c r="C405" s="55" t="s">
        <v>266</v>
      </c>
      <c r="D405" s="58">
        <v>1</v>
      </c>
      <c r="E405" s="57">
        <v>0</v>
      </c>
    </row>
    <row r="406" spans="2:5" ht="15" customHeight="1">
      <c r="B406" s="95"/>
      <c r="C406" s="55" t="s">
        <v>183</v>
      </c>
      <c r="D406" s="58">
        <v>6</v>
      </c>
      <c r="E406" s="57">
        <v>0</v>
      </c>
    </row>
    <row r="407" spans="2:5" ht="15" customHeight="1">
      <c r="B407" s="95"/>
      <c r="C407" s="55" t="s">
        <v>268</v>
      </c>
      <c r="D407" s="58">
        <v>3</v>
      </c>
      <c r="E407" s="57">
        <v>0</v>
      </c>
    </row>
    <row r="408" spans="2:5" ht="15" customHeight="1">
      <c r="B408" s="95"/>
      <c r="C408" s="55" t="s">
        <v>269</v>
      </c>
      <c r="D408" s="58">
        <v>2</v>
      </c>
      <c r="E408" s="57">
        <v>0</v>
      </c>
    </row>
    <row r="409" spans="2:5" ht="15" customHeight="1">
      <c r="B409" s="95"/>
      <c r="C409" s="55" t="s">
        <v>187</v>
      </c>
      <c r="D409" s="58">
        <v>22</v>
      </c>
      <c r="E409" s="57">
        <v>1E-3</v>
      </c>
    </row>
    <row r="410" spans="2:5" ht="15" customHeight="1">
      <c r="B410" s="95"/>
      <c r="C410" s="55" t="s">
        <v>188</v>
      </c>
      <c r="D410" s="58">
        <v>1</v>
      </c>
      <c r="E410" s="57">
        <v>0</v>
      </c>
    </row>
    <row r="411" spans="2:5" ht="15" customHeight="1">
      <c r="B411" s="95"/>
      <c r="C411" s="55" t="s">
        <v>189</v>
      </c>
      <c r="D411" s="58">
        <v>4</v>
      </c>
      <c r="E411" s="57">
        <v>0</v>
      </c>
    </row>
    <row r="412" spans="2:5" ht="15" customHeight="1">
      <c r="B412" s="95"/>
      <c r="C412" s="55" t="s">
        <v>190</v>
      </c>
      <c r="D412" s="58">
        <v>15</v>
      </c>
      <c r="E412" s="57">
        <v>1E-3</v>
      </c>
    </row>
    <row r="413" spans="2:5" ht="15" customHeight="1">
      <c r="B413" s="95"/>
      <c r="C413" s="55" t="s">
        <v>270</v>
      </c>
      <c r="D413" s="58">
        <v>1</v>
      </c>
      <c r="E413" s="57">
        <v>0</v>
      </c>
    </row>
    <row r="414" spans="2:5" ht="15" customHeight="1">
      <c r="B414" s="95"/>
      <c r="C414" s="55" t="s">
        <v>195</v>
      </c>
      <c r="D414" s="58">
        <v>1</v>
      </c>
      <c r="E414" s="57">
        <v>0</v>
      </c>
    </row>
    <row r="415" spans="2:5" ht="15" customHeight="1">
      <c r="B415" s="95"/>
      <c r="C415" s="55" t="s">
        <v>196</v>
      </c>
      <c r="D415" s="58">
        <v>1</v>
      </c>
      <c r="E415" s="57">
        <v>0</v>
      </c>
    </row>
    <row r="416" spans="2:5" ht="15" customHeight="1">
      <c r="B416" s="95"/>
      <c r="C416" s="55" t="s">
        <v>198</v>
      </c>
      <c r="D416" s="58">
        <v>1</v>
      </c>
      <c r="E416" s="57">
        <v>0</v>
      </c>
    </row>
    <row r="417" spans="2:5" ht="15" customHeight="1">
      <c r="B417" s="95"/>
      <c r="C417" s="72" t="s">
        <v>284</v>
      </c>
      <c r="D417" s="73">
        <v>59</v>
      </c>
      <c r="E417" s="71">
        <v>4.0000000000000001E-3</v>
      </c>
    </row>
    <row r="418" spans="2:5" ht="15" customHeight="1">
      <c r="B418" s="95" t="s">
        <v>48</v>
      </c>
      <c r="C418" s="55" t="s">
        <v>176</v>
      </c>
      <c r="D418" s="58">
        <v>14</v>
      </c>
      <c r="E418" s="57">
        <v>1E-3</v>
      </c>
    </row>
    <row r="419" spans="2:5" ht="15" customHeight="1">
      <c r="B419" s="95"/>
      <c r="C419" s="55" t="s">
        <v>260</v>
      </c>
      <c r="D419" s="58">
        <v>6</v>
      </c>
      <c r="E419" s="57">
        <v>0</v>
      </c>
    </row>
    <row r="420" spans="2:5" ht="15" customHeight="1">
      <c r="B420" s="95"/>
      <c r="C420" s="55" t="s">
        <v>262</v>
      </c>
      <c r="D420" s="58">
        <v>10</v>
      </c>
      <c r="E420" s="57">
        <v>1E-3</v>
      </c>
    </row>
    <row r="421" spans="2:5" ht="15" customHeight="1">
      <c r="B421" s="95"/>
      <c r="C421" s="55" t="s">
        <v>263</v>
      </c>
      <c r="D421" s="58">
        <v>26</v>
      </c>
      <c r="E421" s="57">
        <v>2E-3</v>
      </c>
    </row>
    <row r="422" spans="2:5" ht="15" customHeight="1">
      <c r="B422" s="95"/>
      <c r="C422" s="55" t="s">
        <v>264</v>
      </c>
      <c r="D422" s="58">
        <v>14</v>
      </c>
      <c r="E422" s="57">
        <v>1E-3</v>
      </c>
    </row>
    <row r="423" spans="2:5" ht="15" customHeight="1">
      <c r="B423" s="95"/>
      <c r="C423" s="55" t="s">
        <v>265</v>
      </c>
      <c r="D423" s="58">
        <v>21</v>
      </c>
      <c r="E423" s="57">
        <v>1E-3</v>
      </c>
    </row>
    <row r="424" spans="2:5" ht="15" customHeight="1">
      <c r="B424" s="95"/>
      <c r="C424" s="55" t="s">
        <v>266</v>
      </c>
      <c r="D424" s="58">
        <v>81</v>
      </c>
      <c r="E424" s="57">
        <v>5.0000000000000001E-3</v>
      </c>
    </row>
    <row r="425" spans="2:5" ht="15" customHeight="1">
      <c r="B425" s="95"/>
      <c r="C425" s="55" t="s">
        <v>183</v>
      </c>
      <c r="D425" s="58">
        <v>136</v>
      </c>
      <c r="E425" s="57">
        <v>8.9999999999999993E-3</v>
      </c>
    </row>
    <row r="426" spans="2:5" ht="15" customHeight="1">
      <c r="B426" s="95"/>
      <c r="C426" s="55" t="s">
        <v>267</v>
      </c>
      <c r="D426" s="58">
        <v>11</v>
      </c>
      <c r="E426" s="57">
        <v>1E-3</v>
      </c>
    </row>
    <row r="427" spans="2:5" ht="15" customHeight="1">
      <c r="B427" s="95"/>
      <c r="C427" s="55" t="s">
        <v>268</v>
      </c>
      <c r="D427" s="58">
        <v>33</v>
      </c>
      <c r="E427" s="57">
        <v>2E-3</v>
      </c>
    </row>
    <row r="428" spans="2:5" ht="15" customHeight="1">
      <c r="B428" s="95"/>
      <c r="C428" s="55" t="s">
        <v>269</v>
      </c>
      <c r="D428" s="58">
        <v>56</v>
      </c>
      <c r="E428" s="57">
        <v>4.0000000000000001E-3</v>
      </c>
    </row>
    <row r="429" spans="2:5" ht="15" customHeight="1">
      <c r="B429" s="95"/>
      <c r="C429" s="55" t="s">
        <v>187</v>
      </c>
      <c r="D429" s="58">
        <v>500</v>
      </c>
      <c r="E429" s="57">
        <v>3.2000000000000001E-2</v>
      </c>
    </row>
    <row r="430" spans="2:5" ht="15" customHeight="1">
      <c r="B430" s="95"/>
      <c r="C430" s="55" t="s">
        <v>188</v>
      </c>
      <c r="D430" s="58">
        <v>7</v>
      </c>
      <c r="E430" s="57">
        <v>0</v>
      </c>
    </row>
    <row r="431" spans="2:5" ht="15" customHeight="1">
      <c r="B431" s="95"/>
      <c r="C431" s="55" t="s">
        <v>189</v>
      </c>
      <c r="D431" s="58">
        <v>51</v>
      </c>
      <c r="E431" s="57">
        <v>3.0000000000000001E-3</v>
      </c>
    </row>
    <row r="432" spans="2:5" ht="15" customHeight="1">
      <c r="B432" s="95"/>
      <c r="C432" s="55" t="s">
        <v>190</v>
      </c>
      <c r="D432" s="58">
        <v>242</v>
      </c>
      <c r="E432" s="57">
        <v>1.6E-2</v>
      </c>
    </row>
    <row r="433" spans="2:5" ht="15" customHeight="1">
      <c r="B433" s="95"/>
      <c r="C433" s="55" t="s">
        <v>270</v>
      </c>
      <c r="D433" s="58">
        <v>4</v>
      </c>
      <c r="E433" s="57">
        <v>0</v>
      </c>
    </row>
    <row r="434" spans="2:5" ht="15" customHeight="1">
      <c r="B434" s="95"/>
      <c r="C434" s="55" t="s">
        <v>271</v>
      </c>
      <c r="D434" s="58">
        <v>3</v>
      </c>
      <c r="E434" s="57">
        <v>0</v>
      </c>
    </row>
    <row r="435" spans="2:5" ht="15" customHeight="1">
      <c r="B435" s="95"/>
      <c r="C435" s="55" t="s">
        <v>273</v>
      </c>
      <c r="D435" s="58">
        <v>2</v>
      </c>
      <c r="E435" s="57">
        <v>0</v>
      </c>
    </row>
    <row r="436" spans="2:5" ht="15" customHeight="1">
      <c r="B436" s="95"/>
      <c r="C436" s="55" t="s">
        <v>195</v>
      </c>
      <c r="D436" s="58">
        <v>12</v>
      </c>
      <c r="E436" s="57">
        <v>1E-3</v>
      </c>
    </row>
    <row r="437" spans="2:5" ht="15" customHeight="1">
      <c r="B437" s="95"/>
      <c r="C437" s="55" t="s">
        <v>196</v>
      </c>
      <c r="D437" s="58">
        <v>33</v>
      </c>
      <c r="E437" s="57">
        <v>2E-3</v>
      </c>
    </row>
    <row r="438" spans="2:5" ht="15" customHeight="1">
      <c r="B438" s="95"/>
      <c r="C438" s="72" t="s">
        <v>284</v>
      </c>
      <c r="D438" s="69">
        <v>1262</v>
      </c>
      <c r="E438" s="71">
        <v>8.2000000000000003E-2</v>
      </c>
    </row>
    <row r="439" spans="2:5" ht="15" customHeight="1">
      <c r="B439" s="95" t="s">
        <v>75</v>
      </c>
      <c r="C439" s="55" t="s">
        <v>176</v>
      </c>
      <c r="D439" s="58">
        <v>1</v>
      </c>
      <c r="E439" s="57">
        <v>0</v>
      </c>
    </row>
    <row r="440" spans="2:5" ht="15" customHeight="1">
      <c r="B440" s="95"/>
      <c r="C440" s="55" t="s">
        <v>263</v>
      </c>
      <c r="D440" s="58">
        <v>1</v>
      </c>
      <c r="E440" s="57">
        <v>0</v>
      </c>
    </row>
    <row r="441" spans="2:5" ht="15" customHeight="1">
      <c r="B441" s="95"/>
      <c r="C441" s="55" t="s">
        <v>264</v>
      </c>
      <c r="D441" s="58">
        <v>2</v>
      </c>
      <c r="E441" s="57">
        <v>0</v>
      </c>
    </row>
    <row r="442" spans="2:5" ht="15" customHeight="1">
      <c r="B442" s="95"/>
      <c r="C442" s="55" t="s">
        <v>266</v>
      </c>
      <c r="D442" s="58">
        <v>6</v>
      </c>
      <c r="E442" s="57">
        <v>0</v>
      </c>
    </row>
    <row r="443" spans="2:5" ht="15" customHeight="1">
      <c r="B443" s="95"/>
      <c r="C443" s="55" t="s">
        <v>183</v>
      </c>
      <c r="D443" s="58">
        <v>10</v>
      </c>
      <c r="E443" s="57">
        <v>1E-3</v>
      </c>
    </row>
    <row r="444" spans="2:5" ht="15" customHeight="1">
      <c r="B444" s="95"/>
      <c r="C444" s="55" t="s">
        <v>268</v>
      </c>
      <c r="D444" s="58">
        <v>3</v>
      </c>
      <c r="E444" s="57">
        <v>0</v>
      </c>
    </row>
    <row r="445" spans="2:5" ht="15" customHeight="1">
      <c r="B445" s="95"/>
      <c r="C445" s="55" t="s">
        <v>269</v>
      </c>
      <c r="D445" s="58">
        <v>4</v>
      </c>
      <c r="E445" s="57">
        <v>0</v>
      </c>
    </row>
    <row r="446" spans="2:5" ht="15" customHeight="1">
      <c r="B446" s="95"/>
      <c r="C446" s="55" t="s">
        <v>187</v>
      </c>
      <c r="D446" s="58">
        <v>34</v>
      </c>
      <c r="E446" s="57">
        <v>2E-3</v>
      </c>
    </row>
    <row r="447" spans="2:5" ht="15" customHeight="1">
      <c r="B447" s="95"/>
      <c r="C447" s="55" t="s">
        <v>188</v>
      </c>
      <c r="D447" s="58">
        <v>4</v>
      </c>
      <c r="E447" s="57">
        <v>0</v>
      </c>
    </row>
    <row r="448" spans="2:5" ht="15" customHeight="1">
      <c r="B448" s="95"/>
      <c r="C448" s="55" t="s">
        <v>189</v>
      </c>
      <c r="D448" s="58">
        <v>6</v>
      </c>
      <c r="E448" s="57">
        <v>0</v>
      </c>
    </row>
    <row r="449" spans="2:5" ht="15" customHeight="1">
      <c r="B449" s="95"/>
      <c r="C449" s="55" t="s">
        <v>190</v>
      </c>
      <c r="D449" s="58">
        <v>18</v>
      </c>
      <c r="E449" s="57">
        <v>1E-3</v>
      </c>
    </row>
    <row r="450" spans="2:5" ht="15" customHeight="1">
      <c r="B450" s="95"/>
      <c r="C450" s="55" t="s">
        <v>271</v>
      </c>
      <c r="D450" s="58">
        <v>1</v>
      </c>
      <c r="E450" s="57">
        <v>0</v>
      </c>
    </row>
    <row r="451" spans="2:5" ht="15" customHeight="1">
      <c r="B451" s="95"/>
      <c r="C451" s="55" t="s">
        <v>273</v>
      </c>
      <c r="D451" s="58">
        <v>1</v>
      </c>
      <c r="E451" s="57">
        <v>0</v>
      </c>
    </row>
    <row r="452" spans="2:5" ht="15" customHeight="1">
      <c r="B452" s="95"/>
      <c r="C452" s="55" t="s">
        <v>195</v>
      </c>
      <c r="D452" s="58">
        <v>1</v>
      </c>
      <c r="E452" s="57">
        <v>0</v>
      </c>
    </row>
    <row r="453" spans="2:5" ht="15" customHeight="1">
      <c r="B453" s="95"/>
      <c r="C453" s="55" t="s">
        <v>196</v>
      </c>
      <c r="D453" s="58">
        <v>3</v>
      </c>
      <c r="E453" s="57">
        <v>0</v>
      </c>
    </row>
    <row r="454" spans="2:5" ht="15" customHeight="1">
      <c r="B454" s="95"/>
      <c r="C454" s="72" t="s">
        <v>284</v>
      </c>
      <c r="D454" s="73">
        <v>95</v>
      </c>
      <c r="E454" s="71">
        <v>6.0000000000000001E-3</v>
      </c>
    </row>
    <row r="455" spans="2:5" ht="15" customHeight="1">
      <c r="B455" s="95" t="s">
        <v>73</v>
      </c>
      <c r="C455" s="55" t="s">
        <v>176</v>
      </c>
      <c r="D455" s="58">
        <v>1</v>
      </c>
      <c r="E455" s="57">
        <v>0</v>
      </c>
    </row>
    <row r="456" spans="2:5" ht="15" customHeight="1">
      <c r="B456" s="95"/>
      <c r="C456" s="55" t="s">
        <v>260</v>
      </c>
      <c r="D456" s="58">
        <v>1</v>
      </c>
      <c r="E456" s="57">
        <v>0</v>
      </c>
    </row>
    <row r="457" spans="2:5" ht="15" customHeight="1">
      <c r="B457" s="95"/>
      <c r="C457" s="55" t="s">
        <v>263</v>
      </c>
      <c r="D457" s="58">
        <v>3</v>
      </c>
      <c r="E457" s="57">
        <v>0</v>
      </c>
    </row>
    <row r="458" spans="2:5" ht="15" customHeight="1">
      <c r="B458" s="95"/>
      <c r="C458" s="55" t="s">
        <v>264</v>
      </c>
      <c r="D458" s="58">
        <v>2</v>
      </c>
      <c r="E458" s="57">
        <v>0</v>
      </c>
    </row>
    <row r="459" spans="2:5" ht="15" customHeight="1">
      <c r="B459" s="95"/>
      <c r="C459" s="55" t="s">
        <v>265</v>
      </c>
      <c r="D459" s="58">
        <v>1</v>
      </c>
      <c r="E459" s="57">
        <v>0</v>
      </c>
    </row>
    <row r="460" spans="2:5" ht="15" customHeight="1">
      <c r="B460" s="95"/>
      <c r="C460" s="55" t="s">
        <v>266</v>
      </c>
      <c r="D460" s="58">
        <v>7</v>
      </c>
      <c r="E460" s="57">
        <v>0</v>
      </c>
    </row>
    <row r="461" spans="2:5" ht="15" customHeight="1">
      <c r="B461" s="95"/>
      <c r="C461" s="55" t="s">
        <v>183</v>
      </c>
      <c r="D461" s="58">
        <v>13</v>
      </c>
      <c r="E461" s="57">
        <v>1E-3</v>
      </c>
    </row>
    <row r="462" spans="2:5" ht="15" customHeight="1">
      <c r="B462" s="95"/>
      <c r="C462" s="55" t="s">
        <v>267</v>
      </c>
      <c r="D462" s="58">
        <v>2</v>
      </c>
      <c r="E462" s="57">
        <v>0</v>
      </c>
    </row>
    <row r="463" spans="2:5" ht="15" customHeight="1">
      <c r="B463" s="95"/>
      <c r="C463" s="55" t="s">
        <v>268</v>
      </c>
      <c r="D463" s="58">
        <v>7</v>
      </c>
      <c r="E463" s="57">
        <v>0</v>
      </c>
    </row>
    <row r="464" spans="2:5" ht="15" customHeight="1">
      <c r="B464" s="95"/>
      <c r="C464" s="55" t="s">
        <v>269</v>
      </c>
      <c r="D464" s="58">
        <v>6</v>
      </c>
      <c r="E464" s="57">
        <v>0</v>
      </c>
    </row>
    <row r="465" spans="2:5" ht="15" customHeight="1">
      <c r="B465" s="95"/>
      <c r="C465" s="55" t="s">
        <v>187</v>
      </c>
      <c r="D465" s="58">
        <v>50</v>
      </c>
      <c r="E465" s="57">
        <v>3.0000000000000001E-3</v>
      </c>
    </row>
    <row r="466" spans="2:5" ht="15" customHeight="1">
      <c r="B466" s="95"/>
      <c r="C466" s="55" t="s">
        <v>188</v>
      </c>
      <c r="D466" s="58">
        <v>2</v>
      </c>
      <c r="E466" s="57">
        <v>0</v>
      </c>
    </row>
    <row r="467" spans="2:5" ht="15" customHeight="1">
      <c r="B467" s="95"/>
      <c r="C467" s="55" t="s">
        <v>189</v>
      </c>
      <c r="D467" s="58">
        <v>7</v>
      </c>
      <c r="E467" s="57">
        <v>0</v>
      </c>
    </row>
    <row r="468" spans="2:5" ht="15" customHeight="1">
      <c r="B468" s="95"/>
      <c r="C468" s="55" t="s">
        <v>190</v>
      </c>
      <c r="D468" s="58">
        <v>35</v>
      </c>
      <c r="E468" s="57">
        <v>2E-3</v>
      </c>
    </row>
    <row r="469" spans="2:5" ht="15" customHeight="1">
      <c r="B469" s="95"/>
      <c r="C469" s="55" t="s">
        <v>272</v>
      </c>
      <c r="D469" s="58">
        <v>1</v>
      </c>
      <c r="E469" s="57">
        <v>0</v>
      </c>
    </row>
    <row r="470" spans="2:5" ht="15" customHeight="1">
      <c r="B470" s="95"/>
      <c r="C470" s="55" t="s">
        <v>195</v>
      </c>
      <c r="D470" s="58">
        <v>3</v>
      </c>
      <c r="E470" s="57">
        <v>0</v>
      </c>
    </row>
    <row r="471" spans="2:5" ht="15" customHeight="1">
      <c r="B471" s="95"/>
      <c r="C471" s="55" t="s">
        <v>196</v>
      </c>
      <c r="D471" s="58">
        <v>4</v>
      </c>
      <c r="E471" s="57">
        <v>0</v>
      </c>
    </row>
    <row r="472" spans="2:5" ht="15" customHeight="1">
      <c r="B472" s="95"/>
      <c r="C472" s="72" t="s">
        <v>284</v>
      </c>
      <c r="D472" s="73">
        <v>145</v>
      </c>
      <c r="E472" s="71">
        <v>8.9999999999999993E-3</v>
      </c>
    </row>
    <row r="473" spans="2:5" ht="15" customHeight="1">
      <c r="B473" s="95" t="s">
        <v>65</v>
      </c>
      <c r="C473" s="55" t="s">
        <v>176</v>
      </c>
      <c r="D473" s="58">
        <v>1</v>
      </c>
      <c r="E473" s="57">
        <v>0</v>
      </c>
    </row>
    <row r="474" spans="2:5" ht="15" customHeight="1">
      <c r="B474" s="95"/>
      <c r="C474" s="55" t="s">
        <v>262</v>
      </c>
      <c r="D474" s="58">
        <v>1</v>
      </c>
      <c r="E474" s="57">
        <v>0</v>
      </c>
    </row>
    <row r="475" spans="2:5" ht="15" customHeight="1">
      <c r="B475" s="95"/>
      <c r="C475" s="55" t="s">
        <v>263</v>
      </c>
      <c r="D475" s="58">
        <v>2</v>
      </c>
      <c r="E475" s="57">
        <v>0</v>
      </c>
    </row>
    <row r="476" spans="2:5" ht="15" customHeight="1">
      <c r="B476" s="95"/>
      <c r="C476" s="55" t="s">
        <v>264</v>
      </c>
      <c r="D476" s="58">
        <v>1</v>
      </c>
      <c r="E476" s="57">
        <v>0</v>
      </c>
    </row>
    <row r="477" spans="2:5" ht="15" customHeight="1">
      <c r="B477" s="95"/>
      <c r="C477" s="55" t="s">
        <v>265</v>
      </c>
      <c r="D477" s="58">
        <v>2</v>
      </c>
      <c r="E477" s="57">
        <v>0</v>
      </c>
    </row>
    <row r="478" spans="2:5" ht="15" customHeight="1">
      <c r="B478" s="95"/>
      <c r="C478" s="55" t="s">
        <v>266</v>
      </c>
      <c r="D478" s="58">
        <v>5</v>
      </c>
      <c r="E478" s="57">
        <v>0</v>
      </c>
    </row>
    <row r="479" spans="2:5" ht="15" customHeight="1">
      <c r="B479" s="95"/>
      <c r="C479" s="55" t="s">
        <v>183</v>
      </c>
      <c r="D479" s="58">
        <v>17</v>
      </c>
      <c r="E479" s="57">
        <v>1E-3</v>
      </c>
    </row>
    <row r="480" spans="2:5" ht="15" customHeight="1">
      <c r="B480" s="95"/>
      <c r="C480" s="55" t="s">
        <v>267</v>
      </c>
      <c r="D480" s="58">
        <v>1</v>
      </c>
      <c r="E480" s="57">
        <v>0</v>
      </c>
    </row>
    <row r="481" spans="2:5" ht="15" customHeight="1">
      <c r="B481" s="95"/>
      <c r="C481" s="55" t="s">
        <v>268</v>
      </c>
      <c r="D481" s="58">
        <v>8</v>
      </c>
      <c r="E481" s="57">
        <v>1E-3</v>
      </c>
    </row>
    <row r="482" spans="2:5" ht="15" customHeight="1">
      <c r="B482" s="95"/>
      <c r="C482" s="55" t="s">
        <v>269</v>
      </c>
      <c r="D482" s="58">
        <v>6</v>
      </c>
      <c r="E482" s="57">
        <v>0</v>
      </c>
    </row>
    <row r="483" spans="2:5" ht="15" customHeight="1">
      <c r="B483" s="95"/>
      <c r="C483" s="55" t="s">
        <v>187</v>
      </c>
      <c r="D483" s="58">
        <v>40</v>
      </c>
      <c r="E483" s="57">
        <v>3.0000000000000001E-3</v>
      </c>
    </row>
    <row r="484" spans="2:5" ht="15" customHeight="1">
      <c r="B484" s="95"/>
      <c r="C484" s="55" t="s">
        <v>188</v>
      </c>
      <c r="D484" s="58">
        <v>4</v>
      </c>
      <c r="E484" s="57">
        <v>0</v>
      </c>
    </row>
    <row r="485" spans="2:5" ht="15" customHeight="1">
      <c r="B485" s="95"/>
      <c r="C485" s="55" t="s">
        <v>189</v>
      </c>
      <c r="D485" s="58">
        <v>5</v>
      </c>
      <c r="E485" s="57">
        <v>0</v>
      </c>
    </row>
    <row r="486" spans="2:5" ht="15" customHeight="1">
      <c r="B486" s="95"/>
      <c r="C486" s="55" t="s">
        <v>190</v>
      </c>
      <c r="D486" s="58">
        <v>22</v>
      </c>
      <c r="E486" s="57">
        <v>1E-3</v>
      </c>
    </row>
    <row r="487" spans="2:5" ht="15" customHeight="1">
      <c r="B487" s="95"/>
      <c r="C487" s="55" t="s">
        <v>271</v>
      </c>
      <c r="D487" s="58">
        <v>1</v>
      </c>
      <c r="E487" s="57">
        <v>0</v>
      </c>
    </row>
    <row r="488" spans="2:5" ht="15" customHeight="1">
      <c r="B488" s="95"/>
      <c r="C488" s="55" t="s">
        <v>196</v>
      </c>
      <c r="D488" s="58">
        <v>5</v>
      </c>
      <c r="E488" s="57">
        <v>0</v>
      </c>
    </row>
    <row r="489" spans="2:5" ht="15" customHeight="1">
      <c r="B489" s="95"/>
      <c r="C489" s="72" t="s">
        <v>284</v>
      </c>
      <c r="D489" s="73">
        <v>121</v>
      </c>
      <c r="E489" s="71">
        <v>8.0000000000000002E-3</v>
      </c>
    </row>
    <row r="490" spans="2:5" ht="15" customHeight="1">
      <c r="B490" s="95" t="s">
        <v>71</v>
      </c>
      <c r="C490" s="55" t="s">
        <v>176</v>
      </c>
      <c r="D490" s="58">
        <v>2</v>
      </c>
      <c r="E490" s="57">
        <v>0</v>
      </c>
    </row>
    <row r="491" spans="2:5" ht="15" customHeight="1">
      <c r="B491" s="95"/>
      <c r="C491" s="55" t="s">
        <v>260</v>
      </c>
      <c r="D491" s="58">
        <v>2</v>
      </c>
      <c r="E491" s="57">
        <v>0</v>
      </c>
    </row>
    <row r="492" spans="2:5" ht="15" customHeight="1">
      <c r="B492" s="95"/>
      <c r="C492" s="55" t="s">
        <v>262</v>
      </c>
      <c r="D492" s="58">
        <v>1</v>
      </c>
      <c r="E492" s="57">
        <v>0</v>
      </c>
    </row>
    <row r="493" spans="2:5" ht="15" customHeight="1">
      <c r="B493" s="95"/>
      <c r="C493" s="55" t="s">
        <v>263</v>
      </c>
      <c r="D493" s="58">
        <v>2</v>
      </c>
      <c r="E493" s="57">
        <v>0</v>
      </c>
    </row>
    <row r="494" spans="2:5" ht="15" customHeight="1">
      <c r="B494" s="95"/>
      <c r="C494" s="55" t="s">
        <v>264</v>
      </c>
      <c r="D494" s="58">
        <v>1</v>
      </c>
      <c r="E494" s="57">
        <v>0</v>
      </c>
    </row>
    <row r="495" spans="2:5" ht="15" customHeight="1">
      <c r="B495" s="95"/>
      <c r="C495" s="55" t="s">
        <v>266</v>
      </c>
      <c r="D495" s="58">
        <v>9</v>
      </c>
      <c r="E495" s="57">
        <v>1E-3</v>
      </c>
    </row>
    <row r="496" spans="2:5" ht="15" customHeight="1">
      <c r="B496" s="95"/>
      <c r="C496" s="55" t="s">
        <v>183</v>
      </c>
      <c r="D496" s="58">
        <v>23</v>
      </c>
      <c r="E496" s="57">
        <v>1E-3</v>
      </c>
    </row>
    <row r="497" spans="2:5" ht="15" customHeight="1">
      <c r="B497" s="95"/>
      <c r="C497" s="55" t="s">
        <v>267</v>
      </c>
      <c r="D497" s="58">
        <v>1</v>
      </c>
      <c r="E497" s="57">
        <v>0</v>
      </c>
    </row>
    <row r="498" spans="2:5" ht="15" customHeight="1">
      <c r="B498" s="95"/>
      <c r="C498" s="55" t="s">
        <v>268</v>
      </c>
      <c r="D498" s="58">
        <v>1</v>
      </c>
      <c r="E498" s="57">
        <v>0</v>
      </c>
    </row>
    <row r="499" spans="2:5" ht="15" customHeight="1">
      <c r="B499" s="95"/>
      <c r="C499" s="55" t="s">
        <v>269</v>
      </c>
      <c r="D499" s="58">
        <v>4</v>
      </c>
      <c r="E499" s="57">
        <v>0</v>
      </c>
    </row>
    <row r="500" spans="2:5" ht="15" customHeight="1">
      <c r="B500" s="95"/>
      <c r="C500" s="55" t="s">
        <v>187</v>
      </c>
      <c r="D500" s="58">
        <v>64</v>
      </c>
      <c r="E500" s="57">
        <v>4.0000000000000001E-3</v>
      </c>
    </row>
    <row r="501" spans="2:5" ht="15" customHeight="1">
      <c r="B501" s="95"/>
      <c r="C501" s="55" t="s">
        <v>188</v>
      </c>
      <c r="D501" s="58">
        <v>6</v>
      </c>
      <c r="E501" s="57">
        <v>0</v>
      </c>
    </row>
    <row r="502" spans="2:5" ht="15" customHeight="1">
      <c r="B502" s="95"/>
      <c r="C502" s="55" t="s">
        <v>189</v>
      </c>
      <c r="D502" s="58">
        <v>14</v>
      </c>
      <c r="E502" s="57">
        <v>1E-3</v>
      </c>
    </row>
    <row r="503" spans="2:5" ht="15" customHeight="1">
      <c r="B503" s="95"/>
      <c r="C503" s="55" t="s">
        <v>190</v>
      </c>
      <c r="D503" s="58">
        <v>41</v>
      </c>
      <c r="E503" s="57">
        <v>3.0000000000000001E-3</v>
      </c>
    </row>
    <row r="504" spans="2:5" ht="15" customHeight="1">
      <c r="B504" s="95"/>
      <c r="C504" s="55" t="s">
        <v>271</v>
      </c>
      <c r="D504" s="58">
        <v>1</v>
      </c>
      <c r="E504" s="57">
        <v>0</v>
      </c>
    </row>
    <row r="505" spans="2:5" ht="15" customHeight="1">
      <c r="B505" s="95"/>
      <c r="C505" s="55" t="s">
        <v>195</v>
      </c>
      <c r="D505" s="58">
        <v>3</v>
      </c>
      <c r="E505" s="57">
        <v>0</v>
      </c>
    </row>
    <row r="506" spans="2:5" ht="15" customHeight="1">
      <c r="B506" s="95"/>
      <c r="C506" s="55" t="s">
        <v>196</v>
      </c>
      <c r="D506" s="58">
        <v>3</v>
      </c>
      <c r="E506" s="57">
        <v>0</v>
      </c>
    </row>
    <row r="507" spans="2:5" ht="15" customHeight="1">
      <c r="B507" s="95"/>
      <c r="C507" s="72" t="s">
        <v>284</v>
      </c>
      <c r="D507" s="73">
        <v>178</v>
      </c>
      <c r="E507" s="71">
        <v>1.2E-2</v>
      </c>
    </row>
    <row r="508" spans="2:5" ht="15" customHeight="1">
      <c r="B508" s="95" t="s">
        <v>54</v>
      </c>
      <c r="C508" s="55" t="s">
        <v>176</v>
      </c>
      <c r="D508" s="58">
        <v>1</v>
      </c>
      <c r="E508" s="57">
        <v>0</v>
      </c>
    </row>
    <row r="509" spans="2:5" ht="15" customHeight="1">
      <c r="B509" s="95"/>
      <c r="C509" s="55" t="s">
        <v>260</v>
      </c>
      <c r="D509" s="58">
        <v>1</v>
      </c>
      <c r="E509" s="57">
        <v>0</v>
      </c>
    </row>
    <row r="510" spans="2:5" ht="15" customHeight="1">
      <c r="B510" s="95"/>
      <c r="C510" s="55" t="s">
        <v>262</v>
      </c>
      <c r="D510" s="58">
        <v>3</v>
      </c>
      <c r="E510" s="57">
        <v>0</v>
      </c>
    </row>
    <row r="511" spans="2:5" ht="15" customHeight="1">
      <c r="B511" s="95"/>
      <c r="C511" s="55" t="s">
        <v>263</v>
      </c>
      <c r="D511" s="58">
        <v>4</v>
      </c>
      <c r="E511" s="57">
        <v>0</v>
      </c>
    </row>
    <row r="512" spans="2:5" ht="15" customHeight="1">
      <c r="B512" s="95"/>
      <c r="C512" s="55" t="s">
        <v>264</v>
      </c>
      <c r="D512" s="58">
        <v>3</v>
      </c>
      <c r="E512" s="57">
        <v>0</v>
      </c>
    </row>
    <row r="513" spans="2:5" ht="15" customHeight="1">
      <c r="B513" s="95"/>
      <c r="C513" s="55" t="s">
        <v>265</v>
      </c>
      <c r="D513" s="58">
        <v>3</v>
      </c>
      <c r="E513" s="57">
        <v>0</v>
      </c>
    </row>
    <row r="514" spans="2:5" ht="15" customHeight="1">
      <c r="B514" s="95"/>
      <c r="C514" s="55" t="s">
        <v>266</v>
      </c>
      <c r="D514" s="58">
        <v>23</v>
      </c>
      <c r="E514" s="57">
        <v>1E-3</v>
      </c>
    </row>
    <row r="515" spans="2:5" ht="15" customHeight="1">
      <c r="B515" s="95"/>
      <c r="C515" s="55" t="s">
        <v>183</v>
      </c>
      <c r="D515" s="58">
        <v>45</v>
      </c>
      <c r="E515" s="57">
        <v>3.0000000000000001E-3</v>
      </c>
    </row>
    <row r="516" spans="2:5" ht="15" customHeight="1">
      <c r="B516" s="95"/>
      <c r="C516" s="55" t="s">
        <v>267</v>
      </c>
      <c r="D516" s="58">
        <v>3</v>
      </c>
      <c r="E516" s="57">
        <v>0</v>
      </c>
    </row>
    <row r="517" spans="2:5" ht="15" customHeight="1">
      <c r="B517" s="95"/>
      <c r="C517" s="55" t="s">
        <v>268</v>
      </c>
      <c r="D517" s="58">
        <v>12</v>
      </c>
      <c r="E517" s="57">
        <v>1E-3</v>
      </c>
    </row>
    <row r="518" spans="2:5" ht="15" customHeight="1">
      <c r="B518" s="95"/>
      <c r="C518" s="55" t="s">
        <v>269</v>
      </c>
      <c r="D518" s="58">
        <v>22</v>
      </c>
      <c r="E518" s="57">
        <v>1E-3</v>
      </c>
    </row>
    <row r="519" spans="2:5" ht="15" customHeight="1">
      <c r="B519" s="95"/>
      <c r="C519" s="55" t="s">
        <v>187</v>
      </c>
      <c r="D519" s="58">
        <v>113</v>
      </c>
      <c r="E519" s="57">
        <v>7.0000000000000001E-3</v>
      </c>
    </row>
    <row r="520" spans="2:5" ht="15" customHeight="1">
      <c r="B520" s="95"/>
      <c r="C520" s="55" t="s">
        <v>188</v>
      </c>
      <c r="D520" s="58">
        <v>12</v>
      </c>
      <c r="E520" s="57">
        <v>1E-3</v>
      </c>
    </row>
    <row r="521" spans="2:5" ht="15" customHeight="1">
      <c r="B521" s="95"/>
      <c r="C521" s="55" t="s">
        <v>189</v>
      </c>
      <c r="D521" s="58">
        <v>23</v>
      </c>
      <c r="E521" s="57">
        <v>1E-3</v>
      </c>
    </row>
    <row r="522" spans="2:5" ht="15" customHeight="1">
      <c r="B522" s="95"/>
      <c r="C522" s="55" t="s">
        <v>190</v>
      </c>
      <c r="D522" s="58">
        <v>84</v>
      </c>
      <c r="E522" s="57">
        <v>5.0000000000000001E-3</v>
      </c>
    </row>
    <row r="523" spans="2:5" ht="15" customHeight="1">
      <c r="B523" s="95"/>
      <c r="C523" s="55" t="s">
        <v>270</v>
      </c>
      <c r="D523" s="58">
        <v>2</v>
      </c>
      <c r="E523" s="57">
        <v>0</v>
      </c>
    </row>
    <row r="524" spans="2:5" ht="15" customHeight="1">
      <c r="B524" s="95"/>
      <c r="C524" s="55" t="s">
        <v>195</v>
      </c>
      <c r="D524" s="58">
        <v>5</v>
      </c>
      <c r="E524" s="57">
        <v>0</v>
      </c>
    </row>
    <row r="525" spans="2:5" ht="15" customHeight="1">
      <c r="B525" s="95"/>
      <c r="C525" s="55" t="s">
        <v>196</v>
      </c>
      <c r="D525" s="58">
        <v>10</v>
      </c>
      <c r="E525" s="57">
        <v>1E-3</v>
      </c>
    </row>
    <row r="526" spans="2:5" ht="15" customHeight="1">
      <c r="B526" s="95"/>
      <c r="C526" s="55" t="s">
        <v>197</v>
      </c>
      <c r="D526" s="58">
        <v>1</v>
      </c>
      <c r="E526" s="57">
        <v>0</v>
      </c>
    </row>
    <row r="527" spans="2:5" ht="15" customHeight="1">
      <c r="B527" s="95"/>
      <c r="C527" s="55" t="s">
        <v>198</v>
      </c>
      <c r="D527" s="58">
        <v>1</v>
      </c>
      <c r="E527" s="57">
        <v>0</v>
      </c>
    </row>
    <row r="528" spans="2:5" ht="15" customHeight="1">
      <c r="B528" s="95"/>
      <c r="C528" s="72" t="s">
        <v>284</v>
      </c>
      <c r="D528" s="73">
        <v>371</v>
      </c>
      <c r="E528" s="71">
        <v>2.4E-2</v>
      </c>
    </row>
    <row r="529" spans="2:5" ht="15" customHeight="1">
      <c r="B529" s="95" t="s">
        <v>76</v>
      </c>
      <c r="C529" s="55" t="s">
        <v>263</v>
      </c>
      <c r="D529" s="58">
        <v>1</v>
      </c>
      <c r="E529" s="57">
        <v>0</v>
      </c>
    </row>
    <row r="530" spans="2:5" ht="15" customHeight="1">
      <c r="B530" s="95"/>
      <c r="C530" s="55" t="s">
        <v>265</v>
      </c>
      <c r="D530" s="58">
        <v>1</v>
      </c>
      <c r="E530" s="57">
        <v>0</v>
      </c>
    </row>
    <row r="531" spans="2:5" ht="15" customHeight="1">
      <c r="B531" s="95"/>
      <c r="C531" s="55" t="s">
        <v>266</v>
      </c>
      <c r="D531" s="58">
        <v>6</v>
      </c>
      <c r="E531" s="57">
        <v>0</v>
      </c>
    </row>
    <row r="532" spans="2:5" ht="15" customHeight="1">
      <c r="B532" s="95"/>
      <c r="C532" s="55" t="s">
        <v>183</v>
      </c>
      <c r="D532" s="58">
        <v>6</v>
      </c>
      <c r="E532" s="57">
        <v>0</v>
      </c>
    </row>
    <row r="533" spans="2:5" ht="15" customHeight="1">
      <c r="B533" s="95"/>
      <c r="C533" s="55" t="s">
        <v>267</v>
      </c>
      <c r="D533" s="58">
        <v>1</v>
      </c>
      <c r="E533" s="57">
        <v>0</v>
      </c>
    </row>
    <row r="534" spans="2:5" ht="15" customHeight="1">
      <c r="B534" s="95"/>
      <c r="C534" s="55" t="s">
        <v>268</v>
      </c>
      <c r="D534" s="58">
        <v>1</v>
      </c>
      <c r="E534" s="57">
        <v>0</v>
      </c>
    </row>
    <row r="535" spans="2:5" ht="15" customHeight="1">
      <c r="B535" s="95"/>
      <c r="C535" s="55" t="s">
        <v>269</v>
      </c>
      <c r="D535" s="58">
        <v>6</v>
      </c>
      <c r="E535" s="57">
        <v>0</v>
      </c>
    </row>
    <row r="536" spans="2:5" ht="15" customHeight="1">
      <c r="B536" s="95"/>
      <c r="C536" s="55" t="s">
        <v>187</v>
      </c>
      <c r="D536" s="58">
        <v>21</v>
      </c>
      <c r="E536" s="57">
        <v>1E-3</v>
      </c>
    </row>
    <row r="537" spans="2:5" ht="15" customHeight="1">
      <c r="B537" s="95"/>
      <c r="C537" s="55" t="s">
        <v>188</v>
      </c>
      <c r="D537" s="58">
        <v>2</v>
      </c>
      <c r="E537" s="57">
        <v>0</v>
      </c>
    </row>
    <row r="538" spans="2:5" ht="15" customHeight="1">
      <c r="B538" s="95"/>
      <c r="C538" s="55" t="s">
        <v>189</v>
      </c>
      <c r="D538" s="58">
        <v>8</v>
      </c>
      <c r="E538" s="57">
        <v>1E-3</v>
      </c>
    </row>
    <row r="539" spans="2:5" ht="15" customHeight="1">
      <c r="B539" s="95"/>
      <c r="C539" s="55" t="s">
        <v>190</v>
      </c>
      <c r="D539" s="58">
        <v>22</v>
      </c>
      <c r="E539" s="57">
        <v>1E-3</v>
      </c>
    </row>
    <row r="540" spans="2:5" ht="15" customHeight="1">
      <c r="B540" s="95"/>
      <c r="C540" s="55" t="s">
        <v>195</v>
      </c>
      <c r="D540" s="58">
        <v>2</v>
      </c>
      <c r="E540" s="57">
        <v>0</v>
      </c>
    </row>
    <row r="541" spans="2:5" ht="15" customHeight="1">
      <c r="B541" s="95"/>
      <c r="C541" s="55" t="s">
        <v>196</v>
      </c>
      <c r="D541" s="58">
        <v>1</v>
      </c>
      <c r="E541" s="57">
        <v>0</v>
      </c>
    </row>
    <row r="542" spans="2:5" ht="15" customHeight="1">
      <c r="B542" s="95"/>
      <c r="C542" s="72" t="s">
        <v>284</v>
      </c>
      <c r="D542" s="73">
        <v>78</v>
      </c>
      <c r="E542" s="71">
        <v>5.0000000000000001E-3</v>
      </c>
    </row>
    <row r="543" spans="2:5" ht="15" customHeight="1">
      <c r="B543" s="95" t="s">
        <v>90</v>
      </c>
      <c r="C543" s="55" t="s">
        <v>187</v>
      </c>
      <c r="D543" s="58">
        <v>2</v>
      </c>
      <c r="E543" s="57">
        <v>0</v>
      </c>
    </row>
    <row r="544" spans="2:5" ht="15" customHeight="1">
      <c r="B544" s="95"/>
      <c r="C544" s="55" t="s">
        <v>190</v>
      </c>
      <c r="D544" s="58">
        <v>2</v>
      </c>
      <c r="E544" s="57">
        <v>0</v>
      </c>
    </row>
    <row r="545" spans="2:5" ht="15" customHeight="1">
      <c r="B545" s="95"/>
      <c r="C545" s="72" t="s">
        <v>284</v>
      </c>
      <c r="D545" s="73">
        <v>4</v>
      </c>
      <c r="E545" s="71">
        <v>0</v>
      </c>
    </row>
    <row r="546" spans="2:5" ht="15" customHeight="1">
      <c r="B546" s="95" t="s">
        <v>51</v>
      </c>
      <c r="C546" s="55" t="s">
        <v>176</v>
      </c>
      <c r="D546" s="58">
        <v>8</v>
      </c>
      <c r="E546" s="57">
        <v>1E-3</v>
      </c>
    </row>
    <row r="547" spans="2:5" ht="15" customHeight="1">
      <c r="B547" s="95"/>
      <c r="C547" s="55" t="s">
        <v>262</v>
      </c>
      <c r="D547" s="58">
        <v>3</v>
      </c>
      <c r="E547" s="57">
        <v>0</v>
      </c>
    </row>
    <row r="548" spans="2:5" ht="15" customHeight="1">
      <c r="B548" s="95"/>
      <c r="C548" s="55" t="s">
        <v>263</v>
      </c>
      <c r="D548" s="58">
        <v>11</v>
      </c>
      <c r="E548" s="57">
        <v>1E-3</v>
      </c>
    </row>
    <row r="549" spans="2:5" ht="15" customHeight="1">
      <c r="B549" s="95"/>
      <c r="C549" s="55" t="s">
        <v>264</v>
      </c>
      <c r="D549" s="58">
        <v>9</v>
      </c>
      <c r="E549" s="57">
        <v>1E-3</v>
      </c>
    </row>
    <row r="550" spans="2:5" ht="15" customHeight="1">
      <c r="B550" s="95"/>
      <c r="C550" s="55" t="s">
        <v>265</v>
      </c>
      <c r="D550" s="58">
        <v>9</v>
      </c>
      <c r="E550" s="57">
        <v>1E-3</v>
      </c>
    </row>
    <row r="551" spans="2:5" ht="15" customHeight="1">
      <c r="B551" s="95"/>
      <c r="C551" s="55" t="s">
        <v>266</v>
      </c>
      <c r="D551" s="58">
        <v>34</v>
      </c>
      <c r="E551" s="57">
        <v>2E-3</v>
      </c>
    </row>
    <row r="552" spans="2:5" ht="15" customHeight="1">
      <c r="B552" s="95"/>
      <c r="C552" s="55" t="s">
        <v>183</v>
      </c>
      <c r="D552" s="58">
        <v>77</v>
      </c>
      <c r="E552" s="57">
        <v>5.0000000000000001E-3</v>
      </c>
    </row>
    <row r="553" spans="2:5" ht="15" customHeight="1">
      <c r="B553" s="95"/>
      <c r="C553" s="55" t="s">
        <v>267</v>
      </c>
      <c r="D553" s="58">
        <v>2</v>
      </c>
      <c r="E553" s="57">
        <v>0</v>
      </c>
    </row>
    <row r="554" spans="2:5" ht="15" customHeight="1">
      <c r="B554" s="95"/>
      <c r="C554" s="55" t="s">
        <v>268</v>
      </c>
      <c r="D554" s="58">
        <v>9</v>
      </c>
      <c r="E554" s="57">
        <v>1E-3</v>
      </c>
    </row>
    <row r="555" spans="2:5" ht="15" customHeight="1">
      <c r="B555" s="95"/>
      <c r="C555" s="55" t="s">
        <v>269</v>
      </c>
      <c r="D555" s="58">
        <v>17</v>
      </c>
      <c r="E555" s="57">
        <v>1E-3</v>
      </c>
    </row>
    <row r="556" spans="2:5" ht="15" customHeight="1">
      <c r="B556" s="95"/>
      <c r="C556" s="55" t="s">
        <v>187</v>
      </c>
      <c r="D556" s="58">
        <v>207</v>
      </c>
      <c r="E556" s="57">
        <v>1.2999999999999999E-2</v>
      </c>
    </row>
    <row r="557" spans="2:5" ht="15" customHeight="1">
      <c r="B557" s="95"/>
      <c r="C557" s="55" t="s">
        <v>188</v>
      </c>
      <c r="D557" s="58">
        <v>8</v>
      </c>
      <c r="E557" s="57">
        <v>1E-3</v>
      </c>
    </row>
    <row r="558" spans="2:5" ht="15" customHeight="1">
      <c r="B558" s="95"/>
      <c r="C558" s="55" t="s">
        <v>189</v>
      </c>
      <c r="D558" s="58">
        <v>29</v>
      </c>
      <c r="E558" s="57">
        <v>2E-3</v>
      </c>
    </row>
    <row r="559" spans="2:5" ht="15" customHeight="1">
      <c r="B559" s="95"/>
      <c r="C559" s="55" t="s">
        <v>190</v>
      </c>
      <c r="D559" s="58">
        <v>93</v>
      </c>
      <c r="E559" s="57">
        <v>6.0000000000000001E-3</v>
      </c>
    </row>
    <row r="560" spans="2:5" ht="15" customHeight="1">
      <c r="B560" s="95"/>
      <c r="C560" s="55" t="s">
        <v>270</v>
      </c>
      <c r="D560" s="58">
        <v>2</v>
      </c>
      <c r="E560" s="57">
        <v>0</v>
      </c>
    </row>
    <row r="561" spans="2:5" ht="15" customHeight="1">
      <c r="B561" s="95"/>
      <c r="C561" s="55" t="s">
        <v>195</v>
      </c>
      <c r="D561" s="58">
        <v>2</v>
      </c>
      <c r="E561" s="57">
        <v>0</v>
      </c>
    </row>
    <row r="562" spans="2:5" ht="15" customHeight="1">
      <c r="B562" s="95"/>
      <c r="C562" s="55" t="s">
        <v>196</v>
      </c>
      <c r="D562" s="58">
        <v>13</v>
      </c>
      <c r="E562" s="57">
        <v>1E-3</v>
      </c>
    </row>
    <row r="563" spans="2:5" ht="15" customHeight="1">
      <c r="B563" s="95"/>
      <c r="C563" s="72" t="s">
        <v>284</v>
      </c>
      <c r="D563" s="73">
        <v>533</v>
      </c>
      <c r="E563" s="71">
        <v>3.5000000000000003E-2</v>
      </c>
    </row>
    <row r="564" spans="2:5" ht="15" customHeight="1">
      <c r="B564" s="95" t="s">
        <v>67</v>
      </c>
      <c r="C564" s="55" t="s">
        <v>176</v>
      </c>
      <c r="D564" s="58">
        <v>1</v>
      </c>
      <c r="E564" s="57">
        <v>0</v>
      </c>
    </row>
    <row r="565" spans="2:5" ht="15" customHeight="1">
      <c r="B565" s="95"/>
      <c r="C565" s="55" t="s">
        <v>262</v>
      </c>
      <c r="D565" s="58">
        <v>1</v>
      </c>
      <c r="E565" s="57">
        <v>0</v>
      </c>
    </row>
    <row r="566" spans="2:5" ht="15" customHeight="1">
      <c r="B566" s="95"/>
      <c r="C566" s="55" t="s">
        <v>263</v>
      </c>
      <c r="D566" s="58">
        <v>1</v>
      </c>
      <c r="E566" s="57">
        <v>0</v>
      </c>
    </row>
    <row r="567" spans="2:5" ht="15" customHeight="1">
      <c r="B567" s="95"/>
      <c r="C567" s="55" t="s">
        <v>264</v>
      </c>
      <c r="D567" s="58">
        <v>1</v>
      </c>
      <c r="E567" s="57">
        <v>0</v>
      </c>
    </row>
    <row r="568" spans="2:5" ht="15" customHeight="1">
      <c r="B568" s="95"/>
      <c r="C568" s="55" t="s">
        <v>266</v>
      </c>
      <c r="D568" s="58">
        <v>8</v>
      </c>
      <c r="E568" s="57">
        <v>1E-3</v>
      </c>
    </row>
    <row r="569" spans="2:5" ht="15" customHeight="1">
      <c r="B569" s="95"/>
      <c r="C569" s="55" t="s">
        <v>183</v>
      </c>
      <c r="D569" s="58">
        <v>13</v>
      </c>
      <c r="E569" s="57">
        <v>1E-3</v>
      </c>
    </row>
    <row r="570" spans="2:5" ht="15" customHeight="1">
      <c r="B570" s="95"/>
      <c r="C570" s="55" t="s">
        <v>267</v>
      </c>
      <c r="D570" s="58">
        <v>2</v>
      </c>
      <c r="E570" s="57">
        <v>0</v>
      </c>
    </row>
    <row r="571" spans="2:5" ht="15" customHeight="1">
      <c r="B571" s="95"/>
      <c r="C571" s="55" t="s">
        <v>268</v>
      </c>
      <c r="D571" s="58">
        <v>4</v>
      </c>
      <c r="E571" s="57">
        <v>0</v>
      </c>
    </row>
    <row r="572" spans="2:5" ht="15" customHeight="1">
      <c r="B572" s="95"/>
      <c r="C572" s="55" t="s">
        <v>269</v>
      </c>
      <c r="D572" s="58">
        <v>2</v>
      </c>
      <c r="E572" s="57">
        <v>0</v>
      </c>
    </row>
    <row r="573" spans="2:5" ht="15" customHeight="1">
      <c r="B573" s="95"/>
      <c r="C573" s="55" t="s">
        <v>187</v>
      </c>
      <c r="D573" s="58">
        <v>43</v>
      </c>
      <c r="E573" s="57">
        <v>3.0000000000000001E-3</v>
      </c>
    </row>
    <row r="574" spans="2:5" ht="15" customHeight="1">
      <c r="B574" s="95"/>
      <c r="C574" s="55" t="s">
        <v>188</v>
      </c>
      <c r="D574" s="58">
        <v>3</v>
      </c>
      <c r="E574" s="57">
        <v>0</v>
      </c>
    </row>
    <row r="575" spans="2:5" ht="15" customHeight="1">
      <c r="B575" s="95"/>
      <c r="C575" s="55" t="s">
        <v>189</v>
      </c>
      <c r="D575" s="58">
        <v>7</v>
      </c>
      <c r="E575" s="57">
        <v>0</v>
      </c>
    </row>
    <row r="576" spans="2:5" ht="15" customHeight="1">
      <c r="B576" s="95"/>
      <c r="C576" s="55" t="s">
        <v>190</v>
      </c>
      <c r="D576" s="58">
        <v>25</v>
      </c>
      <c r="E576" s="57">
        <v>2E-3</v>
      </c>
    </row>
    <row r="577" spans="2:5" ht="15" customHeight="1">
      <c r="B577" s="95"/>
      <c r="C577" s="55" t="s">
        <v>195</v>
      </c>
      <c r="D577" s="58">
        <v>2</v>
      </c>
      <c r="E577" s="57">
        <v>0</v>
      </c>
    </row>
    <row r="578" spans="2:5" ht="15" customHeight="1">
      <c r="B578" s="95"/>
      <c r="C578" s="55" t="s">
        <v>196</v>
      </c>
      <c r="D578" s="58">
        <v>3</v>
      </c>
      <c r="E578" s="57">
        <v>0</v>
      </c>
    </row>
    <row r="579" spans="2:5" ht="15" customHeight="1">
      <c r="B579" s="95"/>
      <c r="C579" s="72" t="s">
        <v>284</v>
      </c>
      <c r="D579" s="73">
        <v>116</v>
      </c>
      <c r="E579" s="71">
        <v>8.0000000000000002E-3</v>
      </c>
    </row>
    <row r="580" spans="2:5" ht="15" customHeight="1">
      <c r="B580" s="95" t="s">
        <v>45</v>
      </c>
      <c r="C580" s="55" t="s">
        <v>176</v>
      </c>
      <c r="D580" s="58">
        <v>12</v>
      </c>
      <c r="E580" s="57">
        <v>1E-3</v>
      </c>
    </row>
    <row r="581" spans="2:5" ht="15" customHeight="1">
      <c r="B581" s="95"/>
      <c r="C581" s="55" t="s">
        <v>260</v>
      </c>
      <c r="D581" s="58">
        <v>5</v>
      </c>
      <c r="E581" s="57">
        <v>0</v>
      </c>
    </row>
    <row r="582" spans="2:5" ht="15" customHeight="1">
      <c r="B582" s="95"/>
      <c r="C582" s="55" t="s">
        <v>262</v>
      </c>
      <c r="D582" s="58">
        <v>9</v>
      </c>
      <c r="E582" s="57">
        <v>1E-3</v>
      </c>
    </row>
    <row r="583" spans="2:5" ht="15" customHeight="1">
      <c r="B583" s="95"/>
      <c r="C583" s="55" t="s">
        <v>263</v>
      </c>
      <c r="D583" s="58">
        <v>7</v>
      </c>
      <c r="E583" s="57">
        <v>0</v>
      </c>
    </row>
    <row r="584" spans="2:5" ht="15" customHeight="1">
      <c r="B584" s="95"/>
      <c r="C584" s="55" t="s">
        <v>264</v>
      </c>
      <c r="D584" s="58">
        <v>9</v>
      </c>
      <c r="E584" s="57">
        <v>1E-3</v>
      </c>
    </row>
    <row r="585" spans="2:5" ht="15" customHeight="1">
      <c r="B585" s="95"/>
      <c r="C585" s="55" t="s">
        <v>265</v>
      </c>
      <c r="D585" s="58">
        <v>14</v>
      </c>
      <c r="E585" s="57">
        <v>1E-3</v>
      </c>
    </row>
    <row r="586" spans="2:5" ht="15" customHeight="1">
      <c r="B586" s="95"/>
      <c r="C586" s="55" t="s">
        <v>266</v>
      </c>
      <c r="D586" s="58">
        <v>17</v>
      </c>
      <c r="E586" s="57">
        <v>1E-3</v>
      </c>
    </row>
    <row r="587" spans="2:5" ht="15" customHeight="1">
      <c r="B587" s="95"/>
      <c r="C587" s="55" t="s">
        <v>183</v>
      </c>
      <c r="D587" s="58">
        <v>180</v>
      </c>
      <c r="E587" s="57">
        <v>1.2E-2</v>
      </c>
    </row>
    <row r="588" spans="2:5" ht="15" customHeight="1">
      <c r="B588" s="95"/>
      <c r="C588" s="55" t="s">
        <v>267</v>
      </c>
      <c r="D588" s="58">
        <v>15</v>
      </c>
      <c r="E588" s="57">
        <v>1E-3</v>
      </c>
    </row>
    <row r="589" spans="2:5" ht="15" customHeight="1">
      <c r="B589" s="95"/>
      <c r="C589" s="55" t="s">
        <v>268</v>
      </c>
      <c r="D589" s="58">
        <v>12</v>
      </c>
      <c r="E589" s="57">
        <v>1E-3</v>
      </c>
    </row>
    <row r="590" spans="2:5" ht="15" customHeight="1">
      <c r="B590" s="95"/>
      <c r="C590" s="55" t="s">
        <v>269</v>
      </c>
      <c r="D590" s="58">
        <v>23</v>
      </c>
      <c r="E590" s="57">
        <v>1E-3</v>
      </c>
    </row>
    <row r="591" spans="2:5" ht="15" customHeight="1">
      <c r="B591" s="95"/>
      <c r="C591" s="55" t="s">
        <v>187</v>
      </c>
      <c r="D591" s="58">
        <v>420</v>
      </c>
      <c r="E591" s="57">
        <v>2.7E-2</v>
      </c>
    </row>
    <row r="592" spans="2:5" ht="15" customHeight="1">
      <c r="B592" s="95"/>
      <c r="C592" s="55" t="s">
        <v>188</v>
      </c>
      <c r="D592" s="58">
        <v>19</v>
      </c>
      <c r="E592" s="57">
        <v>1E-3</v>
      </c>
    </row>
    <row r="593" spans="2:5" ht="15" customHeight="1">
      <c r="B593" s="95"/>
      <c r="C593" s="55" t="s">
        <v>189</v>
      </c>
      <c r="D593" s="58">
        <v>50</v>
      </c>
      <c r="E593" s="57">
        <v>3.0000000000000001E-3</v>
      </c>
    </row>
    <row r="594" spans="2:5" ht="15" customHeight="1">
      <c r="B594" s="95"/>
      <c r="C594" s="55" t="s">
        <v>190</v>
      </c>
      <c r="D594" s="58">
        <v>212</v>
      </c>
      <c r="E594" s="57">
        <v>1.4E-2</v>
      </c>
    </row>
    <row r="595" spans="2:5" ht="15" customHeight="1">
      <c r="B595" s="95"/>
      <c r="C595" s="55" t="s">
        <v>270</v>
      </c>
      <c r="D595" s="58">
        <v>3</v>
      </c>
      <c r="E595" s="57">
        <v>0</v>
      </c>
    </row>
    <row r="596" spans="2:5" ht="15" customHeight="1">
      <c r="B596" s="95"/>
      <c r="C596" s="55" t="s">
        <v>271</v>
      </c>
      <c r="D596" s="58">
        <v>3</v>
      </c>
      <c r="E596" s="57">
        <v>0</v>
      </c>
    </row>
    <row r="597" spans="2:5" ht="15" customHeight="1">
      <c r="B597" s="95"/>
      <c r="C597" s="55" t="s">
        <v>272</v>
      </c>
      <c r="D597" s="58">
        <v>1</v>
      </c>
      <c r="E597" s="57">
        <v>0</v>
      </c>
    </row>
    <row r="598" spans="2:5" ht="15" customHeight="1">
      <c r="B598" s="95"/>
      <c r="C598" s="55" t="s">
        <v>195</v>
      </c>
      <c r="D598" s="58">
        <v>15</v>
      </c>
      <c r="E598" s="57">
        <v>1E-3</v>
      </c>
    </row>
    <row r="599" spans="2:5" ht="15" customHeight="1">
      <c r="B599" s="95"/>
      <c r="C599" s="55" t="s">
        <v>196</v>
      </c>
      <c r="D599" s="58">
        <v>36</v>
      </c>
      <c r="E599" s="57">
        <v>2E-3</v>
      </c>
    </row>
    <row r="600" spans="2:5" ht="15" customHeight="1">
      <c r="B600" s="95"/>
      <c r="C600" s="55" t="s">
        <v>198</v>
      </c>
      <c r="D600" s="58">
        <v>2</v>
      </c>
      <c r="E600" s="57">
        <v>0</v>
      </c>
    </row>
    <row r="601" spans="2:5" ht="15" customHeight="1">
      <c r="B601" s="95"/>
      <c r="C601" s="72" t="s">
        <v>284</v>
      </c>
      <c r="D601" s="69">
        <v>1064</v>
      </c>
      <c r="E601" s="71">
        <v>6.9000000000000006E-2</v>
      </c>
    </row>
    <row r="602" spans="2:5" ht="15" customHeight="1">
      <c r="B602" s="95" t="s">
        <v>68</v>
      </c>
      <c r="C602" s="55" t="s">
        <v>176</v>
      </c>
      <c r="D602" s="58">
        <v>2</v>
      </c>
      <c r="E602" s="57">
        <v>0</v>
      </c>
    </row>
    <row r="603" spans="2:5" ht="15" customHeight="1">
      <c r="B603" s="95"/>
      <c r="C603" s="55" t="s">
        <v>260</v>
      </c>
      <c r="D603" s="58">
        <v>1</v>
      </c>
      <c r="E603" s="57">
        <v>0</v>
      </c>
    </row>
    <row r="604" spans="2:5" ht="15" customHeight="1">
      <c r="B604" s="95"/>
      <c r="C604" s="55" t="s">
        <v>262</v>
      </c>
      <c r="D604" s="58">
        <v>1</v>
      </c>
      <c r="E604" s="57">
        <v>0</v>
      </c>
    </row>
    <row r="605" spans="2:5" ht="15" customHeight="1">
      <c r="B605" s="95"/>
      <c r="C605" s="55" t="s">
        <v>265</v>
      </c>
      <c r="D605" s="58">
        <v>1</v>
      </c>
      <c r="E605" s="57">
        <v>0</v>
      </c>
    </row>
    <row r="606" spans="2:5" ht="15" customHeight="1">
      <c r="B606" s="95"/>
      <c r="C606" s="55" t="s">
        <v>266</v>
      </c>
      <c r="D606" s="58">
        <v>5</v>
      </c>
      <c r="E606" s="57">
        <v>0</v>
      </c>
    </row>
    <row r="607" spans="2:5" ht="15" customHeight="1">
      <c r="B607" s="95"/>
      <c r="C607" s="55" t="s">
        <v>183</v>
      </c>
      <c r="D607" s="58">
        <v>16</v>
      </c>
      <c r="E607" s="57">
        <v>1E-3</v>
      </c>
    </row>
    <row r="608" spans="2:5" ht="15" customHeight="1">
      <c r="B608" s="95"/>
      <c r="C608" s="55" t="s">
        <v>267</v>
      </c>
      <c r="D608" s="58">
        <v>3</v>
      </c>
      <c r="E608" s="57">
        <v>0</v>
      </c>
    </row>
    <row r="609" spans="2:5" ht="15" customHeight="1">
      <c r="B609" s="95"/>
      <c r="C609" s="55" t="s">
        <v>268</v>
      </c>
      <c r="D609" s="58">
        <v>4</v>
      </c>
      <c r="E609" s="57">
        <v>0</v>
      </c>
    </row>
    <row r="610" spans="2:5" ht="15" customHeight="1">
      <c r="B610" s="95"/>
      <c r="C610" s="55" t="s">
        <v>269</v>
      </c>
      <c r="D610" s="58">
        <v>12</v>
      </c>
      <c r="E610" s="57">
        <v>1E-3</v>
      </c>
    </row>
    <row r="611" spans="2:5" ht="15" customHeight="1">
      <c r="B611" s="95"/>
      <c r="C611" s="55" t="s">
        <v>187</v>
      </c>
      <c r="D611" s="58">
        <v>55</v>
      </c>
      <c r="E611" s="57">
        <v>4.0000000000000001E-3</v>
      </c>
    </row>
    <row r="612" spans="2:5" ht="15" customHeight="1">
      <c r="B612" s="95"/>
      <c r="C612" s="55" t="s">
        <v>189</v>
      </c>
      <c r="D612" s="58">
        <v>9</v>
      </c>
      <c r="E612" s="57">
        <v>1E-3</v>
      </c>
    </row>
    <row r="613" spans="2:5" ht="15" customHeight="1">
      <c r="B613" s="95"/>
      <c r="C613" s="55" t="s">
        <v>190</v>
      </c>
      <c r="D613" s="58">
        <v>52</v>
      </c>
      <c r="E613" s="57">
        <v>3.0000000000000001E-3</v>
      </c>
    </row>
    <row r="614" spans="2:5" ht="15" customHeight="1">
      <c r="B614" s="95"/>
      <c r="C614" s="55" t="s">
        <v>270</v>
      </c>
      <c r="D614" s="58">
        <v>1</v>
      </c>
      <c r="E614" s="57">
        <v>0</v>
      </c>
    </row>
    <row r="615" spans="2:5" ht="15" customHeight="1">
      <c r="B615" s="95"/>
      <c r="C615" s="55" t="s">
        <v>195</v>
      </c>
      <c r="D615" s="58">
        <v>2</v>
      </c>
      <c r="E615" s="57">
        <v>0</v>
      </c>
    </row>
    <row r="616" spans="2:5" ht="15" customHeight="1">
      <c r="B616" s="95"/>
      <c r="C616" s="55" t="s">
        <v>196</v>
      </c>
      <c r="D616" s="58">
        <v>4</v>
      </c>
      <c r="E616" s="57">
        <v>0</v>
      </c>
    </row>
    <row r="617" spans="2:5" ht="15" customHeight="1">
      <c r="B617" s="95"/>
      <c r="C617" s="72" t="s">
        <v>284</v>
      </c>
      <c r="D617" s="73">
        <v>168</v>
      </c>
      <c r="E617" s="71">
        <v>1.0999999999999999E-2</v>
      </c>
    </row>
    <row r="618" spans="2:5" ht="15" customHeight="1">
      <c r="B618" s="95" t="s">
        <v>78</v>
      </c>
      <c r="C618" s="55" t="s">
        <v>176</v>
      </c>
      <c r="D618" s="58">
        <v>1</v>
      </c>
      <c r="E618" s="57">
        <v>0</v>
      </c>
    </row>
    <row r="619" spans="2:5" ht="15" customHeight="1">
      <c r="B619" s="95"/>
      <c r="C619" s="55" t="s">
        <v>260</v>
      </c>
      <c r="D619" s="58">
        <v>1</v>
      </c>
      <c r="E619" s="57">
        <v>0</v>
      </c>
    </row>
    <row r="620" spans="2:5" ht="15" customHeight="1">
      <c r="B620" s="95"/>
      <c r="C620" s="55" t="s">
        <v>263</v>
      </c>
      <c r="D620" s="58">
        <v>1</v>
      </c>
      <c r="E620" s="57">
        <v>0</v>
      </c>
    </row>
    <row r="621" spans="2:5" ht="15" customHeight="1">
      <c r="B621" s="95"/>
      <c r="C621" s="55" t="s">
        <v>266</v>
      </c>
      <c r="D621" s="58">
        <v>5</v>
      </c>
      <c r="E621" s="57">
        <v>0</v>
      </c>
    </row>
    <row r="622" spans="2:5" ht="15" customHeight="1">
      <c r="B622" s="95"/>
      <c r="C622" s="55" t="s">
        <v>183</v>
      </c>
      <c r="D622" s="58">
        <v>1</v>
      </c>
      <c r="E622" s="57">
        <v>0</v>
      </c>
    </row>
    <row r="623" spans="2:5" ht="15" customHeight="1">
      <c r="B623" s="95"/>
      <c r="C623" s="55" t="s">
        <v>268</v>
      </c>
      <c r="D623" s="58">
        <v>1</v>
      </c>
      <c r="E623" s="57">
        <v>0</v>
      </c>
    </row>
    <row r="624" spans="2:5" ht="15" customHeight="1">
      <c r="B624" s="95"/>
      <c r="C624" s="55" t="s">
        <v>269</v>
      </c>
      <c r="D624" s="58">
        <v>3</v>
      </c>
      <c r="E624" s="57">
        <v>0</v>
      </c>
    </row>
    <row r="625" spans="2:5" ht="15" customHeight="1">
      <c r="B625" s="95"/>
      <c r="C625" s="55" t="s">
        <v>187</v>
      </c>
      <c r="D625" s="58">
        <v>24</v>
      </c>
      <c r="E625" s="57">
        <v>2E-3</v>
      </c>
    </row>
    <row r="626" spans="2:5" ht="15" customHeight="1">
      <c r="B626" s="95"/>
      <c r="C626" s="55" t="s">
        <v>188</v>
      </c>
      <c r="D626" s="58">
        <v>1</v>
      </c>
      <c r="E626" s="57">
        <v>0</v>
      </c>
    </row>
    <row r="627" spans="2:5" ht="15" customHeight="1">
      <c r="B627" s="95"/>
      <c r="C627" s="55" t="s">
        <v>189</v>
      </c>
      <c r="D627" s="58">
        <v>3</v>
      </c>
      <c r="E627" s="57">
        <v>0</v>
      </c>
    </row>
    <row r="628" spans="2:5" ht="15" customHeight="1">
      <c r="B628" s="95"/>
      <c r="C628" s="55" t="s">
        <v>190</v>
      </c>
      <c r="D628" s="58">
        <v>22</v>
      </c>
      <c r="E628" s="57">
        <v>1E-3</v>
      </c>
    </row>
    <row r="629" spans="2:5" ht="15" customHeight="1">
      <c r="B629" s="95"/>
      <c r="C629" s="55" t="s">
        <v>270</v>
      </c>
      <c r="D629" s="58">
        <v>1</v>
      </c>
      <c r="E629" s="57">
        <v>0</v>
      </c>
    </row>
    <row r="630" spans="2:5" ht="15" customHeight="1">
      <c r="B630" s="95"/>
      <c r="C630" s="55" t="s">
        <v>195</v>
      </c>
      <c r="D630" s="58">
        <v>1</v>
      </c>
      <c r="E630" s="57">
        <v>0</v>
      </c>
    </row>
    <row r="631" spans="2:5" ht="15" customHeight="1">
      <c r="B631" s="95"/>
      <c r="C631" s="55" t="s">
        <v>196</v>
      </c>
      <c r="D631" s="58">
        <v>6</v>
      </c>
      <c r="E631" s="57">
        <v>0</v>
      </c>
    </row>
    <row r="632" spans="2:5" ht="15" customHeight="1">
      <c r="B632" s="95"/>
      <c r="C632" s="72" t="s">
        <v>284</v>
      </c>
      <c r="D632" s="73">
        <v>71</v>
      </c>
      <c r="E632" s="71">
        <v>5.0000000000000001E-3</v>
      </c>
    </row>
    <row r="633" spans="2:5" ht="15" customHeight="1">
      <c r="B633" s="95" t="s">
        <v>52</v>
      </c>
      <c r="C633" s="55" t="s">
        <v>176</v>
      </c>
      <c r="D633" s="58">
        <v>3</v>
      </c>
      <c r="E633" s="57">
        <v>0</v>
      </c>
    </row>
    <row r="634" spans="2:5" ht="15" customHeight="1">
      <c r="B634" s="95"/>
      <c r="C634" s="55" t="s">
        <v>262</v>
      </c>
      <c r="D634" s="58">
        <v>3</v>
      </c>
      <c r="E634" s="57">
        <v>0</v>
      </c>
    </row>
    <row r="635" spans="2:5" ht="15" customHeight="1">
      <c r="B635" s="95"/>
      <c r="C635" s="55" t="s">
        <v>263</v>
      </c>
      <c r="D635" s="58">
        <v>7</v>
      </c>
      <c r="E635" s="57">
        <v>0</v>
      </c>
    </row>
    <row r="636" spans="2:5" ht="15" customHeight="1">
      <c r="B636" s="95"/>
      <c r="C636" s="55" t="s">
        <v>264</v>
      </c>
      <c r="D636" s="58">
        <v>1</v>
      </c>
      <c r="E636" s="57">
        <v>0</v>
      </c>
    </row>
    <row r="637" spans="2:5" ht="15" customHeight="1">
      <c r="B637" s="95"/>
      <c r="C637" s="55" t="s">
        <v>266</v>
      </c>
      <c r="D637" s="58">
        <v>37</v>
      </c>
      <c r="E637" s="57">
        <v>2E-3</v>
      </c>
    </row>
    <row r="638" spans="2:5" ht="15" customHeight="1">
      <c r="B638" s="95"/>
      <c r="C638" s="55" t="s">
        <v>183</v>
      </c>
      <c r="D638" s="58">
        <v>44</v>
      </c>
      <c r="E638" s="57">
        <v>3.0000000000000001E-3</v>
      </c>
    </row>
    <row r="639" spans="2:5" ht="15" customHeight="1">
      <c r="B639" s="95"/>
      <c r="C639" s="55" t="s">
        <v>267</v>
      </c>
      <c r="D639" s="58">
        <v>8</v>
      </c>
      <c r="E639" s="57">
        <v>1E-3</v>
      </c>
    </row>
    <row r="640" spans="2:5" ht="15" customHeight="1">
      <c r="B640" s="95"/>
      <c r="C640" s="55" t="s">
        <v>268</v>
      </c>
      <c r="D640" s="58">
        <v>13</v>
      </c>
      <c r="E640" s="57">
        <v>1E-3</v>
      </c>
    </row>
    <row r="641" spans="2:5" ht="15" customHeight="1">
      <c r="B641" s="95"/>
      <c r="C641" s="55" t="s">
        <v>269</v>
      </c>
      <c r="D641" s="58">
        <v>27</v>
      </c>
      <c r="E641" s="57">
        <v>2E-3</v>
      </c>
    </row>
    <row r="642" spans="2:5" ht="15" customHeight="1">
      <c r="B642" s="95"/>
      <c r="C642" s="55" t="s">
        <v>187</v>
      </c>
      <c r="D642" s="58">
        <v>118</v>
      </c>
      <c r="E642" s="57">
        <v>8.0000000000000002E-3</v>
      </c>
    </row>
    <row r="643" spans="2:5" ht="15" customHeight="1">
      <c r="B643" s="95"/>
      <c r="C643" s="55" t="s">
        <v>188</v>
      </c>
      <c r="D643" s="58">
        <v>12</v>
      </c>
      <c r="E643" s="57">
        <v>1E-3</v>
      </c>
    </row>
    <row r="644" spans="2:5" ht="15" customHeight="1">
      <c r="B644" s="95"/>
      <c r="C644" s="55" t="s">
        <v>189</v>
      </c>
      <c r="D644" s="58">
        <v>38</v>
      </c>
      <c r="E644" s="57">
        <v>2E-3</v>
      </c>
    </row>
    <row r="645" spans="2:5" ht="15" customHeight="1">
      <c r="B645" s="95"/>
      <c r="C645" s="55" t="s">
        <v>190</v>
      </c>
      <c r="D645" s="58">
        <v>127</v>
      </c>
      <c r="E645" s="57">
        <v>8.0000000000000002E-3</v>
      </c>
    </row>
    <row r="646" spans="2:5" ht="15" customHeight="1">
      <c r="B646" s="95"/>
      <c r="C646" s="55" t="s">
        <v>270</v>
      </c>
      <c r="D646" s="58">
        <v>2</v>
      </c>
      <c r="E646" s="57">
        <v>0</v>
      </c>
    </row>
    <row r="647" spans="2:5" ht="15" customHeight="1">
      <c r="B647" s="95"/>
      <c r="C647" s="55" t="s">
        <v>195</v>
      </c>
      <c r="D647" s="58">
        <v>4</v>
      </c>
      <c r="E647" s="57">
        <v>0</v>
      </c>
    </row>
    <row r="648" spans="2:5" ht="15" customHeight="1">
      <c r="B648" s="95"/>
      <c r="C648" s="55" t="s">
        <v>196</v>
      </c>
      <c r="D648" s="58">
        <v>12</v>
      </c>
      <c r="E648" s="57">
        <v>1E-3</v>
      </c>
    </row>
    <row r="649" spans="2:5" ht="15" customHeight="1">
      <c r="B649" s="95"/>
      <c r="C649" s="55" t="s">
        <v>198</v>
      </c>
      <c r="D649" s="58">
        <v>1</v>
      </c>
      <c r="E649" s="57">
        <v>0</v>
      </c>
    </row>
    <row r="650" spans="2:5" ht="15" customHeight="1">
      <c r="B650" s="95"/>
      <c r="C650" s="72" t="s">
        <v>284</v>
      </c>
      <c r="D650" s="73">
        <v>457</v>
      </c>
      <c r="E650" s="71">
        <v>0.03</v>
      </c>
    </row>
    <row r="651" spans="2:5" ht="15" customHeight="1">
      <c r="B651" s="95" t="s">
        <v>55</v>
      </c>
      <c r="C651" s="55" t="s">
        <v>176</v>
      </c>
      <c r="D651" s="58">
        <v>3</v>
      </c>
      <c r="E651" s="57">
        <v>0</v>
      </c>
    </row>
    <row r="652" spans="2:5" ht="15" customHeight="1">
      <c r="B652" s="95"/>
      <c r="C652" s="55" t="s">
        <v>260</v>
      </c>
      <c r="D652" s="58">
        <v>2</v>
      </c>
      <c r="E652" s="57">
        <v>0</v>
      </c>
    </row>
    <row r="653" spans="2:5" ht="15" customHeight="1">
      <c r="B653" s="95"/>
      <c r="C653" s="55" t="s">
        <v>262</v>
      </c>
      <c r="D653" s="58">
        <v>5</v>
      </c>
      <c r="E653" s="57">
        <v>0</v>
      </c>
    </row>
    <row r="654" spans="2:5" ht="15" customHeight="1">
      <c r="B654" s="95"/>
      <c r="C654" s="55" t="s">
        <v>263</v>
      </c>
      <c r="D654" s="58">
        <v>4</v>
      </c>
      <c r="E654" s="57">
        <v>0</v>
      </c>
    </row>
    <row r="655" spans="2:5" ht="15" customHeight="1">
      <c r="B655" s="95"/>
      <c r="C655" s="55" t="s">
        <v>264</v>
      </c>
      <c r="D655" s="58">
        <v>4</v>
      </c>
      <c r="E655" s="57">
        <v>0</v>
      </c>
    </row>
    <row r="656" spans="2:5" ht="15" customHeight="1">
      <c r="B656" s="95"/>
      <c r="C656" s="55" t="s">
        <v>265</v>
      </c>
      <c r="D656" s="58">
        <v>3</v>
      </c>
      <c r="E656" s="57">
        <v>0</v>
      </c>
    </row>
    <row r="657" spans="2:5" ht="15" customHeight="1">
      <c r="B657" s="95"/>
      <c r="C657" s="55" t="s">
        <v>266</v>
      </c>
      <c r="D657" s="58">
        <v>9</v>
      </c>
      <c r="E657" s="57">
        <v>1E-3</v>
      </c>
    </row>
    <row r="658" spans="2:5" ht="15" customHeight="1">
      <c r="B658" s="95"/>
      <c r="C658" s="55" t="s">
        <v>183</v>
      </c>
      <c r="D658" s="58">
        <v>56</v>
      </c>
      <c r="E658" s="57">
        <v>4.0000000000000001E-3</v>
      </c>
    </row>
    <row r="659" spans="2:5" ht="15" customHeight="1">
      <c r="B659" s="95"/>
      <c r="C659" s="55" t="s">
        <v>267</v>
      </c>
      <c r="D659" s="58">
        <v>2</v>
      </c>
      <c r="E659" s="57">
        <v>0</v>
      </c>
    </row>
    <row r="660" spans="2:5" ht="15" customHeight="1">
      <c r="B660" s="95"/>
      <c r="C660" s="55" t="s">
        <v>268</v>
      </c>
      <c r="D660" s="58">
        <v>10</v>
      </c>
      <c r="E660" s="57">
        <v>1E-3</v>
      </c>
    </row>
    <row r="661" spans="2:5" ht="15" customHeight="1">
      <c r="B661" s="95"/>
      <c r="C661" s="55" t="s">
        <v>269</v>
      </c>
      <c r="D661" s="58">
        <v>8</v>
      </c>
      <c r="E661" s="57">
        <v>1E-3</v>
      </c>
    </row>
    <row r="662" spans="2:5" ht="15" customHeight="1">
      <c r="B662" s="95"/>
      <c r="C662" s="55" t="s">
        <v>187</v>
      </c>
      <c r="D662" s="58">
        <v>134</v>
      </c>
      <c r="E662" s="57">
        <v>8.9999999999999993E-3</v>
      </c>
    </row>
    <row r="663" spans="2:5" ht="15" customHeight="1">
      <c r="B663" s="95"/>
      <c r="C663" s="55" t="s">
        <v>188</v>
      </c>
      <c r="D663" s="58">
        <v>12</v>
      </c>
      <c r="E663" s="57">
        <v>1E-3</v>
      </c>
    </row>
    <row r="664" spans="2:5" ht="15" customHeight="1">
      <c r="B664" s="95"/>
      <c r="C664" s="55" t="s">
        <v>189</v>
      </c>
      <c r="D664" s="58">
        <v>32</v>
      </c>
      <c r="E664" s="57">
        <v>2E-3</v>
      </c>
    </row>
    <row r="665" spans="2:5" ht="15" customHeight="1">
      <c r="B665" s="95"/>
      <c r="C665" s="55" t="s">
        <v>190</v>
      </c>
      <c r="D665" s="58">
        <v>91</v>
      </c>
      <c r="E665" s="57">
        <v>6.0000000000000001E-3</v>
      </c>
    </row>
    <row r="666" spans="2:5" ht="15" customHeight="1">
      <c r="B666" s="95"/>
      <c r="C666" s="55" t="s">
        <v>270</v>
      </c>
      <c r="D666" s="58">
        <v>1</v>
      </c>
      <c r="E666" s="57">
        <v>0</v>
      </c>
    </row>
    <row r="667" spans="2:5" ht="15" customHeight="1">
      <c r="B667" s="95"/>
      <c r="C667" s="55" t="s">
        <v>271</v>
      </c>
      <c r="D667" s="58">
        <v>4</v>
      </c>
      <c r="E667" s="57">
        <v>0</v>
      </c>
    </row>
    <row r="668" spans="2:5" ht="15" customHeight="1">
      <c r="B668" s="95"/>
      <c r="C668" s="55" t="s">
        <v>272</v>
      </c>
      <c r="D668" s="58">
        <v>2</v>
      </c>
      <c r="E668" s="57">
        <v>0</v>
      </c>
    </row>
    <row r="669" spans="2:5" ht="15" customHeight="1">
      <c r="B669" s="95"/>
      <c r="C669" s="55" t="s">
        <v>273</v>
      </c>
      <c r="D669" s="58">
        <v>1</v>
      </c>
      <c r="E669" s="57">
        <v>0</v>
      </c>
    </row>
    <row r="670" spans="2:5" ht="15" customHeight="1">
      <c r="B670" s="95"/>
      <c r="C670" s="55" t="s">
        <v>195</v>
      </c>
      <c r="D670" s="58">
        <v>1</v>
      </c>
      <c r="E670" s="57">
        <v>0</v>
      </c>
    </row>
    <row r="671" spans="2:5" ht="15" customHeight="1">
      <c r="B671" s="95"/>
      <c r="C671" s="55" t="s">
        <v>196</v>
      </c>
      <c r="D671" s="58">
        <v>14</v>
      </c>
      <c r="E671" s="57">
        <v>1E-3</v>
      </c>
    </row>
    <row r="672" spans="2:5" ht="15" customHeight="1">
      <c r="B672" s="95"/>
      <c r="C672" s="55" t="s">
        <v>199</v>
      </c>
      <c r="D672" s="58">
        <v>1</v>
      </c>
      <c r="E672" s="57">
        <v>0</v>
      </c>
    </row>
    <row r="673" spans="2:5" ht="15" customHeight="1">
      <c r="B673" s="95"/>
      <c r="C673" s="72" t="s">
        <v>284</v>
      </c>
      <c r="D673" s="73">
        <v>399</v>
      </c>
      <c r="E673" s="71">
        <v>2.5999999999999999E-2</v>
      </c>
    </row>
    <row r="674" spans="2:5" ht="15" customHeight="1">
      <c r="B674" s="95" t="s">
        <v>63</v>
      </c>
      <c r="C674" s="55" t="s">
        <v>176</v>
      </c>
      <c r="D674" s="58">
        <v>1</v>
      </c>
      <c r="E674" s="57">
        <v>0</v>
      </c>
    </row>
    <row r="675" spans="2:5" ht="15" customHeight="1">
      <c r="B675" s="95"/>
      <c r="C675" s="55" t="s">
        <v>262</v>
      </c>
      <c r="D675" s="58">
        <v>2</v>
      </c>
      <c r="E675" s="57">
        <v>0</v>
      </c>
    </row>
    <row r="676" spans="2:5" ht="15" customHeight="1">
      <c r="B676" s="95"/>
      <c r="C676" s="55" t="s">
        <v>263</v>
      </c>
      <c r="D676" s="58">
        <v>1</v>
      </c>
      <c r="E676" s="57">
        <v>0</v>
      </c>
    </row>
    <row r="677" spans="2:5" ht="15" customHeight="1">
      <c r="B677" s="95"/>
      <c r="C677" s="55" t="s">
        <v>266</v>
      </c>
      <c r="D677" s="58">
        <v>8</v>
      </c>
      <c r="E677" s="57">
        <v>1E-3</v>
      </c>
    </row>
    <row r="678" spans="2:5" ht="15" customHeight="1">
      <c r="B678" s="95"/>
      <c r="C678" s="55" t="s">
        <v>183</v>
      </c>
      <c r="D678" s="58">
        <v>11</v>
      </c>
      <c r="E678" s="57">
        <v>1E-3</v>
      </c>
    </row>
    <row r="679" spans="2:5" ht="15" customHeight="1">
      <c r="B679" s="95"/>
      <c r="C679" s="55" t="s">
        <v>267</v>
      </c>
      <c r="D679" s="58">
        <v>1</v>
      </c>
      <c r="E679" s="57">
        <v>0</v>
      </c>
    </row>
    <row r="680" spans="2:5" ht="15" customHeight="1">
      <c r="B680" s="95"/>
      <c r="C680" s="55" t="s">
        <v>268</v>
      </c>
      <c r="D680" s="58">
        <v>2</v>
      </c>
      <c r="E680" s="57">
        <v>0</v>
      </c>
    </row>
    <row r="681" spans="2:5" ht="15" customHeight="1">
      <c r="B681" s="95"/>
      <c r="C681" s="55" t="s">
        <v>269</v>
      </c>
      <c r="D681" s="58">
        <v>7</v>
      </c>
      <c r="E681" s="57">
        <v>0</v>
      </c>
    </row>
    <row r="682" spans="2:5" ht="15" customHeight="1">
      <c r="B682" s="95"/>
      <c r="C682" s="55" t="s">
        <v>187</v>
      </c>
      <c r="D682" s="58">
        <v>61</v>
      </c>
      <c r="E682" s="57">
        <v>4.0000000000000001E-3</v>
      </c>
    </row>
    <row r="683" spans="2:5" ht="15" customHeight="1">
      <c r="B683" s="95"/>
      <c r="C683" s="55" t="s">
        <v>188</v>
      </c>
      <c r="D683" s="58">
        <v>2</v>
      </c>
      <c r="E683" s="57">
        <v>0</v>
      </c>
    </row>
    <row r="684" spans="2:5" ht="15" customHeight="1">
      <c r="B684" s="95"/>
      <c r="C684" s="55" t="s">
        <v>189</v>
      </c>
      <c r="D684" s="58">
        <v>8</v>
      </c>
      <c r="E684" s="57">
        <v>1E-3</v>
      </c>
    </row>
    <row r="685" spans="2:5" ht="15" customHeight="1">
      <c r="B685" s="95"/>
      <c r="C685" s="55" t="s">
        <v>190</v>
      </c>
      <c r="D685" s="58">
        <v>41</v>
      </c>
      <c r="E685" s="57">
        <v>3.0000000000000001E-3</v>
      </c>
    </row>
    <row r="686" spans="2:5" ht="15" customHeight="1">
      <c r="B686" s="95"/>
      <c r="C686" s="55" t="s">
        <v>271</v>
      </c>
      <c r="D686" s="58">
        <v>1</v>
      </c>
      <c r="E686" s="57">
        <v>0</v>
      </c>
    </row>
    <row r="687" spans="2:5" ht="15" customHeight="1">
      <c r="B687" s="95"/>
      <c r="C687" s="55" t="s">
        <v>195</v>
      </c>
      <c r="D687" s="58">
        <v>1</v>
      </c>
      <c r="E687" s="57">
        <v>0</v>
      </c>
    </row>
    <row r="688" spans="2:5" ht="15" customHeight="1">
      <c r="B688" s="95"/>
      <c r="C688" s="55" t="s">
        <v>196</v>
      </c>
      <c r="D688" s="58">
        <v>7</v>
      </c>
      <c r="E688" s="57">
        <v>0</v>
      </c>
    </row>
    <row r="689" spans="2:5" ht="15" customHeight="1">
      <c r="B689" s="95"/>
      <c r="C689" s="55" t="s">
        <v>197</v>
      </c>
      <c r="D689" s="58">
        <v>1</v>
      </c>
      <c r="E689" s="57">
        <v>0</v>
      </c>
    </row>
    <row r="690" spans="2:5" ht="15" customHeight="1">
      <c r="B690" s="95"/>
      <c r="C690" s="72" t="s">
        <v>284</v>
      </c>
      <c r="D690" s="73">
        <v>155</v>
      </c>
      <c r="E690" s="71">
        <v>0.01</v>
      </c>
    </row>
    <row r="691" spans="2:5" ht="15" customHeight="1">
      <c r="B691" s="95" t="s">
        <v>64</v>
      </c>
      <c r="C691" s="55" t="s">
        <v>176</v>
      </c>
      <c r="D691" s="58">
        <v>5</v>
      </c>
      <c r="E691" s="57">
        <v>0</v>
      </c>
    </row>
    <row r="692" spans="2:5" ht="15" customHeight="1">
      <c r="B692" s="95"/>
      <c r="C692" s="55" t="s">
        <v>262</v>
      </c>
      <c r="D692" s="58">
        <v>3</v>
      </c>
      <c r="E692" s="57">
        <v>0</v>
      </c>
    </row>
    <row r="693" spans="2:5" ht="15" customHeight="1">
      <c r="B693" s="95"/>
      <c r="C693" s="55" t="s">
        <v>264</v>
      </c>
      <c r="D693" s="58">
        <v>2</v>
      </c>
      <c r="E693" s="57">
        <v>0</v>
      </c>
    </row>
    <row r="694" spans="2:5" ht="15" customHeight="1">
      <c r="B694" s="95"/>
      <c r="C694" s="55" t="s">
        <v>265</v>
      </c>
      <c r="D694" s="58">
        <v>2</v>
      </c>
      <c r="E694" s="57">
        <v>0</v>
      </c>
    </row>
    <row r="695" spans="2:5" ht="15" customHeight="1">
      <c r="B695" s="95"/>
      <c r="C695" s="55" t="s">
        <v>266</v>
      </c>
      <c r="D695" s="58">
        <v>7</v>
      </c>
      <c r="E695" s="57">
        <v>0</v>
      </c>
    </row>
    <row r="696" spans="2:5" ht="15" customHeight="1">
      <c r="B696" s="95"/>
      <c r="C696" s="55" t="s">
        <v>183</v>
      </c>
      <c r="D696" s="58">
        <v>18</v>
      </c>
      <c r="E696" s="57">
        <v>1E-3</v>
      </c>
    </row>
    <row r="697" spans="2:5" ht="15" customHeight="1">
      <c r="B697" s="95"/>
      <c r="C697" s="55" t="s">
        <v>268</v>
      </c>
      <c r="D697" s="58">
        <v>5</v>
      </c>
      <c r="E697" s="57">
        <v>0</v>
      </c>
    </row>
    <row r="698" spans="2:5" ht="15" customHeight="1">
      <c r="B698" s="95"/>
      <c r="C698" s="55" t="s">
        <v>269</v>
      </c>
      <c r="D698" s="58">
        <v>4</v>
      </c>
      <c r="E698" s="57">
        <v>0</v>
      </c>
    </row>
    <row r="699" spans="2:5" ht="15" customHeight="1">
      <c r="B699" s="95"/>
      <c r="C699" s="55" t="s">
        <v>187</v>
      </c>
      <c r="D699" s="58">
        <v>64</v>
      </c>
      <c r="E699" s="57">
        <v>4.0000000000000001E-3</v>
      </c>
    </row>
    <row r="700" spans="2:5" ht="15" customHeight="1">
      <c r="B700" s="95"/>
      <c r="C700" s="55" t="s">
        <v>188</v>
      </c>
      <c r="D700" s="58">
        <v>3</v>
      </c>
      <c r="E700" s="57">
        <v>0</v>
      </c>
    </row>
    <row r="701" spans="2:5" ht="15" customHeight="1">
      <c r="B701" s="95"/>
      <c r="C701" s="55" t="s">
        <v>189</v>
      </c>
      <c r="D701" s="58">
        <v>11</v>
      </c>
      <c r="E701" s="57">
        <v>1E-3</v>
      </c>
    </row>
    <row r="702" spans="2:5" ht="15" customHeight="1">
      <c r="B702" s="95"/>
      <c r="C702" s="55" t="s">
        <v>190</v>
      </c>
      <c r="D702" s="58">
        <v>33</v>
      </c>
      <c r="E702" s="57">
        <v>2E-3</v>
      </c>
    </row>
    <row r="703" spans="2:5" ht="15" customHeight="1">
      <c r="B703" s="95"/>
      <c r="C703" s="55" t="s">
        <v>273</v>
      </c>
      <c r="D703" s="58">
        <v>1</v>
      </c>
      <c r="E703" s="57">
        <v>0</v>
      </c>
    </row>
    <row r="704" spans="2:5" ht="15" customHeight="1">
      <c r="B704" s="95"/>
      <c r="C704" s="55" t="s">
        <v>195</v>
      </c>
      <c r="D704" s="58">
        <v>1</v>
      </c>
      <c r="E704" s="57">
        <v>0</v>
      </c>
    </row>
    <row r="705" spans="2:5" ht="15" customHeight="1">
      <c r="B705" s="95"/>
      <c r="C705" s="55" t="s">
        <v>196</v>
      </c>
      <c r="D705" s="58">
        <v>5</v>
      </c>
      <c r="E705" s="57">
        <v>0</v>
      </c>
    </row>
    <row r="706" spans="2:5" ht="15" customHeight="1">
      <c r="B706" s="95"/>
      <c r="C706" s="55" t="s">
        <v>198</v>
      </c>
      <c r="D706" s="58">
        <v>1</v>
      </c>
      <c r="E706" s="57">
        <v>0</v>
      </c>
    </row>
    <row r="707" spans="2:5" ht="15" customHeight="1">
      <c r="B707" s="95"/>
      <c r="C707" s="72" t="s">
        <v>284</v>
      </c>
      <c r="D707" s="73">
        <v>165</v>
      </c>
      <c r="E707" s="71">
        <v>1.0999999999999999E-2</v>
      </c>
    </row>
    <row r="708" spans="2:5" ht="15" customHeight="1">
      <c r="B708" s="95" t="s">
        <v>46</v>
      </c>
      <c r="C708" s="55" t="s">
        <v>176</v>
      </c>
      <c r="D708" s="58">
        <v>22</v>
      </c>
      <c r="E708" s="57">
        <v>1E-3</v>
      </c>
    </row>
    <row r="709" spans="2:5" ht="15" customHeight="1">
      <c r="B709" s="95"/>
      <c r="C709" s="55" t="s">
        <v>260</v>
      </c>
      <c r="D709" s="58">
        <v>5</v>
      </c>
      <c r="E709" s="57">
        <v>0</v>
      </c>
    </row>
    <row r="710" spans="2:5" ht="15" customHeight="1">
      <c r="B710" s="95"/>
      <c r="C710" s="55" t="s">
        <v>262</v>
      </c>
      <c r="D710" s="58">
        <v>10</v>
      </c>
      <c r="E710" s="57">
        <v>1E-3</v>
      </c>
    </row>
    <row r="711" spans="2:5" ht="15" customHeight="1">
      <c r="B711" s="95"/>
      <c r="C711" s="55" t="s">
        <v>263</v>
      </c>
      <c r="D711" s="58">
        <v>17</v>
      </c>
      <c r="E711" s="57">
        <v>1E-3</v>
      </c>
    </row>
    <row r="712" spans="2:5" ht="15" customHeight="1">
      <c r="B712" s="95"/>
      <c r="C712" s="55" t="s">
        <v>264</v>
      </c>
      <c r="D712" s="58">
        <v>8</v>
      </c>
      <c r="E712" s="57">
        <v>1E-3</v>
      </c>
    </row>
    <row r="713" spans="2:5" ht="15" customHeight="1">
      <c r="B713" s="95"/>
      <c r="C713" s="55" t="s">
        <v>265</v>
      </c>
      <c r="D713" s="58">
        <v>11</v>
      </c>
      <c r="E713" s="57">
        <v>1E-3</v>
      </c>
    </row>
    <row r="714" spans="2:5" ht="15" customHeight="1">
      <c r="B714" s="95"/>
      <c r="C714" s="55" t="s">
        <v>266</v>
      </c>
      <c r="D714" s="58">
        <v>65</v>
      </c>
      <c r="E714" s="57">
        <v>4.0000000000000001E-3</v>
      </c>
    </row>
    <row r="715" spans="2:5" ht="15" customHeight="1">
      <c r="B715" s="95"/>
      <c r="C715" s="55" t="s">
        <v>183</v>
      </c>
      <c r="D715" s="58">
        <v>123</v>
      </c>
      <c r="E715" s="57">
        <v>8.0000000000000002E-3</v>
      </c>
    </row>
    <row r="716" spans="2:5" ht="15" customHeight="1">
      <c r="B716" s="95"/>
      <c r="C716" s="55" t="s">
        <v>267</v>
      </c>
      <c r="D716" s="58">
        <v>17</v>
      </c>
      <c r="E716" s="57">
        <v>1E-3</v>
      </c>
    </row>
    <row r="717" spans="2:5" ht="15" customHeight="1">
      <c r="B717" s="95"/>
      <c r="C717" s="55" t="s">
        <v>268</v>
      </c>
      <c r="D717" s="58">
        <v>27</v>
      </c>
      <c r="E717" s="57">
        <v>2E-3</v>
      </c>
    </row>
    <row r="718" spans="2:5" ht="15" customHeight="1">
      <c r="B718" s="95"/>
      <c r="C718" s="55" t="s">
        <v>269</v>
      </c>
      <c r="D718" s="58">
        <v>34</v>
      </c>
      <c r="E718" s="57">
        <v>2E-3</v>
      </c>
    </row>
    <row r="719" spans="2:5" ht="15" customHeight="1">
      <c r="B719" s="95"/>
      <c r="C719" s="55" t="s">
        <v>187</v>
      </c>
      <c r="D719" s="58">
        <v>443</v>
      </c>
      <c r="E719" s="57">
        <v>2.9000000000000001E-2</v>
      </c>
    </row>
    <row r="720" spans="2:5" ht="15" customHeight="1">
      <c r="B720" s="95"/>
      <c r="C720" s="55" t="s">
        <v>188</v>
      </c>
      <c r="D720" s="58">
        <v>31</v>
      </c>
      <c r="E720" s="57">
        <v>2E-3</v>
      </c>
    </row>
    <row r="721" spans="2:5" ht="15" customHeight="1">
      <c r="B721" s="95"/>
      <c r="C721" s="55" t="s">
        <v>189</v>
      </c>
      <c r="D721" s="58">
        <v>91</v>
      </c>
      <c r="E721" s="57">
        <v>6.0000000000000001E-3</v>
      </c>
    </row>
    <row r="722" spans="2:5" ht="15" customHeight="1">
      <c r="B722" s="95"/>
      <c r="C722" s="55" t="s">
        <v>190</v>
      </c>
      <c r="D722" s="58">
        <v>307</v>
      </c>
      <c r="E722" s="57">
        <v>0.02</v>
      </c>
    </row>
    <row r="723" spans="2:5" ht="15" customHeight="1">
      <c r="B723" s="95"/>
      <c r="C723" s="55" t="s">
        <v>270</v>
      </c>
      <c r="D723" s="58">
        <v>7</v>
      </c>
      <c r="E723" s="57">
        <v>0</v>
      </c>
    </row>
    <row r="724" spans="2:5" ht="15" customHeight="1">
      <c r="B724" s="95"/>
      <c r="C724" s="55" t="s">
        <v>271</v>
      </c>
      <c r="D724" s="58">
        <v>13</v>
      </c>
      <c r="E724" s="57">
        <v>1E-3</v>
      </c>
    </row>
    <row r="725" spans="2:5" ht="15" customHeight="1">
      <c r="B725" s="95"/>
      <c r="C725" s="55" t="s">
        <v>272</v>
      </c>
      <c r="D725" s="58">
        <v>5</v>
      </c>
      <c r="E725" s="57">
        <v>0</v>
      </c>
    </row>
    <row r="726" spans="2:5" ht="15" customHeight="1">
      <c r="B726" s="95"/>
      <c r="C726" s="55" t="s">
        <v>273</v>
      </c>
      <c r="D726" s="58">
        <v>1</v>
      </c>
      <c r="E726" s="57">
        <v>0</v>
      </c>
    </row>
    <row r="727" spans="2:5" ht="15" customHeight="1">
      <c r="B727" s="95"/>
      <c r="C727" s="55" t="s">
        <v>195</v>
      </c>
      <c r="D727" s="58">
        <v>8</v>
      </c>
      <c r="E727" s="57">
        <v>1E-3</v>
      </c>
    </row>
    <row r="728" spans="2:5" ht="15" customHeight="1">
      <c r="B728" s="95"/>
      <c r="C728" s="55" t="s">
        <v>196</v>
      </c>
      <c r="D728" s="58">
        <v>37</v>
      </c>
      <c r="E728" s="57">
        <v>2E-3</v>
      </c>
    </row>
    <row r="729" spans="2:5" ht="15" customHeight="1">
      <c r="B729" s="95"/>
      <c r="C729" s="55" t="s">
        <v>198</v>
      </c>
      <c r="D729" s="58">
        <v>2</v>
      </c>
      <c r="E729" s="57">
        <v>0</v>
      </c>
    </row>
    <row r="730" spans="2:5" ht="15" customHeight="1">
      <c r="B730" s="95"/>
      <c r="C730" s="72" t="s">
        <v>284</v>
      </c>
      <c r="D730" s="69">
        <v>1284</v>
      </c>
      <c r="E730" s="71">
        <v>8.3000000000000004E-2</v>
      </c>
    </row>
    <row r="731" spans="2:5" ht="15" customHeight="1">
      <c r="B731" s="95" t="s">
        <v>80</v>
      </c>
      <c r="C731" s="55" t="s">
        <v>264</v>
      </c>
      <c r="D731" s="58">
        <v>1</v>
      </c>
      <c r="E731" s="57">
        <v>0</v>
      </c>
    </row>
    <row r="732" spans="2:5" ht="15" customHeight="1">
      <c r="B732" s="95"/>
      <c r="C732" s="55" t="s">
        <v>266</v>
      </c>
      <c r="D732" s="58">
        <v>7</v>
      </c>
      <c r="E732" s="57">
        <v>0</v>
      </c>
    </row>
    <row r="733" spans="2:5" ht="15" customHeight="1">
      <c r="B733" s="95"/>
      <c r="C733" s="55" t="s">
        <v>183</v>
      </c>
      <c r="D733" s="58">
        <v>3</v>
      </c>
      <c r="E733" s="57">
        <v>0</v>
      </c>
    </row>
    <row r="734" spans="2:5" ht="15" customHeight="1">
      <c r="B734" s="95"/>
      <c r="C734" s="55" t="s">
        <v>267</v>
      </c>
      <c r="D734" s="58">
        <v>1</v>
      </c>
      <c r="E734" s="57">
        <v>0</v>
      </c>
    </row>
    <row r="735" spans="2:5" ht="15" customHeight="1">
      <c r="B735" s="95"/>
      <c r="C735" s="55" t="s">
        <v>268</v>
      </c>
      <c r="D735" s="58">
        <v>2</v>
      </c>
      <c r="E735" s="57">
        <v>0</v>
      </c>
    </row>
    <row r="736" spans="2:5" ht="15" customHeight="1">
      <c r="B736" s="95"/>
      <c r="C736" s="55" t="s">
        <v>269</v>
      </c>
      <c r="D736" s="58">
        <v>4</v>
      </c>
      <c r="E736" s="57">
        <v>0</v>
      </c>
    </row>
    <row r="737" spans="2:5" ht="15" customHeight="1">
      <c r="B737" s="95"/>
      <c r="C737" s="55" t="s">
        <v>187</v>
      </c>
      <c r="D737" s="58">
        <v>15</v>
      </c>
      <c r="E737" s="57">
        <v>1E-3</v>
      </c>
    </row>
    <row r="738" spans="2:5" ht="15" customHeight="1">
      <c r="B738" s="95"/>
      <c r="C738" s="55" t="s">
        <v>188</v>
      </c>
      <c r="D738" s="58">
        <v>1</v>
      </c>
      <c r="E738" s="57">
        <v>0</v>
      </c>
    </row>
    <row r="739" spans="2:5" ht="15" customHeight="1">
      <c r="B739" s="95"/>
      <c r="C739" s="55" t="s">
        <v>189</v>
      </c>
      <c r="D739" s="58">
        <v>5</v>
      </c>
      <c r="E739" s="57">
        <v>0</v>
      </c>
    </row>
    <row r="740" spans="2:5" ht="15" customHeight="1">
      <c r="B740" s="95"/>
      <c r="C740" s="55" t="s">
        <v>190</v>
      </c>
      <c r="D740" s="58">
        <v>17</v>
      </c>
      <c r="E740" s="57">
        <v>1E-3</v>
      </c>
    </row>
    <row r="741" spans="2:5" ht="15" customHeight="1">
      <c r="B741" s="95"/>
      <c r="C741" s="55" t="s">
        <v>270</v>
      </c>
      <c r="D741" s="58">
        <v>1</v>
      </c>
      <c r="E741" s="57">
        <v>0</v>
      </c>
    </row>
    <row r="742" spans="2:5" ht="15" customHeight="1">
      <c r="B742" s="95"/>
      <c r="C742" s="55" t="s">
        <v>196</v>
      </c>
      <c r="D742" s="58">
        <v>1</v>
      </c>
      <c r="E742" s="57">
        <v>0</v>
      </c>
    </row>
    <row r="743" spans="2:5" ht="15" customHeight="1">
      <c r="B743" s="95"/>
      <c r="C743" s="72" t="s">
        <v>284</v>
      </c>
      <c r="D743" s="73">
        <v>58</v>
      </c>
      <c r="E743" s="71">
        <v>4.0000000000000001E-3</v>
      </c>
    </row>
    <row r="744" spans="2:5" ht="15" customHeight="1">
      <c r="B744" s="95" t="s">
        <v>88</v>
      </c>
      <c r="C744" s="55" t="s">
        <v>187</v>
      </c>
      <c r="D744" s="58">
        <v>3</v>
      </c>
      <c r="E744" s="57">
        <v>0</v>
      </c>
    </row>
    <row r="745" spans="2:5" ht="15" customHeight="1">
      <c r="B745" s="95"/>
      <c r="C745" s="55" t="s">
        <v>188</v>
      </c>
      <c r="D745" s="58">
        <v>1</v>
      </c>
      <c r="E745" s="57">
        <v>0</v>
      </c>
    </row>
    <row r="746" spans="2:5" ht="15" customHeight="1">
      <c r="B746" s="95"/>
      <c r="C746" s="55" t="s">
        <v>190</v>
      </c>
      <c r="D746" s="58">
        <v>7</v>
      </c>
      <c r="E746" s="57">
        <v>0</v>
      </c>
    </row>
    <row r="747" spans="2:5" ht="15" customHeight="1">
      <c r="B747" s="95"/>
      <c r="C747" s="55" t="s">
        <v>196</v>
      </c>
      <c r="D747" s="58">
        <v>1</v>
      </c>
      <c r="E747" s="57">
        <v>0</v>
      </c>
    </row>
    <row r="748" spans="2:5" ht="15" customHeight="1">
      <c r="B748" s="95"/>
      <c r="C748" s="72" t="s">
        <v>284</v>
      </c>
      <c r="D748" s="73">
        <v>12</v>
      </c>
      <c r="E748" s="71">
        <v>1E-3</v>
      </c>
    </row>
    <row r="749" spans="2:5" ht="15" customHeight="1">
      <c r="B749" s="95" t="s">
        <v>74</v>
      </c>
      <c r="C749" s="55" t="s">
        <v>176</v>
      </c>
      <c r="D749" s="58">
        <v>1</v>
      </c>
      <c r="E749" s="57">
        <v>0</v>
      </c>
    </row>
    <row r="750" spans="2:5" ht="15" customHeight="1">
      <c r="B750" s="95"/>
      <c r="C750" s="55" t="s">
        <v>260</v>
      </c>
      <c r="D750" s="58">
        <v>3</v>
      </c>
      <c r="E750" s="57">
        <v>0</v>
      </c>
    </row>
    <row r="751" spans="2:5" ht="15" customHeight="1">
      <c r="B751" s="95"/>
      <c r="C751" s="55" t="s">
        <v>264</v>
      </c>
      <c r="D751" s="58">
        <v>2</v>
      </c>
      <c r="E751" s="57">
        <v>0</v>
      </c>
    </row>
    <row r="752" spans="2:5" ht="15" customHeight="1">
      <c r="B752" s="95"/>
      <c r="C752" s="55" t="s">
        <v>266</v>
      </c>
      <c r="D752" s="58">
        <v>6</v>
      </c>
      <c r="E752" s="57">
        <v>0</v>
      </c>
    </row>
    <row r="753" spans="2:5" ht="15" customHeight="1">
      <c r="B753" s="95"/>
      <c r="C753" s="55" t="s">
        <v>183</v>
      </c>
      <c r="D753" s="58">
        <v>14</v>
      </c>
      <c r="E753" s="57">
        <v>1E-3</v>
      </c>
    </row>
    <row r="754" spans="2:5" ht="15" customHeight="1">
      <c r="B754" s="95"/>
      <c r="C754" s="55" t="s">
        <v>267</v>
      </c>
      <c r="D754" s="58">
        <v>4</v>
      </c>
      <c r="E754" s="57">
        <v>0</v>
      </c>
    </row>
    <row r="755" spans="2:5" ht="15" customHeight="1">
      <c r="B755" s="95"/>
      <c r="C755" s="55" t="s">
        <v>268</v>
      </c>
      <c r="D755" s="58">
        <v>3</v>
      </c>
      <c r="E755" s="57">
        <v>0</v>
      </c>
    </row>
    <row r="756" spans="2:5" ht="15" customHeight="1">
      <c r="B756" s="95"/>
      <c r="C756" s="55" t="s">
        <v>269</v>
      </c>
      <c r="D756" s="58">
        <v>4</v>
      </c>
      <c r="E756" s="57">
        <v>0</v>
      </c>
    </row>
    <row r="757" spans="2:5" ht="15" customHeight="1">
      <c r="B757" s="95"/>
      <c r="C757" s="55" t="s">
        <v>187</v>
      </c>
      <c r="D757" s="58">
        <v>41</v>
      </c>
      <c r="E757" s="57">
        <v>3.0000000000000001E-3</v>
      </c>
    </row>
    <row r="758" spans="2:5" ht="15" customHeight="1">
      <c r="B758" s="95"/>
      <c r="C758" s="55" t="s">
        <v>188</v>
      </c>
      <c r="D758" s="58">
        <v>2</v>
      </c>
      <c r="E758" s="57">
        <v>0</v>
      </c>
    </row>
    <row r="759" spans="2:5" ht="15" customHeight="1">
      <c r="B759" s="95"/>
      <c r="C759" s="55" t="s">
        <v>189</v>
      </c>
      <c r="D759" s="58">
        <v>4</v>
      </c>
      <c r="E759" s="57">
        <v>0</v>
      </c>
    </row>
    <row r="760" spans="2:5" ht="15" customHeight="1">
      <c r="B760" s="95"/>
      <c r="C760" s="55" t="s">
        <v>190</v>
      </c>
      <c r="D760" s="58">
        <v>17</v>
      </c>
      <c r="E760" s="57">
        <v>1E-3</v>
      </c>
    </row>
    <row r="761" spans="2:5" ht="15" customHeight="1">
      <c r="B761" s="95"/>
      <c r="C761" s="55" t="s">
        <v>272</v>
      </c>
      <c r="D761" s="58">
        <v>1</v>
      </c>
      <c r="E761" s="57">
        <v>0</v>
      </c>
    </row>
    <row r="762" spans="2:5" ht="15" customHeight="1">
      <c r="B762" s="95"/>
      <c r="C762" s="55" t="s">
        <v>196</v>
      </c>
      <c r="D762" s="58">
        <v>7</v>
      </c>
      <c r="E762" s="57">
        <v>0</v>
      </c>
    </row>
    <row r="763" spans="2:5" ht="15" customHeight="1">
      <c r="B763" s="95"/>
      <c r="C763" s="72" t="s">
        <v>284</v>
      </c>
      <c r="D763" s="73">
        <v>109</v>
      </c>
      <c r="E763" s="71">
        <v>7.0000000000000001E-3</v>
      </c>
    </row>
    <row r="764" spans="2:5" ht="15" customHeight="1">
      <c r="B764" s="95" t="s">
        <v>91</v>
      </c>
      <c r="C764" s="55" t="s">
        <v>187</v>
      </c>
      <c r="D764" s="58">
        <v>1</v>
      </c>
      <c r="E764" s="57">
        <v>0</v>
      </c>
    </row>
    <row r="765" spans="2:5" ht="15" customHeight="1">
      <c r="B765" s="95"/>
      <c r="C765" s="55" t="s">
        <v>188</v>
      </c>
      <c r="D765" s="58">
        <v>1</v>
      </c>
      <c r="E765" s="57">
        <v>0</v>
      </c>
    </row>
    <row r="766" spans="2:5" ht="15" customHeight="1">
      <c r="B766" s="95"/>
      <c r="C766" s="72" t="s">
        <v>284</v>
      </c>
      <c r="D766" s="73">
        <v>2</v>
      </c>
      <c r="E766" s="71">
        <v>0</v>
      </c>
    </row>
    <row r="767" spans="2:5" ht="15" customHeight="1">
      <c r="B767" s="102" t="s">
        <v>284</v>
      </c>
      <c r="C767" s="103"/>
      <c r="D767" s="41">
        <v>15448</v>
      </c>
      <c r="E767" s="60">
        <v>1</v>
      </c>
    </row>
    <row r="768" spans="2:5" ht="15" customHeight="1">
      <c r="B768" s="36"/>
      <c r="C768" s="36"/>
      <c r="D768" s="36"/>
      <c r="E768" s="36"/>
    </row>
    <row r="769" spans="2:5" ht="15" customHeight="1">
      <c r="B769" s="32" t="s">
        <v>254</v>
      </c>
      <c r="C769" s="36"/>
      <c r="D769" s="36"/>
      <c r="E769" s="36"/>
    </row>
    <row r="770" spans="2:5" ht="15" customHeight="1">
      <c r="B770" s="34" t="s">
        <v>18</v>
      </c>
      <c r="C770" s="36"/>
      <c r="D770" s="36"/>
      <c r="E770" s="36"/>
    </row>
    <row r="771" spans="2:5" ht="15" customHeight="1">
      <c r="B771" s="35" t="s">
        <v>94</v>
      </c>
      <c r="C771" s="36"/>
      <c r="D771" s="36"/>
      <c r="E771" s="36"/>
    </row>
    <row r="772" spans="2:5" ht="15" customHeight="1">
      <c r="B772" s="32" t="s">
        <v>17</v>
      </c>
      <c r="C772" s="36"/>
      <c r="D772" s="36"/>
      <c r="E772" s="36"/>
    </row>
    <row r="773" spans="2:5" ht="15" customHeight="1">
      <c r="B773" s="32" t="s">
        <v>285</v>
      </c>
      <c r="C773" s="36"/>
      <c r="D773" s="36"/>
      <c r="E773" s="36"/>
    </row>
  </sheetData>
  <mergeCells count="52">
    <mergeCell ref="B764:B766"/>
    <mergeCell ref="B767:C767"/>
    <mergeCell ref="B691:B707"/>
    <mergeCell ref="B708:B730"/>
    <mergeCell ref="B731:B743"/>
    <mergeCell ref="B744:B748"/>
    <mergeCell ref="B749:B763"/>
    <mergeCell ref="B602:B617"/>
    <mergeCell ref="B618:B632"/>
    <mergeCell ref="B633:B650"/>
    <mergeCell ref="B651:B673"/>
    <mergeCell ref="B674:B690"/>
    <mergeCell ref="B529:B542"/>
    <mergeCell ref="B543:B545"/>
    <mergeCell ref="B546:B563"/>
    <mergeCell ref="B564:B579"/>
    <mergeCell ref="B580:B601"/>
    <mergeCell ref="B439:B454"/>
    <mergeCell ref="B455:B472"/>
    <mergeCell ref="B473:B489"/>
    <mergeCell ref="B490:B507"/>
    <mergeCell ref="B508:B528"/>
    <mergeCell ref="B349:B366"/>
    <mergeCell ref="B367:B382"/>
    <mergeCell ref="B383:B403"/>
    <mergeCell ref="B404:B417"/>
    <mergeCell ref="B418:B438"/>
    <mergeCell ref="B273:B278"/>
    <mergeCell ref="B279:B297"/>
    <mergeCell ref="B298:B316"/>
    <mergeCell ref="B317:B339"/>
    <mergeCell ref="B340:B348"/>
    <mergeCell ref="B178:B195"/>
    <mergeCell ref="B196:B214"/>
    <mergeCell ref="B215:B239"/>
    <mergeCell ref="B240:B256"/>
    <mergeCell ref="B257:B272"/>
    <mergeCell ref="B130:B131"/>
    <mergeCell ref="B132:B150"/>
    <mergeCell ref="B151:B167"/>
    <mergeCell ref="B168:B169"/>
    <mergeCell ref="B170:B177"/>
    <mergeCell ref="B66:B76"/>
    <mergeCell ref="B77:B83"/>
    <mergeCell ref="B84:B86"/>
    <mergeCell ref="B87:B108"/>
    <mergeCell ref="B109:B129"/>
    <mergeCell ref="B7:E8"/>
    <mergeCell ref="B10:B17"/>
    <mergeCell ref="B18:B38"/>
    <mergeCell ref="B39:B54"/>
    <mergeCell ref="B55:B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15" zoomScaleNormal="100" zoomScaleSheetLayoutView="115" workbookViewId="0">
      <selection activeCell="B14" sqref="B1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88" t="s">
        <v>36</v>
      </c>
      <c r="C7" s="88"/>
      <c r="D7" s="88"/>
      <c r="E7" s="29"/>
      <c r="F7" s="29"/>
    </row>
    <row r="8" spans="1:6" s="15" customFormat="1" ht="15" customHeight="1">
      <c r="A8" s="29"/>
      <c r="B8" s="88"/>
      <c r="C8" s="88"/>
      <c r="D8" s="88"/>
      <c r="E8" s="29"/>
      <c r="F8" s="29"/>
    </row>
    <row r="9" spans="1:6" s="15" customFormat="1" ht="33" customHeight="1">
      <c r="A9" s="29"/>
      <c r="B9" s="88"/>
      <c r="C9" s="88"/>
      <c r="D9" s="88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7" t="s">
        <v>29</v>
      </c>
      <c r="C11" s="38" t="s">
        <v>20</v>
      </c>
      <c r="D11" s="39" t="s">
        <v>19</v>
      </c>
      <c r="E11" s="29"/>
      <c r="F11" s="29"/>
    </row>
    <row r="12" spans="1:6" ht="16.5">
      <c r="A12" s="31"/>
      <c r="B12" s="61" t="s">
        <v>138</v>
      </c>
      <c r="C12" s="62">
        <v>6705</v>
      </c>
      <c r="D12" s="63">
        <v>0.43403676851372303</v>
      </c>
      <c r="E12" s="31"/>
      <c r="F12" s="31"/>
    </row>
    <row r="13" spans="1:6" ht="16.5">
      <c r="A13" s="31"/>
      <c r="B13" s="61" t="s">
        <v>139</v>
      </c>
      <c r="C13" s="62">
        <v>8743</v>
      </c>
      <c r="D13" s="63">
        <v>0.56596323148627703</v>
      </c>
      <c r="E13" s="31"/>
      <c r="F13" s="31"/>
    </row>
    <row r="14" spans="1:6" ht="16.5">
      <c r="A14" s="31"/>
      <c r="B14" s="70" t="s">
        <v>286</v>
      </c>
      <c r="C14" s="65">
        <v>15448</v>
      </c>
      <c r="D14" s="66">
        <v>1</v>
      </c>
      <c r="E14" s="31"/>
      <c r="F14" s="31"/>
    </row>
    <row r="15" spans="1:6" ht="16.5">
      <c r="A15" s="31"/>
      <c r="B15" s="31"/>
      <c r="C15" s="33"/>
      <c r="D15" s="33"/>
      <c r="E15" s="31"/>
      <c r="F15" s="31"/>
    </row>
    <row r="16" spans="1:6" ht="16.5">
      <c r="B16" s="32" t="s">
        <v>254</v>
      </c>
      <c r="C16" s="33"/>
      <c r="D16" s="33"/>
      <c r="E16" s="31"/>
      <c r="F16" s="31"/>
    </row>
    <row r="17" spans="2:6" ht="16.5">
      <c r="B17" s="34" t="s">
        <v>18</v>
      </c>
      <c r="C17" s="47"/>
      <c r="D17" s="47"/>
      <c r="E17" s="31"/>
      <c r="F17" s="31"/>
    </row>
    <row r="18" spans="2:6" ht="16.5">
      <c r="B18" s="35" t="s">
        <v>94</v>
      </c>
      <c r="C18" s="48"/>
      <c r="D18" s="48"/>
      <c r="E18" s="31"/>
      <c r="F18" s="31"/>
    </row>
    <row r="19" spans="2:6" ht="16.5">
      <c r="B19" s="32" t="s">
        <v>17</v>
      </c>
      <c r="C19" s="33"/>
      <c r="D19" s="31"/>
      <c r="E19" s="31"/>
      <c r="F19" s="31"/>
    </row>
    <row r="20" spans="2:6" ht="16.5">
      <c r="B20" s="32" t="s">
        <v>285</v>
      </c>
      <c r="C20" s="33"/>
      <c r="D20" s="31"/>
      <c r="E20" s="31"/>
      <c r="F20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67"/>
  <sheetViews>
    <sheetView showGridLines="0" view="pageBreakPreview" zoomScale="130" zoomScaleNormal="100" zoomScaleSheetLayoutView="130" workbookViewId="0"/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5.7109375" style="15" customWidth="1"/>
    <col min="7" max="7" width="2.1406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F3" s="21"/>
    </row>
    <row r="4" spans="1:7" ht="30" customHeight="1">
      <c r="B4" s="27"/>
      <c r="C4" s="17"/>
      <c r="D4" s="15"/>
      <c r="F4" s="21"/>
    </row>
    <row r="5" spans="1:7" ht="15" customHeight="1">
      <c r="B5" s="27"/>
      <c r="C5" s="17"/>
      <c r="D5" s="15"/>
      <c r="F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31"/>
      <c r="B8" s="88" t="s">
        <v>251</v>
      </c>
      <c r="C8" s="88"/>
      <c r="D8" s="88"/>
      <c r="E8" s="88"/>
      <c r="F8" s="31"/>
      <c r="G8" s="31"/>
    </row>
    <row r="9" spans="1:7" s="13" customFormat="1" ht="15" customHeight="1">
      <c r="A9" s="31"/>
      <c r="B9" s="88"/>
      <c r="C9" s="88"/>
      <c r="D9" s="88"/>
      <c r="E9" s="88"/>
      <c r="F9" s="49"/>
      <c r="G9" s="31"/>
    </row>
    <row r="10" spans="1:7" s="13" customFormat="1" ht="15" customHeight="1">
      <c r="A10" s="31"/>
      <c r="B10" s="88"/>
      <c r="C10" s="88"/>
      <c r="D10" s="88"/>
      <c r="E10" s="88"/>
      <c r="F10" s="31"/>
      <c r="G10" s="31"/>
    </row>
    <row r="11" spans="1:7" s="13" customFormat="1" ht="15" customHeight="1">
      <c r="A11" s="31"/>
      <c r="B11" s="50"/>
      <c r="C11" s="50"/>
      <c r="D11" s="50"/>
      <c r="E11" s="50"/>
      <c r="F11" s="31"/>
      <c r="G11" s="31"/>
    </row>
    <row r="12" spans="1:7" s="13" customFormat="1" ht="36.950000000000003" customHeight="1">
      <c r="A12" s="31"/>
      <c r="B12" s="76" t="s">
        <v>22</v>
      </c>
      <c r="C12" s="76" t="s">
        <v>29</v>
      </c>
      <c r="D12" s="76" t="s">
        <v>20</v>
      </c>
      <c r="E12" s="76" t="s">
        <v>19</v>
      </c>
      <c r="F12" s="31"/>
      <c r="G12" s="31"/>
    </row>
    <row r="13" spans="1:7" ht="14.45" customHeight="1">
      <c r="A13" s="29"/>
      <c r="B13" s="89" t="s">
        <v>84</v>
      </c>
      <c r="C13" s="55" t="s">
        <v>138</v>
      </c>
      <c r="D13" s="58">
        <v>10</v>
      </c>
      <c r="E13" s="57">
        <v>1E-3</v>
      </c>
      <c r="F13" s="29"/>
      <c r="G13" s="29"/>
    </row>
    <row r="14" spans="1:7" ht="14.45" customHeight="1">
      <c r="A14" s="29"/>
      <c r="B14" s="90"/>
      <c r="C14" s="55" t="s">
        <v>139</v>
      </c>
      <c r="D14" s="58">
        <v>9</v>
      </c>
      <c r="E14" s="57">
        <v>1E-3</v>
      </c>
      <c r="F14" s="29"/>
      <c r="G14" s="29"/>
    </row>
    <row r="15" spans="1:7" ht="14.45" customHeight="1">
      <c r="A15" s="29"/>
      <c r="B15" s="91"/>
      <c r="C15" s="72" t="s">
        <v>284</v>
      </c>
      <c r="D15" s="73">
        <v>19</v>
      </c>
      <c r="E15" s="71">
        <v>1E-3</v>
      </c>
      <c r="F15" s="29"/>
      <c r="G15" s="29"/>
    </row>
    <row r="16" spans="1:7" ht="14.45" customHeight="1">
      <c r="A16" s="29"/>
      <c r="B16" s="89" t="s">
        <v>53</v>
      </c>
      <c r="C16" s="55" t="s">
        <v>138</v>
      </c>
      <c r="D16" s="58">
        <v>157</v>
      </c>
      <c r="E16" s="57">
        <v>0.01</v>
      </c>
      <c r="F16" s="29"/>
      <c r="G16" s="29"/>
    </row>
    <row r="17" spans="1:7" ht="14.45" customHeight="1">
      <c r="A17" s="29"/>
      <c r="B17" s="90"/>
      <c r="C17" s="55" t="s">
        <v>139</v>
      </c>
      <c r="D17" s="58">
        <v>231</v>
      </c>
      <c r="E17" s="57">
        <v>1.4999999999999999E-2</v>
      </c>
      <c r="F17" s="29"/>
      <c r="G17" s="29"/>
    </row>
    <row r="18" spans="1:7" ht="14.45" customHeight="1">
      <c r="A18" s="29"/>
      <c r="B18" s="91"/>
      <c r="C18" s="72" t="s">
        <v>284</v>
      </c>
      <c r="D18" s="73">
        <v>388</v>
      </c>
      <c r="E18" s="71">
        <v>2.5000000000000001E-2</v>
      </c>
      <c r="F18" s="29"/>
      <c r="G18" s="29"/>
    </row>
    <row r="19" spans="1:7" ht="14.45" customHeight="1">
      <c r="A19" s="29"/>
      <c r="B19" s="89" t="s">
        <v>66</v>
      </c>
      <c r="C19" s="55" t="s">
        <v>138</v>
      </c>
      <c r="D19" s="58">
        <v>58</v>
      </c>
      <c r="E19" s="57">
        <v>4.0000000000000001E-3</v>
      </c>
      <c r="F19" s="29"/>
      <c r="G19" s="29"/>
    </row>
    <row r="20" spans="1:7" ht="14.45" customHeight="1">
      <c r="A20" s="29"/>
      <c r="B20" s="90"/>
      <c r="C20" s="55" t="s">
        <v>139</v>
      </c>
      <c r="D20" s="58">
        <v>77</v>
      </c>
      <c r="E20" s="57">
        <v>5.0000000000000001E-3</v>
      </c>
      <c r="F20" s="29"/>
      <c r="G20" s="29"/>
    </row>
    <row r="21" spans="1:7" ht="14.45" customHeight="1">
      <c r="A21" s="29"/>
      <c r="B21" s="91"/>
      <c r="C21" s="72" t="s">
        <v>284</v>
      </c>
      <c r="D21" s="73">
        <v>135</v>
      </c>
      <c r="E21" s="71">
        <v>8.9999999999999993E-3</v>
      </c>
      <c r="F21" s="29"/>
      <c r="G21" s="29"/>
    </row>
    <row r="22" spans="1:7" ht="14.45" customHeight="1">
      <c r="A22" s="29"/>
      <c r="B22" s="89" t="s">
        <v>77</v>
      </c>
      <c r="C22" s="55" t="s">
        <v>138</v>
      </c>
      <c r="D22" s="58">
        <v>29</v>
      </c>
      <c r="E22" s="57">
        <v>2E-3</v>
      </c>
      <c r="F22" s="29"/>
      <c r="G22" s="29"/>
    </row>
    <row r="23" spans="1:7" ht="14.45" customHeight="1">
      <c r="A23" s="29"/>
      <c r="B23" s="90"/>
      <c r="C23" s="55" t="s">
        <v>139</v>
      </c>
      <c r="D23" s="58">
        <v>56</v>
      </c>
      <c r="E23" s="57">
        <v>4.0000000000000001E-3</v>
      </c>
      <c r="F23" s="29"/>
      <c r="G23" s="29"/>
    </row>
    <row r="24" spans="1:7" ht="14.45" customHeight="1">
      <c r="A24" s="29"/>
      <c r="B24" s="91"/>
      <c r="C24" s="72" t="s">
        <v>284</v>
      </c>
      <c r="D24" s="73">
        <v>85</v>
      </c>
      <c r="E24" s="71">
        <v>6.0000000000000001E-3</v>
      </c>
      <c r="F24" s="29"/>
      <c r="G24" s="29"/>
    </row>
    <row r="25" spans="1:7" ht="14.45" customHeight="1">
      <c r="A25" s="29"/>
      <c r="B25" s="89" t="s">
        <v>81</v>
      </c>
      <c r="C25" s="55" t="s">
        <v>138</v>
      </c>
      <c r="D25" s="58">
        <v>15</v>
      </c>
      <c r="E25" s="57">
        <v>1E-3</v>
      </c>
      <c r="F25" s="29"/>
      <c r="G25" s="29"/>
    </row>
    <row r="26" spans="1:7" ht="14.45" customHeight="1">
      <c r="A26" s="29"/>
      <c r="B26" s="90"/>
      <c r="C26" s="55" t="s">
        <v>139</v>
      </c>
      <c r="D26" s="58">
        <v>20</v>
      </c>
      <c r="E26" s="57">
        <v>1E-3</v>
      </c>
      <c r="F26" s="29"/>
      <c r="G26" s="29"/>
    </row>
    <row r="27" spans="1:7" ht="14.45" customHeight="1">
      <c r="A27" s="29"/>
      <c r="B27" s="91"/>
      <c r="C27" s="72" t="s">
        <v>284</v>
      </c>
      <c r="D27" s="73">
        <v>35</v>
      </c>
      <c r="E27" s="71">
        <v>2E-3</v>
      </c>
      <c r="F27" s="29"/>
      <c r="G27" s="29"/>
    </row>
    <row r="28" spans="1:7" ht="14.45" customHeight="1">
      <c r="A28" s="29"/>
      <c r="B28" s="89" t="s">
        <v>85</v>
      </c>
      <c r="C28" s="55" t="s">
        <v>138</v>
      </c>
      <c r="D28" s="58">
        <v>6</v>
      </c>
      <c r="E28" s="57">
        <v>0</v>
      </c>
      <c r="F28" s="29"/>
      <c r="G28" s="29"/>
    </row>
    <row r="29" spans="1:7" ht="14.45" customHeight="1">
      <c r="A29" s="29"/>
      <c r="B29" s="90"/>
      <c r="C29" s="55" t="s">
        <v>139</v>
      </c>
      <c r="D29" s="58">
        <v>10</v>
      </c>
      <c r="E29" s="57">
        <v>1E-3</v>
      </c>
      <c r="F29" s="29"/>
      <c r="G29" s="29"/>
    </row>
    <row r="30" spans="1:7" ht="14.45" customHeight="1">
      <c r="A30" s="29"/>
      <c r="B30" s="91"/>
      <c r="C30" s="72" t="s">
        <v>284</v>
      </c>
      <c r="D30" s="73">
        <v>16</v>
      </c>
      <c r="E30" s="71">
        <v>1E-3</v>
      </c>
      <c r="F30" s="29"/>
      <c r="G30" s="29"/>
    </row>
    <row r="31" spans="1:7" ht="14.45" customHeight="1">
      <c r="A31" s="29"/>
      <c r="B31" s="89" t="s">
        <v>92</v>
      </c>
      <c r="C31" s="55" t="s">
        <v>138</v>
      </c>
      <c r="D31" s="58">
        <v>1</v>
      </c>
      <c r="E31" s="57">
        <v>0</v>
      </c>
      <c r="F31" s="29"/>
      <c r="G31" s="29"/>
    </row>
    <row r="32" spans="1:7" ht="14.45" customHeight="1">
      <c r="A32" s="29"/>
      <c r="B32" s="90"/>
      <c r="C32" s="55" t="s">
        <v>139</v>
      </c>
      <c r="D32" s="58">
        <v>2</v>
      </c>
      <c r="E32" s="57">
        <v>0</v>
      </c>
      <c r="F32" s="29"/>
      <c r="G32" s="29"/>
    </row>
    <row r="33" spans="1:7" ht="14.45" customHeight="1">
      <c r="A33" s="29"/>
      <c r="B33" s="91"/>
      <c r="C33" s="72" t="s">
        <v>284</v>
      </c>
      <c r="D33" s="73">
        <v>3</v>
      </c>
      <c r="E33" s="71">
        <v>0</v>
      </c>
      <c r="F33" s="29"/>
      <c r="G33" s="29"/>
    </row>
    <row r="34" spans="1:7" ht="14.45" customHeight="1">
      <c r="A34" s="29"/>
      <c r="B34" s="89" t="s">
        <v>44</v>
      </c>
      <c r="C34" s="55" t="s">
        <v>138</v>
      </c>
      <c r="D34" s="56">
        <v>1323</v>
      </c>
      <c r="E34" s="57">
        <v>8.5999999999999993E-2</v>
      </c>
      <c r="F34" s="29"/>
      <c r="G34" s="29"/>
    </row>
    <row r="35" spans="1:7" ht="14.45" customHeight="1">
      <c r="A35" s="29"/>
      <c r="B35" s="90"/>
      <c r="C35" s="55" t="s">
        <v>139</v>
      </c>
      <c r="D35" s="56">
        <v>1613</v>
      </c>
      <c r="E35" s="57">
        <v>0.104</v>
      </c>
      <c r="F35" s="29"/>
      <c r="G35" s="29"/>
    </row>
    <row r="36" spans="1:7" ht="14.45" customHeight="1">
      <c r="A36" s="29"/>
      <c r="B36" s="91"/>
      <c r="C36" s="72" t="s">
        <v>284</v>
      </c>
      <c r="D36" s="73">
        <v>2936</v>
      </c>
      <c r="E36" s="71">
        <v>0.19</v>
      </c>
      <c r="F36" s="29"/>
      <c r="G36" s="29"/>
    </row>
    <row r="37" spans="1:7" ht="14.45" customHeight="1">
      <c r="A37" s="29"/>
      <c r="B37" s="89" t="s">
        <v>50</v>
      </c>
      <c r="C37" s="55" t="s">
        <v>138</v>
      </c>
      <c r="D37" s="58">
        <v>234</v>
      </c>
      <c r="E37" s="57">
        <v>1.4999999999999999E-2</v>
      </c>
      <c r="F37" s="29"/>
      <c r="G37" s="29"/>
    </row>
    <row r="38" spans="1:7" ht="14.45" customHeight="1">
      <c r="A38" s="29"/>
      <c r="B38" s="90"/>
      <c r="C38" s="55" t="s">
        <v>139</v>
      </c>
      <c r="D38" s="58">
        <v>310</v>
      </c>
      <c r="E38" s="57">
        <v>0.02</v>
      </c>
      <c r="F38" s="29"/>
      <c r="G38" s="29"/>
    </row>
    <row r="39" spans="1:7" ht="14.45" customHeight="1">
      <c r="A39" s="29"/>
      <c r="B39" s="91"/>
      <c r="C39" s="72" t="s">
        <v>284</v>
      </c>
      <c r="D39" s="73">
        <v>544</v>
      </c>
      <c r="E39" s="71">
        <v>3.5000000000000003E-2</v>
      </c>
      <c r="F39" s="29"/>
      <c r="G39" s="29"/>
    </row>
    <row r="40" spans="1:7" ht="14.45" customHeight="1">
      <c r="A40" s="29"/>
      <c r="B40" s="89" t="s">
        <v>89</v>
      </c>
      <c r="C40" s="55" t="s">
        <v>138</v>
      </c>
      <c r="D40" s="58">
        <v>1</v>
      </c>
      <c r="E40" s="57">
        <v>0</v>
      </c>
      <c r="F40" s="29"/>
      <c r="G40" s="29"/>
    </row>
    <row r="41" spans="1:7" ht="14.45" customHeight="1">
      <c r="A41" s="29"/>
      <c r="B41" s="91"/>
      <c r="C41" s="72" t="s">
        <v>284</v>
      </c>
      <c r="D41" s="73">
        <v>1</v>
      </c>
      <c r="E41" s="71">
        <v>0</v>
      </c>
      <c r="F41" s="29"/>
      <c r="G41" s="29"/>
    </row>
    <row r="42" spans="1:7" ht="14.45" customHeight="1">
      <c r="A42" s="29"/>
      <c r="B42" s="89" t="s">
        <v>61</v>
      </c>
      <c r="C42" s="55" t="s">
        <v>138</v>
      </c>
      <c r="D42" s="58">
        <v>84</v>
      </c>
      <c r="E42" s="57">
        <v>5.0000000000000001E-3</v>
      </c>
      <c r="F42" s="29"/>
      <c r="G42" s="29"/>
    </row>
    <row r="43" spans="1:7" ht="14.45" customHeight="1">
      <c r="A43" s="29"/>
      <c r="B43" s="90"/>
      <c r="C43" s="55" t="s">
        <v>139</v>
      </c>
      <c r="D43" s="58">
        <v>120</v>
      </c>
      <c r="E43" s="57">
        <v>8.0000000000000002E-3</v>
      </c>
      <c r="F43" s="29"/>
      <c r="G43" s="29"/>
    </row>
    <row r="44" spans="1:7" ht="14.45" customHeight="1">
      <c r="A44" s="29"/>
      <c r="B44" s="91"/>
      <c r="C44" s="72" t="s">
        <v>284</v>
      </c>
      <c r="D44" s="73">
        <v>204</v>
      </c>
      <c r="E44" s="71">
        <v>1.2999999999999999E-2</v>
      </c>
      <c r="F44" s="29"/>
      <c r="G44" s="29"/>
    </row>
    <row r="45" spans="1:7" ht="14.45" customHeight="1">
      <c r="A45" s="29"/>
      <c r="B45" s="89" t="s">
        <v>62</v>
      </c>
      <c r="C45" s="55" t="s">
        <v>138</v>
      </c>
      <c r="D45" s="58">
        <v>85</v>
      </c>
      <c r="E45" s="57">
        <v>6.0000000000000001E-3</v>
      </c>
      <c r="F45" s="29"/>
      <c r="G45" s="29"/>
    </row>
    <row r="46" spans="1:7" ht="14.45" customHeight="1">
      <c r="A46" s="29"/>
      <c r="B46" s="90"/>
      <c r="C46" s="55" t="s">
        <v>139</v>
      </c>
      <c r="D46" s="58">
        <v>114</v>
      </c>
      <c r="E46" s="57">
        <v>7.0000000000000001E-3</v>
      </c>
      <c r="F46" s="29"/>
      <c r="G46" s="29"/>
    </row>
    <row r="47" spans="1:7" ht="14.45" customHeight="1">
      <c r="A47" s="29"/>
      <c r="B47" s="91"/>
      <c r="C47" s="72" t="s">
        <v>284</v>
      </c>
      <c r="D47" s="73">
        <v>199</v>
      </c>
      <c r="E47" s="71">
        <v>1.2999999999999999E-2</v>
      </c>
      <c r="F47" s="29"/>
      <c r="G47" s="29"/>
    </row>
    <row r="48" spans="1:7" ht="14.45" customHeight="1">
      <c r="A48" s="29"/>
      <c r="B48" s="89" t="s">
        <v>93</v>
      </c>
      <c r="C48" s="55" t="s">
        <v>139</v>
      </c>
      <c r="D48" s="58">
        <v>1</v>
      </c>
      <c r="E48" s="57">
        <v>0</v>
      </c>
      <c r="F48" s="29"/>
      <c r="G48" s="29"/>
    </row>
    <row r="49" spans="1:7" ht="14.45" customHeight="1">
      <c r="A49" s="29"/>
      <c r="B49" s="91"/>
      <c r="C49" s="72" t="s">
        <v>284</v>
      </c>
      <c r="D49" s="73">
        <v>1</v>
      </c>
      <c r="E49" s="71">
        <v>0</v>
      </c>
      <c r="F49" s="29"/>
      <c r="G49" s="29"/>
    </row>
    <row r="50" spans="1:7" ht="14.45" customHeight="1">
      <c r="A50" s="29"/>
      <c r="B50" s="89" t="s">
        <v>86</v>
      </c>
      <c r="C50" s="55" t="s">
        <v>138</v>
      </c>
      <c r="D50" s="58">
        <v>7</v>
      </c>
      <c r="E50" s="57">
        <v>0</v>
      </c>
      <c r="F50" s="29"/>
      <c r="G50" s="29"/>
    </row>
    <row r="51" spans="1:7" ht="14.45" customHeight="1">
      <c r="A51" s="29"/>
      <c r="B51" s="90"/>
      <c r="C51" s="55" t="s">
        <v>139</v>
      </c>
      <c r="D51" s="58">
        <v>3</v>
      </c>
      <c r="E51" s="57">
        <v>0</v>
      </c>
      <c r="F51" s="29"/>
      <c r="G51" s="29"/>
    </row>
    <row r="52" spans="1:7" ht="14.45" customHeight="1">
      <c r="A52" s="29"/>
      <c r="B52" s="91"/>
      <c r="C52" s="72" t="s">
        <v>284</v>
      </c>
      <c r="D52" s="73">
        <v>10</v>
      </c>
      <c r="E52" s="71">
        <v>1E-3</v>
      </c>
      <c r="F52" s="29"/>
      <c r="G52" s="29"/>
    </row>
    <row r="53" spans="1:7" ht="14.45" customHeight="1">
      <c r="A53" s="29"/>
      <c r="B53" s="89" t="s">
        <v>58</v>
      </c>
      <c r="C53" s="55" t="s">
        <v>138</v>
      </c>
      <c r="D53" s="58">
        <v>97</v>
      </c>
      <c r="E53" s="57">
        <v>6.0000000000000001E-3</v>
      </c>
      <c r="F53" s="29"/>
      <c r="G53" s="29"/>
    </row>
    <row r="54" spans="1:7" ht="14.45" customHeight="1">
      <c r="A54" s="29"/>
      <c r="B54" s="90"/>
      <c r="C54" s="55" t="s">
        <v>139</v>
      </c>
      <c r="D54" s="58">
        <v>143</v>
      </c>
      <c r="E54" s="57">
        <v>8.9999999999999993E-3</v>
      </c>
      <c r="F54" s="29"/>
      <c r="G54" s="29"/>
    </row>
    <row r="55" spans="1:7" ht="14.45" customHeight="1">
      <c r="A55" s="29"/>
      <c r="B55" s="91"/>
      <c r="C55" s="72" t="s">
        <v>284</v>
      </c>
      <c r="D55" s="73">
        <v>240</v>
      </c>
      <c r="E55" s="71">
        <v>1.6E-2</v>
      </c>
      <c r="F55" s="29"/>
      <c r="G55" s="29"/>
    </row>
    <row r="56" spans="1:7" ht="14.45" customHeight="1">
      <c r="A56" s="29"/>
      <c r="B56" s="89" t="s">
        <v>59</v>
      </c>
      <c r="C56" s="55" t="s">
        <v>138</v>
      </c>
      <c r="D56" s="58">
        <v>84</v>
      </c>
      <c r="E56" s="57">
        <v>5.0000000000000001E-3</v>
      </c>
      <c r="F56" s="29"/>
      <c r="G56" s="29"/>
    </row>
    <row r="57" spans="1:7" ht="14.45" customHeight="1">
      <c r="A57" s="29"/>
      <c r="B57" s="90"/>
      <c r="C57" s="55" t="s">
        <v>139</v>
      </c>
      <c r="D57" s="58">
        <v>121</v>
      </c>
      <c r="E57" s="57">
        <v>8.0000000000000002E-3</v>
      </c>
      <c r="F57" s="29"/>
      <c r="G57" s="29"/>
    </row>
    <row r="58" spans="1:7" ht="14.45" customHeight="1">
      <c r="A58" s="29"/>
      <c r="B58" s="91"/>
      <c r="C58" s="72" t="s">
        <v>284</v>
      </c>
      <c r="D58" s="73">
        <v>205</v>
      </c>
      <c r="E58" s="71">
        <v>1.2999999999999999E-2</v>
      </c>
      <c r="F58" s="29"/>
      <c r="G58" s="29"/>
    </row>
    <row r="59" spans="1:7" ht="14.45" customHeight="1">
      <c r="A59" s="29"/>
      <c r="B59" s="89" t="s">
        <v>49</v>
      </c>
      <c r="C59" s="55" t="s">
        <v>138</v>
      </c>
      <c r="D59" s="58">
        <v>403</v>
      </c>
      <c r="E59" s="57">
        <v>2.5999999999999999E-2</v>
      </c>
      <c r="F59" s="29"/>
      <c r="G59" s="29"/>
    </row>
    <row r="60" spans="1:7" ht="14.45" customHeight="1">
      <c r="A60" s="29"/>
      <c r="B60" s="90"/>
      <c r="C60" s="55" t="s">
        <v>139</v>
      </c>
      <c r="D60" s="58">
        <v>530</v>
      </c>
      <c r="E60" s="57">
        <v>3.4000000000000002E-2</v>
      </c>
      <c r="F60" s="29"/>
      <c r="G60" s="29"/>
    </row>
    <row r="61" spans="1:7" ht="14.45" customHeight="1">
      <c r="A61" s="29"/>
      <c r="B61" s="91"/>
      <c r="C61" s="72" t="s">
        <v>284</v>
      </c>
      <c r="D61" s="73">
        <v>933</v>
      </c>
      <c r="E61" s="71">
        <v>0.06</v>
      </c>
      <c r="F61" s="29"/>
      <c r="G61" s="29"/>
    </row>
    <row r="62" spans="1:7" ht="14.45" customHeight="1">
      <c r="A62" s="29"/>
      <c r="B62" s="89" t="s">
        <v>57</v>
      </c>
      <c r="C62" s="55" t="s">
        <v>138</v>
      </c>
      <c r="D62" s="58">
        <v>102</v>
      </c>
      <c r="E62" s="57">
        <v>7.0000000000000001E-3</v>
      </c>
      <c r="F62" s="29"/>
      <c r="G62" s="29"/>
    </row>
    <row r="63" spans="1:7" ht="14.45" customHeight="1">
      <c r="A63" s="29"/>
      <c r="B63" s="90"/>
      <c r="C63" s="55" t="s">
        <v>139</v>
      </c>
      <c r="D63" s="58">
        <v>123</v>
      </c>
      <c r="E63" s="57">
        <v>8.0000000000000002E-3</v>
      </c>
      <c r="F63" s="29"/>
      <c r="G63" s="29"/>
    </row>
    <row r="64" spans="1:7" ht="14.45" customHeight="1">
      <c r="A64" s="29"/>
      <c r="B64" s="91"/>
      <c r="C64" s="72" t="s">
        <v>284</v>
      </c>
      <c r="D64" s="73">
        <v>225</v>
      </c>
      <c r="E64" s="71">
        <v>1.4999999999999999E-2</v>
      </c>
      <c r="F64" s="29"/>
      <c r="G64" s="29"/>
    </row>
    <row r="65" spans="1:7" ht="14.45" customHeight="1">
      <c r="A65" s="29"/>
      <c r="B65" s="89" t="s">
        <v>69</v>
      </c>
      <c r="C65" s="55" t="s">
        <v>138</v>
      </c>
      <c r="D65" s="58">
        <v>48</v>
      </c>
      <c r="E65" s="57">
        <v>3.0000000000000001E-3</v>
      </c>
      <c r="F65" s="29"/>
      <c r="G65" s="29"/>
    </row>
    <row r="66" spans="1:7" ht="14.45" customHeight="1">
      <c r="A66" s="29"/>
      <c r="B66" s="90"/>
      <c r="C66" s="55" t="s">
        <v>139</v>
      </c>
      <c r="D66" s="58">
        <v>67</v>
      </c>
      <c r="E66" s="57">
        <v>4.0000000000000001E-3</v>
      </c>
      <c r="F66" s="29"/>
      <c r="G66" s="29"/>
    </row>
    <row r="67" spans="1:7" ht="14.45" customHeight="1">
      <c r="A67" s="29"/>
      <c r="B67" s="91"/>
      <c r="C67" s="72" t="s">
        <v>284</v>
      </c>
      <c r="D67" s="73">
        <v>115</v>
      </c>
      <c r="E67" s="71">
        <v>7.0000000000000001E-3</v>
      </c>
      <c r="F67" s="29"/>
      <c r="G67" s="29"/>
    </row>
    <row r="68" spans="1:7" ht="14.45" customHeight="1">
      <c r="A68" s="29"/>
      <c r="B68" s="89" t="s">
        <v>87</v>
      </c>
      <c r="C68" s="55" t="s">
        <v>138</v>
      </c>
      <c r="D68" s="58">
        <v>4</v>
      </c>
      <c r="E68" s="57">
        <v>0</v>
      </c>
      <c r="F68" s="29"/>
      <c r="G68" s="29"/>
    </row>
    <row r="69" spans="1:7" ht="14.45" customHeight="1">
      <c r="A69" s="29"/>
      <c r="B69" s="90"/>
      <c r="C69" s="55" t="s">
        <v>139</v>
      </c>
      <c r="D69" s="58">
        <v>2</v>
      </c>
      <c r="E69" s="57">
        <v>0</v>
      </c>
      <c r="F69" s="29"/>
      <c r="G69" s="29"/>
    </row>
    <row r="70" spans="1:7" ht="14.45" customHeight="1">
      <c r="A70" s="29"/>
      <c r="B70" s="91"/>
      <c r="C70" s="72" t="s">
        <v>284</v>
      </c>
      <c r="D70" s="73">
        <v>6</v>
      </c>
      <c r="E70" s="71">
        <v>0</v>
      </c>
      <c r="F70" s="29"/>
      <c r="G70" s="29"/>
    </row>
    <row r="71" spans="1:7" ht="14.45" customHeight="1">
      <c r="A71" s="29"/>
      <c r="B71" s="89" t="s">
        <v>56</v>
      </c>
      <c r="C71" s="55" t="s">
        <v>138</v>
      </c>
      <c r="D71" s="58">
        <v>136</v>
      </c>
      <c r="E71" s="57">
        <v>8.9999999999999993E-3</v>
      </c>
      <c r="F71" s="29"/>
      <c r="G71" s="29"/>
    </row>
    <row r="72" spans="1:7" ht="14.45" customHeight="1">
      <c r="A72" s="29"/>
      <c r="B72" s="90"/>
      <c r="C72" s="55" t="s">
        <v>139</v>
      </c>
      <c r="D72" s="58">
        <v>156</v>
      </c>
      <c r="E72" s="57">
        <v>0.01</v>
      </c>
      <c r="F72" s="29"/>
      <c r="G72" s="29"/>
    </row>
    <row r="73" spans="1:7" ht="14.45" customHeight="1">
      <c r="A73" s="29"/>
      <c r="B73" s="91"/>
      <c r="C73" s="72" t="s">
        <v>284</v>
      </c>
      <c r="D73" s="73">
        <v>292</v>
      </c>
      <c r="E73" s="71">
        <v>1.9E-2</v>
      </c>
      <c r="F73" s="29"/>
      <c r="G73" s="29"/>
    </row>
    <row r="74" spans="1:7" ht="14.45" customHeight="1">
      <c r="A74" s="29"/>
      <c r="B74" s="89" t="s">
        <v>60</v>
      </c>
      <c r="C74" s="55" t="s">
        <v>138</v>
      </c>
      <c r="D74" s="58">
        <v>92</v>
      </c>
      <c r="E74" s="57">
        <v>6.0000000000000001E-3</v>
      </c>
      <c r="F74" s="29"/>
      <c r="G74" s="29"/>
    </row>
    <row r="75" spans="1:7" ht="14.45" customHeight="1">
      <c r="A75" s="29"/>
      <c r="B75" s="90"/>
      <c r="C75" s="55" t="s">
        <v>139</v>
      </c>
      <c r="D75" s="58">
        <v>120</v>
      </c>
      <c r="E75" s="57">
        <v>8.0000000000000002E-3</v>
      </c>
      <c r="F75" s="29"/>
      <c r="G75" s="29"/>
    </row>
    <row r="76" spans="1:7" ht="14.45" customHeight="1">
      <c r="A76" s="29"/>
      <c r="B76" s="91"/>
      <c r="C76" s="72" t="s">
        <v>284</v>
      </c>
      <c r="D76" s="73">
        <v>212</v>
      </c>
      <c r="E76" s="71">
        <v>1.4E-2</v>
      </c>
      <c r="F76" s="29"/>
      <c r="G76" s="29"/>
    </row>
    <row r="77" spans="1:7" ht="14.45" customHeight="1">
      <c r="A77" s="29"/>
      <c r="B77" s="89" t="s">
        <v>47</v>
      </c>
      <c r="C77" s="55" t="s">
        <v>138</v>
      </c>
      <c r="D77" s="58">
        <v>637</v>
      </c>
      <c r="E77" s="57">
        <v>4.1000000000000002E-2</v>
      </c>
      <c r="F77" s="29"/>
      <c r="G77" s="29"/>
    </row>
    <row r="78" spans="1:7" ht="14.45" customHeight="1">
      <c r="A78" s="29"/>
      <c r="B78" s="90"/>
      <c r="C78" s="55" t="s">
        <v>139</v>
      </c>
      <c r="D78" s="58">
        <v>643</v>
      </c>
      <c r="E78" s="57">
        <v>4.2000000000000003E-2</v>
      </c>
      <c r="F78" s="29"/>
      <c r="G78" s="29"/>
    </row>
    <row r="79" spans="1:7" ht="14.45" customHeight="1">
      <c r="A79" s="29"/>
      <c r="B79" s="91"/>
      <c r="C79" s="72" t="s">
        <v>284</v>
      </c>
      <c r="D79" s="73">
        <v>1280</v>
      </c>
      <c r="E79" s="71">
        <v>8.3000000000000004E-2</v>
      </c>
      <c r="F79" s="29"/>
      <c r="G79" s="29"/>
    </row>
    <row r="80" spans="1:7" ht="14.45" customHeight="1">
      <c r="A80" s="29"/>
      <c r="B80" s="89" t="s">
        <v>79</v>
      </c>
      <c r="C80" s="55" t="s">
        <v>138</v>
      </c>
      <c r="D80" s="58">
        <v>22</v>
      </c>
      <c r="E80" s="57">
        <v>1E-3</v>
      </c>
      <c r="F80" s="29"/>
      <c r="G80" s="29"/>
    </row>
    <row r="81" spans="1:7" ht="14.45" customHeight="1">
      <c r="A81" s="29"/>
      <c r="B81" s="90"/>
      <c r="C81" s="55" t="s">
        <v>139</v>
      </c>
      <c r="D81" s="58">
        <v>24</v>
      </c>
      <c r="E81" s="57">
        <v>2E-3</v>
      </c>
      <c r="F81" s="29"/>
      <c r="G81" s="29"/>
    </row>
    <row r="82" spans="1:7" ht="14.45" customHeight="1">
      <c r="A82" s="29"/>
      <c r="B82" s="91"/>
      <c r="C82" s="72" t="s">
        <v>284</v>
      </c>
      <c r="D82" s="73">
        <v>46</v>
      </c>
      <c r="E82" s="71">
        <v>3.0000000000000001E-3</v>
      </c>
      <c r="F82" s="29"/>
      <c r="G82" s="29"/>
    </row>
    <row r="83" spans="1:7" ht="14.45" customHeight="1">
      <c r="A83" s="29"/>
      <c r="B83" s="89" t="s">
        <v>70</v>
      </c>
      <c r="C83" s="55" t="s">
        <v>138</v>
      </c>
      <c r="D83" s="58">
        <v>55</v>
      </c>
      <c r="E83" s="57">
        <v>4.0000000000000001E-3</v>
      </c>
      <c r="F83" s="29"/>
      <c r="G83" s="29"/>
    </row>
    <row r="84" spans="1:7" ht="14.45" customHeight="1">
      <c r="A84" s="29"/>
      <c r="B84" s="90"/>
      <c r="C84" s="55" t="s">
        <v>139</v>
      </c>
      <c r="D84" s="58">
        <v>72</v>
      </c>
      <c r="E84" s="57">
        <v>5.0000000000000001E-3</v>
      </c>
      <c r="F84" s="29"/>
      <c r="G84" s="29"/>
    </row>
    <row r="85" spans="1:7" ht="14.45" customHeight="1">
      <c r="A85" s="29"/>
      <c r="B85" s="91"/>
      <c r="C85" s="72" t="s">
        <v>284</v>
      </c>
      <c r="D85" s="73">
        <v>127</v>
      </c>
      <c r="E85" s="71">
        <v>8.0000000000000002E-3</v>
      </c>
      <c r="F85" s="29"/>
      <c r="G85" s="29"/>
    </row>
    <row r="86" spans="1:7" ht="14.45" customHeight="1">
      <c r="A86" s="29"/>
      <c r="B86" s="89" t="s">
        <v>72</v>
      </c>
      <c r="C86" s="55" t="s">
        <v>138</v>
      </c>
      <c r="D86" s="58">
        <v>45</v>
      </c>
      <c r="E86" s="57">
        <v>3.0000000000000001E-3</v>
      </c>
      <c r="F86" s="29"/>
      <c r="G86" s="29"/>
    </row>
    <row r="87" spans="1:7" ht="14.45" customHeight="1">
      <c r="A87" s="29"/>
      <c r="B87" s="90"/>
      <c r="C87" s="55" t="s">
        <v>139</v>
      </c>
      <c r="D87" s="58">
        <v>51</v>
      </c>
      <c r="E87" s="57">
        <v>3.0000000000000001E-3</v>
      </c>
      <c r="F87" s="29"/>
      <c r="G87" s="29"/>
    </row>
    <row r="88" spans="1:7" ht="14.45" customHeight="1">
      <c r="A88" s="29"/>
      <c r="B88" s="91"/>
      <c r="C88" s="72" t="s">
        <v>284</v>
      </c>
      <c r="D88" s="73">
        <v>96</v>
      </c>
      <c r="E88" s="71">
        <v>6.0000000000000001E-3</v>
      </c>
      <c r="F88" s="29"/>
      <c r="G88" s="29"/>
    </row>
    <row r="89" spans="1:7" ht="14.45" customHeight="1">
      <c r="A89" s="29"/>
      <c r="B89" s="89" t="s">
        <v>82</v>
      </c>
      <c r="C89" s="55" t="s">
        <v>138</v>
      </c>
      <c r="D89" s="58">
        <v>62</v>
      </c>
      <c r="E89" s="57">
        <v>4.0000000000000001E-3</v>
      </c>
      <c r="F89" s="29"/>
      <c r="G89" s="29"/>
    </row>
    <row r="90" spans="1:7" ht="14.45" customHeight="1">
      <c r="A90" s="29"/>
      <c r="B90" s="90"/>
      <c r="C90" s="55" t="s">
        <v>139</v>
      </c>
      <c r="D90" s="58">
        <v>127</v>
      </c>
      <c r="E90" s="57">
        <v>8.0000000000000002E-3</v>
      </c>
      <c r="F90" s="29"/>
      <c r="G90" s="29"/>
    </row>
    <row r="91" spans="1:7" ht="14.45" customHeight="1">
      <c r="A91" s="29"/>
      <c r="B91" s="91"/>
      <c r="C91" s="72" t="s">
        <v>284</v>
      </c>
      <c r="D91" s="73">
        <v>189</v>
      </c>
      <c r="E91" s="71">
        <v>1.2E-2</v>
      </c>
      <c r="F91" s="29"/>
      <c r="G91" s="29"/>
    </row>
    <row r="92" spans="1:7" ht="14.45" customHeight="1">
      <c r="A92" s="29"/>
      <c r="B92" s="89" t="s">
        <v>83</v>
      </c>
      <c r="C92" s="55" t="s">
        <v>138</v>
      </c>
      <c r="D92" s="58">
        <v>24</v>
      </c>
      <c r="E92" s="57">
        <v>2E-3</v>
      </c>
      <c r="F92" s="29"/>
      <c r="G92" s="29"/>
    </row>
    <row r="93" spans="1:7" ht="14.45" customHeight="1">
      <c r="A93" s="29"/>
      <c r="B93" s="90"/>
      <c r="C93" s="55" t="s">
        <v>139</v>
      </c>
      <c r="D93" s="58">
        <v>35</v>
      </c>
      <c r="E93" s="57">
        <v>2E-3</v>
      </c>
      <c r="F93" s="29"/>
      <c r="G93" s="29"/>
    </row>
    <row r="94" spans="1:7" ht="14.45" customHeight="1">
      <c r="A94" s="29"/>
      <c r="B94" s="91"/>
      <c r="C94" s="72" t="s">
        <v>284</v>
      </c>
      <c r="D94" s="73">
        <v>59</v>
      </c>
      <c r="E94" s="71">
        <v>4.0000000000000001E-3</v>
      </c>
      <c r="F94" s="29"/>
      <c r="G94" s="29"/>
    </row>
    <row r="95" spans="1:7" ht="14.45" customHeight="1">
      <c r="A95" s="29"/>
      <c r="B95" s="89" t="s">
        <v>48</v>
      </c>
      <c r="C95" s="55" t="s">
        <v>138</v>
      </c>
      <c r="D95" s="58">
        <v>423</v>
      </c>
      <c r="E95" s="57">
        <v>2.7E-2</v>
      </c>
      <c r="F95" s="29"/>
      <c r="G95" s="29"/>
    </row>
    <row r="96" spans="1:7" ht="14.45" customHeight="1">
      <c r="A96" s="29"/>
      <c r="B96" s="90"/>
      <c r="C96" s="55" t="s">
        <v>139</v>
      </c>
      <c r="D96" s="58">
        <v>839</v>
      </c>
      <c r="E96" s="57">
        <v>5.3999999999999999E-2</v>
      </c>
      <c r="F96" s="29"/>
      <c r="G96" s="29"/>
    </row>
    <row r="97" spans="1:7" ht="14.45" customHeight="1">
      <c r="A97" s="29"/>
      <c r="B97" s="91"/>
      <c r="C97" s="72" t="s">
        <v>284</v>
      </c>
      <c r="D97" s="73">
        <v>1262</v>
      </c>
      <c r="E97" s="71">
        <v>8.2000000000000003E-2</v>
      </c>
      <c r="F97" s="29"/>
      <c r="G97" s="29"/>
    </row>
    <row r="98" spans="1:7" ht="14.45" customHeight="1">
      <c r="A98" s="29"/>
      <c r="B98" s="89" t="s">
        <v>75</v>
      </c>
      <c r="C98" s="55" t="s">
        <v>138</v>
      </c>
      <c r="D98" s="58">
        <v>43</v>
      </c>
      <c r="E98" s="57">
        <v>3.0000000000000001E-3</v>
      </c>
      <c r="F98" s="29"/>
      <c r="G98" s="29"/>
    </row>
    <row r="99" spans="1:7" ht="14.45" customHeight="1">
      <c r="A99" s="29"/>
      <c r="B99" s="90"/>
      <c r="C99" s="55" t="s">
        <v>139</v>
      </c>
      <c r="D99" s="58">
        <v>52</v>
      </c>
      <c r="E99" s="57">
        <v>3.0000000000000001E-3</v>
      </c>
      <c r="F99" s="29"/>
      <c r="G99" s="29"/>
    </row>
    <row r="100" spans="1:7" ht="14.45" customHeight="1">
      <c r="A100" s="29"/>
      <c r="B100" s="91"/>
      <c r="C100" s="72" t="s">
        <v>284</v>
      </c>
      <c r="D100" s="73">
        <v>95</v>
      </c>
      <c r="E100" s="71">
        <v>6.0000000000000001E-3</v>
      </c>
      <c r="F100" s="29"/>
      <c r="G100" s="29"/>
    </row>
    <row r="101" spans="1:7" ht="14.45" customHeight="1">
      <c r="A101" s="29"/>
      <c r="B101" s="89" t="s">
        <v>73</v>
      </c>
      <c r="C101" s="55" t="s">
        <v>138</v>
      </c>
      <c r="D101" s="58">
        <v>55</v>
      </c>
      <c r="E101" s="57">
        <v>4.0000000000000001E-3</v>
      </c>
      <c r="F101" s="29"/>
      <c r="G101" s="29"/>
    </row>
    <row r="102" spans="1:7" ht="14.45" customHeight="1">
      <c r="A102" s="29"/>
      <c r="B102" s="90"/>
      <c r="C102" s="55" t="s">
        <v>139</v>
      </c>
      <c r="D102" s="58">
        <v>90</v>
      </c>
      <c r="E102" s="57">
        <v>6.0000000000000001E-3</v>
      </c>
      <c r="F102" s="29"/>
      <c r="G102" s="29"/>
    </row>
    <row r="103" spans="1:7" ht="14.45" customHeight="1">
      <c r="A103" s="29"/>
      <c r="B103" s="91"/>
      <c r="C103" s="72" t="s">
        <v>284</v>
      </c>
      <c r="D103" s="73">
        <v>145</v>
      </c>
      <c r="E103" s="71">
        <v>8.9999999999999993E-3</v>
      </c>
      <c r="F103" s="29"/>
      <c r="G103" s="29"/>
    </row>
    <row r="104" spans="1:7" ht="14.45" customHeight="1">
      <c r="A104" s="29"/>
      <c r="B104" s="89" t="s">
        <v>65</v>
      </c>
      <c r="C104" s="55" t="s">
        <v>138</v>
      </c>
      <c r="D104" s="58">
        <v>49</v>
      </c>
      <c r="E104" s="57">
        <v>3.0000000000000001E-3</v>
      </c>
      <c r="F104" s="29"/>
      <c r="G104" s="29"/>
    </row>
    <row r="105" spans="1:7" ht="14.45" customHeight="1">
      <c r="A105" s="29"/>
      <c r="B105" s="90"/>
      <c r="C105" s="55" t="s">
        <v>139</v>
      </c>
      <c r="D105" s="58">
        <v>72</v>
      </c>
      <c r="E105" s="57">
        <v>5.0000000000000001E-3</v>
      </c>
      <c r="F105" s="29"/>
      <c r="G105" s="29"/>
    </row>
    <row r="106" spans="1:7" ht="14.45" customHeight="1">
      <c r="A106" s="29"/>
      <c r="B106" s="91"/>
      <c r="C106" s="72" t="s">
        <v>284</v>
      </c>
      <c r="D106" s="73">
        <v>121</v>
      </c>
      <c r="E106" s="71">
        <v>8.0000000000000002E-3</v>
      </c>
      <c r="F106" s="29"/>
      <c r="G106" s="29"/>
    </row>
    <row r="107" spans="1:7" ht="14.45" customHeight="1">
      <c r="A107" s="29"/>
      <c r="B107" s="89" t="s">
        <v>71</v>
      </c>
      <c r="C107" s="55" t="s">
        <v>138</v>
      </c>
      <c r="D107" s="58">
        <v>81</v>
      </c>
      <c r="E107" s="57">
        <v>5.0000000000000001E-3</v>
      </c>
      <c r="F107" s="29"/>
      <c r="G107" s="29"/>
    </row>
    <row r="108" spans="1:7" ht="14.45" customHeight="1">
      <c r="A108" s="29"/>
      <c r="B108" s="90"/>
      <c r="C108" s="55" t="s">
        <v>139</v>
      </c>
      <c r="D108" s="58">
        <v>97</v>
      </c>
      <c r="E108" s="57">
        <v>6.0000000000000001E-3</v>
      </c>
      <c r="F108" s="29"/>
      <c r="G108" s="29"/>
    </row>
    <row r="109" spans="1:7" ht="14.45" customHeight="1">
      <c r="A109" s="29"/>
      <c r="B109" s="91"/>
      <c r="C109" s="72" t="s">
        <v>284</v>
      </c>
      <c r="D109" s="73">
        <v>178</v>
      </c>
      <c r="E109" s="71">
        <v>1.2E-2</v>
      </c>
      <c r="F109" s="29"/>
      <c r="G109" s="29"/>
    </row>
    <row r="110" spans="1:7" ht="14.45" customHeight="1">
      <c r="A110" s="29"/>
      <c r="B110" s="89" t="s">
        <v>54</v>
      </c>
      <c r="C110" s="55" t="s">
        <v>138</v>
      </c>
      <c r="D110" s="58">
        <v>165</v>
      </c>
      <c r="E110" s="57">
        <v>1.0999999999999999E-2</v>
      </c>
      <c r="F110" s="29"/>
      <c r="G110" s="29"/>
    </row>
    <row r="111" spans="1:7" ht="14.45" customHeight="1">
      <c r="A111" s="29"/>
      <c r="B111" s="90"/>
      <c r="C111" s="55" t="s">
        <v>139</v>
      </c>
      <c r="D111" s="58">
        <v>206</v>
      </c>
      <c r="E111" s="57">
        <v>1.2999999999999999E-2</v>
      </c>
      <c r="F111" s="29"/>
      <c r="G111" s="29"/>
    </row>
    <row r="112" spans="1:7" ht="14.45" customHeight="1">
      <c r="A112" s="29"/>
      <c r="B112" s="91"/>
      <c r="C112" s="72" t="s">
        <v>284</v>
      </c>
      <c r="D112" s="73">
        <v>371</v>
      </c>
      <c r="E112" s="71">
        <v>2.4E-2</v>
      </c>
      <c r="F112" s="29"/>
      <c r="G112" s="29"/>
    </row>
    <row r="113" spans="1:7" ht="14.45" customHeight="1">
      <c r="A113" s="29"/>
      <c r="B113" s="89" t="s">
        <v>76</v>
      </c>
      <c r="C113" s="55" t="s">
        <v>138</v>
      </c>
      <c r="D113" s="58">
        <v>31</v>
      </c>
      <c r="E113" s="57">
        <v>2E-3</v>
      </c>
      <c r="F113" s="29"/>
      <c r="G113" s="29"/>
    </row>
    <row r="114" spans="1:7" ht="14.45" customHeight="1">
      <c r="A114" s="29"/>
      <c r="B114" s="90"/>
      <c r="C114" s="55" t="s">
        <v>139</v>
      </c>
      <c r="D114" s="58">
        <v>47</v>
      </c>
      <c r="E114" s="57">
        <v>3.0000000000000001E-3</v>
      </c>
      <c r="F114" s="29"/>
      <c r="G114" s="29"/>
    </row>
    <row r="115" spans="1:7" ht="14.45" customHeight="1">
      <c r="A115" s="29"/>
      <c r="B115" s="91"/>
      <c r="C115" s="72" t="s">
        <v>284</v>
      </c>
      <c r="D115" s="73">
        <v>78</v>
      </c>
      <c r="E115" s="71">
        <v>5.0000000000000001E-3</v>
      </c>
      <c r="F115" s="29"/>
      <c r="G115" s="29"/>
    </row>
    <row r="116" spans="1:7" ht="14.45" customHeight="1">
      <c r="A116" s="29"/>
      <c r="B116" s="89" t="s">
        <v>90</v>
      </c>
      <c r="C116" s="55" t="s">
        <v>138</v>
      </c>
      <c r="D116" s="58">
        <v>3</v>
      </c>
      <c r="E116" s="57">
        <v>0</v>
      </c>
      <c r="F116" s="29"/>
      <c r="G116" s="29"/>
    </row>
    <row r="117" spans="1:7" ht="14.45" customHeight="1">
      <c r="A117" s="29"/>
      <c r="B117" s="90"/>
      <c r="C117" s="55" t="s">
        <v>139</v>
      </c>
      <c r="D117" s="58">
        <v>1</v>
      </c>
      <c r="E117" s="57">
        <v>0</v>
      </c>
      <c r="F117" s="29"/>
      <c r="G117" s="29"/>
    </row>
    <row r="118" spans="1:7" ht="14.45" customHeight="1">
      <c r="A118" s="29"/>
      <c r="B118" s="91"/>
      <c r="C118" s="72" t="s">
        <v>284</v>
      </c>
      <c r="D118" s="73">
        <v>4</v>
      </c>
      <c r="E118" s="71">
        <v>0</v>
      </c>
      <c r="F118" s="29"/>
      <c r="G118" s="29"/>
    </row>
    <row r="119" spans="1:7" ht="14.45" customHeight="1">
      <c r="A119" s="29"/>
      <c r="B119" s="89" t="s">
        <v>51</v>
      </c>
      <c r="C119" s="55" t="s">
        <v>138</v>
      </c>
      <c r="D119" s="58">
        <v>200</v>
      </c>
      <c r="E119" s="57">
        <v>1.2999999999999999E-2</v>
      </c>
      <c r="F119" s="29"/>
      <c r="G119" s="29"/>
    </row>
    <row r="120" spans="1:7" ht="14.45" customHeight="1">
      <c r="A120" s="29"/>
      <c r="B120" s="90"/>
      <c r="C120" s="55" t="s">
        <v>139</v>
      </c>
      <c r="D120" s="58">
        <v>333</v>
      </c>
      <c r="E120" s="57">
        <v>2.1999999999999999E-2</v>
      </c>
      <c r="F120" s="29"/>
      <c r="G120" s="29"/>
    </row>
    <row r="121" spans="1:7" ht="14.45" customHeight="1">
      <c r="A121" s="29"/>
      <c r="B121" s="91"/>
      <c r="C121" s="72" t="s">
        <v>284</v>
      </c>
      <c r="D121" s="73">
        <v>533</v>
      </c>
      <c r="E121" s="71">
        <v>3.5000000000000003E-2</v>
      </c>
      <c r="F121" s="29"/>
      <c r="G121" s="29"/>
    </row>
    <row r="122" spans="1:7" ht="14.45" customHeight="1">
      <c r="A122" s="29"/>
      <c r="B122" s="89" t="s">
        <v>67</v>
      </c>
      <c r="C122" s="55" t="s">
        <v>138</v>
      </c>
      <c r="D122" s="58">
        <v>55</v>
      </c>
      <c r="E122" s="57">
        <v>4.0000000000000001E-3</v>
      </c>
      <c r="F122" s="29"/>
      <c r="G122" s="29"/>
    </row>
    <row r="123" spans="1:7" ht="14.45" customHeight="1">
      <c r="A123" s="29"/>
      <c r="B123" s="90"/>
      <c r="C123" s="55" t="s">
        <v>139</v>
      </c>
      <c r="D123" s="58">
        <v>61</v>
      </c>
      <c r="E123" s="57">
        <v>4.0000000000000001E-3</v>
      </c>
      <c r="F123" s="29"/>
      <c r="G123" s="29"/>
    </row>
    <row r="124" spans="1:7" ht="14.45" customHeight="1">
      <c r="A124" s="29"/>
      <c r="B124" s="91"/>
      <c r="C124" s="72" t="s">
        <v>284</v>
      </c>
      <c r="D124" s="73">
        <v>116</v>
      </c>
      <c r="E124" s="71">
        <v>8.0000000000000002E-3</v>
      </c>
      <c r="F124" s="29"/>
      <c r="G124" s="29"/>
    </row>
    <row r="125" spans="1:7" ht="14.45" customHeight="1">
      <c r="A125" s="29"/>
      <c r="B125" s="89" t="s">
        <v>45</v>
      </c>
      <c r="C125" s="55" t="s">
        <v>138</v>
      </c>
      <c r="D125" s="58">
        <v>406</v>
      </c>
      <c r="E125" s="57">
        <v>2.5999999999999999E-2</v>
      </c>
      <c r="F125" s="29"/>
      <c r="G125" s="29"/>
    </row>
    <row r="126" spans="1:7" ht="14.45" customHeight="1">
      <c r="A126" s="29"/>
      <c r="B126" s="90"/>
      <c r="C126" s="55" t="s">
        <v>139</v>
      </c>
      <c r="D126" s="58">
        <v>658</v>
      </c>
      <c r="E126" s="57">
        <v>4.2999999999999997E-2</v>
      </c>
      <c r="F126" s="29"/>
      <c r="G126" s="29"/>
    </row>
    <row r="127" spans="1:7" ht="14.45" customHeight="1">
      <c r="A127" s="29"/>
      <c r="B127" s="91"/>
      <c r="C127" s="72" t="s">
        <v>284</v>
      </c>
      <c r="D127" s="73">
        <v>1064</v>
      </c>
      <c r="E127" s="71">
        <v>6.9000000000000006E-2</v>
      </c>
      <c r="F127" s="29"/>
      <c r="G127" s="29"/>
    </row>
    <row r="128" spans="1:7" ht="14.45" customHeight="1">
      <c r="A128" s="29"/>
      <c r="B128" s="89" t="s">
        <v>68</v>
      </c>
      <c r="C128" s="55" t="s">
        <v>138</v>
      </c>
      <c r="D128" s="58">
        <v>82</v>
      </c>
      <c r="E128" s="57">
        <v>5.0000000000000001E-3</v>
      </c>
      <c r="F128" s="29"/>
      <c r="G128" s="29"/>
    </row>
    <row r="129" spans="1:7" ht="14.45" customHeight="1">
      <c r="A129" s="29"/>
      <c r="B129" s="90"/>
      <c r="C129" s="55" t="s">
        <v>139</v>
      </c>
      <c r="D129" s="58">
        <v>86</v>
      </c>
      <c r="E129" s="57">
        <v>6.0000000000000001E-3</v>
      </c>
      <c r="F129" s="29"/>
      <c r="G129" s="29"/>
    </row>
    <row r="130" spans="1:7" ht="14.45" customHeight="1">
      <c r="A130" s="29"/>
      <c r="B130" s="91"/>
      <c r="C130" s="72" t="s">
        <v>284</v>
      </c>
      <c r="D130" s="73">
        <v>168</v>
      </c>
      <c r="E130" s="71">
        <v>1.0999999999999999E-2</v>
      </c>
      <c r="F130" s="29"/>
      <c r="G130" s="29"/>
    </row>
    <row r="131" spans="1:7" ht="14.45" customHeight="1">
      <c r="A131" s="29"/>
      <c r="B131" s="89" t="s">
        <v>78</v>
      </c>
      <c r="C131" s="55" t="s">
        <v>138</v>
      </c>
      <c r="D131" s="58">
        <v>35</v>
      </c>
      <c r="E131" s="57">
        <v>2E-3</v>
      </c>
      <c r="F131" s="29"/>
      <c r="G131" s="29"/>
    </row>
    <row r="132" spans="1:7" ht="14.45" customHeight="1">
      <c r="A132" s="29"/>
      <c r="B132" s="90"/>
      <c r="C132" s="55" t="s">
        <v>139</v>
      </c>
      <c r="D132" s="58">
        <v>36</v>
      </c>
      <c r="E132" s="57">
        <v>2E-3</v>
      </c>
      <c r="F132" s="29"/>
      <c r="G132" s="29"/>
    </row>
    <row r="133" spans="1:7" ht="14.45" customHeight="1">
      <c r="A133" s="29"/>
      <c r="B133" s="91"/>
      <c r="C133" s="72" t="s">
        <v>284</v>
      </c>
      <c r="D133" s="73">
        <v>71</v>
      </c>
      <c r="E133" s="71">
        <v>5.0000000000000001E-3</v>
      </c>
      <c r="F133" s="29"/>
      <c r="G133" s="29"/>
    </row>
    <row r="134" spans="1:7" ht="14.45" customHeight="1">
      <c r="A134" s="29"/>
      <c r="B134" s="89" t="s">
        <v>52</v>
      </c>
      <c r="C134" s="55" t="s">
        <v>138</v>
      </c>
      <c r="D134" s="58">
        <v>235</v>
      </c>
      <c r="E134" s="57">
        <v>1.4999999999999999E-2</v>
      </c>
      <c r="F134" s="29"/>
      <c r="G134" s="29"/>
    </row>
    <row r="135" spans="1:7" ht="14.45" customHeight="1">
      <c r="A135" s="29"/>
      <c r="B135" s="90"/>
      <c r="C135" s="55" t="s">
        <v>139</v>
      </c>
      <c r="D135" s="58">
        <v>222</v>
      </c>
      <c r="E135" s="57">
        <v>1.4E-2</v>
      </c>
      <c r="F135" s="29"/>
      <c r="G135" s="29"/>
    </row>
    <row r="136" spans="1:7" ht="14.45" customHeight="1">
      <c r="A136" s="29"/>
      <c r="B136" s="91"/>
      <c r="C136" s="72" t="s">
        <v>284</v>
      </c>
      <c r="D136" s="73">
        <v>457</v>
      </c>
      <c r="E136" s="71">
        <v>0.03</v>
      </c>
      <c r="F136" s="29"/>
      <c r="G136" s="29"/>
    </row>
    <row r="137" spans="1:7" ht="14.45" customHeight="1">
      <c r="A137" s="29"/>
      <c r="B137" s="89" t="s">
        <v>55</v>
      </c>
      <c r="C137" s="55" t="s">
        <v>138</v>
      </c>
      <c r="D137" s="58">
        <v>202</v>
      </c>
      <c r="E137" s="57">
        <v>1.2999999999999999E-2</v>
      </c>
      <c r="F137" s="29"/>
      <c r="G137" s="29"/>
    </row>
    <row r="138" spans="1:7" ht="14.45" customHeight="1">
      <c r="A138" s="29"/>
      <c r="B138" s="90"/>
      <c r="C138" s="55" t="s">
        <v>139</v>
      </c>
      <c r="D138" s="58">
        <v>197</v>
      </c>
      <c r="E138" s="57">
        <v>1.2999999999999999E-2</v>
      </c>
      <c r="F138" s="29"/>
      <c r="G138" s="29"/>
    </row>
    <row r="139" spans="1:7" ht="14.45" customHeight="1">
      <c r="A139" s="29"/>
      <c r="B139" s="91"/>
      <c r="C139" s="72" t="s">
        <v>284</v>
      </c>
      <c r="D139" s="73">
        <v>399</v>
      </c>
      <c r="E139" s="71">
        <v>2.5999999999999999E-2</v>
      </c>
      <c r="F139" s="29"/>
      <c r="G139" s="29"/>
    </row>
    <row r="140" spans="1:7" ht="14.45" customHeight="1">
      <c r="A140" s="29"/>
      <c r="B140" s="89" t="s">
        <v>63</v>
      </c>
      <c r="C140" s="55" t="s">
        <v>138</v>
      </c>
      <c r="D140" s="58">
        <v>58</v>
      </c>
      <c r="E140" s="57">
        <v>4.0000000000000001E-3</v>
      </c>
      <c r="F140" s="29"/>
      <c r="G140" s="29"/>
    </row>
    <row r="141" spans="1:7" ht="14.45" customHeight="1">
      <c r="A141" s="29"/>
      <c r="B141" s="90"/>
      <c r="C141" s="55" t="s">
        <v>139</v>
      </c>
      <c r="D141" s="58">
        <v>97</v>
      </c>
      <c r="E141" s="57">
        <v>6.0000000000000001E-3</v>
      </c>
      <c r="F141" s="29"/>
      <c r="G141" s="29"/>
    </row>
    <row r="142" spans="1:7" ht="14.45" customHeight="1">
      <c r="A142" s="29"/>
      <c r="B142" s="91"/>
      <c r="C142" s="72" t="s">
        <v>284</v>
      </c>
      <c r="D142" s="73">
        <v>155</v>
      </c>
      <c r="E142" s="71">
        <v>0.01</v>
      </c>
      <c r="F142" s="29"/>
      <c r="G142" s="29"/>
    </row>
    <row r="143" spans="1:7" ht="14.45" customHeight="1">
      <c r="A143" s="29"/>
      <c r="B143" s="89" t="s">
        <v>64</v>
      </c>
      <c r="C143" s="55" t="s">
        <v>138</v>
      </c>
      <c r="D143" s="58">
        <v>69</v>
      </c>
      <c r="E143" s="57">
        <v>4.0000000000000001E-3</v>
      </c>
      <c r="F143" s="29"/>
      <c r="G143" s="29"/>
    </row>
    <row r="144" spans="1:7" ht="14.45" customHeight="1">
      <c r="A144" s="29"/>
      <c r="B144" s="90"/>
      <c r="C144" s="55" t="s">
        <v>139</v>
      </c>
      <c r="D144" s="58">
        <v>96</v>
      </c>
      <c r="E144" s="57">
        <v>6.0000000000000001E-3</v>
      </c>
      <c r="F144" s="29"/>
      <c r="G144" s="29"/>
    </row>
    <row r="145" spans="1:7" ht="14.45" customHeight="1">
      <c r="A145" s="29"/>
      <c r="B145" s="91"/>
      <c r="C145" s="72" t="s">
        <v>284</v>
      </c>
      <c r="D145" s="73">
        <v>165</v>
      </c>
      <c r="E145" s="71">
        <v>1.0999999999999999E-2</v>
      </c>
      <c r="F145" s="29"/>
      <c r="G145" s="29"/>
    </row>
    <row r="146" spans="1:7" ht="14.45" customHeight="1">
      <c r="A146" s="29"/>
      <c r="B146" s="89" t="s">
        <v>46</v>
      </c>
      <c r="C146" s="55" t="s">
        <v>138</v>
      </c>
      <c r="D146" s="58">
        <v>622</v>
      </c>
      <c r="E146" s="57">
        <v>0.04</v>
      </c>
      <c r="F146" s="29"/>
      <c r="G146" s="29"/>
    </row>
    <row r="147" spans="1:7" ht="14.45" customHeight="1">
      <c r="A147" s="29"/>
      <c r="B147" s="90"/>
      <c r="C147" s="55" t="s">
        <v>139</v>
      </c>
      <c r="D147" s="58">
        <v>662</v>
      </c>
      <c r="E147" s="57">
        <v>4.2999999999999997E-2</v>
      </c>
      <c r="F147" s="29"/>
      <c r="G147" s="29"/>
    </row>
    <row r="148" spans="1:7" ht="14.45" customHeight="1">
      <c r="A148" s="29"/>
      <c r="B148" s="91"/>
      <c r="C148" s="72" t="s">
        <v>284</v>
      </c>
      <c r="D148" s="73">
        <v>1284</v>
      </c>
      <c r="E148" s="71">
        <v>8.3000000000000004E-2</v>
      </c>
      <c r="F148" s="29"/>
      <c r="G148" s="29"/>
    </row>
    <row r="149" spans="1:7" ht="14.45" customHeight="1">
      <c r="A149" s="29"/>
      <c r="B149" s="89" t="s">
        <v>80</v>
      </c>
      <c r="C149" s="55" t="s">
        <v>138</v>
      </c>
      <c r="D149" s="58">
        <v>20</v>
      </c>
      <c r="E149" s="57">
        <v>1E-3</v>
      </c>
      <c r="F149" s="29"/>
      <c r="G149" s="29"/>
    </row>
    <row r="150" spans="1:7" ht="14.45" customHeight="1">
      <c r="A150" s="29"/>
      <c r="B150" s="90"/>
      <c r="C150" s="55" t="s">
        <v>139</v>
      </c>
      <c r="D150" s="58">
        <v>38</v>
      </c>
      <c r="E150" s="57">
        <v>2E-3</v>
      </c>
      <c r="F150" s="29"/>
      <c r="G150" s="29"/>
    </row>
    <row r="151" spans="1:7" ht="14.45" customHeight="1">
      <c r="A151" s="29"/>
      <c r="B151" s="91"/>
      <c r="C151" s="72" t="s">
        <v>284</v>
      </c>
      <c r="D151" s="73">
        <v>58</v>
      </c>
      <c r="E151" s="71">
        <v>4.0000000000000001E-3</v>
      </c>
      <c r="F151" s="29"/>
      <c r="G151" s="29"/>
    </row>
    <row r="152" spans="1:7" ht="14.45" customHeight="1">
      <c r="A152" s="29"/>
      <c r="B152" s="89" t="s">
        <v>88</v>
      </c>
      <c r="C152" s="55" t="s">
        <v>138</v>
      </c>
      <c r="D152" s="58">
        <v>1</v>
      </c>
      <c r="E152" s="57">
        <v>0</v>
      </c>
      <c r="F152" s="29"/>
      <c r="G152" s="29"/>
    </row>
    <row r="153" spans="1:7" ht="14.45" customHeight="1">
      <c r="A153" s="29"/>
      <c r="B153" s="90"/>
      <c r="C153" s="55" t="s">
        <v>139</v>
      </c>
      <c r="D153" s="58">
        <v>11</v>
      </c>
      <c r="E153" s="57">
        <v>1E-3</v>
      </c>
      <c r="F153" s="29"/>
      <c r="G153" s="29"/>
    </row>
    <row r="154" spans="1:7" ht="14.45" customHeight="1">
      <c r="A154" s="29"/>
      <c r="B154" s="91"/>
      <c r="C154" s="72" t="s">
        <v>284</v>
      </c>
      <c r="D154" s="73">
        <v>12</v>
      </c>
      <c r="E154" s="71">
        <v>1E-3</v>
      </c>
      <c r="F154" s="29"/>
      <c r="G154" s="29"/>
    </row>
    <row r="155" spans="1:7" ht="14.45" customHeight="1">
      <c r="A155" s="29"/>
      <c r="B155" s="89" t="s">
        <v>74</v>
      </c>
      <c r="C155" s="55" t="s">
        <v>138</v>
      </c>
      <c r="D155" s="58">
        <v>48</v>
      </c>
      <c r="E155" s="57">
        <v>3.0000000000000001E-3</v>
      </c>
      <c r="F155" s="29"/>
      <c r="G155" s="29"/>
    </row>
    <row r="156" spans="1:7" ht="14.45" customHeight="1">
      <c r="A156" s="29"/>
      <c r="B156" s="90"/>
      <c r="C156" s="55" t="s">
        <v>139</v>
      </c>
      <c r="D156" s="58">
        <v>61</v>
      </c>
      <c r="E156" s="57">
        <v>4.0000000000000001E-3</v>
      </c>
      <c r="F156" s="29"/>
      <c r="G156" s="29"/>
    </row>
    <row r="157" spans="1:7" ht="14.45" customHeight="1">
      <c r="A157" s="29"/>
      <c r="B157" s="91"/>
      <c r="C157" s="72" t="s">
        <v>284</v>
      </c>
      <c r="D157" s="73">
        <v>109</v>
      </c>
      <c r="E157" s="71">
        <v>7.0000000000000001E-3</v>
      </c>
      <c r="F157" s="29"/>
      <c r="G157" s="29"/>
    </row>
    <row r="158" spans="1:7" ht="14.45" customHeight="1">
      <c r="A158" s="29"/>
      <c r="B158" s="89" t="s">
        <v>91</v>
      </c>
      <c r="C158" s="55" t="s">
        <v>138</v>
      </c>
      <c r="D158" s="58">
        <v>1</v>
      </c>
      <c r="E158" s="57">
        <v>0</v>
      </c>
      <c r="F158" s="29"/>
      <c r="G158" s="29"/>
    </row>
    <row r="159" spans="1:7" ht="14.45" customHeight="1">
      <c r="A159" s="29"/>
      <c r="B159" s="90"/>
      <c r="C159" s="55" t="s">
        <v>139</v>
      </c>
      <c r="D159" s="58">
        <v>1</v>
      </c>
      <c r="E159" s="57">
        <v>0</v>
      </c>
      <c r="F159" s="29"/>
      <c r="G159" s="29"/>
    </row>
    <row r="160" spans="1:7" ht="14.45" customHeight="1">
      <c r="A160" s="29"/>
      <c r="B160" s="91"/>
      <c r="C160" s="72" t="s">
        <v>284</v>
      </c>
      <c r="D160" s="73">
        <v>2</v>
      </c>
      <c r="E160" s="71">
        <v>0</v>
      </c>
      <c r="F160" s="29"/>
      <c r="G160" s="29"/>
    </row>
    <row r="161" spans="1:7" ht="14.45" customHeight="1">
      <c r="A161" s="29"/>
      <c r="B161" s="92" t="s">
        <v>288</v>
      </c>
      <c r="C161" s="92"/>
      <c r="D161" s="41">
        <v>15448</v>
      </c>
      <c r="E161" s="60">
        <v>1</v>
      </c>
      <c r="F161" s="29"/>
      <c r="G161" s="29"/>
    </row>
    <row r="162" spans="1:7" ht="14.45" customHeight="1">
      <c r="A162" s="29"/>
      <c r="B162" s="43"/>
      <c r="C162" s="43"/>
      <c r="D162" s="51"/>
      <c r="E162" s="43"/>
      <c r="F162" s="29"/>
      <c r="G162" s="29"/>
    </row>
    <row r="163" spans="1:7" ht="14.45" customHeight="1">
      <c r="A163" s="29"/>
      <c r="B163" s="32" t="s">
        <v>254</v>
      </c>
      <c r="C163" s="43"/>
      <c r="D163" s="51"/>
      <c r="E163" s="43"/>
      <c r="F163" s="29"/>
      <c r="G163" s="29"/>
    </row>
    <row r="164" spans="1:7" ht="14.45" customHeight="1">
      <c r="A164" s="29"/>
      <c r="B164" s="34" t="s">
        <v>18</v>
      </c>
      <c r="C164" s="43"/>
      <c r="D164" s="51"/>
      <c r="E164" s="43"/>
      <c r="F164" s="29"/>
      <c r="G164" s="29"/>
    </row>
    <row r="165" spans="1:7" ht="14.45" customHeight="1">
      <c r="A165" s="29"/>
      <c r="B165" s="35" t="s">
        <v>94</v>
      </c>
      <c r="C165" s="43"/>
      <c r="D165" s="51"/>
      <c r="E165" s="43"/>
      <c r="F165" s="29"/>
      <c r="G165" s="29"/>
    </row>
    <row r="166" spans="1:7" ht="14.45" customHeight="1">
      <c r="A166" s="29"/>
      <c r="B166" s="32" t="s">
        <v>17</v>
      </c>
      <c r="C166" s="43"/>
      <c r="D166" s="51"/>
      <c r="E166" s="43"/>
      <c r="F166" s="29"/>
      <c r="G166" s="29"/>
    </row>
    <row r="167" spans="1:7" ht="14.45" customHeight="1">
      <c r="A167" s="29"/>
      <c r="B167" s="32" t="s">
        <v>285</v>
      </c>
      <c r="C167" s="43"/>
      <c r="D167" s="51"/>
      <c r="E167" s="43"/>
      <c r="F167" s="29"/>
      <c r="G167" s="29"/>
    </row>
  </sheetData>
  <mergeCells count="52">
    <mergeCell ref="B50:B52"/>
    <mergeCell ref="B53:B55"/>
    <mergeCell ref="B56:B58"/>
    <mergeCell ref="B59:B61"/>
    <mergeCell ref="B62:B64"/>
    <mergeCell ref="B37:B39"/>
    <mergeCell ref="B40:B41"/>
    <mergeCell ref="B42:B44"/>
    <mergeCell ref="B45:B47"/>
    <mergeCell ref="B48:B49"/>
    <mergeCell ref="B161:C161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140:B142"/>
    <mergeCell ref="B158:B160"/>
    <mergeCell ref="B143:B145"/>
    <mergeCell ref="B146:B148"/>
    <mergeCell ref="B149:B151"/>
    <mergeCell ref="B152:B154"/>
    <mergeCell ref="B155:B15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54"/>
  <sheetViews>
    <sheetView showGridLines="0" view="pageBreakPreview" zoomScale="130" zoomScaleNormal="100" zoomScaleSheetLayoutView="130" workbookViewId="0">
      <selection activeCell="K4" sqref="K4"/>
    </sheetView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5.7109375" style="15" customWidth="1"/>
    <col min="7" max="7" width="1.1406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F3" s="21"/>
    </row>
    <row r="4" spans="1:7" ht="30" customHeight="1">
      <c r="B4" s="27"/>
      <c r="C4" s="17"/>
      <c r="D4" s="15"/>
      <c r="F4" s="21"/>
    </row>
    <row r="5" spans="1:7" ht="15" customHeight="1">
      <c r="B5" s="27"/>
      <c r="C5" s="17"/>
      <c r="D5" s="15"/>
      <c r="F5" s="21"/>
    </row>
    <row r="6" spans="1:7" s="21" customFormat="1">
      <c r="B6" s="23"/>
      <c r="C6" s="20"/>
    </row>
    <row r="7" spans="1:7" s="21" customFormat="1" ht="12.75">
      <c r="A7" s="43"/>
      <c r="B7" s="42"/>
      <c r="C7" s="43"/>
      <c r="D7" s="43"/>
      <c r="E7" s="43"/>
      <c r="F7" s="43"/>
      <c r="G7" s="43"/>
    </row>
    <row r="8" spans="1:7" s="13" customFormat="1" ht="15" customHeight="1">
      <c r="A8" s="31"/>
      <c r="B8" s="88" t="s">
        <v>38</v>
      </c>
      <c r="C8" s="88"/>
      <c r="D8" s="88"/>
      <c r="E8" s="88"/>
      <c r="F8" s="31"/>
      <c r="G8" s="31"/>
    </row>
    <row r="9" spans="1:7" s="13" customFormat="1" ht="15" customHeight="1">
      <c r="A9" s="31"/>
      <c r="B9" s="88"/>
      <c r="C9" s="88"/>
      <c r="D9" s="88"/>
      <c r="E9" s="88"/>
      <c r="F9" s="49"/>
      <c r="G9" s="31"/>
    </row>
    <row r="10" spans="1:7" s="13" customFormat="1" ht="15" customHeight="1">
      <c r="A10" s="31"/>
      <c r="B10" s="88"/>
      <c r="C10" s="88"/>
      <c r="D10" s="88"/>
      <c r="E10" s="88"/>
      <c r="F10" s="31"/>
      <c r="G10" s="31"/>
    </row>
    <row r="11" spans="1:7" s="13" customFormat="1" ht="15" customHeight="1">
      <c r="A11" s="31"/>
      <c r="B11" s="50"/>
      <c r="C11" s="50"/>
      <c r="D11" s="50"/>
      <c r="E11" s="50"/>
      <c r="F11" s="31"/>
      <c r="G11" s="31"/>
    </row>
    <row r="12" spans="1:7" s="13" customFormat="1" ht="36.950000000000003" customHeight="1">
      <c r="A12" s="31"/>
      <c r="B12" s="76" t="s">
        <v>25</v>
      </c>
      <c r="C12" s="76" t="s">
        <v>29</v>
      </c>
      <c r="D12" s="76" t="s">
        <v>20</v>
      </c>
      <c r="E12" s="76" t="s">
        <v>19</v>
      </c>
      <c r="F12" s="31"/>
      <c r="G12" s="31"/>
    </row>
    <row r="13" spans="1:7" ht="14.45" customHeight="1">
      <c r="A13" s="29"/>
      <c r="B13" s="89" t="s">
        <v>95</v>
      </c>
      <c r="C13" s="55" t="s">
        <v>138</v>
      </c>
      <c r="D13" s="58">
        <v>40</v>
      </c>
      <c r="E13" s="57">
        <v>3.0000000000000001E-3</v>
      </c>
      <c r="F13" s="29"/>
      <c r="G13" s="29"/>
    </row>
    <row r="14" spans="1:7" ht="14.45" customHeight="1">
      <c r="A14" s="29"/>
      <c r="B14" s="90"/>
      <c r="C14" s="55" t="s">
        <v>139</v>
      </c>
      <c r="D14" s="58">
        <v>58</v>
      </c>
      <c r="E14" s="57">
        <v>4.0000000000000001E-3</v>
      </c>
      <c r="F14" s="29"/>
      <c r="G14" s="29"/>
    </row>
    <row r="15" spans="1:7" ht="14.45" customHeight="1">
      <c r="A15" s="29"/>
      <c r="B15" s="91"/>
      <c r="C15" s="72" t="s">
        <v>284</v>
      </c>
      <c r="D15" s="73">
        <v>98</v>
      </c>
      <c r="E15" s="71">
        <v>6.0000000000000001E-3</v>
      </c>
      <c r="F15" s="29"/>
      <c r="G15" s="29"/>
    </row>
    <row r="16" spans="1:7" ht="14.45" customHeight="1">
      <c r="A16" s="29"/>
      <c r="B16" s="96" t="s">
        <v>96</v>
      </c>
      <c r="C16" s="77" t="s">
        <v>138</v>
      </c>
      <c r="D16" s="58">
        <v>167</v>
      </c>
      <c r="E16" s="57">
        <v>1.0999999999999999E-2</v>
      </c>
      <c r="F16" s="29"/>
      <c r="G16" s="29"/>
    </row>
    <row r="17" spans="1:7" ht="14.45" customHeight="1">
      <c r="A17" s="29"/>
      <c r="B17" s="97"/>
      <c r="C17" s="77" t="s">
        <v>139</v>
      </c>
      <c r="D17" s="58">
        <v>215</v>
      </c>
      <c r="E17" s="57">
        <v>1.4E-2</v>
      </c>
      <c r="F17" s="29"/>
      <c r="G17" s="29"/>
    </row>
    <row r="18" spans="1:7" ht="14.45" customHeight="1">
      <c r="A18" s="29"/>
      <c r="B18" s="98"/>
      <c r="C18" s="72" t="s">
        <v>284</v>
      </c>
      <c r="D18" s="73">
        <v>382</v>
      </c>
      <c r="E18" s="71">
        <v>2.5000000000000001E-2</v>
      </c>
      <c r="F18" s="29"/>
      <c r="G18" s="29"/>
    </row>
    <row r="19" spans="1:7" ht="14.45" customHeight="1">
      <c r="A19" s="29"/>
      <c r="B19" s="89" t="s">
        <v>97</v>
      </c>
      <c r="C19" s="55" t="s">
        <v>138</v>
      </c>
      <c r="D19" s="58">
        <v>46</v>
      </c>
      <c r="E19" s="57">
        <v>3.0000000000000001E-3</v>
      </c>
      <c r="F19" s="29"/>
      <c r="G19" s="29"/>
    </row>
    <row r="20" spans="1:7" ht="14.45" customHeight="1">
      <c r="A20" s="29"/>
      <c r="B20" s="90"/>
      <c r="C20" s="55" t="s">
        <v>139</v>
      </c>
      <c r="D20" s="58">
        <v>59</v>
      </c>
      <c r="E20" s="57">
        <v>4.0000000000000001E-3</v>
      </c>
      <c r="F20" s="29"/>
      <c r="G20" s="29"/>
    </row>
    <row r="21" spans="1:7" ht="14.45" customHeight="1">
      <c r="A21" s="29"/>
      <c r="B21" s="91"/>
      <c r="C21" s="72" t="s">
        <v>284</v>
      </c>
      <c r="D21" s="73">
        <v>105</v>
      </c>
      <c r="E21" s="71">
        <v>7.0000000000000001E-3</v>
      </c>
      <c r="F21" s="29"/>
      <c r="G21" s="29"/>
    </row>
    <row r="22" spans="1:7" ht="14.45" customHeight="1">
      <c r="A22" s="29"/>
      <c r="B22" s="89" t="s">
        <v>98</v>
      </c>
      <c r="C22" s="55" t="s">
        <v>138</v>
      </c>
      <c r="D22" s="56">
        <v>2040</v>
      </c>
      <c r="E22" s="57">
        <v>0.13200000000000001</v>
      </c>
      <c r="F22" s="29"/>
      <c r="G22" s="29"/>
    </row>
    <row r="23" spans="1:7" ht="14.45" customHeight="1">
      <c r="A23" s="29"/>
      <c r="B23" s="90"/>
      <c r="C23" s="55" t="s">
        <v>139</v>
      </c>
      <c r="D23" s="56">
        <v>2193</v>
      </c>
      <c r="E23" s="57">
        <v>0.14199999999999999</v>
      </c>
      <c r="F23" s="29"/>
      <c r="G23" s="29"/>
    </row>
    <row r="24" spans="1:7" ht="14.45" customHeight="1">
      <c r="A24" s="29"/>
      <c r="B24" s="91"/>
      <c r="C24" s="72" t="s">
        <v>284</v>
      </c>
      <c r="D24" s="73">
        <v>4233</v>
      </c>
      <c r="E24" s="71">
        <v>0.27400000000000002</v>
      </c>
      <c r="F24" s="29"/>
      <c r="G24" s="29"/>
    </row>
    <row r="25" spans="1:7" ht="14.45" customHeight="1">
      <c r="A25" s="29"/>
      <c r="B25" s="89" t="s">
        <v>99</v>
      </c>
      <c r="C25" s="55" t="s">
        <v>138</v>
      </c>
      <c r="D25" s="58">
        <v>83</v>
      </c>
      <c r="E25" s="57">
        <v>5.0000000000000001E-3</v>
      </c>
      <c r="F25" s="29"/>
      <c r="G25" s="29"/>
    </row>
    <row r="26" spans="1:7" ht="14.45" customHeight="1">
      <c r="A26" s="29"/>
      <c r="B26" s="90"/>
      <c r="C26" s="55" t="s">
        <v>139</v>
      </c>
      <c r="D26" s="58">
        <v>118</v>
      </c>
      <c r="E26" s="57">
        <v>8.0000000000000002E-3</v>
      </c>
      <c r="F26" s="29"/>
      <c r="G26" s="29"/>
    </row>
    <row r="27" spans="1:7" ht="14.45" customHeight="1">
      <c r="A27" s="29"/>
      <c r="B27" s="91"/>
      <c r="C27" s="72" t="s">
        <v>284</v>
      </c>
      <c r="D27" s="73">
        <v>201</v>
      </c>
      <c r="E27" s="71">
        <v>1.2999999999999999E-2</v>
      </c>
      <c r="F27" s="29"/>
      <c r="G27" s="29"/>
    </row>
    <row r="28" spans="1:7" ht="14.45" customHeight="1">
      <c r="A28" s="29"/>
      <c r="B28" s="89" t="s">
        <v>100</v>
      </c>
      <c r="C28" s="55" t="s">
        <v>138</v>
      </c>
      <c r="D28" s="58">
        <v>26</v>
      </c>
      <c r="E28" s="57">
        <v>2E-3</v>
      </c>
      <c r="F28" s="29"/>
      <c r="G28" s="29"/>
    </row>
    <row r="29" spans="1:7" ht="14.45" customHeight="1">
      <c r="A29" s="29"/>
      <c r="B29" s="90"/>
      <c r="C29" s="55" t="s">
        <v>139</v>
      </c>
      <c r="D29" s="58">
        <v>46</v>
      </c>
      <c r="E29" s="57">
        <v>3.0000000000000001E-3</v>
      </c>
      <c r="F29" s="29"/>
      <c r="G29" s="29"/>
    </row>
    <row r="30" spans="1:7" ht="14.45" customHeight="1">
      <c r="A30" s="29"/>
      <c r="B30" s="91"/>
      <c r="C30" s="72" t="s">
        <v>284</v>
      </c>
      <c r="D30" s="73">
        <v>72</v>
      </c>
      <c r="E30" s="71">
        <v>5.0000000000000001E-3</v>
      </c>
      <c r="F30" s="29"/>
      <c r="G30" s="29"/>
    </row>
    <row r="31" spans="1:7" ht="14.45" customHeight="1">
      <c r="A31" s="29"/>
      <c r="B31" s="89" t="s">
        <v>101</v>
      </c>
      <c r="C31" s="55" t="s">
        <v>138</v>
      </c>
      <c r="D31" s="58">
        <v>28</v>
      </c>
      <c r="E31" s="57">
        <v>2E-3</v>
      </c>
      <c r="F31" s="29"/>
      <c r="G31" s="29"/>
    </row>
    <row r="32" spans="1:7" ht="14.45" customHeight="1">
      <c r="A32" s="29"/>
      <c r="B32" s="90"/>
      <c r="C32" s="55" t="s">
        <v>139</v>
      </c>
      <c r="D32" s="58">
        <v>32</v>
      </c>
      <c r="E32" s="57">
        <v>2E-3</v>
      </c>
      <c r="F32" s="29"/>
      <c r="G32" s="29"/>
    </row>
    <row r="33" spans="1:7" ht="14.45" customHeight="1">
      <c r="A33" s="29"/>
      <c r="B33" s="91"/>
      <c r="C33" s="72" t="s">
        <v>284</v>
      </c>
      <c r="D33" s="73">
        <v>60</v>
      </c>
      <c r="E33" s="71">
        <v>4.0000000000000001E-3</v>
      </c>
      <c r="F33" s="29"/>
      <c r="G33" s="29"/>
    </row>
    <row r="34" spans="1:7" ht="14.45" customHeight="1">
      <c r="A34" s="29"/>
      <c r="B34" s="89" t="s">
        <v>102</v>
      </c>
      <c r="C34" s="55" t="s">
        <v>138</v>
      </c>
      <c r="D34" s="58">
        <v>3</v>
      </c>
      <c r="E34" s="57">
        <v>0</v>
      </c>
      <c r="F34" s="29"/>
      <c r="G34" s="29"/>
    </row>
    <row r="35" spans="1:7" ht="14.45" customHeight="1">
      <c r="A35" s="29"/>
      <c r="B35" s="90"/>
      <c r="C35" s="55" t="s">
        <v>139</v>
      </c>
      <c r="D35" s="58">
        <v>3</v>
      </c>
      <c r="E35" s="57">
        <v>0</v>
      </c>
      <c r="F35" s="29"/>
      <c r="G35" s="29"/>
    </row>
    <row r="36" spans="1:7" ht="14.45" customHeight="1">
      <c r="A36" s="29"/>
      <c r="B36" s="91"/>
      <c r="C36" s="72" t="s">
        <v>284</v>
      </c>
      <c r="D36" s="73">
        <v>6</v>
      </c>
      <c r="E36" s="71">
        <v>0</v>
      </c>
      <c r="F36" s="29"/>
      <c r="G36" s="29"/>
    </row>
    <row r="37" spans="1:7" ht="14.45" customHeight="1">
      <c r="A37" s="29"/>
      <c r="B37" s="89" t="s">
        <v>103</v>
      </c>
      <c r="C37" s="55" t="s">
        <v>138</v>
      </c>
      <c r="D37" s="58">
        <v>103</v>
      </c>
      <c r="E37" s="57">
        <v>7.0000000000000001E-3</v>
      </c>
      <c r="F37" s="29"/>
      <c r="G37" s="29"/>
    </row>
    <row r="38" spans="1:7" ht="14.45" customHeight="1">
      <c r="A38" s="29"/>
      <c r="B38" s="90"/>
      <c r="C38" s="55" t="s">
        <v>139</v>
      </c>
      <c r="D38" s="58">
        <v>141</v>
      </c>
      <c r="E38" s="57">
        <v>8.9999999999999993E-3</v>
      </c>
      <c r="F38" s="29"/>
      <c r="G38" s="29"/>
    </row>
    <row r="39" spans="1:7" ht="14.45" customHeight="1">
      <c r="A39" s="29"/>
      <c r="B39" s="91"/>
      <c r="C39" s="72" t="s">
        <v>284</v>
      </c>
      <c r="D39" s="73">
        <v>244</v>
      </c>
      <c r="E39" s="71">
        <v>1.6E-2</v>
      </c>
      <c r="F39" s="29"/>
      <c r="G39" s="29"/>
    </row>
    <row r="40" spans="1:7" ht="14.45" customHeight="1">
      <c r="A40" s="29"/>
      <c r="B40" s="89" t="s">
        <v>104</v>
      </c>
      <c r="C40" s="55" t="s">
        <v>138</v>
      </c>
      <c r="D40" s="58">
        <v>126</v>
      </c>
      <c r="E40" s="57">
        <v>8.0000000000000002E-3</v>
      </c>
      <c r="F40" s="29"/>
      <c r="G40" s="29"/>
    </row>
    <row r="41" spans="1:7" ht="14.45" customHeight="1">
      <c r="A41" s="29"/>
      <c r="B41" s="90"/>
      <c r="C41" s="55" t="s">
        <v>139</v>
      </c>
      <c r="D41" s="58">
        <v>188</v>
      </c>
      <c r="E41" s="57">
        <v>1.2E-2</v>
      </c>
      <c r="F41" s="29"/>
      <c r="G41" s="29"/>
    </row>
    <row r="42" spans="1:7" ht="14.45" customHeight="1">
      <c r="A42" s="29"/>
      <c r="B42" s="91"/>
      <c r="C42" s="72" t="s">
        <v>284</v>
      </c>
      <c r="D42" s="73">
        <v>314</v>
      </c>
      <c r="E42" s="71">
        <v>0.02</v>
      </c>
      <c r="F42" s="29"/>
      <c r="G42" s="29"/>
    </row>
    <row r="43" spans="1:7" ht="14.45" customHeight="1">
      <c r="A43" s="29"/>
      <c r="B43" s="89" t="s">
        <v>255</v>
      </c>
      <c r="C43" s="55" t="s">
        <v>139</v>
      </c>
      <c r="D43" s="58">
        <v>3</v>
      </c>
      <c r="E43" s="57">
        <v>0</v>
      </c>
      <c r="F43" s="29"/>
      <c r="G43" s="29"/>
    </row>
    <row r="44" spans="1:7" ht="14.45" customHeight="1">
      <c r="A44" s="29"/>
      <c r="B44" s="91"/>
      <c r="C44" s="72" t="s">
        <v>284</v>
      </c>
      <c r="D44" s="73">
        <v>3</v>
      </c>
      <c r="E44" s="71">
        <v>0</v>
      </c>
      <c r="F44" s="29"/>
      <c r="G44" s="29"/>
    </row>
    <row r="45" spans="1:7" ht="14.45" customHeight="1">
      <c r="A45" s="29"/>
      <c r="B45" s="89" t="s">
        <v>105</v>
      </c>
      <c r="C45" s="55" t="s">
        <v>138</v>
      </c>
      <c r="D45" s="58">
        <v>21</v>
      </c>
      <c r="E45" s="57">
        <v>1E-3</v>
      </c>
      <c r="F45" s="29"/>
      <c r="G45" s="29"/>
    </row>
    <row r="46" spans="1:7" ht="14.45" customHeight="1">
      <c r="A46" s="29"/>
      <c r="B46" s="90"/>
      <c r="C46" s="55" t="s">
        <v>139</v>
      </c>
      <c r="D46" s="58">
        <v>40</v>
      </c>
      <c r="E46" s="57">
        <v>3.0000000000000001E-3</v>
      </c>
      <c r="F46" s="29"/>
      <c r="G46" s="29"/>
    </row>
    <row r="47" spans="1:7" ht="14.45" customHeight="1">
      <c r="A47" s="29"/>
      <c r="B47" s="91"/>
      <c r="C47" s="72" t="s">
        <v>284</v>
      </c>
      <c r="D47" s="73">
        <v>61</v>
      </c>
      <c r="E47" s="71">
        <v>4.0000000000000001E-3</v>
      </c>
      <c r="F47" s="29"/>
      <c r="G47" s="29"/>
    </row>
    <row r="48" spans="1:7" ht="14.45" customHeight="1">
      <c r="A48" s="29"/>
      <c r="B48" s="89" t="s">
        <v>106</v>
      </c>
      <c r="C48" s="55" t="s">
        <v>138</v>
      </c>
      <c r="D48" s="56">
        <v>1212</v>
      </c>
      <c r="E48" s="57">
        <v>7.8E-2</v>
      </c>
      <c r="F48" s="29"/>
      <c r="G48" s="29"/>
    </row>
    <row r="49" spans="1:7" ht="14.45" customHeight="1">
      <c r="A49" s="29"/>
      <c r="B49" s="90"/>
      <c r="C49" s="55" t="s">
        <v>139</v>
      </c>
      <c r="D49" s="56">
        <v>1496</v>
      </c>
      <c r="E49" s="57">
        <v>9.7000000000000003E-2</v>
      </c>
      <c r="F49" s="29"/>
      <c r="G49" s="29"/>
    </row>
    <row r="50" spans="1:7" ht="14.45" customHeight="1">
      <c r="A50" s="29"/>
      <c r="B50" s="91"/>
      <c r="C50" s="72" t="s">
        <v>284</v>
      </c>
      <c r="D50" s="73">
        <v>2708</v>
      </c>
      <c r="E50" s="71">
        <v>0.17499999999999999</v>
      </c>
      <c r="F50" s="29"/>
      <c r="G50" s="29"/>
    </row>
    <row r="51" spans="1:7" ht="14.45" customHeight="1">
      <c r="A51" s="29"/>
      <c r="B51" s="89" t="s">
        <v>107</v>
      </c>
      <c r="C51" s="55" t="s">
        <v>138</v>
      </c>
      <c r="D51" s="58">
        <v>170</v>
      </c>
      <c r="E51" s="57">
        <v>1.0999999999999999E-2</v>
      </c>
      <c r="F51" s="29"/>
      <c r="G51" s="29"/>
    </row>
    <row r="52" spans="1:7" ht="14.45" customHeight="1">
      <c r="A52" s="29"/>
      <c r="B52" s="90"/>
      <c r="C52" s="55" t="s">
        <v>139</v>
      </c>
      <c r="D52" s="58">
        <v>184</v>
      </c>
      <c r="E52" s="57">
        <v>1.2E-2</v>
      </c>
      <c r="F52" s="29"/>
      <c r="G52" s="29"/>
    </row>
    <row r="53" spans="1:7" ht="14.45" customHeight="1">
      <c r="A53" s="29"/>
      <c r="B53" s="91"/>
      <c r="C53" s="72" t="s">
        <v>284</v>
      </c>
      <c r="D53" s="73">
        <v>354</v>
      </c>
      <c r="E53" s="71">
        <v>2.3E-2</v>
      </c>
      <c r="F53" s="29"/>
      <c r="G53" s="29"/>
    </row>
    <row r="54" spans="1:7" ht="14.45" customHeight="1">
      <c r="A54" s="29"/>
      <c r="B54" s="89" t="s">
        <v>108</v>
      </c>
      <c r="C54" s="55" t="s">
        <v>138</v>
      </c>
      <c r="D54" s="58">
        <v>37</v>
      </c>
      <c r="E54" s="57">
        <v>2E-3</v>
      </c>
      <c r="F54" s="29"/>
      <c r="G54" s="29"/>
    </row>
    <row r="55" spans="1:7" ht="14.45" customHeight="1">
      <c r="A55" s="29"/>
      <c r="B55" s="90"/>
      <c r="C55" s="55" t="s">
        <v>139</v>
      </c>
      <c r="D55" s="58">
        <v>47</v>
      </c>
      <c r="E55" s="57">
        <v>3.0000000000000001E-3</v>
      </c>
      <c r="F55" s="29"/>
      <c r="G55" s="29"/>
    </row>
    <row r="56" spans="1:7" ht="14.45" customHeight="1">
      <c r="A56" s="29"/>
      <c r="B56" s="91"/>
      <c r="C56" s="72" t="s">
        <v>284</v>
      </c>
      <c r="D56" s="73">
        <v>84</v>
      </c>
      <c r="E56" s="71">
        <v>5.0000000000000001E-3</v>
      </c>
      <c r="F56" s="29"/>
      <c r="G56" s="29"/>
    </row>
    <row r="57" spans="1:7" ht="14.45" customHeight="1">
      <c r="A57" s="29"/>
      <c r="B57" s="89" t="s">
        <v>109</v>
      </c>
      <c r="C57" s="55" t="s">
        <v>138</v>
      </c>
      <c r="D57" s="58">
        <v>18</v>
      </c>
      <c r="E57" s="57">
        <v>1E-3</v>
      </c>
      <c r="F57" s="29"/>
      <c r="G57" s="29"/>
    </row>
    <row r="58" spans="1:7" ht="14.45" customHeight="1">
      <c r="A58" s="29"/>
      <c r="B58" s="90"/>
      <c r="C58" s="55" t="s">
        <v>139</v>
      </c>
      <c r="D58" s="58">
        <v>21</v>
      </c>
      <c r="E58" s="57">
        <v>1E-3</v>
      </c>
      <c r="F58" s="29"/>
      <c r="G58" s="29"/>
    </row>
    <row r="59" spans="1:7" ht="14.45" customHeight="1">
      <c r="A59" s="29"/>
      <c r="B59" s="91"/>
      <c r="C59" s="72" t="s">
        <v>284</v>
      </c>
      <c r="D59" s="73">
        <v>39</v>
      </c>
      <c r="E59" s="71">
        <v>3.0000000000000001E-3</v>
      </c>
      <c r="F59" s="29"/>
      <c r="G59" s="29"/>
    </row>
    <row r="60" spans="1:7" ht="14.45" customHeight="1">
      <c r="A60" s="29"/>
      <c r="B60" s="89" t="s">
        <v>110</v>
      </c>
      <c r="C60" s="55" t="s">
        <v>138</v>
      </c>
      <c r="D60" s="58">
        <v>25</v>
      </c>
      <c r="E60" s="57">
        <v>2E-3</v>
      </c>
      <c r="F60" s="29"/>
      <c r="G60" s="29"/>
    </row>
    <row r="61" spans="1:7" ht="14.45" customHeight="1">
      <c r="A61" s="29"/>
      <c r="B61" s="90"/>
      <c r="C61" s="55" t="s">
        <v>139</v>
      </c>
      <c r="D61" s="58">
        <v>42</v>
      </c>
      <c r="E61" s="57">
        <v>3.0000000000000001E-3</v>
      </c>
      <c r="F61" s="29"/>
      <c r="G61" s="29"/>
    </row>
    <row r="62" spans="1:7" ht="14.45" customHeight="1">
      <c r="A62" s="29"/>
      <c r="B62" s="91"/>
      <c r="C62" s="72" t="s">
        <v>284</v>
      </c>
      <c r="D62" s="73">
        <v>67</v>
      </c>
      <c r="E62" s="71">
        <v>4.0000000000000001E-3</v>
      </c>
      <c r="F62" s="29"/>
      <c r="G62" s="29"/>
    </row>
    <row r="63" spans="1:7" ht="14.45" customHeight="1">
      <c r="A63" s="29"/>
      <c r="B63" s="89" t="s">
        <v>111</v>
      </c>
      <c r="C63" s="55" t="s">
        <v>138</v>
      </c>
      <c r="D63" s="58">
        <v>7</v>
      </c>
      <c r="E63" s="57">
        <v>0</v>
      </c>
      <c r="F63" s="29"/>
      <c r="G63" s="29"/>
    </row>
    <row r="64" spans="1:7" ht="14.45" customHeight="1">
      <c r="A64" s="29"/>
      <c r="B64" s="90"/>
      <c r="C64" s="55" t="s">
        <v>139</v>
      </c>
      <c r="D64" s="58">
        <v>10</v>
      </c>
      <c r="E64" s="57">
        <v>1E-3</v>
      </c>
      <c r="F64" s="29"/>
      <c r="G64" s="29"/>
    </row>
    <row r="65" spans="1:7" ht="14.45" customHeight="1">
      <c r="A65" s="29"/>
      <c r="B65" s="91"/>
      <c r="C65" s="72" t="s">
        <v>284</v>
      </c>
      <c r="D65" s="73">
        <v>17</v>
      </c>
      <c r="E65" s="71">
        <v>1E-3</v>
      </c>
      <c r="F65" s="29"/>
      <c r="G65" s="29"/>
    </row>
    <row r="66" spans="1:7" ht="14.45" customHeight="1">
      <c r="A66" s="29"/>
      <c r="B66" s="89" t="s">
        <v>112</v>
      </c>
      <c r="C66" s="55" t="s">
        <v>139</v>
      </c>
      <c r="D66" s="58">
        <v>1</v>
      </c>
      <c r="E66" s="57">
        <v>0</v>
      </c>
      <c r="F66" s="29"/>
      <c r="G66" s="29"/>
    </row>
    <row r="67" spans="1:7" ht="14.45" customHeight="1">
      <c r="A67" s="29"/>
      <c r="B67" s="91"/>
      <c r="C67" s="72" t="s">
        <v>284</v>
      </c>
      <c r="D67" s="73">
        <v>1</v>
      </c>
      <c r="E67" s="71">
        <v>0</v>
      </c>
      <c r="F67" s="29"/>
      <c r="G67" s="29"/>
    </row>
    <row r="68" spans="1:7" ht="14.45" customHeight="1">
      <c r="A68" s="29"/>
      <c r="B68" s="89" t="s">
        <v>113</v>
      </c>
      <c r="C68" s="55" t="s">
        <v>138</v>
      </c>
      <c r="D68" s="58">
        <v>13</v>
      </c>
      <c r="E68" s="57">
        <v>1E-3</v>
      </c>
      <c r="F68" s="29"/>
      <c r="G68" s="29"/>
    </row>
    <row r="69" spans="1:7" ht="14.45" customHeight="1">
      <c r="A69" s="29"/>
      <c r="B69" s="90"/>
      <c r="C69" s="55" t="s">
        <v>139</v>
      </c>
      <c r="D69" s="58">
        <v>16</v>
      </c>
      <c r="E69" s="57">
        <v>1E-3</v>
      </c>
      <c r="F69" s="29"/>
      <c r="G69" s="29"/>
    </row>
    <row r="70" spans="1:7" ht="14.45" customHeight="1">
      <c r="A70" s="29"/>
      <c r="B70" s="91"/>
      <c r="C70" s="72" t="s">
        <v>284</v>
      </c>
      <c r="D70" s="73">
        <v>29</v>
      </c>
      <c r="E70" s="71">
        <v>2E-3</v>
      </c>
      <c r="F70" s="29"/>
      <c r="G70" s="29"/>
    </row>
    <row r="71" spans="1:7" ht="14.45" customHeight="1">
      <c r="A71" s="29"/>
      <c r="B71" s="89" t="s">
        <v>114</v>
      </c>
      <c r="C71" s="55" t="s">
        <v>138</v>
      </c>
      <c r="D71" s="58">
        <v>1</v>
      </c>
      <c r="E71" s="57">
        <v>0</v>
      </c>
      <c r="F71" s="29"/>
      <c r="G71" s="29"/>
    </row>
    <row r="72" spans="1:7" ht="14.45" customHeight="1">
      <c r="A72" s="29"/>
      <c r="B72" s="90"/>
      <c r="C72" s="55" t="s">
        <v>139</v>
      </c>
      <c r="D72" s="58">
        <v>2</v>
      </c>
      <c r="E72" s="57">
        <v>0</v>
      </c>
      <c r="F72" s="29"/>
      <c r="G72" s="29"/>
    </row>
    <row r="73" spans="1:7" ht="14.45" customHeight="1">
      <c r="A73" s="29"/>
      <c r="B73" s="91"/>
      <c r="C73" s="72" t="s">
        <v>284</v>
      </c>
      <c r="D73" s="73">
        <v>3</v>
      </c>
      <c r="E73" s="71">
        <v>0</v>
      </c>
      <c r="F73" s="29"/>
      <c r="G73" s="29"/>
    </row>
    <row r="74" spans="1:7" ht="14.45" customHeight="1">
      <c r="A74" s="29"/>
      <c r="B74" s="89" t="s">
        <v>115</v>
      </c>
      <c r="C74" s="55" t="s">
        <v>138</v>
      </c>
      <c r="D74" s="58">
        <v>54</v>
      </c>
      <c r="E74" s="57">
        <v>3.0000000000000001E-3</v>
      </c>
      <c r="F74" s="29"/>
      <c r="G74" s="29"/>
    </row>
    <row r="75" spans="1:7" ht="14.45" customHeight="1">
      <c r="A75" s="29"/>
      <c r="B75" s="90"/>
      <c r="C75" s="55" t="s">
        <v>139</v>
      </c>
      <c r="D75" s="58">
        <v>74</v>
      </c>
      <c r="E75" s="57">
        <v>5.0000000000000001E-3</v>
      </c>
      <c r="F75" s="29"/>
      <c r="G75" s="29"/>
    </row>
    <row r="76" spans="1:7" ht="14.45" customHeight="1">
      <c r="A76" s="29"/>
      <c r="B76" s="91"/>
      <c r="C76" s="72" t="s">
        <v>284</v>
      </c>
      <c r="D76" s="73">
        <v>128</v>
      </c>
      <c r="E76" s="71">
        <v>8.0000000000000002E-3</v>
      </c>
      <c r="F76" s="29"/>
      <c r="G76" s="29"/>
    </row>
    <row r="77" spans="1:7" ht="14.45" customHeight="1">
      <c r="A77" s="29"/>
      <c r="B77" s="89" t="s">
        <v>116</v>
      </c>
      <c r="C77" s="55" t="s">
        <v>138</v>
      </c>
      <c r="D77" s="58">
        <v>405</v>
      </c>
      <c r="E77" s="57">
        <v>2.5999999999999999E-2</v>
      </c>
      <c r="F77" s="29"/>
      <c r="G77" s="29"/>
    </row>
    <row r="78" spans="1:7" ht="14.45" customHeight="1">
      <c r="A78" s="29"/>
      <c r="B78" s="90"/>
      <c r="C78" s="55" t="s">
        <v>139</v>
      </c>
      <c r="D78" s="58">
        <v>656</v>
      </c>
      <c r="E78" s="57">
        <v>4.2000000000000003E-2</v>
      </c>
      <c r="F78" s="29"/>
      <c r="G78" s="29"/>
    </row>
    <row r="79" spans="1:7" ht="14.45" customHeight="1">
      <c r="A79" s="29"/>
      <c r="B79" s="91"/>
      <c r="C79" s="72" t="s">
        <v>284</v>
      </c>
      <c r="D79" s="73">
        <v>1061</v>
      </c>
      <c r="E79" s="71">
        <v>6.9000000000000006E-2</v>
      </c>
      <c r="F79" s="29"/>
      <c r="G79" s="29"/>
    </row>
    <row r="80" spans="1:7" ht="14.45" customHeight="1">
      <c r="A80" s="29"/>
      <c r="B80" s="89" t="s">
        <v>117</v>
      </c>
      <c r="C80" s="55" t="s">
        <v>138</v>
      </c>
      <c r="D80" s="58">
        <v>10</v>
      </c>
      <c r="E80" s="57">
        <v>1E-3</v>
      </c>
      <c r="F80" s="29"/>
      <c r="G80" s="29"/>
    </row>
    <row r="81" spans="1:7" ht="14.45" customHeight="1">
      <c r="A81" s="29"/>
      <c r="B81" s="90"/>
      <c r="C81" s="55" t="s">
        <v>139</v>
      </c>
      <c r="D81" s="58">
        <v>16</v>
      </c>
      <c r="E81" s="57">
        <v>1E-3</v>
      </c>
      <c r="F81" s="29"/>
      <c r="G81" s="29"/>
    </row>
    <row r="82" spans="1:7" ht="14.45" customHeight="1">
      <c r="A82" s="29"/>
      <c r="B82" s="91"/>
      <c r="C82" s="72" t="s">
        <v>284</v>
      </c>
      <c r="D82" s="73">
        <v>26</v>
      </c>
      <c r="E82" s="71">
        <v>2E-3</v>
      </c>
      <c r="F82" s="29"/>
      <c r="G82" s="29"/>
    </row>
    <row r="83" spans="1:7" ht="14.45" customHeight="1">
      <c r="A83" s="29"/>
      <c r="B83" s="89" t="s">
        <v>118</v>
      </c>
      <c r="C83" s="55" t="s">
        <v>138</v>
      </c>
      <c r="D83" s="58">
        <v>31</v>
      </c>
      <c r="E83" s="57">
        <v>2E-3</v>
      </c>
      <c r="F83" s="29"/>
      <c r="G83" s="29"/>
    </row>
    <row r="84" spans="1:7" ht="14.45" customHeight="1">
      <c r="A84" s="29"/>
      <c r="B84" s="90"/>
      <c r="C84" s="55" t="s">
        <v>139</v>
      </c>
      <c r="D84" s="58">
        <v>46</v>
      </c>
      <c r="E84" s="57">
        <v>3.0000000000000001E-3</v>
      </c>
      <c r="F84" s="29"/>
      <c r="G84" s="29"/>
    </row>
    <row r="85" spans="1:7" ht="14.45" customHeight="1">
      <c r="A85" s="29"/>
      <c r="B85" s="91"/>
      <c r="C85" s="72" t="s">
        <v>284</v>
      </c>
      <c r="D85" s="73">
        <v>77</v>
      </c>
      <c r="E85" s="71">
        <v>5.0000000000000001E-3</v>
      </c>
      <c r="F85" s="29"/>
      <c r="G85" s="29"/>
    </row>
    <row r="86" spans="1:7" ht="14.45" customHeight="1">
      <c r="A86" s="29"/>
      <c r="B86" s="89" t="s">
        <v>119</v>
      </c>
      <c r="C86" s="55" t="s">
        <v>138</v>
      </c>
      <c r="D86" s="58">
        <v>24</v>
      </c>
      <c r="E86" s="57">
        <v>2E-3</v>
      </c>
      <c r="F86" s="29"/>
      <c r="G86" s="29"/>
    </row>
    <row r="87" spans="1:7" ht="14.45" customHeight="1">
      <c r="A87" s="29"/>
      <c r="B87" s="90"/>
      <c r="C87" s="55" t="s">
        <v>139</v>
      </c>
      <c r="D87" s="58">
        <v>47</v>
      </c>
      <c r="E87" s="57">
        <v>3.0000000000000001E-3</v>
      </c>
      <c r="F87" s="29"/>
      <c r="G87" s="29"/>
    </row>
    <row r="88" spans="1:7" ht="14.45" customHeight="1">
      <c r="A88" s="29"/>
      <c r="B88" s="91"/>
      <c r="C88" s="72" t="s">
        <v>284</v>
      </c>
      <c r="D88" s="73">
        <v>71</v>
      </c>
      <c r="E88" s="71">
        <v>5.0000000000000001E-3</v>
      </c>
      <c r="F88" s="29"/>
      <c r="G88" s="29"/>
    </row>
    <row r="89" spans="1:7" ht="14.45" customHeight="1">
      <c r="A89" s="29"/>
      <c r="B89" s="89" t="s">
        <v>120</v>
      </c>
      <c r="C89" s="55" t="s">
        <v>138</v>
      </c>
      <c r="D89" s="58">
        <v>144</v>
      </c>
      <c r="E89" s="57">
        <v>8.9999999999999993E-3</v>
      </c>
      <c r="F89" s="29"/>
      <c r="G89" s="29"/>
    </row>
    <row r="90" spans="1:7" ht="14.45" customHeight="1">
      <c r="A90" s="29"/>
      <c r="B90" s="90"/>
      <c r="C90" s="55" t="s">
        <v>139</v>
      </c>
      <c r="D90" s="58">
        <v>160</v>
      </c>
      <c r="E90" s="57">
        <v>0.01</v>
      </c>
      <c r="F90" s="29"/>
      <c r="G90" s="29"/>
    </row>
    <row r="91" spans="1:7" ht="14.45" customHeight="1">
      <c r="A91" s="29"/>
      <c r="B91" s="91"/>
      <c r="C91" s="72" t="s">
        <v>284</v>
      </c>
      <c r="D91" s="73">
        <v>304</v>
      </c>
      <c r="E91" s="71">
        <v>0.02</v>
      </c>
      <c r="F91" s="29"/>
      <c r="G91" s="29"/>
    </row>
    <row r="92" spans="1:7" ht="14.45" customHeight="1">
      <c r="A92" s="29"/>
      <c r="B92" s="89" t="s">
        <v>256</v>
      </c>
      <c r="C92" s="55" t="s">
        <v>139</v>
      </c>
      <c r="D92" s="58">
        <v>1</v>
      </c>
      <c r="E92" s="57">
        <v>0</v>
      </c>
      <c r="F92" s="29"/>
      <c r="G92" s="29"/>
    </row>
    <row r="93" spans="1:7" ht="14.45" customHeight="1">
      <c r="A93" s="29"/>
      <c r="B93" s="91"/>
      <c r="C93" s="72" t="s">
        <v>284</v>
      </c>
      <c r="D93" s="73">
        <v>1</v>
      </c>
      <c r="E93" s="71">
        <v>0</v>
      </c>
      <c r="F93" s="29"/>
      <c r="G93" s="29"/>
    </row>
    <row r="94" spans="1:7" ht="14.45" customHeight="1">
      <c r="A94" s="29"/>
      <c r="B94" s="89" t="s">
        <v>121</v>
      </c>
      <c r="C94" s="55" t="s">
        <v>138</v>
      </c>
      <c r="D94" s="58">
        <v>122</v>
      </c>
      <c r="E94" s="57">
        <v>8.0000000000000002E-3</v>
      </c>
      <c r="F94" s="29"/>
      <c r="G94" s="29"/>
    </row>
    <row r="95" spans="1:7" ht="14.45" customHeight="1">
      <c r="A95" s="29"/>
      <c r="B95" s="90"/>
      <c r="C95" s="55" t="s">
        <v>139</v>
      </c>
      <c r="D95" s="58">
        <v>231</v>
      </c>
      <c r="E95" s="57">
        <v>1.4999999999999999E-2</v>
      </c>
      <c r="F95" s="29"/>
      <c r="G95" s="29"/>
    </row>
    <row r="96" spans="1:7" ht="14.45" customHeight="1">
      <c r="A96" s="29"/>
      <c r="B96" s="91"/>
      <c r="C96" s="72" t="s">
        <v>284</v>
      </c>
      <c r="D96" s="73">
        <v>353</v>
      </c>
      <c r="E96" s="71">
        <v>2.3E-2</v>
      </c>
      <c r="F96" s="29"/>
      <c r="G96" s="29"/>
    </row>
    <row r="97" spans="1:7" ht="14.45" customHeight="1">
      <c r="A97" s="29"/>
      <c r="B97" s="89" t="s">
        <v>122</v>
      </c>
      <c r="C97" s="55" t="s">
        <v>138</v>
      </c>
      <c r="D97" s="58">
        <v>11</v>
      </c>
      <c r="E97" s="57">
        <v>1E-3</v>
      </c>
      <c r="F97" s="29"/>
      <c r="G97" s="29"/>
    </row>
    <row r="98" spans="1:7" ht="14.45" customHeight="1">
      <c r="A98" s="29"/>
      <c r="B98" s="90"/>
      <c r="C98" s="55" t="s">
        <v>139</v>
      </c>
      <c r="D98" s="58">
        <v>9</v>
      </c>
      <c r="E98" s="57">
        <v>1E-3</v>
      </c>
      <c r="F98" s="29"/>
      <c r="G98" s="29"/>
    </row>
    <row r="99" spans="1:7" ht="14.45" customHeight="1">
      <c r="A99" s="29"/>
      <c r="B99" s="91"/>
      <c r="C99" s="72" t="s">
        <v>284</v>
      </c>
      <c r="D99" s="73">
        <v>20</v>
      </c>
      <c r="E99" s="71">
        <v>1E-3</v>
      </c>
      <c r="F99" s="29"/>
      <c r="G99" s="29"/>
    </row>
    <row r="100" spans="1:7" ht="14.45" customHeight="1">
      <c r="A100" s="29"/>
      <c r="B100" s="89" t="s">
        <v>123</v>
      </c>
      <c r="C100" s="55" t="s">
        <v>138</v>
      </c>
      <c r="D100" s="58">
        <v>373</v>
      </c>
      <c r="E100" s="57">
        <v>2.4E-2</v>
      </c>
      <c r="F100" s="29"/>
      <c r="G100" s="29"/>
    </row>
    <row r="101" spans="1:7" ht="14.45" customHeight="1">
      <c r="A101" s="29"/>
      <c r="B101" s="90"/>
      <c r="C101" s="55" t="s">
        <v>139</v>
      </c>
      <c r="D101" s="58">
        <v>741</v>
      </c>
      <c r="E101" s="57">
        <v>4.8000000000000001E-2</v>
      </c>
      <c r="F101" s="29"/>
      <c r="G101" s="29"/>
    </row>
    <row r="102" spans="1:7" ht="14.45" customHeight="1">
      <c r="A102" s="29"/>
      <c r="B102" s="91"/>
      <c r="C102" s="72" t="s">
        <v>284</v>
      </c>
      <c r="D102" s="73">
        <v>1114</v>
      </c>
      <c r="E102" s="71">
        <v>7.1999999999999995E-2</v>
      </c>
      <c r="F102" s="29"/>
      <c r="G102" s="29"/>
    </row>
    <row r="103" spans="1:7" ht="14.45" customHeight="1">
      <c r="A103" s="29"/>
      <c r="B103" s="89" t="s">
        <v>124</v>
      </c>
      <c r="C103" s="55" t="s">
        <v>138</v>
      </c>
      <c r="D103" s="58">
        <v>116</v>
      </c>
      <c r="E103" s="57">
        <v>8.0000000000000002E-3</v>
      </c>
      <c r="F103" s="29"/>
      <c r="G103" s="29"/>
    </row>
    <row r="104" spans="1:7" ht="14.45" customHeight="1">
      <c r="A104" s="29"/>
      <c r="B104" s="90"/>
      <c r="C104" s="55" t="s">
        <v>139</v>
      </c>
      <c r="D104" s="58">
        <v>195</v>
      </c>
      <c r="E104" s="57">
        <v>1.2999999999999999E-2</v>
      </c>
      <c r="F104" s="29"/>
      <c r="G104" s="29"/>
    </row>
    <row r="105" spans="1:7" ht="14.45" customHeight="1">
      <c r="A105" s="29"/>
      <c r="B105" s="91"/>
      <c r="C105" s="72" t="s">
        <v>284</v>
      </c>
      <c r="D105" s="73">
        <v>311</v>
      </c>
      <c r="E105" s="71">
        <v>0.02</v>
      </c>
      <c r="F105" s="29"/>
      <c r="G105" s="29"/>
    </row>
    <row r="106" spans="1:7" ht="14.45" customHeight="1">
      <c r="A106" s="29"/>
      <c r="B106" s="89" t="s">
        <v>125</v>
      </c>
      <c r="C106" s="55" t="s">
        <v>138</v>
      </c>
      <c r="D106" s="58">
        <v>28</v>
      </c>
      <c r="E106" s="57">
        <v>2E-3</v>
      </c>
      <c r="F106" s="29"/>
      <c r="G106" s="29"/>
    </row>
    <row r="107" spans="1:7" ht="14.45" customHeight="1">
      <c r="A107" s="29"/>
      <c r="B107" s="90"/>
      <c r="C107" s="55" t="s">
        <v>139</v>
      </c>
      <c r="D107" s="58">
        <v>36</v>
      </c>
      <c r="E107" s="57">
        <v>2E-3</v>
      </c>
      <c r="F107" s="29"/>
      <c r="G107" s="29"/>
    </row>
    <row r="108" spans="1:7" ht="14.45" customHeight="1">
      <c r="A108" s="29"/>
      <c r="B108" s="91"/>
      <c r="C108" s="72" t="s">
        <v>284</v>
      </c>
      <c r="D108" s="73">
        <v>64</v>
      </c>
      <c r="E108" s="71">
        <v>4.0000000000000001E-3</v>
      </c>
      <c r="F108" s="29"/>
      <c r="G108" s="29"/>
    </row>
    <row r="109" spans="1:7" ht="14.45" customHeight="1">
      <c r="A109" s="29"/>
      <c r="B109" s="89" t="s">
        <v>126</v>
      </c>
      <c r="C109" s="55" t="s">
        <v>138</v>
      </c>
      <c r="D109" s="58">
        <v>41</v>
      </c>
      <c r="E109" s="57">
        <v>3.0000000000000001E-3</v>
      </c>
      <c r="F109" s="29"/>
      <c r="G109" s="29"/>
    </row>
    <row r="110" spans="1:7" ht="14.45" customHeight="1">
      <c r="A110" s="29"/>
      <c r="B110" s="90"/>
      <c r="C110" s="55" t="s">
        <v>139</v>
      </c>
      <c r="D110" s="58">
        <v>51</v>
      </c>
      <c r="E110" s="57">
        <v>3.0000000000000001E-3</v>
      </c>
      <c r="F110" s="29"/>
      <c r="G110" s="29"/>
    </row>
    <row r="111" spans="1:7" ht="14.45" customHeight="1">
      <c r="A111" s="29"/>
      <c r="B111" s="91"/>
      <c r="C111" s="72" t="s">
        <v>284</v>
      </c>
      <c r="D111" s="73">
        <v>92</v>
      </c>
      <c r="E111" s="71">
        <v>6.0000000000000001E-3</v>
      </c>
      <c r="F111" s="29"/>
      <c r="G111" s="29"/>
    </row>
    <row r="112" spans="1:7" ht="14.45" customHeight="1">
      <c r="A112" s="29"/>
      <c r="B112" s="89" t="s">
        <v>127</v>
      </c>
      <c r="C112" s="55" t="s">
        <v>138</v>
      </c>
      <c r="D112" s="58">
        <v>26</v>
      </c>
      <c r="E112" s="57">
        <v>2E-3</v>
      </c>
      <c r="F112" s="29"/>
      <c r="G112" s="29"/>
    </row>
    <row r="113" spans="1:7" ht="14.45" customHeight="1">
      <c r="A113" s="29"/>
      <c r="B113" s="90"/>
      <c r="C113" s="55" t="s">
        <v>139</v>
      </c>
      <c r="D113" s="58">
        <v>41</v>
      </c>
      <c r="E113" s="57">
        <v>3.0000000000000001E-3</v>
      </c>
      <c r="F113" s="29"/>
      <c r="G113" s="29"/>
    </row>
    <row r="114" spans="1:7" ht="14.45" customHeight="1">
      <c r="A114" s="29"/>
      <c r="B114" s="91"/>
      <c r="C114" s="72" t="s">
        <v>284</v>
      </c>
      <c r="D114" s="73">
        <v>67</v>
      </c>
      <c r="E114" s="71">
        <v>4.0000000000000001E-3</v>
      </c>
      <c r="F114" s="29"/>
      <c r="G114" s="29"/>
    </row>
    <row r="115" spans="1:7" ht="14.45" customHeight="1">
      <c r="A115" s="29"/>
      <c r="B115" s="89" t="s">
        <v>128</v>
      </c>
      <c r="C115" s="55" t="s">
        <v>138</v>
      </c>
      <c r="D115" s="58">
        <v>45</v>
      </c>
      <c r="E115" s="57">
        <v>3.0000000000000001E-3</v>
      </c>
      <c r="F115" s="29"/>
      <c r="G115" s="29"/>
    </row>
    <row r="116" spans="1:7" ht="14.45" customHeight="1">
      <c r="A116" s="29"/>
      <c r="B116" s="90"/>
      <c r="C116" s="55" t="s">
        <v>139</v>
      </c>
      <c r="D116" s="58">
        <v>71</v>
      </c>
      <c r="E116" s="57">
        <v>5.0000000000000001E-3</v>
      </c>
      <c r="F116" s="29"/>
      <c r="G116" s="29"/>
    </row>
    <row r="117" spans="1:7" ht="14.45" customHeight="1">
      <c r="A117" s="29"/>
      <c r="B117" s="91"/>
      <c r="C117" s="72" t="s">
        <v>284</v>
      </c>
      <c r="D117" s="73">
        <v>116</v>
      </c>
      <c r="E117" s="71">
        <v>8.0000000000000002E-3</v>
      </c>
      <c r="F117" s="29"/>
      <c r="G117" s="29"/>
    </row>
    <row r="118" spans="1:7" ht="14.45" customHeight="1">
      <c r="A118" s="29"/>
      <c r="B118" s="89" t="s">
        <v>129</v>
      </c>
      <c r="C118" s="55" t="s">
        <v>138</v>
      </c>
      <c r="D118" s="58">
        <v>1</v>
      </c>
      <c r="E118" s="57">
        <v>0</v>
      </c>
      <c r="F118" s="29"/>
      <c r="G118" s="29"/>
    </row>
    <row r="119" spans="1:7" ht="14.45" customHeight="1">
      <c r="A119" s="29"/>
      <c r="B119" s="90"/>
      <c r="C119" s="55" t="s">
        <v>139</v>
      </c>
      <c r="D119" s="58">
        <v>2</v>
      </c>
      <c r="E119" s="57">
        <v>0</v>
      </c>
      <c r="F119" s="29"/>
      <c r="G119" s="29"/>
    </row>
    <row r="120" spans="1:7" ht="14.45" customHeight="1">
      <c r="A120" s="29"/>
      <c r="B120" s="91"/>
      <c r="C120" s="72" t="s">
        <v>284</v>
      </c>
      <c r="D120" s="73">
        <v>3</v>
      </c>
      <c r="E120" s="71">
        <v>0</v>
      </c>
      <c r="F120" s="29"/>
      <c r="G120" s="29"/>
    </row>
    <row r="121" spans="1:7" ht="14.45" customHeight="1">
      <c r="A121" s="29"/>
      <c r="B121" s="89" t="s">
        <v>130</v>
      </c>
      <c r="C121" s="55" t="s">
        <v>138</v>
      </c>
      <c r="D121" s="58">
        <v>58</v>
      </c>
      <c r="E121" s="57">
        <v>4.0000000000000001E-3</v>
      </c>
      <c r="F121" s="29"/>
      <c r="G121" s="29"/>
    </row>
    <row r="122" spans="1:7" ht="14.45" customHeight="1">
      <c r="A122" s="29"/>
      <c r="B122" s="90"/>
      <c r="C122" s="55" t="s">
        <v>139</v>
      </c>
      <c r="D122" s="58">
        <v>91</v>
      </c>
      <c r="E122" s="57">
        <v>6.0000000000000001E-3</v>
      </c>
      <c r="F122" s="29"/>
      <c r="G122" s="29"/>
    </row>
    <row r="123" spans="1:7" ht="14.45" customHeight="1">
      <c r="A123" s="29"/>
      <c r="B123" s="91"/>
      <c r="C123" s="72" t="s">
        <v>284</v>
      </c>
      <c r="D123" s="73">
        <v>149</v>
      </c>
      <c r="E123" s="71">
        <v>0.01</v>
      </c>
      <c r="F123" s="29"/>
      <c r="G123" s="29"/>
    </row>
    <row r="124" spans="1:7" ht="14.45" customHeight="1">
      <c r="A124" s="29"/>
      <c r="B124" s="89" t="s">
        <v>131</v>
      </c>
      <c r="C124" s="55" t="s">
        <v>138</v>
      </c>
      <c r="D124" s="58">
        <v>1</v>
      </c>
      <c r="E124" s="57">
        <v>0</v>
      </c>
      <c r="F124" s="29"/>
      <c r="G124" s="29"/>
    </row>
    <row r="125" spans="1:7" ht="14.45" customHeight="1">
      <c r="A125" s="29"/>
      <c r="B125" s="90"/>
      <c r="C125" s="55" t="s">
        <v>139</v>
      </c>
      <c r="D125" s="58">
        <v>4</v>
      </c>
      <c r="E125" s="57">
        <v>0</v>
      </c>
      <c r="F125" s="29"/>
      <c r="G125" s="29"/>
    </row>
    <row r="126" spans="1:7" ht="14.45" customHeight="1">
      <c r="A126" s="29"/>
      <c r="B126" s="91"/>
      <c r="C126" s="72" t="s">
        <v>284</v>
      </c>
      <c r="D126" s="73">
        <v>5</v>
      </c>
      <c r="E126" s="71">
        <v>0</v>
      </c>
      <c r="F126" s="29"/>
      <c r="G126" s="29"/>
    </row>
    <row r="127" spans="1:7" ht="14.45" customHeight="1">
      <c r="A127" s="29"/>
      <c r="B127" s="89" t="s">
        <v>132</v>
      </c>
      <c r="C127" s="55" t="s">
        <v>138</v>
      </c>
      <c r="D127" s="58">
        <v>64</v>
      </c>
      <c r="E127" s="57">
        <v>4.0000000000000001E-3</v>
      </c>
      <c r="F127" s="29"/>
      <c r="G127" s="29"/>
    </row>
    <row r="128" spans="1:7" ht="14.45" customHeight="1">
      <c r="A128" s="29"/>
      <c r="B128" s="90"/>
      <c r="C128" s="55" t="s">
        <v>139</v>
      </c>
      <c r="D128" s="58">
        <v>94</v>
      </c>
      <c r="E128" s="57">
        <v>6.0000000000000001E-3</v>
      </c>
      <c r="F128" s="29"/>
      <c r="G128" s="29"/>
    </row>
    <row r="129" spans="1:7" ht="14.45" customHeight="1">
      <c r="A129" s="29"/>
      <c r="B129" s="91"/>
      <c r="C129" s="72" t="s">
        <v>284</v>
      </c>
      <c r="D129" s="73">
        <v>158</v>
      </c>
      <c r="E129" s="71">
        <v>0.01</v>
      </c>
      <c r="F129" s="29"/>
      <c r="G129" s="29"/>
    </row>
    <row r="130" spans="1:7" ht="14.45" customHeight="1">
      <c r="A130" s="29"/>
      <c r="B130" s="89" t="s">
        <v>133</v>
      </c>
      <c r="C130" s="55" t="s">
        <v>138</v>
      </c>
      <c r="D130" s="58">
        <v>769</v>
      </c>
      <c r="E130" s="57">
        <v>0.05</v>
      </c>
      <c r="F130" s="29"/>
      <c r="G130" s="29"/>
    </row>
    <row r="131" spans="1:7" ht="14.45" customHeight="1">
      <c r="A131" s="29"/>
      <c r="B131" s="90"/>
      <c r="C131" s="55" t="s">
        <v>139</v>
      </c>
      <c r="D131" s="58">
        <v>989</v>
      </c>
      <c r="E131" s="57">
        <v>6.4000000000000001E-2</v>
      </c>
      <c r="F131" s="29"/>
      <c r="G131" s="29"/>
    </row>
    <row r="132" spans="1:7" ht="14.45" customHeight="1">
      <c r="A132" s="29"/>
      <c r="B132" s="91"/>
      <c r="C132" s="72" t="s">
        <v>284</v>
      </c>
      <c r="D132" s="73">
        <v>1758</v>
      </c>
      <c r="E132" s="71">
        <v>0.114</v>
      </c>
      <c r="F132" s="29"/>
      <c r="G132" s="29"/>
    </row>
    <row r="133" spans="1:7" ht="14.45" customHeight="1">
      <c r="A133" s="29"/>
      <c r="B133" s="89" t="s">
        <v>134</v>
      </c>
      <c r="C133" s="55" t="s">
        <v>138</v>
      </c>
      <c r="D133" s="58">
        <v>84</v>
      </c>
      <c r="E133" s="57">
        <v>5.0000000000000001E-3</v>
      </c>
      <c r="F133" s="29"/>
      <c r="G133" s="29"/>
    </row>
    <row r="134" spans="1:7" ht="14.45" customHeight="1">
      <c r="A134" s="29"/>
      <c r="B134" s="90"/>
      <c r="C134" s="55" t="s">
        <v>139</v>
      </c>
      <c r="D134" s="58">
        <v>89</v>
      </c>
      <c r="E134" s="57">
        <v>6.0000000000000001E-3</v>
      </c>
      <c r="F134" s="29"/>
      <c r="G134" s="29"/>
    </row>
    <row r="135" spans="1:7" ht="14.45" customHeight="1">
      <c r="A135" s="29"/>
      <c r="B135" s="91"/>
      <c r="C135" s="72" t="s">
        <v>284</v>
      </c>
      <c r="D135" s="73">
        <v>173</v>
      </c>
      <c r="E135" s="71">
        <v>1.0999999999999999E-2</v>
      </c>
      <c r="F135" s="29"/>
      <c r="G135" s="29"/>
    </row>
    <row r="136" spans="1:7" ht="14.45" customHeight="1">
      <c r="A136" s="29"/>
      <c r="B136" s="89" t="s">
        <v>135</v>
      </c>
      <c r="C136" s="55" t="s">
        <v>138</v>
      </c>
      <c r="D136" s="58">
        <v>37</v>
      </c>
      <c r="E136" s="57">
        <v>2E-3</v>
      </c>
      <c r="F136" s="29"/>
      <c r="G136" s="29"/>
    </row>
    <row r="137" spans="1:7" ht="14.45" customHeight="1">
      <c r="A137" s="29"/>
      <c r="B137" s="90"/>
      <c r="C137" s="55" t="s">
        <v>139</v>
      </c>
      <c r="D137" s="58">
        <v>54</v>
      </c>
      <c r="E137" s="57">
        <v>3.0000000000000001E-3</v>
      </c>
      <c r="F137" s="29"/>
      <c r="G137" s="29"/>
    </row>
    <row r="138" spans="1:7" ht="14.45" customHeight="1">
      <c r="A138" s="29"/>
      <c r="B138" s="91"/>
      <c r="C138" s="72" t="s">
        <v>284</v>
      </c>
      <c r="D138" s="73">
        <v>91</v>
      </c>
      <c r="E138" s="71">
        <v>6.0000000000000001E-3</v>
      </c>
      <c r="F138" s="29"/>
      <c r="G138" s="29"/>
    </row>
    <row r="139" spans="1:7" ht="14.45" customHeight="1">
      <c r="A139" s="29"/>
      <c r="B139" s="89" t="s">
        <v>74</v>
      </c>
      <c r="C139" s="55" t="s">
        <v>138</v>
      </c>
      <c r="D139" s="58">
        <v>31</v>
      </c>
      <c r="E139" s="57">
        <v>2E-3</v>
      </c>
      <c r="F139" s="29"/>
      <c r="G139" s="29"/>
    </row>
    <row r="140" spans="1:7" ht="14.45" customHeight="1">
      <c r="A140" s="29"/>
      <c r="B140" s="90"/>
      <c r="C140" s="55" t="s">
        <v>139</v>
      </c>
      <c r="D140" s="58">
        <v>58</v>
      </c>
      <c r="E140" s="57">
        <v>4.0000000000000001E-3</v>
      </c>
      <c r="F140" s="29"/>
      <c r="G140" s="29"/>
    </row>
    <row r="141" spans="1:7" ht="14.45" customHeight="1">
      <c r="A141" s="29"/>
      <c r="B141" s="91"/>
      <c r="C141" s="72" t="s">
        <v>284</v>
      </c>
      <c r="D141" s="73">
        <v>89</v>
      </c>
      <c r="E141" s="71">
        <v>6.0000000000000001E-3</v>
      </c>
      <c r="F141" s="29"/>
      <c r="G141" s="29"/>
    </row>
    <row r="142" spans="1:7" ht="14.45" customHeight="1">
      <c r="A142" s="29"/>
      <c r="B142" s="89" t="s">
        <v>136</v>
      </c>
      <c r="C142" s="55" t="s">
        <v>138</v>
      </c>
      <c r="D142" s="58">
        <v>61</v>
      </c>
      <c r="E142" s="57">
        <v>4.0000000000000001E-3</v>
      </c>
      <c r="F142" s="29"/>
      <c r="G142" s="29"/>
    </row>
    <row r="143" spans="1:7" ht="14.45" customHeight="1">
      <c r="A143" s="29"/>
      <c r="B143" s="90"/>
      <c r="C143" s="55" t="s">
        <v>139</v>
      </c>
      <c r="D143" s="58">
        <v>68</v>
      </c>
      <c r="E143" s="57">
        <v>4.0000000000000001E-3</v>
      </c>
      <c r="F143" s="29"/>
      <c r="G143" s="29"/>
    </row>
    <row r="144" spans="1:7" ht="14.45" customHeight="1">
      <c r="A144" s="29"/>
      <c r="B144" s="91"/>
      <c r="C144" s="72" t="s">
        <v>284</v>
      </c>
      <c r="D144" s="73">
        <v>129</v>
      </c>
      <c r="E144" s="71">
        <v>8.0000000000000002E-3</v>
      </c>
      <c r="F144" s="29"/>
      <c r="G144" s="29"/>
    </row>
    <row r="145" spans="1:7" ht="14.45" customHeight="1">
      <c r="A145" s="29"/>
      <c r="B145" s="89" t="s">
        <v>137</v>
      </c>
      <c r="C145" s="55" t="s">
        <v>138</v>
      </c>
      <c r="D145" s="58">
        <v>3</v>
      </c>
      <c r="E145" s="57">
        <v>0</v>
      </c>
      <c r="F145" s="29"/>
      <c r="G145" s="29"/>
    </row>
    <row r="146" spans="1:7" ht="14.45" customHeight="1">
      <c r="A146" s="29"/>
      <c r="B146" s="90"/>
      <c r="C146" s="55" t="s">
        <v>139</v>
      </c>
      <c r="D146" s="58">
        <v>4</v>
      </c>
      <c r="E146" s="57">
        <v>0</v>
      </c>
      <c r="F146" s="29"/>
      <c r="G146" s="29"/>
    </row>
    <row r="147" spans="1:7" ht="14.45" customHeight="1">
      <c r="A147" s="29"/>
      <c r="B147" s="91"/>
      <c r="C147" s="72" t="s">
        <v>284</v>
      </c>
      <c r="D147" s="73">
        <v>7</v>
      </c>
      <c r="E147" s="71">
        <v>0</v>
      </c>
      <c r="F147" s="29"/>
      <c r="G147" s="29"/>
    </row>
    <row r="148" spans="1:7" ht="14.45" customHeight="1">
      <c r="A148" s="29"/>
      <c r="B148" s="102" t="s">
        <v>288</v>
      </c>
      <c r="C148" s="103"/>
      <c r="D148" s="74">
        <v>15448</v>
      </c>
      <c r="E148" s="60">
        <v>1</v>
      </c>
      <c r="F148" s="29"/>
      <c r="G148" s="29"/>
    </row>
    <row r="149" spans="1:7" ht="14.45" customHeight="1">
      <c r="A149" s="29"/>
      <c r="B149" s="32"/>
      <c r="C149" s="43"/>
      <c r="D149" s="51"/>
      <c r="E149" s="43"/>
      <c r="F149" s="29"/>
      <c r="G149" s="29"/>
    </row>
    <row r="150" spans="1:7" ht="14.45" customHeight="1">
      <c r="A150" s="29"/>
      <c r="B150" s="32" t="s">
        <v>254</v>
      </c>
      <c r="C150" s="43"/>
      <c r="D150" s="51"/>
      <c r="E150" s="43"/>
      <c r="F150" s="29"/>
      <c r="G150" s="29"/>
    </row>
    <row r="151" spans="1:7" ht="12.75">
      <c r="A151" s="29"/>
      <c r="B151" s="34" t="s">
        <v>18</v>
      </c>
      <c r="C151" s="43"/>
      <c r="D151" s="51"/>
      <c r="E151" s="43"/>
      <c r="F151" s="29"/>
      <c r="G151" s="29"/>
    </row>
    <row r="152" spans="1:7" ht="12.75">
      <c r="A152" s="29"/>
      <c r="B152" s="35" t="s">
        <v>94</v>
      </c>
      <c r="C152" s="43"/>
      <c r="D152" s="51"/>
      <c r="E152" s="43"/>
      <c r="F152" s="29"/>
      <c r="G152" s="29"/>
    </row>
    <row r="153" spans="1:7" ht="12.75">
      <c r="A153" s="29"/>
      <c r="B153" s="32" t="s">
        <v>17</v>
      </c>
      <c r="C153" s="43"/>
      <c r="D153" s="51"/>
      <c r="E153" s="43"/>
      <c r="F153" s="29"/>
      <c r="G153" s="29"/>
    </row>
    <row r="154" spans="1:7" ht="12.75">
      <c r="A154" s="29"/>
      <c r="B154" s="32" t="s">
        <v>285</v>
      </c>
      <c r="C154" s="43"/>
      <c r="D154" s="51"/>
      <c r="E154" s="43"/>
      <c r="F154" s="29"/>
      <c r="G154" s="29"/>
    </row>
  </sheetData>
  <mergeCells count="48">
    <mergeCell ref="B148:C148"/>
    <mergeCell ref="B68:B70"/>
    <mergeCell ref="B71:B73"/>
    <mergeCell ref="B13:B15"/>
    <mergeCell ref="B16:B18"/>
    <mergeCell ref="B19:B21"/>
    <mergeCell ref="B22:B24"/>
    <mergeCell ref="B25:B27"/>
    <mergeCell ref="B51:B53"/>
    <mergeCell ref="B54:B56"/>
    <mergeCell ref="B57:B59"/>
    <mergeCell ref="B60:B62"/>
    <mergeCell ref="B63:B65"/>
    <mergeCell ref="B45:B47"/>
    <mergeCell ref="B48:B50"/>
    <mergeCell ref="B28:B30"/>
    <mergeCell ref="B31:B33"/>
    <mergeCell ref="B66:B67"/>
    <mergeCell ref="B8:E10"/>
    <mergeCell ref="B34:B36"/>
    <mergeCell ref="B37:B39"/>
    <mergeCell ref="B40:B42"/>
    <mergeCell ref="B43:B44"/>
    <mergeCell ref="B74:B76"/>
    <mergeCell ref="B77:B79"/>
    <mergeCell ref="B80:B82"/>
    <mergeCell ref="B83:B85"/>
    <mergeCell ref="B86:B88"/>
    <mergeCell ref="B89:B91"/>
    <mergeCell ref="B92:B93"/>
    <mergeCell ref="B94:B96"/>
    <mergeCell ref="B97:B99"/>
    <mergeCell ref="B112:B114"/>
    <mergeCell ref="B100:B102"/>
    <mergeCell ref="B103:B105"/>
    <mergeCell ref="B106:B108"/>
    <mergeCell ref="B109:B111"/>
    <mergeCell ref="B115:B117"/>
    <mergeCell ref="B118:B120"/>
    <mergeCell ref="B121:B123"/>
    <mergeCell ref="B124:B126"/>
    <mergeCell ref="B127:B129"/>
    <mergeCell ref="B145:B147"/>
    <mergeCell ref="B130:B132"/>
    <mergeCell ref="B133:B135"/>
    <mergeCell ref="B136:B138"/>
    <mergeCell ref="B139:B141"/>
    <mergeCell ref="B142:B14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7"/>
  <sheetViews>
    <sheetView showGridLines="0" view="pageBreakPreview" zoomScale="115" zoomScaleNormal="100" zoomScaleSheetLayoutView="115" workbookViewId="0">
      <selection activeCell="D12" sqref="D12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25.710937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4.8554687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E3" s="15"/>
      <c r="G3" s="21"/>
    </row>
    <row r="4" spans="1:7" ht="30" customHeight="1">
      <c r="B4" s="27"/>
      <c r="C4" s="17"/>
      <c r="D4" s="15"/>
      <c r="E4" s="15"/>
      <c r="G4" s="21"/>
    </row>
    <row r="5" spans="1:7" ht="15" customHeight="1">
      <c r="B5" s="27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31"/>
      <c r="B8" s="88" t="s">
        <v>252</v>
      </c>
      <c r="C8" s="88"/>
      <c r="D8" s="88"/>
      <c r="E8" s="88"/>
      <c r="F8" s="88"/>
      <c r="G8" s="31"/>
    </row>
    <row r="9" spans="1:7" s="13" customFormat="1" ht="15" customHeight="1">
      <c r="A9" s="31"/>
      <c r="B9" s="88"/>
      <c r="C9" s="88"/>
      <c r="D9" s="88"/>
      <c r="E9" s="88"/>
      <c r="F9" s="88"/>
      <c r="G9" s="49"/>
    </row>
    <row r="10" spans="1:7" s="13" customFormat="1" ht="15" customHeight="1">
      <c r="A10" s="31"/>
      <c r="B10" s="88"/>
      <c r="C10" s="88"/>
      <c r="D10" s="88"/>
      <c r="E10" s="88"/>
      <c r="F10" s="88"/>
      <c r="G10" s="31"/>
    </row>
    <row r="11" spans="1:7" s="13" customFormat="1" ht="15" customHeight="1">
      <c r="A11" s="31"/>
      <c r="B11" s="50"/>
      <c r="C11" s="50"/>
      <c r="D11" s="50"/>
      <c r="E11" s="50"/>
      <c r="F11" s="50"/>
      <c r="G11" s="31"/>
    </row>
    <row r="12" spans="1:7" s="13" customFormat="1" ht="36.950000000000003" customHeight="1">
      <c r="A12" s="31"/>
      <c r="B12" s="76" t="s">
        <v>29</v>
      </c>
      <c r="C12" s="76" t="s">
        <v>32</v>
      </c>
      <c r="D12" s="76" t="s">
        <v>20</v>
      </c>
      <c r="E12" s="76" t="s">
        <v>31</v>
      </c>
      <c r="F12" s="76" t="s">
        <v>30</v>
      </c>
      <c r="G12" s="31"/>
    </row>
    <row r="13" spans="1:7" ht="14.45" customHeight="1">
      <c r="A13" s="29"/>
      <c r="B13" s="99" t="s">
        <v>275</v>
      </c>
      <c r="C13" s="61" t="s">
        <v>274</v>
      </c>
      <c r="D13" s="62">
        <v>10</v>
      </c>
      <c r="E13" s="105">
        <f>D13/$D$21</f>
        <v>1.4914243102162564E-3</v>
      </c>
      <c r="F13" s="105">
        <f>D13/$D$31</f>
        <v>6.4733298808907305E-4</v>
      </c>
      <c r="G13" s="29"/>
    </row>
    <row r="14" spans="1:7" ht="14.45" customHeight="1">
      <c r="A14" s="29"/>
      <c r="B14" s="100"/>
      <c r="C14" s="61" t="s">
        <v>200</v>
      </c>
      <c r="D14" s="62">
        <v>17</v>
      </c>
      <c r="E14" s="105">
        <f t="shared" ref="E14:E20" si="0">D14/$D$21</f>
        <v>2.535421327367636E-3</v>
      </c>
      <c r="F14" s="105">
        <f t="shared" ref="F14:F30" si="1">D14/$D$31</f>
        <v>1.100466079751424E-3</v>
      </c>
      <c r="G14" s="29"/>
    </row>
    <row r="15" spans="1:7" ht="14.45" customHeight="1">
      <c r="A15" s="29"/>
      <c r="B15" s="100"/>
      <c r="C15" s="61" t="s">
        <v>201</v>
      </c>
      <c r="D15" s="62">
        <v>969</v>
      </c>
      <c r="E15" s="105">
        <f t="shared" si="0"/>
        <v>0.14451901565995526</v>
      </c>
      <c r="F15" s="105">
        <f t="shared" si="1"/>
        <v>6.2726566545831169E-2</v>
      </c>
      <c r="G15" s="29"/>
    </row>
    <row r="16" spans="1:7" ht="14.45" customHeight="1">
      <c r="A16" s="29"/>
      <c r="B16" s="100"/>
      <c r="C16" s="61" t="s">
        <v>202</v>
      </c>
      <c r="D16" s="62">
        <v>1602</v>
      </c>
      <c r="E16" s="105">
        <f t="shared" si="0"/>
        <v>0.2389261744966443</v>
      </c>
      <c r="F16" s="105">
        <f t="shared" si="1"/>
        <v>0.10370274469186949</v>
      </c>
      <c r="G16" s="29"/>
    </row>
    <row r="17" spans="1:7" ht="14.45" customHeight="1">
      <c r="A17" s="29"/>
      <c r="B17" s="100"/>
      <c r="C17" s="61" t="s">
        <v>203</v>
      </c>
      <c r="D17" s="62">
        <v>2133</v>
      </c>
      <c r="E17" s="105">
        <f t="shared" si="0"/>
        <v>0.31812080536912751</v>
      </c>
      <c r="F17" s="105">
        <f t="shared" si="1"/>
        <v>0.13807612635939928</v>
      </c>
      <c r="G17" s="29"/>
    </row>
    <row r="18" spans="1:7" ht="14.45" customHeight="1">
      <c r="A18" s="29"/>
      <c r="B18" s="100"/>
      <c r="C18" s="61" t="s">
        <v>204</v>
      </c>
      <c r="D18" s="62">
        <v>1760</v>
      </c>
      <c r="E18" s="105">
        <f t="shared" si="0"/>
        <v>0.26249067859806113</v>
      </c>
      <c r="F18" s="105">
        <f t="shared" si="1"/>
        <v>0.11393060590367685</v>
      </c>
      <c r="G18" s="29"/>
    </row>
    <row r="19" spans="1:7" ht="14.45" customHeight="1">
      <c r="A19" s="29"/>
      <c r="B19" s="100"/>
      <c r="C19" s="61" t="s">
        <v>205</v>
      </c>
      <c r="D19" s="62">
        <v>182</v>
      </c>
      <c r="E19" s="105">
        <f t="shared" si="0"/>
        <v>2.7143922445935869E-2</v>
      </c>
      <c r="F19" s="105">
        <f t="shared" si="1"/>
        <v>1.1781460383221129E-2</v>
      </c>
      <c r="G19" s="29"/>
    </row>
    <row r="20" spans="1:7" ht="14.45" customHeight="1">
      <c r="A20" s="29"/>
      <c r="B20" s="100"/>
      <c r="C20" s="61" t="s">
        <v>206</v>
      </c>
      <c r="D20" s="62">
        <v>32</v>
      </c>
      <c r="E20" s="105">
        <f t="shared" si="0"/>
        <v>4.7725577926920207E-3</v>
      </c>
      <c r="F20" s="105">
        <f t="shared" si="1"/>
        <v>2.0714655618850335E-3</v>
      </c>
      <c r="G20" s="29"/>
    </row>
    <row r="21" spans="1:7" ht="14.45" customHeight="1">
      <c r="A21" s="29"/>
      <c r="B21" s="101"/>
      <c r="C21" s="104" t="s">
        <v>284</v>
      </c>
      <c r="D21" s="78">
        <v>6705</v>
      </c>
      <c r="E21" s="78"/>
      <c r="F21" s="106">
        <f t="shared" si="1"/>
        <v>0.43403676851372347</v>
      </c>
      <c r="G21" s="29"/>
    </row>
    <row r="22" spans="1:7" ht="14.45" customHeight="1">
      <c r="A22" s="29"/>
      <c r="B22" s="99" t="s">
        <v>276</v>
      </c>
      <c r="C22" s="61" t="s">
        <v>274</v>
      </c>
      <c r="D22" s="62">
        <v>11</v>
      </c>
      <c r="E22" s="105">
        <f>D22/$D$30</f>
        <v>1.2581493766441725E-3</v>
      </c>
      <c r="F22" s="105">
        <f t="shared" si="1"/>
        <v>7.1206628689798033E-4</v>
      </c>
      <c r="G22" s="29"/>
    </row>
    <row r="23" spans="1:7" ht="14.45" customHeight="1">
      <c r="A23" s="29"/>
      <c r="B23" s="100"/>
      <c r="C23" s="61" t="s">
        <v>200</v>
      </c>
      <c r="D23" s="62">
        <v>21</v>
      </c>
      <c r="E23" s="105">
        <f t="shared" ref="E23:E29" si="2">D23/$D$30</f>
        <v>2.4019215372297837E-3</v>
      </c>
      <c r="F23" s="105">
        <f t="shared" si="1"/>
        <v>1.3593992749870534E-3</v>
      </c>
      <c r="G23" s="29"/>
    </row>
    <row r="24" spans="1:7" ht="14.45" customHeight="1">
      <c r="A24" s="29"/>
      <c r="B24" s="100"/>
      <c r="C24" s="61" t="s">
        <v>201</v>
      </c>
      <c r="D24" s="62">
        <v>1610</v>
      </c>
      <c r="E24" s="105">
        <f t="shared" si="2"/>
        <v>0.18414731785428343</v>
      </c>
      <c r="F24" s="105">
        <f t="shared" si="1"/>
        <v>0.10422061108234075</v>
      </c>
      <c r="G24" s="29"/>
    </row>
    <row r="25" spans="1:7" ht="14.45" customHeight="1">
      <c r="A25" s="29"/>
      <c r="B25" s="100"/>
      <c r="C25" s="61" t="s">
        <v>202</v>
      </c>
      <c r="D25" s="62">
        <v>2440</v>
      </c>
      <c r="E25" s="105">
        <f t="shared" si="2"/>
        <v>0.27908040718288918</v>
      </c>
      <c r="F25" s="105">
        <f t="shared" si="1"/>
        <v>0.15794924909373381</v>
      </c>
      <c r="G25" s="29"/>
    </row>
    <row r="26" spans="1:7" ht="14.45" customHeight="1">
      <c r="A26" s="29"/>
      <c r="B26" s="100"/>
      <c r="C26" s="61" t="s">
        <v>203</v>
      </c>
      <c r="D26" s="62">
        <v>2521</v>
      </c>
      <c r="E26" s="105">
        <f t="shared" si="2"/>
        <v>0.28834496168363261</v>
      </c>
      <c r="F26" s="105">
        <f t="shared" si="1"/>
        <v>0.1631926462972553</v>
      </c>
      <c r="G26" s="29"/>
    </row>
    <row r="27" spans="1:7" ht="14.45" customHeight="1">
      <c r="A27" s="29"/>
      <c r="B27" s="100"/>
      <c r="C27" s="61" t="s">
        <v>204</v>
      </c>
      <c r="D27" s="62">
        <v>1961</v>
      </c>
      <c r="E27" s="105">
        <f t="shared" si="2"/>
        <v>0.22429372069083839</v>
      </c>
      <c r="F27" s="105">
        <f t="shared" si="1"/>
        <v>0.12694199896426722</v>
      </c>
      <c r="G27" s="29"/>
    </row>
    <row r="28" spans="1:7" ht="14.45" customHeight="1">
      <c r="A28" s="29"/>
      <c r="B28" s="100"/>
      <c r="C28" s="61" t="s">
        <v>205</v>
      </c>
      <c r="D28" s="62">
        <v>159</v>
      </c>
      <c r="E28" s="105">
        <f t="shared" si="2"/>
        <v>1.818597735331122E-2</v>
      </c>
      <c r="F28" s="105">
        <f t="shared" si="1"/>
        <v>1.0292594510616261E-2</v>
      </c>
      <c r="G28" s="29"/>
    </row>
    <row r="29" spans="1:7" ht="14.45" customHeight="1">
      <c r="A29" s="29"/>
      <c r="B29" s="100"/>
      <c r="C29" s="61" t="s">
        <v>206</v>
      </c>
      <c r="D29" s="62">
        <v>20</v>
      </c>
      <c r="E29" s="105">
        <f t="shared" si="2"/>
        <v>2.2875443211712227E-3</v>
      </c>
      <c r="F29" s="105">
        <f t="shared" si="1"/>
        <v>1.2946659761781461E-3</v>
      </c>
      <c r="G29" s="29"/>
    </row>
    <row r="30" spans="1:7" ht="14.45" customHeight="1">
      <c r="A30" s="29"/>
      <c r="B30" s="101"/>
      <c r="C30" s="104" t="s">
        <v>284</v>
      </c>
      <c r="D30" s="78">
        <v>8743</v>
      </c>
      <c r="E30" s="78"/>
      <c r="F30" s="106">
        <f>D30/$D$31</f>
        <v>0.56596323148627659</v>
      </c>
      <c r="G30" s="29"/>
    </row>
    <row r="31" spans="1:7" ht="14.45" customHeight="1">
      <c r="A31" s="29"/>
      <c r="B31" s="107" t="s">
        <v>286</v>
      </c>
      <c r="C31" s="108"/>
      <c r="D31" s="65">
        <v>15448</v>
      </c>
      <c r="E31" s="66">
        <v>1</v>
      </c>
      <c r="F31" s="66">
        <v>1</v>
      </c>
      <c r="G31" s="29"/>
    </row>
    <row r="32" spans="1:7" ht="14.45" customHeight="1">
      <c r="A32" s="29"/>
      <c r="B32" s="34"/>
      <c r="C32" s="43"/>
      <c r="D32" s="51"/>
      <c r="E32" s="51"/>
      <c r="F32" s="43"/>
      <c r="G32" s="29"/>
    </row>
    <row r="33" spans="1:7" ht="14.45" customHeight="1">
      <c r="A33" s="29"/>
      <c r="B33" s="32" t="s">
        <v>254</v>
      </c>
      <c r="C33" s="43"/>
      <c r="D33" s="51"/>
      <c r="E33" s="51"/>
      <c r="F33" s="43"/>
      <c r="G33" s="29"/>
    </row>
    <row r="34" spans="1:7" ht="14.45" customHeight="1">
      <c r="A34" s="29"/>
      <c r="B34" s="34" t="s">
        <v>18</v>
      </c>
      <c r="C34" s="43"/>
      <c r="D34" s="51"/>
      <c r="E34" s="51"/>
      <c r="F34" s="43"/>
      <c r="G34" s="29"/>
    </row>
    <row r="35" spans="1:7" ht="14.45" customHeight="1">
      <c r="A35" s="29"/>
      <c r="B35" s="35" t="s">
        <v>94</v>
      </c>
      <c r="C35" s="43"/>
      <c r="D35" s="51"/>
      <c r="E35" s="51"/>
      <c r="F35" s="43"/>
      <c r="G35" s="29"/>
    </row>
    <row r="36" spans="1:7" ht="12.75">
      <c r="A36" s="29"/>
      <c r="B36" s="32" t="s">
        <v>17</v>
      </c>
      <c r="C36" s="43"/>
      <c r="D36" s="51"/>
      <c r="E36" s="51"/>
      <c r="F36" s="43"/>
      <c r="G36" s="29"/>
    </row>
    <row r="37" spans="1:7" ht="12.75">
      <c r="A37" s="29"/>
      <c r="B37" s="32" t="s">
        <v>285</v>
      </c>
      <c r="C37" s="43"/>
      <c r="D37" s="51"/>
      <c r="E37" s="51"/>
      <c r="F37" s="43"/>
      <c r="G37" s="29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70"/>
  <sheetViews>
    <sheetView showGridLines="0" view="pageBreakPreview" zoomScaleNormal="100" zoomScaleSheetLayoutView="100" workbookViewId="0">
      <selection activeCell="B1" sqref="B1"/>
    </sheetView>
  </sheetViews>
  <sheetFormatPr baseColWidth="10" defaultColWidth="11.42578125" defaultRowHeight="15"/>
  <cols>
    <col min="1" max="1" width="9.28515625" style="13" customWidth="1"/>
    <col min="2" max="2" width="48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15" customFormat="1" ht="15" customHeight="1">
      <c r="C1" s="17"/>
    </row>
    <row r="2" spans="1:4" s="15" customFormat="1" ht="15" customHeight="1">
      <c r="C2" s="17"/>
    </row>
    <row r="3" spans="1:4" s="15" customFormat="1" ht="15" customHeight="1">
      <c r="C3" s="17"/>
    </row>
    <row r="4" spans="1:4" s="15" customFormat="1" ht="30" customHeight="1">
      <c r="C4" s="17"/>
      <c r="D4" s="16"/>
    </row>
    <row r="5" spans="1:4" s="15" customFormat="1" ht="15" customHeight="1">
      <c r="C5" s="17"/>
      <c r="D5" s="16"/>
    </row>
    <row r="6" spans="1:4" s="15" customFormat="1" ht="15" customHeight="1">
      <c r="C6" s="17"/>
      <c r="D6" s="16"/>
    </row>
    <row r="7" spans="1:4" s="15" customFormat="1" ht="15" customHeight="1">
      <c r="A7" s="29"/>
      <c r="B7" s="88" t="s">
        <v>253</v>
      </c>
      <c r="C7" s="88"/>
      <c r="D7" s="88"/>
    </row>
    <row r="8" spans="1:4" s="15" customFormat="1" ht="15" customHeight="1">
      <c r="A8" s="29"/>
      <c r="B8" s="88"/>
      <c r="C8" s="88"/>
      <c r="D8" s="88"/>
    </row>
    <row r="9" spans="1:4" s="15" customFormat="1" ht="33" customHeight="1">
      <c r="A9" s="29"/>
      <c r="B9" s="88"/>
      <c r="C9" s="88"/>
      <c r="D9" s="88"/>
    </row>
    <row r="10" spans="1:4" s="15" customFormat="1" ht="4.5" customHeight="1">
      <c r="A10" s="29"/>
      <c r="B10" s="30"/>
      <c r="C10" s="30"/>
      <c r="D10" s="30"/>
    </row>
    <row r="11" spans="1:4" s="15" customFormat="1" ht="33" customHeight="1">
      <c r="A11" s="29"/>
      <c r="B11" s="37" t="s">
        <v>33</v>
      </c>
      <c r="C11" s="38" t="s">
        <v>20</v>
      </c>
      <c r="D11" s="39" t="s">
        <v>19</v>
      </c>
    </row>
    <row r="12" spans="1:4" ht="14.45" customHeight="1">
      <c r="A12" s="31"/>
      <c r="B12" s="55" t="s">
        <v>207</v>
      </c>
      <c r="C12" s="56">
        <v>9656</v>
      </c>
      <c r="D12" s="57">
        <v>0.625</v>
      </c>
    </row>
    <row r="13" spans="1:4" ht="14.45" customHeight="1">
      <c r="A13" s="31"/>
      <c r="B13" s="55" t="s">
        <v>208</v>
      </c>
      <c r="C13" s="56">
        <v>3005</v>
      </c>
      <c r="D13" s="57">
        <v>0.19500000000000001</v>
      </c>
    </row>
    <row r="14" spans="1:4" ht="14.45" customHeight="1">
      <c r="A14" s="31"/>
      <c r="B14" s="55" t="s">
        <v>212</v>
      </c>
      <c r="C14" s="58">
        <v>415</v>
      </c>
      <c r="D14" s="57">
        <v>2.7E-2</v>
      </c>
    </row>
    <row r="15" spans="1:4" ht="14.45" customHeight="1">
      <c r="A15" s="31"/>
      <c r="B15" s="55" t="s">
        <v>211</v>
      </c>
      <c r="C15" s="58">
        <v>408</v>
      </c>
      <c r="D15" s="57">
        <v>2.5999999999999999E-2</v>
      </c>
    </row>
    <row r="16" spans="1:4" ht="14.45" customHeight="1">
      <c r="A16" s="31"/>
      <c r="B16" s="55" t="s">
        <v>210</v>
      </c>
      <c r="C16" s="58">
        <v>391</v>
      </c>
      <c r="D16" s="57">
        <v>2.5000000000000001E-2</v>
      </c>
    </row>
    <row r="17" spans="1:4" ht="14.45" customHeight="1">
      <c r="A17" s="31"/>
      <c r="B17" s="55" t="s">
        <v>209</v>
      </c>
      <c r="C17" s="58">
        <v>387</v>
      </c>
      <c r="D17" s="57">
        <v>2.5000000000000001E-2</v>
      </c>
    </row>
    <row r="18" spans="1:4" ht="14.45" customHeight="1">
      <c r="A18" s="31"/>
      <c r="B18" s="55" t="s">
        <v>213</v>
      </c>
      <c r="C18" s="58">
        <v>199</v>
      </c>
      <c r="D18" s="57">
        <v>1.2999999999999999E-2</v>
      </c>
    </row>
    <row r="19" spans="1:4" ht="14.45" customHeight="1">
      <c r="A19" s="31"/>
      <c r="B19" s="55" t="s">
        <v>214</v>
      </c>
      <c r="C19" s="58">
        <v>127</v>
      </c>
      <c r="D19" s="57">
        <v>8.0000000000000002E-3</v>
      </c>
    </row>
    <row r="20" spans="1:4" ht="14.45" customHeight="1">
      <c r="A20" s="31"/>
      <c r="B20" s="55" t="s">
        <v>215</v>
      </c>
      <c r="C20" s="58">
        <v>125</v>
      </c>
      <c r="D20" s="57">
        <v>8.0000000000000002E-3</v>
      </c>
    </row>
    <row r="21" spans="1:4" ht="14.45" customHeight="1">
      <c r="A21" s="31"/>
      <c r="B21" s="55" t="s">
        <v>219</v>
      </c>
      <c r="C21" s="58">
        <v>109</v>
      </c>
      <c r="D21" s="57">
        <v>7.0000000000000001E-3</v>
      </c>
    </row>
    <row r="22" spans="1:4" ht="14.45" customHeight="1">
      <c r="A22" s="31"/>
      <c r="B22" s="55" t="s">
        <v>217</v>
      </c>
      <c r="C22" s="58">
        <v>97</v>
      </c>
      <c r="D22" s="57">
        <v>6.0000000000000001E-3</v>
      </c>
    </row>
    <row r="23" spans="1:4" ht="14.45" customHeight="1">
      <c r="A23" s="31"/>
      <c r="B23" s="55" t="s">
        <v>216</v>
      </c>
      <c r="C23" s="58">
        <v>75</v>
      </c>
      <c r="D23" s="57">
        <v>5.0000000000000001E-3</v>
      </c>
    </row>
    <row r="24" spans="1:4" ht="14.45" customHeight="1">
      <c r="A24" s="31"/>
      <c r="B24" s="55" t="s">
        <v>218</v>
      </c>
      <c r="C24" s="58">
        <v>50</v>
      </c>
      <c r="D24" s="57">
        <v>3.0000000000000001E-3</v>
      </c>
    </row>
    <row r="25" spans="1:4" ht="14.45" customHeight="1">
      <c r="A25" s="31"/>
      <c r="B25" s="55" t="s">
        <v>221</v>
      </c>
      <c r="C25" s="58">
        <v>48</v>
      </c>
      <c r="D25" s="57">
        <v>3.0000000000000001E-3</v>
      </c>
    </row>
    <row r="26" spans="1:4" ht="14.45" customHeight="1">
      <c r="A26" s="31"/>
      <c r="B26" s="55" t="s">
        <v>225</v>
      </c>
      <c r="C26" s="58">
        <v>38</v>
      </c>
      <c r="D26" s="57">
        <v>2E-3</v>
      </c>
    </row>
    <row r="27" spans="1:4" ht="14.45" customHeight="1">
      <c r="A27" s="31"/>
      <c r="B27" s="55" t="s">
        <v>220</v>
      </c>
      <c r="C27" s="58">
        <v>33</v>
      </c>
      <c r="D27" s="57">
        <v>2E-3</v>
      </c>
    </row>
    <row r="28" spans="1:4" ht="14.45" customHeight="1">
      <c r="A28" s="31"/>
      <c r="B28" s="55" t="s">
        <v>223</v>
      </c>
      <c r="C28" s="58">
        <v>31</v>
      </c>
      <c r="D28" s="57">
        <v>2E-3</v>
      </c>
    </row>
    <row r="29" spans="1:4" ht="14.45" customHeight="1">
      <c r="A29" s="31"/>
      <c r="B29" s="55" t="s">
        <v>224</v>
      </c>
      <c r="C29" s="58">
        <v>28</v>
      </c>
      <c r="D29" s="57">
        <v>2E-3</v>
      </c>
    </row>
    <row r="30" spans="1:4" ht="14.45" customHeight="1">
      <c r="A30" s="31"/>
      <c r="B30" s="55" t="s">
        <v>222</v>
      </c>
      <c r="C30" s="58">
        <v>26</v>
      </c>
      <c r="D30" s="57">
        <v>2E-3</v>
      </c>
    </row>
    <row r="31" spans="1:4" ht="14.45" customHeight="1">
      <c r="A31" s="31"/>
      <c r="B31" s="55" t="s">
        <v>227</v>
      </c>
      <c r="C31" s="58">
        <v>22</v>
      </c>
      <c r="D31" s="57">
        <v>1E-3</v>
      </c>
    </row>
    <row r="32" spans="1:4" ht="14.45" customHeight="1">
      <c r="A32" s="31"/>
      <c r="B32" s="55" t="s">
        <v>228</v>
      </c>
      <c r="C32" s="58">
        <v>20</v>
      </c>
      <c r="D32" s="57">
        <v>1E-3</v>
      </c>
    </row>
    <row r="33" spans="1:4" ht="14.45" customHeight="1">
      <c r="A33" s="31"/>
      <c r="B33" s="55" t="s">
        <v>246</v>
      </c>
      <c r="C33" s="58">
        <v>20</v>
      </c>
      <c r="D33" s="57">
        <v>1E-3</v>
      </c>
    </row>
    <row r="34" spans="1:4" ht="14.45" customHeight="1">
      <c r="A34" s="31"/>
      <c r="B34" s="55" t="s">
        <v>226</v>
      </c>
      <c r="C34" s="58">
        <v>16</v>
      </c>
      <c r="D34" s="57">
        <v>1E-3</v>
      </c>
    </row>
    <row r="35" spans="1:4" ht="14.45" customHeight="1">
      <c r="A35" s="31"/>
      <c r="B35" s="55" t="s">
        <v>230</v>
      </c>
      <c r="C35" s="58">
        <v>15</v>
      </c>
      <c r="D35" s="57">
        <v>1E-3</v>
      </c>
    </row>
    <row r="36" spans="1:4" ht="14.45" customHeight="1">
      <c r="A36" s="31"/>
      <c r="B36" s="55" t="s">
        <v>232</v>
      </c>
      <c r="C36" s="58">
        <v>11</v>
      </c>
      <c r="D36" s="57">
        <v>1E-3</v>
      </c>
    </row>
    <row r="37" spans="1:4" ht="14.45" customHeight="1">
      <c r="A37" s="31"/>
      <c r="B37" s="55" t="s">
        <v>231</v>
      </c>
      <c r="C37" s="58">
        <v>10</v>
      </c>
      <c r="D37" s="57">
        <v>1E-3</v>
      </c>
    </row>
    <row r="38" spans="1:4" ht="14.45" customHeight="1">
      <c r="A38" s="31"/>
      <c r="B38" s="55" t="s">
        <v>236</v>
      </c>
      <c r="C38" s="58">
        <v>9</v>
      </c>
      <c r="D38" s="57">
        <v>1E-3</v>
      </c>
    </row>
    <row r="39" spans="1:4" ht="14.45" customHeight="1">
      <c r="A39" s="31"/>
      <c r="B39" s="55" t="s">
        <v>243</v>
      </c>
      <c r="C39" s="58">
        <v>9</v>
      </c>
      <c r="D39" s="57">
        <v>1E-3</v>
      </c>
    </row>
    <row r="40" spans="1:4" ht="14.45" customHeight="1">
      <c r="A40" s="31"/>
      <c r="B40" s="55" t="s">
        <v>237</v>
      </c>
      <c r="C40" s="58">
        <v>8</v>
      </c>
      <c r="D40" s="57">
        <v>1E-3</v>
      </c>
    </row>
    <row r="41" spans="1:4" ht="14.45" customHeight="1">
      <c r="A41" s="31"/>
      <c r="B41" s="55" t="s">
        <v>234</v>
      </c>
      <c r="C41" s="58">
        <v>8</v>
      </c>
      <c r="D41" s="57">
        <v>1E-3</v>
      </c>
    </row>
    <row r="42" spans="1:4" ht="14.45" customHeight="1">
      <c r="A42" s="31"/>
      <c r="B42" s="55" t="s">
        <v>277</v>
      </c>
      <c r="C42" s="58">
        <v>6</v>
      </c>
      <c r="D42" s="57">
        <v>0</v>
      </c>
    </row>
    <row r="43" spans="1:4" ht="14.45" customHeight="1">
      <c r="A43" s="31"/>
      <c r="B43" s="55" t="s">
        <v>229</v>
      </c>
      <c r="C43" s="58">
        <v>6</v>
      </c>
      <c r="D43" s="57">
        <v>0</v>
      </c>
    </row>
    <row r="44" spans="1:4" ht="14.45" customHeight="1">
      <c r="A44" s="31"/>
      <c r="B44" s="55" t="s">
        <v>245</v>
      </c>
      <c r="C44" s="58">
        <v>6</v>
      </c>
      <c r="D44" s="57">
        <v>0</v>
      </c>
    </row>
    <row r="45" spans="1:4" ht="14.45" customHeight="1">
      <c r="A45" s="31"/>
      <c r="B45" s="55" t="s">
        <v>233</v>
      </c>
      <c r="C45" s="58">
        <v>4</v>
      </c>
      <c r="D45" s="57">
        <v>0</v>
      </c>
    </row>
    <row r="46" spans="1:4" ht="14.45" customHeight="1">
      <c r="A46" s="31"/>
      <c r="B46" s="55" t="s">
        <v>197</v>
      </c>
      <c r="C46" s="58">
        <v>4</v>
      </c>
      <c r="D46" s="57">
        <v>0</v>
      </c>
    </row>
    <row r="47" spans="1:4" ht="14.45" customHeight="1">
      <c r="A47" s="31"/>
      <c r="B47" s="55" t="s">
        <v>239</v>
      </c>
      <c r="C47" s="58">
        <v>3</v>
      </c>
      <c r="D47" s="57">
        <v>0</v>
      </c>
    </row>
    <row r="48" spans="1:4" ht="14.45" customHeight="1">
      <c r="A48" s="31"/>
      <c r="B48" s="55" t="s">
        <v>238</v>
      </c>
      <c r="C48" s="58">
        <v>2</v>
      </c>
      <c r="D48" s="57">
        <v>0</v>
      </c>
    </row>
    <row r="49" spans="1:4" ht="14.45" customHeight="1">
      <c r="A49" s="31"/>
      <c r="B49" s="55" t="s">
        <v>240</v>
      </c>
      <c r="C49" s="58">
        <v>2</v>
      </c>
      <c r="D49" s="57">
        <v>0</v>
      </c>
    </row>
    <row r="50" spans="1:4" ht="14.45" customHeight="1">
      <c r="A50" s="31"/>
      <c r="B50" s="55" t="s">
        <v>241</v>
      </c>
      <c r="C50" s="58">
        <v>2</v>
      </c>
      <c r="D50" s="57">
        <v>0</v>
      </c>
    </row>
    <row r="51" spans="1:4" ht="14.45" customHeight="1">
      <c r="A51" s="31"/>
      <c r="B51" s="55" t="s">
        <v>278</v>
      </c>
      <c r="C51" s="58">
        <v>2</v>
      </c>
      <c r="D51" s="57">
        <v>0</v>
      </c>
    </row>
    <row r="52" spans="1:4" ht="14.45" customHeight="1">
      <c r="A52" s="31"/>
      <c r="B52" s="55" t="s">
        <v>247</v>
      </c>
      <c r="C52" s="58">
        <v>2</v>
      </c>
      <c r="D52" s="57">
        <v>0</v>
      </c>
    </row>
    <row r="53" spans="1:4" ht="14.45" customHeight="1">
      <c r="A53" s="31"/>
      <c r="B53" s="55" t="s">
        <v>242</v>
      </c>
      <c r="C53" s="58">
        <v>2</v>
      </c>
      <c r="D53" s="57">
        <v>0</v>
      </c>
    </row>
    <row r="54" spans="1:4" ht="14.45" customHeight="1">
      <c r="A54" s="31"/>
      <c r="B54" s="55" t="s">
        <v>235</v>
      </c>
      <c r="C54" s="58">
        <v>2</v>
      </c>
      <c r="D54" s="57">
        <v>0</v>
      </c>
    </row>
    <row r="55" spans="1:4" ht="14.45" customHeight="1">
      <c r="A55" s="31"/>
      <c r="B55" s="55" t="s">
        <v>279</v>
      </c>
      <c r="C55" s="58">
        <v>1</v>
      </c>
      <c r="D55" s="57">
        <v>0</v>
      </c>
    </row>
    <row r="56" spans="1:4" ht="14.45" customHeight="1">
      <c r="A56" s="31"/>
      <c r="B56" s="55" t="s">
        <v>248</v>
      </c>
      <c r="C56" s="58">
        <v>1</v>
      </c>
      <c r="D56" s="57">
        <v>0</v>
      </c>
    </row>
    <row r="57" spans="1:4" ht="14.45" customHeight="1">
      <c r="A57" s="31"/>
      <c r="B57" s="55" t="s">
        <v>244</v>
      </c>
      <c r="C57" s="58">
        <v>1</v>
      </c>
      <c r="D57" s="57">
        <v>0</v>
      </c>
    </row>
    <row r="58" spans="1:4" ht="14.45" customHeight="1">
      <c r="A58" s="31"/>
      <c r="B58" s="55" t="s">
        <v>280</v>
      </c>
      <c r="C58" s="58">
        <v>1</v>
      </c>
      <c r="D58" s="57">
        <v>0</v>
      </c>
    </row>
    <row r="59" spans="1:4" ht="14.45" customHeight="1">
      <c r="A59" s="31"/>
      <c r="B59" s="55" t="s">
        <v>281</v>
      </c>
      <c r="C59" s="58">
        <v>1</v>
      </c>
      <c r="D59" s="57">
        <v>0</v>
      </c>
    </row>
    <row r="60" spans="1:4" ht="14.45" customHeight="1">
      <c r="A60" s="31"/>
      <c r="B60" s="55" t="s">
        <v>249</v>
      </c>
      <c r="C60" s="58">
        <v>1</v>
      </c>
      <c r="D60" s="57">
        <v>0</v>
      </c>
    </row>
    <row r="61" spans="1:4" ht="14.45" customHeight="1">
      <c r="A61" s="31"/>
      <c r="B61" s="55" t="s">
        <v>250</v>
      </c>
      <c r="C61" s="58">
        <v>1</v>
      </c>
      <c r="D61" s="57">
        <v>0</v>
      </c>
    </row>
    <row r="62" spans="1:4" ht="14.45" customHeight="1">
      <c r="A62" s="31"/>
      <c r="B62" s="55" t="s">
        <v>282</v>
      </c>
      <c r="C62" s="58">
        <v>1</v>
      </c>
      <c r="D62" s="57">
        <v>0</v>
      </c>
    </row>
    <row r="63" spans="1:4" ht="14.45" customHeight="1">
      <c r="A63" s="31"/>
      <c r="B63" s="55" t="s">
        <v>283</v>
      </c>
      <c r="C63" s="58">
        <v>1</v>
      </c>
      <c r="D63" s="57">
        <v>0</v>
      </c>
    </row>
    <row r="64" spans="1:4" ht="14.45" customHeight="1">
      <c r="A64" s="31"/>
      <c r="B64" s="59" t="s">
        <v>284</v>
      </c>
      <c r="C64" s="41">
        <v>15448</v>
      </c>
      <c r="D64" s="60">
        <v>1</v>
      </c>
    </row>
    <row r="65" spans="1:4" ht="14.45" customHeight="1">
      <c r="A65" s="31"/>
      <c r="B65" s="31"/>
      <c r="C65" s="33"/>
      <c r="D65" s="31"/>
    </row>
    <row r="66" spans="1:4" ht="14.45" customHeight="1">
      <c r="A66" s="31"/>
      <c r="B66" s="32" t="s">
        <v>254</v>
      </c>
      <c r="C66" s="33"/>
      <c r="D66" s="31"/>
    </row>
    <row r="67" spans="1:4" ht="14.45" customHeight="1">
      <c r="A67" s="31"/>
      <c r="B67" s="34" t="s">
        <v>18</v>
      </c>
      <c r="C67" s="33"/>
      <c r="D67" s="31"/>
    </row>
    <row r="68" spans="1:4" ht="14.45" customHeight="1">
      <c r="A68" s="31"/>
      <c r="B68" s="35" t="s">
        <v>94</v>
      </c>
      <c r="C68" s="33"/>
      <c r="D68" s="31"/>
    </row>
    <row r="69" spans="1:4" ht="14.45" customHeight="1">
      <c r="A69" s="31"/>
      <c r="B69" s="32" t="s">
        <v>17</v>
      </c>
      <c r="C69" s="33"/>
      <c r="D69" s="31"/>
    </row>
    <row r="70" spans="1:4" ht="14.45" customHeight="1">
      <c r="A70" s="31"/>
      <c r="B70" s="32" t="s">
        <v>285</v>
      </c>
      <c r="C70" s="33"/>
      <c r="D70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Morelos_EdoUsa</vt:lpstr>
      <vt:lpstr>Morelos_Cons</vt:lpstr>
      <vt:lpstr>MorelosXCons</vt:lpstr>
      <vt:lpstr>Morelos_EdoMun</vt:lpstr>
      <vt:lpstr>Morelos_USAMuni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Morelos_GENERO_EUA</vt:lpstr>
      <vt:lpstr>Morelos_Gen_Edad</vt:lpstr>
      <vt:lpstr>Morelos_ocup_gral</vt:lpstr>
      <vt:lpstr>Morelos_EdoUsa!Área_de_impresión</vt:lpstr>
      <vt:lpstr>Morelos_educ_gral!Área_de_impresión</vt:lpstr>
      <vt:lpstr>Morelos_EducCons!Área_de_impresión</vt:lpstr>
      <vt:lpstr>Morelos_Gen_Edad!Área_de_impresión</vt:lpstr>
      <vt:lpstr>Morelos_GENERO_EUA!Área_de_impresión</vt:lpstr>
      <vt:lpstr>Morelos_MUNICIPIO!Área_de_impresión</vt:lpstr>
      <vt:lpstr>Morelos_NivelE_Cons!Área_de_impresión</vt:lpstr>
      <vt:lpstr>Morelos_ocup_gral!Área_de_impresión</vt:lpstr>
      <vt:lpstr>Morelos_USAMuni!Área_de_impresión</vt:lpstr>
      <vt:lpstr>Morelos_Cons!Títulos_a_imprimir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Morelos_GENERO_EUA!Títulos_a_imprimir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Morelos_USAMuni!Títulos_a_imprimir</vt:lpstr>
      <vt:lpstr>MorelosXCons!Títulos_a_imprimir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2025-02-18T17:51:46Z</cp:lastPrinted>
  <dcterms:created xsi:type="dcterms:W3CDTF">2020-06-03T21:08:16Z</dcterms:created>
  <dcterms:modified xsi:type="dcterms:W3CDTF">2025-08-22T16:33:58Z</dcterms:modified>
</cp:coreProperties>
</file>