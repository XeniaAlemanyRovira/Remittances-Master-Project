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8EB2AB80-9AF7-401D-9AEF-7F63F9066FDF}" xr6:coauthVersionLast="47" xr6:coauthVersionMax="47" xr10:uidLastSave="{00000000-0000-0000-0000-000000000000}"/>
  <bookViews>
    <workbookView xWindow="-120" yWindow="-120" windowWidth="29040" windowHeight="15840" tabRatio="851" firstSheet="7" activeTab="14" xr2:uid="{00000000-000D-0000-FFFF-FFFF00000000}"/>
  </bookViews>
  <sheets>
    <sheet name="Índice" sheetId="1" r:id="rId1"/>
    <sheet name="Nuevo León_EdoUsa" sheetId="2" r:id="rId2"/>
    <sheet name="Nuevo León_Cons" sheetId="15" r:id="rId3"/>
    <sheet name="Nuevo LeónXCons" sheetId="16" r:id="rId4"/>
    <sheet name="Nuevo León_EdoMun" sheetId="5" r:id="rId5"/>
    <sheet name="Nuevo León_USAMuni" sheetId="6" r:id="rId6"/>
    <sheet name="Nuevo León_MUNICIPIO" sheetId="7" r:id="rId7"/>
    <sheet name="Nuevo León_educ_gral" sheetId="8" r:id="rId8"/>
    <sheet name="Nuevo León_NivelE_Cons" sheetId="9" r:id="rId9"/>
    <sheet name="Nuevo León_EducCons" sheetId="10" r:id="rId10"/>
    <sheet name="Nuevo León_GenGral" sheetId="11" r:id="rId11"/>
    <sheet name="Nuevo León_GENERO" sheetId="12" r:id="rId12"/>
    <sheet name="Nuevo León_GENERO_EUA" sheetId="17" r:id="rId13"/>
    <sheet name="Nuevo León_Gen_Edad" sheetId="13" r:id="rId14"/>
    <sheet name="Nuevo León_ocup_gral" sheetId="14" r:id="rId15"/>
  </sheets>
  <definedNames>
    <definedName name="_xlnm._FilterDatabase" localSheetId="2" hidden="1">'Nuevo León_Cons'!$B$11:$D$11</definedName>
    <definedName name="_xlnm._FilterDatabase" localSheetId="4" hidden="1">'Nuevo León_EdoMun'!$B$11:$D$12</definedName>
    <definedName name="_xlnm._FilterDatabase" localSheetId="1" hidden="1">'Nuevo León_EdoUsa'!$B$11:$D$11</definedName>
    <definedName name="_xlnm._FilterDatabase" localSheetId="7" hidden="1">'Nuevo León_educ_gral'!$B$11:$D$11</definedName>
    <definedName name="_xlnm._FilterDatabase" localSheetId="9" hidden="1">'Nuevo León_EducCons'!$B$9:$E$636</definedName>
    <definedName name="_xlnm._FilterDatabase" localSheetId="11" hidden="1">'Nuevo León_GENERO'!$B$12:$E$163</definedName>
    <definedName name="_xlnm._FilterDatabase" localSheetId="12" hidden="1">'Nuevo León_GENERO_EUA'!$B$12:$E$149</definedName>
    <definedName name="_xlnm._FilterDatabase" localSheetId="10" hidden="1">'Nuevo León_GenGral'!$B$11:$D$11</definedName>
    <definedName name="_xlnm._FilterDatabase" localSheetId="6" hidden="1">'Nuevo León_MUNICIPIO'!$B$9:$E$742</definedName>
    <definedName name="_xlnm._FilterDatabase" localSheetId="8" hidden="1">'Nuevo León_NivelE_Cons'!$B$9:$E$454</definedName>
    <definedName name="_xlnm._FilterDatabase" localSheetId="14" hidden="1">'Nuevo León_ocup_gral'!$B$11:$D$11</definedName>
    <definedName name="_xlnm._FilterDatabase" localSheetId="5" hidden="1">'Nuevo León_USAMuni'!$B$9:$E$538</definedName>
    <definedName name="_xlnm._FilterDatabase" localSheetId="3" hidden="1">'Nuevo LeónXCons'!$B$11:$D$11</definedName>
    <definedName name="_xlnm.Print_Area" localSheetId="4">'Nuevo León_EdoMun'!$A$1:$F$72</definedName>
    <definedName name="_xlnm.Print_Area" localSheetId="1">'Nuevo León_EdoUsa'!$A$1:$F$65</definedName>
    <definedName name="_xlnm.Print_Area" localSheetId="7">'Nuevo León_educ_gral'!$A$1:$F$43</definedName>
    <definedName name="_xlnm.Print_Area" localSheetId="9">'Nuevo León_EducCons'!$A$1:$E$642</definedName>
    <definedName name="_xlnm.Print_Area" localSheetId="13">'Nuevo León_Gen_Edad'!$A$1:$G$39</definedName>
    <definedName name="_xlnm.Print_Area" localSheetId="11">'Nuevo León_GENERO'!$A$1:$G$169</definedName>
    <definedName name="_xlnm.Print_Area" localSheetId="12">'Nuevo León_GENERO_EUA'!$A$1:$G$156</definedName>
    <definedName name="_xlnm.Print_Area" localSheetId="6">'Nuevo León_MUNICIPIO'!$A$1:$E$748</definedName>
    <definedName name="_xlnm.Print_Area" localSheetId="8">'Nuevo León_NivelE_Cons'!$A$1:$E$460</definedName>
    <definedName name="_xlnm.Print_Area" localSheetId="14">'Nuevo León_ocup_gral'!$A$1:$E$74</definedName>
    <definedName name="_xlnm.Print_Area" localSheetId="5">'Nuevo León_USAMuni'!$A$1:$E$544</definedName>
    <definedName name="_xlnm.Print_Titles" localSheetId="2">'Nuevo León_Cons'!$1:$11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3">'Nuevo León_Gen_Edad'!$1:$11</definedName>
    <definedName name="_xlnm.Print_Titles" localSheetId="11">'Nuevo León_GENERO'!$1:$12</definedName>
    <definedName name="_xlnm.Print_Titles" localSheetId="12">'Nuevo León_GENERO_EUA'!$1:$12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4">'Nuevo León_ocup_gral'!$1:$11</definedName>
    <definedName name="_xlnm.Print_Titles" localSheetId="5">'Nuevo León_USAMuni'!$1:$9</definedName>
    <definedName name="_xlnm.Print_Titles" localSheetId="3">'Nuevo LeónXCons'!$1:$11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3" l="1"/>
  <c r="E13" i="13"/>
  <c r="F12" i="13"/>
  <c r="D12" i="16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E30" i="13"/>
  <c r="E28" i="13"/>
  <c r="E27" i="13"/>
  <c r="E26" i="13"/>
  <c r="E25" i="13"/>
  <c r="E24" i="13"/>
  <c r="E23" i="13"/>
  <c r="E22" i="13"/>
  <c r="E19" i="13"/>
  <c r="E18" i="13"/>
  <c r="E17" i="13"/>
  <c r="E16" i="13"/>
  <c r="E15" i="13"/>
  <c r="E14" i="13"/>
  <c r="E12" i="13"/>
  <c r="D21" i="16"/>
  <c r="D20" i="16"/>
  <c r="D19" i="16"/>
  <c r="D18" i="16"/>
  <c r="D17" i="16"/>
  <c r="D16" i="16"/>
  <c r="D15" i="16"/>
  <c r="D14" i="16"/>
  <c r="D13" i="16"/>
  <c r="C22" i="16"/>
  <c r="D22" i="16" l="1"/>
</calcChain>
</file>

<file path=xl/sharedStrings.xml><?xml version="1.0" encoding="utf-8"?>
<sst xmlns="http://schemas.openxmlformats.org/spreadsheetml/2006/main" count="3317" uniqueCount="314">
  <si>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</si>
  <si>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</si>
  <si>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</si>
  <si>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</si>
  <si>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</si>
  <si>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</si>
  <si>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</si>
  <si>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</si>
  <si>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</si>
  <si>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</si>
  <si>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</si>
  <si>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</si>
  <si>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</si>
  <si>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</si>
  <si>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</si>
  <si>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</si>
  <si>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</si>
  <si>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</si>
  <si>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</si>
  <si>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</si>
  <si>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</si>
  <si>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</si>
  <si>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</si>
  <si>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</si>
  <si>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</si>
  <si>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</si>
  <si>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</si>
  <si>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</si>
  <si>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</si>
  <si>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</si>
  <si>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</si>
  <si>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</si>
  <si>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</si>
  <si>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</si>
  <si>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</si>
  <si>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NUEVO LEÓN EN LOS CONSULADOS DE MÉXICO EN EE.UU.</t>
  </si>
  <si>
    <t xml:space="preserve">MATRÍCULAS CONSULARES EXPEDIDAS A ORIGINARIOS DE NUEVO LEÓN POR GÉNERO EN EE.UU </t>
  </si>
  <si>
    <t>MATRÍCULAS CONSULARES EXPEDIDAS EN EE.UU. A ORIGINARIOS DE NUEVO LEÓN POR NIVEL DE EDUCACIÓN</t>
  </si>
  <si>
    <t xml:space="preserve">MATRÍCULAS CONSULARES EXPEDIDAS A ORIGINARIOS DE NUEVO LEÓN POR GÉNERO Y CONSULADO </t>
  </si>
  <si>
    <t>MATRÍCULAS CONSULARES EXPEDIDAS A ORIGINARIOS DE NUEVO LEÓN POR GÉNERO Y POR ESTADO DE LA UNIÓN AMERICANA</t>
  </si>
  <si>
    <t xml:space="preserve"> </t>
  </si>
  <si>
    <t>MATRÍCULAS CONSULARES DE ALTA SEGURIDAD EXPEDIDAS POR MUNICIPIO A ORIGINARIOS DEL ESTADO DE NUEVO LEÓN EN LOS CONSULADOS DE MÉXICO EN EE.UU.</t>
  </si>
  <si>
    <t>MATRÍCULAS CONSULARES DE ALTA SEGURIDAD EXPEDIDAS A ORIGINARIOS DE NUEVO LEÓN POR ESTADO DE LA UNIÓN AMERICANA.</t>
  </si>
  <si>
    <t>LOS 10 CONSULADOS  DE MÉXICO EN EE.UU., CON MAYOR NÚMERO DE EXPEDICIÓN DE  MATRÍCULAS CONSULARES DE ALTA SEGURIDAD A ORIGINARIOS DE NUEVO LEÓN</t>
  </si>
  <si>
    <t>TOTAL TOP 10</t>
  </si>
  <si>
    <t>TOTAL GENERAL</t>
  </si>
  <si>
    <t>Elaborado por: Análisis de Información, Instituto de Mexicanas y Mexicanos en el Exterior</t>
  </si>
  <si>
    <t>HOUSTON</t>
  </si>
  <si>
    <t>MCALLEN</t>
  </si>
  <si>
    <t>DALLAS</t>
  </si>
  <si>
    <t>SAN ANTONIO</t>
  </si>
  <si>
    <t>CHICAGO</t>
  </si>
  <si>
    <t>LAREDO</t>
  </si>
  <si>
    <t>AUSTIN</t>
  </si>
  <si>
    <t>BROWNSVILLE</t>
  </si>
  <si>
    <t>RALEIGH</t>
  </si>
  <si>
    <t>LITTLE ROCK</t>
  </si>
  <si>
    <t>ATLANTA</t>
  </si>
  <si>
    <t>OKLAHOMA CITY</t>
  </si>
  <si>
    <t>ORLANDO</t>
  </si>
  <si>
    <t>LOS ANGELES</t>
  </si>
  <si>
    <t>KANSAS CITY</t>
  </si>
  <si>
    <t>NUEVA ORLEANS</t>
  </si>
  <si>
    <t>DETROIT</t>
  </si>
  <si>
    <t>INDIANAPOLIS</t>
  </si>
  <si>
    <t>SAINT PAUL</t>
  </si>
  <si>
    <t>PHOENIX</t>
  </si>
  <si>
    <t>DENVER</t>
  </si>
  <si>
    <t>ALBUQUERQUE</t>
  </si>
  <si>
    <t>MIAMI</t>
  </si>
  <si>
    <t>FRESNO</t>
  </si>
  <si>
    <t>LAS VEGAS</t>
  </si>
  <si>
    <t>MILWAUKEE</t>
  </si>
  <si>
    <t>WASHINGTON</t>
  </si>
  <si>
    <t>SALT LAKE CITY</t>
  </si>
  <si>
    <t>SAN JOSE</t>
  </si>
  <si>
    <t>PRESIDIO</t>
  </si>
  <si>
    <t>SACRAMENTO</t>
  </si>
  <si>
    <t>OMAHA</t>
  </si>
  <si>
    <t>BOISE</t>
  </si>
  <si>
    <t>FILADELFIA</t>
  </si>
  <si>
    <t>SAN BERNARDINO</t>
  </si>
  <si>
    <t>SAN DIEGO</t>
  </si>
  <si>
    <t>EL PASO</t>
  </si>
  <si>
    <t>NUEVA YORK</t>
  </si>
  <si>
    <t>DEL RIO</t>
  </si>
  <si>
    <t>SANTA ANA</t>
  </si>
  <si>
    <t>BOSTON</t>
  </si>
  <si>
    <t>SEATTLE</t>
  </si>
  <si>
    <t>SAN FRANCISCO</t>
  </si>
  <si>
    <t>EAGLE PASS</t>
  </si>
  <si>
    <t>OXNARD</t>
  </si>
  <si>
    <t>TUCSON</t>
  </si>
  <si>
    <t>PORTLAND</t>
  </si>
  <si>
    <t>NEW BRUNSWICK</t>
  </si>
  <si>
    <t>NOGALES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</si>
  <si>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</si>
  <si>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</si>
  <si>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</si>
  <si>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</si>
  <si>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</si>
  <si>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</si>
  <si>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</si>
  <si>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</si>
  <si>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</si>
  <si>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</si>
  <si>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</si>
  <si>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</si>
  <si>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</si>
  <si>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</si>
  <si>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</si>
  <si>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</si>
  <si>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</si>
  <si>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</si>
  <si>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</si>
  <si>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</si>
  <si>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</si>
  <si>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</si>
  <si>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</si>
  <si>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</si>
  <si>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</si>
  <si>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</si>
  <si>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</si>
  <si>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</si>
  <si>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</si>
  <si>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</si>
  <si>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</si>
  <si>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</si>
  <si>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</si>
  <si>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</si>
  <si>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</si>
  <si>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</si>
  <si>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</si>
  <si>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</si>
  <si>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</si>
  <si>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</si>
  <si>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</si>
  <si>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</si>
  <si>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</si>
  <si>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</si>
  <si>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CIÉNEGA DE FLORES</t>
  </si>
  <si>
    <t>DOCTOR ARROYO</t>
  </si>
  <si>
    <t>GUADALUPE</t>
  </si>
  <si>
    <t>LINARES</t>
  </si>
  <si>
    <t>MONTERREY</t>
  </si>
  <si>
    <t>PESQUERÍA</t>
  </si>
  <si>
    <t>SABINAS HIDALGO</t>
  </si>
  <si>
    <t>SAN NICOLÁS DE LOS GARZA</t>
  </si>
  <si>
    <t>SAN PEDRO GARZA GARCÍA</t>
  </si>
  <si>
    <t>ALLENDE</t>
  </si>
  <si>
    <t>GALEANA</t>
  </si>
  <si>
    <t>MONTEMORELOS</t>
  </si>
  <si>
    <t>SANTIAGO</t>
  </si>
  <si>
    <t>ANÁHUAC</t>
  </si>
  <si>
    <t>CADEREYTA JIMÉNEZ</t>
  </si>
  <si>
    <t>GENERAL TERÁN</t>
  </si>
  <si>
    <t>JUÁREZ</t>
  </si>
  <si>
    <t>LOS RAMONES</t>
  </si>
  <si>
    <t>MIER Y NORIEGA</t>
  </si>
  <si>
    <t>RAYONES</t>
  </si>
  <si>
    <t>BUSTAMANTE</t>
  </si>
  <si>
    <t>CERRALVO</t>
  </si>
  <si>
    <t>CHINA</t>
  </si>
  <si>
    <t>LOS ALDAMAS</t>
  </si>
  <si>
    <t>LOS HERRERAS</t>
  </si>
  <si>
    <t>MINA</t>
  </si>
  <si>
    <t>SALINAS VICTORIA</t>
  </si>
  <si>
    <t>ABASOLO</t>
  </si>
  <si>
    <t>HUALAHÜISES</t>
  </si>
  <si>
    <t>SANTA CATARINA</t>
  </si>
  <si>
    <t>AGUALEGUAS</t>
  </si>
  <si>
    <t>APODACA</t>
  </si>
  <si>
    <t>DOCTOR COSS</t>
  </si>
  <si>
    <t>HUALAHUISES</t>
  </si>
  <si>
    <t>VILLALDAMA</t>
  </si>
  <si>
    <t>ARAMBERRI</t>
  </si>
  <si>
    <t>GENERAL BRAVO</t>
  </si>
  <si>
    <t>GENERAL ESCOBEDO</t>
  </si>
  <si>
    <t>GENERAL TREVIÑO</t>
  </si>
  <si>
    <t>GENERAL ZARAGOZA</t>
  </si>
  <si>
    <t>HIDALGO</t>
  </si>
  <si>
    <t>VALLECILLO</t>
  </si>
  <si>
    <t>LAMPAZOS DE NARANJO</t>
  </si>
  <si>
    <t>GARCÍA</t>
  </si>
  <si>
    <t>PARÁS</t>
  </si>
  <si>
    <t>GENERAL ZUAZUA</t>
  </si>
  <si>
    <t>MARÍN</t>
  </si>
  <si>
    <t>DOCTOR GONZÁLEZ</t>
  </si>
  <si>
    <t>EL CARMEN</t>
  </si>
  <si>
    <t>HIGUERAS</t>
  </si>
  <si>
    <t>ITURBIDE</t>
  </si>
  <si>
    <t>MELCHOR OCAMPO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</si>
  <si>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</si>
  <si>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</si>
  <si>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</si>
  <si>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</si>
  <si>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</si>
  <si>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</si>
  <si>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</si>
  <si>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</si>
  <si>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</si>
  <si>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</si>
  <si>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</si>
  <si>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</si>
  <si>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</si>
  <si>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</si>
  <si>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</si>
  <si>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</si>
  <si>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</si>
  <si>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</si>
  <si>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</si>
  <si>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</si>
  <si>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</si>
  <si>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</si>
  <si>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</si>
  <si>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</si>
  <si>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</si>
  <si>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</si>
  <si>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</si>
  <si>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</si>
  <si>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</si>
  <si>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</si>
  <si>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</si>
  <si>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</si>
  <si>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</si>
  <si>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ESTUDIANTE</t>
  </si>
  <si>
    <t>OBRERO(A)</t>
  </si>
  <si>
    <t>CONSTRUCCIÓN, TRAB. DE LA IND. DE LA</t>
  </si>
  <si>
    <t>JUBILADO(A)/PENSIONADO(A)</t>
  </si>
  <si>
    <t>PROFESIONISTA</t>
  </si>
  <si>
    <t>ALIMENTOS Y BEBIDAS, ESP. EN PREPARACIÓN DE</t>
  </si>
  <si>
    <t>PINTOR(A)</t>
  </si>
  <si>
    <t>CHOFER</t>
  </si>
  <si>
    <t>VENDEDOR(A)</t>
  </si>
  <si>
    <t>MECÁNICO(A)</t>
  </si>
  <si>
    <t>JARDINERO(A)</t>
  </si>
  <si>
    <t>EMPRESARIO(A)</t>
  </si>
  <si>
    <t>OPERARIO(A)</t>
  </si>
  <si>
    <t>AGROPECUARIA, TRAB. DE LA INDUSTRIA</t>
  </si>
  <si>
    <t>MESERO(A)</t>
  </si>
  <si>
    <t>SIN ESPECIFICAR</t>
  </si>
  <si>
    <t>CARPINTERO/TAPICERO</t>
  </si>
  <si>
    <t>TÉCNICO(A) EN MANTENIMIENTO</t>
  </si>
  <si>
    <t>LIMPIEZA, EMPLEADO DE</t>
  </si>
  <si>
    <t>SOLDADOR</t>
  </si>
  <si>
    <t>DESEMPLEADO</t>
  </si>
  <si>
    <t>BELLEZA, PROFESIONAL DE SERVICIOS DE</t>
  </si>
  <si>
    <t>CAJERO(A)/COBRADOR(A)</t>
  </si>
  <si>
    <t>PROFESOR(A)</t>
  </si>
  <si>
    <t>ENFERMERO(A)/TRAB. DE APOYO EN SALUD</t>
  </si>
  <si>
    <t>ARTISTA INTERPRETATIVO(A)</t>
  </si>
  <si>
    <t>ADMINISTRADOR(A)/CONTADOR(A)</t>
  </si>
  <si>
    <t>DISCAPACITADO</t>
  </si>
  <si>
    <t>PROFESIONAL TÉCNICO</t>
  </si>
  <si>
    <t>CARNICERO(A)</t>
  </si>
  <si>
    <t>INGENIERO(A)</t>
  </si>
  <si>
    <t>MINISTRO(A) RELIGIOSO(A)</t>
  </si>
  <si>
    <t>SUPERVISOR(A)</t>
  </si>
  <si>
    <t>DISEÑADOR(A)</t>
  </si>
  <si>
    <t>GERENTE/DIRECTOR(A)</t>
  </si>
  <si>
    <t>OTRO</t>
  </si>
  <si>
    <t>AUXILIARES ADMINISTRATIVOS Y DE OFICINA</t>
  </si>
  <si>
    <t>COMERCIANTE</t>
  </si>
  <si>
    <t>HERRERO(A)/CERRAJERO(A)/JOYERO(A)</t>
  </si>
  <si>
    <t>MÉDICO(A) /ESP. EN SALUD</t>
  </si>
  <si>
    <t>CONSULTOR</t>
  </si>
  <si>
    <t>HOJALATERO</t>
  </si>
  <si>
    <t>MODISTA/SASTRE</t>
  </si>
  <si>
    <t>TRABAJADOR(A) SOCIAL</t>
  </si>
  <si>
    <t>ABOGADO(A)</t>
  </si>
  <si>
    <t>ARTESANO(A)</t>
  </si>
  <si>
    <t>ARTISTA PLÁSTICO/PINTOR(A)</t>
  </si>
  <si>
    <t>EXTRACCIÓN, TRAB. DE LA INDUSTRIA DE LA</t>
  </si>
  <si>
    <t>SERVIDOR(A) PÚBLICO(A)</t>
  </si>
  <si>
    <t>TRABAJADOR(A) DOMÉSTICO(A)</t>
  </si>
  <si>
    <t>MATRÍCULAS CONSULARES EXPEDIDAS A ORIGINARIOS DE NUEVO LEÓN POR GÉNERO 
Y EDAD EN EE.UU.</t>
  </si>
  <si>
    <t>MATRÍCULAS CONSULARES EXPEDIDAS EN EE.UU. ORIGINARIOS DE NUEVO LEÓN POR PERFIL OCUPACIONAL</t>
  </si>
  <si>
    <t>Tamaño de la muestra: 808,027</t>
  </si>
  <si>
    <t>YUMA</t>
  </si>
  <si>
    <t>DISTRICT OF COLUMBIA</t>
  </si>
  <si>
    <t>HAWAII</t>
  </si>
  <si>
    <t>NEW HAMPSHIRE</t>
  </si>
  <si>
    <t>NO BINARIO</t>
  </si>
  <si>
    <t>WEST VIRGINIA</t>
  </si>
  <si>
    <t>DESCONOCIDO</t>
  </si>
  <si>
    <t>CHIQUIHUITLÁN DE BENITO JUÁREZ</t>
  </si>
  <si>
    <t>KINDERGARTEN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</si>
  <si>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</si>
  <si>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</si>
  <si>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</si>
  <si>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</si>
  <si>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</si>
  <si>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</si>
  <si>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</si>
  <si>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</si>
  <si>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</si>
  <si>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</si>
  <si>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</si>
  <si>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</si>
  <si>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</si>
  <si>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</si>
  <si>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</si>
  <si>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</si>
  <si>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NO BINARIO  </t>
  </si>
  <si>
    <t>DEPORTISTA/ENTRENADOR DEPORTIVO</t>
  </si>
  <si>
    <t>BANQUERO/INVERSIONISTA</t>
  </si>
  <si>
    <t>ZAPATERO</t>
  </si>
  <si>
    <t>TOTAL</t>
  </si>
  <si>
    <t>Junio de 2025</t>
  </si>
  <si>
    <t xml:space="preserve"> TOTAL </t>
  </si>
  <si>
    <t xml:space="preserve"> TOTAL</t>
  </si>
  <si>
    <t>junio de 2025</t>
  </si>
  <si>
    <t xml:space="preserve">TOTAL </t>
  </si>
  <si>
    <t xml:space="preserve">  Matrículas consulares expedidas a originarios de Nuevo León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</si>
</sst>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top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0" borderId="0" xfId="0" applyFont="1" applyAlignment="1">
      <alignment horizontal="justify" vertical="center"/>
    </xf>
    <xf numFmtId="0" fontId="21" fillId="0" borderId="0" xfId="0" applyFont="1" applyAlignment="1">
      <alignment vertical="top"/>
    </xf>
    <xf numFmtId="0" fontId="22" fillId="3" borderId="0" xfId="0" applyFont="1" applyFill="1"/>
    <xf numFmtId="0" fontId="22" fillId="3" borderId="14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4" fillId="0" borderId="9" xfId="0" applyFont="1" applyBorder="1" applyAlignment="1">
      <alignment vertical="center" wrapText="1"/>
    </xf>
    <xf numFmtId="3" fontId="24" fillId="6" borderId="9" xfId="0" applyNumberFormat="1" applyFont="1" applyFill="1" applyBorder="1" applyAlignment="1">
      <alignment horizontal="right" vertical="center" wrapText="1"/>
    </xf>
    <xf numFmtId="10" fontId="24" fillId="6" borderId="9" xfId="0" applyNumberFormat="1" applyFont="1" applyFill="1" applyBorder="1" applyAlignment="1">
      <alignment horizontal="right" vertical="center" wrapText="1"/>
    </xf>
    <xf numFmtId="0" fontId="24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5" fillId="0" borderId="9" xfId="0" applyNumberFormat="1" applyFont="1" applyBorder="1" applyAlignment="1">
      <alignment vertical="top" wrapText="1"/>
    </xf>
    <xf numFmtId="165" fontId="24" fillId="6" borderId="9" xfId="0" applyNumberFormat="1" applyFont="1" applyFill="1" applyBorder="1" applyAlignment="1">
      <alignment horizontal="right" vertical="top" wrapText="1"/>
    </xf>
    <xf numFmtId="164" fontId="24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5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23" fillId="5" borderId="10" xfId="3" applyFont="1" applyFill="1" applyBorder="1" applyAlignment="1">
      <alignment horizontal="center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4" borderId="9" xfId="0" applyFont="1" applyFill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0" fontId="17" fillId="4" borderId="13" xfId="0" applyFont="1" applyFill="1" applyBorder="1" applyAlignment="1">
      <alignment vertical="center" wrapText="1"/>
    </xf>
    <xf numFmtId="0" fontId="17" fillId="4" borderId="12" xfId="0" applyFont="1" applyFill="1" applyBorder="1" applyAlignment="1">
      <alignment vertical="center" wrapText="1"/>
    </xf>
    <xf numFmtId="0" fontId="24" fillId="0" borderId="10" xfId="0" applyFont="1" applyBorder="1" applyAlignment="1">
      <alignment horizontal="center" vertical="top" wrapText="1"/>
    </xf>
    <xf numFmtId="0" fontId="24" fillId="0" borderId="16" xfId="0" applyFont="1" applyBorder="1" applyAlignment="1">
      <alignment horizontal="center" vertical="top" wrapText="1"/>
    </xf>
    <xf numFmtId="0" fontId="24" fillId="0" borderId="17" xfId="0" applyFont="1" applyBorder="1" applyAlignment="1">
      <alignment horizontal="center" vertical="top" wrapText="1"/>
    </xf>
    <xf numFmtId="0" fontId="22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/>
    </xf>
    <xf numFmtId="0" fontId="22" fillId="3" borderId="14" xfId="0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49" fontId="25" fillId="0" borderId="10" xfId="0" applyNumberFormat="1" applyFont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9" fontId="25" fillId="0" borderId="17" xfId="0" applyNumberFormat="1" applyFont="1" applyBorder="1" applyAlignment="1">
      <alignment horizontal="center" vertical="center" wrapText="1"/>
    </xf>
    <xf numFmtId="49" fontId="17" fillId="7" borderId="13" xfId="0" applyNumberFormat="1" applyFont="1" applyFill="1" applyBorder="1" applyAlignment="1">
      <alignment vertical="top" wrapText="1"/>
    </xf>
    <xf numFmtId="49" fontId="17" fillId="4" borderId="13" xfId="0" applyNumberFormat="1" applyFont="1" applyFill="1" applyBorder="1" applyAlignment="1">
      <alignment horizontal="center" vertical="top" wrapText="1"/>
    </xf>
    <xf numFmtId="49" fontId="17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403941</xdr:colOff>
      <xdr:row>1</xdr:row>
      <xdr:rowOff>171142</xdr:rowOff>
    </xdr:from>
    <xdr:to>
      <xdr:col>3</xdr:col>
      <xdr:colOff>916038</xdr:colOff>
      <xdr:row>2</xdr:row>
      <xdr:rowOff>171142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0091" y="7045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</a:p>
      </xdr:txBody>
    </xdr:sp>
    <xdr:clientData/>
  </xdr:twoCellAnchor>
  <xdr:twoCellAnchor>
    <xdr:from>
      <xdr:col>4</xdr:col>
      <xdr:colOff>19050</xdr:colOff>
      <xdr:row>8</xdr:row>
      <xdr:rowOff>171450</xdr:rowOff>
    </xdr:from>
    <xdr:to>
      <xdr:col>4</xdr:col>
      <xdr:colOff>531147</xdr:colOff>
      <xdr:row>8</xdr:row>
      <xdr:rowOff>355805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48175" y="18859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297348</xdr:colOff>
      <xdr:row>1</xdr:row>
      <xdr:rowOff>182219</xdr:rowOff>
    </xdr:from>
    <xdr:to>
      <xdr:col>1</xdr:col>
      <xdr:colOff>1297473</xdr:colOff>
      <xdr:row>3</xdr:row>
      <xdr:rowOff>23096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9F059E-737F-4492-8771-8B88BA0BEF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348" y="37271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380173</xdr:colOff>
      <xdr:row>1</xdr:row>
      <xdr:rowOff>107675</xdr:rowOff>
    </xdr:from>
    <xdr:to>
      <xdr:col>5</xdr:col>
      <xdr:colOff>199197</xdr:colOff>
      <xdr:row>3</xdr:row>
      <xdr:rowOff>195110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466D788-D833-4099-9974-E5B3A6A2B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1" y="29817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9525</xdr:colOff>
      <xdr:row>8</xdr:row>
      <xdr:rowOff>9525</xdr:rowOff>
    </xdr:from>
    <xdr:to>
      <xdr:col>4</xdr:col>
      <xdr:colOff>521622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44182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181391</xdr:colOff>
      <xdr:row>2</xdr:row>
      <xdr:rowOff>24849</xdr:rowOff>
    </xdr:from>
    <xdr:to>
      <xdr:col>1</xdr:col>
      <xdr:colOff>1181516</xdr:colOff>
      <xdr:row>3</xdr:row>
      <xdr:rowOff>56226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A0BCB0-DDC8-424E-B902-C8E0B45F5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391" y="40584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355325</xdr:colOff>
      <xdr:row>1</xdr:row>
      <xdr:rowOff>124240</xdr:rowOff>
    </xdr:from>
    <xdr:to>
      <xdr:col>5</xdr:col>
      <xdr:colOff>174350</xdr:colOff>
      <xdr:row>3</xdr:row>
      <xdr:rowOff>211675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DC8D311-393E-45E9-AB46-7CD68D06C1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6021" y="31474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222805</xdr:colOff>
      <xdr:row>1</xdr:row>
      <xdr:rowOff>149087</xdr:rowOff>
    </xdr:from>
    <xdr:to>
      <xdr:col>1</xdr:col>
      <xdr:colOff>1222930</xdr:colOff>
      <xdr:row>2</xdr:row>
      <xdr:rowOff>180464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A098BE-4619-4FB5-9459-2650ABA60E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805" y="33958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429870</xdr:colOff>
      <xdr:row>1</xdr:row>
      <xdr:rowOff>57978</xdr:rowOff>
    </xdr:from>
    <xdr:to>
      <xdr:col>5</xdr:col>
      <xdr:colOff>248894</xdr:colOff>
      <xdr:row>3</xdr:row>
      <xdr:rowOff>145413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11CA893-427F-40FD-B81B-9C5B9AF9C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9348" y="2484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127001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28180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126309</xdr:colOff>
      <xdr:row>7</xdr:row>
      <xdr:rowOff>83102</xdr:rowOff>
    </xdr:from>
    <xdr:to>
      <xdr:col>5</xdr:col>
      <xdr:colOff>19281</xdr:colOff>
      <xdr:row>8</xdr:row>
      <xdr:rowOff>74196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692222" y="1623667"/>
          <a:ext cx="5390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252209</xdr:colOff>
      <xdr:row>1</xdr:row>
      <xdr:rowOff>162202</xdr:rowOff>
    </xdr:from>
    <xdr:to>
      <xdr:col>1</xdr:col>
      <xdr:colOff>1252334</xdr:colOff>
      <xdr:row>3</xdr:row>
      <xdr:rowOff>3079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03B8D2D-E75F-4F2E-9058-A0936E347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209" y="352702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57152</xdr:colOff>
      <xdr:row>1</xdr:row>
      <xdr:rowOff>80204</xdr:rowOff>
    </xdr:from>
    <xdr:to>
      <xdr:col>4</xdr:col>
      <xdr:colOff>497372</xdr:colOff>
      <xdr:row>3</xdr:row>
      <xdr:rowOff>167639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AEDB171-33CB-486C-876E-2C3DC5F5C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2" y="2707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NUEVO LEÓN POR ESTADO EN EE.UU.</a:t>
          </a:r>
        </a:p>
      </xdr:txBody>
    </xdr:sp>
    <xdr:clientData/>
  </xdr:twoCellAnchor>
  <xdr:twoCellAnchor>
    <xdr:from>
      <xdr:col>4</xdr:col>
      <xdr:colOff>324678</xdr:colOff>
      <xdr:row>7</xdr:row>
      <xdr:rowOff>106018</xdr:rowOff>
    </xdr:from>
    <xdr:to>
      <xdr:col>4</xdr:col>
      <xdr:colOff>836775</xdr:colOff>
      <xdr:row>7</xdr:row>
      <xdr:rowOff>290373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213613" y="184536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190913</xdr:colOff>
      <xdr:row>2</xdr:row>
      <xdr:rowOff>39691</xdr:rowOff>
    </xdr:from>
    <xdr:to>
      <xdr:col>2</xdr:col>
      <xdr:colOff>288234</xdr:colOff>
      <xdr:row>3</xdr:row>
      <xdr:rowOff>71068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2E462C-3386-4DFA-BB91-B778EEC5C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588" y="38259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485774</xdr:colOff>
      <xdr:row>1</xdr:row>
      <xdr:rowOff>134940</xdr:rowOff>
    </xdr:from>
    <xdr:to>
      <xdr:col>4</xdr:col>
      <xdr:colOff>925994</xdr:colOff>
      <xdr:row>3</xdr:row>
      <xdr:rowOff>222375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0D3D8A9-7931-435F-A139-2C230276F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28734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NUEVO LEÓN EN LOS COSULADOS DE MÉXICO EN EE.UU.</a:t>
          </a:r>
        </a:p>
      </xdr:txBody>
    </xdr:sp>
    <xdr:clientData/>
  </xdr:twoCellAnchor>
  <xdr:twoCellAnchor>
    <xdr:from>
      <xdr:col>4</xdr:col>
      <xdr:colOff>519207</xdr:colOff>
      <xdr:row>7</xdr:row>
      <xdr:rowOff>108137</xdr:rowOff>
    </xdr:from>
    <xdr:to>
      <xdr:col>4</xdr:col>
      <xdr:colOff>1031304</xdr:colOff>
      <xdr:row>7</xdr:row>
      <xdr:rowOff>292492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614148" y="18562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174276</xdr:colOff>
      <xdr:row>1</xdr:row>
      <xdr:rowOff>182273</xdr:rowOff>
    </xdr:from>
    <xdr:to>
      <xdr:col>2</xdr:col>
      <xdr:colOff>271597</xdr:colOff>
      <xdr:row>3</xdr:row>
      <xdr:rowOff>23150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03CD8B9-AEA7-4913-B7F1-CF4F128C2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537" y="33136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413496</xdr:colOff>
      <xdr:row>1</xdr:row>
      <xdr:rowOff>69240</xdr:rowOff>
    </xdr:from>
    <xdr:to>
      <xdr:col>4</xdr:col>
      <xdr:colOff>853716</xdr:colOff>
      <xdr:row>3</xdr:row>
      <xdr:rowOff>156675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6DA86E5-0EFA-4CB5-ADFD-8D8E543C8D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8055" y="2261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295275</xdr:colOff>
      <xdr:row>8</xdr:row>
      <xdr:rowOff>9525</xdr:rowOff>
    </xdr:from>
    <xdr:to>
      <xdr:col>5</xdr:col>
      <xdr:colOff>188247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72440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195387</xdr:colOff>
      <xdr:row>1</xdr:row>
      <xdr:rowOff>152229</xdr:rowOff>
    </xdr:from>
    <xdr:to>
      <xdr:col>1</xdr:col>
      <xdr:colOff>1195512</xdr:colOff>
      <xdr:row>2</xdr:row>
      <xdr:rowOff>183606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00095FC-0DD3-48E0-90BF-59F71F33D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387" y="342729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407888</xdr:colOff>
      <xdr:row>1</xdr:row>
      <xdr:rowOff>121054</xdr:rowOff>
    </xdr:from>
    <xdr:to>
      <xdr:col>5</xdr:col>
      <xdr:colOff>226912</xdr:colOff>
      <xdr:row>3</xdr:row>
      <xdr:rowOff>208489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BFF91F3-A0CC-4826-8F5E-277C1D4A8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97926" y="311554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NUEVO LEÓN POR NIVEL DE EDUCACIÓN Y ESTADO EN EE.UU. </a:t>
          </a:r>
        </a:p>
      </xdr:txBody>
    </xdr:sp>
    <xdr:clientData/>
  </xdr:twoCellAnchor>
  <xdr:twoCellAnchor>
    <xdr:from>
      <xdr:col>4</xdr:col>
      <xdr:colOff>438979</xdr:colOff>
      <xdr:row>7</xdr:row>
      <xdr:rowOff>66260</xdr:rowOff>
    </xdr:from>
    <xdr:to>
      <xdr:col>4</xdr:col>
      <xdr:colOff>951076</xdr:colOff>
      <xdr:row>7</xdr:row>
      <xdr:rowOff>250615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77240" y="180560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162338</xdr:colOff>
      <xdr:row>1</xdr:row>
      <xdr:rowOff>159788</xdr:rowOff>
    </xdr:from>
    <xdr:to>
      <xdr:col>2</xdr:col>
      <xdr:colOff>259659</xdr:colOff>
      <xdr:row>3</xdr:row>
      <xdr:rowOff>665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9C6BE12-A7D7-4EAD-8135-FACC851ED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599" y="30887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453058</xdr:colOff>
      <xdr:row>1</xdr:row>
      <xdr:rowOff>81517</xdr:rowOff>
    </xdr:from>
    <xdr:to>
      <xdr:col>4</xdr:col>
      <xdr:colOff>893278</xdr:colOff>
      <xdr:row>3</xdr:row>
      <xdr:rowOff>168952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AC3E193-D3EC-45B2-A428-4926F53F68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1319" y="2306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NUEVO LEÓN POR CONSULADO Y NIVEL DE EDUCACIÓN EN EE.UU</a:t>
          </a:r>
        </a:p>
      </xdr:txBody>
    </xdr:sp>
    <xdr:clientData/>
  </xdr:twoCellAnchor>
  <xdr:twoCellAnchor>
    <xdr:from>
      <xdr:col>4</xdr:col>
      <xdr:colOff>463176</xdr:colOff>
      <xdr:row>7</xdr:row>
      <xdr:rowOff>7470</xdr:rowOff>
    </xdr:from>
    <xdr:to>
      <xdr:col>4</xdr:col>
      <xdr:colOff>975273</xdr:colOff>
      <xdr:row>7</xdr:row>
      <xdr:rowOff>191825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976470" y="175558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160999</xdr:colOff>
      <xdr:row>2</xdr:row>
      <xdr:rowOff>29435</xdr:rowOff>
    </xdr:from>
    <xdr:to>
      <xdr:col>2</xdr:col>
      <xdr:colOff>258320</xdr:colOff>
      <xdr:row>3</xdr:row>
      <xdr:rowOff>60812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8EB7DDC-A7C6-48D0-A129-375BBE4DE9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674" y="37233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477321</xdr:colOff>
      <xdr:row>1</xdr:row>
      <xdr:rowOff>88729</xdr:rowOff>
    </xdr:from>
    <xdr:to>
      <xdr:col>4</xdr:col>
      <xdr:colOff>917541</xdr:colOff>
      <xdr:row>3</xdr:row>
      <xdr:rowOff>176164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1EAFD7D-F37E-40A9-8D3F-75F39A1F01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3343" y="2378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371475</xdr:colOff>
      <xdr:row>8</xdr:row>
      <xdr:rowOff>219075</xdr:rowOff>
    </xdr:from>
    <xdr:to>
      <xdr:col>5</xdr:col>
      <xdr:colOff>264447</xdr:colOff>
      <xdr:row>8</xdr:row>
      <xdr:rowOff>403430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800600" y="1933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164256</xdr:colOff>
      <xdr:row>1</xdr:row>
      <xdr:rowOff>174220</xdr:rowOff>
    </xdr:from>
    <xdr:to>
      <xdr:col>1</xdr:col>
      <xdr:colOff>1164381</xdr:colOff>
      <xdr:row>3</xdr:row>
      <xdr:rowOff>15097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888B55E-2B5A-45A6-BF2E-1E551E555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56" y="364720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409020</xdr:colOff>
      <xdr:row>1</xdr:row>
      <xdr:rowOff>77399</xdr:rowOff>
    </xdr:from>
    <xdr:to>
      <xdr:col>5</xdr:col>
      <xdr:colOff>228044</xdr:colOff>
      <xdr:row>3</xdr:row>
      <xdr:rowOff>164834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28ECBBD-BBC7-4C5B-941D-F92B2B5FE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36503" y="267899"/>
          <a:ext cx="43650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996462</xdr:colOff>
      <xdr:row>8</xdr:row>
      <xdr:rowOff>165100</xdr:rowOff>
    </xdr:from>
    <xdr:to>
      <xdr:col>6</xdr:col>
      <xdr:colOff>80297</xdr:colOff>
      <xdr:row>10</xdr:row>
      <xdr:rowOff>7327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854212" y="1762369"/>
          <a:ext cx="512585" cy="2232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169379</xdr:colOff>
      <xdr:row>1</xdr:row>
      <xdr:rowOff>46730</xdr:rowOff>
    </xdr:from>
    <xdr:to>
      <xdr:col>2</xdr:col>
      <xdr:colOff>76200</xdr:colOff>
      <xdr:row>2</xdr:row>
      <xdr:rowOff>125732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CA37E11-D887-464F-8CC4-4629040DC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379" y="237230"/>
          <a:ext cx="1621321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377687</xdr:colOff>
      <xdr:row>0</xdr:row>
      <xdr:rowOff>155646</xdr:rowOff>
    </xdr:from>
    <xdr:to>
      <xdr:col>4</xdr:col>
      <xdr:colOff>817907</xdr:colOff>
      <xdr:row>3</xdr:row>
      <xdr:rowOff>100206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B8A6B04-F79F-413F-B6AB-81CC86408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9578" y="155646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644525</xdr:colOff>
      <xdr:row>9</xdr:row>
      <xdr:rowOff>12700</xdr:rowOff>
    </xdr:from>
    <xdr:to>
      <xdr:col>5</xdr:col>
      <xdr:colOff>133350</xdr:colOff>
      <xdr:row>10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02275" y="1774825"/>
          <a:ext cx="536575" cy="2254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211207</xdr:colOff>
      <xdr:row>1</xdr:row>
      <xdr:rowOff>109678</xdr:rowOff>
    </xdr:from>
    <xdr:to>
      <xdr:col>2</xdr:col>
      <xdr:colOff>118028</xdr:colOff>
      <xdr:row>2</xdr:row>
      <xdr:rowOff>188680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BFA2BA4-E43D-489C-B5E6-F48BEC2FFC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207" y="30017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471695</xdr:colOff>
      <xdr:row>1</xdr:row>
      <xdr:rowOff>7387</xdr:rowOff>
    </xdr:from>
    <xdr:to>
      <xdr:col>4</xdr:col>
      <xdr:colOff>911915</xdr:colOff>
      <xdr:row>3</xdr:row>
      <xdr:rowOff>142447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9EE6334-C7D7-40E1-A284-B46279823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3586" y="197887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612914</xdr:colOff>
      <xdr:row>9</xdr:row>
      <xdr:rowOff>38479</xdr:rowOff>
    </xdr:from>
    <xdr:to>
      <xdr:col>6</xdr:col>
      <xdr:colOff>140354</xdr:colOff>
      <xdr:row>9</xdr:row>
      <xdr:rowOff>223631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071153" y="1794392"/>
          <a:ext cx="579331" cy="18515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178904</xdr:colOff>
      <xdr:row>1</xdr:row>
      <xdr:rowOff>96425</xdr:rowOff>
    </xdr:from>
    <xdr:to>
      <xdr:col>2</xdr:col>
      <xdr:colOff>533400</xdr:colOff>
      <xdr:row>2</xdr:row>
      <xdr:rowOff>175427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7CEAC8D-EC59-47F3-8E28-30BD3EDFF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904" y="286925"/>
          <a:ext cx="1621735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464240</xdr:colOff>
      <xdr:row>1</xdr:row>
      <xdr:rowOff>23124</xdr:rowOff>
    </xdr:from>
    <xdr:to>
      <xdr:col>5</xdr:col>
      <xdr:colOff>904460</xdr:colOff>
      <xdr:row>3</xdr:row>
      <xdr:rowOff>158184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74F64ED-2D78-4F04-BC7E-9F8345B794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2479" y="213624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612913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67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NUEVO LEÓN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1199460</xdr:colOff>
      <xdr:row>8</xdr:row>
      <xdr:rowOff>106155</xdr:rowOff>
    </xdr:from>
    <xdr:to>
      <xdr:col>4</xdr:col>
      <xdr:colOff>501605</xdr:colOff>
      <xdr:row>8</xdr:row>
      <xdr:rowOff>306180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74547" y="1839981"/>
          <a:ext cx="539015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206240</xdr:colOff>
      <xdr:row>1</xdr:row>
      <xdr:rowOff>168414</xdr:rowOff>
    </xdr:from>
    <xdr:to>
      <xdr:col>1</xdr:col>
      <xdr:colOff>1206365</xdr:colOff>
      <xdr:row>3</xdr:row>
      <xdr:rowOff>9291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52B3BE-DA0B-4AD1-936F-430B93810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0" y="35891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1100760</xdr:colOff>
      <xdr:row>1</xdr:row>
      <xdr:rowOff>35891</xdr:rowOff>
    </xdr:from>
    <xdr:to>
      <xdr:col>4</xdr:col>
      <xdr:colOff>356567</xdr:colOff>
      <xdr:row>3</xdr:row>
      <xdr:rowOff>123326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22F9B75-5800-4A4C-943F-69E72B4747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3260" y="22639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view="pageBreakPreview" zoomScaleNormal="100" zoomScaleSheetLayoutView="100" workbookViewId="0">
      <selection activeCell="K10" sqref="K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7" t="s">
        <v>313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 ht="18.75">
      <c r="A6" s="75" t="s">
        <v>1</v>
      </c>
      <c r="B6" s="76"/>
      <c r="C6" s="76"/>
      <c r="D6" s="83"/>
    </row>
    <row r="7" spans="1:4">
      <c r="A7" s="8"/>
      <c r="D7" s="9"/>
    </row>
    <row r="8" spans="1:4" ht="18.75">
      <c r="A8" s="75" t="s">
        <v>2</v>
      </c>
      <c r="B8" s="76"/>
      <c r="C8" s="76"/>
      <c r="D8" s="83"/>
    </row>
    <row r="9" spans="1:4" ht="18.75">
      <c r="A9" s="75"/>
      <c r="B9" s="76" t="s">
        <v>3</v>
      </c>
      <c r="C9" s="76"/>
      <c r="D9" s="83"/>
    </row>
    <row r="10" spans="1:4">
      <c r="A10" s="8"/>
      <c r="D10" s="9"/>
    </row>
    <row r="11" spans="1:4">
      <c r="A11" s="8" t="s">
        <v>4</v>
      </c>
      <c r="D11" s="9"/>
    </row>
    <row r="12" spans="1:4" ht="18.75">
      <c r="A12" s="8"/>
      <c r="B12" s="75" t="s">
        <v>5</v>
      </c>
      <c r="C12" s="76"/>
      <c r="D12" s="76"/>
    </row>
    <row r="13" spans="1:4" ht="18.75">
      <c r="A13" s="8"/>
      <c r="B13" s="75" t="s">
        <v>6</v>
      </c>
      <c r="C13" s="76"/>
      <c r="D13" s="76"/>
    </row>
    <row r="14" spans="1:4" ht="18.75">
      <c r="A14" s="8"/>
      <c r="B14" s="75" t="s">
        <v>7</v>
      </c>
      <c r="C14" s="76"/>
      <c r="D14" s="76"/>
    </row>
    <row r="15" spans="1:4">
      <c r="A15" s="8"/>
      <c r="D15" s="9"/>
    </row>
    <row r="16" spans="1:4">
      <c r="A16" s="8" t="s">
        <v>8</v>
      </c>
      <c r="D16" s="9"/>
    </row>
    <row r="17" spans="1:4" ht="18.75">
      <c r="A17" s="8"/>
      <c r="B17" s="75" t="s">
        <v>9</v>
      </c>
      <c r="C17" s="76"/>
      <c r="D17" s="76"/>
    </row>
    <row r="18" spans="1:4" ht="18.75">
      <c r="A18" s="8"/>
      <c r="B18" s="75" t="s">
        <v>10</v>
      </c>
      <c r="C18" s="76"/>
      <c r="D18" s="76"/>
    </row>
    <row r="19" spans="1:4" ht="18.75">
      <c r="A19" s="8"/>
      <c r="B19" s="75" t="s">
        <v>11</v>
      </c>
      <c r="C19" s="76"/>
      <c r="D19" s="76"/>
    </row>
    <row r="20" spans="1:4">
      <c r="A20" s="8"/>
      <c r="D20" s="9"/>
    </row>
    <row r="21" spans="1:4">
      <c r="A21" s="8" t="s">
        <v>12</v>
      </c>
      <c r="D21" s="9"/>
    </row>
    <row r="22" spans="1:4" ht="18.75">
      <c r="A22" s="8"/>
      <c r="B22" s="75" t="s">
        <v>13</v>
      </c>
      <c r="C22" s="76"/>
      <c r="D22" s="76"/>
    </row>
    <row r="23" spans="1:4" ht="18.75">
      <c r="A23" s="8"/>
      <c r="B23" s="75" t="s">
        <v>14</v>
      </c>
      <c r="C23" s="76"/>
      <c r="D23" s="76"/>
    </row>
    <row r="24" spans="1:4" ht="18.75">
      <c r="A24" s="8"/>
      <c r="B24" s="75" t="s">
        <v>34</v>
      </c>
      <c r="C24" s="76"/>
      <c r="D24" s="76"/>
    </row>
    <row r="25" spans="1:4">
      <c r="A25" s="8"/>
      <c r="D25" s="9"/>
    </row>
    <row r="26" spans="1:4" ht="18.75">
      <c r="A26" s="75" t="s">
        <v>15</v>
      </c>
      <c r="B26" s="76"/>
      <c r="C26" s="76"/>
      <c r="D26" s="83"/>
    </row>
    <row r="27" spans="1:4">
      <c r="A27" s="8"/>
      <c r="D27" s="9"/>
    </row>
    <row r="28" spans="1:4" ht="18.75">
      <c r="A28" s="75" t="s">
        <v>16</v>
      </c>
      <c r="B28" s="76"/>
      <c r="C28" s="76"/>
      <c r="D28" s="83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A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Nuevo León_USAMuni'!A1" display="3.2 Por Estado de USA" xr:uid="{00000000-0004-0000-0000-00000D000000}"/>
    <hyperlink ref="A8:D8" location="'Nuevo León_Cons'!A1" display="2. Por Circunscripción Consular" xr:uid="{00000000-0004-0000-0000-00000E000000}"/>
    <hyperlink ref="B9:D9" location="'Nuevo LeónXCons'!A1" display="2.1 Top ten por circunscripción consular" xr:uid="{00000000-0004-0000-0000-00000F000000}"/>
    <hyperlink ref="A6:D6" location="'Nuevo León_EdoUsa'!A1" display="1. Por Estados de USA" xr:uid="{00000000-0004-0000-0000-000010000000}"/>
    <hyperlink ref="B12:D12" location="'Nuevo León_EdoMun'!A1" display="3.1 Municipio general" xr:uid="{00000000-0004-0000-0000-000011000000}"/>
    <hyperlink ref="B14:D14" location="'Nuevo León_MUNICIPIO'!A1" display="3.3 Por Circunscripción Consular" xr:uid="{00000000-0004-0000-0000-000012000000}"/>
    <hyperlink ref="B17:D17" location="'Nuevo León_educ_gral'!A1" display="4.1 Educación general" xr:uid="{00000000-0004-0000-0000-000013000000}"/>
    <hyperlink ref="B18:D18" location="'Nuevo León_NivelE_Cons'!A1" display="4.2 Por Estado de USA" xr:uid="{00000000-0004-0000-0000-000014000000}"/>
    <hyperlink ref="B19:D19" location="'Nuevo León_EducCons'!A1" display="4.3 Por Circunscripción Consular" xr:uid="{00000000-0004-0000-0000-000015000000}"/>
    <hyperlink ref="B22:D22" location="'Nuevo León_GenGral'!A1" display="5.1 Género General" xr:uid="{00000000-0004-0000-0000-000016000000}"/>
    <hyperlink ref="B23:D23" location="'Nuevo León_GENERO'!A1" display="5.2 Por Circunscripción Consular" xr:uid="{00000000-0004-0000-0000-000017000000}"/>
    <hyperlink ref="A26:D26" location="'Nuevo León_Gen_Edad'!A1" display="6. Por estructura de Edad" xr:uid="{00000000-0004-0000-0000-000018000000}"/>
    <hyperlink ref="A28:D28" location="'Nuevo León_ocup_gral'!A1" display="7. Por Ocupación" xr:uid="{00000000-0004-0000-0000-000019000000}"/>
    <hyperlink ref="B24" location="'Nuevo León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A1:F65"/>
  <sheetViews>
    <sheetView showGridLines="0" view="pageBreakPreview" zoomScale="11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42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33" customHeight="1">
      <c r="A11" s="29"/>
      <c r="B11" s="38" t="s">
        <v>21</v>
      </c>
      <c r="C11" s="37" t="s">
        <v>20</v>
      </c>
      <c r="D11" s="38" t="s">
        <v>19</v>
      </c>
      <c r="E11" s="29"/>
      <c r="F11" s="29"/>
    </row>
    <row r="12" spans="1:6" ht="16.5">
      <c r="A12" s="31"/>
      <c r="B12" s="52" t="s">
        <v>133</v>
      </c>
      <c r="C12" s="53">
        <v>11642</v>
      </c>
      <c r="D12" s="54">
        <v>0.82299999999999995</v>
      </c>
      <c r="E12" s="31"/>
      <c r="F12" s="31"/>
    </row>
    <row r="13" spans="1:6" ht="16.5">
      <c r="A13" s="31"/>
      <c r="B13" s="52" t="s">
        <v>106</v>
      </c>
      <c r="C13" s="55">
        <v>346</v>
      </c>
      <c r="D13" s="54">
        <v>2.4E-2</v>
      </c>
      <c r="E13" s="31"/>
      <c r="F13" s="31"/>
    </row>
    <row r="14" spans="1:6" ht="16.5">
      <c r="A14" s="31"/>
      <c r="B14" s="52" t="s">
        <v>99</v>
      </c>
      <c r="C14" s="55">
        <v>273</v>
      </c>
      <c r="D14" s="54">
        <v>1.9E-2</v>
      </c>
      <c r="E14" s="31"/>
      <c r="F14" s="31"/>
    </row>
    <row r="15" spans="1:6" ht="16.5">
      <c r="A15" s="31"/>
      <c r="B15" s="52" t="s">
        <v>104</v>
      </c>
      <c r="C15" s="55">
        <v>193</v>
      </c>
      <c r="D15" s="54">
        <v>1.4E-2</v>
      </c>
      <c r="E15" s="31"/>
      <c r="F15" s="31"/>
    </row>
    <row r="16" spans="1:6" ht="16.5">
      <c r="A16" s="31"/>
      <c r="B16" s="52" t="s">
        <v>127</v>
      </c>
      <c r="C16" s="55">
        <v>184</v>
      </c>
      <c r="D16" s="54">
        <v>1.2999999999999999E-2</v>
      </c>
      <c r="E16" s="31"/>
      <c r="F16" s="31"/>
    </row>
    <row r="17" spans="1:6" ht="16.5">
      <c r="A17" s="31"/>
      <c r="B17" s="52" t="s">
        <v>103</v>
      </c>
      <c r="C17" s="55">
        <v>164</v>
      </c>
      <c r="D17" s="54">
        <v>1.2E-2</v>
      </c>
      <c r="E17" s="31"/>
      <c r="F17" s="31"/>
    </row>
    <row r="18" spans="1:6" ht="16.5">
      <c r="A18" s="31"/>
      <c r="B18" s="52" t="s">
        <v>124</v>
      </c>
      <c r="C18" s="55">
        <v>143</v>
      </c>
      <c r="D18" s="54">
        <v>0.01</v>
      </c>
      <c r="E18" s="31"/>
      <c r="F18" s="31"/>
    </row>
    <row r="19" spans="1:6" ht="16.5">
      <c r="A19" s="31"/>
      <c r="B19" s="52" t="s">
        <v>132</v>
      </c>
      <c r="C19" s="55">
        <v>125</v>
      </c>
      <c r="D19" s="54">
        <v>8.9999999999999993E-3</v>
      </c>
      <c r="E19" s="31"/>
      <c r="F19" s="31"/>
    </row>
    <row r="20" spans="1:6" ht="16.5">
      <c r="A20" s="31"/>
      <c r="B20" s="52" t="s">
        <v>115</v>
      </c>
      <c r="C20" s="55">
        <v>84</v>
      </c>
      <c r="D20" s="54">
        <v>6.0000000000000001E-3</v>
      </c>
      <c r="E20" s="31"/>
      <c r="F20" s="31"/>
    </row>
    <row r="21" spans="1:6" ht="16.5">
      <c r="A21" s="31"/>
      <c r="B21" s="52" t="s">
        <v>98</v>
      </c>
      <c r="C21" s="55">
        <v>81</v>
      </c>
      <c r="D21" s="54">
        <v>6.0000000000000001E-3</v>
      </c>
      <c r="E21" s="31"/>
      <c r="F21" s="31"/>
    </row>
    <row r="22" spans="1:6" ht="16.5">
      <c r="A22" s="31"/>
      <c r="B22" s="52" t="s">
        <v>118</v>
      </c>
      <c r="C22" s="55">
        <v>81</v>
      </c>
      <c r="D22" s="54">
        <v>6.0000000000000001E-3</v>
      </c>
      <c r="E22" s="31"/>
      <c r="F22" s="31"/>
    </row>
    <row r="23" spans="1:6" ht="16.5">
      <c r="A23" s="31"/>
      <c r="B23" s="52" t="s">
        <v>107</v>
      </c>
      <c r="C23" s="55">
        <v>80</v>
      </c>
      <c r="D23" s="54">
        <v>6.0000000000000001E-3</v>
      </c>
      <c r="E23" s="31"/>
      <c r="F23" s="31"/>
    </row>
    <row r="24" spans="1:6" ht="16.5">
      <c r="A24" s="31"/>
      <c r="B24" s="52" t="s">
        <v>116</v>
      </c>
      <c r="C24" s="55">
        <v>62</v>
      </c>
      <c r="D24" s="54">
        <v>4.0000000000000001E-3</v>
      </c>
      <c r="E24" s="31"/>
      <c r="F24" s="31"/>
    </row>
    <row r="25" spans="1:6" ht="16.5">
      <c r="A25" s="31"/>
      <c r="B25" s="52" t="s">
        <v>100</v>
      </c>
      <c r="C25" s="55">
        <v>61</v>
      </c>
      <c r="D25" s="54">
        <v>4.0000000000000001E-3</v>
      </c>
      <c r="E25" s="31"/>
      <c r="F25" s="31"/>
    </row>
    <row r="26" spans="1:6" ht="16.5">
      <c r="A26" s="31"/>
      <c r="B26" s="52" t="s">
        <v>109</v>
      </c>
      <c r="C26" s="55">
        <v>60</v>
      </c>
      <c r="D26" s="54">
        <v>4.0000000000000001E-3</v>
      </c>
      <c r="E26" s="31"/>
      <c r="F26" s="31"/>
    </row>
    <row r="27" spans="1:6" ht="16.5">
      <c r="A27" s="31"/>
      <c r="B27" s="52" t="s">
        <v>97</v>
      </c>
      <c r="C27" s="55">
        <v>50</v>
      </c>
      <c r="D27" s="54">
        <v>4.0000000000000001E-3</v>
      </c>
      <c r="E27" s="31"/>
      <c r="F27" s="31"/>
    </row>
    <row r="28" spans="1:6" ht="16.5">
      <c r="A28" s="31"/>
      <c r="B28" s="52" t="s">
        <v>111</v>
      </c>
      <c r="C28" s="55">
        <v>50</v>
      </c>
      <c r="D28" s="54">
        <v>4.0000000000000001E-3</v>
      </c>
      <c r="E28" s="31"/>
      <c r="F28" s="31"/>
    </row>
    <row r="29" spans="1:6" ht="16.5">
      <c r="A29" s="31"/>
      <c r="B29" s="52" t="s">
        <v>96</v>
      </c>
      <c r="C29" s="55">
        <v>45</v>
      </c>
      <c r="D29" s="54">
        <v>3.0000000000000001E-3</v>
      </c>
      <c r="E29" s="31"/>
      <c r="F29" s="31"/>
    </row>
    <row r="30" spans="1:6" ht="16.5">
      <c r="A30" s="31"/>
      <c r="B30" s="52" t="s">
        <v>130</v>
      </c>
      <c r="C30" s="55">
        <v>40</v>
      </c>
      <c r="D30" s="54">
        <v>3.0000000000000001E-3</v>
      </c>
      <c r="E30" s="31"/>
      <c r="F30" s="31"/>
    </row>
    <row r="31" spans="1:6" ht="16.5">
      <c r="A31" s="31"/>
      <c r="B31" s="52" t="s">
        <v>136</v>
      </c>
      <c r="C31" s="55">
        <v>40</v>
      </c>
      <c r="D31" s="54">
        <v>3.0000000000000001E-3</v>
      </c>
      <c r="E31" s="31"/>
      <c r="F31" s="31"/>
    </row>
    <row r="32" spans="1:6" ht="16.5">
      <c r="A32" s="31"/>
      <c r="B32" s="52" t="s">
        <v>120</v>
      </c>
      <c r="C32" s="55">
        <v>36</v>
      </c>
      <c r="D32" s="54">
        <v>3.0000000000000001E-3</v>
      </c>
      <c r="E32" s="31"/>
      <c r="F32" s="31"/>
    </row>
    <row r="33" spans="1:6" ht="16.5">
      <c r="A33" s="31"/>
      <c r="B33" s="52" t="s">
        <v>134</v>
      </c>
      <c r="C33" s="55">
        <v>30</v>
      </c>
      <c r="D33" s="54">
        <v>2E-3</v>
      </c>
      <c r="E33" s="31"/>
      <c r="F33" s="31"/>
    </row>
    <row r="34" spans="1:6" ht="16.5">
      <c r="A34" s="31"/>
      <c r="B34" s="52" t="s">
        <v>110</v>
      </c>
      <c r="C34" s="55">
        <v>27</v>
      </c>
      <c r="D34" s="54">
        <v>2E-3</v>
      </c>
      <c r="E34" s="31"/>
      <c r="F34" s="31"/>
    </row>
    <row r="35" spans="1:6" ht="16.5">
      <c r="A35" s="31"/>
      <c r="B35" s="52" t="s">
        <v>135</v>
      </c>
      <c r="C35" s="55">
        <v>27</v>
      </c>
      <c r="D35" s="54">
        <v>2E-3</v>
      </c>
      <c r="E35" s="31"/>
      <c r="F35" s="31"/>
    </row>
    <row r="36" spans="1:6" ht="16.5">
      <c r="A36" s="31"/>
      <c r="B36" s="52" t="s">
        <v>126</v>
      </c>
      <c r="C36" s="55">
        <v>26</v>
      </c>
      <c r="D36" s="54">
        <v>2E-3</v>
      </c>
      <c r="E36" s="31"/>
      <c r="F36" s="31"/>
    </row>
    <row r="37" spans="1:6" ht="16.5">
      <c r="A37" s="31"/>
      <c r="B37" s="52" t="s">
        <v>108</v>
      </c>
      <c r="C37" s="55">
        <v>25</v>
      </c>
      <c r="D37" s="54">
        <v>2E-3</v>
      </c>
      <c r="E37" s="31"/>
      <c r="F37" s="31"/>
    </row>
    <row r="38" spans="1:6" ht="16.5">
      <c r="A38" s="31"/>
      <c r="B38" s="52" t="s">
        <v>117</v>
      </c>
      <c r="C38" s="55">
        <v>23</v>
      </c>
      <c r="D38" s="54">
        <v>2E-3</v>
      </c>
      <c r="E38" s="31"/>
      <c r="F38" s="31"/>
    </row>
    <row r="39" spans="1:6" ht="16.5">
      <c r="A39" s="31"/>
      <c r="B39" s="52" t="s">
        <v>105</v>
      </c>
      <c r="C39" s="55">
        <v>19</v>
      </c>
      <c r="D39" s="54">
        <v>1E-3</v>
      </c>
      <c r="E39" s="31"/>
      <c r="F39" s="31"/>
    </row>
    <row r="40" spans="1:6" ht="16.5">
      <c r="A40" s="31"/>
      <c r="B40" s="52" t="s">
        <v>122</v>
      </c>
      <c r="C40" s="55">
        <v>19</v>
      </c>
      <c r="D40" s="54">
        <v>1E-3</v>
      </c>
      <c r="E40" s="31"/>
      <c r="F40" s="31"/>
    </row>
    <row r="41" spans="1:6" ht="16.5">
      <c r="A41" s="31"/>
      <c r="B41" s="52" t="s">
        <v>119</v>
      </c>
      <c r="C41" s="55">
        <v>18</v>
      </c>
      <c r="D41" s="54">
        <v>1E-3</v>
      </c>
      <c r="E41" s="31"/>
      <c r="F41" s="31"/>
    </row>
    <row r="42" spans="1:6" ht="16.5">
      <c r="A42" s="31"/>
      <c r="B42" s="52" t="s">
        <v>123</v>
      </c>
      <c r="C42" s="55">
        <v>16</v>
      </c>
      <c r="D42" s="54">
        <v>1E-3</v>
      </c>
      <c r="E42" s="31"/>
      <c r="F42" s="31"/>
    </row>
    <row r="43" spans="1:6" ht="16.5">
      <c r="A43" s="31"/>
      <c r="B43" s="52" t="s">
        <v>121</v>
      </c>
      <c r="C43" s="55">
        <v>15</v>
      </c>
      <c r="D43" s="54">
        <v>1E-3</v>
      </c>
      <c r="E43" s="31"/>
      <c r="F43" s="31"/>
    </row>
    <row r="44" spans="1:6" ht="16.5">
      <c r="A44" s="31"/>
      <c r="B44" s="52" t="s">
        <v>113</v>
      </c>
      <c r="C44" s="55">
        <v>8</v>
      </c>
      <c r="D44" s="54">
        <v>1E-3</v>
      </c>
      <c r="E44" s="31"/>
      <c r="F44" s="31"/>
    </row>
    <row r="45" spans="1:6" ht="16.5">
      <c r="A45" s="31"/>
      <c r="B45" s="52" t="s">
        <v>101</v>
      </c>
      <c r="C45" s="55">
        <v>7</v>
      </c>
      <c r="D45" s="54">
        <v>0</v>
      </c>
      <c r="E45" s="31"/>
      <c r="F45" s="31"/>
    </row>
    <row r="46" spans="1:6" ht="16.5">
      <c r="A46" s="31"/>
      <c r="B46" s="52" t="s">
        <v>129</v>
      </c>
      <c r="C46" s="55">
        <v>7</v>
      </c>
      <c r="D46" s="54">
        <v>0</v>
      </c>
      <c r="E46" s="31"/>
      <c r="F46" s="31"/>
    </row>
    <row r="47" spans="1:6" ht="16.5">
      <c r="A47" s="31"/>
      <c r="B47" s="52" t="s">
        <v>73</v>
      </c>
      <c r="C47" s="55">
        <v>7</v>
      </c>
      <c r="D47" s="54">
        <v>0</v>
      </c>
      <c r="E47" s="31"/>
      <c r="F47" s="31"/>
    </row>
    <row r="48" spans="1:6" ht="16.5">
      <c r="A48" s="31"/>
      <c r="B48" s="52" t="s">
        <v>125</v>
      </c>
      <c r="C48" s="55">
        <v>5</v>
      </c>
      <c r="D48" s="54">
        <v>0</v>
      </c>
      <c r="E48" s="31"/>
      <c r="F48" s="31"/>
    </row>
    <row r="49" spans="1:6" ht="16.5">
      <c r="A49" s="31"/>
      <c r="B49" s="52" t="s">
        <v>128</v>
      </c>
      <c r="C49" s="55">
        <v>5</v>
      </c>
      <c r="D49" s="54">
        <v>0</v>
      </c>
      <c r="E49" s="31"/>
      <c r="F49" s="31"/>
    </row>
    <row r="50" spans="1:6" ht="16.5">
      <c r="A50" s="31"/>
      <c r="B50" s="52" t="s">
        <v>102</v>
      </c>
      <c r="C50" s="55">
        <v>3</v>
      </c>
      <c r="D50" s="54">
        <v>0</v>
      </c>
      <c r="E50" s="31"/>
      <c r="F50" s="31"/>
    </row>
    <row r="51" spans="1:6" ht="16.5">
      <c r="A51" s="31"/>
      <c r="B51" s="52" t="s">
        <v>112</v>
      </c>
      <c r="C51" s="55">
        <v>3</v>
      </c>
      <c r="D51" s="54">
        <v>0</v>
      </c>
      <c r="E51" s="31"/>
      <c r="F51" s="31"/>
    </row>
    <row r="52" spans="1:6" ht="16.5">
      <c r="A52" s="31"/>
      <c r="B52" s="52" t="s">
        <v>137</v>
      </c>
      <c r="C52" s="55">
        <v>3</v>
      </c>
      <c r="D52" s="54">
        <v>0</v>
      </c>
      <c r="E52" s="31"/>
      <c r="F52" s="31"/>
    </row>
    <row r="53" spans="1:6" ht="16.5">
      <c r="A53" s="31"/>
      <c r="B53" s="52" t="s">
        <v>114</v>
      </c>
      <c r="C53" s="55">
        <v>2</v>
      </c>
      <c r="D53" s="54">
        <v>0</v>
      </c>
      <c r="E53" s="31"/>
      <c r="F53" s="31"/>
    </row>
    <row r="54" spans="1:6" ht="16.5">
      <c r="A54" s="31"/>
      <c r="B54" s="52" t="s">
        <v>131</v>
      </c>
      <c r="C54" s="55">
        <v>2</v>
      </c>
      <c r="D54" s="54">
        <v>0</v>
      </c>
      <c r="E54" s="31"/>
      <c r="F54" s="31"/>
    </row>
    <row r="55" spans="1:6" ht="16.5">
      <c r="A55" s="31"/>
      <c r="B55" s="52" t="s">
        <v>279</v>
      </c>
      <c r="C55" s="55">
        <v>1</v>
      </c>
      <c r="D55" s="54">
        <v>0</v>
      </c>
      <c r="E55" s="31"/>
      <c r="F55" s="31"/>
    </row>
    <row r="56" spans="1:6" ht="16.5">
      <c r="A56" s="31"/>
      <c r="B56" s="52" t="s">
        <v>280</v>
      </c>
      <c r="C56" s="55">
        <v>1</v>
      </c>
      <c r="D56" s="54">
        <v>0</v>
      </c>
      <c r="E56" s="31"/>
      <c r="F56" s="31"/>
    </row>
    <row r="57" spans="1:6" ht="16.5">
      <c r="A57" s="31"/>
      <c r="B57" s="52" t="s">
        <v>281</v>
      </c>
      <c r="C57" s="55">
        <v>1</v>
      </c>
      <c r="D57" s="54">
        <v>0</v>
      </c>
      <c r="E57" s="31"/>
      <c r="F57" s="31"/>
    </row>
    <row r="58" spans="1:6" ht="16.5">
      <c r="A58" s="31"/>
      <c r="B58" s="52" t="s">
        <v>283</v>
      </c>
      <c r="C58" s="55">
        <v>1</v>
      </c>
      <c r="D58" s="54">
        <v>0</v>
      </c>
      <c r="E58" s="31"/>
      <c r="F58" s="31"/>
    </row>
    <row r="59" spans="1:6" ht="16.5">
      <c r="A59" s="31"/>
      <c r="B59" s="56" t="s">
        <v>307</v>
      </c>
      <c r="C59" s="40">
        <v>14141</v>
      </c>
      <c r="D59" s="57">
        <v>1</v>
      </c>
      <c r="E59" s="31"/>
      <c r="F59" s="31"/>
    </row>
    <row r="60" spans="1:6" ht="16.5">
      <c r="A60" s="31"/>
      <c r="B60" s="32"/>
      <c r="C60" s="33"/>
      <c r="D60" s="31"/>
      <c r="E60" s="31"/>
      <c r="F60" s="31"/>
    </row>
    <row r="61" spans="1:6" ht="16.5">
      <c r="A61" s="31"/>
      <c r="B61" s="34" t="s">
        <v>277</v>
      </c>
      <c r="C61" s="34"/>
      <c r="D61" s="31"/>
      <c r="E61" s="31"/>
      <c r="F61" s="31"/>
    </row>
    <row r="62" spans="1:6" ht="16.5">
      <c r="A62" s="31"/>
      <c r="B62" s="35" t="s">
        <v>18</v>
      </c>
      <c r="C62" s="35"/>
      <c r="D62" s="31"/>
      <c r="E62" s="31"/>
      <c r="F62" s="31"/>
    </row>
    <row r="63" spans="1:6" ht="16.5">
      <c r="A63" s="31"/>
      <c r="B63" s="32" t="s">
        <v>46</v>
      </c>
      <c r="C63" s="32"/>
      <c r="D63" s="31"/>
      <c r="E63" s="31"/>
      <c r="F63" s="31"/>
    </row>
    <row r="64" spans="1:6" ht="16.5">
      <c r="A64" s="31"/>
      <c r="B64" s="34" t="s">
        <v>17</v>
      </c>
      <c r="C64" s="34"/>
      <c r="D64" s="31"/>
      <c r="E64" s="31"/>
      <c r="F64" s="31"/>
    </row>
    <row r="65" spans="1:6" ht="16.5">
      <c r="A65" s="31"/>
      <c r="B65" s="34" t="s">
        <v>308</v>
      </c>
      <c r="C65" s="34"/>
      <c r="D65" s="31"/>
      <c r="E65" s="31"/>
      <c r="F65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zoomScale="115" zoomScaleNormal="100" zoomScaleSheetLayoutView="115" workbookViewId="0">
      <selection activeCell="C12" sqref="C12:C21"/>
    </sheetView>
  </sheetViews>
  <sheetFormatPr baseColWidth="10" defaultColWidth="11.42578125" defaultRowHeight="15"/>
  <cols>
    <col min="1" max="1" width="9.28515625" style="13" customWidth="1"/>
    <col min="2" max="2" width="18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35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33" customHeight="1">
      <c r="A11" s="29"/>
      <c r="B11" s="38" t="s">
        <v>22</v>
      </c>
      <c r="C11" s="37" t="s">
        <v>20</v>
      </c>
      <c r="D11" s="38" t="s">
        <v>19</v>
      </c>
      <c r="E11" s="29"/>
      <c r="F11" s="29"/>
    </row>
    <row r="12" spans="1:6" ht="16.5">
      <c r="A12" s="31"/>
      <c r="B12" s="58" t="s">
        <v>47</v>
      </c>
      <c r="C12" s="59">
        <v>4651</v>
      </c>
      <c r="D12" s="60">
        <v>0.32890177498055301</v>
      </c>
      <c r="E12" s="31"/>
      <c r="F12" s="31"/>
    </row>
    <row r="13" spans="1:6" ht="16.5">
      <c r="A13" s="31"/>
      <c r="B13" s="58" t="s">
        <v>49</v>
      </c>
      <c r="C13" s="59">
        <v>2292</v>
      </c>
      <c r="D13" s="60">
        <v>0.16208188954105099</v>
      </c>
      <c r="E13" s="31"/>
      <c r="F13" s="31"/>
    </row>
    <row r="14" spans="1:6" ht="16.5">
      <c r="A14" s="31"/>
      <c r="B14" s="58" t="s">
        <v>48</v>
      </c>
      <c r="C14" s="59">
        <v>2269</v>
      </c>
      <c r="D14" s="60">
        <v>0.160455413337105</v>
      </c>
      <c r="E14" s="31"/>
      <c r="F14" s="31"/>
    </row>
    <row r="15" spans="1:6" ht="16.5">
      <c r="A15" s="31"/>
      <c r="B15" s="58" t="s">
        <v>50</v>
      </c>
      <c r="C15" s="59">
        <v>1105</v>
      </c>
      <c r="D15" s="60">
        <v>7.8141574146099999E-2</v>
      </c>
      <c r="E15" s="31"/>
      <c r="F15" s="31"/>
    </row>
    <row r="16" spans="1:6" ht="16.5">
      <c r="A16" s="31"/>
      <c r="B16" s="58" t="s">
        <v>52</v>
      </c>
      <c r="C16" s="59">
        <v>437</v>
      </c>
      <c r="D16" s="60">
        <v>3.0903047874973E-2</v>
      </c>
      <c r="E16" s="31"/>
      <c r="F16" s="31"/>
    </row>
    <row r="17" spans="1:6" ht="16.5">
      <c r="A17" s="31"/>
      <c r="B17" s="58" t="s">
        <v>53</v>
      </c>
      <c r="C17" s="59">
        <v>433</v>
      </c>
      <c r="D17" s="60">
        <v>3.0620182448200001E-2</v>
      </c>
      <c r="E17" s="31"/>
      <c r="F17" s="31"/>
    </row>
    <row r="18" spans="1:6" ht="16.5">
      <c r="A18" s="31"/>
      <c r="B18" s="58" t="s">
        <v>51</v>
      </c>
      <c r="C18" s="59">
        <v>424</v>
      </c>
      <c r="D18" s="60">
        <v>2.9983735237960999E-2</v>
      </c>
      <c r="E18" s="31"/>
      <c r="F18" s="31"/>
    </row>
    <row r="19" spans="1:6" ht="16.5">
      <c r="A19" s="31"/>
      <c r="B19" s="58" t="s">
        <v>54</v>
      </c>
      <c r="C19" s="59">
        <v>380</v>
      </c>
      <c r="D19" s="60">
        <v>2.6872215543455001E-2</v>
      </c>
      <c r="E19" s="31"/>
      <c r="F19" s="31"/>
    </row>
    <row r="20" spans="1:6" ht="16.5">
      <c r="A20" s="31"/>
      <c r="B20" s="58" t="s">
        <v>57</v>
      </c>
      <c r="C20" s="59">
        <v>239</v>
      </c>
      <c r="D20" s="60">
        <v>1.6901209249699001E-2</v>
      </c>
      <c r="E20" s="31"/>
      <c r="F20" s="31"/>
    </row>
    <row r="21" spans="1:6" ht="16.5">
      <c r="A21" s="31"/>
      <c r="B21" s="58" t="s">
        <v>55</v>
      </c>
      <c r="C21" s="59">
        <v>205</v>
      </c>
      <c r="D21" s="60">
        <v>1.4496853122127E-2</v>
      </c>
      <c r="E21" s="31"/>
      <c r="F21" s="31"/>
    </row>
    <row r="22" spans="1:6" ht="16.5">
      <c r="A22" s="31"/>
      <c r="B22" s="58" t="s">
        <v>58</v>
      </c>
      <c r="C22" s="59">
        <v>194</v>
      </c>
      <c r="D22" s="60">
        <v>1.3718973198500999E-2</v>
      </c>
      <c r="E22" s="31"/>
      <c r="F22" s="31"/>
    </row>
    <row r="23" spans="1:6" ht="16.5">
      <c r="A23" s="31"/>
      <c r="B23" s="58" t="s">
        <v>56</v>
      </c>
      <c r="C23" s="59">
        <v>183</v>
      </c>
      <c r="D23" s="60">
        <v>1.2941093274873999E-2</v>
      </c>
      <c r="E23" s="31"/>
      <c r="F23" s="31"/>
    </row>
    <row r="24" spans="1:6" ht="16.5">
      <c r="A24" s="31"/>
      <c r="B24" s="58" t="s">
        <v>63</v>
      </c>
      <c r="C24" s="59">
        <v>116</v>
      </c>
      <c r="D24" s="60">
        <v>8.2030973764229999E-3</v>
      </c>
      <c r="E24" s="31"/>
      <c r="F24" s="31"/>
    </row>
    <row r="25" spans="1:6" ht="16.5">
      <c r="A25" s="31"/>
      <c r="B25" s="58" t="s">
        <v>59</v>
      </c>
      <c r="C25" s="59">
        <v>107</v>
      </c>
      <c r="D25" s="60">
        <v>7.5666501661829999E-3</v>
      </c>
      <c r="E25" s="31"/>
      <c r="F25" s="31"/>
    </row>
    <row r="26" spans="1:6" ht="16.5">
      <c r="A26" s="31"/>
      <c r="B26" s="58" t="s">
        <v>61</v>
      </c>
      <c r="C26" s="59">
        <v>105</v>
      </c>
      <c r="D26" s="60">
        <v>7.425217452797E-3</v>
      </c>
      <c r="E26" s="31"/>
      <c r="F26" s="31"/>
    </row>
    <row r="27" spans="1:6" ht="16.5">
      <c r="A27" s="31"/>
      <c r="B27" s="58" t="s">
        <v>60</v>
      </c>
      <c r="C27" s="59">
        <v>103</v>
      </c>
      <c r="D27" s="60">
        <v>7.28378473941E-3</v>
      </c>
      <c r="E27" s="31"/>
      <c r="F27" s="31"/>
    </row>
    <row r="28" spans="1:6" ht="16.5">
      <c r="A28" s="31"/>
      <c r="B28" s="58" t="s">
        <v>62</v>
      </c>
      <c r="C28" s="59">
        <v>83</v>
      </c>
      <c r="D28" s="60">
        <v>5.8694576055440002E-3</v>
      </c>
      <c r="E28" s="31"/>
      <c r="F28" s="31"/>
    </row>
    <row r="29" spans="1:6" ht="16.5">
      <c r="A29" s="31"/>
      <c r="B29" s="58" t="s">
        <v>65</v>
      </c>
      <c r="C29" s="59">
        <v>76</v>
      </c>
      <c r="D29" s="60">
        <v>5.3744431086910002E-3</v>
      </c>
      <c r="E29" s="31"/>
      <c r="F29" s="31"/>
    </row>
    <row r="30" spans="1:6" ht="16.5">
      <c r="A30" s="31"/>
      <c r="B30" s="58" t="s">
        <v>69</v>
      </c>
      <c r="C30" s="59">
        <v>67</v>
      </c>
      <c r="D30" s="60">
        <v>4.7379958984510003E-3</v>
      </c>
      <c r="E30" s="31"/>
      <c r="F30" s="31"/>
    </row>
    <row r="31" spans="1:6" ht="16.5">
      <c r="A31" s="31"/>
      <c r="B31" s="58" t="s">
        <v>67</v>
      </c>
      <c r="C31" s="59">
        <v>61</v>
      </c>
      <c r="D31" s="60">
        <v>4.3136977582910003E-3</v>
      </c>
      <c r="E31" s="31"/>
      <c r="F31" s="31"/>
    </row>
    <row r="32" spans="1:6" ht="16.5">
      <c r="A32" s="31"/>
      <c r="B32" s="58" t="s">
        <v>70</v>
      </c>
      <c r="C32" s="59">
        <v>48</v>
      </c>
      <c r="D32" s="60">
        <v>3.3943851212790001E-3</v>
      </c>
      <c r="E32" s="31"/>
      <c r="F32" s="31"/>
    </row>
    <row r="33" spans="1:6" ht="16.5">
      <c r="A33" s="31"/>
      <c r="B33" s="58" t="s">
        <v>66</v>
      </c>
      <c r="C33" s="59">
        <v>40</v>
      </c>
      <c r="D33" s="60">
        <v>2.8286542677320001E-3</v>
      </c>
      <c r="E33" s="31"/>
      <c r="F33" s="31"/>
    </row>
    <row r="34" spans="1:6" ht="16.5">
      <c r="A34" s="31"/>
      <c r="B34" s="58" t="s">
        <v>68</v>
      </c>
      <c r="C34" s="59">
        <v>39</v>
      </c>
      <c r="D34" s="60">
        <v>2.7579379110390001E-3</v>
      </c>
      <c r="E34" s="31"/>
      <c r="F34" s="31"/>
    </row>
    <row r="35" spans="1:6" ht="16.5">
      <c r="A35" s="31"/>
      <c r="B35" s="58" t="s">
        <v>64</v>
      </c>
      <c r="C35" s="59">
        <v>36</v>
      </c>
      <c r="D35" s="60">
        <v>2.5457888409590001E-3</v>
      </c>
      <c r="E35" s="31"/>
      <c r="F35" s="31"/>
    </row>
    <row r="36" spans="1:6" ht="16.5">
      <c r="A36" s="31"/>
      <c r="B36" s="58" t="s">
        <v>71</v>
      </c>
      <c r="C36" s="59">
        <v>35</v>
      </c>
      <c r="D36" s="60">
        <v>2.4750724842660002E-3</v>
      </c>
      <c r="E36" s="31"/>
      <c r="F36" s="31"/>
    </row>
    <row r="37" spans="1:6" ht="16.5">
      <c r="A37" s="31"/>
      <c r="B37" s="58" t="s">
        <v>78</v>
      </c>
      <c r="C37" s="59">
        <v>35</v>
      </c>
      <c r="D37" s="60">
        <v>2.4750724842660002E-3</v>
      </c>
      <c r="E37" s="31"/>
      <c r="F37" s="31"/>
    </row>
    <row r="38" spans="1:6" ht="16.5">
      <c r="A38" s="31"/>
      <c r="B38" s="58" t="s">
        <v>74</v>
      </c>
      <c r="C38" s="59">
        <v>33</v>
      </c>
      <c r="D38" s="60">
        <v>2.3336397708790002E-3</v>
      </c>
      <c r="E38" s="31"/>
      <c r="F38" s="31"/>
    </row>
    <row r="39" spans="1:6" ht="16.5">
      <c r="A39" s="31"/>
      <c r="B39" s="58" t="s">
        <v>73</v>
      </c>
      <c r="C39" s="59">
        <v>32</v>
      </c>
      <c r="D39" s="60">
        <v>2.2629234141860002E-3</v>
      </c>
      <c r="E39" s="31"/>
      <c r="F39" s="31"/>
    </row>
    <row r="40" spans="1:6" ht="16.5">
      <c r="A40" s="31"/>
      <c r="B40" s="58" t="s">
        <v>81</v>
      </c>
      <c r="C40" s="59">
        <v>27</v>
      </c>
      <c r="D40" s="60">
        <v>1.909341630719E-3</v>
      </c>
      <c r="E40" s="31"/>
      <c r="F40" s="31"/>
    </row>
    <row r="41" spans="1:6" ht="16.5">
      <c r="A41" s="31"/>
      <c r="B41" s="58" t="s">
        <v>83</v>
      </c>
      <c r="C41" s="59">
        <v>25</v>
      </c>
      <c r="D41" s="60">
        <v>1.767908917333E-3</v>
      </c>
      <c r="E41" s="31"/>
      <c r="F41" s="31"/>
    </row>
    <row r="42" spans="1:6" ht="16.5">
      <c r="A42" s="31"/>
      <c r="B42" s="58" t="s">
        <v>86</v>
      </c>
      <c r="C42" s="59">
        <v>25</v>
      </c>
      <c r="D42" s="60">
        <v>1.767908917333E-3</v>
      </c>
      <c r="E42" s="31"/>
      <c r="F42" s="31"/>
    </row>
    <row r="43" spans="1:6" ht="16.5">
      <c r="A43" s="31"/>
      <c r="B43" s="58" t="s">
        <v>72</v>
      </c>
      <c r="C43" s="59">
        <v>24</v>
      </c>
      <c r="D43" s="60">
        <v>1.697192560639E-3</v>
      </c>
      <c r="E43" s="31"/>
      <c r="F43" s="31"/>
    </row>
    <row r="44" spans="1:6" ht="16.5">
      <c r="A44" s="31"/>
      <c r="B44" s="58" t="s">
        <v>82</v>
      </c>
      <c r="C44" s="59">
        <v>24</v>
      </c>
      <c r="D44" s="60">
        <v>1.697192560639E-3</v>
      </c>
      <c r="E44" s="31"/>
      <c r="F44" s="31"/>
    </row>
    <row r="45" spans="1:6" ht="16.5">
      <c r="A45" s="31"/>
      <c r="B45" s="58" t="s">
        <v>79</v>
      </c>
      <c r="C45" s="59">
        <v>22</v>
      </c>
      <c r="D45" s="60">
        <v>1.5557598472530001E-3</v>
      </c>
      <c r="E45" s="31"/>
      <c r="F45" s="31"/>
    </row>
    <row r="46" spans="1:6" ht="16.5">
      <c r="A46" s="31"/>
      <c r="B46" s="58" t="s">
        <v>84</v>
      </c>
      <c r="C46" s="59">
        <v>20</v>
      </c>
      <c r="D46" s="60">
        <v>1.414327133866E-3</v>
      </c>
      <c r="E46" s="31"/>
      <c r="F46" s="31"/>
    </row>
    <row r="47" spans="1:6" ht="16.5">
      <c r="A47" s="31"/>
      <c r="B47" s="58" t="s">
        <v>76</v>
      </c>
      <c r="C47" s="59">
        <v>19</v>
      </c>
      <c r="D47" s="60">
        <v>1.3436107771730001E-3</v>
      </c>
      <c r="E47" s="31"/>
      <c r="F47" s="31"/>
    </row>
    <row r="48" spans="1:6" ht="16.5">
      <c r="A48" s="31"/>
      <c r="B48" s="58" t="s">
        <v>75</v>
      </c>
      <c r="C48" s="59">
        <v>18</v>
      </c>
      <c r="D48" s="60">
        <v>1.272894420479E-3</v>
      </c>
      <c r="E48" s="31"/>
      <c r="F48" s="31"/>
    </row>
    <row r="49" spans="1:6" ht="16.5">
      <c r="A49" s="31"/>
      <c r="B49" s="58" t="s">
        <v>77</v>
      </c>
      <c r="C49" s="59">
        <v>15</v>
      </c>
      <c r="D49" s="60">
        <v>1.0607453503999999E-3</v>
      </c>
      <c r="E49" s="31"/>
      <c r="F49" s="31"/>
    </row>
    <row r="50" spans="1:6" ht="16.5">
      <c r="A50" s="31"/>
      <c r="B50" s="58" t="s">
        <v>90</v>
      </c>
      <c r="C50" s="59">
        <v>13</v>
      </c>
      <c r="D50" s="60">
        <v>9.19312637013E-4</v>
      </c>
      <c r="E50" s="31"/>
      <c r="F50" s="31"/>
    </row>
    <row r="51" spans="1:6" ht="16.5">
      <c r="A51" s="31"/>
      <c r="B51" s="58" t="s">
        <v>85</v>
      </c>
      <c r="C51" s="59">
        <v>12</v>
      </c>
      <c r="D51" s="60">
        <v>8.4859628032000003E-4</v>
      </c>
      <c r="E51" s="31"/>
      <c r="F51" s="31"/>
    </row>
    <row r="52" spans="1:6" ht="16.5">
      <c r="A52" s="31"/>
      <c r="B52" s="58" t="s">
        <v>80</v>
      </c>
      <c r="C52" s="59">
        <v>12</v>
      </c>
      <c r="D52" s="60">
        <v>8.4859628032000003E-4</v>
      </c>
      <c r="E52" s="31"/>
      <c r="F52" s="31"/>
    </row>
    <row r="53" spans="1:6" ht="16.5">
      <c r="A53" s="31"/>
      <c r="B53" s="58" t="s">
        <v>87</v>
      </c>
      <c r="C53" s="59">
        <v>11</v>
      </c>
      <c r="D53" s="60">
        <v>7.7787992362599999E-4</v>
      </c>
      <c r="E53" s="31"/>
      <c r="F53" s="31"/>
    </row>
    <row r="54" spans="1:6" ht="16.5">
      <c r="A54" s="31"/>
      <c r="B54" s="58" t="s">
        <v>94</v>
      </c>
      <c r="C54" s="59">
        <v>11</v>
      </c>
      <c r="D54" s="60">
        <v>7.7787992362599999E-4</v>
      </c>
      <c r="E54" s="31"/>
      <c r="F54" s="31"/>
    </row>
    <row r="55" spans="1:6" ht="16.5">
      <c r="A55" s="31"/>
      <c r="B55" s="58" t="s">
        <v>92</v>
      </c>
      <c r="C55" s="59">
        <v>11</v>
      </c>
      <c r="D55" s="60">
        <v>7.7787992362599999E-4</v>
      </c>
      <c r="E55" s="31"/>
      <c r="F55" s="31"/>
    </row>
    <row r="56" spans="1:6" ht="16.5">
      <c r="A56" s="31"/>
      <c r="B56" s="58" t="s">
        <v>89</v>
      </c>
      <c r="C56" s="59">
        <v>7</v>
      </c>
      <c r="D56" s="60">
        <v>4.9501449685300004E-4</v>
      </c>
      <c r="E56" s="31"/>
      <c r="F56" s="31"/>
    </row>
    <row r="57" spans="1:6" ht="16.5">
      <c r="A57" s="31"/>
      <c r="B57" s="58" t="s">
        <v>91</v>
      </c>
      <c r="C57" s="59">
        <v>5</v>
      </c>
      <c r="D57" s="60">
        <v>3.5358178346699999E-4</v>
      </c>
      <c r="E57" s="31"/>
      <c r="F57" s="31"/>
    </row>
    <row r="58" spans="1:6" ht="16.5">
      <c r="A58" s="31"/>
      <c r="B58" s="58" t="s">
        <v>93</v>
      </c>
      <c r="C58" s="59">
        <v>5</v>
      </c>
      <c r="D58" s="60">
        <v>3.5358178346699999E-4</v>
      </c>
      <c r="E58" s="31"/>
      <c r="F58" s="31"/>
    </row>
    <row r="59" spans="1:6" ht="16.5">
      <c r="A59" s="31"/>
      <c r="B59" s="58" t="s">
        <v>88</v>
      </c>
      <c r="C59" s="59">
        <v>4</v>
      </c>
      <c r="D59" s="60">
        <v>2.8286542677300001E-4</v>
      </c>
      <c r="E59" s="31"/>
      <c r="F59" s="31"/>
    </row>
    <row r="60" spans="1:6" ht="16.5">
      <c r="A60" s="31"/>
      <c r="B60" s="58" t="s">
        <v>278</v>
      </c>
      <c r="C60" s="59">
        <v>2</v>
      </c>
      <c r="D60" s="60">
        <v>1.4143271338700001E-4</v>
      </c>
      <c r="E60" s="31"/>
      <c r="F60" s="31"/>
    </row>
    <row r="61" spans="1:6" ht="16.5">
      <c r="A61" s="31"/>
      <c r="B61" s="58" t="s">
        <v>95</v>
      </c>
      <c r="C61" s="59">
        <v>1</v>
      </c>
      <c r="D61" s="60">
        <v>7.0716356692999998E-5</v>
      </c>
      <c r="E61" s="31"/>
      <c r="F61" s="31"/>
    </row>
    <row r="62" spans="1:6" ht="16.5">
      <c r="A62" s="31"/>
      <c r="B62" s="61" t="s">
        <v>309</v>
      </c>
      <c r="C62" s="62">
        <v>14141</v>
      </c>
      <c r="D62" s="63">
        <v>1</v>
      </c>
      <c r="E62" s="31"/>
      <c r="F62" s="31"/>
    </row>
    <row r="63" spans="1:6" ht="9.75" customHeight="1">
      <c r="A63" s="31"/>
      <c r="B63" s="32"/>
      <c r="C63" s="33"/>
      <c r="D63" s="31"/>
      <c r="E63" s="31"/>
      <c r="F63" s="31"/>
    </row>
    <row r="64" spans="1:6" ht="12.75" customHeight="1">
      <c r="B64" s="34" t="s">
        <v>277</v>
      </c>
      <c r="C64" s="33"/>
      <c r="D64" s="31"/>
      <c r="E64" s="31"/>
      <c r="F64" s="31"/>
    </row>
    <row r="65" spans="2:6" ht="12" customHeight="1">
      <c r="B65" s="35" t="s">
        <v>18</v>
      </c>
      <c r="C65" s="33"/>
      <c r="D65" s="31"/>
      <c r="E65" s="31"/>
      <c r="F65" s="31"/>
    </row>
    <row r="66" spans="2:6" ht="16.5">
      <c r="B66" s="32" t="s">
        <v>46</v>
      </c>
      <c r="C66" s="33"/>
      <c r="D66" s="31"/>
      <c r="E66" s="31"/>
      <c r="F66" s="31"/>
    </row>
    <row r="67" spans="2:6" ht="16.5">
      <c r="B67" s="34" t="s">
        <v>17</v>
      </c>
      <c r="C67" s="33"/>
      <c r="D67" s="31"/>
      <c r="E67" s="31"/>
      <c r="F67" s="31"/>
    </row>
    <row r="68" spans="2:6" ht="16.5">
      <c r="B68" s="34" t="s">
        <v>308</v>
      </c>
      <c r="C68" s="33"/>
      <c r="D68" s="31"/>
      <c r="E68" s="31"/>
      <c r="F68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J13" sqref="J1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43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33" customHeight="1">
      <c r="A11" s="29"/>
      <c r="B11" s="36" t="s">
        <v>22</v>
      </c>
      <c r="C11" s="37" t="s">
        <v>20</v>
      </c>
      <c r="D11" s="38" t="s">
        <v>19</v>
      </c>
      <c r="E11" s="29"/>
      <c r="F11" s="29"/>
    </row>
    <row r="12" spans="1:6" ht="16.5">
      <c r="A12" s="31"/>
      <c r="B12" s="58" t="s">
        <v>47</v>
      </c>
      <c r="C12" s="59">
        <v>4651</v>
      </c>
      <c r="D12" s="60">
        <f>C12/$C$22</f>
        <v>0.37402492963409728</v>
      </c>
      <c r="E12" s="31"/>
      <c r="F12" s="31"/>
    </row>
    <row r="13" spans="1:6" ht="16.5">
      <c r="A13" s="31"/>
      <c r="B13" s="58" t="s">
        <v>49</v>
      </c>
      <c r="C13" s="59">
        <v>2292</v>
      </c>
      <c r="D13" s="60">
        <f t="shared" ref="D13:D21" si="0">C13/$C$22</f>
        <v>0.18431845597104946</v>
      </c>
      <c r="E13" s="31"/>
      <c r="F13" s="31"/>
    </row>
    <row r="14" spans="1:6" ht="16.5">
      <c r="A14" s="31"/>
      <c r="B14" s="58" t="s">
        <v>48</v>
      </c>
      <c r="C14" s="59">
        <v>2269</v>
      </c>
      <c r="D14" s="60">
        <f t="shared" si="0"/>
        <v>0.18246883795737837</v>
      </c>
      <c r="E14" s="31"/>
      <c r="F14" s="31"/>
    </row>
    <row r="15" spans="1:6" ht="16.5">
      <c r="A15" s="31"/>
      <c r="B15" s="58" t="s">
        <v>50</v>
      </c>
      <c r="C15" s="59">
        <v>1105</v>
      </c>
      <c r="D15" s="60">
        <f t="shared" si="0"/>
        <v>8.8862082830719738E-2</v>
      </c>
      <c r="E15" s="31"/>
      <c r="F15" s="31"/>
    </row>
    <row r="16" spans="1:6" ht="16.5">
      <c r="A16" s="31"/>
      <c r="B16" s="58" t="s">
        <v>52</v>
      </c>
      <c r="C16" s="59">
        <v>437</v>
      </c>
      <c r="D16" s="60">
        <f t="shared" si="0"/>
        <v>3.5142742259750705E-2</v>
      </c>
      <c r="E16" s="31"/>
      <c r="F16" s="31"/>
    </row>
    <row r="17" spans="1:6" ht="16.5">
      <c r="A17" s="31"/>
      <c r="B17" s="58" t="s">
        <v>53</v>
      </c>
      <c r="C17" s="59">
        <v>433</v>
      </c>
      <c r="D17" s="60">
        <f t="shared" si="0"/>
        <v>3.4821069561720951E-2</v>
      </c>
      <c r="E17" s="31"/>
      <c r="F17" s="31"/>
    </row>
    <row r="18" spans="1:6" ht="16.5">
      <c r="A18" s="31"/>
      <c r="B18" s="58" t="s">
        <v>51</v>
      </c>
      <c r="C18" s="59">
        <v>424</v>
      </c>
      <c r="D18" s="60">
        <f t="shared" si="0"/>
        <v>3.4097305991154001E-2</v>
      </c>
      <c r="E18" s="31"/>
      <c r="F18" s="31"/>
    </row>
    <row r="19" spans="1:6" ht="16.5">
      <c r="A19" s="31"/>
      <c r="B19" s="58" t="s">
        <v>54</v>
      </c>
      <c r="C19" s="59">
        <v>380</v>
      </c>
      <c r="D19" s="60">
        <f t="shared" si="0"/>
        <v>3.0558906312826699E-2</v>
      </c>
      <c r="E19" s="31"/>
      <c r="F19" s="31"/>
    </row>
    <row r="20" spans="1:6" ht="16.5">
      <c r="A20" s="31"/>
      <c r="B20" s="58" t="s">
        <v>57</v>
      </c>
      <c r="C20" s="59">
        <v>239</v>
      </c>
      <c r="D20" s="60">
        <f t="shared" si="0"/>
        <v>1.9219943707277844E-2</v>
      </c>
      <c r="E20" s="31"/>
      <c r="F20" s="31"/>
    </row>
    <row r="21" spans="1:6" ht="16.5">
      <c r="A21" s="31"/>
      <c r="B21" s="58" t="s">
        <v>55</v>
      </c>
      <c r="C21" s="59">
        <v>205</v>
      </c>
      <c r="D21" s="60">
        <f>C21/$C$22</f>
        <v>1.6485725774024931E-2</v>
      </c>
      <c r="E21" s="31"/>
      <c r="F21" s="31"/>
    </row>
    <row r="22" spans="1:6" ht="16.5">
      <c r="A22" s="31"/>
      <c r="B22" s="65" t="s">
        <v>44</v>
      </c>
      <c r="C22" s="66">
        <f>SUM(C12:C21)</f>
        <v>12435</v>
      </c>
      <c r="D22" s="67">
        <f t="shared" ref="D22" si="1">C22/$C$22</f>
        <v>1</v>
      </c>
      <c r="E22" s="31"/>
      <c r="F22" s="31"/>
    </row>
    <row r="23" spans="1:6" ht="16.5">
      <c r="A23" s="31"/>
      <c r="B23" s="39" t="s">
        <v>45</v>
      </c>
      <c r="C23" s="40">
        <v>14141</v>
      </c>
      <c r="D23" s="64"/>
      <c r="E23" s="31"/>
      <c r="F23" s="31"/>
    </row>
    <row r="24" spans="1:6" ht="16.5">
      <c r="A24" s="31"/>
      <c r="B24" s="34"/>
      <c r="C24" s="33"/>
      <c r="D24" s="31"/>
      <c r="E24" s="31"/>
      <c r="F24" s="31"/>
    </row>
    <row r="25" spans="1:6" ht="16.5">
      <c r="A25" s="31"/>
      <c r="B25" s="34" t="s">
        <v>277</v>
      </c>
      <c r="C25" s="34"/>
      <c r="D25" s="31"/>
      <c r="E25" s="31"/>
      <c r="F25" s="31"/>
    </row>
    <row r="26" spans="1:6" ht="16.5">
      <c r="A26" s="31"/>
      <c r="B26" s="35" t="s">
        <v>18</v>
      </c>
      <c r="C26" s="35"/>
      <c r="D26" s="31"/>
      <c r="E26" s="31"/>
      <c r="F26" s="31"/>
    </row>
    <row r="27" spans="1:6" ht="16.5">
      <c r="A27" s="31"/>
      <c r="B27" s="32" t="s">
        <v>46</v>
      </c>
      <c r="C27" s="32"/>
      <c r="D27" s="31"/>
      <c r="E27" s="31"/>
      <c r="F27" s="31"/>
    </row>
    <row r="28" spans="1:6" ht="16.5">
      <c r="A28" s="31"/>
      <c r="B28" s="34" t="s">
        <v>17</v>
      </c>
      <c r="C28" s="34"/>
      <c r="D28" s="31"/>
      <c r="E28" s="31"/>
      <c r="F28" s="31"/>
    </row>
    <row r="29" spans="1:6" ht="16.5">
      <c r="A29" s="31"/>
      <c r="B29" s="34" t="s">
        <v>308</v>
      </c>
      <c r="C29" s="34"/>
      <c r="D29" s="31"/>
      <c r="E29" s="31"/>
      <c r="F29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</sheetPr>
  <dimension ref="A1:F72"/>
  <sheetViews>
    <sheetView showGridLines="0" view="pageBreakPreview" zoomScaleNormal="100" zoomScaleSheetLayoutView="100" workbookViewId="0">
      <selection activeCell="L16" sqref="L16"/>
    </sheetView>
  </sheetViews>
  <sheetFormatPr baseColWidth="10" defaultColWidth="11.42578125" defaultRowHeight="15"/>
  <cols>
    <col min="1" max="1" width="9.28515625" style="13" customWidth="1"/>
    <col min="2" max="2" width="3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42578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41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29.25" customHeight="1">
      <c r="A11" s="29"/>
      <c r="B11" s="36" t="s">
        <v>23</v>
      </c>
      <c r="C11" s="37" t="s">
        <v>20</v>
      </c>
      <c r="D11" s="38" t="s">
        <v>19</v>
      </c>
      <c r="E11" s="29"/>
      <c r="F11" s="29"/>
    </row>
    <row r="12" spans="1:6" ht="15" customHeight="1">
      <c r="A12" s="31"/>
      <c r="B12" s="52" t="s">
        <v>144</v>
      </c>
      <c r="C12" s="53">
        <v>6828</v>
      </c>
      <c r="D12" s="54">
        <v>0.48299999999999998</v>
      </c>
      <c r="E12" s="31"/>
      <c r="F12" s="31"/>
    </row>
    <row r="13" spans="1:6" ht="16.5">
      <c r="A13" s="31"/>
      <c r="B13" s="52" t="s">
        <v>147</v>
      </c>
      <c r="C13" s="55">
        <v>971</v>
      </c>
      <c r="D13" s="54">
        <v>6.9000000000000006E-2</v>
      </c>
      <c r="E13" s="31"/>
      <c r="F13" s="31"/>
    </row>
    <row r="14" spans="1:6" s="15" customFormat="1" ht="15" customHeight="1">
      <c r="A14" s="31"/>
      <c r="B14" s="52" t="s">
        <v>142</v>
      </c>
      <c r="C14" s="55">
        <v>862</v>
      </c>
      <c r="D14" s="54">
        <v>6.0999999999999999E-2</v>
      </c>
      <c r="E14" s="31"/>
      <c r="F14" s="31"/>
    </row>
    <row r="15" spans="1:6" s="15" customFormat="1" ht="16.5">
      <c r="A15" s="31"/>
      <c r="B15" s="52" t="s">
        <v>141</v>
      </c>
      <c r="C15" s="55">
        <v>751</v>
      </c>
      <c r="D15" s="54">
        <v>5.2999999999999999E-2</v>
      </c>
      <c r="E15" s="31"/>
      <c r="F15" s="31"/>
    </row>
    <row r="16" spans="1:6" ht="16.5">
      <c r="A16" s="31"/>
      <c r="B16" s="52" t="s">
        <v>143</v>
      </c>
      <c r="C16" s="55">
        <v>744</v>
      </c>
      <c r="D16" s="54">
        <v>5.2999999999999999E-2</v>
      </c>
      <c r="E16" s="31"/>
      <c r="F16" s="31"/>
    </row>
    <row r="17" spans="1:6" ht="16.5">
      <c r="A17" s="31"/>
      <c r="B17" s="52" t="s">
        <v>151</v>
      </c>
      <c r="C17" s="55">
        <v>569</v>
      </c>
      <c r="D17" s="54">
        <v>0.04</v>
      </c>
      <c r="E17" s="31"/>
      <c r="F17" s="31"/>
    </row>
    <row r="18" spans="1:6" ht="16.5">
      <c r="A18" s="31"/>
      <c r="B18" s="52" t="s">
        <v>146</v>
      </c>
      <c r="C18" s="55">
        <v>402</v>
      </c>
      <c r="D18" s="54">
        <v>2.8000000000000001E-2</v>
      </c>
      <c r="E18" s="31"/>
      <c r="F18" s="31"/>
    </row>
    <row r="19" spans="1:6" ht="16.5">
      <c r="A19" s="31"/>
      <c r="B19" s="52" t="s">
        <v>154</v>
      </c>
      <c r="C19" s="55">
        <v>357</v>
      </c>
      <c r="D19" s="54">
        <v>2.5000000000000001E-2</v>
      </c>
      <c r="E19" s="31"/>
      <c r="F19" s="31"/>
    </row>
    <row r="20" spans="1:6" ht="16.5">
      <c r="A20" s="31"/>
      <c r="B20" s="52" t="s">
        <v>148</v>
      </c>
      <c r="C20" s="55">
        <v>289</v>
      </c>
      <c r="D20" s="54">
        <v>0.02</v>
      </c>
      <c r="E20" s="31"/>
      <c r="F20" s="31"/>
    </row>
    <row r="21" spans="1:6" ht="16.5">
      <c r="A21" s="31"/>
      <c r="B21" s="52" t="s">
        <v>162</v>
      </c>
      <c r="C21" s="55">
        <v>267</v>
      </c>
      <c r="D21" s="54">
        <v>1.9E-2</v>
      </c>
      <c r="E21" s="31"/>
      <c r="F21" s="31"/>
    </row>
    <row r="22" spans="1:6" ht="16.5">
      <c r="A22" s="31"/>
      <c r="B22" s="52" t="s">
        <v>155</v>
      </c>
      <c r="C22" s="55">
        <v>257</v>
      </c>
      <c r="D22" s="54">
        <v>1.7999999999999999E-2</v>
      </c>
      <c r="E22" s="31"/>
      <c r="F22" s="31"/>
    </row>
    <row r="23" spans="1:6" ht="16.5">
      <c r="A23" s="31"/>
      <c r="B23" s="52" t="s">
        <v>153</v>
      </c>
      <c r="C23" s="55">
        <v>200</v>
      </c>
      <c r="D23" s="54">
        <v>1.4E-2</v>
      </c>
      <c r="E23" s="31"/>
      <c r="F23" s="31"/>
    </row>
    <row r="24" spans="1:6" ht="16.5">
      <c r="A24" s="31"/>
      <c r="B24" s="52" t="s">
        <v>150</v>
      </c>
      <c r="C24" s="55">
        <v>177</v>
      </c>
      <c r="D24" s="54">
        <v>1.2999999999999999E-2</v>
      </c>
      <c r="E24" s="31"/>
      <c r="F24" s="31"/>
    </row>
    <row r="25" spans="1:6" ht="16.5">
      <c r="A25" s="31"/>
      <c r="B25" s="52" t="s">
        <v>161</v>
      </c>
      <c r="C25" s="55">
        <v>152</v>
      </c>
      <c r="D25" s="54">
        <v>1.0999999999999999E-2</v>
      </c>
      <c r="E25" s="31"/>
      <c r="F25" s="31"/>
    </row>
    <row r="26" spans="1:6" ht="16.5">
      <c r="A26" s="31"/>
      <c r="B26" s="52" t="s">
        <v>158</v>
      </c>
      <c r="C26" s="55">
        <v>152</v>
      </c>
      <c r="D26" s="54">
        <v>1.0999999999999999E-2</v>
      </c>
      <c r="E26" s="31"/>
      <c r="F26" s="31"/>
    </row>
    <row r="27" spans="1:6" ht="16.5">
      <c r="A27" s="31"/>
      <c r="B27" s="52" t="s">
        <v>149</v>
      </c>
      <c r="C27" s="55">
        <v>122</v>
      </c>
      <c r="D27" s="54">
        <v>8.9999999999999993E-3</v>
      </c>
      <c r="E27" s="31"/>
      <c r="F27" s="31"/>
    </row>
    <row r="28" spans="1:6" ht="16.5">
      <c r="A28" s="31"/>
      <c r="B28" s="52" t="s">
        <v>176</v>
      </c>
      <c r="C28" s="55">
        <v>112</v>
      </c>
      <c r="D28" s="54">
        <v>8.0000000000000002E-3</v>
      </c>
      <c r="E28" s="31"/>
      <c r="F28" s="31"/>
    </row>
    <row r="29" spans="1:6" ht="16.5">
      <c r="A29" s="31"/>
      <c r="B29" s="52" t="s">
        <v>157</v>
      </c>
      <c r="C29" s="55">
        <v>88</v>
      </c>
      <c r="D29" s="54">
        <v>6.0000000000000001E-3</v>
      </c>
      <c r="E29" s="31"/>
      <c r="F29" s="31"/>
    </row>
    <row r="30" spans="1:6" ht="16.5">
      <c r="A30" s="31"/>
      <c r="B30" s="52" t="s">
        <v>172</v>
      </c>
      <c r="C30" s="55">
        <v>75</v>
      </c>
      <c r="D30" s="54">
        <v>5.0000000000000001E-3</v>
      </c>
      <c r="E30" s="31"/>
      <c r="F30" s="31"/>
    </row>
    <row r="31" spans="1:6" ht="16.5">
      <c r="A31" s="31"/>
      <c r="B31" s="52" t="s">
        <v>152</v>
      </c>
      <c r="C31" s="55">
        <v>65</v>
      </c>
      <c r="D31" s="54">
        <v>5.0000000000000001E-3</v>
      </c>
      <c r="E31" s="31"/>
      <c r="F31" s="31"/>
    </row>
    <row r="32" spans="1:6" ht="16.5">
      <c r="A32" s="31"/>
      <c r="B32" s="52" t="s">
        <v>164</v>
      </c>
      <c r="C32" s="55">
        <v>60</v>
      </c>
      <c r="D32" s="54">
        <v>4.0000000000000001E-3</v>
      </c>
      <c r="E32" s="31"/>
      <c r="F32" s="31"/>
    </row>
    <row r="33" spans="1:6" ht="16.5">
      <c r="A33" s="31"/>
      <c r="B33" s="52" t="s">
        <v>175</v>
      </c>
      <c r="C33" s="55">
        <v>57</v>
      </c>
      <c r="D33" s="54">
        <v>4.0000000000000001E-3</v>
      </c>
      <c r="E33" s="31"/>
      <c r="F33" s="31"/>
    </row>
    <row r="34" spans="1:6" ht="16.5">
      <c r="A34" s="31"/>
      <c r="B34" s="52" t="s">
        <v>163</v>
      </c>
      <c r="C34" s="55">
        <v>46</v>
      </c>
      <c r="D34" s="54">
        <v>3.0000000000000001E-3</v>
      </c>
      <c r="E34" s="31"/>
      <c r="F34" s="31"/>
    </row>
    <row r="35" spans="1:6" ht="16.5">
      <c r="A35" s="31"/>
      <c r="B35" s="52" t="s">
        <v>170</v>
      </c>
      <c r="C35" s="55">
        <v>44</v>
      </c>
      <c r="D35" s="54">
        <v>3.0000000000000001E-3</v>
      </c>
      <c r="E35" s="31"/>
      <c r="F35" s="31"/>
    </row>
    <row r="36" spans="1:6" ht="16.5">
      <c r="A36" s="31"/>
      <c r="B36" s="52" t="s">
        <v>169</v>
      </c>
      <c r="C36" s="55">
        <v>40</v>
      </c>
      <c r="D36" s="54">
        <v>3.0000000000000001E-3</v>
      </c>
      <c r="E36" s="31"/>
      <c r="F36" s="31"/>
    </row>
    <row r="37" spans="1:6" ht="16.5">
      <c r="A37" s="31"/>
      <c r="B37" s="52" t="s">
        <v>182</v>
      </c>
      <c r="C37" s="55">
        <v>37</v>
      </c>
      <c r="D37" s="54">
        <v>3.0000000000000001E-3</v>
      </c>
      <c r="E37" s="31"/>
      <c r="F37" s="31"/>
    </row>
    <row r="38" spans="1:6" ht="16.5">
      <c r="A38" s="31"/>
      <c r="B38" s="52" t="s">
        <v>180</v>
      </c>
      <c r="C38" s="55">
        <v>34</v>
      </c>
      <c r="D38" s="54">
        <v>2E-3</v>
      </c>
      <c r="E38" s="31"/>
      <c r="F38" s="31"/>
    </row>
    <row r="39" spans="1:6" ht="16.5">
      <c r="A39" s="31"/>
      <c r="B39" s="52" t="s">
        <v>173</v>
      </c>
      <c r="C39" s="55">
        <v>29</v>
      </c>
      <c r="D39" s="54">
        <v>2E-3</v>
      </c>
      <c r="E39" s="31"/>
      <c r="F39" s="31"/>
    </row>
    <row r="40" spans="1:6" ht="16.5">
      <c r="A40" s="31"/>
      <c r="B40" s="52" t="s">
        <v>171</v>
      </c>
      <c r="C40" s="55">
        <v>26</v>
      </c>
      <c r="D40" s="54">
        <v>2E-3</v>
      </c>
      <c r="E40" s="31"/>
      <c r="F40" s="31"/>
    </row>
    <row r="41" spans="1:6" ht="16.5">
      <c r="A41" s="31"/>
      <c r="B41" s="52" t="s">
        <v>168</v>
      </c>
      <c r="C41" s="55">
        <v>23</v>
      </c>
      <c r="D41" s="54">
        <v>2E-3</v>
      </c>
      <c r="E41" s="31"/>
      <c r="F41" s="31"/>
    </row>
    <row r="42" spans="1:6" ht="16.5">
      <c r="A42" s="31"/>
      <c r="B42" s="52" t="s">
        <v>174</v>
      </c>
      <c r="C42" s="55">
        <v>23</v>
      </c>
      <c r="D42" s="54">
        <v>2E-3</v>
      </c>
      <c r="E42" s="31"/>
      <c r="F42" s="31"/>
    </row>
    <row r="43" spans="1:6" ht="16.5">
      <c r="A43" s="31"/>
      <c r="B43" s="52" t="s">
        <v>156</v>
      </c>
      <c r="C43" s="55">
        <v>22</v>
      </c>
      <c r="D43" s="54">
        <v>2E-3</v>
      </c>
      <c r="E43" s="31"/>
      <c r="F43" s="31"/>
    </row>
    <row r="44" spans="1:6" ht="16.5">
      <c r="A44" s="31"/>
      <c r="B44" s="52" t="s">
        <v>140</v>
      </c>
      <c r="C44" s="55">
        <v>21</v>
      </c>
      <c r="D44" s="54">
        <v>1E-3</v>
      </c>
      <c r="E44" s="31"/>
      <c r="F44" s="31"/>
    </row>
    <row r="45" spans="1:6" ht="16.5">
      <c r="A45" s="31"/>
      <c r="B45" s="52" t="s">
        <v>181</v>
      </c>
      <c r="C45" s="55">
        <v>21</v>
      </c>
      <c r="D45" s="54">
        <v>1E-3</v>
      </c>
      <c r="E45" s="31"/>
      <c r="F45" s="31"/>
    </row>
    <row r="46" spans="1:6" ht="16.5">
      <c r="A46" s="31"/>
      <c r="B46" s="52" t="s">
        <v>284</v>
      </c>
      <c r="C46" s="55">
        <v>20</v>
      </c>
      <c r="D46" s="54">
        <v>1E-3</v>
      </c>
      <c r="E46" s="31"/>
      <c r="F46" s="31"/>
    </row>
    <row r="47" spans="1:6" ht="16.5">
      <c r="A47" s="31"/>
      <c r="B47" s="52" t="s">
        <v>177</v>
      </c>
      <c r="C47" s="55">
        <v>20</v>
      </c>
      <c r="D47" s="54">
        <v>1E-3</v>
      </c>
      <c r="E47" s="31"/>
      <c r="F47" s="31"/>
    </row>
    <row r="48" spans="1:6" ht="16.5">
      <c r="A48" s="31"/>
      <c r="B48" s="52" t="s">
        <v>178</v>
      </c>
      <c r="C48" s="55">
        <v>19</v>
      </c>
      <c r="D48" s="54">
        <v>1E-3</v>
      </c>
      <c r="E48" s="31"/>
      <c r="F48" s="31"/>
    </row>
    <row r="49" spans="1:6" ht="16.5">
      <c r="A49" s="31"/>
      <c r="B49" s="52" t="s">
        <v>166</v>
      </c>
      <c r="C49" s="55">
        <v>17</v>
      </c>
      <c r="D49" s="54">
        <v>1E-3</v>
      </c>
      <c r="E49" s="31"/>
      <c r="F49" s="31"/>
    </row>
    <row r="50" spans="1:6" ht="16.5">
      <c r="A50" s="31"/>
      <c r="B50" s="52" t="s">
        <v>183</v>
      </c>
      <c r="C50" s="55">
        <v>16</v>
      </c>
      <c r="D50" s="54">
        <v>1E-3</v>
      </c>
      <c r="E50" s="31"/>
      <c r="F50" s="31"/>
    </row>
    <row r="51" spans="1:6" ht="16.5">
      <c r="A51" s="31"/>
      <c r="B51" s="52" t="s">
        <v>145</v>
      </c>
      <c r="C51" s="55">
        <v>16</v>
      </c>
      <c r="D51" s="54">
        <v>1E-3</v>
      </c>
      <c r="E51" s="31"/>
      <c r="F51" s="31"/>
    </row>
    <row r="52" spans="1:6" ht="16.5">
      <c r="A52" s="31"/>
      <c r="B52" s="52" t="s">
        <v>187</v>
      </c>
      <c r="C52" s="55">
        <v>15</v>
      </c>
      <c r="D52" s="54">
        <v>1E-3</v>
      </c>
      <c r="E52" s="31"/>
      <c r="F52" s="31"/>
    </row>
    <row r="53" spans="1:6" ht="16.5">
      <c r="A53" s="31"/>
      <c r="B53" s="52" t="s">
        <v>160</v>
      </c>
      <c r="C53" s="55">
        <v>13</v>
      </c>
      <c r="D53" s="54">
        <v>1E-3</v>
      </c>
      <c r="E53" s="31"/>
      <c r="F53" s="31"/>
    </row>
    <row r="54" spans="1:6" ht="16.5">
      <c r="A54" s="31"/>
      <c r="B54" s="52" t="s">
        <v>179</v>
      </c>
      <c r="C54" s="55">
        <v>13</v>
      </c>
      <c r="D54" s="54">
        <v>1E-3</v>
      </c>
      <c r="E54" s="31"/>
      <c r="F54" s="31"/>
    </row>
    <row r="55" spans="1:6" ht="16.5">
      <c r="A55" s="31"/>
      <c r="B55" s="52" t="s">
        <v>165</v>
      </c>
      <c r="C55" s="55">
        <v>12</v>
      </c>
      <c r="D55" s="54">
        <v>1E-3</v>
      </c>
      <c r="E55" s="31"/>
      <c r="F55" s="31"/>
    </row>
    <row r="56" spans="1:6" ht="16.5">
      <c r="A56" s="31"/>
      <c r="B56" s="52" t="s">
        <v>185</v>
      </c>
      <c r="C56" s="55">
        <v>11</v>
      </c>
      <c r="D56" s="54">
        <v>1E-3</v>
      </c>
      <c r="E56" s="31"/>
      <c r="F56" s="31"/>
    </row>
    <row r="57" spans="1:6" ht="16.5">
      <c r="A57" s="31"/>
      <c r="B57" s="52" t="s">
        <v>190</v>
      </c>
      <c r="C57" s="55">
        <v>7</v>
      </c>
      <c r="D57" s="54">
        <v>0</v>
      </c>
      <c r="E57" s="31"/>
      <c r="F57" s="31"/>
    </row>
    <row r="58" spans="1:6" ht="16.5">
      <c r="A58" s="31"/>
      <c r="B58" s="52" t="s">
        <v>184</v>
      </c>
      <c r="C58" s="55">
        <v>7</v>
      </c>
      <c r="D58" s="54">
        <v>0</v>
      </c>
      <c r="E58" s="31"/>
      <c r="F58" s="31"/>
    </row>
    <row r="59" spans="1:6" ht="16.5">
      <c r="A59" s="31"/>
      <c r="B59" s="52" t="s">
        <v>159</v>
      </c>
      <c r="C59" s="55">
        <v>7</v>
      </c>
      <c r="D59" s="54">
        <v>0</v>
      </c>
      <c r="E59" s="31"/>
      <c r="F59" s="31"/>
    </row>
    <row r="60" spans="1:6" ht="16.5">
      <c r="A60" s="31"/>
      <c r="B60" s="52" t="s">
        <v>189</v>
      </c>
      <c r="C60" s="55">
        <v>6</v>
      </c>
      <c r="D60" s="54">
        <v>0</v>
      </c>
      <c r="E60" s="31"/>
      <c r="F60" s="31"/>
    </row>
    <row r="61" spans="1:6" ht="16.5">
      <c r="A61" s="31"/>
      <c r="B61" s="52" t="s">
        <v>191</v>
      </c>
      <c r="C61" s="55">
        <v>6</v>
      </c>
      <c r="D61" s="54">
        <v>0</v>
      </c>
      <c r="E61" s="31"/>
      <c r="F61" s="31"/>
    </row>
    <row r="62" spans="1:6" ht="16.5">
      <c r="A62" s="31"/>
      <c r="B62" s="52" t="s">
        <v>167</v>
      </c>
      <c r="C62" s="55">
        <v>4</v>
      </c>
      <c r="D62" s="54">
        <v>0</v>
      </c>
      <c r="E62" s="31"/>
      <c r="F62" s="31"/>
    </row>
    <row r="63" spans="1:6" ht="16.5">
      <c r="A63" s="31"/>
      <c r="B63" s="52" t="s">
        <v>188</v>
      </c>
      <c r="C63" s="55">
        <v>4</v>
      </c>
      <c r="D63" s="54">
        <v>0</v>
      </c>
      <c r="E63" s="31"/>
      <c r="F63" s="31"/>
    </row>
    <row r="64" spans="1:6" ht="16.5">
      <c r="A64" s="31"/>
      <c r="B64" s="52" t="s">
        <v>186</v>
      </c>
      <c r="C64" s="55">
        <v>4</v>
      </c>
      <c r="D64" s="54">
        <v>0</v>
      </c>
      <c r="E64" s="31"/>
      <c r="F64" s="31"/>
    </row>
    <row r="65" spans="1:6" ht="16.5">
      <c r="A65" s="31"/>
      <c r="B65" s="52" t="s">
        <v>285</v>
      </c>
      <c r="C65" s="55">
        <v>1</v>
      </c>
      <c r="D65" s="54">
        <v>0</v>
      </c>
      <c r="E65" s="31"/>
      <c r="F65" s="31"/>
    </row>
    <row r="66" spans="1:6" ht="16.5">
      <c r="A66" s="31"/>
      <c r="B66" s="56" t="s">
        <v>310</v>
      </c>
      <c r="C66" s="40">
        <v>14141</v>
      </c>
      <c r="D66" s="57">
        <v>1</v>
      </c>
      <c r="E66" s="31"/>
      <c r="F66" s="31"/>
    </row>
    <row r="67" spans="1:6" ht="16.5">
      <c r="A67" s="31"/>
      <c r="B67" s="34"/>
      <c r="C67" s="33"/>
      <c r="D67" s="31"/>
      <c r="E67" s="31"/>
      <c r="F67" s="31"/>
    </row>
    <row r="68" spans="1:6" ht="16.5">
      <c r="A68" s="31"/>
      <c r="B68" s="34" t="s">
        <v>277</v>
      </c>
      <c r="C68" s="33"/>
      <c r="D68" s="31"/>
      <c r="E68" s="31"/>
      <c r="F68" s="31"/>
    </row>
    <row r="69" spans="1:6" ht="16.5">
      <c r="A69" s="31"/>
      <c r="B69" s="35" t="s">
        <v>18</v>
      </c>
      <c r="C69" s="33"/>
      <c r="D69" s="31"/>
      <c r="E69" s="31"/>
      <c r="F69" s="31"/>
    </row>
    <row r="70" spans="1:6" ht="16.5">
      <c r="A70" s="31"/>
      <c r="B70" s="32" t="s">
        <v>46</v>
      </c>
      <c r="C70" s="33"/>
      <c r="D70" s="31"/>
      <c r="E70" s="31"/>
      <c r="F70" s="31"/>
    </row>
    <row r="71" spans="1:6" ht="16.5">
      <c r="A71" s="31"/>
      <c r="B71" s="34" t="s">
        <v>17</v>
      </c>
      <c r="C71" s="33"/>
      <c r="D71" s="31"/>
      <c r="E71" s="31"/>
      <c r="F71" s="31"/>
    </row>
    <row r="72" spans="1:6" ht="16.5">
      <c r="A72" s="31"/>
      <c r="B72" s="34" t="s">
        <v>311</v>
      </c>
      <c r="C72" s="33"/>
      <c r="D72" s="31"/>
      <c r="E72" s="31"/>
      <c r="F72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FFFF00"/>
  </sheetPr>
  <dimension ref="A1:E544"/>
  <sheetViews>
    <sheetView showGridLines="0" view="pageBreakPreview" zoomScaleNormal="85" zoomScaleSheetLayoutView="100" workbookViewId="0">
      <selection activeCell="G8" sqref="G8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50.140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1"/>
      <c r="C6" s="42"/>
      <c r="D6" s="42"/>
      <c r="E6" s="42"/>
    </row>
    <row r="7" spans="1:5" s="22" customFormat="1" ht="26.25" customHeight="1">
      <c r="A7" s="23"/>
      <c r="B7" s="88"/>
      <c r="C7" s="88"/>
      <c r="D7" s="88"/>
      <c r="E7" s="88"/>
    </row>
    <row r="8" spans="1:5" s="22" customFormat="1" ht="33" customHeight="1">
      <c r="A8" s="23"/>
      <c r="B8" s="88"/>
      <c r="C8" s="88"/>
      <c r="D8" s="88"/>
      <c r="E8" s="88"/>
    </row>
    <row r="9" spans="1:5" s="16" customFormat="1" ht="40.5" customHeight="1">
      <c r="B9" s="43" t="s">
        <v>25</v>
      </c>
      <c r="C9" s="44" t="s">
        <v>24</v>
      </c>
      <c r="D9" s="45" t="s">
        <v>20</v>
      </c>
      <c r="E9" s="43" t="s">
        <v>19</v>
      </c>
    </row>
    <row r="10" spans="1:5">
      <c r="B10" s="85" t="s">
        <v>133</v>
      </c>
      <c r="C10" s="52" t="s">
        <v>144</v>
      </c>
      <c r="D10" s="53">
        <v>5512</v>
      </c>
      <c r="E10" s="54">
        <v>0.39</v>
      </c>
    </row>
    <row r="11" spans="1:5">
      <c r="B11" s="87"/>
      <c r="C11" s="52" t="s">
        <v>147</v>
      </c>
      <c r="D11" s="55">
        <v>750</v>
      </c>
      <c r="E11" s="54">
        <v>5.2999999999999999E-2</v>
      </c>
    </row>
    <row r="12" spans="1:5">
      <c r="B12" s="87"/>
      <c r="C12" s="52" t="s">
        <v>142</v>
      </c>
      <c r="D12" s="55">
        <v>709</v>
      </c>
      <c r="E12" s="54">
        <v>0.05</v>
      </c>
    </row>
    <row r="13" spans="1:5">
      <c r="B13" s="87"/>
      <c r="C13" s="52" t="s">
        <v>143</v>
      </c>
      <c r="D13" s="55">
        <v>640</v>
      </c>
      <c r="E13" s="54">
        <v>4.4999999999999998E-2</v>
      </c>
    </row>
    <row r="14" spans="1:5">
      <c r="B14" s="87"/>
      <c r="C14" s="52" t="s">
        <v>141</v>
      </c>
      <c r="D14" s="55">
        <v>619</v>
      </c>
      <c r="E14" s="54">
        <v>4.3999999999999997E-2</v>
      </c>
    </row>
    <row r="15" spans="1:5">
      <c r="B15" s="87"/>
      <c r="C15" s="52" t="s">
        <v>151</v>
      </c>
      <c r="D15" s="55">
        <v>465</v>
      </c>
      <c r="E15" s="54">
        <v>3.3000000000000002E-2</v>
      </c>
    </row>
    <row r="16" spans="1:5">
      <c r="B16" s="87"/>
      <c r="C16" s="52" t="s">
        <v>146</v>
      </c>
      <c r="D16" s="55">
        <v>373</v>
      </c>
      <c r="E16" s="54">
        <v>2.5999999999999999E-2</v>
      </c>
    </row>
    <row r="17" spans="2:5">
      <c r="B17" s="87"/>
      <c r="C17" s="52" t="s">
        <v>154</v>
      </c>
      <c r="D17" s="55">
        <v>309</v>
      </c>
      <c r="E17" s="54">
        <v>2.1999999999999999E-2</v>
      </c>
    </row>
    <row r="18" spans="2:5">
      <c r="B18" s="87"/>
      <c r="C18" s="52" t="s">
        <v>162</v>
      </c>
      <c r="D18" s="55">
        <v>262</v>
      </c>
      <c r="E18" s="54">
        <v>1.9E-2</v>
      </c>
    </row>
    <row r="19" spans="2:5">
      <c r="B19" s="87"/>
      <c r="C19" s="52" t="s">
        <v>155</v>
      </c>
      <c r="D19" s="55">
        <v>242</v>
      </c>
      <c r="E19" s="54">
        <v>1.7000000000000001E-2</v>
      </c>
    </row>
    <row r="20" spans="2:5">
      <c r="B20" s="87"/>
      <c r="C20" s="52" t="s">
        <v>148</v>
      </c>
      <c r="D20" s="55">
        <v>233</v>
      </c>
      <c r="E20" s="54">
        <v>1.6E-2</v>
      </c>
    </row>
    <row r="21" spans="2:5">
      <c r="B21" s="87"/>
      <c r="C21" s="52" t="s">
        <v>153</v>
      </c>
      <c r="D21" s="55">
        <v>190</v>
      </c>
      <c r="E21" s="54">
        <v>1.2999999999999999E-2</v>
      </c>
    </row>
    <row r="22" spans="2:5">
      <c r="B22" s="87"/>
      <c r="C22" s="52" t="s">
        <v>161</v>
      </c>
      <c r="D22" s="55">
        <v>130</v>
      </c>
      <c r="E22" s="54">
        <v>8.9999999999999993E-3</v>
      </c>
    </row>
    <row r="23" spans="2:5">
      <c r="B23" s="87"/>
      <c r="C23" s="52" t="s">
        <v>150</v>
      </c>
      <c r="D23" s="55">
        <v>115</v>
      </c>
      <c r="E23" s="54">
        <v>8.0000000000000002E-3</v>
      </c>
    </row>
    <row r="24" spans="2:5">
      <c r="B24" s="87"/>
      <c r="C24" s="52" t="s">
        <v>176</v>
      </c>
      <c r="D24" s="55">
        <v>110</v>
      </c>
      <c r="E24" s="54">
        <v>8.0000000000000002E-3</v>
      </c>
    </row>
    <row r="25" spans="2:5">
      <c r="B25" s="87"/>
      <c r="C25" s="52" t="s">
        <v>149</v>
      </c>
      <c r="D25" s="55">
        <v>109</v>
      </c>
      <c r="E25" s="54">
        <v>8.0000000000000002E-3</v>
      </c>
    </row>
    <row r="26" spans="2:5">
      <c r="B26" s="87"/>
      <c r="C26" s="52" t="s">
        <v>158</v>
      </c>
      <c r="D26" s="55">
        <v>96</v>
      </c>
      <c r="E26" s="54">
        <v>7.0000000000000001E-3</v>
      </c>
    </row>
    <row r="27" spans="2:5">
      <c r="B27" s="87"/>
      <c r="C27" s="52" t="s">
        <v>157</v>
      </c>
      <c r="D27" s="55">
        <v>77</v>
      </c>
      <c r="E27" s="54">
        <v>5.0000000000000001E-3</v>
      </c>
    </row>
    <row r="28" spans="2:5">
      <c r="B28" s="87"/>
      <c r="C28" s="52" t="s">
        <v>172</v>
      </c>
      <c r="D28" s="55">
        <v>73</v>
      </c>
      <c r="E28" s="54">
        <v>5.0000000000000001E-3</v>
      </c>
    </row>
    <row r="29" spans="2:5">
      <c r="B29" s="87"/>
      <c r="C29" s="52" t="s">
        <v>152</v>
      </c>
      <c r="D29" s="55">
        <v>58</v>
      </c>
      <c r="E29" s="54">
        <v>4.0000000000000001E-3</v>
      </c>
    </row>
    <row r="30" spans="2:5">
      <c r="B30" s="87"/>
      <c r="C30" s="52" t="s">
        <v>164</v>
      </c>
      <c r="D30" s="55">
        <v>54</v>
      </c>
      <c r="E30" s="54">
        <v>4.0000000000000001E-3</v>
      </c>
    </row>
    <row r="31" spans="2:5">
      <c r="B31" s="87"/>
      <c r="C31" s="52" t="s">
        <v>163</v>
      </c>
      <c r="D31" s="55">
        <v>40</v>
      </c>
      <c r="E31" s="54">
        <v>3.0000000000000001E-3</v>
      </c>
    </row>
    <row r="32" spans="2:5">
      <c r="B32" s="87"/>
      <c r="C32" s="52" t="s">
        <v>175</v>
      </c>
      <c r="D32" s="55">
        <v>39</v>
      </c>
      <c r="E32" s="54">
        <v>3.0000000000000001E-3</v>
      </c>
    </row>
    <row r="33" spans="2:5">
      <c r="B33" s="87"/>
      <c r="C33" s="52" t="s">
        <v>182</v>
      </c>
      <c r="D33" s="55">
        <v>35</v>
      </c>
      <c r="E33" s="54">
        <v>2E-3</v>
      </c>
    </row>
    <row r="34" spans="2:5">
      <c r="B34" s="87"/>
      <c r="C34" s="52" t="s">
        <v>170</v>
      </c>
      <c r="D34" s="55">
        <v>33</v>
      </c>
      <c r="E34" s="54">
        <v>2E-3</v>
      </c>
    </row>
    <row r="35" spans="2:5">
      <c r="B35" s="87"/>
      <c r="C35" s="52" t="s">
        <v>169</v>
      </c>
      <c r="D35" s="55">
        <v>33</v>
      </c>
      <c r="E35" s="54">
        <v>2E-3</v>
      </c>
    </row>
    <row r="36" spans="2:5">
      <c r="B36" s="87"/>
      <c r="C36" s="52" t="s">
        <v>180</v>
      </c>
      <c r="D36" s="55">
        <v>26</v>
      </c>
      <c r="E36" s="54">
        <v>2E-3</v>
      </c>
    </row>
    <row r="37" spans="2:5">
      <c r="B37" s="87"/>
      <c r="C37" s="52" t="s">
        <v>171</v>
      </c>
      <c r="D37" s="55">
        <v>23</v>
      </c>
      <c r="E37" s="54">
        <v>2E-3</v>
      </c>
    </row>
    <row r="38" spans="2:5">
      <c r="B38" s="87"/>
      <c r="C38" s="52" t="s">
        <v>174</v>
      </c>
      <c r="D38" s="55">
        <v>22</v>
      </c>
      <c r="E38" s="54">
        <v>2E-3</v>
      </c>
    </row>
    <row r="39" spans="2:5">
      <c r="B39" s="87"/>
      <c r="C39" s="52" t="s">
        <v>168</v>
      </c>
      <c r="D39" s="55">
        <v>20</v>
      </c>
      <c r="E39" s="54">
        <v>1E-3</v>
      </c>
    </row>
    <row r="40" spans="2:5">
      <c r="B40" s="87"/>
      <c r="C40" s="52" t="s">
        <v>173</v>
      </c>
      <c r="D40" s="55">
        <v>19</v>
      </c>
      <c r="E40" s="54">
        <v>1E-3</v>
      </c>
    </row>
    <row r="41" spans="2:5">
      <c r="B41" s="87"/>
      <c r="C41" s="52" t="s">
        <v>181</v>
      </c>
      <c r="D41" s="55">
        <v>18</v>
      </c>
      <c r="E41" s="54">
        <v>1E-3</v>
      </c>
    </row>
    <row r="42" spans="2:5">
      <c r="B42" s="87"/>
      <c r="C42" s="52" t="s">
        <v>140</v>
      </c>
      <c r="D42" s="55">
        <v>16</v>
      </c>
      <c r="E42" s="54">
        <v>1E-3</v>
      </c>
    </row>
    <row r="43" spans="2:5">
      <c r="B43" s="87"/>
      <c r="C43" s="52" t="s">
        <v>178</v>
      </c>
      <c r="D43" s="55">
        <v>16</v>
      </c>
      <c r="E43" s="54">
        <v>1E-3</v>
      </c>
    </row>
    <row r="44" spans="2:5">
      <c r="B44" s="87"/>
      <c r="C44" s="52" t="s">
        <v>156</v>
      </c>
      <c r="D44" s="55">
        <v>16</v>
      </c>
      <c r="E44" s="54">
        <v>1E-3</v>
      </c>
    </row>
    <row r="45" spans="2:5">
      <c r="B45" s="87"/>
      <c r="C45" s="52" t="s">
        <v>187</v>
      </c>
      <c r="D45" s="55">
        <v>15</v>
      </c>
      <c r="E45" s="54">
        <v>1E-3</v>
      </c>
    </row>
    <row r="46" spans="2:5">
      <c r="B46" s="87"/>
      <c r="C46" s="52" t="s">
        <v>166</v>
      </c>
      <c r="D46" s="55">
        <v>15</v>
      </c>
      <c r="E46" s="54">
        <v>1E-3</v>
      </c>
    </row>
    <row r="47" spans="2:5">
      <c r="B47" s="87"/>
      <c r="C47" s="52" t="s">
        <v>145</v>
      </c>
      <c r="D47" s="55">
        <v>14</v>
      </c>
      <c r="E47" s="54">
        <v>1E-3</v>
      </c>
    </row>
    <row r="48" spans="2:5">
      <c r="B48" s="87"/>
      <c r="C48" s="52" t="s">
        <v>183</v>
      </c>
      <c r="D48" s="55">
        <v>13</v>
      </c>
      <c r="E48" s="54">
        <v>1E-3</v>
      </c>
    </row>
    <row r="49" spans="2:5">
      <c r="B49" s="87"/>
      <c r="C49" s="52" t="s">
        <v>177</v>
      </c>
      <c r="D49" s="55">
        <v>13</v>
      </c>
      <c r="E49" s="54">
        <v>1E-3</v>
      </c>
    </row>
    <row r="50" spans="2:5">
      <c r="B50" s="87"/>
      <c r="C50" s="52" t="s">
        <v>160</v>
      </c>
      <c r="D50" s="55">
        <v>11</v>
      </c>
      <c r="E50" s="54">
        <v>1E-3</v>
      </c>
    </row>
    <row r="51" spans="2:5">
      <c r="B51" s="87"/>
      <c r="C51" s="52" t="s">
        <v>179</v>
      </c>
      <c r="D51" s="55">
        <v>11</v>
      </c>
      <c r="E51" s="54">
        <v>1E-3</v>
      </c>
    </row>
    <row r="52" spans="2:5">
      <c r="B52" s="87"/>
      <c r="C52" s="52" t="s">
        <v>185</v>
      </c>
      <c r="D52" s="55">
        <v>11</v>
      </c>
      <c r="E52" s="54">
        <v>1E-3</v>
      </c>
    </row>
    <row r="53" spans="2:5">
      <c r="B53" s="87"/>
      <c r="C53" s="52" t="s">
        <v>165</v>
      </c>
      <c r="D53" s="55">
        <v>10</v>
      </c>
      <c r="E53" s="54">
        <v>1E-3</v>
      </c>
    </row>
    <row r="54" spans="2:5">
      <c r="B54" s="87"/>
      <c r="C54" s="52" t="s">
        <v>284</v>
      </c>
      <c r="D54" s="55">
        <v>9</v>
      </c>
      <c r="E54" s="54">
        <v>1E-3</v>
      </c>
    </row>
    <row r="55" spans="2:5">
      <c r="B55" s="87"/>
      <c r="C55" s="52" t="s">
        <v>184</v>
      </c>
      <c r="D55" s="55">
        <v>7</v>
      </c>
      <c r="E55" s="54">
        <v>0</v>
      </c>
    </row>
    <row r="56" spans="2:5">
      <c r="B56" s="87"/>
      <c r="C56" s="52" t="s">
        <v>189</v>
      </c>
      <c r="D56" s="55">
        <v>6</v>
      </c>
      <c r="E56" s="54">
        <v>0</v>
      </c>
    </row>
    <row r="57" spans="2:5">
      <c r="B57" s="87"/>
      <c r="C57" s="52" t="s">
        <v>190</v>
      </c>
      <c r="D57" s="55">
        <v>6</v>
      </c>
      <c r="E57" s="54">
        <v>0</v>
      </c>
    </row>
    <row r="58" spans="2:5">
      <c r="B58" s="87"/>
      <c r="C58" s="52" t="s">
        <v>191</v>
      </c>
      <c r="D58" s="55">
        <v>6</v>
      </c>
      <c r="E58" s="54">
        <v>0</v>
      </c>
    </row>
    <row r="59" spans="2:5">
      <c r="B59" s="87"/>
      <c r="C59" s="52" t="s">
        <v>188</v>
      </c>
      <c r="D59" s="55">
        <v>4</v>
      </c>
      <c r="E59" s="54">
        <v>0</v>
      </c>
    </row>
    <row r="60" spans="2:5">
      <c r="B60" s="87"/>
      <c r="C60" s="52" t="s">
        <v>186</v>
      </c>
      <c r="D60" s="55">
        <v>4</v>
      </c>
      <c r="E60" s="54">
        <v>0</v>
      </c>
    </row>
    <row r="61" spans="2:5">
      <c r="B61" s="87"/>
      <c r="C61" s="52" t="s">
        <v>159</v>
      </c>
      <c r="D61" s="55">
        <v>4</v>
      </c>
      <c r="E61" s="54">
        <v>0</v>
      </c>
    </row>
    <row r="62" spans="2:5">
      <c r="B62" s="87"/>
      <c r="C62" s="52" t="s">
        <v>167</v>
      </c>
      <c r="D62" s="55">
        <v>1</v>
      </c>
      <c r="E62" s="54">
        <v>0</v>
      </c>
    </row>
    <row r="63" spans="2:5">
      <c r="B63" s="86"/>
      <c r="C63" s="68" t="s">
        <v>307</v>
      </c>
      <c r="D63" s="66">
        <v>11642</v>
      </c>
      <c r="E63" s="69">
        <v>0.82299999999999995</v>
      </c>
    </row>
    <row r="64" spans="2:5">
      <c r="B64" s="85" t="s">
        <v>106</v>
      </c>
      <c r="C64" s="52" t="s">
        <v>144</v>
      </c>
      <c r="D64" s="55">
        <v>220</v>
      </c>
      <c r="E64" s="54">
        <v>1.6E-2</v>
      </c>
    </row>
    <row r="65" spans="2:5">
      <c r="B65" s="87"/>
      <c r="C65" s="52" t="s">
        <v>147</v>
      </c>
      <c r="D65" s="55">
        <v>26</v>
      </c>
      <c r="E65" s="54">
        <v>2E-3</v>
      </c>
    </row>
    <row r="66" spans="2:5">
      <c r="B66" s="87"/>
      <c r="C66" s="52" t="s">
        <v>142</v>
      </c>
      <c r="D66" s="55">
        <v>21</v>
      </c>
      <c r="E66" s="54">
        <v>1E-3</v>
      </c>
    </row>
    <row r="67" spans="2:5">
      <c r="B67" s="87"/>
      <c r="C67" s="52" t="s">
        <v>143</v>
      </c>
      <c r="D67" s="55">
        <v>12</v>
      </c>
      <c r="E67" s="54">
        <v>1E-3</v>
      </c>
    </row>
    <row r="68" spans="2:5">
      <c r="B68" s="87"/>
      <c r="C68" s="52" t="s">
        <v>151</v>
      </c>
      <c r="D68" s="55">
        <v>10</v>
      </c>
      <c r="E68" s="54">
        <v>1E-3</v>
      </c>
    </row>
    <row r="69" spans="2:5">
      <c r="B69" s="87"/>
      <c r="C69" s="52" t="s">
        <v>154</v>
      </c>
      <c r="D69" s="55">
        <v>9</v>
      </c>
      <c r="E69" s="54">
        <v>1E-3</v>
      </c>
    </row>
    <row r="70" spans="2:5">
      <c r="B70" s="87"/>
      <c r="C70" s="52" t="s">
        <v>146</v>
      </c>
      <c r="D70" s="55">
        <v>8</v>
      </c>
      <c r="E70" s="54">
        <v>1E-3</v>
      </c>
    </row>
    <row r="71" spans="2:5">
      <c r="B71" s="87"/>
      <c r="C71" s="52" t="s">
        <v>148</v>
      </c>
      <c r="D71" s="55">
        <v>8</v>
      </c>
      <c r="E71" s="54">
        <v>1E-3</v>
      </c>
    </row>
    <row r="72" spans="2:5">
      <c r="B72" s="87"/>
      <c r="C72" s="52" t="s">
        <v>158</v>
      </c>
      <c r="D72" s="55">
        <v>7</v>
      </c>
      <c r="E72" s="54">
        <v>0</v>
      </c>
    </row>
    <row r="73" spans="2:5">
      <c r="B73" s="87"/>
      <c r="C73" s="52" t="s">
        <v>170</v>
      </c>
      <c r="D73" s="55">
        <v>4</v>
      </c>
      <c r="E73" s="54">
        <v>0</v>
      </c>
    </row>
    <row r="74" spans="2:5">
      <c r="B74" s="87"/>
      <c r="C74" s="52" t="s">
        <v>161</v>
      </c>
      <c r="D74" s="55">
        <v>4</v>
      </c>
      <c r="E74" s="54">
        <v>0</v>
      </c>
    </row>
    <row r="75" spans="2:5">
      <c r="B75" s="87"/>
      <c r="C75" s="52" t="s">
        <v>141</v>
      </c>
      <c r="D75" s="55">
        <v>4</v>
      </c>
      <c r="E75" s="54">
        <v>0</v>
      </c>
    </row>
    <row r="76" spans="2:5">
      <c r="B76" s="87"/>
      <c r="C76" s="52" t="s">
        <v>156</v>
      </c>
      <c r="D76" s="55">
        <v>2</v>
      </c>
      <c r="E76" s="54">
        <v>0</v>
      </c>
    </row>
    <row r="77" spans="2:5">
      <c r="B77" s="87"/>
      <c r="C77" s="52" t="s">
        <v>181</v>
      </c>
      <c r="D77" s="55">
        <v>2</v>
      </c>
      <c r="E77" s="54">
        <v>0</v>
      </c>
    </row>
    <row r="78" spans="2:5">
      <c r="B78" s="87"/>
      <c r="C78" s="52" t="s">
        <v>149</v>
      </c>
      <c r="D78" s="55">
        <v>1</v>
      </c>
      <c r="E78" s="54">
        <v>0</v>
      </c>
    </row>
    <row r="79" spans="2:5">
      <c r="B79" s="87"/>
      <c r="C79" s="52" t="s">
        <v>153</v>
      </c>
      <c r="D79" s="55">
        <v>1</v>
      </c>
      <c r="E79" s="54">
        <v>0</v>
      </c>
    </row>
    <row r="80" spans="2:5">
      <c r="B80" s="87"/>
      <c r="C80" s="52" t="s">
        <v>140</v>
      </c>
      <c r="D80" s="55">
        <v>1</v>
      </c>
      <c r="E80" s="54">
        <v>0</v>
      </c>
    </row>
    <row r="81" spans="2:5">
      <c r="B81" s="87"/>
      <c r="C81" s="52" t="s">
        <v>150</v>
      </c>
      <c r="D81" s="55">
        <v>1</v>
      </c>
      <c r="E81" s="54">
        <v>0</v>
      </c>
    </row>
    <row r="82" spans="2:5">
      <c r="B82" s="87"/>
      <c r="C82" s="52" t="s">
        <v>183</v>
      </c>
      <c r="D82" s="55">
        <v>1</v>
      </c>
      <c r="E82" s="54">
        <v>0</v>
      </c>
    </row>
    <row r="83" spans="2:5">
      <c r="B83" s="87"/>
      <c r="C83" s="52" t="s">
        <v>155</v>
      </c>
      <c r="D83" s="55">
        <v>1</v>
      </c>
      <c r="E83" s="54">
        <v>0</v>
      </c>
    </row>
    <row r="84" spans="2:5">
      <c r="B84" s="87"/>
      <c r="C84" s="52" t="s">
        <v>145</v>
      </c>
      <c r="D84" s="55">
        <v>1</v>
      </c>
      <c r="E84" s="54">
        <v>0</v>
      </c>
    </row>
    <row r="85" spans="2:5">
      <c r="B85" s="87"/>
      <c r="C85" s="52" t="s">
        <v>166</v>
      </c>
      <c r="D85" s="55">
        <v>1</v>
      </c>
      <c r="E85" s="54">
        <v>0</v>
      </c>
    </row>
    <row r="86" spans="2:5">
      <c r="B86" s="87"/>
      <c r="C86" s="52" t="s">
        <v>152</v>
      </c>
      <c r="D86" s="55">
        <v>1</v>
      </c>
      <c r="E86" s="54">
        <v>0</v>
      </c>
    </row>
    <row r="87" spans="2:5">
      <c r="B87" s="86"/>
      <c r="C87" s="68" t="s">
        <v>307</v>
      </c>
      <c r="D87" s="66">
        <v>346</v>
      </c>
      <c r="E87" s="69">
        <v>2.4E-2</v>
      </c>
    </row>
    <row r="88" spans="2:5">
      <c r="B88" s="85" t="s">
        <v>99</v>
      </c>
      <c r="C88" s="52" t="s">
        <v>144</v>
      </c>
      <c r="D88" s="55">
        <v>179</v>
      </c>
      <c r="E88" s="54">
        <v>1.2999999999999999E-2</v>
      </c>
    </row>
    <row r="89" spans="2:5">
      <c r="B89" s="87"/>
      <c r="C89" s="52" t="s">
        <v>142</v>
      </c>
      <c r="D89" s="55">
        <v>15</v>
      </c>
      <c r="E89" s="54">
        <v>1E-3</v>
      </c>
    </row>
    <row r="90" spans="2:5">
      <c r="B90" s="87"/>
      <c r="C90" s="52" t="s">
        <v>147</v>
      </c>
      <c r="D90" s="55">
        <v>13</v>
      </c>
      <c r="E90" s="54">
        <v>1E-3</v>
      </c>
    </row>
    <row r="91" spans="2:5">
      <c r="B91" s="87"/>
      <c r="C91" s="52" t="s">
        <v>151</v>
      </c>
      <c r="D91" s="55">
        <v>10</v>
      </c>
      <c r="E91" s="54">
        <v>1E-3</v>
      </c>
    </row>
    <row r="92" spans="2:5">
      <c r="B92" s="87"/>
      <c r="C92" s="52" t="s">
        <v>143</v>
      </c>
      <c r="D92" s="55">
        <v>9</v>
      </c>
      <c r="E92" s="54">
        <v>1E-3</v>
      </c>
    </row>
    <row r="93" spans="2:5">
      <c r="B93" s="87"/>
      <c r="C93" s="52" t="s">
        <v>148</v>
      </c>
      <c r="D93" s="55">
        <v>6</v>
      </c>
      <c r="E93" s="54">
        <v>0</v>
      </c>
    </row>
    <row r="94" spans="2:5">
      <c r="B94" s="87"/>
      <c r="C94" s="52" t="s">
        <v>154</v>
      </c>
      <c r="D94" s="55">
        <v>5</v>
      </c>
      <c r="E94" s="54">
        <v>0</v>
      </c>
    </row>
    <row r="95" spans="2:5">
      <c r="B95" s="87"/>
      <c r="C95" s="52" t="s">
        <v>141</v>
      </c>
      <c r="D95" s="55">
        <v>4</v>
      </c>
      <c r="E95" s="54">
        <v>0</v>
      </c>
    </row>
    <row r="96" spans="2:5">
      <c r="B96" s="87"/>
      <c r="C96" s="52" t="s">
        <v>163</v>
      </c>
      <c r="D96" s="55">
        <v>4</v>
      </c>
      <c r="E96" s="54">
        <v>0</v>
      </c>
    </row>
    <row r="97" spans="2:5">
      <c r="B97" s="87"/>
      <c r="C97" s="52" t="s">
        <v>150</v>
      </c>
      <c r="D97" s="55">
        <v>3</v>
      </c>
      <c r="E97" s="54">
        <v>0</v>
      </c>
    </row>
    <row r="98" spans="2:5">
      <c r="B98" s="87"/>
      <c r="C98" s="52" t="s">
        <v>157</v>
      </c>
      <c r="D98" s="55">
        <v>3</v>
      </c>
      <c r="E98" s="54">
        <v>0</v>
      </c>
    </row>
    <row r="99" spans="2:5">
      <c r="B99" s="87"/>
      <c r="C99" s="52" t="s">
        <v>153</v>
      </c>
      <c r="D99" s="55">
        <v>2</v>
      </c>
      <c r="E99" s="54">
        <v>0</v>
      </c>
    </row>
    <row r="100" spans="2:5">
      <c r="B100" s="87"/>
      <c r="C100" s="52" t="s">
        <v>156</v>
      </c>
      <c r="D100" s="55">
        <v>2</v>
      </c>
      <c r="E100" s="54">
        <v>0</v>
      </c>
    </row>
    <row r="101" spans="2:5">
      <c r="B101" s="87"/>
      <c r="C101" s="52" t="s">
        <v>146</v>
      </c>
      <c r="D101" s="55">
        <v>2</v>
      </c>
      <c r="E101" s="54">
        <v>0</v>
      </c>
    </row>
    <row r="102" spans="2:5">
      <c r="B102" s="87"/>
      <c r="C102" s="52" t="s">
        <v>149</v>
      </c>
      <c r="D102" s="55">
        <v>1</v>
      </c>
      <c r="E102" s="54">
        <v>0</v>
      </c>
    </row>
    <row r="103" spans="2:5">
      <c r="B103" s="87"/>
      <c r="C103" s="52" t="s">
        <v>171</v>
      </c>
      <c r="D103" s="55">
        <v>1</v>
      </c>
      <c r="E103" s="54">
        <v>0</v>
      </c>
    </row>
    <row r="104" spans="2:5">
      <c r="B104" s="87"/>
      <c r="C104" s="52" t="s">
        <v>175</v>
      </c>
      <c r="D104" s="55">
        <v>1</v>
      </c>
      <c r="E104" s="54">
        <v>0</v>
      </c>
    </row>
    <row r="105" spans="2:5">
      <c r="B105" s="87"/>
      <c r="C105" s="52" t="s">
        <v>161</v>
      </c>
      <c r="D105" s="55">
        <v>1</v>
      </c>
      <c r="E105" s="54">
        <v>0</v>
      </c>
    </row>
    <row r="106" spans="2:5">
      <c r="B106" s="87"/>
      <c r="C106" s="52" t="s">
        <v>162</v>
      </c>
      <c r="D106" s="55">
        <v>1</v>
      </c>
      <c r="E106" s="54">
        <v>0</v>
      </c>
    </row>
    <row r="107" spans="2:5">
      <c r="B107" s="87"/>
      <c r="C107" s="52" t="s">
        <v>284</v>
      </c>
      <c r="D107" s="55">
        <v>1</v>
      </c>
      <c r="E107" s="54">
        <v>0</v>
      </c>
    </row>
    <row r="108" spans="2:5">
      <c r="B108" s="87"/>
      <c r="C108" s="52" t="s">
        <v>172</v>
      </c>
      <c r="D108" s="55">
        <v>1</v>
      </c>
      <c r="E108" s="54">
        <v>0</v>
      </c>
    </row>
    <row r="109" spans="2:5">
      <c r="B109" s="87"/>
      <c r="C109" s="52" t="s">
        <v>177</v>
      </c>
      <c r="D109" s="55">
        <v>1</v>
      </c>
      <c r="E109" s="54">
        <v>0</v>
      </c>
    </row>
    <row r="110" spans="2:5">
      <c r="B110" s="87"/>
      <c r="C110" s="52" t="s">
        <v>180</v>
      </c>
      <c r="D110" s="55">
        <v>1</v>
      </c>
      <c r="E110" s="54">
        <v>0</v>
      </c>
    </row>
    <row r="111" spans="2:5">
      <c r="B111" s="87"/>
      <c r="C111" s="52" t="s">
        <v>173</v>
      </c>
      <c r="D111" s="55">
        <v>1</v>
      </c>
      <c r="E111" s="54">
        <v>0</v>
      </c>
    </row>
    <row r="112" spans="2:5">
      <c r="B112" s="87"/>
      <c r="C112" s="52" t="s">
        <v>190</v>
      </c>
      <c r="D112" s="55">
        <v>1</v>
      </c>
      <c r="E112" s="54">
        <v>0</v>
      </c>
    </row>
    <row r="113" spans="2:5">
      <c r="B113" s="87"/>
      <c r="C113" s="52" t="s">
        <v>164</v>
      </c>
      <c r="D113" s="55">
        <v>1</v>
      </c>
      <c r="E113" s="54">
        <v>0</v>
      </c>
    </row>
    <row r="114" spans="2:5">
      <c r="B114" s="87"/>
      <c r="C114" s="52" t="s">
        <v>158</v>
      </c>
      <c r="D114" s="55">
        <v>1</v>
      </c>
      <c r="E114" s="54">
        <v>0</v>
      </c>
    </row>
    <row r="115" spans="2:5">
      <c r="B115" s="87"/>
      <c r="C115" s="52" t="s">
        <v>145</v>
      </c>
      <c r="D115" s="55">
        <v>1</v>
      </c>
      <c r="E115" s="54">
        <v>0</v>
      </c>
    </row>
    <row r="116" spans="2:5">
      <c r="B116" s="87"/>
      <c r="C116" s="52" t="s">
        <v>166</v>
      </c>
      <c r="D116" s="55">
        <v>1</v>
      </c>
      <c r="E116" s="54">
        <v>0</v>
      </c>
    </row>
    <row r="117" spans="2:5">
      <c r="B117" s="87"/>
      <c r="C117" s="52" t="s">
        <v>169</v>
      </c>
      <c r="D117" s="55">
        <v>1</v>
      </c>
      <c r="E117" s="54">
        <v>0</v>
      </c>
    </row>
    <row r="118" spans="2:5">
      <c r="B118" s="86"/>
      <c r="C118" s="68" t="s">
        <v>307</v>
      </c>
      <c r="D118" s="66">
        <v>273</v>
      </c>
      <c r="E118" s="69">
        <v>1.9E-2</v>
      </c>
    </row>
    <row r="119" spans="2:5">
      <c r="B119" s="85" t="s">
        <v>104</v>
      </c>
      <c r="C119" s="52" t="s">
        <v>144</v>
      </c>
      <c r="D119" s="55">
        <v>84</v>
      </c>
      <c r="E119" s="54">
        <v>6.0000000000000001E-3</v>
      </c>
    </row>
    <row r="120" spans="2:5">
      <c r="B120" s="87"/>
      <c r="C120" s="52" t="s">
        <v>150</v>
      </c>
      <c r="D120" s="55">
        <v>21</v>
      </c>
      <c r="E120" s="54">
        <v>1E-3</v>
      </c>
    </row>
    <row r="121" spans="2:5">
      <c r="B121" s="87"/>
      <c r="C121" s="52" t="s">
        <v>141</v>
      </c>
      <c r="D121" s="55">
        <v>16</v>
      </c>
      <c r="E121" s="54">
        <v>1E-3</v>
      </c>
    </row>
    <row r="122" spans="2:5">
      <c r="B122" s="87"/>
      <c r="C122" s="52" t="s">
        <v>147</v>
      </c>
      <c r="D122" s="55">
        <v>16</v>
      </c>
      <c r="E122" s="54">
        <v>1E-3</v>
      </c>
    </row>
    <row r="123" spans="2:5">
      <c r="B123" s="87"/>
      <c r="C123" s="52" t="s">
        <v>154</v>
      </c>
      <c r="D123" s="55">
        <v>9</v>
      </c>
      <c r="E123" s="54">
        <v>1E-3</v>
      </c>
    </row>
    <row r="124" spans="2:5">
      <c r="B124" s="87"/>
      <c r="C124" s="52" t="s">
        <v>143</v>
      </c>
      <c r="D124" s="55">
        <v>9</v>
      </c>
      <c r="E124" s="54">
        <v>1E-3</v>
      </c>
    </row>
    <row r="125" spans="2:5">
      <c r="B125" s="87"/>
      <c r="C125" s="52" t="s">
        <v>142</v>
      </c>
      <c r="D125" s="55">
        <v>7</v>
      </c>
      <c r="E125" s="54">
        <v>0</v>
      </c>
    </row>
    <row r="126" spans="2:5">
      <c r="B126" s="87"/>
      <c r="C126" s="52" t="s">
        <v>158</v>
      </c>
      <c r="D126" s="55">
        <v>6</v>
      </c>
      <c r="E126" s="54">
        <v>0</v>
      </c>
    </row>
    <row r="127" spans="2:5">
      <c r="B127" s="87"/>
      <c r="C127" s="52" t="s">
        <v>148</v>
      </c>
      <c r="D127" s="55">
        <v>5</v>
      </c>
      <c r="E127" s="54">
        <v>0</v>
      </c>
    </row>
    <row r="128" spans="2:5">
      <c r="B128" s="87"/>
      <c r="C128" s="52" t="s">
        <v>173</v>
      </c>
      <c r="D128" s="55">
        <v>4</v>
      </c>
      <c r="E128" s="54">
        <v>0</v>
      </c>
    </row>
    <row r="129" spans="2:5">
      <c r="B129" s="87"/>
      <c r="C129" s="52" t="s">
        <v>175</v>
      </c>
      <c r="D129" s="55">
        <v>3</v>
      </c>
      <c r="E129" s="54">
        <v>0</v>
      </c>
    </row>
    <row r="130" spans="2:5">
      <c r="B130" s="87"/>
      <c r="C130" s="52" t="s">
        <v>151</v>
      </c>
      <c r="D130" s="55">
        <v>3</v>
      </c>
      <c r="E130" s="54">
        <v>0</v>
      </c>
    </row>
    <row r="131" spans="2:5">
      <c r="B131" s="87"/>
      <c r="C131" s="52" t="s">
        <v>149</v>
      </c>
      <c r="D131" s="55">
        <v>1</v>
      </c>
      <c r="E131" s="54">
        <v>0</v>
      </c>
    </row>
    <row r="132" spans="2:5">
      <c r="B132" s="87"/>
      <c r="C132" s="52" t="s">
        <v>153</v>
      </c>
      <c r="D132" s="55">
        <v>1</v>
      </c>
      <c r="E132" s="54">
        <v>0</v>
      </c>
    </row>
    <row r="133" spans="2:5">
      <c r="B133" s="87"/>
      <c r="C133" s="52" t="s">
        <v>160</v>
      </c>
      <c r="D133" s="55">
        <v>1</v>
      </c>
      <c r="E133" s="54">
        <v>0</v>
      </c>
    </row>
    <row r="134" spans="2:5">
      <c r="B134" s="87"/>
      <c r="C134" s="52" t="s">
        <v>161</v>
      </c>
      <c r="D134" s="55">
        <v>1</v>
      </c>
      <c r="E134" s="54">
        <v>0</v>
      </c>
    </row>
    <row r="135" spans="2:5">
      <c r="B135" s="87"/>
      <c r="C135" s="52" t="s">
        <v>155</v>
      </c>
      <c r="D135" s="55">
        <v>1</v>
      </c>
      <c r="E135" s="54">
        <v>0</v>
      </c>
    </row>
    <row r="136" spans="2:5">
      <c r="B136" s="87"/>
      <c r="C136" s="52" t="s">
        <v>168</v>
      </c>
      <c r="D136" s="55">
        <v>1</v>
      </c>
      <c r="E136" s="54">
        <v>0</v>
      </c>
    </row>
    <row r="137" spans="2:5">
      <c r="B137" s="87"/>
      <c r="C137" s="52" t="s">
        <v>182</v>
      </c>
      <c r="D137" s="55">
        <v>1</v>
      </c>
      <c r="E137" s="54">
        <v>0</v>
      </c>
    </row>
    <row r="138" spans="2:5">
      <c r="B138" s="87"/>
      <c r="C138" s="52" t="s">
        <v>163</v>
      </c>
      <c r="D138" s="55">
        <v>1</v>
      </c>
      <c r="E138" s="54">
        <v>0</v>
      </c>
    </row>
    <row r="139" spans="2:5">
      <c r="B139" s="87"/>
      <c r="C139" s="52" t="s">
        <v>146</v>
      </c>
      <c r="D139" s="55">
        <v>1</v>
      </c>
      <c r="E139" s="54">
        <v>0</v>
      </c>
    </row>
    <row r="140" spans="2:5">
      <c r="B140" s="87"/>
      <c r="C140" s="52" t="s">
        <v>152</v>
      </c>
      <c r="D140" s="55">
        <v>1</v>
      </c>
      <c r="E140" s="54">
        <v>0</v>
      </c>
    </row>
    <row r="141" spans="2:5">
      <c r="B141" s="86"/>
      <c r="C141" s="68" t="s">
        <v>307</v>
      </c>
      <c r="D141" s="66">
        <v>193</v>
      </c>
      <c r="E141" s="69">
        <v>1.4E-2</v>
      </c>
    </row>
    <row r="142" spans="2:5">
      <c r="B142" s="85" t="s">
        <v>127</v>
      </c>
      <c r="C142" s="52" t="s">
        <v>144</v>
      </c>
      <c r="D142" s="55">
        <v>100</v>
      </c>
      <c r="E142" s="54">
        <v>7.0000000000000001E-3</v>
      </c>
    </row>
    <row r="143" spans="2:5">
      <c r="B143" s="87"/>
      <c r="C143" s="52" t="s">
        <v>147</v>
      </c>
      <c r="D143" s="55">
        <v>26</v>
      </c>
      <c r="E143" s="54">
        <v>2E-3</v>
      </c>
    </row>
    <row r="144" spans="2:5">
      <c r="B144" s="87"/>
      <c r="C144" s="52" t="s">
        <v>142</v>
      </c>
      <c r="D144" s="55">
        <v>22</v>
      </c>
      <c r="E144" s="54">
        <v>2E-3</v>
      </c>
    </row>
    <row r="145" spans="2:5">
      <c r="B145" s="87"/>
      <c r="C145" s="52" t="s">
        <v>158</v>
      </c>
      <c r="D145" s="55">
        <v>9</v>
      </c>
      <c r="E145" s="54">
        <v>1E-3</v>
      </c>
    </row>
    <row r="146" spans="2:5">
      <c r="B146" s="87"/>
      <c r="C146" s="52" t="s">
        <v>141</v>
      </c>
      <c r="D146" s="55">
        <v>6</v>
      </c>
      <c r="E146" s="54">
        <v>0</v>
      </c>
    </row>
    <row r="147" spans="2:5">
      <c r="B147" s="87"/>
      <c r="C147" s="52" t="s">
        <v>143</v>
      </c>
      <c r="D147" s="55">
        <v>4</v>
      </c>
      <c r="E147" s="54">
        <v>0</v>
      </c>
    </row>
    <row r="148" spans="2:5">
      <c r="B148" s="87"/>
      <c r="C148" s="52" t="s">
        <v>148</v>
      </c>
      <c r="D148" s="55">
        <v>4</v>
      </c>
      <c r="E148" s="54">
        <v>0</v>
      </c>
    </row>
    <row r="149" spans="2:5">
      <c r="B149" s="87"/>
      <c r="C149" s="52" t="s">
        <v>161</v>
      </c>
      <c r="D149" s="55">
        <v>2</v>
      </c>
      <c r="E149" s="54">
        <v>0</v>
      </c>
    </row>
    <row r="150" spans="2:5">
      <c r="B150" s="87"/>
      <c r="C150" s="52" t="s">
        <v>150</v>
      </c>
      <c r="D150" s="55">
        <v>2</v>
      </c>
      <c r="E150" s="54">
        <v>0</v>
      </c>
    </row>
    <row r="151" spans="2:5">
      <c r="B151" s="87"/>
      <c r="C151" s="52" t="s">
        <v>149</v>
      </c>
      <c r="D151" s="55">
        <v>1</v>
      </c>
      <c r="E151" s="54">
        <v>0</v>
      </c>
    </row>
    <row r="152" spans="2:5">
      <c r="B152" s="87"/>
      <c r="C152" s="52" t="s">
        <v>175</v>
      </c>
      <c r="D152" s="55">
        <v>1</v>
      </c>
      <c r="E152" s="54">
        <v>0</v>
      </c>
    </row>
    <row r="153" spans="2:5">
      <c r="B153" s="87"/>
      <c r="C153" s="52" t="s">
        <v>154</v>
      </c>
      <c r="D153" s="55">
        <v>1</v>
      </c>
      <c r="E153" s="54">
        <v>0</v>
      </c>
    </row>
    <row r="154" spans="2:5">
      <c r="B154" s="87"/>
      <c r="C154" s="52" t="s">
        <v>140</v>
      </c>
      <c r="D154" s="55">
        <v>1</v>
      </c>
      <c r="E154" s="54">
        <v>0</v>
      </c>
    </row>
    <row r="155" spans="2:5">
      <c r="B155" s="87"/>
      <c r="C155" s="52" t="s">
        <v>177</v>
      </c>
      <c r="D155" s="55">
        <v>1</v>
      </c>
      <c r="E155" s="54">
        <v>0</v>
      </c>
    </row>
    <row r="156" spans="2:5">
      <c r="B156" s="87"/>
      <c r="C156" s="52" t="s">
        <v>182</v>
      </c>
      <c r="D156" s="55">
        <v>1</v>
      </c>
      <c r="E156" s="54">
        <v>0</v>
      </c>
    </row>
    <row r="157" spans="2:5">
      <c r="B157" s="87"/>
      <c r="C157" s="52" t="s">
        <v>146</v>
      </c>
      <c r="D157" s="55">
        <v>1</v>
      </c>
      <c r="E157" s="54">
        <v>0</v>
      </c>
    </row>
    <row r="158" spans="2:5">
      <c r="B158" s="87"/>
      <c r="C158" s="52" t="s">
        <v>169</v>
      </c>
      <c r="D158" s="55">
        <v>1</v>
      </c>
      <c r="E158" s="54">
        <v>0</v>
      </c>
    </row>
    <row r="159" spans="2:5">
      <c r="B159" s="87"/>
      <c r="C159" s="52" t="s">
        <v>174</v>
      </c>
      <c r="D159" s="55">
        <v>1</v>
      </c>
      <c r="E159" s="54">
        <v>0</v>
      </c>
    </row>
    <row r="160" spans="2:5">
      <c r="B160" s="86"/>
      <c r="C160" s="68" t="s">
        <v>307</v>
      </c>
      <c r="D160" s="66">
        <v>184</v>
      </c>
      <c r="E160" s="69">
        <v>1.2999999999999999E-2</v>
      </c>
    </row>
    <row r="161" spans="2:5">
      <c r="B161" s="85" t="s">
        <v>103</v>
      </c>
      <c r="C161" s="52" t="s">
        <v>144</v>
      </c>
      <c r="D161" s="55">
        <v>76</v>
      </c>
      <c r="E161" s="54">
        <v>5.0000000000000001E-3</v>
      </c>
    </row>
    <row r="162" spans="2:5">
      <c r="B162" s="87"/>
      <c r="C162" s="52" t="s">
        <v>141</v>
      </c>
      <c r="D162" s="55">
        <v>19</v>
      </c>
      <c r="E162" s="54">
        <v>1E-3</v>
      </c>
    </row>
    <row r="163" spans="2:5">
      <c r="B163" s="87"/>
      <c r="C163" s="52" t="s">
        <v>147</v>
      </c>
      <c r="D163" s="55">
        <v>13</v>
      </c>
      <c r="E163" s="54">
        <v>1E-3</v>
      </c>
    </row>
    <row r="164" spans="2:5">
      <c r="B164" s="87"/>
      <c r="C164" s="52" t="s">
        <v>143</v>
      </c>
      <c r="D164" s="55">
        <v>12</v>
      </c>
      <c r="E164" s="54">
        <v>1E-3</v>
      </c>
    </row>
    <row r="165" spans="2:5">
      <c r="B165" s="87"/>
      <c r="C165" s="52" t="s">
        <v>142</v>
      </c>
      <c r="D165" s="55">
        <v>7</v>
      </c>
      <c r="E165" s="54">
        <v>0</v>
      </c>
    </row>
    <row r="166" spans="2:5">
      <c r="B166" s="87"/>
      <c r="C166" s="52" t="s">
        <v>151</v>
      </c>
      <c r="D166" s="55">
        <v>7</v>
      </c>
      <c r="E166" s="54">
        <v>0</v>
      </c>
    </row>
    <row r="167" spans="2:5">
      <c r="B167" s="87"/>
      <c r="C167" s="52" t="s">
        <v>158</v>
      </c>
      <c r="D167" s="55">
        <v>6</v>
      </c>
      <c r="E167" s="54">
        <v>0</v>
      </c>
    </row>
    <row r="168" spans="2:5">
      <c r="B168" s="87"/>
      <c r="C168" s="52" t="s">
        <v>148</v>
      </c>
      <c r="D168" s="55">
        <v>5</v>
      </c>
      <c r="E168" s="54">
        <v>0</v>
      </c>
    </row>
    <row r="169" spans="2:5">
      <c r="B169" s="87"/>
      <c r="C169" s="52" t="s">
        <v>162</v>
      </c>
      <c r="D169" s="55">
        <v>3</v>
      </c>
      <c r="E169" s="54">
        <v>0</v>
      </c>
    </row>
    <row r="170" spans="2:5">
      <c r="B170" s="87"/>
      <c r="C170" s="52" t="s">
        <v>173</v>
      </c>
      <c r="D170" s="55">
        <v>3</v>
      </c>
      <c r="E170" s="54">
        <v>0</v>
      </c>
    </row>
    <row r="171" spans="2:5">
      <c r="B171" s="87"/>
      <c r="C171" s="52" t="s">
        <v>170</v>
      </c>
      <c r="D171" s="55">
        <v>2</v>
      </c>
      <c r="E171" s="54">
        <v>0</v>
      </c>
    </row>
    <row r="172" spans="2:5">
      <c r="B172" s="87"/>
      <c r="C172" s="52" t="s">
        <v>150</v>
      </c>
      <c r="D172" s="55">
        <v>2</v>
      </c>
      <c r="E172" s="54">
        <v>0</v>
      </c>
    </row>
    <row r="173" spans="2:5">
      <c r="B173" s="87"/>
      <c r="C173" s="52" t="s">
        <v>146</v>
      </c>
      <c r="D173" s="55">
        <v>2</v>
      </c>
      <c r="E173" s="54">
        <v>0</v>
      </c>
    </row>
    <row r="174" spans="2:5">
      <c r="B174" s="87"/>
      <c r="C174" s="52" t="s">
        <v>175</v>
      </c>
      <c r="D174" s="55">
        <v>1</v>
      </c>
      <c r="E174" s="54">
        <v>0</v>
      </c>
    </row>
    <row r="175" spans="2:5">
      <c r="B175" s="87"/>
      <c r="C175" s="52" t="s">
        <v>160</v>
      </c>
      <c r="D175" s="55">
        <v>1</v>
      </c>
      <c r="E175" s="54">
        <v>0</v>
      </c>
    </row>
    <row r="176" spans="2:5">
      <c r="B176" s="87"/>
      <c r="C176" s="52" t="s">
        <v>154</v>
      </c>
      <c r="D176" s="55">
        <v>1</v>
      </c>
      <c r="E176" s="54">
        <v>0</v>
      </c>
    </row>
    <row r="177" spans="2:5">
      <c r="B177" s="87"/>
      <c r="C177" s="52" t="s">
        <v>172</v>
      </c>
      <c r="D177" s="55">
        <v>1</v>
      </c>
      <c r="E177" s="54">
        <v>0</v>
      </c>
    </row>
    <row r="178" spans="2:5">
      <c r="B178" s="87"/>
      <c r="C178" s="52" t="s">
        <v>155</v>
      </c>
      <c r="D178" s="55">
        <v>1</v>
      </c>
      <c r="E178" s="54">
        <v>0</v>
      </c>
    </row>
    <row r="179" spans="2:5">
      <c r="B179" s="87"/>
      <c r="C179" s="52" t="s">
        <v>180</v>
      </c>
      <c r="D179" s="55">
        <v>1</v>
      </c>
      <c r="E179" s="54">
        <v>0</v>
      </c>
    </row>
    <row r="180" spans="2:5">
      <c r="B180" s="87"/>
      <c r="C180" s="52" t="s">
        <v>169</v>
      </c>
      <c r="D180" s="55">
        <v>1</v>
      </c>
      <c r="E180" s="54">
        <v>0</v>
      </c>
    </row>
    <row r="181" spans="2:5">
      <c r="B181" s="86"/>
      <c r="C181" s="68" t="s">
        <v>307</v>
      </c>
      <c r="D181" s="66">
        <v>164</v>
      </c>
      <c r="E181" s="69">
        <v>1.2E-2</v>
      </c>
    </row>
    <row r="182" spans="2:5">
      <c r="B182" s="85" t="s">
        <v>124</v>
      </c>
      <c r="C182" s="52" t="s">
        <v>144</v>
      </c>
      <c r="D182" s="55">
        <v>58</v>
      </c>
      <c r="E182" s="54">
        <v>4.0000000000000001E-3</v>
      </c>
    </row>
    <row r="183" spans="2:5">
      <c r="B183" s="87"/>
      <c r="C183" s="52" t="s">
        <v>141</v>
      </c>
      <c r="D183" s="55">
        <v>25</v>
      </c>
      <c r="E183" s="54">
        <v>2E-3</v>
      </c>
    </row>
    <row r="184" spans="2:5">
      <c r="B184" s="87"/>
      <c r="C184" s="52" t="s">
        <v>143</v>
      </c>
      <c r="D184" s="55">
        <v>13</v>
      </c>
      <c r="E184" s="54">
        <v>1E-3</v>
      </c>
    </row>
    <row r="185" spans="2:5">
      <c r="B185" s="87"/>
      <c r="C185" s="52" t="s">
        <v>147</v>
      </c>
      <c r="D185" s="55">
        <v>9</v>
      </c>
      <c r="E185" s="54">
        <v>1E-3</v>
      </c>
    </row>
    <row r="186" spans="2:5">
      <c r="B186" s="87"/>
      <c r="C186" s="52" t="s">
        <v>142</v>
      </c>
      <c r="D186" s="55">
        <v>7</v>
      </c>
      <c r="E186" s="54">
        <v>0</v>
      </c>
    </row>
    <row r="187" spans="2:5">
      <c r="B187" s="87"/>
      <c r="C187" s="52" t="s">
        <v>154</v>
      </c>
      <c r="D187" s="55">
        <v>5</v>
      </c>
      <c r="E187" s="54">
        <v>0</v>
      </c>
    </row>
    <row r="188" spans="2:5">
      <c r="B188" s="87"/>
      <c r="C188" s="52" t="s">
        <v>150</v>
      </c>
      <c r="D188" s="55">
        <v>5</v>
      </c>
      <c r="E188" s="54">
        <v>0</v>
      </c>
    </row>
    <row r="189" spans="2:5">
      <c r="B189" s="87"/>
      <c r="C189" s="52" t="s">
        <v>158</v>
      </c>
      <c r="D189" s="55">
        <v>5</v>
      </c>
      <c r="E189" s="54">
        <v>0</v>
      </c>
    </row>
    <row r="190" spans="2:5">
      <c r="B190" s="87"/>
      <c r="C190" s="52" t="s">
        <v>151</v>
      </c>
      <c r="D190" s="55">
        <v>5</v>
      </c>
      <c r="E190" s="54">
        <v>0</v>
      </c>
    </row>
    <row r="191" spans="2:5">
      <c r="B191" s="87"/>
      <c r="C191" s="52" t="s">
        <v>148</v>
      </c>
      <c r="D191" s="55">
        <v>4</v>
      </c>
      <c r="E191" s="54">
        <v>0</v>
      </c>
    </row>
    <row r="192" spans="2:5">
      <c r="B192" s="87"/>
      <c r="C192" s="52" t="s">
        <v>175</v>
      </c>
      <c r="D192" s="55">
        <v>3</v>
      </c>
      <c r="E192" s="54">
        <v>0</v>
      </c>
    </row>
    <row r="193" spans="2:5">
      <c r="B193" s="87"/>
      <c r="C193" s="52" t="s">
        <v>153</v>
      </c>
      <c r="D193" s="55">
        <v>1</v>
      </c>
      <c r="E193" s="54">
        <v>0</v>
      </c>
    </row>
    <row r="194" spans="2:5">
      <c r="B194" s="87"/>
      <c r="C194" s="52" t="s">
        <v>161</v>
      </c>
      <c r="D194" s="55">
        <v>1</v>
      </c>
      <c r="E194" s="54">
        <v>0</v>
      </c>
    </row>
    <row r="195" spans="2:5">
      <c r="B195" s="87"/>
      <c r="C195" s="52" t="s">
        <v>183</v>
      </c>
      <c r="D195" s="55">
        <v>1</v>
      </c>
      <c r="E195" s="54">
        <v>0</v>
      </c>
    </row>
    <row r="196" spans="2:5">
      <c r="B196" s="87"/>
      <c r="C196" s="52" t="s">
        <v>177</v>
      </c>
      <c r="D196" s="55">
        <v>1</v>
      </c>
      <c r="E196" s="54">
        <v>0</v>
      </c>
    </row>
    <row r="197" spans="2:5">
      <c r="B197" s="86"/>
      <c r="C197" s="68" t="s">
        <v>307</v>
      </c>
      <c r="D197" s="66">
        <v>143</v>
      </c>
      <c r="E197" s="69">
        <v>0.01</v>
      </c>
    </row>
    <row r="198" spans="2:5">
      <c r="B198" s="85" t="s">
        <v>132</v>
      </c>
      <c r="C198" s="52" t="s">
        <v>144</v>
      </c>
      <c r="D198" s="55">
        <v>67</v>
      </c>
      <c r="E198" s="54">
        <v>5.0000000000000001E-3</v>
      </c>
    </row>
    <row r="199" spans="2:5">
      <c r="B199" s="87"/>
      <c r="C199" s="52" t="s">
        <v>147</v>
      </c>
      <c r="D199" s="55">
        <v>8</v>
      </c>
      <c r="E199" s="54">
        <v>1E-3</v>
      </c>
    </row>
    <row r="200" spans="2:5">
      <c r="B200" s="87"/>
      <c r="C200" s="52" t="s">
        <v>143</v>
      </c>
      <c r="D200" s="55">
        <v>7</v>
      </c>
      <c r="E200" s="54">
        <v>0</v>
      </c>
    </row>
    <row r="201" spans="2:5">
      <c r="B201" s="87"/>
      <c r="C201" s="52" t="s">
        <v>142</v>
      </c>
      <c r="D201" s="55">
        <v>6</v>
      </c>
      <c r="E201" s="54">
        <v>0</v>
      </c>
    </row>
    <row r="202" spans="2:5">
      <c r="B202" s="87"/>
      <c r="C202" s="52" t="s">
        <v>151</v>
      </c>
      <c r="D202" s="55">
        <v>6</v>
      </c>
      <c r="E202" s="54">
        <v>0</v>
      </c>
    </row>
    <row r="203" spans="2:5">
      <c r="B203" s="87"/>
      <c r="C203" s="52" t="s">
        <v>155</v>
      </c>
      <c r="D203" s="55">
        <v>5</v>
      </c>
      <c r="E203" s="54">
        <v>0</v>
      </c>
    </row>
    <row r="204" spans="2:5">
      <c r="B204" s="87"/>
      <c r="C204" s="52" t="s">
        <v>148</v>
      </c>
      <c r="D204" s="55">
        <v>5</v>
      </c>
      <c r="E204" s="54">
        <v>0</v>
      </c>
    </row>
    <row r="205" spans="2:5">
      <c r="B205" s="87"/>
      <c r="C205" s="52" t="s">
        <v>150</v>
      </c>
      <c r="D205" s="55">
        <v>4</v>
      </c>
      <c r="E205" s="54">
        <v>0</v>
      </c>
    </row>
    <row r="206" spans="2:5">
      <c r="B206" s="87"/>
      <c r="C206" s="52" t="s">
        <v>180</v>
      </c>
      <c r="D206" s="55">
        <v>4</v>
      </c>
      <c r="E206" s="54">
        <v>0</v>
      </c>
    </row>
    <row r="207" spans="2:5">
      <c r="B207" s="87"/>
      <c r="C207" s="52" t="s">
        <v>141</v>
      </c>
      <c r="D207" s="55">
        <v>3</v>
      </c>
      <c r="E207" s="54">
        <v>0</v>
      </c>
    </row>
    <row r="208" spans="2:5">
      <c r="B208" s="87"/>
      <c r="C208" s="52" t="s">
        <v>154</v>
      </c>
      <c r="D208" s="55">
        <v>2</v>
      </c>
      <c r="E208" s="54">
        <v>0</v>
      </c>
    </row>
    <row r="209" spans="2:5">
      <c r="B209" s="87"/>
      <c r="C209" s="52" t="s">
        <v>153</v>
      </c>
      <c r="D209" s="55">
        <v>1</v>
      </c>
      <c r="E209" s="54">
        <v>0</v>
      </c>
    </row>
    <row r="210" spans="2:5">
      <c r="B210" s="87"/>
      <c r="C210" s="52" t="s">
        <v>285</v>
      </c>
      <c r="D210" s="55">
        <v>1</v>
      </c>
      <c r="E210" s="54">
        <v>0</v>
      </c>
    </row>
    <row r="211" spans="2:5">
      <c r="B211" s="87"/>
      <c r="C211" s="52" t="s">
        <v>164</v>
      </c>
      <c r="D211" s="55">
        <v>1</v>
      </c>
      <c r="E211" s="54">
        <v>0</v>
      </c>
    </row>
    <row r="212" spans="2:5">
      <c r="B212" s="87"/>
      <c r="C212" s="52" t="s">
        <v>158</v>
      </c>
      <c r="D212" s="55">
        <v>1</v>
      </c>
      <c r="E212" s="54">
        <v>0</v>
      </c>
    </row>
    <row r="213" spans="2:5">
      <c r="B213" s="87"/>
      <c r="C213" s="52" t="s">
        <v>159</v>
      </c>
      <c r="D213" s="55">
        <v>1</v>
      </c>
      <c r="E213" s="54">
        <v>0</v>
      </c>
    </row>
    <row r="214" spans="2:5">
      <c r="B214" s="87"/>
      <c r="C214" s="52" t="s">
        <v>146</v>
      </c>
      <c r="D214" s="55">
        <v>1</v>
      </c>
      <c r="E214" s="54">
        <v>0</v>
      </c>
    </row>
    <row r="215" spans="2:5">
      <c r="B215" s="87"/>
      <c r="C215" s="52" t="s">
        <v>169</v>
      </c>
      <c r="D215" s="55">
        <v>1</v>
      </c>
      <c r="E215" s="54">
        <v>0</v>
      </c>
    </row>
    <row r="216" spans="2:5">
      <c r="B216" s="87"/>
      <c r="C216" s="52" t="s">
        <v>152</v>
      </c>
      <c r="D216" s="55">
        <v>1</v>
      </c>
      <c r="E216" s="54">
        <v>0</v>
      </c>
    </row>
    <row r="217" spans="2:5">
      <c r="B217" s="86"/>
      <c r="C217" s="68" t="s">
        <v>307</v>
      </c>
      <c r="D217" s="66">
        <v>125</v>
      </c>
      <c r="E217" s="69">
        <v>8.9999999999999993E-3</v>
      </c>
    </row>
    <row r="218" spans="2:5">
      <c r="B218" s="85" t="s">
        <v>115</v>
      </c>
      <c r="C218" s="52" t="s">
        <v>144</v>
      </c>
      <c r="D218" s="55">
        <v>36</v>
      </c>
      <c r="E218" s="54">
        <v>3.0000000000000001E-3</v>
      </c>
    </row>
    <row r="219" spans="2:5">
      <c r="B219" s="87"/>
      <c r="C219" s="52" t="s">
        <v>147</v>
      </c>
      <c r="D219" s="55">
        <v>10</v>
      </c>
      <c r="E219" s="54">
        <v>1E-3</v>
      </c>
    </row>
    <row r="220" spans="2:5">
      <c r="B220" s="87"/>
      <c r="C220" s="52" t="s">
        <v>142</v>
      </c>
      <c r="D220" s="55">
        <v>6</v>
      </c>
      <c r="E220" s="54">
        <v>0</v>
      </c>
    </row>
    <row r="221" spans="2:5">
      <c r="B221" s="87"/>
      <c r="C221" s="52" t="s">
        <v>170</v>
      </c>
      <c r="D221" s="55">
        <v>4</v>
      </c>
      <c r="E221" s="54">
        <v>0</v>
      </c>
    </row>
    <row r="222" spans="2:5">
      <c r="B222" s="87"/>
      <c r="C222" s="52" t="s">
        <v>161</v>
      </c>
      <c r="D222" s="55">
        <v>4</v>
      </c>
      <c r="E222" s="54">
        <v>0</v>
      </c>
    </row>
    <row r="223" spans="2:5">
      <c r="B223" s="87"/>
      <c r="C223" s="52" t="s">
        <v>146</v>
      </c>
      <c r="D223" s="55">
        <v>4</v>
      </c>
      <c r="E223" s="54">
        <v>0</v>
      </c>
    </row>
    <row r="224" spans="2:5">
      <c r="B224" s="87"/>
      <c r="C224" s="52" t="s">
        <v>141</v>
      </c>
      <c r="D224" s="55">
        <v>3</v>
      </c>
      <c r="E224" s="54">
        <v>0</v>
      </c>
    </row>
    <row r="225" spans="2:5">
      <c r="B225" s="87"/>
      <c r="C225" s="52" t="s">
        <v>150</v>
      </c>
      <c r="D225" s="55">
        <v>3</v>
      </c>
      <c r="E225" s="54">
        <v>0</v>
      </c>
    </row>
    <row r="226" spans="2:5">
      <c r="B226" s="87"/>
      <c r="C226" s="52" t="s">
        <v>143</v>
      </c>
      <c r="D226" s="55">
        <v>3</v>
      </c>
      <c r="E226" s="54">
        <v>0</v>
      </c>
    </row>
    <row r="227" spans="2:5">
      <c r="B227" s="87"/>
      <c r="C227" s="52" t="s">
        <v>284</v>
      </c>
      <c r="D227" s="55">
        <v>2</v>
      </c>
      <c r="E227" s="54">
        <v>0</v>
      </c>
    </row>
    <row r="228" spans="2:5">
      <c r="B228" s="87"/>
      <c r="C228" s="52" t="s">
        <v>177</v>
      </c>
      <c r="D228" s="55">
        <v>2</v>
      </c>
      <c r="E228" s="54">
        <v>0</v>
      </c>
    </row>
    <row r="229" spans="2:5">
      <c r="B229" s="87"/>
      <c r="C229" s="52" t="s">
        <v>178</v>
      </c>
      <c r="D229" s="55">
        <v>2</v>
      </c>
      <c r="E229" s="54">
        <v>0</v>
      </c>
    </row>
    <row r="230" spans="2:5">
      <c r="B230" s="87"/>
      <c r="C230" s="52" t="s">
        <v>151</v>
      </c>
      <c r="D230" s="55">
        <v>2</v>
      </c>
      <c r="E230" s="54">
        <v>0</v>
      </c>
    </row>
    <row r="231" spans="2:5">
      <c r="B231" s="87"/>
      <c r="C231" s="52" t="s">
        <v>140</v>
      </c>
      <c r="D231" s="55">
        <v>1</v>
      </c>
      <c r="E231" s="54">
        <v>0</v>
      </c>
    </row>
    <row r="232" spans="2:5">
      <c r="B232" s="87"/>
      <c r="C232" s="52" t="s">
        <v>158</v>
      </c>
      <c r="D232" s="55">
        <v>1</v>
      </c>
      <c r="E232" s="54">
        <v>0</v>
      </c>
    </row>
    <row r="233" spans="2:5">
      <c r="B233" s="87"/>
      <c r="C233" s="52" t="s">
        <v>181</v>
      </c>
      <c r="D233" s="55">
        <v>1</v>
      </c>
      <c r="E233" s="54">
        <v>0</v>
      </c>
    </row>
    <row r="234" spans="2:5">
      <c r="B234" s="86"/>
      <c r="C234" s="68" t="s">
        <v>307</v>
      </c>
      <c r="D234" s="66">
        <v>84</v>
      </c>
      <c r="E234" s="69">
        <v>6.0000000000000001E-3</v>
      </c>
    </row>
    <row r="235" spans="2:5">
      <c r="B235" s="85" t="s">
        <v>98</v>
      </c>
      <c r="C235" s="52" t="s">
        <v>144</v>
      </c>
      <c r="D235" s="55">
        <v>35</v>
      </c>
      <c r="E235" s="54">
        <v>2E-3</v>
      </c>
    </row>
    <row r="236" spans="2:5">
      <c r="B236" s="87"/>
      <c r="C236" s="52" t="s">
        <v>147</v>
      </c>
      <c r="D236" s="55">
        <v>15</v>
      </c>
      <c r="E236" s="54">
        <v>1E-3</v>
      </c>
    </row>
    <row r="237" spans="2:5">
      <c r="B237" s="87"/>
      <c r="C237" s="52" t="s">
        <v>143</v>
      </c>
      <c r="D237" s="55">
        <v>6</v>
      </c>
      <c r="E237" s="54">
        <v>0</v>
      </c>
    </row>
    <row r="238" spans="2:5">
      <c r="B238" s="87"/>
      <c r="C238" s="52" t="s">
        <v>151</v>
      </c>
      <c r="D238" s="55">
        <v>6</v>
      </c>
      <c r="E238" s="54">
        <v>0</v>
      </c>
    </row>
    <row r="239" spans="2:5">
      <c r="B239" s="87"/>
      <c r="C239" s="52" t="s">
        <v>141</v>
      </c>
      <c r="D239" s="55">
        <v>4</v>
      </c>
      <c r="E239" s="54">
        <v>0</v>
      </c>
    </row>
    <row r="240" spans="2:5">
      <c r="B240" s="87"/>
      <c r="C240" s="52" t="s">
        <v>142</v>
      </c>
      <c r="D240" s="55">
        <v>3</v>
      </c>
      <c r="E240" s="54">
        <v>0</v>
      </c>
    </row>
    <row r="241" spans="2:5">
      <c r="B241" s="87"/>
      <c r="C241" s="52" t="s">
        <v>150</v>
      </c>
      <c r="D241" s="55">
        <v>2</v>
      </c>
      <c r="E241" s="54">
        <v>0</v>
      </c>
    </row>
    <row r="242" spans="2:5">
      <c r="B242" s="87"/>
      <c r="C242" s="52" t="s">
        <v>179</v>
      </c>
      <c r="D242" s="55">
        <v>2</v>
      </c>
      <c r="E242" s="54">
        <v>0</v>
      </c>
    </row>
    <row r="243" spans="2:5">
      <c r="B243" s="87"/>
      <c r="C243" s="52" t="s">
        <v>149</v>
      </c>
      <c r="D243" s="55">
        <v>1</v>
      </c>
      <c r="E243" s="54">
        <v>0</v>
      </c>
    </row>
    <row r="244" spans="2:5">
      <c r="B244" s="87"/>
      <c r="C244" s="52" t="s">
        <v>154</v>
      </c>
      <c r="D244" s="55">
        <v>1</v>
      </c>
      <c r="E244" s="54">
        <v>0</v>
      </c>
    </row>
    <row r="245" spans="2:5">
      <c r="B245" s="87"/>
      <c r="C245" s="52" t="s">
        <v>155</v>
      </c>
      <c r="D245" s="55">
        <v>1</v>
      </c>
      <c r="E245" s="54">
        <v>0</v>
      </c>
    </row>
    <row r="246" spans="2:5">
      <c r="B246" s="87"/>
      <c r="C246" s="52" t="s">
        <v>168</v>
      </c>
      <c r="D246" s="55">
        <v>1</v>
      </c>
      <c r="E246" s="54">
        <v>0</v>
      </c>
    </row>
    <row r="247" spans="2:5">
      <c r="B247" s="87"/>
      <c r="C247" s="52" t="s">
        <v>163</v>
      </c>
      <c r="D247" s="55">
        <v>1</v>
      </c>
      <c r="E247" s="54">
        <v>0</v>
      </c>
    </row>
    <row r="248" spans="2:5">
      <c r="B248" s="87"/>
      <c r="C248" s="52" t="s">
        <v>164</v>
      </c>
      <c r="D248" s="55">
        <v>1</v>
      </c>
      <c r="E248" s="54">
        <v>0</v>
      </c>
    </row>
    <row r="249" spans="2:5">
      <c r="B249" s="87"/>
      <c r="C249" s="52" t="s">
        <v>157</v>
      </c>
      <c r="D249" s="55">
        <v>1</v>
      </c>
      <c r="E249" s="54">
        <v>0</v>
      </c>
    </row>
    <row r="250" spans="2:5">
      <c r="B250" s="87"/>
      <c r="C250" s="52" t="s">
        <v>158</v>
      </c>
      <c r="D250" s="55">
        <v>1</v>
      </c>
      <c r="E250" s="54">
        <v>0</v>
      </c>
    </row>
    <row r="251" spans="2:5">
      <c r="B251" s="86"/>
      <c r="C251" s="68" t="s">
        <v>307</v>
      </c>
      <c r="D251" s="66">
        <v>81</v>
      </c>
      <c r="E251" s="69">
        <v>6.0000000000000001E-3</v>
      </c>
    </row>
    <row r="252" spans="2:5">
      <c r="B252" s="85" t="s">
        <v>118</v>
      </c>
      <c r="C252" s="52" t="s">
        <v>144</v>
      </c>
      <c r="D252" s="55">
        <v>27</v>
      </c>
      <c r="E252" s="54">
        <v>2E-3</v>
      </c>
    </row>
    <row r="253" spans="2:5">
      <c r="B253" s="87"/>
      <c r="C253" s="52" t="s">
        <v>151</v>
      </c>
      <c r="D253" s="55">
        <v>22</v>
      </c>
      <c r="E253" s="54">
        <v>2E-3</v>
      </c>
    </row>
    <row r="254" spans="2:5">
      <c r="B254" s="87"/>
      <c r="C254" s="52" t="s">
        <v>147</v>
      </c>
      <c r="D254" s="55">
        <v>7</v>
      </c>
      <c r="E254" s="54">
        <v>0</v>
      </c>
    </row>
    <row r="255" spans="2:5">
      <c r="B255" s="87"/>
      <c r="C255" s="52" t="s">
        <v>142</v>
      </c>
      <c r="D255" s="55">
        <v>4</v>
      </c>
      <c r="E255" s="54">
        <v>0</v>
      </c>
    </row>
    <row r="256" spans="2:5">
      <c r="B256" s="87"/>
      <c r="C256" s="52" t="s">
        <v>154</v>
      </c>
      <c r="D256" s="55">
        <v>3</v>
      </c>
      <c r="E256" s="54">
        <v>0</v>
      </c>
    </row>
    <row r="257" spans="2:5">
      <c r="B257" s="87"/>
      <c r="C257" s="52" t="s">
        <v>143</v>
      </c>
      <c r="D257" s="55">
        <v>3</v>
      </c>
      <c r="E257" s="54">
        <v>0</v>
      </c>
    </row>
    <row r="258" spans="2:5">
      <c r="B258" s="87"/>
      <c r="C258" s="52" t="s">
        <v>149</v>
      </c>
      <c r="D258" s="55">
        <v>2</v>
      </c>
      <c r="E258" s="54">
        <v>0</v>
      </c>
    </row>
    <row r="259" spans="2:5">
      <c r="B259" s="87"/>
      <c r="C259" s="52" t="s">
        <v>180</v>
      </c>
      <c r="D259" s="55">
        <v>2</v>
      </c>
      <c r="E259" s="54">
        <v>0</v>
      </c>
    </row>
    <row r="260" spans="2:5">
      <c r="B260" s="87"/>
      <c r="C260" s="52" t="s">
        <v>146</v>
      </c>
      <c r="D260" s="55">
        <v>2</v>
      </c>
      <c r="E260" s="54">
        <v>0</v>
      </c>
    </row>
    <row r="261" spans="2:5">
      <c r="B261" s="87"/>
      <c r="C261" s="52" t="s">
        <v>167</v>
      </c>
      <c r="D261" s="55">
        <v>1</v>
      </c>
      <c r="E261" s="54">
        <v>0</v>
      </c>
    </row>
    <row r="262" spans="2:5">
      <c r="B262" s="87"/>
      <c r="C262" s="52" t="s">
        <v>153</v>
      </c>
      <c r="D262" s="55">
        <v>1</v>
      </c>
      <c r="E262" s="54">
        <v>0</v>
      </c>
    </row>
    <row r="263" spans="2:5">
      <c r="B263" s="87"/>
      <c r="C263" s="52" t="s">
        <v>141</v>
      </c>
      <c r="D263" s="55">
        <v>1</v>
      </c>
      <c r="E263" s="54">
        <v>0</v>
      </c>
    </row>
    <row r="264" spans="2:5">
      <c r="B264" s="87"/>
      <c r="C264" s="52" t="s">
        <v>150</v>
      </c>
      <c r="D264" s="55">
        <v>1</v>
      </c>
      <c r="E264" s="54">
        <v>0</v>
      </c>
    </row>
    <row r="265" spans="2:5">
      <c r="B265" s="87"/>
      <c r="C265" s="52" t="s">
        <v>155</v>
      </c>
      <c r="D265" s="55">
        <v>1</v>
      </c>
      <c r="E265" s="54">
        <v>0</v>
      </c>
    </row>
    <row r="266" spans="2:5">
      <c r="B266" s="87"/>
      <c r="C266" s="52" t="s">
        <v>158</v>
      </c>
      <c r="D266" s="55">
        <v>1</v>
      </c>
      <c r="E266" s="54">
        <v>0</v>
      </c>
    </row>
    <row r="267" spans="2:5">
      <c r="B267" s="87"/>
      <c r="C267" s="52" t="s">
        <v>165</v>
      </c>
      <c r="D267" s="55">
        <v>1</v>
      </c>
      <c r="E267" s="54">
        <v>0</v>
      </c>
    </row>
    <row r="268" spans="2:5">
      <c r="B268" s="87"/>
      <c r="C268" s="52" t="s">
        <v>148</v>
      </c>
      <c r="D268" s="55">
        <v>1</v>
      </c>
      <c r="E268" s="54">
        <v>0</v>
      </c>
    </row>
    <row r="269" spans="2:5">
      <c r="B269" s="87"/>
      <c r="C269" s="52" t="s">
        <v>169</v>
      </c>
      <c r="D269" s="55">
        <v>1</v>
      </c>
      <c r="E269" s="54">
        <v>0</v>
      </c>
    </row>
    <row r="270" spans="2:5">
      <c r="B270" s="86"/>
      <c r="C270" s="68" t="s">
        <v>307</v>
      </c>
      <c r="D270" s="66">
        <v>81</v>
      </c>
      <c r="E270" s="69">
        <v>6.0000000000000001E-3</v>
      </c>
    </row>
    <row r="271" spans="2:5">
      <c r="B271" s="85" t="s">
        <v>107</v>
      </c>
      <c r="C271" s="52" t="s">
        <v>144</v>
      </c>
      <c r="D271" s="55">
        <v>56</v>
      </c>
      <c r="E271" s="54">
        <v>4.0000000000000001E-3</v>
      </c>
    </row>
    <row r="272" spans="2:5">
      <c r="B272" s="87"/>
      <c r="C272" s="52" t="s">
        <v>147</v>
      </c>
      <c r="D272" s="55">
        <v>6</v>
      </c>
      <c r="E272" s="54">
        <v>0</v>
      </c>
    </row>
    <row r="273" spans="2:5">
      <c r="B273" s="87"/>
      <c r="C273" s="52" t="s">
        <v>142</v>
      </c>
      <c r="D273" s="55">
        <v>4</v>
      </c>
      <c r="E273" s="54">
        <v>0</v>
      </c>
    </row>
    <row r="274" spans="2:5">
      <c r="B274" s="87"/>
      <c r="C274" s="52" t="s">
        <v>141</v>
      </c>
      <c r="D274" s="55">
        <v>3</v>
      </c>
      <c r="E274" s="54">
        <v>0</v>
      </c>
    </row>
    <row r="275" spans="2:5">
      <c r="B275" s="87"/>
      <c r="C275" s="52" t="s">
        <v>146</v>
      </c>
      <c r="D275" s="55">
        <v>2</v>
      </c>
      <c r="E275" s="54">
        <v>0</v>
      </c>
    </row>
    <row r="276" spans="2:5">
      <c r="B276" s="87"/>
      <c r="C276" s="52" t="s">
        <v>170</v>
      </c>
      <c r="D276" s="55">
        <v>1</v>
      </c>
      <c r="E276" s="54">
        <v>0</v>
      </c>
    </row>
    <row r="277" spans="2:5">
      <c r="B277" s="87"/>
      <c r="C277" s="52" t="s">
        <v>161</v>
      </c>
      <c r="D277" s="55">
        <v>1</v>
      </c>
      <c r="E277" s="54">
        <v>0</v>
      </c>
    </row>
    <row r="278" spans="2:5">
      <c r="B278" s="87"/>
      <c r="C278" s="52" t="s">
        <v>284</v>
      </c>
      <c r="D278" s="55">
        <v>1</v>
      </c>
      <c r="E278" s="54">
        <v>0</v>
      </c>
    </row>
    <row r="279" spans="2:5">
      <c r="B279" s="87"/>
      <c r="C279" s="52" t="s">
        <v>150</v>
      </c>
      <c r="D279" s="55">
        <v>1</v>
      </c>
      <c r="E279" s="54">
        <v>0</v>
      </c>
    </row>
    <row r="280" spans="2:5">
      <c r="B280" s="87"/>
      <c r="C280" s="52" t="s">
        <v>178</v>
      </c>
      <c r="D280" s="55">
        <v>1</v>
      </c>
      <c r="E280" s="54">
        <v>0</v>
      </c>
    </row>
    <row r="281" spans="2:5">
      <c r="B281" s="87"/>
      <c r="C281" s="52" t="s">
        <v>156</v>
      </c>
      <c r="D281" s="55">
        <v>1</v>
      </c>
      <c r="E281" s="54">
        <v>0</v>
      </c>
    </row>
    <row r="282" spans="2:5">
      <c r="B282" s="87"/>
      <c r="C282" s="52" t="s">
        <v>158</v>
      </c>
      <c r="D282" s="55">
        <v>1</v>
      </c>
      <c r="E282" s="54">
        <v>0</v>
      </c>
    </row>
    <row r="283" spans="2:5">
      <c r="B283" s="87"/>
      <c r="C283" s="52" t="s">
        <v>151</v>
      </c>
      <c r="D283" s="55">
        <v>1</v>
      </c>
      <c r="E283" s="54">
        <v>0</v>
      </c>
    </row>
    <row r="284" spans="2:5">
      <c r="B284" s="87"/>
      <c r="C284" s="52" t="s">
        <v>148</v>
      </c>
      <c r="D284" s="55">
        <v>1</v>
      </c>
      <c r="E284" s="54">
        <v>0</v>
      </c>
    </row>
    <row r="285" spans="2:5">
      <c r="B285" s="86"/>
      <c r="C285" s="68" t="s">
        <v>307</v>
      </c>
      <c r="D285" s="66">
        <v>80</v>
      </c>
      <c r="E285" s="69">
        <v>6.0000000000000001E-3</v>
      </c>
    </row>
    <row r="286" spans="2:5">
      <c r="B286" s="85" t="s">
        <v>116</v>
      </c>
      <c r="C286" s="52" t="s">
        <v>144</v>
      </c>
      <c r="D286" s="55">
        <v>33</v>
      </c>
      <c r="E286" s="54">
        <v>2E-3</v>
      </c>
    </row>
    <row r="287" spans="2:5">
      <c r="B287" s="87"/>
      <c r="C287" s="52" t="s">
        <v>142</v>
      </c>
      <c r="D287" s="55">
        <v>4</v>
      </c>
      <c r="E287" s="54">
        <v>0</v>
      </c>
    </row>
    <row r="288" spans="2:5">
      <c r="B288" s="87"/>
      <c r="C288" s="52" t="s">
        <v>147</v>
      </c>
      <c r="D288" s="55">
        <v>4</v>
      </c>
      <c r="E288" s="54">
        <v>0</v>
      </c>
    </row>
    <row r="289" spans="2:5">
      <c r="B289" s="87"/>
      <c r="C289" s="52" t="s">
        <v>150</v>
      </c>
      <c r="D289" s="55">
        <v>3</v>
      </c>
      <c r="E289" s="54">
        <v>0</v>
      </c>
    </row>
    <row r="290" spans="2:5">
      <c r="B290" s="87"/>
      <c r="C290" s="52" t="s">
        <v>157</v>
      </c>
      <c r="D290" s="55">
        <v>3</v>
      </c>
      <c r="E290" s="54">
        <v>0</v>
      </c>
    </row>
    <row r="291" spans="2:5">
      <c r="B291" s="87"/>
      <c r="C291" s="52" t="s">
        <v>141</v>
      </c>
      <c r="D291" s="55">
        <v>2</v>
      </c>
      <c r="E291" s="54">
        <v>0</v>
      </c>
    </row>
    <row r="292" spans="2:5">
      <c r="B292" s="87"/>
      <c r="C292" s="52" t="s">
        <v>155</v>
      </c>
      <c r="D292" s="55">
        <v>2</v>
      </c>
      <c r="E292" s="54">
        <v>0</v>
      </c>
    </row>
    <row r="293" spans="2:5">
      <c r="B293" s="87"/>
      <c r="C293" s="52" t="s">
        <v>143</v>
      </c>
      <c r="D293" s="55">
        <v>2</v>
      </c>
      <c r="E293" s="54">
        <v>0</v>
      </c>
    </row>
    <row r="294" spans="2:5">
      <c r="B294" s="87"/>
      <c r="C294" s="52" t="s">
        <v>149</v>
      </c>
      <c r="D294" s="55">
        <v>1</v>
      </c>
      <c r="E294" s="54">
        <v>0</v>
      </c>
    </row>
    <row r="295" spans="2:5">
      <c r="B295" s="87"/>
      <c r="C295" s="52" t="s">
        <v>175</v>
      </c>
      <c r="D295" s="55">
        <v>1</v>
      </c>
      <c r="E295" s="54">
        <v>0</v>
      </c>
    </row>
    <row r="296" spans="2:5">
      <c r="B296" s="87"/>
      <c r="C296" s="52" t="s">
        <v>154</v>
      </c>
      <c r="D296" s="55">
        <v>1</v>
      </c>
      <c r="E296" s="54">
        <v>0</v>
      </c>
    </row>
    <row r="297" spans="2:5">
      <c r="B297" s="87"/>
      <c r="C297" s="52" t="s">
        <v>161</v>
      </c>
      <c r="D297" s="55">
        <v>1</v>
      </c>
      <c r="E297" s="54">
        <v>0</v>
      </c>
    </row>
    <row r="298" spans="2:5">
      <c r="B298" s="87"/>
      <c r="C298" s="52" t="s">
        <v>173</v>
      </c>
      <c r="D298" s="55">
        <v>1</v>
      </c>
      <c r="E298" s="54">
        <v>0</v>
      </c>
    </row>
    <row r="299" spans="2:5">
      <c r="B299" s="87"/>
      <c r="C299" s="52" t="s">
        <v>164</v>
      </c>
      <c r="D299" s="55">
        <v>1</v>
      </c>
      <c r="E299" s="54">
        <v>0</v>
      </c>
    </row>
    <row r="300" spans="2:5">
      <c r="B300" s="87"/>
      <c r="C300" s="52" t="s">
        <v>151</v>
      </c>
      <c r="D300" s="55">
        <v>1</v>
      </c>
      <c r="E300" s="54">
        <v>0</v>
      </c>
    </row>
    <row r="301" spans="2:5">
      <c r="B301" s="87"/>
      <c r="C301" s="52" t="s">
        <v>146</v>
      </c>
      <c r="D301" s="55">
        <v>1</v>
      </c>
      <c r="E301" s="54">
        <v>0</v>
      </c>
    </row>
    <row r="302" spans="2:5">
      <c r="B302" s="87"/>
      <c r="C302" s="52" t="s">
        <v>148</v>
      </c>
      <c r="D302" s="55">
        <v>1</v>
      </c>
      <c r="E302" s="54">
        <v>0</v>
      </c>
    </row>
    <row r="303" spans="2:5">
      <c r="B303" s="86"/>
      <c r="C303" s="68" t="s">
        <v>307</v>
      </c>
      <c r="D303" s="66">
        <v>62</v>
      </c>
      <c r="E303" s="69">
        <v>4.0000000000000001E-3</v>
      </c>
    </row>
    <row r="304" spans="2:5">
      <c r="B304" s="85" t="s">
        <v>100</v>
      </c>
      <c r="C304" s="52" t="s">
        <v>144</v>
      </c>
      <c r="D304" s="55">
        <v>31</v>
      </c>
      <c r="E304" s="54">
        <v>2E-3</v>
      </c>
    </row>
    <row r="305" spans="2:5">
      <c r="B305" s="87"/>
      <c r="C305" s="52" t="s">
        <v>141</v>
      </c>
      <c r="D305" s="55">
        <v>7</v>
      </c>
      <c r="E305" s="54">
        <v>0</v>
      </c>
    </row>
    <row r="306" spans="2:5">
      <c r="B306" s="87"/>
      <c r="C306" s="52" t="s">
        <v>147</v>
      </c>
      <c r="D306" s="55">
        <v>6</v>
      </c>
      <c r="E306" s="54">
        <v>0</v>
      </c>
    </row>
    <row r="307" spans="2:5">
      <c r="B307" s="87"/>
      <c r="C307" s="52" t="s">
        <v>142</v>
      </c>
      <c r="D307" s="55">
        <v>4</v>
      </c>
      <c r="E307" s="54">
        <v>0</v>
      </c>
    </row>
    <row r="308" spans="2:5">
      <c r="B308" s="87"/>
      <c r="C308" s="52" t="s">
        <v>148</v>
      </c>
      <c r="D308" s="55">
        <v>4</v>
      </c>
      <c r="E308" s="54">
        <v>0</v>
      </c>
    </row>
    <row r="309" spans="2:5">
      <c r="B309" s="87"/>
      <c r="C309" s="52" t="s">
        <v>154</v>
      </c>
      <c r="D309" s="55">
        <v>2</v>
      </c>
      <c r="E309" s="54">
        <v>0</v>
      </c>
    </row>
    <row r="310" spans="2:5">
      <c r="B310" s="87"/>
      <c r="C310" s="52" t="s">
        <v>167</v>
      </c>
      <c r="D310" s="55">
        <v>1</v>
      </c>
      <c r="E310" s="54">
        <v>0</v>
      </c>
    </row>
    <row r="311" spans="2:5">
      <c r="B311" s="87"/>
      <c r="C311" s="52" t="s">
        <v>149</v>
      </c>
      <c r="D311" s="55">
        <v>1</v>
      </c>
      <c r="E311" s="54">
        <v>0</v>
      </c>
    </row>
    <row r="312" spans="2:5">
      <c r="B312" s="87"/>
      <c r="C312" s="52" t="s">
        <v>175</v>
      </c>
      <c r="D312" s="55">
        <v>1</v>
      </c>
      <c r="E312" s="54">
        <v>0</v>
      </c>
    </row>
    <row r="313" spans="2:5">
      <c r="B313" s="87"/>
      <c r="C313" s="52" t="s">
        <v>183</v>
      </c>
      <c r="D313" s="55">
        <v>1</v>
      </c>
      <c r="E313" s="54">
        <v>0</v>
      </c>
    </row>
    <row r="314" spans="2:5">
      <c r="B314" s="87"/>
      <c r="C314" s="52" t="s">
        <v>158</v>
      </c>
      <c r="D314" s="55">
        <v>1</v>
      </c>
      <c r="E314" s="54">
        <v>0</v>
      </c>
    </row>
    <row r="315" spans="2:5">
      <c r="B315" s="87"/>
      <c r="C315" s="52" t="s">
        <v>151</v>
      </c>
      <c r="D315" s="55">
        <v>1</v>
      </c>
      <c r="E315" s="54">
        <v>0</v>
      </c>
    </row>
    <row r="316" spans="2:5">
      <c r="B316" s="87"/>
      <c r="C316" s="52" t="s">
        <v>169</v>
      </c>
      <c r="D316" s="55">
        <v>1</v>
      </c>
      <c r="E316" s="54">
        <v>0</v>
      </c>
    </row>
    <row r="317" spans="2:5">
      <c r="B317" s="86"/>
      <c r="C317" s="68" t="s">
        <v>307</v>
      </c>
      <c r="D317" s="66">
        <v>61</v>
      </c>
      <c r="E317" s="69">
        <v>4.0000000000000001E-3</v>
      </c>
    </row>
    <row r="318" spans="2:5">
      <c r="B318" s="85" t="s">
        <v>109</v>
      </c>
      <c r="C318" s="52" t="s">
        <v>144</v>
      </c>
      <c r="D318" s="55">
        <v>35</v>
      </c>
      <c r="E318" s="54">
        <v>2E-3</v>
      </c>
    </row>
    <row r="319" spans="2:5">
      <c r="B319" s="87"/>
      <c r="C319" s="52" t="s">
        <v>141</v>
      </c>
      <c r="D319" s="55">
        <v>7</v>
      </c>
      <c r="E319" s="54">
        <v>0</v>
      </c>
    </row>
    <row r="320" spans="2:5">
      <c r="B320" s="87"/>
      <c r="C320" s="52" t="s">
        <v>142</v>
      </c>
      <c r="D320" s="55">
        <v>5</v>
      </c>
      <c r="E320" s="54">
        <v>0</v>
      </c>
    </row>
    <row r="321" spans="2:5">
      <c r="B321" s="87"/>
      <c r="C321" s="52" t="s">
        <v>147</v>
      </c>
      <c r="D321" s="55">
        <v>3</v>
      </c>
      <c r="E321" s="54">
        <v>0</v>
      </c>
    </row>
    <row r="322" spans="2:5">
      <c r="B322" s="87"/>
      <c r="C322" s="52" t="s">
        <v>161</v>
      </c>
      <c r="D322" s="55">
        <v>2</v>
      </c>
      <c r="E322" s="54">
        <v>0</v>
      </c>
    </row>
    <row r="323" spans="2:5">
      <c r="B323" s="87"/>
      <c r="C323" s="52" t="s">
        <v>152</v>
      </c>
      <c r="D323" s="55">
        <v>2</v>
      </c>
      <c r="E323" s="54">
        <v>0</v>
      </c>
    </row>
    <row r="324" spans="2:5">
      <c r="B324" s="87"/>
      <c r="C324" s="52" t="s">
        <v>175</v>
      </c>
      <c r="D324" s="55">
        <v>1</v>
      </c>
      <c r="E324" s="54">
        <v>0</v>
      </c>
    </row>
    <row r="325" spans="2:5">
      <c r="B325" s="87"/>
      <c r="C325" s="52" t="s">
        <v>154</v>
      </c>
      <c r="D325" s="55">
        <v>1</v>
      </c>
      <c r="E325" s="54">
        <v>0</v>
      </c>
    </row>
    <row r="326" spans="2:5">
      <c r="B326" s="87"/>
      <c r="C326" s="52" t="s">
        <v>140</v>
      </c>
      <c r="D326" s="55">
        <v>1</v>
      </c>
      <c r="E326" s="54">
        <v>0</v>
      </c>
    </row>
    <row r="327" spans="2:5">
      <c r="B327" s="87"/>
      <c r="C327" s="52" t="s">
        <v>284</v>
      </c>
      <c r="D327" s="55">
        <v>1</v>
      </c>
      <c r="E327" s="54">
        <v>0</v>
      </c>
    </row>
    <row r="328" spans="2:5">
      <c r="B328" s="87"/>
      <c r="C328" s="52" t="s">
        <v>151</v>
      </c>
      <c r="D328" s="55">
        <v>1</v>
      </c>
      <c r="E328" s="54">
        <v>0</v>
      </c>
    </row>
    <row r="329" spans="2:5">
      <c r="B329" s="87"/>
      <c r="C329" s="52" t="s">
        <v>148</v>
      </c>
      <c r="D329" s="55">
        <v>1</v>
      </c>
      <c r="E329" s="54">
        <v>0</v>
      </c>
    </row>
    <row r="330" spans="2:5">
      <c r="B330" s="86"/>
      <c r="C330" s="68" t="s">
        <v>307</v>
      </c>
      <c r="D330" s="66">
        <v>60</v>
      </c>
      <c r="E330" s="69">
        <v>4.0000000000000001E-3</v>
      </c>
    </row>
    <row r="331" spans="2:5">
      <c r="B331" s="85" t="s">
        <v>97</v>
      </c>
      <c r="C331" s="52" t="s">
        <v>144</v>
      </c>
      <c r="D331" s="55">
        <v>30</v>
      </c>
      <c r="E331" s="54">
        <v>2E-3</v>
      </c>
    </row>
    <row r="332" spans="2:5">
      <c r="B332" s="87"/>
      <c r="C332" s="52" t="s">
        <v>150</v>
      </c>
      <c r="D332" s="55">
        <v>4</v>
      </c>
      <c r="E332" s="54">
        <v>0</v>
      </c>
    </row>
    <row r="333" spans="2:5">
      <c r="B333" s="87"/>
      <c r="C333" s="52" t="s">
        <v>142</v>
      </c>
      <c r="D333" s="55">
        <v>4</v>
      </c>
      <c r="E333" s="54">
        <v>0</v>
      </c>
    </row>
    <row r="334" spans="2:5">
      <c r="B334" s="87"/>
      <c r="C334" s="52" t="s">
        <v>147</v>
      </c>
      <c r="D334" s="55">
        <v>3</v>
      </c>
      <c r="E334" s="54">
        <v>0</v>
      </c>
    </row>
    <row r="335" spans="2:5">
      <c r="B335" s="87"/>
      <c r="C335" s="52" t="s">
        <v>148</v>
      </c>
      <c r="D335" s="55">
        <v>3</v>
      </c>
      <c r="E335" s="54">
        <v>0</v>
      </c>
    </row>
    <row r="336" spans="2:5">
      <c r="B336" s="87"/>
      <c r="C336" s="52" t="s">
        <v>151</v>
      </c>
      <c r="D336" s="55">
        <v>2</v>
      </c>
      <c r="E336" s="54">
        <v>0</v>
      </c>
    </row>
    <row r="337" spans="2:5">
      <c r="B337" s="87"/>
      <c r="C337" s="52" t="s">
        <v>153</v>
      </c>
      <c r="D337" s="55">
        <v>1</v>
      </c>
      <c r="E337" s="54">
        <v>0</v>
      </c>
    </row>
    <row r="338" spans="2:5">
      <c r="B338" s="87"/>
      <c r="C338" s="52" t="s">
        <v>161</v>
      </c>
      <c r="D338" s="55">
        <v>1</v>
      </c>
      <c r="E338" s="54">
        <v>0</v>
      </c>
    </row>
    <row r="339" spans="2:5">
      <c r="B339" s="87"/>
      <c r="C339" s="52" t="s">
        <v>141</v>
      </c>
      <c r="D339" s="55">
        <v>1</v>
      </c>
      <c r="E339" s="54">
        <v>0</v>
      </c>
    </row>
    <row r="340" spans="2:5">
      <c r="B340" s="87"/>
      <c r="C340" s="52" t="s">
        <v>143</v>
      </c>
      <c r="D340" s="55">
        <v>1</v>
      </c>
      <c r="E340" s="54">
        <v>0</v>
      </c>
    </row>
    <row r="341" spans="2:5">
      <c r="B341" s="86"/>
      <c r="C341" s="68" t="s">
        <v>307</v>
      </c>
      <c r="D341" s="66">
        <v>50</v>
      </c>
      <c r="E341" s="69">
        <v>4.0000000000000001E-3</v>
      </c>
    </row>
    <row r="342" spans="2:5">
      <c r="B342" s="85" t="s">
        <v>111</v>
      </c>
      <c r="C342" s="52" t="s">
        <v>144</v>
      </c>
      <c r="D342" s="55">
        <v>20</v>
      </c>
      <c r="E342" s="54">
        <v>1E-3</v>
      </c>
    </row>
    <row r="343" spans="2:5">
      <c r="B343" s="87"/>
      <c r="C343" s="52" t="s">
        <v>143</v>
      </c>
      <c r="D343" s="55">
        <v>8</v>
      </c>
      <c r="E343" s="54">
        <v>1E-3</v>
      </c>
    </row>
    <row r="344" spans="2:5">
      <c r="B344" s="87"/>
      <c r="C344" s="52" t="s">
        <v>147</v>
      </c>
      <c r="D344" s="55">
        <v>7</v>
      </c>
      <c r="E344" s="54">
        <v>0</v>
      </c>
    </row>
    <row r="345" spans="2:5">
      <c r="B345" s="87"/>
      <c r="C345" s="52" t="s">
        <v>142</v>
      </c>
      <c r="D345" s="55">
        <v>4</v>
      </c>
      <c r="E345" s="54">
        <v>0</v>
      </c>
    </row>
    <row r="346" spans="2:5">
      <c r="B346" s="87"/>
      <c r="C346" s="52" t="s">
        <v>151</v>
      </c>
      <c r="D346" s="55">
        <v>4</v>
      </c>
      <c r="E346" s="54">
        <v>0</v>
      </c>
    </row>
    <row r="347" spans="2:5">
      <c r="B347" s="87"/>
      <c r="C347" s="52" t="s">
        <v>161</v>
      </c>
      <c r="D347" s="55">
        <v>3</v>
      </c>
      <c r="E347" s="54">
        <v>0</v>
      </c>
    </row>
    <row r="348" spans="2:5">
      <c r="B348" s="87"/>
      <c r="C348" s="52" t="s">
        <v>149</v>
      </c>
      <c r="D348" s="55">
        <v>1</v>
      </c>
      <c r="E348" s="54">
        <v>0</v>
      </c>
    </row>
    <row r="349" spans="2:5">
      <c r="B349" s="87"/>
      <c r="C349" s="52" t="s">
        <v>141</v>
      </c>
      <c r="D349" s="55">
        <v>1</v>
      </c>
      <c r="E349" s="54">
        <v>0</v>
      </c>
    </row>
    <row r="350" spans="2:5">
      <c r="B350" s="87"/>
      <c r="C350" s="52" t="s">
        <v>158</v>
      </c>
      <c r="D350" s="55">
        <v>1</v>
      </c>
      <c r="E350" s="54">
        <v>0</v>
      </c>
    </row>
    <row r="351" spans="2:5">
      <c r="B351" s="87"/>
      <c r="C351" s="52" t="s">
        <v>165</v>
      </c>
      <c r="D351" s="55">
        <v>1</v>
      </c>
      <c r="E351" s="54">
        <v>0</v>
      </c>
    </row>
    <row r="352" spans="2:5">
      <c r="B352" s="86"/>
      <c r="C352" s="68" t="s">
        <v>307</v>
      </c>
      <c r="D352" s="66">
        <v>50</v>
      </c>
      <c r="E352" s="69">
        <v>4.0000000000000001E-3</v>
      </c>
    </row>
    <row r="353" spans="2:5">
      <c r="B353" s="85" t="s">
        <v>96</v>
      </c>
      <c r="C353" s="52" t="s">
        <v>144</v>
      </c>
      <c r="D353" s="55">
        <v>15</v>
      </c>
      <c r="E353" s="54">
        <v>1E-3</v>
      </c>
    </row>
    <row r="354" spans="2:5">
      <c r="B354" s="87"/>
      <c r="C354" s="52" t="s">
        <v>141</v>
      </c>
      <c r="D354" s="55">
        <v>12</v>
      </c>
      <c r="E354" s="54">
        <v>1E-3</v>
      </c>
    </row>
    <row r="355" spans="2:5">
      <c r="B355" s="87"/>
      <c r="C355" s="52" t="s">
        <v>146</v>
      </c>
      <c r="D355" s="55">
        <v>4</v>
      </c>
      <c r="E355" s="54">
        <v>0</v>
      </c>
    </row>
    <row r="356" spans="2:5">
      <c r="B356" s="87"/>
      <c r="C356" s="52" t="s">
        <v>142</v>
      </c>
      <c r="D356" s="55">
        <v>3</v>
      </c>
      <c r="E356" s="54">
        <v>0</v>
      </c>
    </row>
    <row r="357" spans="2:5">
      <c r="B357" s="87"/>
      <c r="C357" s="52" t="s">
        <v>147</v>
      </c>
      <c r="D357" s="55">
        <v>3</v>
      </c>
      <c r="E357" s="54">
        <v>0</v>
      </c>
    </row>
    <row r="358" spans="2:5">
      <c r="B358" s="87"/>
      <c r="C358" s="52" t="s">
        <v>151</v>
      </c>
      <c r="D358" s="55">
        <v>2</v>
      </c>
      <c r="E358" s="54">
        <v>0</v>
      </c>
    </row>
    <row r="359" spans="2:5">
      <c r="B359" s="87"/>
      <c r="C359" s="52" t="s">
        <v>153</v>
      </c>
      <c r="D359" s="55">
        <v>1</v>
      </c>
      <c r="E359" s="54">
        <v>0</v>
      </c>
    </row>
    <row r="360" spans="2:5">
      <c r="B360" s="87"/>
      <c r="C360" s="52" t="s">
        <v>171</v>
      </c>
      <c r="D360" s="55">
        <v>1</v>
      </c>
      <c r="E360" s="54">
        <v>0</v>
      </c>
    </row>
    <row r="361" spans="2:5">
      <c r="B361" s="87"/>
      <c r="C361" s="52" t="s">
        <v>140</v>
      </c>
      <c r="D361" s="55">
        <v>1</v>
      </c>
      <c r="E361" s="54">
        <v>0</v>
      </c>
    </row>
    <row r="362" spans="2:5">
      <c r="B362" s="87"/>
      <c r="C362" s="52" t="s">
        <v>284</v>
      </c>
      <c r="D362" s="55">
        <v>1</v>
      </c>
      <c r="E362" s="54">
        <v>0</v>
      </c>
    </row>
    <row r="363" spans="2:5">
      <c r="B363" s="87"/>
      <c r="C363" s="52" t="s">
        <v>176</v>
      </c>
      <c r="D363" s="55">
        <v>1</v>
      </c>
      <c r="E363" s="54">
        <v>0</v>
      </c>
    </row>
    <row r="364" spans="2:5">
      <c r="B364" s="87"/>
      <c r="C364" s="52" t="s">
        <v>143</v>
      </c>
      <c r="D364" s="55">
        <v>1</v>
      </c>
      <c r="E364" s="54">
        <v>0</v>
      </c>
    </row>
    <row r="365" spans="2:5">
      <c r="B365" s="86"/>
      <c r="C365" s="68" t="s">
        <v>307</v>
      </c>
      <c r="D365" s="66">
        <v>45</v>
      </c>
      <c r="E365" s="69">
        <v>3.0000000000000001E-3</v>
      </c>
    </row>
    <row r="366" spans="2:5">
      <c r="B366" s="85" t="s">
        <v>130</v>
      </c>
      <c r="C366" s="52" t="s">
        <v>144</v>
      </c>
      <c r="D366" s="55">
        <v>14</v>
      </c>
      <c r="E366" s="54">
        <v>1E-3</v>
      </c>
    </row>
    <row r="367" spans="2:5">
      <c r="B367" s="87"/>
      <c r="C367" s="52" t="s">
        <v>147</v>
      </c>
      <c r="D367" s="55">
        <v>6</v>
      </c>
      <c r="E367" s="54">
        <v>0</v>
      </c>
    </row>
    <row r="368" spans="2:5">
      <c r="B368" s="87"/>
      <c r="C368" s="52" t="s">
        <v>141</v>
      </c>
      <c r="D368" s="55">
        <v>4</v>
      </c>
      <c r="E368" s="54">
        <v>0</v>
      </c>
    </row>
    <row r="369" spans="2:5">
      <c r="B369" s="87"/>
      <c r="C369" s="52" t="s">
        <v>150</v>
      </c>
      <c r="D369" s="55">
        <v>3</v>
      </c>
      <c r="E369" s="54">
        <v>0</v>
      </c>
    </row>
    <row r="370" spans="2:5">
      <c r="B370" s="87"/>
      <c r="C370" s="52" t="s">
        <v>142</v>
      </c>
      <c r="D370" s="55">
        <v>3</v>
      </c>
      <c r="E370" s="54">
        <v>0</v>
      </c>
    </row>
    <row r="371" spans="2:5">
      <c r="B371" s="87"/>
      <c r="C371" s="52" t="s">
        <v>143</v>
      </c>
      <c r="D371" s="55">
        <v>2</v>
      </c>
      <c r="E371" s="54">
        <v>0</v>
      </c>
    </row>
    <row r="372" spans="2:5">
      <c r="B372" s="87"/>
      <c r="C372" s="52" t="s">
        <v>151</v>
      </c>
      <c r="D372" s="55">
        <v>2</v>
      </c>
      <c r="E372" s="54">
        <v>0</v>
      </c>
    </row>
    <row r="373" spans="2:5">
      <c r="B373" s="87"/>
      <c r="C373" s="52" t="s">
        <v>148</v>
      </c>
      <c r="D373" s="55">
        <v>2</v>
      </c>
      <c r="E373" s="54">
        <v>0</v>
      </c>
    </row>
    <row r="374" spans="2:5">
      <c r="B374" s="87"/>
      <c r="C374" s="52" t="s">
        <v>171</v>
      </c>
      <c r="D374" s="55">
        <v>1</v>
      </c>
      <c r="E374" s="54">
        <v>0</v>
      </c>
    </row>
    <row r="375" spans="2:5">
      <c r="B375" s="87"/>
      <c r="C375" s="52" t="s">
        <v>154</v>
      </c>
      <c r="D375" s="55">
        <v>1</v>
      </c>
      <c r="E375" s="54">
        <v>0</v>
      </c>
    </row>
    <row r="376" spans="2:5">
      <c r="B376" s="87"/>
      <c r="C376" s="52" t="s">
        <v>156</v>
      </c>
      <c r="D376" s="55">
        <v>1</v>
      </c>
      <c r="E376" s="54">
        <v>0</v>
      </c>
    </row>
    <row r="377" spans="2:5">
      <c r="B377" s="87"/>
      <c r="C377" s="52" t="s">
        <v>152</v>
      </c>
      <c r="D377" s="55">
        <v>1</v>
      </c>
      <c r="E377" s="54">
        <v>0</v>
      </c>
    </row>
    <row r="378" spans="2:5">
      <c r="B378" s="86"/>
      <c r="C378" s="68" t="s">
        <v>307</v>
      </c>
      <c r="D378" s="66">
        <v>40</v>
      </c>
      <c r="E378" s="69">
        <v>3.0000000000000001E-3</v>
      </c>
    </row>
    <row r="379" spans="2:5">
      <c r="B379" s="85" t="s">
        <v>136</v>
      </c>
      <c r="C379" s="52" t="s">
        <v>144</v>
      </c>
      <c r="D379" s="55">
        <v>23</v>
      </c>
      <c r="E379" s="54">
        <v>2E-3</v>
      </c>
    </row>
    <row r="380" spans="2:5">
      <c r="B380" s="87"/>
      <c r="C380" s="52" t="s">
        <v>143</v>
      </c>
      <c r="D380" s="55">
        <v>5</v>
      </c>
      <c r="E380" s="54">
        <v>0</v>
      </c>
    </row>
    <row r="381" spans="2:5">
      <c r="B381" s="87"/>
      <c r="C381" s="52" t="s">
        <v>142</v>
      </c>
      <c r="D381" s="55">
        <v>3</v>
      </c>
      <c r="E381" s="54">
        <v>0</v>
      </c>
    </row>
    <row r="382" spans="2:5">
      <c r="B382" s="87"/>
      <c r="C382" s="52" t="s">
        <v>147</v>
      </c>
      <c r="D382" s="55">
        <v>3</v>
      </c>
      <c r="E382" s="54">
        <v>0</v>
      </c>
    </row>
    <row r="383" spans="2:5">
      <c r="B383" s="87"/>
      <c r="C383" s="52" t="s">
        <v>175</v>
      </c>
      <c r="D383" s="55">
        <v>1</v>
      </c>
      <c r="E383" s="54">
        <v>0</v>
      </c>
    </row>
    <row r="384" spans="2:5">
      <c r="B384" s="87"/>
      <c r="C384" s="52" t="s">
        <v>154</v>
      </c>
      <c r="D384" s="55">
        <v>1</v>
      </c>
      <c r="E384" s="54">
        <v>0</v>
      </c>
    </row>
    <row r="385" spans="2:5">
      <c r="B385" s="87"/>
      <c r="C385" s="52" t="s">
        <v>141</v>
      </c>
      <c r="D385" s="55">
        <v>1</v>
      </c>
      <c r="E385" s="54">
        <v>0</v>
      </c>
    </row>
    <row r="386" spans="2:5">
      <c r="B386" s="87"/>
      <c r="C386" s="52" t="s">
        <v>150</v>
      </c>
      <c r="D386" s="55">
        <v>1</v>
      </c>
      <c r="E386" s="54">
        <v>0</v>
      </c>
    </row>
    <row r="387" spans="2:5">
      <c r="B387" s="87"/>
      <c r="C387" s="52" t="s">
        <v>146</v>
      </c>
      <c r="D387" s="55">
        <v>1</v>
      </c>
      <c r="E387" s="54">
        <v>0</v>
      </c>
    </row>
    <row r="388" spans="2:5">
      <c r="B388" s="87"/>
      <c r="C388" s="52" t="s">
        <v>169</v>
      </c>
      <c r="D388" s="55">
        <v>1</v>
      </c>
      <c r="E388" s="54">
        <v>0</v>
      </c>
    </row>
    <row r="389" spans="2:5">
      <c r="B389" s="86"/>
      <c r="C389" s="68" t="s">
        <v>307</v>
      </c>
      <c r="D389" s="66">
        <v>40</v>
      </c>
      <c r="E389" s="69">
        <v>3.0000000000000001E-3</v>
      </c>
    </row>
    <row r="390" spans="2:5">
      <c r="B390" s="85" t="s">
        <v>120</v>
      </c>
      <c r="C390" s="52" t="s">
        <v>144</v>
      </c>
      <c r="D390" s="55">
        <v>24</v>
      </c>
      <c r="E390" s="54">
        <v>2E-3</v>
      </c>
    </row>
    <row r="391" spans="2:5">
      <c r="B391" s="87"/>
      <c r="C391" s="52" t="s">
        <v>147</v>
      </c>
      <c r="D391" s="55">
        <v>6</v>
      </c>
      <c r="E391" s="54">
        <v>0</v>
      </c>
    </row>
    <row r="392" spans="2:5">
      <c r="B392" s="87"/>
      <c r="C392" s="52" t="s">
        <v>142</v>
      </c>
      <c r="D392" s="55">
        <v>3</v>
      </c>
      <c r="E392" s="54">
        <v>0</v>
      </c>
    </row>
    <row r="393" spans="2:5">
      <c r="B393" s="87"/>
      <c r="C393" s="52" t="s">
        <v>284</v>
      </c>
      <c r="D393" s="55">
        <v>1</v>
      </c>
      <c r="E393" s="54">
        <v>0</v>
      </c>
    </row>
    <row r="394" spans="2:5">
      <c r="B394" s="87"/>
      <c r="C394" s="52" t="s">
        <v>150</v>
      </c>
      <c r="D394" s="55">
        <v>1</v>
      </c>
      <c r="E394" s="54">
        <v>0</v>
      </c>
    </row>
    <row r="395" spans="2:5">
      <c r="B395" s="87"/>
      <c r="C395" s="52" t="s">
        <v>151</v>
      </c>
      <c r="D395" s="55">
        <v>1</v>
      </c>
      <c r="E395" s="54">
        <v>0</v>
      </c>
    </row>
    <row r="396" spans="2:5">
      <c r="B396" s="86"/>
      <c r="C396" s="68" t="s">
        <v>307</v>
      </c>
      <c r="D396" s="66">
        <v>36</v>
      </c>
      <c r="E396" s="69">
        <v>3.0000000000000001E-3</v>
      </c>
    </row>
    <row r="397" spans="2:5">
      <c r="B397" s="85" t="s">
        <v>134</v>
      </c>
      <c r="C397" s="52" t="s">
        <v>144</v>
      </c>
      <c r="D397" s="55">
        <v>23</v>
      </c>
      <c r="E397" s="54">
        <v>2E-3</v>
      </c>
    </row>
    <row r="398" spans="2:5">
      <c r="B398" s="87"/>
      <c r="C398" s="52" t="s">
        <v>147</v>
      </c>
      <c r="D398" s="55">
        <v>5</v>
      </c>
      <c r="E398" s="54">
        <v>0</v>
      </c>
    </row>
    <row r="399" spans="2:5">
      <c r="B399" s="87"/>
      <c r="C399" s="52" t="s">
        <v>142</v>
      </c>
      <c r="D399" s="55">
        <v>1</v>
      </c>
      <c r="E399" s="54">
        <v>0</v>
      </c>
    </row>
    <row r="400" spans="2:5">
      <c r="B400" s="87"/>
      <c r="C400" s="52" t="s">
        <v>148</v>
      </c>
      <c r="D400" s="55">
        <v>1</v>
      </c>
      <c r="E400" s="54">
        <v>0</v>
      </c>
    </row>
    <row r="401" spans="2:5">
      <c r="B401" s="86"/>
      <c r="C401" s="68" t="s">
        <v>307</v>
      </c>
      <c r="D401" s="66">
        <v>30</v>
      </c>
      <c r="E401" s="69">
        <v>2E-3</v>
      </c>
    </row>
    <row r="402" spans="2:5">
      <c r="B402" s="85" t="s">
        <v>110</v>
      </c>
      <c r="C402" s="52" t="s">
        <v>158</v>
      </c>
      <c r="D402" s="55">
        <v>11</v>
      </c>
      <c r="E402" s="54">
        <v>1E-3</v>
      </c>
    </row>
    <row r="403" spans="2:5">
      <c r="B403" s="87"/>
      <c r="C403" s="52" t="s">
        <v>144</v>
      </c>
      <c r="D403" s="55">
        <v>9</v>
      </c>
      <c r="E403" s="54">
        <v>1E-3</v>
      </c>
    </row>
    <row r="404" spans="2:5">
      <c r="B404" s="87"/>
      <c r="C404" s="52" t="s">
        <v>141</v>
      </c>
      <c r="D404" s="55">
        <v>2</v>
      </c>
      <c r="E404" s="54">
        <v>0</v>
      </c>
    </row>
    <row r="405" spans="2:5">
      <c r="B405" s="87"/>
      <c r="C405" s="52" t="s">
        <v>147</v>
      </c>
      <c r="D405" s="55">
        <v>2</v>
      </c>
      <c r="E405" s="54">
        <v>0</v>
      </c>
    </row>
    <row r="406" spans="2:5">
      <c r="B406" s="87"/>
      <c r="C406" s="52" t="s">
        <v>150</v>
      </c>
      <c r="D406" s="55">
        <v>1</v>
      </c>
      <c r="E406" s="54">
        <v>0</v>
      </c>
    </row>
    <row r="407" spans="2:5">
      <c r="B407" s="87"/>
      <c r="C407" s="52" t="s">
        <v>142</v>
      </c>
      <c r="D407" s="55">
        <v>1</v>
      </c>
      <c r="E407" s="54">
        <v>0</v>
      </c>
    </row>
    <row r="408" spans="2:5">
      <c r="B408" s="87"/>
      <c r="C408" s="52" t="s">
        <v>148</v>
      </c>
      <c r="D408" s="55">
        <v>1</v>
      </c>
      <c r="E408" s="54">
        <v>0</v>
      </c>
    </row>
    <row r="409" spans="2:5">
      <c r="B409" s="86"/>
      <c r="C409" s="68" t="s">
        <v>307</v>
      </c>
      <c r="D409" s="66">
        <v>27</v>
      </c>
      <c r="E409" s="69">
        <v>2E-3</v>
      </c>
    </row>
    <row r="410" spans="2:5">
      <c r="B410" s="85" t="s">
        <v>135</v>
      </c>
      <c r="C410" s="52" t="s">
        <v>144</v>
      </c>
      <c r="D410" s="55">
        <v>9</v>
      </c>
      <c r="E410" s="54">
        <v>1E-3</v>
      </c>
    </row>
    <row r="411" spans="2:5">
      <c r="B411" s="87"/>
      <c r="C411" s="52" t="s">
        <v>284</v>
      </c>
      <c r="D411" s="55">
        <v>4</v>
      </c>
      <c r="E411" s="54">
        <v>0</v>
      </c>
    </row>
    <row r="412" spans="2:5">
      <c r="B412" s="87"/>
      <c r="C412" s="52" t="s">
        <v>141</v>
      </c>
      <c r="D412" s="55">
        <v>3</v>
      </c>
      <c r="E412" s="54">
        <v>0</v>
      </c>
    </row>
    <row r="413" spans="2:5">
      <c r="B413" s="87"/>
      <c r="C413" s="52" t="s">
        <v>177</v>
      </c>
      <c r="D413" s="55">
        <v>2</v>
      </c>
      <c r="E413" s="54">
        <v>0</v>
      </c>
    </row>
    <row r="414" spans="2:5">
      <c r="B414" s="87"/>
      <c r="C414" s="52" t="s">
        <v>158</v>
      </c>
      <c r="D414" s="55">
        <v>2</v>
      </c>
      <c r="E414" s="54">
        <v>0</v>
      </c>
    </row>
    <row r="415" spans="2:5">
      <c r="B415" s="87"/>
      <c r="C415" s="52" t="s">
        <v>149</v>
      </c>
      <c r="D415" s="55">
        <v>1</v>
      </c>
      <c r="E415" s="54">
        <v>0</v>
      </c>
    </row>
    <row r="416" spans="2:5">
      <c r="B416" s="87"/>
      <c r="C416" s="52" t="s">
        <v>153</v>
      </c>
      <c r="D416" s="55">
        <v>1</v>
      </c>
      <c r="E416" s="54">
        <v>0</v>
      </c>
    </row>
    <row r="417" spans="2:5">
      <c r="B417" s="87"/>
      <c r="C417" s="52" t="s">
        <v>175</v>
      </c>
      <c r="D417" s="55">
        <v>1</v>
      </c>
      <c r="E417" s="54">
        <v>0</v>
      </c>
    </row>
    <row r="418" spans="2:5">
      <c r="B418" s="87"/>
      <c r="C418" s="52" t="s">
        <v>150</v>
      </c>
      <c r="D418" s="55">
        <v>1</v>
      </c>
      <c r="E418" s="54">
        <v>0</v>
      </c>
    </row>
    <row r="419" spans="2:5">
      <c r="B419" s="87"/>
      <c r="C419" s="52" t="s">
        <v>173</v>
      </c>
      <c r="D419" s="55">
        <v>1</v>
      </c>
      <c r="E419" s="54">
        <v>0</v>
      </c>
    </row>
    <row r="420" spans="2:5">
      <c r="B420" s="87"/>
      <c r="C420" s="52" t="s">
        <v>147</v>
      </c>
      <c r="D420" s="55">
        <v>1</v>
      </c>
      <c r="E420" s="54">
        <v>0</v>
      </c>
    </row>
    <row r="421" spans="2:5">
      <c r="B421" s="87"/>
      <c r="C421" s="52" t="s">
        <v>148</v>
      </c>
      <c r="D421" s="55">
        <v>1</v>
      </c>
      <c r="E421" s="54">
        <v>0</v>
      </c>
    </row>
    <row r="422" spans="2:5">
      <c r="B422" s="86"/>
      <c r="C422" s="68" t="s">
        <v>307</v>
      </c>
      <c r="D422" s="66">
        <v>27</v>
      </c>
      <c r="E422" s="69">
        <v>2E-3</v>
      </c>
    </row>
    <row r="423" spans="2:5">
      <c r="B423" s="85" t="s">
        <v>126</v>
      </c>
      <c r="C423" s="52" t="s">
        <v>144</v>
      </c>
      <c r="D423" s="55">
        <v>12</v>
      </c>
      <c r="E423" s="54">
        <v>1E-3</v>
      </c>
    </row>
    <row r="424" spans="2:5">
      <c r="B424" s="87"/>
      <c r="C424" s="52" t="s">
        <v>147</v>
      </c>
      <c r="D424" s="55">
        <v>4</v>
      </c>
      <c r="E424" s="54">
        <v>0</v>
      </c>
    </row>
    <row r="425" spans="2:5">
      <c r="B425" s="87"/>
      <c r="C425" s="52" t="s">
        <v>175</v>
      </c>
      <c r="D425" s="55">
        <v>2</v>
      </c>
      <c r="E425" s="54">
        <v>0</v>
      </c>
    </row>
    <row r="426" spans="2:5">
      <c r="B426" s="87"/>
      <c r="C426" s="52" t="s">
        <v>142</v>
      </c>
      <c r="D426" s="55">
        <v>2</v>
      </c>
      <c r="E426" s="54">
        <v>0</v>
      </c>
    </row>
    <row r="427" spans="2:5">
      <c r="B427" s="87"/>
      <c r="C427" s="52" t="s">
        <v>151</v>
      </c>
      <c r="D427" s="55">
        <v>2</v>
      </c>
      <c r="E427" s="54">
        <v>0</v>
      </c>
    </row>
    <row r="428" spans="2:5">
      <c r="B428" s="87"/>
      <c r="C428" s="52" t="s">
        <v>141</v>
      </c>
      <c r="D428" s="55">
        <v>1</v>
      </c>
      <c r="E428" s="54">
        <v>0</v>
      </c>
    </row>
    <row r="429" spans="2:5">
      <c r="B429" s="87"/>
      <c r="C429" s="52" t="s">
        <v>158</v>
      </c>
      <c r="D429" s="55">
        <v>1</v>
      </c>
      <c r="E429" s="54">
        <v>0</v>
      </c>
    </row>
    <row r="430" spans="2:5">
      <c r="B430" s="87"/>
      <c r="C430" s="52" t="s">
        <v>159</v>
      </c>
      <c r="D430" s="55">
        <v>1</v>
      </c>
      <c r="E430" s="54">
        <v>0</v>
      </c>
    </row>
    <row r="431" spans="2:5">
      <c r="B431" s="87"/>
      <c r="C431" s="52" t="s">
        <v>148</v>
      </c>
      <c r="D431" s="55">
        <v>1</v>
      </c>
      <c r="E431" s="54">
        <v>0</v>
      </c>
    </row>
    <row r="432" spans="2:5">
      <c r="B432" s="86"/>
      <c r="C432" s="68" t="s">
        <v>307</v>
      </c>
      <c r="D432" s="66">
        <v>26</v>
      </c>
      <c r="E432" s="69">
        <v>2E-3</v>
      </c>
    </row>
    <row r="433" spans="2:5">
      <c r="B433" s="85" t="s">
        <v>108</v>
      </c>
      <c r="C433" s="52" t="s">
        <v>144</v>
      </c>
      <c r="D433" s="55">
        <v>12</v>
      </c>
      <c r="E433" s="54">
        <v>1E-3</v>
      </c>
    </row>
    <row r="434" spans="2:5">
      <c r="B434" s="87"/>
      <c r="C434" s="52" t="s">
        <v>151</v>
      </c>
      <c r="D434" s="55">
        <v>4</v>
      </c>
      <c r="E434" s="54">
        <v>0</v>
      </c>
    </row>
    <row r="435" spans="2:5">
      <c r="B435" s="87"/>
      <c r="C435" s="52" t="s">
        <v>147</v>
      </c>
      <c r="D435" s="55">
        <v>2</v>
      </c>
      <c r="E435" s="54">
        <v>0</v>
      </c>
    </row>
    <row r="436" spans="2:5">
      <c r="B436" s="87"/>
      <c r="C436" s="52" t="s">
        <v>149</v>
      </c>
      <c r="D436" s="55">
        <v>1</v>
      </c>
      <c r="E436" s="54">
        <v>0</v>
      </c>
    </row>
    <row r="437" spans="2:5">
      <c r="B437" s="87"/>
      <c r="C437" s="52" t="s">
        <v>175</v>
      </c>
      <c r="D437" s="55">
        <v>1</v>
      </c>
      <c r="E437" s="54">
        <v>0</v>
      </c>
    </row>
    <row r="438" spans="2:5">
      <c r="B438" s="87"/>
      <c r="C438" s="52" t="s">
        <v>154</v>
      </c>
      <c r="D438" s="55">
        <v>1</v>
      </c>
      <c r="E438" s="54">
        <v>0</v>
      </c>
    </row>
    <row r="439" spans="2:5">
      <c r="B439" s="87"/>
      <c r="C439" s="52" t="s">
        <v>162</v>
      </c>
      <c r="D439" s="55">
        <v>1</v>
      </c>
      <c r="E439" s="54">
        <v>0</v>
      </c>
    </row>
    <row r="440" spans="2:5">
      <c r="B440" s="87"/>
      <c r="C440" s="52" t="s">
        <v>141</v>
      </c>
      <c r="D440" s="55">
        <v>1</v>
      </c>
      <c r="E440" s="54">
        <v>0</v>
      </c>
    </row>
    <row r="441" spans="2:5">
      <c r="B441" s="87"/>
      <c r="C441" s="52" t="s">
        <v>142</v>
      </c>
      <c r="D441" s="55">
        <v>1</v>
      </c>
      <c r="E441" s="54">
        <v>0</v>
      </c>
    </row>
    <row r="442" spans="2:5">
      <c r="B442" s="87"/>
      <c r="C442" s="52" t="s">
        <v>152</v>
      </c>
      <c r="D442" s="55">
        <v>1</v>
      </c>
      <c r="E442" s="54">
        <v>0</v>
      </c>
    </row>
    <row r="443" spans="2:5">
      <c r="B443" s="86"/>
      <c r="C443" s="68" t="s">
        <v>307</v>
      </c>
      <c r="D443" s="66">
        <v>25</v>
      </c>
      <c r="E443" s="69">
        <v>2E-3</v>
      </c>
    </row>
    <row r="444" spans="2:5">
      <c r="B444" s="85" t="s">
        <v>117</v>
      </c>
      <c r="C444" s="52" t="s">
        <v>144</v>
      </c>
      <c r="D444" s="55">
        <v>8</v>
      </c>
      <c r="E444" s="54">
        <v>1E-3</v>
      </c>
    </row>
    <row r="445" spans="2:5">
      <c r="B445" s="87"/>
      <c r="C445" s="52" t="s">
        <v>147</v>
      </c>
      <c r="D445" s="55">
        <v>4</v>
      </c>
      <c r="E445" s="54">
        <v>0</v>
      </c>
    </row>
    <row r="446" spans="2:5">
      <c r="B446" s="87"/>
      <c r="C446" s="52" t="s">
        <v>154</v>
      </c>
      <c r="D446" s="55">
        <v>3</v>
      </c>
      <c r="E446" s="54">
        <v>0</v>
      </c>
    </row>
    <row r="447" spans="2:5">
      <c r="B447" s="87"/>
      <c r="C447" s="52" t="s">
        <v>151</v>
      </c>
      <c r="D447" s="55">
        <v>3</v>
      </c>
      <c r="E447" s="54">
        <v>0</v>
      </c>
    </row>
    <row r="448" spans="2:5">
      <c r="B448" s="87"/>
      <c r="C448" s="52" t="s">
        <v>142</v>
      </c>
      <c r="D448" s="55">
        <v>2</v>
      </c>
      <c r="E448" s="54">
        <v>0</v>
      </c>
    </row>
    <row r="449" spans="2:5">
      <c r="B449" s="87"/>
      <c r="C449" s="52" t="s">
        <v>176</v>
      </c>
      <c r="D449" s="55">
        <v>1</v>
      </c>
      <c r="E449" s="54">
        <v>0</v>
      </c>
    </row>
    <row r="450" spans="2:5">
      <c r="B450" s="87"/>
      <c r="C450" s="52" t="s">
        <v>143</v>
      </c>
      <c r="D450" s="55">
        <v>1</v>
      </c>
      <c r="E450" s="54">
        <v>0</v>
      </c>
    </row>
    <row r="451" spans="2:5">
      <c r="B451" s="87"/>
      <c r="C451" s="52" t="s">
        <v>158</v>
      </c>
      <c r="D451" s="55">
        <v>1</v>
      </c>
      <c r="E451" s="54">
        <v>0</v>
      </c>
    </row>
    <row r="452" spans="2:5">
      <c r="B452" s="86"/>
      <c r="C452" s="68" t="s">
        <v>307</v>
      </c>
      <c r="D452" s="66">
        <v>23</v>
      </c>
      <c r="E452" s="69">
        <v>2E-3</v>
      </c>
    </row>
    <row r="453" spans="2:5">
      <c r="B453" s="85" t="s">
        <v>105</v>
      </c>
      <c r="C453" s="52" t="s">
        <v>144</v>
      </c>
      <c r="D453" s="55">
        <v>8</v>
      </c>
      <c r="E453" s="54">
        <v>1E-3</v>
      </c>
    </row>
    <row r="454" spans="2:5">
      <c r="B454" s="87"/>
      <c r="C454" s="52" t="s">
        <v>147</v>
      </c>
      <c r="D454" s="55">
        <v>5</v>
      </c>
      <c r="E454" s="54">
        <v>0</v>
      </c>
    </row>
    <row r="455" spans="2:5">
      <c r="B455" s="87"/>
      <c r="C455" s="52" t="s">
        <v>151</v>
      </c>
      <c r="D455" s="55">
        <v>3</v>
      </c>
      <c r="E455" s="54">
        <v>0</v>
      </c>
    </row>
    <row r="456" spans="2:5">
      <c r="B456" s="87"/>
      <c r="C456" s="52" t="s">
        <v>142</v>
      </c>
      <c r="D456" s="55">
        <v>1</v>
      </c>
      <c r="E456" s="54">
        <v>0</v>
      </c>
    </row>
    <row r="457" spans="2:5">
      <c r="B457" s="87"/>
      <c r="C457" s="52" t="s">
        <v>168</v>
      </c>
      <c r="D457" s="55">
        <v>1</v>
      </c>
      <c r="E457" s="54">
        <v>0</v>
      </c>
    </row>
    <row r="458" spans="2:5">
      <c r="B458" s="87"/>
      <c r="C458" s="52" t="s">
        <v>143</v>
      </c>
      <c r="D458" s="55">
        <v>1</v>
      </c>
      <c r="E458" s="54">
        <v>0</v>
      </c>
    </row>
    <row r="459" spans="2:5">
      <c r="B459" s="86"/>
      <c r="C459" s="68" t="s">
        <v>307</v>
      </c>
      <c r="D459" s="66">
        <v>19</v>
      </c>
      <c r="E459" s="69">
        <v>1E-3</v>
      </c>
    </row>
    <row r="460" spans="2:5">
      <c r="B460" s="85" t="s">
        <v>122</v>
      </c>
      <c r="C460" s="52" t="s">
        <v>144</v>
      </c>
      <c r="D460" s="55">
        <v>10</v>
      </c>
      <c r="E460" s="54">
        <v>1E-3</v>
      </c>
    </row>
    <row r="461" spans="2:5">
      <c r="B461" s="87"/>
      <c r="C461" s="52" t="s">
        <v>150</v>
      </c>
      <c r="D461" s="55">
        <v>3</v>
      </c>
      <c r="E461" s="54">
        <v>0</v>
      </c>
    </row>
    <row r="462" spans="2:5">
      <c r="B462" s="87"/>
      <c r="C462" s="52" t="s">
        <v>142</v>
      </c>
      <c r="D462" s="55">
        <v>2</v>
      </c>
      <c r="E462" s="54">
        <v>0</v>
      </c>
    </row>
    <row r="463" spans="2:5">
      <c r="B463" s="87"/>
      <c r="C463" s="52" t="s">
        <v>155</v>
      </c>
      <c r="D463" s="55">
        <v>1</v>
      </c>
      <c r="E463" s="54">
        <v>0</v>
      </c>
    </row>
    <row r="464" spans="2:5">
      <c r="B464" s="87"/>
      <c r="C464" s="52" t="s">
        <v>143</v>
      </c>
      <c r="D464" s="55">
        <v>1</v>
      </c>
      <c r="E464" s="54">
        <v>0</v>
      </c>
    </row>
    <row r="465" spans="2:5">
      <c r="B465" s="87"/>
      <c r="C465" s="52" t="s">
        <v>151</v>
      </c>
      <c r="D465" s="55">
        <v>1</v>
      </c>
      <c r="E465" s="54">
        <v>0</v>
      </c>
    </row>
    <row r="466" spans="2:5">
      <c r="B466" s="87"/>
      <c r="C466" s="52" t="s">
        <v>147</v>
      </c>
      <c r="D466" s="55">
        <v>1</v>
      </c>
      <c r="E466" s="54">
        <v>0</v>
      </c>
    </row>
    <row r="467" spans="2:5">
      <c r="B467" s="86"/>
      <c r="C467" s="68" t="s">
        <v>307</v>
      </c>
      <c r="D467" s="66">
        <v>19</v>
      </c>
      <c r="E467" s="69">
        <v>1E-3</v>
      </c>
    </row>
    <row r="468" spans="2:5">
      <c r="B468" s="85" t="s">
        <v>119</v>
      </c>
      <c r="C468" s="52" t="s">
        <v>144</v>
      </c>
      <c r="D468" s="55">
        <v>12</v>
      </c>
      <c r="E468" s="54">
        <v>1E-3</v>
      </c>
    </row>
    <row r="469" spans="2:5">
      <c r="B469" s="87"/>
      <c r="C469" s="52" t="s">
        <v>142</v>
      </c>
      <c r="D469" s="55">
        <v>2</v>
      </c>
      <c r="E469" s="54">
        <v>0</v>
      </c>
    </row>
    <row r="470" spans="2:5">
      <c r="B470" s="87"/>
      <c r="C470" s="52" t="s">
        <v>155</v>
      </c>
      <c r="D470" s="55">
        <v>1</v>
      </c>
      <c r="E470" s="54">
        <v>0</v>
      </c>
    </row>
    <row r="471" spans="2:5">
      <c r="B471" s="87"/>
      <c r="C471" s="52" t="s">
        <v>157</v>
      </c>
      <c r="D471" s="55">
        <v>1</v>
      </c>
      <c r="E471" s="54">
        <v>0</v>
      </c>
    </row>
    <row r="472" spans="2:5">
      <c r="B472" s="87"/>
      <c r="C472" s="52" t="s">
        <v>147</v>
      </c>
      <c r="D472" s="55">
        <v>1</v>
      </c>
      <c r="E472" s="54">
        <v>0</v>
      </c>
    </row>
    <row r="473" spans="2:5">
      <c r="B473" s="87"/>
      <c r="C473" s="52" t="s">
        <v>148</v>
      </c>
      <c r="D473" s="55">
        <v>1</v>
      </c>
      <c r="E473" s="54">
        <v>0</v>
      </c>
    </row>
    <row r="474" spans="2:5">
      <c r="B474" s="86"/>
      <c r="C474" s="68" t="s">
        <v>307</v>
      </c>
      <c r="D474" s="66">
        <v>18</v>
      </c>
      <c r="E474" s="69">
        <v>1E-3</v>
      </c>
    </row>
    <row r="475" spans="2:5">
      <c r="B475" s="85" t="s">
        <v>123</v>
      </c>
      <c r="C475" s="52" t="s">
        <v>144</v>
      </c>
      <c r="D475" s="55">
        <v>13</v>
      </c>
      <c r="E475" s="54">
        <v>1E-3</v>
      </c>
    </row>
    <row r="476" spans="2:5">
      <c r="B476" s="87"/>
      <c r="C476" s="52" t="s">
        <v>154</v>
      </c>
      <c r="D476" s="55">
        <v>1</v>
      </c>
      <c r="E476" s="54">
        <v>0</v>
      </c>
    </row>
    <row r="477" spans="2:5">
      <c r="B477" s="87"/>
      <c r="C477" s="52" t="s">
        <v>143</v>
      </c>
      <c r="D477" s="55">
        <v>1</v>
      </c>
      <c r="E477" s="54">
        <v>0</v>
      </c>
    </row>
    <row r="478" spans="2:5">
      <c r="B478" s="87"/>
      <c r="C478" s="52" t="s">
        <v>147</v>
      </c>
      <c r="D478" s="55">
        <v>1</v>
      </c>
      <c r="E478" s="54">
        <v>0</v>
      </c>
    </row>
    <row r="479" spans="2:5">
      <c r="B479" s="86"/>
      <c r="C479" s="68" t="s">
        <v>307</v>
      </c>
      <c r="D479" s="66">
        <v>16</v>
      </c>
      <c r="E479" s="69">
        <v>1E-3</v>
      </c>
    </row>
    <row r="480" spans="2:5">
      <c r="B480" s="85" t="s">
        <v>121</v>
      </c>
      <c r="C480" s="52" t="s">
        <v>144</v>
      </c>
      <c r="D480" s="55">
        <v>9</v>
      </c>
      <c r="E480" s="54">
        <v>1E-3</v>
      </c>
    </row>
    <row r="481" spans="2:5">
      <c r="B481" s="87"/>
      <c r="C481" s="52" t="s">
        <v>167</v>
      </c>
      <c r="D481" s="55">
        <v>1</v>
      </c>
      <c r="E481" s="54">
        <v>0</v>
      </c>
    </row>
    <row r="482" spans="2:5">
      <c r="B482" s="87"/>
      <c r="C482" s="52" t="s">
        <v>175</v>
      </c>
      <c r="D482" s="55">
        <v>1</v>
      </c>
      <c r="E482" s="54">
        <v>0</v>
      </c>
    </row>
    <row r="483" spans="2:5">
      <c r="B483" s="87"/>
      <c r="C483" s="52" t="s">
        <v>154</v>
      </c>
      <c r="D483" s="55">
        <v>1</v>
      </c>
      <c r="E483" s="54">
        <v>0</v>
      </c>
    </row>
    <row r="484" spans="2:5">
      <c r="B484" s="87"/>
      <c r="C484" s="52" t="s">
        <v>141</v>
      </c>
      <c r="D484" s="55">
        <v>1</v>
      </c>
      <c r="E484" s="54">
        <v>0</v>
      </c>
    </row>
    <row r="485" spans="2:5">
      <c r="B485" s="87"/>
      <c r="C485" s="52" t="s">
        <v>142</v>
      </c>
      <c r="D485" s="55">
        <v>1</v>
      </c>
      <c r="E485" s="54">
        <v>0</v>
      </c>
    </row>
    <row r="486" spans="2:5">
      <c r="B486" s="87"/>
      <c r="C486" s="52" t="s">
        <v>157</v>
      </c>
      <c r="D486" s="55">
        <v>1</v>
      </c>
      <c r="E486" s="54">
        <v>0</v>
      </c>
    </row>
    <row r="487" spans="2:5">
      <c r="B487" s="86"/>
      <c r="C487" s="68" t="s">
        <v>307</v>
      </c>
      <c r="D487" s="66">
        <v>15</v>
      </c>
      <c r="E487" s="69">
        <v>1E-3</v>
      </c>
    </row>
    <row r="488" spans="2:5">
      <c r="B488" s="85" t="s">
        <v>113</v>
      </c>
      <c r="C488" s="52" t="s">
        <v>144</v>
      </c>
      <c r="D488" s="55">
        <v>7</v>
      </c>
      <c r="E488" s="54">
        <v>0</v>
      </c>
    </row>
    <row r="489" spans="2:5">
      <c r="B489" s="87"/>
      <c r="C489" s="52" t="s">
        <v>142</v>
      </c>
      <c r="D489" s="55">
        <v>1</v>
      </c>
      <c r="E489" s="54">
        <v>0</v>
      </c>
    </row>
    <row r="490" spans="2:5">
      <c r="B490" s="86"/>
      <c r="C490" s="68" t="s">
        <v>307</v>
      </c>
      <c r="D490" s="66">
        <v>8</v>
      </c>
      <c r="E490" s="69">
        <v>1E-3</v>
      </c>
    </row>
    <row r="491" spans="2:5">
      <c r="B491" s="85" t="s">
        <v>101</v>
      </c>
      <c r="C491" s="52" t="s">
        <v>142</v>
      </c>
      <c r="D491" s="55">
        <v>2</v>
      </c>
      <c r="E491" s="54">
        <v>0</v>
      </c>
    </row>
    <row r="492" spans="2:5">
      <c r="B492" s="87"/>
      <c r="C492" s="52" t="s">
        <v>143</v>
      </c>
      <c r="D492" s="55">
        <v>2</v>
      </c>
      <c r="E492" s="54">
        <v>0</v>
      </c>
    </row>
    <row r="493" spans="2:5">
      <c r="B493" s="87"/>
      <c r="C493" s="52" t="s">
        <v>144</v>
      </c>
      <c r="D493" s="55">
        <v>2</v>
      </c>
      <c r="E493" s="54">
        <v>0</v>
      </c>
    </row>
    <row r="494" spans="2:5">
      <c r="B494" s="87"/>
      <c r="C494" s="52" t="s">
        <v>151</v>
      </c>
      <c r="D494" s="55">
        <v>1</v>
      </c>
      <c r="E494" s="54">
        <v>0</v>
      </c>
    </row>
    <row r="495" spans="2:5">
      <c r="B495" s="86"/>
      <c r="C495" s="68" t="s">
        <v>307</v>
      </c>
      <c r="D495" s="66">
        <v>7</v>
      </c>
      <c r="E495" s="69">
        <v>0</v>
      </c>
    </row>
    <row r="496" spans="2:5">
      <c r="B496" s="85" t="s">
        <v>129</v>
      </c>
      <c r="C496" s="52" t="s">
        <v>144</v>
      </c>
      <c r="D496" s="55">
        <v>4</v>
      </c>
      <c r="E496" s="54">
        <v>0</v>
      </c>
    </row>
    <row r="497" spans="2:5">
      <c r="B497" s="87"/>
      <c r="C497" s="52" t="s">
        <v>151</v>
      </c>
      <c r="D497" s="55">
        <v>2</v>
      </c>
      <c r="E497" s="54">
        <v>0</v>
      </c>
    </row>
    <row r="498" spans="2:5">
      <c r="B498" s="87"/>
      <c r="C498" s="52" t="s">
        <v>148</v>
      </c>
      <c r="D498" s="55">
        <v>1</v>
      </c>
      <c r="E498" s="54">
        <v>0</v>
      </c>
    </row>
    <row r="499" spans="2:5">
      <c r="B499" s="86"/>
      <c r="C499" s="68" t="s">
        <v>307</v>
      </c>
      <c r="D499" s="66">
        <v>7</v>
      </c>
      <c r="E499" s="69">
        <v>0</v>
      </c>
    </row>
    <row r="500" spans="2:5">
      <c r="B500" s="85" t="s">
        <v>73</v>
      </c>
      <c r="C500" s="52" t="s">
        <v>157</v>
      </c>
      <c r="D500" s="55">
        <v>2</v>
      </c>
      <c r="E500" s="54">
        <v>0</v>
      </c>
    </row>
    <row r="501" spans="2:5">
      <c r="B501" s="87"/>
      <c r="C501" s="52" t="s">
        <v>144</v>
      </c>
      <c r="D501" s="55">
        <v>2</v>
      </c>
      <c r="E501" s="54">
        <v>0</v>
      </c>
    </row>
    <row r="502" spans="2:5">
      <c r="B502" s="87"/>
      <c r="C502" s="52" t="s">
        <v>151</v>
      </c>
      <c r="D502" s="55">
        <v>1</v>
      </c>
      <c r="E502" s="54">
        <v>0</v>
      </c>
    </row>
    <row r="503" spans="2:5">
      <c r="B503" s="87"/>
      <c r="C503" s="52" t="s">
        <v>159</v>
      </c>
      <c r="D503" s="55">
        <v>1</v>
      </c>
      <c r="E503" s="54">
        <v>0</v>
      </c>
    </row>
    <row r="504" spans="2:5">
      <c r="B504" s="87"/>
      <c r="C504" s="52" t="s">
        <v>147</v>
      </c>
      <c r="D504" s="55">
        <v>1</v>
      </c>
      <c r="E504" s="54">
        <v>0</v>
      </c>
    </row>
    <row r="505" spans="2:5">
      <c r="B505" s="86"/>
      <c r="C505" s="68" t="s">
        <v>307</v>
      </c>
      <c r="D505" s="66">
        <v>7</v>
      </c>
      <c r="E505" s="69">
        <v>0</v>
      </c>
    </row>
    <row r="506" spans="2:5">
      <c r="B506" s="85" t="s">
        <v>125</v>
      </c>
      <c r="C506" s="52" t="s">
        <v>164</v>
      </c>
      <c r="D506" s="55">
        <v>2</v>
      </c>
      <c r="E506" s="54">
        <v>0</v>
      </c>
    </row>
    <row r="507" spans="2:5">
      <c r="B507" s="87"/>
      <c r="C507" s="52" t="s">
        <v>161</v>
      </c>
      <c r="D507" s="55">
        <v>1</v>
      </c>
      <c r="E507" s="54">
        <v>0</v>
      </c>
    </row>
    <row r="508" spans="2:5">
      <c r="B508" s="87"/>
      <c r="C508" s="52" t="s">
        <v>143</v>
      </c>
      <c r="D508" s="55">
        <v>1</v>
      </c>
      <c r="E508" s="54">
        <v>0</v>
      </c>
    </row>
    <row r="509" spans="2:5">
      <c r="B509" s="87"/>
      <c r="C509" s="52" t="s">
        <v>147</v>
      </c>
      <c r="D509" s="55">
        <v>1</v>
      </c>
      <c r="E509" s="54">
        <v>0</v>
      </c>
    </row>
    <row r="510" spans="2:5">
      <c r="B510" s="86"/>
      <c r="C510" s="68" t="s">
        <v>307</v>
      </c>
      <c r="D510" s="66">
        <v>5</v>
      </c>
      <c r="E510" s="69">
        <v>0</v>
      </c>
    </row>
    <row r="511" spans="2:5">
      <c r="B511" s="85" t="s">
        <v>128</v>
      </c>
      <c r="C511" s="52" t="s">
        <v>144</v>
      </c>
      <c r="D511" s="55">
        <v>2</v>
      </c>
      <c r="E511" s="54">
        <v>0</v>
      </c>
    </row>
    <row r="512" spans="2:5">
      <c r="B512" s="87"/>
      <c r="C512" s="52" t="s">
        <v>141</v>
      </c>
      <c r="D512" s="55">
        <v>1</v>
      </c>
      <c r="E512" s="54">
        <v>0</v>
      </c>
    </row>
    <row r="513" spans="2:5">
      <c r="B513" s="87"/>
      <c r="C513" s="52" t="s">
        <v>155</v>
      </c>
      <c r="D513" s="55">
        <v>1</v>
      </c>
      <c r="E513" s="54">
        <v>0</v>
      </c>
    </row>
    <row r="514" spans="2:5">
      <c r="B514" s="87"/>
      <c r="C514" s="52" t="s">
        <v>142</v>
      </c>
      <c r="D514" s="55">
        <v>1</v>
      </c>
      <c r="E514" s="54">
        <v>0</v>
      </c>
    </row>
    <row r="515" spans="2:5">
      <c r="B515" s="86"/>
      <c r="C515" s="68" t="s">
        <v>307</v>
      </c>
      <c r="D515" s="66">
        <v>5</v>
      </c>
      <c r="E515" s="69">
        <v>0</v>
      </c>
    </row>
    <row r="516" spans="2:5">
      <c r="B516" s="85" t="s">
        <v>102</v>
      </c>
      <c r="C516" s="52" t="s">
        <v>144</v>
      </c>
      <c r="D516" s="55">
        <v>3</v>
      </c>
      <c r="E516" s="54">
        <v>0</v>
      </c>
    </row>
    <row r="517" spans="2:5">
      <c r="B517" s="86"/>
      <c r="C517" s="68" t="s">
        <v>307</v>
      </c>
      <c r="D517" s="66">
        <v>3</v>
      </c>
      <c r="E517" s="69">
        <v>0</v>
      </c>
    </row>
    <row r="518" spans="2:5" ht="15" customHeight="1">
      <c r="B518" s="85" t="s">
        <v>112</v>
      </c>
      <c r="C518" s="52" t="s">
        <v>144</v>
      </c>
      <c r="D518" s="55">
        <v>3</v>
      </c>
      <c r="E518" s="54">
        <v>0</v>
      </c>
    </row>
    <row r="519" spans="2:5" ht="15" customHeight="1">
      <c r="B519" s="86"/>
      <c r="C519" s="68" t="s">
        <v>307</v>
      </c>
      <c r="D519" s="66">
        <v>3</v>
      </c>
      <c r="E519" s="69">
        <v>0</v>
      </c>
    </row>
    <row r="520" spans="2:5" ht="15" customHeight="1">
      <c r="B520" s="85" t="s">
        <v>137</v>
      </c>
      <c r="C520" s="52" t="s">
        <v>149</v>
      </c>
      <c r="D520" s="55">
        <v>1</v>
      </c>
      <c r="E520" s="54">
        <v>0</v>
      </c>
    </row>
    <row r="521" spans="2:5" ht="15" customHeight="1">
      <c r="B521" s="87"/>
      <c r="C521" s="52" t="s">
        <v>144</v>
      </c>
      <c r="D521" s="55">
        <v>1</v>
      </c>
      <c r="E521" s="54">
        <v>0</v>
      </c>
    </row>
    <row r="522" spans="2:5" ht="15" customHeight="1">
      <c r="B522" s="87"/>
      <c r="C522" s="52" t="s">
        <v>147</v>
      </c>
      <c r="D522" s="55">
        <v>1</v>
      </c>
      <c r="E522" s="54">
        <v>0</v>
      </c>
    </row>
    <row r="523" spans="2:5" ht="15" customHeight="1">
      <c r="B523" s="86"/>
      <c r="C523" s="68" t="s">
        <v>307</v>
      </c>
      <c r="D523" s="66">
        <v>3</v>
      </c>
      <c r="E523" s="69">
        <v>0</v>
      </c>
    </row>
    <row r="524" spans="2:5" ht="15" customHeight="1">
      <c r="B524" s="85" t="s">
        <v>114</v>
      </c>
      <c r="C524" s="52" t="s">
        <v>144</v>
      </c>
      <c r="D524" s="55">
        <v>1</v>
      </c>
      <c r="E524" s="54">
        <v>0</v>
      </c>
    </row>
    <row r="525" spans="2:5" ht="15" customHeight="1">
      <c r="B525" s="87"/>
      <c r="C525" s="52" t="s">
        <v>147</v>
      </c>
      <c r="D525" s="55">
        <v>1</v>
      </c>
      <c r="E525" s="54">
        <v>0</v>
      </c>
    </row>
    <row r="526" spans="2:5" ht="15" customHeight="1">
      <c r="B526" s="86"/>
      <c r="C526" s="68" t="s">
        <v>307</v>
      </c>
      <c r="D526" s="66">
        <v>2</v>
      </c>
      <c r="E526" s="69">
        <v>0</v>
      </c>
    </row>
    <row r="527" spans="2:5" ht="15" customHeight="1">
      <c r="B527" s="85" t="s">
        <v>131</v>
      </c>
      <c r="C527" s="52" t="s">
        <v>151</v>
      </c>
      <c r="D527" s="55">
        <v>1</v>
      </c>
      <c r="E527" s="54">
        <v>0</v>
      </c>
    </row>
    <row r="528" spans="2:5" ht="15" customHeight="1">
      <c r="B528" s="87"/>
      <c r="C528" s="52" t="s">
        <v>144</v>
      </c>
      <c r="D528" s="55">
        <v>1</v>
      </c>
      <c r="E528" s="54">
        <v>0</v>
      </c>
    </row>
    <row r="529" spans="2:5" ht="15" customHeight="1">
      <c r="B529" s="86"/>
      <c r="C529" s="68" t="s">
        <v>307</v>
      </c>
      <c r="D529" s="66">
        <v>2</v>
      </c>
      <c r="E529" s="69">
        <v>0</v>
      </c>
    </row>
    <row r="530" spans="2:5" ht="15" customHeight="1">
      <c r="B530" s="85" t="s">
        <v>279</v>
      </c>
      <c r="C530" s="52" t="s">
        <v>144</v>
      </c>
      <c r="D530" s="55">
        <v>1</v>
      </c>
      <c r="E530" s="54">
        <v>0</v>
      </c>
    </row>
    <row r="531" spans="2:5" ht="15" customHeight="1">
      <c r="B531" s="86"/>
      <c r="C531" s="68" t="s">
        <v>307</v>
      </c>
      <c r="D531" s="66">
        <v>1</v>
      </c>
      <c r="E531" s="69">
        <v>0</v>
      </c>
    </row>
    <row r="532" spans="2:5" ht="15" customHeight="1">
      <c r="B532" s="85" t="s">
        <v>280</v>
      </c>
      <c r="C532" s="52" t="s">
        <v>147</v>
      </c>
      <c r="D532" s="55">
        <v>1</v>
      </c>
      <c r="E532" s="54">
        <v>0</v>
      </c>
    </row>
    <row r="533" spans="2:5" ht="15" customHeight="1">
      <c r="B533" s="86"/>
      <c r="C533" s="68" t="s">
        <v>307</v>
      </c>
      <c r="D533" s="66">
        <v>1</v>
      </c>
      <c r="E533" s="69">
        <v>0</v>
      </c>
    </row>
    <row r="534" spans="2:5" ht="15" customHeight="1">
      <c r="B534" s="85" t="s">
        <v>281</v>
      </c>
      <c r="C534" s="52" t="s">
        <v>142</v>
      </c>
      <c r="D534" s="55">
        <v>1</v>
      </c>
      <c r="E534" s="54">
        <v>0</v>
      </c>
    </row>
    <row r="535" spans="2:5" ht="15" customHeight="1">
      <c r="B535" s="86"/>
      <c r="C535" s="68" t="s">
        <v>307</v>
      </c>
      <c r="D535" s="66">
        <v>1</v>
      </c>
      <c r="E535" s="69">
        <v>0</v>
      </c>
    </row>
    <row r="536" spans="2:5" ht="15" customHeight="1">
      <c r="B536" s="85" t="s">
        <v>283</v>
      </c>
      <c r="C536" s="52" t="s">
        <v>144</v>
      </c>
      <c r="D536" s="55">
        <v>1</v>
      </c>
      <c r="E536" s="54">
        <v>0</v>
      </c>
    </row>
    <row r="537" spans="2:5" ht="15" customHeight="1">
      <c r="B537" s="86"/>
      <c r="C537" s="68" t="s">
        <v>307</v>
      </c>
      <c r="D537" s="66">
        <v>1</v>
      </c>
      <c r="E537" s="69">
        <v>0</v>
      </c>
    </row>
    <row r="538" spans="2:5" ht="15" customHeight="1">
      <c r="B538" s="102" t="s">
        <v>307</v>
      </c>
      <c r="C538" s="103"/>
      <c r="D538" s="40">
        <v>14141</v>
      </c>
      <c r="E538" s="57">
        <v>1</v>
      </c>
    </row>
    <row r="539" spans="2:5" ht="15" customHeight="1">
      <c r="B539" s="46"/>
      <c r="C539" s="46"/>
      <c r="D539" s="46"/>
      <c r="E539" s="46"/>
    </row>
    <row r="540" spans="2:5" ht="15" customHeight="1">
      <c r="B540" s="34" t="s">
        <v>277</v>
      </c>
      <c r="C540" s="46"/>
      <c r="D540" s="46"/>
      <c r="E540" s="46"/>
    </row>
    <row r="541" spans="2:5" ht="15" customHeight="1">
      <c r="B541" s="35" t="s">
        <v>18</v>
      </c>
      <c r="C541" s="46"/>
      <c r="D541" s="46"/>
      <c r="E541" s="46"/>
    </row>
    <row r="542" spans="2:5" ht="15" customHeight="1">
      <c r="B542" s="32" t="s">
        <v>46</v>
      </c>
      <c r="C542" s="46"/>
      <c r="D542" s="46"/>
      <c r="E542" s="46"/>
    </row>
    <row r="543" spans="2:5" ht="15" customHeight="1">
      <c r="B543" s="34" t="s">
        <v>17</v>
      </c>
      <c r="C543" s="46"/>
      <c r="D543" s="46"/>
      <c r="E543" s="46"/>
    </row>
    <row r="544" spans="2:5" ht="15" customHeight="1">
      <c r="B544" s="34" t="s">
        <v>308</v>
      </c>
      <c r="C544" s="46"/>
      <c r="D544" s="46"/>
      <c r="E544" s="46"/>
    </row>
  </sheetData>
  <mergeCells count="49">
    <mergeCell ref="B538:C538"/>
    <mergeCell ref="B235:B251"/>
    <mergeCell ref="B252:B270"/>
    <mergeCell ref="B271:B285"/>
    <mergeCell ref="B286:B303"/>
    <mergeCell ref="B304:B317"/>
    <mergeCell ref="B142:B160"/>
    <mergeCell ref="B161:B181"/>
    <mergeCell ref="B182:B197"/>
    <mergeCell ref="B198:B217"/>
    <mergeCell ref="B218:B234"/>
    <mergeCell ref="B7:E8"/>
    <mergeCell ref="B10:B63"/>
    <mergeCell ref="B64:B87"/>
    <mergeCell ref="B88:B118"/>
    <mergeCell ref="B119:B141"/>
    <mergeCell ref="B318:B330"/>
    <mergeCell ref="B331:B341"/>
    <mergeCell ref="B342:B352"/>
    <mergeCell ref="B353:B365"/>
    <mergeCell ref="B366:B378"/>
    <mergeCell ref="B379:B389"/>
    <mergeCell ref="B390:B396"/>
    <mergeCell ref="B397:B401"/>
    <mergeCell ref="B402:B409"/>
    <mergeCell ref="B410:B422"/>
    <mergeCell ref="B423:B432"/>
    <mergeCell ref="B433:B443"/>
    <mergeCell ref="B444:B452"/>
    <mergeCell ref="B453:B459"/>
    <mergeCell ref="B460:B467"/>
    <mergeCell ref="B468:B474"/>
    <mergeCell ref="B475:B479"/>
    <mergeCell ref="B480:B487"/>
    <mergeCell ref="B488:B490"/>
    <mergeCell ref="B491:B495"/>
    <mergeCell ref="B496:B499"/>
    <mergeCell ref="B500:B505"/>
    <mergeCell ref="B506:B510"/>
    <mergeCell ref="B511:B515"/>
    <mergeCell ref="B516:B517"/>
    <mergeCell ref="B530:B531"/>
    <mergeCell ref="B532:B533"/>
    <mergeCell ref="B534:B535"/>
    <mergeCell ref="B536:B537"/>
    <mergeCell ref="B518:B519"/>
    <mergeCell ref="B520:B523"/>
    <mergeCell ref="B524:B526"/>
    <mergeCell ref="B527:B5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FFFF00"/>
  </sheetPr>
  <dimension ref="A1:F748"/>
  <sheetViews>
    <sheetView showGridLines="0" view="pageBreakPreview" zoomScale="115" zoomScaleNormal="100" zoomScaleSheetLayoutView="115" workbookViewId="0">
      <selection activeCell="D12" sqref="D12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6" s="22" customFormat="1" ht="12" customHeight="1">
      <c r="B1" s="24"/>
      <c r="C1" s="21"/>
      <c r="D1" s="21"/>
      <c r="E1" s="21"/>
    </row>
    <row r="2" spans="1:6" s="22" customFormat="1" ht="15" customHeight="1">
      <c r="C2" s="26"/>
    </row>
    <row r="3" spans="1:6" s="22" customFormat="1" ht="15" customHeight="1">
      <c r="C3" s="26"/>
    </row>
    <row r="4" spans="1:6" s="22" customFormat="1" ht="30" customHeight="1">
      <c r="C4" s="26"/>
      <c r="D4" s="25"/>
    </row>
    <row r="5" spans="1:6" s="22" customFormat="1" ht="15" customHeight="1">
      <c r="C5" s="26"/>
      <c r="D5" s="25"/>
    </row>
    <row r="6" spans="1:6" s="22" customFormat="1" ht="24" customHeight="1">
      <c r="B6" s="41"/>
      <c r="C6" s="42"/>
      <c r="D6" s="42"/>
      <c r="E6" s="42"/>
    </row>
    <row r="7" spans="1:6" s="22" customFormat="1" ht="26.25" customHeight="1">
      <c r="A7" s="23"/>
      <c r="B7" s="88"/>
      <c r="C7" s="88"/>
      <c r="D7" s="88"/>
      <c r="E7" s="88"/>
      <c r="F7" s="22" t="s">
        <v>40</v>
      </c>
    </row>
    <row r="8" spans="1:6" s="22" customFormat="1" ht="33" customHeight="1">
      <c r="A8" s="23"/>
      <c r="B8" s="88"/>
      <c r="C8" s="88"/>
      <c r="D8" s="88"/>
      <c r="E8" s="88"/>
    </row>
    <row r="9" spans="1:6" s="16" customFormat="1" ht="40.5" customHeight="1">
      <c r="B9" s="43" t="s">
        <v>22</v>
      </c>
      <c r="C9" s="44" t="s">
        <v>24</v>
      </c>
      <c r="D9" s="45" t="s">
        <v>20</v>
      </c>
      <c r="E9" s="43" t="s">
        <v>19</v>
      </c>
    </row>
    <row r="10" spans="1:6" ht="15" customHeight="1">
      <c r="B10" s="85" t="s">
        <v>68</v>
      </c>
      <c r="C10" s="52" t="s">
        <v>175</v>
      </c>
      <c r="D10" s="55">
        <v>1</v>
      </c>
      <c r="E10" s="54">
        <v>0</v>
      </c>
    </row>
    <row r="11" spans="1:6" ht="15" customHeight="1">
      <c r="B11" s="87"/>
      <c r="C11" s="52" t="s">
        <v>162</v>
      </c>
      <c r="D11" s="55">
        <v>1</v>
      </c>
      <c r="E11" s="54">
        <v>0</v>
      </c>
    </row>
    <row r="12" spans="1:6" ht="15" customHeight="1">
      <c r="B12" s="87"/>
      <c r="C12" s="52" t="s">
        <v>150</v>
      </c>
      <c r="D12" s="55">
        <v>4</v>
      </c>
      <c r="E12" s="54">
        <v>0</v>
      </c>
    </row>
    <row r="13" spans="1:6" ht="15" customHeight="1">
      <c r="B13" s="87"/>
      <c r="C13" s="52" t="s">
        <v>155</v>
      </c>
      <c r="D13" s="55">
        <v>1</v>
      </c>
      <c r="E13" s="54">
        <v>0</v>
      </c>
    </row>
    <row r="14" spans="1:6" ht="15" customHeight="1">
      <c r="B14" s="87"/>
      <c r="C14" s="52" t="s">
        <v>142</v>
      </c>
      <c r="D14" s="55">
        <v>3</v>
      </c>
      <c r="E14" s="54">
        <v>0</v>
      </c>
    </row>
    <row r="15" spans="1:6" ht="15" customHeight="1">
      <c r="B15" s="87"/>
      <c r="C15" s="52" t="s">
        <v>180</v>
      </c>
      <c r="D15" s="55">
        <v>1</v>
      </c>
      <c r="E15" s="54">
        <v>0</v>
      </c>
    </row>
    <row r="16" spans="1:6" ht="15" customHeight="1">
      <c r="B16" s="87"/>
      <c r="C16" s="52" t="s">
        <v>143</v>
      </c>
      <c r="D16" s="55">
        <v>5</v>
      </c>
      <c r="E16" s="54">
        <v>0</v>
      </c>
    </row>
    <row r="17" spans="2:5" ht="15" customHeight="1">
      <c r="B17" s="87"/>
      <c r="C17" s="52" t="s">
        <v>157</v>
      </c>
      <c r="D17" s="55">
        <v>1</v>
      </c>
      <c r="E17" s="54">
        <v>0</v>
      </c>
    </row>
    <row r="18" spans="2:5" ht="15" customHeight="1">
      <c r="B18" s="87"/>
      <c r="C18" s="52" t="s">
        <v>151</v>
      </c>
      <c r="D18" s="55">
        <v>2</v>
      </c>
      <c r="E18" s="54">
        <v>0</v>
      </c>
    </row>
    <row r="19" spans="2:5" ht="15" customHeight="1">
      <c r="B19" s="87"/>
      <c r="C19" s="52" t="s">
        <v>144</v>
      </c>
      <c r="D19" s="55">
        <v>17</v>
      </c>
      <c r="E19" s="54">
        <v>1E-3</v>
      </c>
    </row>
    <row r="20" spans="2:5" ht="15" customHeight="1">
      <c r="B20" s="87"/>
      <c r="C20" s="52" t="s">
        <v>166</v>
      </c>
      <c r="D20" s="55">
        <v>1</v>
      </c>
      <c r="E20" s="54">
        <v>0</v>
      </c>
    </row>
    <row r="21" spans="2:5" ht="15" customHeight="1">
      <c r="B21" s="87"/>
      <c r="C21" s="52" t="s">
        <v>148</v>
      </c>
      <c r="D21" s="55">
        <v>2</v>
      </c>
      <c r="E21" s="54">
        <v>0</v>
      </c>
    </row>
    <row r="22" spans="2:5" ht="15" customHeight="1">
      <c r="B22" s="86"/>
      <c r="C22" s="68" t="s">
        <v>307</v>
      </c>
      <c r="D22" s="70">
        <v>39</v>
      </c>
      <c r="E22" s="69">
        <v>3.0000000000000001E-3</v>
      </c>
    </row>
    <row r="23" spans="2:5" ht="15" customHeight="1">
      <c r="B23" s="85" t="s">
        <v>57</v>
      </c>
      <c r="C23" s="52" t="s">
        <v>149</v>
      </c>
      <c r="D23" s="55">
        <v>1</v>
      </c>
      <c r="E23" s="54">
        <v>0</v>
      </c>
    </row>
    <row r="24" spans="2:5" ht="15" customHeight="1">
      <c r="B24" s="87"/>
      <c r="C24" s="52" t="s">
        <v>153</v>
      </c>
      <c r="D24" s="55">
        <v>3</v>
      </c>
      <c r="E24" s="54">
        <v>0</v>
      </c>
    </row>
    <row r="25" spans="2:5" ht="15" customHeight="1">
      <c r="B25" s="87"/>
      <c r="C25" s="52" t="s">
        <v>171</v>
      </c>
      <c r="D25" s="55">
        <v>1</v>
      </c>
      <c r="E25" s="54">
        <v>0</v>
      </c>
    </row>
    <row r="26" spans="2:5" ht="15" customHeight="1">
      <c r="B26" s="87"/>
      <c r="C26" s="52" t="s">
        <v>175</v>
      </c>
      <c r="D26" s="55">
        <v>3</v>
      </c>
      <c r="E26" s="54">
        <v>0</v>
      </c>
    </row>
    <row r="27" spans="2:5" ht="15" customHeight="1">
      <c r="B27" s="87"/>
      <c r="C27" s="52" t="s">
        <v>160</v>
      </c>
      <c r="D27" s="55">
        <v>1</v>
      </c>
      <c r="E27" s="54">
        <v>0</v>
      </c>
    </row>
    <row r="28" spans="2:5" ht="15" customHeight="1">
      <c r="B28" s="87"/>
      <c r="C28" s="52" t="s">
        <v>154</v>
      </c>
      <c r="D28" s="55">
        <v>10</v>
      </c>
      <c r="E28" s="54">
        <v>1E-3</v>
      </c>
    </row>
    <row r="29" spans="2:5" ht="15" customHeight="1">
      <c r="B29" s="87"/>
      <c r="C29" s="52" t="s">
        <v>161</v>
      </c>
      <c r="D29" s="55">
        <v>1</v>
      </c>
      <c r="E29" s="54">
        <v>0</v>
      </c>
    </row>
    <row r="30" spans="2:5" ht="15" customHeight="1">
      <c r="B30" s="87"/>
      <c r="C30" s="52" t="s">
        <v>141</v>
      </c>
      <c r="D30" s="55">
        <v>23</v>
      </c>
      <c r="E30" s="54">
        <v>2E-3</v>
      </c>
    </row>
    <row r="31" spans="2:5" ht="15" customHeight="1">
      <c r="B31" s="87"/>
      <c r="C31" s="52" t="s">
        <v>150</v>
      </c>
      <c r="D31" s="55">
        <v>18</v>
      </c>
      <c r="E31" s="54">
        <v>1E-3</v>
      </c>
    </row>
    <row r="32" spans="2:5" ht="15" customHeight="1">
      <c r="B32" s="87"/>
      <c r="C32" s="52" t="s">
        <v>176</v>
      </c>
      <c r="D32" s="55">
        <v>1</v>
      </c>
      <c r="E32" s="54">
        <v>0</v>
      </c>
    </row>
    <row r="33" spans="2:5" ht="15" customHeight="1">
      <c r="B33" s="87"/>
      <c r="C33" s="52" t="s">
        <v>155</v>
      </c>
      <c r="D33" s="55">
        <v>1</v>
      </c>
      <c r="E33" s="54">
        <v>0</v>
      </c>
    </row>
    <row r="34" spans="2:5" ht="15" customHeight="1">
      <c r="B34" s="87"/>
      <c r="C34" s="52" t="s">
        <v>142</v>
      </c>
      <c r="D34" s="55">
        <v>7</v>
      </c>
      <c r="E34" s="54">
        <v>0</v>
      </c>
    </row>
    <row r="35" spans="2:5" ht="15" customHeight="1">
      <c r="B35" s="87"/>
      <c r="C35" s="52" t="s">
        <v>180</v>
      </c>
      <c r="D35" s="55">
        <v>2</v>
      </c>
      <c r="E35" s="54">
        <v>0</v>
      </c>
    </row>
    <row r="36" spans="2:5" ht="15" customHeight="1">
      <c r="B36" s="87"/>
      <c r="C36" s="52" t="s">
        <v>173</v>
      </c>
      <c r="D36" s="55">
        <v>4</v>
      </c>
      <c r="E36" s="54">
        <v>0</v>
      </c>
    </row>
    <row r="37" spans="2:5" ht="15" customHeight="1">
      <c r="B37" s="87"/>
      <c r="C37" s="52" t="s">
        <v>168</v>
      </c>
      <c r="D37" s="55">
        <v>1</v>
      </c>
      <c r="E37" s="54">
        <v>0</v>
      </c>
    </row>
    <row r="38" spans="2:5" ht="15" customHeight="1">
      <c r="B38" s="87"/>
      <c r="C38" s="52" t="s">
        <v>182</v>
      </c>
      <c r="D38" s="55">
        <v>1</v>
      </c>
      <c r="E38" s="54">
        <v>0</v>
      </c>
    </row>
    <row r="39" spans="2:5" ht="15" customHeight="1">
      <c r="B39" s="87"/>
      <c r="C39" s="52" t="s">
        <v>143</v>
      </c>
      <c r="D39" s="55">
        <v>13</v>
      </c>
      <c r="E39" s="54">
        <v>1E-3</v>
      </c>
    </row>
    <row r="40" spans="2:5" ht="15" customHeight="1">
      <c r="B40" s="87"/>
      <c r="C40" s="52" t="s">
        <v>163</v>
      </c>
      <c r="D40" s="55">
        <v>1</v>
      </c>
      <c r="E40" s="54">
        <v>0</v>
      </c>
    </row>
    <row r="41" spans="2:5" ht="15" customHeight="1">
      <c r="B41" s="87"/>
      <c r="C41" s="52" t="s">
        <v>164</v>
      </c>
      <c r="D41" s="55">
        <v>1</v>
      </c>
      <c r="E41" s="54">
        <v>0</v>
      </c>
    </row>
    <row r="42" spans="2:5" ht="15" customHeight="1">
      <c r="B42" s="87"/>
      <c r="C42" s="52" t="s">
        <v>158</v>
      </c>
      <c r="D42" s="55">
        <v>3</v>
      </c>
      <c r="E42" s="54">
        <v>0</v>
      </c>
    </row>
    <row r="43" spans="2:5" ht="15" customHeight="1">
      <c r="B43" s="87"/>
      <c r="C43" s="52" t="s">
        <v>151</v>
      </c>
      <c r="D43" s="55">
        <v>5</v>
      </c>
      <c r="E43" s="54">
        <v>0</v>
      </c>
    </row>
    <row r="44" spans="2:5" ht="15" customHeight="1">
      <c r="B44" s="87"/>
      <c r="C44" s="52" t="s">
        <v>144</v>
      </c>
      <c r="D44" s="55">
        <v>107</v>
      </c>
      <c r="E44" s="54">
        <v>8.0000000000000002E-3</v>
      </c>
    </row>
    <row r="45" spans="2:5" ht="15" customHeight="1">
      <c r="B45" s="87"/>
      <c r="C45" s="52" t="s">
        <v>146</v>
      </c>
      <c r="D45" s="55">
        <v>4</v>
      </c>
      <c r="E45" s="54">
        <v>0</v>
      </c>
    </row>
    <row r="46" spans="2:5" ht="15" customHeight="1">
      <c r="B46" s="87"/>
      <c r="C46" s="52" t="s">
        <v>147</v>
      </c>
      <c r="D46" s="55">
        <v>20</v>
      </c>
      <c r="E46" s="54">
        <v>1E-3</v>
      </c>
    </row>
    <row r="47" spans="2:5" ht="15" customHeight="1">
      <c r="B47" s="87"/>
      <c r="C47" s="52" t="s">
        <v>148</v>
      </c>
      <c r="D47" s="55">
        <v>6</v>
      </c>
      <c r="E47" s="54">
        <v>0</v>
      </c>
    </row>
    <row r="48" spans="2:5" ht="15" customHeight="1">
      <c r="B48" s="87"/>
      <c r="C48" s="52" t="s">
        <v>152</v>
      </c>
      <c r="D48" s="55">
        <v>1</v>
      </c>
      <c r="E48" s="54">
        <v>0</v>
      </c>
    </row>
    <row r="49" spans="2:5" ht="15" customHeight="1">
      <c r="B49" s="86"/>
      <c r="C49" s="68" t="s">
        <v>307</v>
      </c>
      <c r="D49" s="70">
        <v>239</v>
      </c>
      <c r="E49" s="69">
        <v>1.7000000000000001E-2</v>
      </c>
    </row>
    <row r="50" spans="2:5" ht="15" customHeight="1">
      <c r="B50" s="85" t="s">
        <v>53</v>
      </c>
      <c r="C50" s="52" t="s">
        <v>170</v>
      </c>
      <c r="D50" s="55">
        <v>1</v>
      </c>
      <c r="E50" s="54">
        <v>0</v>
      </c>
    </row>
    <row r="51" spans="2:5" ht="15" customHeight="1">
      <c r="B51" s="87"/>
      <c r="C51" s="52" t="s">
        <v>153</v>
      </c>
      <c r="D51" s="55">
        <v>3</v>
      </c>
      <c r="E51" s="54">
        <v>0</v>
      </c>
    </row>
    <row r="52" spans="2:5" ht="15" customHeight="1">
      <c r="B52" s="87"/>
      <c r="C52" s="52" t="s">
        <v>171</v>
      </c>
      <c r="D52" s="55">
        <v>3</v>
      </c>
      <c r="E52" s="54">
        <v>0</v>
      </c>
    </row>
    <row r="53" spans="2:5" ht="15" customHeight="1">
      <c r="B53" s="87"/>
      <c r="C53" s="52" t="s">
        <v>175</v>
      </c>
      <c r="D53" s="55">
        <v>2</v>
      </c>
      <c r="E53" s="54">
        <v>0</v>
      </c>
    </row>
    <row r="54" spans="2:5" ht="15" customHeight="1">
      <c r="B54" s="87"/>
      <c r="C54" s="52" t="s">
        <v>154</v>
      </c>
      <c r="D54" s="55">
        <v>3</v>
      </c>
      <c r="E54" s="54">
        <v>0</v>
      </c>
    </row>
    <row r="55" spans="2:5" ht="15" customHeight="1">
      <c r="B55" s="87"/>
      <c r="C55" s="52" t="s">
        <v>161</v>
      </c>
      <c r="D55" s="55">
        <v>2</v>
      </c>
      <c r="E55" s="54">
        <v>0</v>
      </c>
    </row>
    <row r="56" spans="2:5" ht="15" customHeight="1">
      <c r="B56" s="87"/>
      <c r="C56" s="52" t="s">
        <v>284</v>
      </c>
      <c r="D56" s="55">
        <v>5</v>
      </c>
      <c r="E56" s="54">
        <v>0</v>
      </c>
    </row>
    <row r="57" spans="2:5" ht="15" customHeight="1">
      <c r="B57" s="87"/>
      <c r="C57" s="52" t="s">
        <v>141</v>
      </c>
      <c r="D57" s="55">
        <v>33</v>
      </c>
      <c r="E57" s="54">
        <v>2E-3</v>
      </c>
    </row>
    <row r="58" spans="2:5" ht="15" customHeight="1">
      <c r="B58" s="87"/>
      <c r="C58" s="52" t="s">
        <v>187</v>
      </c>
      <c r="D58" s="55">
        <v>1</v>
      </c>
      <c r="E58" s="54">
        <v>0</v>
      </c>
    </row>
    <row r="59" spans="2:5" ht="15" customHeight="1">
      <c r="B59" s="87"/>
      <c r="C59" s="52" t="s">
        <v>150</v>
      </c>
      <c r="D59" s="55">
        <v>2</v>
      </c>
      <c r="E59" s="54">
        <v>0</v>
      </c>
    </row>
    <row r="60" spans="2:5" ht="15" customHeight="1">
      <c r="B60" s="87"/>
      <c r="C60" s="52" t="s">
        <v>183</v>
      </c>
      <c r="D60" s="55">
        <v>2</v>
      </c>
      <c r="E60" s="54">
        <v>0</v>
      </c>
    </row>
    <row r="61" spans="2:5" ht="15" customHeight="1">
      <c r="B61" s="87"/>
      <c r="C61" s="52" t="s">
        <v>155</v>
      </c>
      <c r="D61" s="55">
        <v>3</v>
      </c>
      <c r="E61" s="54">
        <v>0</v>
      </c>
    </row>
    <row r="62" spans="2:5" ht="15" customHeight="1">
      <c r="B62" s="87"/>
      <c r="C62" s="52" t="s">
        <v>142</v>
      </c>
      <c r="D62" s="55">
        <v>36</v>
      </c>
      <c r="E62" s="54">
        <v>3.0000000000000001E-3</v>
      </c>
    </row>
    <row r="63" spans="2:5" ht="15" customHeight="1">
      <c r="B63" s="87"/>
      <c r="C63" s="52" t="s">
        <v>182</v>
      </c>
      <c r="D63" s="55">
        <v>3</v>
      </c>
      <c r="E63" s="54">
        <v>0</v>
      </c>
    </row>
    <row r="64" spans="2:5" ht="15" customHeight="1">
      <c r="B64" s="87"/>
      <c r="C64" s="52" t="s">
        <v>143</v>
      </c>
      <c r="D64" s="55">
        <v>11</v>
      </c>
      <c r="E64" s="54">
        <v>1E-3</v>
      </c>
    </row>
    <row r="65" spans="2:5" ht="15" customHeight="1">
      <c r="B65" s="87"/>
      <c r="C65" s="52" t="s">
        <v>158</v>
      </c>
      <c r="D65" s="55">
        <v>10</v>
      </c>
      <c r="E65" s="54">
        <v>1E-3</v>
      </c>
    </row>
    <row r="66" spans="2:5" ht="15" customHeight="1">
      <c r="B66" s="87"/>
      <c r="C66" s="52" t="s">
        <v>165</v>
      </c>
      <c r="D66" s="55">
        <v>2</v>
      </c>
      <c r="E66" s="54">
        <v>0</v>
      </c>
    </row>
    <row r="67" spans="2:5" ht="15" customHeight="1">
      <c r="B67" s="87"/>
      <c r="C67" s="52" t="s">
        <v>151</v>
      </c>
      <c r="D67" s="55">
        <v>8</v>
      </c>
      <c r="E67" s="54">
        <v>1E-3</v>
      </c>
    </row>
    <row r="68" spans="2:5" ht="15" customHeight="1">
      <c r="B68" s="87"/>
      <c r="C68" s="52" t="s">
        <v>144</v>
      </c>
      <c r="D68" s="55">
        <v>246</v>
      </c>
      <c r="E68" s="54">
        <v>1.7000000000000001E-2</v>
      </c>
    </row>
    <row r="69" spans="2:5" ht="15" customHeight="1">
      <c r="B69" s="87"/>
      <c r="C69" s="52" t="s">
        <v>146</v>
      </c>
      <c r="D69" s="55">
        <v>7</v>
      </c>
      <c r="E69" s="54">
        <v>0</v>
      </c>
    </row>
    <row r="70" spans="2:5" ht="15" customHeight="1">
      <c r="B70" s="87"/>
      <c r="C70" s="52" t="s">
        <v>147</v>
      </c>
      <c r="D70" s="55">
        <v>39</v>
      </c>
      <c r="E70" s="54">
        <v>3.0000000000000001E-3</v>
      </c>
    </row>
    <row r="71" spans="2:5" ht="15" customHeight="1">
      <c r="B71" s="87"/>
      <c r="C71" s="52" t="s">
        <v>148</v>
      </c>
      <c r="D71" s="55">
        <v>6</v>
      </c>
      <c r="E71" s="54">
        <v>0</v>
      </c>
    </row>
    <row r="72" spans="2:5" ht="15" customHeight="1">
      <c r="B72" s="87"/>
      <c r="C72" s="52" t="s">
        <v>169</v>
      </c>
      <c r="D72" s="55">
        <v>1</v>
      </c>
      <c r="E72" s="54">
        <v>0</v>
      </c>
    </row>
    <row r="73" spans="2:5" ht="15" customHeight="1">
      <c r="B73" s="87"/>
      <c r="C73" s="52" t="s">
        <v>152</v>
      </c>
      <c r="D73" s="55">
        <v>2</v>
      </c>
      <c r="E73" s="54">
        <v>0</v>
      </c>
    </row>
    <row r="74" spans="2:5" ht="15" customHeight="1">
      <c r="B74" s="87"/>
      <c r="C74" s="52" t="s">
        <v>174</v>
      </c>
      <c r="D74" s="55">
        <v>2</v>
      </c>
      <c r="E74" s="54">
        <v>0</v>
      </c>
    </row>
    <row r="75" spans="2:5" ht="15" customHeight="1">
      <c r="B75" s="86"/>
      <c r="C75" s="68" t="s">
        <v>307</v>
      </c>
      <c r="D75" s="70">
        <v>433</v>
      </c>
      <c r="E75" s="69">
        <v>3.1E-2</v>
      </c>
    </row>
    <row r="76" spans="2:5" ht="15" customHeight="1">
      <c r="B76" s="85" t="s">
        <v>79</v>
      </c>
      <c r="C76" s="52" t="s">
        <v>142</v>
      </c>
      <c r="D76" s="55">
        <v>1</v>
      </c>
      <c r="E76" s="54">
        <v>0</v>
      </c>
    </row>
    <row r="77" spans="2:5" ht="15" customHeight="1">
      <c r="B77" s="87"/>
      <c r="C77" s="52" t="s">
        <v>168</v>
      </c>
      <c r="D77" s="55">
        <v>2</v>
      </c>
      <c r="E77" s="54">
        <v>0</v>
      </c>
    </row>
    <row r="78" spans="2:5" ht="15" customHeight="1">
      <c r="B78" s="87"/>
      <c r="C78" s="52" t="s">
        <v>143</v>
      </c>
      <c r="D78" s="55">
        <v>1</v>
      </c>
      <c r="E78" s="54">
        <v>0</v>
      </c>
    </row>
    <row r="79" spans="2:5" ht="15" customHeight="1">
      <c r="B79" s="87"/>
      <c r="C79" s="52" t="s">
        <v>151</v>
      </c>
      <c r="D79" s="55">
        <v>3</v>
      </c>
      <c r="E79" s="54">
        <v>0</v>
      </c>
    </row>
    <row r="80" spans="2:5" ht="15" customHeight="1">
      <c r="B80" s="87"/>
      <c r="C80" s="52" t="s">
        <v>144</v>
      </c>
      <c r="D80" s="55">
        <v>10</v>
      </c>
      <c r="E80" s="54">
        <v>1E-3</v>
      </c>
    </row>
    <row r="81" spans="2:5" ht="15" customHeight="1">
      <c r="B81" s="87"/>
      <c r="C81" s="52" t="s">
        <v>147</v>
      </c>
      <c r="D81" s="55">
        <v>5</v>
      </c>
      <c r="E81" s="54">
        <v>0</v>
      </c>
    </row>
    <row r="82" spans="2:5" ht="15" customHeight="1">
      <c r="B82" s="86"/>
      <c r="C82" s="68" t="s">
        <v>307</v>
      </c>
      <c r="D82" s="70">
        <v>22</v>
      </c>
      <c r="E82" s="69">
        <v>2E-3</v>
      </c>
    </row>
    <row r="83" spans="2:5" ht="15" customHeight="1">
      <c r="B83" s="85" t="s">
        <v>87</v>
      </c>
      <c r="C83" s="52" t="s">
        <v>142</v>
      </c>
      <c r="D83" s="55">
        <v>3</v>
      </c>
      <c r="E83" s="54">
        <v>0</v>
      </c>
    </row>
    <row r="84" spans="2:5" ht="15" customHeight="1">
      <c r="B84" s="87"/>
      <c r="C84" s="52" t="s">
        <v>143</v>
      </c>
      <c r="D84" s="55">
        <v>2</v>
      </c>
      <c r="E84" s="54">
        <v>0</v>
      </c>
    </row>
    <row r="85" spans="2:5" ht="15" customHeight="1">
      <c r="B85" s="87"/>
      <c r="C85" s="52" t="s">
        <v>144</v>
      </c>
      <c r="D85" s="55">
        <v>5</v>
      </c>
      <c r="E85" s="54">
        <v>0</v>
      </c>
    </row>
    <row r="86" spans="2:5" ht="15" customHeight="1">
      <c r="B86" s="87"/>
      <c r="C86" s="52" t="s">
        <v>147</v>
      </c>
      <c r="D86" s="55">
        <v>1</v>
      </c>
      <c r="E86" s="54">
        <v>0</v>
      </c>
    </row>
    <row r="87" spans="2:5" ht="15" customHeight="1">
      <c r="B87" s="86"/>
      <c r="C87" s="68" t="s">
        <v>307</v>
      </c>
      <c r="D87" s="70">
        <v>11</v>
      </c>
      <c r="E87" s="69">
        <v>1E-3</v>
      </c>
    </row>
    <row r="88" spans="2:5" ht="15" customHeight="1">
      <c r="B88" s="85" t="s">
        <v>54</v>
      </c>
      <c r="C88" s="52" t="s">
        <v>170</v>
      </c>
      <c r="D88" s="55">
        <v>1</v>
      </c>
      <c r="E88" s="54">
        <v>0</v>
      </c>
    </row>
    <row r="89" spans="2:5" ht="15" customHeight="1">
      <c r="B89" s="87"/>
      <c r="C89" s="52" t="s">
        <v>149</v>
      </c>
      <c r="D89" s="55">
        <v>1</v>
      </c>
      <c r="E89" s="54">
        <v>0</v>
      </c>
    </row>
    <row r="90" spans="2:5" ht="15" customHeight="1">
      <c r="B90" s="87"/>
      <c r="C90" s="52" t="s">
        <v>153</v>
      </c>
      <c r="D90" s="55">
        <v>4</v>
      </c>
      <c r="E90" s="54">
        <v>0</v>
      </c>
    </row>
    <row r="91" spans="2:5" ht="15" customHeight="1">
      <c r="B91" s="87"/>
      <c r="C91" s="52" t="s">
        <v>175</v>
      </c>
      <c r="D91" s="55">
        <v>2</v>
      </c>
      <c r="E91" s="54">
        <v>0</v>
      </c>
    </row>
    <row r="92" spans="2:5" ht="15" customHeight="1">
      <c r="B92" s="87"/>
      <c r="C92" s="52" t="s">
        <v>160</v>
      </c>
      <c r="D92" s="55">
        <v>1</v>
      </c>
      <c r="E92" s="54">
        <v>0</v>
      </c>
    </row>
    <row r="93" spans="2:5" ht="15" customHeight="1">
      <c r="B93" s="87"/>
      <c r="C93" s="52" t="s">
        <v>154</v>
      </c>
      <c r="D93" s="55">
        <v>17</v>
      </c>
      <c r="E93" s="54">
        <v>1E-3</v>
      </c>
    </row>
    <row r="94" spans="2:5" ht="15" customHeight="1">
      <c r="B94" s="87"/>
      <c r="C94" s="52" t="s">
        <v>161</v>
      </c>
      <c r="D94" s="55">
        <v>5</v>
      </c>
      <c r="E94" s="54">
        <v>0</v>
      </c>
    </row>
    <row r="95" spans="2:5" ht="15" customHeight="1">
      <c r="B95" s="87"/>
      <c r="C95" s="52" t="s">
        <v>162</v>
      </c>
      <c r="D95" s="55">
        <v>21</v>
      </c>
      <c r="E95" s="54">
        <v>1E-3</v>
      </c>
    </row>
    <row r="96" spans="2:5" ht="15" customHeight="1">
      <c r="B96" s="87"/>
      <c r="C96" s="52" t="s">
        <v>141</v>
      </c>
      <c r="D96" s="55">
        <v>18</v>
      </c>
      <c r="E96" s="54">
        <v>1E-3</v>
      </c>
    </row>
    <row r="97" spans="2:5" ht="15" customHeight="1">
      <c r="B97" s="87"/>
      <c r="C97" s="52" t="s">
        <v>172</v>
      </c>
      <c r="D97" s="55">
        <v>2</v>
      </c>
      <c r="E97" s="54">
        <v>0</v>
      </c>
    </row>
    <row r="98" spans="2:5" ht="15" customHeight="1">
      <c r="B98" s="87"/>
      <c r="C98" s="52" t="s">
        <v>150</v>
      </c>
      <c r="D98" s="55">
        <v>5</v>
      </c>
      <c r="E98" s="54">
        <v>0</v>
      </c>
    </row>
    <row r="99" spans="2:5" ht="15" customHeight="1">
      <c r="B99" s="87"/>
      <c r="C99" s="52" t="s">
        <v>176</v>
      </c>
      <c r="D99" s="55">
        <v>9</v>
      </c>
      <c r="E99" s="54">
        <v>1E-3</v>
      </c>
    </row>
    <row r="100" spans="2:5" ht="15" customHeight="1">
      <c r="B100" s="87"/>
      <c r="C100" s="52" t="s">
        <v>155</v>
      </c>
      <c r="D100" s="55">
        <v>8</v>
      </c>
      <c r="E100" s="54">
        <v>1E-3</v>
      </c>
    </row>
    <row r="101" spans="2:5" ht="15" customHeight="1">
      <c r="B101" s="87"/>
      <c r="C101" s="52" t="s">
        <v>179</v>
      </c>
      <c r="D101" s="55">
        <v>1</v>
      </c>
      <c r="E101" s="54">
        <v>0</v>
      </c>
    </row>
    <row r="102" spans="2:5" ht="15" customHeight="1">
      <c r="B102" s="87"/>
      <c r="C102" s="52" t="s">
        <v>142</v>
      </c>
      <c r="D102" s="55">
        <v>32</v>
      </c>
      <c r="E102" s="54">
        <v>2E-3</v>
      </c>
    </row>
    <row r="103" spans="2:5" ht="15" customHeight="1">
      <c r="B103" s="87"/>
      <c r="C103" s="52" t="s">
        <v>173</v>
      </c>
      <c r="D103" s="55">
        <v>1</v>
      </c>
      <c r="E103" s="54">
        <v>0</v>
      </c>
    </row>
    <row r="104" spans="2:5" ht="15" customHeight="1">
      <c r="B104" s="87"/>
      <c r="C104" s="52" t="s">
        <v>182</v>
      </c>
      <c r="D104" s="55">
        <v>2</v>
      </c>
      <c r="E104" s="54">
        <v>0</v>
      </c>
    </row>
    <row r="105" spans="2:5" ht="15" customHeight="1">
      <c r="B105" s="87"/>
      <c r="C105" s="52" t="s">
        <v>143</v>
      </c>
      <c r="D105" s="55">
        <v>28</v>
      </c>
      <c r="E105" s="54">
        <v>2E-3</v>
      </c>
    </row>
    <row r="106" spans="2:5" ht="15" customHeight="1">
      <c r="B106" s="87"/>
      <c r="C106" s="52" t="s">
        <v>163</v>
      </c>
      <c r="D106" s="55">
        <v>3</v>
      </c>
      <c r="E106" s="54">
        <v>0</v>
      </c>
    </row>
    <row r="107" spans="2:5" ht="15" customHeight="1">
      <c r="B107" s="87"/>
      <c r="C107" s="52" t="s">
        <v>164</v>
      </c>
      <c r="D107" s="55">
        <v>2</v>
      </c>
      <c r="E107" s="54">
        <v>0</v>
      </c>
    </row>
    <row r="108" spans="2:5" ht="15" customHeight="1">
      <c r="B108" s="87"/>
      <c r="C108" s="52" t="s">
        <v>157</v>
      </c>
      <c r="D108" s="55">
        <v>5</v>
      </c>
      <c r="E108" s="54">
        <v>0</v>
      </c>
    </row>
    <row r="109" spans="2:5" ht="15" customHeight="1">
      <c r="B109" s="87"/>
      <c r="C109" s="52" t="s">
        <v>151</v>
      </c>
      <c r="D109" s="55">
        <v>28</v>
      </c>
      <c r="E109" s="54">
        <v>2E-3</v>
      </c>
    </row>
    <row r="110" spans="2:5" ht="15" customHeight="1">
      <c r="B110" s="87"/>
      <c r="C110" s="52" t="s">
        <v>144</v>
      </c>
      <c r="D110" s="55">
        <v>142</v>
      </c>
      <c r="E110" s="54">
        <v>0.01</v>
      </c>
    </row>
    <row r="111" spans="2:5" ht="15" customHeight="1">
      <c r="B111" s="87"/>
      <c r="C111" s="52" t="s">
        <v>184</v>
      </c>
      <c r="D111" s="55">
        <v>1</v>
      </c>
      <c r="E111" s="54">
        <v>0</v>
      </c>
    </row>
    <row r="112" spans="2:5" ht="15" customHeight="1">
      <c r="B112" s="87"/>
      <c r="C112" s="52" t="s">
        <v>146</v>
      </c>
      <c r="D112" s="55">
        <v>3</v>
      </c>
      <c r="E112" s="54">
        <v>0</v>
      </c>
    </row>
    <row r="113" spans="2:5" ht="15" customHeight="1">
      <c r="B113" s="87"/>
      <c r="C113" s="52" t="s">
        <v>147</v>
      </c>
      <c r="D113" s="55">
        <v>30</v>
      </c>
      <c r="E113" s="54">
        <v>2E-3</v>
      </c>
    </row>
    <row r="114" spans="2:5" ht="15" customHeight="1">
      <c r="B114" s="87"/>
      <c r="C114" s="52" t="s">
        <v>148</v>
      </c>
      <c r="D114" s="55">
        <v>6</v>
      </c>
      <c r="E114" s="54">
        <v>0</v>
      </c>
    </row>
    <row r="115" spans="2:5" ht="15" customHeight="1">
      <c r="B115" s="87"/>
      <c r="C115" s="52" t="s">
        <v>152</v>
      </c>
      <c r="D115" s="55">
        <v>2</v>
      </c>
      <c r="E115" s="54">
        <v>0</v>
      </c>
    </row>
    <row r="116" spans="2:5" ht="15" customHeight="1">
      <c r="B116" s="86"/>
      <c r="C116" s="68" t="s">
        <v>307</v>
      </c>
      <c r="D116" s="70">
        <v>380</v>
      </c>
      <c r="E116" s="69">
        <v>2.7E-2</v>
      </c>
    </row>
    <row r="117" spans="2:5" ht="15" customHeight="1">
      <c r="B117" s="85" t="s">
        <v>51</v>
      </c>
      <c r="C117" s="52" t="s">
        <v>170</v>
      </c>
      <c r="D117" s="55">
        <v>5</v>
      </c>
      <c r="E117" s="54">
        <v>0</v>
      </c>
    </row>
    <row r="118" spans="2:5" ht="15" customHeight="1">
      <c r="B118" s="87"/>
      <c r="C118" s="52" t="s">
        <v>149</v>
      </c>
      <c r="D118" s="55">
        <v>1</v>
      </c>
      <c r="E118" s="54">
        <v>0</v>
      </c>
    </row>
    <row r="119" spans="2:5" ht="15" customHeight="1">
      <c r="B119" s="87"/>
      <c r="C119" s="52" t="s">
        <v>153</v>
      </c>
      <c r="D119" s="55">
        <v>1</v>
      </c>
      <c r="E119" s="54">
        <v>0</v>
      </c>
    </row>
    <row r="120" spans="2:5" ht="15" customHeight="1">
      <c r="B120" s="87"/>
      <c r="C120" s="52" t="s">
        <v>154</v>
      </c>
      <c r="D120" s="55">
        <v>9</v>
      </c>
      <c r="E120" s="54">
        <v>1E-3</v>
      </c>
    </row>
    <row r="121" spans="2:5" ht="15" customHeight="1">
      <c r="B121" s="87"/>
      <c r="C121" s="52" t="s">
        <v>161</v>
      </c>
      <c r="D121" s="55">
        <v>4</v>
      </c>
      <c r="E121" s="54">
        <v>0</v>
      </c>
    </row>
    <row r="122" spans="2:5" ht="15" customHeight="1">
      <c r="B122" s="87"/>
      <c r="C122" s="52" t="s">
        <v>140</v>
      </c>
      <c r="D122" s="55">
        <v>1</v>
      </c>
      <c r="E122" s="54">
        <v>0</v>
      </c>
    </row>
    <row r="123" spans="2:5" ht="15" customHeight="1">
      <c r="B123" s="87"/>
      <c r="C123" s="52" t="s">
        <v>141</v>
      </c>
      <c r="D123" s="55">
        <v>8</v>
      </c>
      <c r="E123" s="54">
        <v>1E-3</v>
      </c>
    </row>
    <row r="124" spans="2:5" ht="15" customHeight="1">
      <c r="B124" s="87"/>
      <c r="C124" s="52" t="s">
        <v>150</v>
      </c>
      <c r="D124" s="55">
        <v>2</v>
      </c>
      <c r="E124" s="54">
        <v>0</v>
      </c>
    </row>
    <row r="125" spans="2:5" ht="15" customHeight="1">
      <c r="B125" s="87"/>
      <c r="C125" s="52" t="s">
        <v>183</v>
      </c>
      <c r="D125" s="55">
        <v>1</v>
      </c>
      <c r="E125" s="54">
        <v>0</v>
      </c>
    </row>
    <row r="126" spans="2:5" ht="15" customHeight="1">
      <c r="B126" s="87"/>
      <c r="C126" s="52" t="s">
        <v>155</v>
      </c>
      <c r="D126" s="55">
        <v>1</v>
      </c>
      <c r="E126" s="54">
        <v>0</v>
      </c>
    </row>
    <row r="127" spans="2:5" ht="15" customHeight="1">
      <c r="B127" s="87"/>
      <c r="C127" s="52" t="s">
        <v>142</v>
      </c>
      <c r="D127" s="55">
        <v>26</v>
      </c>
      <c r="E127" s="54">
        <v>2E-3</v>
      </c>
    </row>
    <row r="128" spans="2:5" ht="15" customHeight="1">
      <c r="B128" s="87"/>
      <c r="C128" s="52" t="s">
        <v>156</v>
      </c>
      <c r="D128" s="55">
        <v>3</v>
      </c>
      <c r="E128" s="54">
        <v>0</v>
      </c>
    </row>
    <row r="129" spans="2:5" ht="15" customHeight="1">
      <c r="B129" s="87"/>
      <c r="C129" s="52" t="s">
        <v>143</v>
      </c>
      <c r="D129" s="55">
        <v>12</v>
      </c>
      <c r="E129" s="54">
        <v>1E-3</v>
      </c>
    </row>
    <row r="130" spans="2:5" ht="15" customHeight="1">
      <c r="B130" s="87"/>
      <c r="C130" s="52" t="s">
        <v>158</v>
      </c>
      <c r="D130" s="55">
        <v>13</v>
      </c>
      <c r="E130" s="54">
        <v>1E-3</v>
      </c>
    </row>
    <row r="131" spans="2:5" ht="15" customHeight="1">
      <c r="B131" s="87"/>
      <c r="C131" s="52" t="s">
        <v>151</v>
      </c>
      <c r="D131" s="55">
        <v>11</v>
      </c>
      <c r="E131" s="54">
        <v>1E-3</v>
      </c>
    </row>
    <row r="132" spans="2:5" ht="15" customHeight="1">
      <c r="B132" s="87"/>
      <c r="C132" s="52" t="s">
        <v>144</v>
      </c>
      <c r="D132" s="55">
        <v>266</v>
      </c>
      <c r="E132" s="54">
        <v>1.9E-2</v>
      </c>
    </row>
    <row r="133" spans="2:5" ht="15" customHeight="1">
      <c r="B133" s="87"/>
      <c r="C133" s="52" t="s">
        <v>145</v>
      </c>
      <c r="D133" s="55">
        <v>1</v>
      </c>
      <c r="E133" s="54">
        <v>0</v>
      </c>
    </row>
    <row r="134" spans="2:5" ht="15" customHeight="1">
      <c r="B134" s="87"/>
      <c r="C134" s="52" t="s">
        <v>146</v>
      </c>
      <c r="D134" s="55">
        <v>10</v>
      </c>
      <c r="E134" s="54">
        <v>1E-3</v>
      </c>
    </row>
    <row r="135" spans="2:5" ht="15" customHeight="1">
      <c r="B135" s="87"/>
      <c r="C135" s="52" t="s">
        <v>166</v>
      </c>
      <c r="D135" s="55">
        <v>1</v>
      </c>
      <c r="E135" s="54">
        <v>0</v>
      </c>
    </row>
    <row r="136" spans="2:5" ht="15" customHeight="1">
      <c r="B136" s="87"/>
      <c r="C136" s="52" t="s">
        <v>147</v>
      </c>
      <c r="D136" s="55">
        <v>34</v>
      </c>
      <c r="E136" s="54">
        <v>2E-3</v>
      </c>
    </row>
    <row r="137" spans="2:5" ht="15" customHeight="1">
      <c r="B137" s="87"/>
      <c r="C137" s="52" t="s">
        <v>148</v>
      </c>
      <c r="D137" s="55">
        <v>10</v>
      </c>
      <c r="E137" s="54">
        <v>1E-3</v>
      </c>
    </row>
    <row r="138" spans="2:5" ht="15" customHeight="1">
      <c r="B138" s="87"/>
      <c r="C138" s="52" t="s">
        <v>169</v>
      </c>
      <c r="D138" s="55">
        <v>1</v>
      </c>
      <c r="E138" s="54">
        <v>0</v>
      </c>
    </row>
    <row r="139" spans="2:5" ht="15" customHeight="1">
      <c r="B139" s="87"/>
      <c r="C139" s="52" t="s">
        <v>152</v>
      </c>
      <c r="D139" s="55">
        <v>1</v>
      </c>
      <c r="E139" s="54">
        <v>0</v>
      </c>
    </row>
    <row r="140" spans="2:5" ht="15" customHeight="1">
      <c r="B140" s="87"/>
      <c r="C140" s="52" t="s">
        <v>181</v>
      </c>
      <c r="D140" s="55">
        <v>2</v>
      </c>
      <c r="E140" s="54">
        <v>0</v>
      </c>
    </row>
    <row r="141" spans="2:5" ht="15" customHeight="1">
      <c r="B141" s="86"/>
      <c r="C141" s="68" t="s">
        <v>307</v>
      </c>
      <c r="D141" s="70">
        <v>424</v>
      </c>
      <c r="E141" s="69">
        <v>0.03</v>
      </c>
    </row>
    <row r="142" spans="2:5" ht="15" customHeight="1">
      <c r="B142" s="85" t="s">
        <v>49</v>
      </c>
      <c r="C142" s="52" t="s">
        <v>167</v>
      </c>
      <c r="D142" s="55">
        <v>1</v>
      </c>
      <c r="E142" s="54">
        <v>0</v>
      </c>
    </row>
    <row r="143" spans="2:5" ht="15" customHeight="1">
      <c r="B143" s="87"/>
      <c r="C143" s="52" t="s">
        <v>170</v>
      </c>
      <c r="D143" s="55">
        <v>2</v>
      </c>
      <c r="E143" s="54">
        <v>0</v>
      </c>
    </row>
    <row r="144" spans="2:5" ht="15" customHeight="1">
      <c r="B144" s="87"/>
      <c r="C144" s="52" t="s">
        <v>149</v>
      </c>
      <c r="D144" s="55">
        <v>30</v>
      </c>
      <c r="E144" s="54">
        <v>2E-3</v>
      </c>
    </row>
    <row r="145" spans="2:5" ht="15" customHeight="1">
      <c r="B145" s="87"/>
      <c r="C145" s="52" t="s">
        <v>153</v>
      </c>
      <c r="D145" s="55">
        <v>18</v>
      </c>
      <c r="E145" s="54">
        <v>1E-3</v>
      </c>
    </row>
    <row r="146" spans="2:5" ht="15" customHeight="1">
      <c r="B146" s="87"/>
      <c r="C146" s="52" t="s">
        <v>171</v>
      </c>
      <c r="D146" s="55">
        <v>5</v>
      </c>
      <c r="E146" s="54">
        <v>0</v>
      </c>
    </row>
    <row r="147" spans="2:5" ht="15" customHeight="1">
      <c r="B147" s="87"/>
      <c r="C147" s="52" t="s">
        <v>175</v>
      </c>
      <c r="D147" s="55">
        <v>12</v>
      </c>
      <c r="E147" s="54">
        <v>1E-3</v>
      </c>
    </row>
    <row r="148" spans="2:5" ht="15" customHeight="1">
      <c r="B148" s="87"/>
      <c r="C148" s="52" t="s">
        <v>160</v>
      </c>
      <c r="D148" s="55">
        <v>3</v>
      </c>
      <c r="E148" s="54">
        <v>0</v>
      </c>
    </row>
    <row r="149" spans="2:5" ht="15" customHeight="1">
      <c r="B149" s="87"/>
      <c r="C149" s="52" t="s">
        <v>154</v>
      </c>
      <c r="D149" s="55">
        <v>37</v>
      </c>
      <c r="E149" s="54">
        <v>3.0000000000000001E-3</v>
      </c>
    </row>
    <row r="150" spans="2:5" ht="15" customHeight="1">
      <c r="B150" s="87"/>
      <c r="C150" s="52" t="s">
        <v>161</v>
      </c>
      <c r="D150" s="55">
        <v>7</v>
      </c>
      <c r="E150" s="54">
        <v>0</v>
      </c>
    </row>
    <row r="151" spans="2:5" ht="15" customHeight="1">
      <c r="B151" s="87"/>
      <c r="C151" s="52" t="s">
        <v>162</v>
      </c>
      <c r="D151" s="55">
        <v>4</v>
      </c>
      <c r="E151" s="54">
        <v>0</v>
      </c>
    </row>
    <row r="152" spans="2:5" ht="15" customHeight="1">
      <c r="B152" s="87"/>
      <c r="C152" s="52" t="s">
        <v>140</v>
      </c>
      <c r="D152" s="55">
        <v>3</v>
      </c>
      <c r="E152" s="54">
        <v>0</v>
      </c>
    </row>
    <row r="153" spans="2:5" ht="15" customHeight="1">
      <c r="B153" s="87"/>
      <c r="C153" s="52" t="s">
        <v>284</v>
      </c>
      <c r="D153" s="55">
        <v>1</v>
      </c>
      <c r="E153" s="54">
        <v>0</v>
      </c>
    </row>
    <row r="154" spans="2:5" ht="15" customHeight="1">
      <c r="B154" s="87"/>
      <c r="C154" s="52" t="s">
        <v>141</v>
      </c>
      <c r="D154" s="55">
        <v>171</v>
      </c>
      <c r="E154" s="54">
        <v>1.2E-2</v>
      </c>
    </row>
    <row r="155" spans="2:5" ht="15" customHeight="1">
      <c r="B155" s="87"/>
      <c r="C155" s="52" t="s">
        <v>172</v>
      </c>
      <c r="D155" s="55">
        <v>1</v>
      </c>
      <c r="E155" s="54">
        <v>0</v>
      </c>
    </row>
    <row r="156" spans="2:5" ht="15" customHeight="1">
      <c r="B156" s="87"/>
      <c r="C156" s="52" t="s">
        <v>188</v>
      </c>
      <c r="D156" s="55">
        <v>1</v>
      </c>
      <c r="E156" s="54">
        <v>0</v>
      </c>
    </row>
    <row r="157" spans="2:5" ht="15" customHeight="1">
      <c r="B157" s="87"/>
      <c r="C157" s="52" t="s">
        <v>150</v>
      </c>
      <c r="D157" s="55">
        <v>43</v>
      </c>
      <c r="E157" s="54">
        <v>3.0000000000000001E-3</v>
      </c>
    </row>
    <row r="158" spans="2:5" ht="15" customHeight="1">
      <c r="B158" s="87"/>
      <c r="C158" s="52" t="s">
        <v>183</v>
      </c>
      <c r="D158" s="55">
        <v>3</v>
      </c>
      <c r="E158" s="54">
        <v>0</v>
      </c>
    </row>
    <row r="159" spans="2:5" ht="15" customHeight="1">
      <c r="B159" s="87"/>
      <c r="C159" s="52" t="s">
        <v>176</v>
      </c>
      <c r="D159" s="55">
        <v>2</v>
      </c>
      <c r="E159" s="54">
        <v>0</v>
      </c>
    </row>
    <row r="160" spans="2:5" ht="15" customHeight="1">
      <c r="B160" s="87"/>
      <c r="C160" s="52" t="s">
        <v>177</v>
      </c>
      <c r="D160" s="55">
        <v>3</v>
      </c>
      <c r="E160" s="54">
        <v>0</v>
      </c>
    </row>
    <row r="161" spans="2:5" ht="15" customHeight="1">
      <c r="B161" s="87"/>
      <c r="C161" s="52" t="s">
        <v>155</v>
      </c>
      <c r="D161" s="55">
        <v>15</v>
      </c>
      <c r="E161" s="54">
        <v>1E-3</v>
      </c>
    </row>
    <row r="162" spans="2:5" ht="15" customHeight="1">
      <c r="B162" s="87"/>
      <c r="C162" s="52" t="s">
        <v>179</v>
      </c>
      <c r="D162" s="55">
        <v>3</v>
      </c>
      <c r="E162" s="54">
        <v>0</v>
      </c>
    </row>
    <row r="163" spans="2:5" ht="15" customHeight="1">
      <c r="B163" s="87"/>
      <c r="C163" s="52" t="s">
        <v>185</v>
      </c>
      <c r="D163" s="55">
        <v>2</v>
      </c>
      <c r="E163" s="54">
        <v>0</v>
      </c>
    </row>
    <row r="164" spans="2:5" ht="15" customHeight="1">
      <c r="B164" s="87"/>
      <c r="C164" s="52" t="s">
        <v>142</v>
      </c>
      <c r="D164" s="55">
        <v>173</v>
      </c>
      <c r="E164" s="54">
        <v>1.2E-2</v>
      </c>
    </row>
    <row r="165" spans="2:5" ht="15" customHeight="1">
      <c r="B165" s="87"/>
      <c r="C165" s="52" t="s">
        <v>180</v>
      </c>
      <c r="D165" s="55">
        <v>6</v>
      </c>
      <c r="E165" s="54">
        <v>0</v>
      </c>
    </row>
    <row r="166" spans="2:5" ht="15" customHeight="1">
      <c r="B166" s="87"/>
      <c r="C166" s="52" t="s">
        <v>173</v>
      </c>
      <c r="D166" s="55">
        <v>4</v>
      </c>
      <c r="E166" s="54">
        <v>0</v>
      </c>
    </row>
    <row r="167" spans="2:5" ht="15" customHeight="1">
      <c r="B167" s="87"/>
      <c r="C167" s="52" t="s">
        <v>168</v>
      </c>
      <c r="D167" s="55">
        <v>2</v>
      </c>
      <c r="E167" s="54">
        <v>0</v>
      </c>
    </row>
    <row r="168" spans="2:5" ht="15" customHeight="1">
      <c r="B168" s="87"/>
      <c r="C168" s="52" t="s">
        <v>190</v>
      </c>
      <c r="D168" s="55">
        <v>1</v>
      </c>
      <c r="E168" s="54">
        <v>0</v>
      </c>
    </row>
    <row r="169" spans="2:5" ht="15" customHeight="1">
      <c r="B169" s="87"/>
      <c r="C169" s="52" t="s">
        <v>156</v>
      </c>
      <c r="D169" s="55">
        <v>2</v>
      </c>
      <c r="E169" s="54">
        <v>0</v>
      </c>
    </row>
    <row r="170" spans="2:5" ht="15" customHeight="1">
      <c r="B170" s="87"/>
      <c r="C170" s="52" t="s">
        <v>182</v>
      </c>
      <c r="D170" s="55">
        <v>5</v>
      </c>
      <c r="E170" s="54">
        <v>0</v>
      </c>
    </row>
    <row r="171" spans="2:5" ht="15" customHeight="1">
      <c r="B171" s="87"/>
      <c r="C171" s="52" t="s">
        <v>143</v>
      </c>
      <c r="D171" s="55">
        <v>124</v>
      </c>
      <c r="E171" s="54">
        <v>8.9999999999999993E-3</v>
      </c>
    </row>
    <row r="172" spans="2:5" ht="15" customHeight="1">
      <c r="B172" s="87"/>
      <c r="C172" s="52" t="s">
        <v>157</v>
      </c>
      <c r="D172" s="55">
        <v>1</v>
      </c>
      <c r="E172" s="54">
        <v>0</v>
      </c>
    </row>
    <row r="173" spans="2:5" ht="15" customHeight="1">
      <c r="B173" s="87"/>
      <c r="C173" s="52" t="s">
        <v>191</v>
      </c>
      <c r="D173" s="55">
        <v>2</v>
      </c>
      <c r="E173" s="54">
        <v>0</v>
      </c>
    </row>
    <row r="174" spans="2:5" ht="15" customHeight="1">
      <c r="B174" s="87"/>
      <c r="C174" s="52" t="s">
        <v>158</v>
      </c>
      <c r="D174" s="55">
        <v>24</v>
      </c>
      <c r="E174" s="54">
        <v>2E-3</v>
      </c>
    </row>
    <row r="175" spans="2:5" ht="15" customHeight="1">
      <c r="B175" s="87"/>
      <c r="C175" s="52" t="s">
        <v>165</v>
      </c>
      <c r="D175" s="55">
        <v>3</v>
      </c>
      <c r="E175" s="54">
        <v>0</v>
      </c>
    </row>
    <row r="176" spans="2:5" ht="15" customHeight="1">
      <c r="B176" s="87"/>
      <c r="C176" s="52" t="s">
        <v>151</v>
      </c>
      <c r="D176" s="55">
        <v>46</v>
      </c>
      <c r="E176" s="54">
        <v>3.0000000000000001E-3</v>
      </c>
    </row>
    <row r="177" spans="2:5" ht="15" customHeight="1">
      <c r="B177" s="87"/>
      <c r="C177" s="52" t="s">
        <v>144</v>
      </c>
      <c r="D177" s="53">
        <v>1231</v>
      </c>
      <c r="E177" s="54">
        <v>8.6999999999999994E-2</v>
      </c>
    </row>
    <row r="178" spans="2:5" ht="15" customHeight="1">
      <c r="B178" s="87"/>
      <c r="C178" s="52" t="s">
        <v>184</v>
      </c>
      <c r="D178" s="55">
        <v>1</v>
      </c>
      <c r="E178" s="54">
        <v>0</v>
      </c>
    </row>
    <row r="179" spans="2:5" ht="15" customHeight="1">
      <c r="B179" s="87"/>
      <c r="C179" s="52" t="s">
        <v>145</v>
      </c>
      <c r="D179" s="55">
        <v>2</v>
      </c>
      <c r="E179" s="54">
        <v>0</v>
      </c>
    </row>
    <row r="180" spans="2:5" ht="15" customHeight="1">
      <c r="B180" s="87"/>
      <c r="C180" s="52" t="s">
        <v>146</v>
      </c>
      <c r="D180" s="55">
        <v>30</v>
      </c>
      <c r="E180" s="54">
        <v>2E-3</v>
      </c>
    </row>
    <row r="181" spans="2:5" ht="15" customHeight="1">
      <c r="B181" s="87"/>
      <c r="C181" s="52" t="s">
        <v>166</v>
      </c>
      <c r="D181" s="55">
        <v>6</v>
      </c>
      <c r="E181" s="54">
        <v>0</v>
      </c>
    </row>
    <row r="182" spans="2:5" ht="15" customHeight="1">
      <c r="B182" s="87"/>
      <c r="C182" s="52" t="s">
        <v>147</v>
      </c>
      <c r="D182" s="55">
        <v>175</v>
      </c>
      <c r="E182" s="54">
        <v>1.2E-2</v>
      </c>
    </row>
    <row r="183" spans="2:5" ht="15" customHeight="1">
      <c r="B183" s="87"/>
      <c r="C183" s="52" t="s">
        <v>148</v>
      </c>
      <c r="D183" s="55">
        <v>64</v>
      </c>
      <c r="E183" s="54">
        <v>5.0000000000000001E-3</v>
      </c>
    </row>
    <row r="184" spans="2:5" ht="15" customHeight="1">
      <c r="B184" s="87"/>
      <c r="C184" s="52" t="s">
        <v>169</v>
      </c>
      <c r="D184" s="55">
        <v>7</v>
      </c>
      <c r="E184" s="54">
        <v>0</v>
      </c>
    </row>
    <row r="185" spans="2:5" ht="15" customHeight="1">
      <c r="B185" s="87"/>
      <c r="C185" s="52" t="s">
        <v>152</v>
      </c>
      <c r="D185" s="55">
        <v>7</v>
      </c>
      <c r="E185" s="54">
        <v>0</v>
      </c>
    </row>
    <row r="186" spans="2:5" ht="15" customHeight="1">
      <c r="B186" s="87"/>
      <c r="C186" s="52" t="s">
        <v>181</v>
      </c>
      <c r="D186" s="55">
        <v>2</v>
      </c>
      <c r="E186" s="54">
        <v>0</v>
      </c>
    </row>
    <row r="187" spans="2:5" ht="15" customHeight="1">
      <c r="B187" s="87"/>
      <c r="C187" s="52" t="s">
        <v>174</v>
      </c>
      <c r="D187" s="55">
        <v>7</v>
      </c>
      <c r="E187" s="54">
        <v>0</v>
      </c>
    </row>
    <row r="188" spans="2:5" ht="15" customHeight="1">
      <c r="B188" s="86"/>
      <c r="C188" s="68" t="s">
        <v>307</v>
      </c>
      <c r="D188" s="70">
        <v>2292</v>
      </c>
      <c r="E188" s="69">
        <v>0.16200000000000001</v>
      </c>
    </row>
    <row r="189" spans="2:5" ht="15" customHeight="1">
      <c r="B189" s="85" t="s">
        <v>85</v>
      </c>
      <c r="C189" s="52" t="s">
        <v>176</v>
      </c>
      <c r="D189" s="55">
        <v>1</v>
      </c>
      <c r="E189" s="54">
        <v>0</v>
      </c>
    </row>
    <row r="190" spans="2:5" ht="15" customHeight="1">
      <c r="B190" s="87"/>
      <c r="C190" s="52" t="s">
        <v>142</v>
      </c>
      <c r="D190" s="55">
        <v>1</v>
      </c>
      <c r="E190" s="54">
        <v>0</v>
      </c>
    </row>
    <row r="191" spans="2:5" ht="15" customHeight="1">
      <c r="B191" s="87"/>
      <c r="C191" s="52" t="s">
        <v>144</v>
      </c>
      <c r="D191" s="55">
        <v>10</v>
      </c>
      <c r="E191" s="54">
        <v>1E-3</v>
      </c>
    </row>
    <row r="192" spans="2:5" ht="15" customHeight="1">
      <c r="B192" s="86"/>
      <c r="C192" s="68" t="s">
        <v>307</v>
      </c>
      <c r="D192" s="70">
        <v>12</v>
      </c>
      <c r="E192" s="69">
        <v>1E-3</v>
      </c>
    </row>
    <row r="193" spans="2:5" ht="15" customHeight="1">
      <c r="B193" s="85" t="s">
        <v>67</v>
      </c>
      <c r="C193" s="52" t="s">
        <v>167</v>
      </c>
      <c r="D193" s="55">
        <v>1</v>
      </c>
      <c r="E193" s="54">
        <v>0</v>
      </c>
    </row>
    <row r="194" spans="2:5" ht="15" customHeight="1">
      <c r="B194" s="87"/>
      <c r="C194" s="52" t="s">
        <v>149</v>
      </c>
      <c r="D194" s="55">
        <v>1</v>
      </c>
      <c r="E194" s="54">
        <v>0</v>
      </c>
    </row>
    <row r="195" spans="2:5" ht="15" customHeight="1">
      <c r="B195" s="87"/>
      <c r="C195" s="52" t="s">
        <v>154</v>
      </c>
      <c r="D195" s="55">
        <v>2</v>
      </c>
      <c r="E195" s="54">
        <v>0</v>
      </c>
    </row>
    <row r="196" spans="2:5" ht="15" customHeight="1">
      <c r="B196" s="87"/>
      <c r="C196" s="52" t="s">
        <v>284</v>
      </c>
      <c r="D196" s="55">
        <v>2</v>
      </c>
      <c r="E196" s="54">
        <v>0</v>
      </c>
    </row>
    <row r="197" spans="2:5" ht="15" customHeight="1">
      <c r="B197" s="87"/>
      <c r="C197" s="52" t="s">
        <v>141</v>
      </c>
      <c r="D197" s="55">
        <v>7</v>
      </c>
      <c r="E197" s="54">
        <v>0</v>
      </c>
    </row>
    <row r="198" spans="2:5" ht="15" customHeight="1">
      <c r="B198" s="87"/>
      <c r="C198" s="52" t="s">
        <v>183</v>
      </c>
      <c r="D198" s="55">
        <v>1</v>
      </c>
      <c r="E198" s="54">
        <v>0</v>
      </c>
    </row>
    <row r="199" spans="2:5" ht="15" customHeight="1">
      <c r="B199" s="87"/>
      <c r="C199" s="52" t="s">
        <v>142</v>
      </c>
      <c r="D199" s="55">
        <v>4</v>
      </c>
      <c r="E199" s="54">
        <v>0</v>
      </c>
    </row>
    <row r="200" spans="2:5" ht="15" customHeight="1">
      <c r="B200" s="87"/>
      <c r="C200" s="52" t="s">
        <v>158</v>
      </c>
      <c r="D200" s="55">
        <v>1</v>
      </c>
      <c r="E200" s="54">
        <v>0</v>
      </c>
    </row>
    <row r="201" spans="2:5" ht="15" customHeight="1">
      <c r="B201" s="87"/>
      <c r="C201" s="52" t="s">
        <v>151</v>
      </c>
      <c r="D201" s="55">
        <v>1</v>
      </c>
      <c r="E201" s="54">
        <v>0</v>
      </c>
    </row>
    <row r="202" spans="2:5" ht="15" customHeight="1">
      <c r="B202" s="87"/>
      <c r="C202" s="52" t="s">
        <v>144</v>
      </c>
      <c r="D202" s="55">
        <v>30</v>
      </c>
      <c r="E202" s="54">
        <v>2E-3</v>
      </c>
    </row>
    <row r="203" spans="2:5" ht="15" customHeight="1">
      <c r="B203" s="87"/>
      <c r="C203" s="52" t="s">
        <v>147</v>
      </c>
      <c r="D203" s="55">
        <v>6</v>
      </c>
      <c r="E203" s="54">
        <v>0</v>
      </c>
    </row>
    <row r="204" spans="2:5" ht="15" customHeight="1">
      <c r="B204" s="87"/>
      <c r="C204" s="52" t="s">
        <v>148</v>
      </c>
      <c r="D204" s="55">
        <v>4</v>
      </c>
      <c r="E204" s="54">
        <v>0</v>
      </c>
    </row>
    <row r="205" spans="2:5" ht="15" customHeight="1">
      <c r="B205" s="87"/>
      <c r="C205" s="52" t="s">
        <v>169</v>
      </c>
      <c r="D205" s="55">
        <v>1</v>
      </c>
      <c r="E205" s="54">
        <v>0</v>
      </c>
    </row>
    <row r="206" spans="2:5" ht="15" customHeight="1">
      <c r="B206" s="86"/>
      <c r="C206" s="68" t="s">
        <v>307</v>
      </c>
      <c r="D206" s="70">
        <v>61</v>
      </c>
      <c r="E206" s="69">
        <v>4.0000000000000001E-3</v>
      </c>
    </row>
    <row r="207" spans="2:5" ht="15" customHeight="1">
      <c r="B207" s="85" t="s">
        <v>63</v>
      </c>
      <c r="C207" s="52" t="s">
        <v>170</v>
      </c>
      <c r="D207" s="55">
        <v>4</v>
      </c>
      <c r="E207" s="54">
        <v>0</v>
      </c>
    </row>
    <row r="208" spans="2:5" ht="15" customHeight="1">
      <c r="B208" s="87"/>
      <c r="C208" s="52" t="s">
        <v>161</v>
      </c>
      <c r="D208" s="55">
        <v>4</v>
      </c>
      <c r="E208" s="54">
        <v>0</v>
      </c>
    </row>
    <row r="209" spans="2:5" ht="15" customHeight="1">
      <c r="B209" s="87"/>
      <c r="C209" s="52" t="s">
        <v>140</v>
      </c>
      <c r="D209" s="55">
        <v>1</v>
      </c>
      <c r="E209" s="54">
        <v>0</v>
      </c>
    </row>
    <row r="210" spans="2:5" ht="15" customHeight="1">
      <c r="B210" s="87"/>
      <c r="C210" s="52" t="s">
        <v>284</v>
      </c>
      <c r="D210" s="55">
        <v>2</v>
      </c>
      <c r="E210" s="54">
        <v>0</v>
      </c>
    </row>
    <row r="211" spans="2:5" ht="15" customHeight="1">
      <c r="B211" s="87"/>
      <c r="C211" s="52" t="s">
        <v>141</v>
      </c>
      <c r="D211" s="55">
        <v>4</v>
      </c>
      <c r="E211" s="54">
        <v>0</v>
      </c>
    </row>
    <row r="212" spans="2:5" ht="15" customHeight="1">
      <c r="B212" s="87"/>
      <c r="C212" s="52" t="s">
        <v>150</v>
      </c>
      <c r="D212" s="55">
        <v>3</v>
      </c>
      <c r="E212" s="54">
        <v>0</v>
      </c>
    </row>
    <row r="213" spans="2:5" ht="15" customHeight="1">
      <c r="B213" s="87"/>
      <c r="C213" s="52" t="s">
        <v>177</v>
      </c>
      <c r="D213" s="55">
        <v>2</v>
      </c>
      <c r="E213" s="54">
        <v>0</v>
      </c>
    </row>
    <row r="214" spans="2:5" ht="15" customHeight="1">
      <c r="B214" s="87"/>
      <c r="C214" s="52" t="s">
        <v>178</v>
      </c>
      <c r="D214" s="55">
        <v>1</v>
      </c>
      <c r="E214" s="54">
        <v>0</v>
      </c>
    </row>
    <row r="215" spans="2:5" ht="15" customHeight="1">
      <c r="B215" s="87"/>
      <c r="C215" s="52" t="s">
        <v>142</v>
      </c>
      <c r="D215" s="55">
        <v>8</v>
      </c>
      <c r="E215" s="54">
        <v>1E-3</v>
      </c>
    </row>
    <row r="216" spans="2:5" ht="15" customHeight="1">
      <c r="B216" s="87"/>
      <c r="C216" s="52" t="s">
        <v>143</v>
      </c>
      <c r="D216" s="55">
        <v>3</v>
      </c>
      <c r="E216" s="54">
        <v>0</v>
      </c>
    </row>
    <row r="217" spans="2:5" ht="15" customHeight="1">
      <c r="B217" s="87"/>
      <c r="C217" s="52" t="s">
        <v>158</v>
      </c>
      <c r="D217" s="55">
        <v>6</v>
      </c>
      <c r="E217" s="54">
        <v>0</v>
      </c>
    </row>
    <row r="218" spans="2:5" ht="15" customHeight="1">
      <c r="B218" s="87"/>
      <c r="C218" s="52" t="s">
        <v>151</v>
      </c>
      <c r="D218" s="55">
        <v>4</v>
      </c>
      <c r="E218" s="54">
        <v>0</v>
      </c>
    </row>
    <row r="219" spans="2:5" ht="15" customHeight="1">
      <c r="B219" s="87"/>
      <c r="C219" s="52" t="s">
        <v>144</v>
      </c>
      <c r="D219" s="55">
        <v>51</v>
      </c>
      <c r="E219" s="54">
        <v>4.0000000000000001E-3</v>
      </c>
    </row>
    <row r="220" spans="2:5" ht="15" customHeight="1">
      <c r="B220" s="87"/>
      <c r="C220" s="52" t="s">
        <v>159</v>
      </c>
      <c r="D220" s="55">
        <v>1</v>
      </c>
      <c r="E220" s="54">
        <v>0</v>
      </c>
    </row>
    <row r="221" spans="2:5" ht="15" customHeight="1">
      <c r="B221" s="87"/>
      <c r="C221" s="52" t="s">
        <v>146</v>
      </c>
      <c r="D221" s="55">
        <v>4</v>
      </c>
      <c r="E221" s="54">
        <v>0</v>
      </c>
    </row>
    <row r="222" spans="2:5" ht="15" customHeight="1">
      <c r="B222" s="87"/>
      <c r="C222" s="52" t="s">
        <v>147</v>
      </c>
      <c r="D222" s="55">
        <v>15</v>
      </c>
      <c r="E222" s="54">
        <v>1E-3</v>
      </c>
    </row>
    <row r="223" spans="2:5" ht="15" customHeight="1">
      <c r="B223" s="87"/>
      <c r="C223" s="52" t="s">
        <v>148</v>
      </c>
      <c r="D223" s="55">
        <v>2</v>
      </c>
      <c r="E223" s="54">
        <v>0</v>
      </c>
    </row>
    <row r="224" spans="2:5" ht="15" customHeight="1">
      <c r="B224" s="87"/>
      <c r="C224" s="52" t="s">
        <v>181</v>
      </c>
      <c r="D224" s="55">
        <v>1</v>
      </c>
      <c r="E224" s="54">
        <v>0</v>
      </c>
    </row>
    <row r="225" spans="2:5" ht="15" customHeight="1">
      <c r="B225" s="86"/>
      <c r="C225" s="68" t="s">
        <v>307</v>
      </c>
      <c r="D225" s="70">
        <v>116</v>
      </c>
      <c r="E225" s="69">
        <v>8.0000000000000002E-3</v>
      </c>
    </row>
    <row r="226" spans="2:5" ht="15" customHeight="1">
      <c r="B226" s="85" t="s">
        <v>90</v>
      </c>
      <c r="C226" s="52" t="s">
        <v>284</v>
      </c>
      <c r="D226" s="55">
        <v>1</v>
      </c>
      <c r="E226" s="54">
        <v>0</v>
      </c>
    </row>
    <row r="227" spans="2:5" ht="15" customHeight="1">
      <c r="B227" s="87"/>
      <c r="C227" s="52" t="s">
        <v>143</v>
      </c>
      <c r="D227" s="55">
        <v>1</v>
      </c>
      <c r="E227" s="54">
        <v>0</v>
      </c>
    </row>
    <row r="228" spans="2:5" ht="15" customHeight="1">
      <c r="B228" s="87"/>
      <c r="C228" s="52" t="s">
        <v>157</v>
      </c>
      <c r="D228" s="55">
        <v>1</v>
      </c>
      <c r="E228" s="54">
        <v>0</v>
      </c>
    </row>
    <row r="229" spans="2:5" ht="15" customHeight="1">
      <c r="B229" s="87"/>
      <c r="C229" s="52" t="s">
        <v>151</v>
      </c>
      <c r="D229" s="55">
        <v>1</v>
      </c>
      <c r="E229" s="54">
        <v>0</v>
      </c>
    </row>
    <row r="230" spans="2:5" ht="15" customHeight="1">
      <c r="B230" s="87"/>
      <c r="C230" s="52" t="s">
        <v>144</v>
      </c>
      <c r="D230" s="55">
        <v>7</v>
      </c>
      <c r="E230" s="54">
        <v>0</v>
      </c>
    </row>
    <row r="231" spans="2:5" ht="15" customHeight="1">
      <c r="B231" s="87"/>
      <c r="C231" s="52" t="s">
        <v>146</v>
      </c>
      <c r="D231" s="55">
        <v>1</v>
      </c>
      <c r="E231" s="54">
        <v>0</v>
      </c>
    </row>
    <row r="232" spans="2:5" ht="15" customHeight="1">
      <c r="B232" s="87"/>
      <c r="C232" s="52" t="s">
        <v>147</v>
      </c>
      <c r="D232" s="55">
        <v>1</v>
      </c>
      <c r="E232" s="54">
        <v>0</v>
      </c>
    </row>
    <row r="233" spans="2:5" ht="15" customHeight="1">
      <c r="B233" s="86"/>
      <c r="C233" s="68" t="s">
        <v>307</v>
      </c>
      <c r="D233" s="70">
        <v>13</v>
      </c>
      <c r="E233" s="69">
        <v>1E-3</v>
      </c>
    </row>
    <row r="234" spans="2:5" ht="15" customHeight="1">
      <c r="B234" s="85" t="s">
        <v>83</v>
      </c>
      <c r="C234" s="52" t="s">
        <v>151</v>
      </c>
      <c r="D234" s="55">
        <v>2</v>
      </c>
      <c r="E234" s="54">
        <v>0</v>
      </c>
    </row>
    <row r="235" spans="2:5" ht="15" customHeight="1">
      <c r="B235" s="87"/>
      <c r="C235" s="52" t="s">
        <v>144</v>
      </c>
      <c r="D235" s="55">
        <v>21</v>
      </c>
      <c r="E235" s="54">
        <v>1E-3</v>
      </c>
    </row>
    <row r="236" spans="2:5" ht="15" customHeight="1">
      <c r="B236" s="87"/>
      <c r="C236" s="52" t="s">
        <v>147</v>
      </c>
      <c r="D236" s="55">
        <v>1</v>
      </c>
      <c r="E236" s="54">
        <v>0</v>
      </c>
    </row>
    <row r="237" spans="2:5" ht="15" customHeight="1">
      <c r="B237" s="87"/>
      <c r="C237" s="52" t="s">
        <v>148</v>
      </c>
      <c r="D237" s="55">
        <v>1</v>
      </c>
      <c r="E237" s="54">
        <v>0</v>
      </c>
    </row>
    <row r="238" spans="2:5" ht="15" customHeight="1">
      <c r="B238" s="86"/>
      <c r="C238" s="68" t="s">
        <v>307</v>
      </c>
      <c r="D238" s="70">
        <v>25</v>
      </c>
      <c r="E238" s="69">
        <v>2E-3</v>
      </c>
    </row>
    <row r="239" spans="2:5" ht="15" customHeight="1">
      <c r="B239" s="85" t="s">
        <v>80</v>
      </c>
      <c r="C239" s="52" t="s">
        <v>175</v>
      </c>
      <c r="D239" s="55">
        <v>1</v>
      </c>
      <c r="E239" s="54">
        <v>0</v>
      </c>
    </row>
    <row r="240" spans="2:5" ht="15" customHeight="1">
      <c r="B240" s="87"/>
      <c r="C240" s="52" t="s">
        <v>151</v>
      </c>
      <c r="D240" s="55">
        <v>2</v>
      </c>
      <c r="E240" s="54">
        <v>0</v>
      </c>
    </row>
    <row r="241" spans="2:5" ht="15" customHeight="1">
      <c r="B241" s="87"/>
      <c r="C241" s="52" t="s">
        <v>144</v>
      </c>
      <c r="D241" s="55">
        <v>7</v>
      </c>
      <c r="E241" s="54">
        <v>0</v>
      </c>
    </row>
    <row r="242" spans="2:5" ht="15" customHeight="1">
      <c r="B242" s="87"/>
      <c r="C242" s="52" t="s">
        <v>148</v>
      </c>
      <c r="D242" s="55">
        <v>2</v>
      </c>
      <c r="E242" s="54">
        <v>0</v>
      </c>
    </row>
    <row r="243" spans="2:5" ht="15" customHeight="1">
      <c r="B243" s="86"/>
      <c r="C243" s="68" t="s">
        <v>307</v>
      </c>
      <c r="D243" s="70">
        <v>12</v>
      </c>
      <c r="E243" s="69">
        <v>1E-3</v>
      </c>
    </row>
    <row r="244" spans="2:5" ht="15" customHeight="1">
      <c r="B244" s="85" t="s">
        <v>70</v>
      </c>
      <c r="C244" s="52" t="s">
        <v>149</v>
      </c>
      <c r="D244" s="55">
        <v>1</v>
      </c>
      <c r="E244" s="54">
        <v>0</v>
      </c>
    </row>
    <row r="245" spans="2:5" ht="15" customHeight="1">
      <c r="B245" s="87"/>
      <c r="C245" s="52" t="s">
        <v>175</v>
      </c>
      <c r="D245" s="55">
        <v>1</v>
      </c>
      <c r="E245" s="54">
        <v>0</v>
      </c>
    </row>
    <row r="246" spans="2:5" ht="15" customHeight="1">
      <c r="B246" s="87"/>
      <c r="C246" s="52" t="s">
        <v>154</v>
      </c>
      <c r="D246" s="55">
        <v>2</v>
      </c>
      <c r="E246" s="54">
        <v>0</v>
      </c>
    </row>
    <row r="247" spans="2:5" ht="15" customHeight="1">
      <c r="B247" s="87"/>
      <c r="C247" s="52" t="s">
        <v>161</v>
      </c>
      <c r="D247" s="55">
        <v>1</v>
      </c>
      <c r="E247" s="54">
        <v>0</v>
      </c>
    </row>
    <row r="248" spans="2:5" ht="15" customHeight="1">
      <c r="B248" s="87"/>
      <c r="C248" s="52" t="s">
        <v>162</v>
      </c>
      <c r="D248" s="55">
        <v>1</v>
      </c>
      <c r="E248" s="54">
        <v>0</v>
      </c>
    </row>
    <row r="249" spans="2:5" ht="15" customHeight="1">
      <c r="B249" s="87"/>
      <c r="C249" s="52" t="s">
        <v>141</v>
      </c>
      <c r="D249" s="55">
        <v>1</v>
      </c>
      <c r="E249" s="54">
        <v>0</v>
      </c>
    </row>
    <row r="250" spans="2:5" ht="15" customHeight="1">
      <c r="B250" s="87"/>
      <c r="C250" s="52" t="s">
        <v>150</v>
      </c>
      <c r="D250" s="55">
        <v>1</v>
      </c>
      <c r="E250" s="54">
        <v>0</v>
      </c>
    </row>
    <row r="251" spans="2:5" ht="15" customHeight="1">
      <c r="B251" s="87"/>
      <c r="C251" s="52" t="s">
        <v>142</v>
      </c>
      <c r="D251" s="55">
        <v>3</v>
      </c>
      <c r="E251" s="54">
        <v>0</v>
      </c>
    </row>
    <row r="252" spans="2:5" ht="15" customHeight="1">
      <c r="B252" s="87"/>
      <c r="C252" s="52" t="s">
        <v>180</v>
      </c>
      <c r="D252" s="55">
        <v>1</v>
      </c>
      <c r="E252" s="54">
        <v>0</v>
      </c>
    </row>
    <row r="253" spans="2:5" ht="15" customHeight="1">
      <c r="B253" s="87"/>
      <c r="C253" s="52" t="s">
        <v>190</v>
      </c>
      <c r="D253" s="55">
        <v>1</v>
      </c>
      <c r="E253" s="54">
        <v>0</v>
      </c>
    </row>
    <row r="254" spans="2:5" ht="15" customHeight="1">
      <c r="B254" s="87"/>
      <c r="C254" s="52" t="s">
        <v>156</v>
      </c>
      <c r="D254" s="55">
        <v>1</v>
      </c>
      <c r="E254" s="54">
        <v>0</v>
      </c>
    </row>
    <row r="255" spans="2:5" ht="15" customHeight="1">
      <c r="B255" s="87"/>
      <c r="C255" s="52" t="s">
        <v>143</v>
      </c>
      <c r="D255" s="55">
        <v>5</v>
      </c>
      <c r="E255" s="54">
        <v>0</v>
      </c>
    </row>
    <row r="256" spans="2:5" ht="15" customHeight="1">
      <c r="B256" s="87"/>
      <c r="C256" s="52" t="s">
        <v>163</v>
      </c>
      <c r="D256" s="55">
        <v>3</v>
      </c>
      <c r="E256" s="54">
        <v>0</v>
      </c>
    </row>
    <row r="257" spans="2:5" ht="15" customHeight="1">
      <c r="B257" s="87"/>
      <c r="C257" s="52" t="s">
        <v>164</v>
      </c>
      <c r="D257" s="55">
        <v>1</v>
      </c>
      <c r="E257" s="54">
        <v>0</v>
      </c>
    </row>
    <row r="258" spans="2:5" ht="15" customHeight="1">
      <c r="B258" s="87"/>
      <c r="C258" s="52" t="s">
        <v>157</v>
      </c>
      <c r="D258" s="55">
        <v>2</v>
      </c>
      <c r="E258" s="54">
        <v>0</v>
      </c>
    </row>
    <row r="259" spans="2:5" ht="15" customHeight="1">
      <c r="B259" s="87"/>
      <c r="C259" s="52" t="s">
        <v>151</v>
      </c>
      <c r="D259" s="55">
        <v>4</v>
      </c>
      <c r="E259" s="54">
        <v>0</v>
      </c>
    </row>
    <row r="260" spans="2:5" ht="15" customHeight="1">
      <c r="B260" s="87"/>
      <c r="C260" s="52" t="s">
        <v>144</v>
      </c>
      <c r="D260" s="55">
        <v>14</v>
      </c>
      <c r="E260" s="54">
        <v>1E-3</v>
      </c>
    </row>
    <row r="261" spans="2:5" ht="15" customHeight="1">
      <c r="B261" s="87"/>
      <c r="C261" s="52" t="s">
        <v>147</v>
      </c>
      <c r="D261" s="55">
        <v>2</v>
      </c>
      <c r="E261" s="54">
        <v>0</v>
      </c>
    </row>
    <row r="262" spans="2:5" ht="15" customHeight="1">
      <c r="B262" s="87"/>
      <c r="C262" s="52" t="s">
        <v>148</v>
      </c>
      <c r="D262" s="55">
        <v>3</v>
      </c>
      <c r="E262" s="54">
        <v>0</v>
      </c>
    </row>
    <row r="263" spans="2:5" ht="15" customHeight="1">
      <c r="B263" s="86"/>
      <c r="C263" s="68" t="s">
        <v>307</v>
      </c>
      <c r="D263" s="70">
        <v>48</v>
      </c>
      <c r="E263" s="69">
        <v>3.0000000000000001E-3</v>
      </c>
    </row>
    <row r="264" spans="2:5" ht="15" customHeight="1">
      <c r="B264" s="85" t="s">
        <v>47</v>
      </c>
      <c r="C264" s="52" t="s">
        <v>170</v>
      </c>
      <c r="D264" s="55">
        <v>18</v>
      </c>
      <c r="E264" s="54">
        <v>1E-3</v>
      </c>
    </row>
    <row r="265" spans="2:5" ht="15" customHeight="1">
      <c r="B265" s="87"/>
      <c r="C265" s="52" t="s">
        <v>149</v>
      </c>
      <c r="D265" s="55">
        <v>62</v>
      </c>
      <c r="E265" s="54">
        <v>4.0000000000000001E-3</v>
      </c>
    </row>
    <row r="266" spans="2:5" ht="15" customHeight="1">
      <c r="B266" s="87"/>
      <c r="C266" s="52" t="s">
        <v>153</v>
      </c>
      <c r="D266" s="55">
        <v>35</v>
      </c>
      <c r="E266" s="54">
        <v>2E-3</v>
      </c>
    </row>
    <row r="267" spans="2:5" ht="15" customHeight="1">
      <c r="B267" s="87"/>
      <c r="C267" s="52" t="s">
        <v>171</v>
      </c>
      <c r="D267" s="55">
        <v>11</v>
      </c>
      <c r="E267" s="54">
        <v>1E-3</v>
      </c>
    </row>
    <row r="268" spans="2:5" ht="15" customHeight="1">
      <c r="B268" s="87"/>
      <c r="C268" s="52" t="s">
        <v>175</v>
      </c>
      <c r="D268" s="55">
        <v>13</v>
      </c>
      <c r="E268" s="54">
        <v>1E-3</v>
      </c>
    </row>
    <row r="269" spans="2:5" ht="15" customHeight="1">
      <c r="B269" s="87"/>
      <c r="C269" s="52" t="s">
        <v>160</v>
      </c>
      <c r="D269" s="55">
        <v>3</v>
      </c>
      <c r="E269" s="54">
        <v>0</v>
      </c>
    </row>
    <row r="270" spans="2:5" ht="15" customHeight="1">
      <c r="B270" s="87"/>
      <c r="C270" s="52" t="s">
        <v>154</v>
      </c>
      <c r="D270" s="55">
        <v>126</v>
      </c>
      <c r="E270" s="54">
        <v>8.9999999999999993E-3</v>
      </c>
    </row>
    <row r="271" spans="2:5" ht="15" customHeight="1">
      <c r="B271" s="87"/>
      <c r="C271" s="52" t="s">
        <v>161</v>
      </c>
      <c r="D271" s="55">
        <v>46</v>
      </c>
      <c r="E271" s="54">
        <v>3.0000000000000001E-3</v>
      </c>
    </row>
    <row r="272" spans="2:5" ht="15" customHeight="1">
      <c r="B272" s="87"/>
      <c r="C272" s="52" t="s">
        <v>162</v>
      </c>
      <c r="D272" s="55">
        <v>37</v>
      </c>
      <c r="E272" s="54">
        <v>3.0000000000000001E-3</v>
      </c>
    </row>
    <row r="273" spans="2:5" ht="15" customHeight="1">
      <c r="B273" s="87"/>
      <c r="C273" s="52" t="s">
        <v>140</v>
      </c>
      <c r="D273" s="55">
        <v>13</v>
      </c>
      <c r="E273" s="54">
        <v>1E-3</v>
      </c>
    </row>
    <row r="274" spans="2:5" ht="15" customHeight="1">
      <c r="B274" s="87"/>
      <c r="C274" s="52" t="s">
        <v>284</v>
      </c>
      <c r="D274" s="55">
        <v>1</v>
      </c>
      <c r="E274" s="54">
        <v>0</v>
      </c>
    </row>
    <row r="275" spans="2:5" ht="15" customHeight="1">
      <c r="B275" s="87"/>
      <c r="C275" s="52" t="s">
        <v>141</v>
      </c>
      <c r="D275" s="55">
        <v>274</v>
      </c>
      <c r="E275" s="54">
        <v>1.9E-2</v>
      </c>
    </row>
    <row r="276" spans="2:5" ht="15" customHeight="1">
      <c r="B276" s="87"/>
      <c r="C276" s="52" t="s">
        <v>172</v>
      </c>
      <c r="D276" s="55">
        <v>12</v>
      </c>
      <c r="E276" s="54">
        <v>1E-3</v>
      </c>
    </row>
    <row r="277" spans="2:5" ht="15" customHeight="1">
      <c r="B277" s="87"/>
      <c r="C277" s="52" t="s">
        <v>187</v>
      </c>
      <c r="D277" s="55">
        <v>8</v>
      </c>
      <c r="E277" s="54">
        <v>1E-3</v>
      </c>
    </row>
    <row r="278" spans="2:5" ht="15" customHeight="1">
      <c r="B278" s="87"/>
      <c r="C278" s="52" t="s">
        <v>150</v>
      </c>
      <c r="D278" s="55">
        <v>31</v>
      </c>
      <c r="E278" s="54">
        <v>2E-3</v>
      </c>
    </row>
    <row r="279" spans="2:5" ht="15" customHeight="1">
      <c r="B279" s="87"/>
      <c r="C279" s="52" t="s">
        <v>183</v>
      </c>
      <c r="D279" s="55">
        <v>7</v>
      </c>
      <c r="E279" s="54">
        <v>0</v>
      </c>
    </row>
    <row r="280" spans="2:5" ht="15" customHeight="1">
      <c r="B280" s="87"/>
      <c r="C280" s="52" t="s">
        <v>176</v>
      </c>
      <c r="D280" s="55">
        <v>14</v>
      </c>
      <c r="E280" s="54">
        <v>1E-3</v>
      </c>
    </row>
    <row r="281" spans="2:5" ht="15" customHeight="1">
      <c r="B281" s="87"/>
      <c r="C281" s="52" t="s">
        <v>177</v>
      </c>
      <c r="D281" s="55">
        <v>8</v>
      </c>
      <c r="E281" s="54">
        <v>1E-3</v>
      </c>
    </row>
    <row r="282" spans="2:5" ht="15" customHeight="1">
      <c r="B282" s="87"/>
      <c r="C282" s="52" t="s">
        <v>155</v>
      </c>
      <c r="D282" s="55">
        <v>78</v>
      </c>
      <c r="E282" s="54">
        <v>6.0000000000000001E-3</v>
      </c>
    </row>
    <row r="283" spans="2:5" ht="15" customHeight="1">
      <c r="B283" s="87"/>
      <c r="C283" s="52" t="s">
        <v>178</v>
      </c>
      <c r="D283" s="55">
        <v>10</v>
      </c>
      <c r="E283" s="54">
        <v>1E-3</v>
      </c>
    </row>
    <row r="284" spans="2:5" ht="15" customHeight="1">
      <c r="B284" s="87"/>
      <c r="C284" s="52" t="s">
        <v>179</v>
      </c>
      <c r="D284" s="55">
        <v>5</v>
      </c>
      <c r="E284" s="54">
        <v>0</v>
      </c>
    </row>
    <row r="285" spans="2:5" ht="15" customHeight="1">
      <c r="B285" s="87"/>
      <c r="C285" s="52" t="s">
        <v>185</v>
      </c>
      <c r="D285" s="55">
        <v>7</v>
      </c>
      <c r="E285" s="54">
        <v>0</v>
      </c>
    </row>
    <row r="286" spans="2:5" ht="15" customHeight="1">
      <c r="B286" s="87"/>
      <c r="C286" s="52" t="s">
        <v>142</v>
      </c>
      <c r="D286" s="55">
        <v>286</v>
      </c>
      <c r="E286" s="54">
        <v>0.02</v>
      </c>
    </row>
    <row r="287" spans="2:5" ht="15" customHeight="1">
      <c r="B287" s="87"/>
      <c r="C287" s="52" t="s">
        <v>180</v>
      </c>
      <c r="D287" s="55">
        <v>14</v>
      </c>
      <c r="E287" s="54">
        <v>1E-3</v>
      </c>
    </row>
    <row r="288" spans="2:5" ht="15" customHeight="1">
      <c r="B288" s="87"/>
      <c r="C288" s="52" t="s">
        <v>189</v>
      </c>
      <c r="D288" s="55">
        <v>5</v>
      </c>
      <c r="E288" s="54">
        <v>0</v>
      </c>
    </row>
    <row r="289" spans="2:5" ht="15" customHeight="1">
      <c r="B289" s="87"/>
      <c r="C289" s="52" t="s">
        <v>173</v>
      </c>
      <c r="D289" s="55">
        <v>6</v>
      </c>
      <c r="E289" s="54">
        <v>0</v>
      </c>
    </row>
    <row r="290" spans="2:5" ht="15" customHeight="1">
      <c r="B290" s="87"/>
      <c r="C290" s="52" t="s">
        <v>168</v>
      </c>
      <c r="D290" s="55">
        <v>12</v>
      </c>
      <c r="E290" s="54">
        <v>1E-3</v>
      </c>
    </row>
    <row r="291" spans="2:5" ht="15" customHeight="1">
      <c r="B291" s="87"/>
      <c r="C291" s="52" t="s">
        <v>190</v>
      </c>
      <c r="D291" s="55">
        <v>3</v>
      </c>
      <c r="E291" s="54">
        <v>0</v>
      </c>
    </row>
    <row r="292" spans="2:5" ht="15" customHeight="1">
      <c r="B292" s="87"/>
      <c r="C292" s="52" t="s">
        <v>156</v>
      </c>
      <c r="D292" s="55">
        <v>6</v>
      </c>
      <c r="E292" s="54">
        <v>0</v>
      </c>
    </row>
    <row r="293" spans="2:5" ht="15" customHeight="1">
      <c r="B293" s="87"/>
      <c r="C293" s="52" t="s">
        <v>182</v>
      </c>
      <c r="D293" s="55">
        <v>5</v>
      </c>
      <c r="E293" s="54">
        <v>0</v>
      </c>
    </row>
    <row r="294" spans="2:5" ht="15" customHeight="1">
      <c r="B294" s="87"/>
      <c r="C294" s="52" t="s">
        <v>143</v>
      </c>
      <c r="D294" s="55">
        <v>256</v>
      </c>
      <c r="E294" s="54">
        <v>1.7999999999999999E-2</v>
      </c>
    </row>
    <row r="295" spans="2:5" ht="15" customHeight="1">
      <c r="B295" s="87"/>
      <c r="C295" s="52" t="s">
        <v>163</v>
      </c>
      <c r="D295" s="55">
        <v>10</v>
      </c>
      <c r="E295" s="54">
        <v>1E-3</v>
      </c>
    </row>
    <row r="296" spans="2:5" ht="15" customHeight="1">
      <c r="B296" s="87"/>
      <c r="C296" s="52" t="s">
        <v>164</v>
      </c>
      <c r="D296" s="55">
        <v>18</v>
      </c>
      <c r="E296" s="54">
        <v>1E-3</v>
      </c>
    </row>
    <row r="297" spans="2:5" ht="15" customHeight="1">
      <c r="B297" s="87"/>
      <c r="C297" s="52" t="s">
        <v>157</v>
      </c>
      <c r="D297" s="55">
        <v>21</v>
      </c>
      <c r="E297" s="54">
        <v>1E-3</v>
      </c>
    </row>
    <row r="298" spans="2:5" ht="15" customHeight="1">
      <c r="B298" s="87"/>
      <c r="C298" s="52" t="s">
        <v>186</v>
      </c>
      <c r="D298" s="55">
        <v>1</v>
      </c>
      <c r="E298" s="54">
        <v>0</v>
      </c>
    </row>
    <row r="299" spans="2:5" ht="15" customHeight="1">
      <c r="B299" s="87"/>
      <c r="C299" s="52" t="s">
        <v>158</v>
      </c>
      <c r="D299" s="55">
        <v>32</v>
      </c>
      <c r="E299" s="54">
        <v>2E-3</v>
      </c>
    </row>
    <row r="300" spans="2:5" ht="15" customHeight="1">
      <c r="B300" s="87"/>
      <c r="C300" s="52" t="s">
        <v>151</v>
      </c>
      <c r="D300" s="55">
        <v>181</v>
      </c>
      <c r="E300" s="54">
        <v>1.2999999999999999E-2</v>
      </c>
    </row>
    <row r="301" spans="2:5" ht="15" customHeight="1">
      <c r="B301" s="87"/>
      <c r="C301" s="52" t="s">
        <v>144</v>
      </c>
      <c r="D301" s="53">
        <v>2361</v>
      </c>
      <c r="E301" s="54">
        <v>0.16700000000000001</v>
      </c>
    </row>
    <row r="302" spans="2:5" ht="15" customHeight="1">
      <c r="B302" s="87"/>
      <c r="C302" s="52" t="s">
        <v>184</v>
      </c>
      <c r="D302" s="55">
        <v>4</v>
      </c>
      <c r="E302" s="54">
        <v>0</v>
      </c>
    </row>
    <row r="303" spans="2:5" ht="15" customHeight="1">
      <c r="B303" s="87"/>
      <c r="C303" s="52" t="s">
        <v>145</v>
      </c>
      <c r="D303" s="55">
        <v>3</v>
      </c>
      <c r="E303" s="54">
        <v>0</v>
      </c>
    </row>
    <row r="304" spans="2:5" ht="15" customHeight="1">
      <c r="B304" s="87"/>
      <c r="C304" s="52" t="s">
        <v>159</v>
      </c>
      <c r="D304" s="55">
        <v>4</v>
      </c>
      <c r="E304" s="54">
        <v>0</v>
      </c>
    </row>
    <row r="305" spans="2:5" ht="15" customHeight="1">
      <c r="B305" s="87"/>
      <c r="C305" s="52" t="s">
        <v>146</v>
      </c>
      <c r="D305" s="55">
        <v>146</v>
      </c>
      <c r="E305" s="54">
        <v>0.01</v>
      </c>
    </row>
    <row r="306" spans="2:5" ht="15" customHeight="1">
      <c r="B306" s="87"/>
      <c r="C306" s="52" t="s">
        <v>166</v>
      </c>
      <c r="D306" s="55">
        <v>5</v>
      </c>
      <c r="E306" s="54">
        <v>0</v>
      </c>
    </row>
    <row r="307" spans="2:5" ht="15" customHeight="1">
      <c r="B307" s="87"/>
      <c r="C307" s="52" t="s">
        <v>147</v>
      </c>
      <c r="D307" s="55">
        <v>296</v>
      </c>
      <c r="E307" s="54">
        <v>2.1000000000000001E-2</v>
      </c>
    </row>
    <row r="308" spans="2:5" ht="15" customHeight="1">
      <c r="B308" s="87"/>
      <c r="C308" s="52" t="s">
        <v>148</v>
      </c>
      <c r="D308" s="55">
        <v>90</v>
      </c>
      <c r="E308" s="54">
        <v>6.0000000000000001E-3</v>
      </c>
    </row>
    <row r="309" spans="2:5" ht="15" customHeight="1">
      <c r="B309" s="87"/>
      <c r="C309" s="52" t="s">
        <v>169</v>
      </c>
      <c r="D309" s="55">
        <v>19</v>
      </c>
      <c r="E309" s="54">
        <v>1E-3</v>
      </c>
    </row>
    <row r="310" spans="2:5" ht="15" customHeight="1">
      <c r="B310" s="87"/>
      <c r="C310" s="52" t="s">
        <v>152</v>
      </c>
      <c r="D310" s="55">
        <v>36</v>
      </c>
      <c r="E310" s="54">
        <v>3.0000000000000001E-3</v>
      </c>
    </row>
    <row r="311" spans="2:5" ht="15" customHeight="1">
      <c r="B311" s="87"/>
      <c r="C311" s="52" t="s">
        <v>181</v>
      </c>
      <c r="D311" s="55">
        <v>9</v>
      </c>
      <c r="E311" s="54">
        <v>1E-3</v>
      </c>
    </row>
    <row r="312" spans="2:5" ht="15" customHeight="1">
      <c r="B312" s="87"/>
      <c r="C312" s="52" t="s">
        <v>174</v>
      </c>
      <c r="D312" s="55">
        <v>3</v>
      </c>
      <c r="E312" s="54">
        <v>0</v>
      </c>
    </row>
    <row r="313" spans="2:5" ht="15" customHeight="1">
      <c r="B313" s="86"/>
      <c r="C313" s="68" t="s">
        <v>307</v>
      </c>
      <c r="D313" s="70">
        <v>4651</v>
      </c>
      <c r="E313" s="69">
        <v>0.32900000000000001</v>
      </c>
    </row>
    <row r="314" spans="2:5" ht="15" customHeight="1">
      <c r="B314" s="85" t="s">
        <v>64</v>
      </c>
      <c r="C314" s="52" t="s">
        <v>175</v>
      </c>
      <c r="D314" s="55">
        <v>2</v>
      </c>
      <c r="E314" s="54">
        <v>0</v>
      </c>
    </row>
    <row r="315" spans="2:5" ht="15" customHeight="1">
      <c r="B315" s="87"/>
      <c r="C315" s="52" t="s">
        <v>161</v>
      </c>
      <c r="D315" s="55">
        <v>1</v>
      </c>
      <c r="E315" s="54">
        <v>0</v>
      </c>
    </row>
    <row r="316" spans="2:5" ht="15" customHeight="1">
      <c r="B316" s="87"/>
      <c r="C316" s="52" t="s">
        <v>284</v>
      </c>
      <c r="D316" s="55">
        <v>1</v>
      </c>
      <c r="E316" s="54">
        <v>0</v>
      </c>
    </row>
    <row r="317" spans="2:5" ht="15" customHeight="1">
      <c r="B317" s="87"/>
      <c r="C317" s="52" t="s">
        <v>141</v>
      </c>
      <c r="D317" s="55">
        <v>2</v>
      </c>
      <c r="E317" s="54">
        <v>0</v>
      </c>
    </row>
    <row r="318" spans="2:5" ht="15" customHeight="1">
      <c r="B318" s="87"/>
      <c r="C318" s="52" t="s">
        <v>150</v>
      </c>
      <c r="D318" s="55">
        <v>1</v>
      </c>
      <c r="E318" s="54">
        <v>0</v>
      </c>
    </row>
    <row r="319" spans="2:5" ht="15" customHeight="1">
      <c r="B319" s="87"/>
      <c r="C319" s="52" t="s">
        <v>178</v>
      </c>
      <c r="D319" s="55">
        <v>1</v>
      </c>
      <c r="E319" s="54">
        <v>0</v>
      </c>
    </row>
    <row r="320" spans="2:5" ht="15" customHeight="1">
      <c r="B320" s="87"/>
      <c r="C320" s="52" t="s">
        <v>142</v>
      </c>
      <c r="D320" s="55">
        <v>3</v>
      </c>
      <c r="E320" s="54">
        <v>0</v>
      </c>
    </row>
    <row r="321" spans="2:5" ht="15" customHeight="1">
      <c r="B321" s="87"/>
      <c r="C321" s="52" t="s">
        <v>180</v>
      </c>
      <c r="D321" s="55">
        <v>1</v>
      </c>
      <c r="E321" s="54">
        <v>0</v>
      </c>
    </row>
    <row r="322" spans="2:5" ht="15" customHeight="1">
      <c r="B322" s="87"/>
      <c r="C322" s="52" t="s">
        <v>158</v>
      </c>
      <c r="D322" s="55">
        <v>2</v>
      </c>
      <c r="E322" s="54">
        <v>0</v>
      </c>
    </row>
    <row r="323" spans="2:5" ht="15" customHeight="1">
      <c r="B323" s="87"/>
      <c r="C323" s="52" t="s">
        <v>144</v>
      </c>
      <c r="D323" s="55">
        <v>21</v>
      </c>
      <c r="E323" s="54">
        <v>1E-3</v>
      </c>
    </row>
    <row r="324" spans="2:5" ht="15" customHeight="1">
      <c r="B324" s="87"/>
      <c r="C324" s="52" t="s">
        <v>147</v>
      </c>
      <c r="D324" s="55">
        <v>1</v>
      </c>
      <c r="E324" s="54">
        <v>0</v>
      </c>
    </row>
    <row r="325" spans="2:5" ht="15" customHeight="1">
      <c r="B325" s="86"/>
      <c r="C325" s="68" t="s">
        <v>307</v>
      </c>
      <c r="D325" s="70">
        <v>36</v>
      </c>
      <c r="E325" s="69">
        <v>3.0000000000000001E-3</v>
      </c>
    </row>
    <row r="326" spans="2:5" ht="15" customHeight="1">
      <c r="B326" s="85" t="s">
        <v>61</v>
      </c>
      <c r="C326" s="52" t="s">
        <v>167</v>
      </c>
      <c r="D326" s="55">
        <v>1</v>
      </c>
      <c r="E326" s="54">
        <v>0</v>
      </c>
    </row>
    <row r="327" spans="2:5" ht="15" customHeight="1">
      <c r="B327" s="87"/>
      <c r="C327" s="52" t="s">
        <v>153</v>
      </c>
      <c r="D327" s="55">
        <v>1</v>
      </c>
      <c r="E327" s="54">
        <v>0</v>
      </c>
    </row>
    <row r="328" spans="2:5" ht="15" customHeight="1">
      <c r="B328" s="87"/>
      <c r="C328" s="52" t="s">
        <v>175</v>
      </c>
      <c r="D328" s="55">
        <v>1</v>
      </c>
      <c r="E328" s="54">
        <v>0</v>
      </c>
    </row>
    <row r="329" spans="2:5" ht="15" customHeight="1">
      <c r="B329" s="87"/>
      <c r="C329" s="52" t="s">
        <v>154</v>
      </c>
      <c r="D329" s="55">
        <v>1</v>
      </c>
      <c r="E329" s="54">
        <v>0</v>
      </c>
    </row>
    <row r="330" spans="2:5" ht="15" customHeight="1">
      <c r="B330" s="87"/>
      <c r="C330" s="52" t="s">
        <v>161</v>
      </c>
      <c r="D330" s="55">
        <v>2</v>
      </c>
      <c r="E330" s="54">
        <v>0</v>
      </c>
    </row>
    <row r="331" spans="2:5" ht="15" customHeight="1">
      <c r="B331" s="87"/>
      <c r="C331" s="52" t="s">
        <v>140</v>
      </c>
      <c r="D331" s="55">
        <v>1</v>
      </c>
      <c r="E331" s="54">
        <v>0</v>
      </c>
    </row>
    <row r="332" spans="2:5" ht="15" customHeight="1">
      <c r="B332" s="87"/>
      <c r="C332" s="52" t="s">
        <v>284</v>
      </c>
      <c r="D332" s="55">
        <v>1</v>
      </c>
      <c r="E332" s="54">
        <v>0</v>
      </c>
    </row>
    <row r="333" spans="2:5" ht="15" customHeight="1">
      <c r="B333" s="87"/>
      <c r="C333" s="52" t="s">
        <v>141</v>
      </c>
      <c r="D333" s="55">
        <v>5</v>
      </c>
      <c r="E333" s="54">
        <v>0</v>
      </c>
    </row>
    <row r="334" spans="2:5" ht="15" customHeight="1">
      <c r="B334" s="87"/>
      <c r="C334" s="52" t="s">
        <v>150</v>
      </c>
      <c r="D334" s="55">
        <v>1</v>
      </c>
      <c r="E334" s="54">
        <v>0</v>
      </c>
    </row>
    <row r="335" spans="2:5" ht="15" customHeight="1">
      <c r="B335" s="87"/>
      <c r="C335" s="52" t="s">
        <v>155</v>
      </c>
      <c r="D335" s="55">
        <v>1</v>
      </c>
      <c r="E335" s="54">
        <v>0</v>
      </c>
    </row>
    <row r="336" spans="2:5" ht="15" customHeight="1">
      <c r="B336" s="87"/>
      <c r="C336" s="52" t="s">
        <v>142</v>
      </c>
      <c r="D336" s="55">
        <v>7</v>
      </c>
      <c r="E336" s="54">
        <v>0</v>
      </c>
    </row>
    <row r="337" spans="2:5" ht="15" customHeight="1">
      <c r="B337" s="87"/>
      <c r="C337" s="52" t="s">
        <v>180</v>
      </c>
      <c r="D337" s="55">
        <v>2</v>
      </c>
      <c r="E337" s="54">
        <v>0</v>
      </c>
    </row>
    <row r="338" spans="2:5" ht="15" customHeight="1">
      <c r="B338" s="87"/>
      <c r="C338" s="52" t="s">
        <v>143</v>
      </c>
      <c r="D338" s="55">
        <v>2</v>
      </c>
      <c r="E338" s="54">
        <v>0</v>
      </c>
    </row>
    <row r="339" spans="2:5" ht="15" customHeight="1">
      <c r="B339" s="87"/>
      <c r="C339" s="52" t="s">
        <v>165</v>
      </c>
      <c r="D339" s="55">
        <v>1</v>
      </c>
      <c r="E339" s="54">
        <v>0</v>
      </c>
    </row>
    <row r="340" spans="2:5" ht="15" customHeight="1">
      <c r="B340" s="87"/>
      <c r="C340" s="52" t="s">
        <v>151</v>
      </c>
      <c r="D340" s="55">
        <v>6</v>
      </c>
      <c r="E340" s="54">
        <v>0</v>
      </c>
    </row>
    <row r="341" spans="2:5" ht="15" customHeight="1">
      <c r="B341" s="87"/>
      <c r="C341" s="52" t="s">
        <v>144</v>
      </c>
      <c r="D341" s="55">
        <v>54</v>
      </c>
      <c r="E341" s="54">
        <v>4.0000000000000001E-3</v>
      </c>
    </row>
    <row r="342" spans="2:5" ht="15" customHeight="1">
      <c r="B342" s="87"/>
      <c r="C342" s="52" t="s">
        <v>146</v>
      </c>
      <c r="D342" s="55">
        <v>2</v>
      </c>
      <c r="E342" s="54">
        <v>0</v>
      </c>
    </row>
    <row r="343" spans="2:5" ht="15" customHeight="1">
      <c r="B343" s="87"/>
      <c r="C343" s="52" t="s">
        <v>147</v>
      </c>
      <c r="D343" s="55">
        <v>11</v>
      </c>
      <c r="E343" s="54">
        <v>1E-3</v>
      </c>
    </row>
    <row r="344" spans="2:5" ht="15" customHeight="1">
      <c r="B344" s="87"/>
      <c r="C344" s="52" t="s">
        <v>148</v>
      </c>
      <c r="D344" s="55">
        <v>2</v>
      </c>
      <c r="E344" s="54">
        <v>0</v>
      </c>
    </row>
    <row r="345" spans="2:5" ht="15" customHeight="1">
      <c r="B345" s="87"/>
      <c r="C345" s="52" t="s">
        <v>169</v>
      </c>
      <c r="D345" s="55">
        <v>1</v>
      </c>
      <c r="E345" s="54">
        <v>0</v>
      </c>
    </row>
    <row r="346" spans="2:5" ht="15" customHeight="1">
      <c r="B346" s="87"/>
      <c r="C346" s="52" t="s">
        <v>152</v>
      </c>
      <c r="D346" s="55">
        <v>2</v>
      </c>
      <c r="E346" s="54">
        <v>0</v>
      </c>
    </row>
    <row r="347" spans="2:5" ht="15" customHeight="1">
      <c r="B347" s="86"/>
      <c r="C347" s="68" t="s">
        <v>307</v>
      </c>
      <c r="D347" s="70">
        <v>105</v>
      </c>
      <c r="E347" s="69">
        <v>7.0000000000000001E-3</v>
      </c>
    </row>
    <row r="348" spans="2:5" ht="15" customHeight="1">
      <c r="B348" s="85" t="s">
        <v>52</v>
      </c>
      <c r="C348" s="52" t="s">
        <v>170</v>
      </c>
      <c r="D348" s="55">
        <v>2</v>
      </c>
      <c r="E348" s="54">
        <v>0</v>
      </c>
    </row>
    <row r="349" spans="2:5" ht="15" customHeight="1">
      <c r="B349" s="87"/>
      <c r="C349" s="52" t="s">
        <v>149</v>
      </c>
      <c r="D349" s="55">
        <v>2</v>
      </c>
      <c r="E349" s="54">
        <v>0</v>
      </c>
    </row>
    <row r="350" spans="2:5" ht="15" customHeight="1">
      <c r="B350" s="87"/>
      <c r="C350" s="52" t="s">
        <v>153</v>
      </c>
      <c r="D350" s="55">
        <v>51</v>
      </c>
      <c r="E350" s="54">
        <v>4.0000000000000001E-3</v>
      </c>
    </row>
    <row r="351" spans="2:5" ht="15" customHeight="1">
      <c r="B351" s="87"/>
      <c r="C351" s="52" t="s">
        <v>154</v>
      </c>
      <c r="D351" s="55">
        <v>4</v>
      </c>
      <c r="E351" s="54">
        <v>0</v>
      </c>
    </row>
    <row r="352" spans="2:5" ht="15" customHeight="1">
      <c r="B352" s="87"/>
      <c r="C352" s="52" t="s">
        <v>161</v>
      </c>
      <c r="D352" s="55">
        <v>7</v>
      </c>
      <c r="E352" s="54">
        <v>0</v>
      </c>
    </row>
    <row r="353" spans="2:5" ht="15" customHeight="1">
      <c r="B353" s="87"/>
      <c r="C353" s="52" t="s">
        <v>162</v>
      </c>
      <c r="D353" s="55">
        <v>1</v>
      </c>
      <c r="E353" s="54">
        <v>0</v>
      </c>
    </row>
    <row r="354" spans="2:5" ht="15" customHeight="1">
      <c r="B354" s="87"/>
      <c r="C354" s="52" t="s">
        <v>140</v>
      </c>
      <c r="D354" s="55">
        <v>1</v>
      </c>
      <c r="E354" s="54">
        <v>0</v>
      </c>
    </row>
    <row r="355" spans="2:5" ht="15" customHeight="1">
      <c r="B355" s="87"/>
      <c r="C355" s="52" t="s">
        <v>141</v>
      </c>
      <c r="D355" s="55">
        <v>7</v>
      </c>
      <c r="E355" s="54">
        <v>0</v>
      </c>
    </row>
    <row r="356" spans="2:5" ht="15" customHeight="1">
      <c r="B356" s="87"/>
      <c r="C356" s="52" t="s">
        <v>150</v>
      </c>
      <c r="D356" s="55">
        <v>2</v>
      </c>
      <c r="E356" s="54">
        <v>0</v>
      </c>
    </row>
    <row r="357" spans="2:5" ht="15" customHeight="1">
      <c r="B357" s="87"/>
      <c r="C357" s="52" t="s">
        <v>155</v>
      </c>
      <c r="D357" s="55">
        <v>1</v>
      </c>
      <c r="E357" s="54">
        <v>0</v>
      </c>
    </row>
    <row r="358" spans="2:5" ht="15" customHeight="1">
      <c r="B358" s="87"/>
      <c r="C358" s="52" t="s">
        <v>185</v>
      </c>
      <c r="D358" s="55">
        <v>1</v>
      </c>
      <c r="E358" s="54">
        <v>0</v>
      </c>
    </row>
    <row r="359" spans="2:5" ht="15" customHeight="1">
      <c r="B359" s="87"/>
      <c r="C359" s="52" t="s">
        <v>142</v>
      </c>
      <c r="D359" s="55">
        <v>6</v>
      </c>
      <c r="E359" s="54">
        <v>0</v>
      </c>
    </row>
    <row r="360" spans="2:5" ht="15" customHeight="1">
      <c r="B360" s="87"/>
      <c r="C360" s="52" t="s">
        <v>156</v>
      </c>
      <c r="D360" s="55">
        <v>1</v>
      </c>
      <c r="E360" s="54">
        <v>0</v>
      </c>
    </row>
    <row r="361" spans="2:5" ht="15" customHeight="1">
      <c r="B361" s="87"/>
      <c r="C361" s="52" t="s">
        <v>182</v>
      </c>
      <c r="D361" s="55">
        <v>16</v>
      </c>
      <c r="E361" s="54">
        <v>1E-3</v>
      </c>
    </row>
    <row r="362" spans="2:5" ht="15" customHeight="1">
      <c r="B362" s="87"/>
      <c r="C362" s="52" t="s">
        <v>157</v>
      </c>
      <c r="D362" s="55">
        <v>3</v>
      </c>
      <c r="E362" s="54">
        <v>0</v>
      </c>
    </row>
    <row r="363" spans="2:5" ht="15" customHeight="1">
      <c r="B363" s="87"/>
      <c r="C363" s="52" t="s">
        <v>191</v>
      </c>
      <c r="D363" s="55">
        <v>2</v>
      </c>
      <c r="E363" s="54">
        <v>0</v>
      </c>
    </row>
    <row r="364" spans="2:5" ht="15" customHeight="1">
      <c r="B364" s="87"/>
      <c r="C364" s="52" t="s">
        <v>158</v>
      </c>
      <c r="D364" s="55">
        <v>1</v>
      </c>
      <c r="E364" s="54">
        <v>0</v>
      </c>
    </row>
    <row r="365" spans="2:5" ht="15" customHeight="1">
      <c r="B365" s="87"/>
      <c r="C365" s="52" t="s">
        <v>165</v>
      </c>
      <c r="D365" s="55">
        <v>1</v>
      </c>
      <c r="E365" s="54">
        <v>0</v>
      </c>
    </row>
    <row r="366" spans="2:5" ht="15" customHeight="1">
      <c r="B366" s="87"/>
      <c r="C366" s="52" t="s">
        <v>151</v>
      </c>
      <c r="D366" s="55">
        <v>2</v>
      </c>
      <c r="E366" s="54">
        <v>0</v>
      </c>
    </row>
    <row r="367" spans="2:5" ht="15" customHeight="1">
      <c r="B367" s="87"/>
      <c r="C367" s="52" t="s">
        <v>144</v>
      </c>
      <c r="D367" s="55">
        <v>156</v>
      </c>
      <c r="E367" s="54">
        <v>1.0999999999999999E-2</v>
      </c>
    </row>
    <row r="368" spans="2:5" ht="15" customHeight="1">
      <c r="B368" s="87"/>
      <c r="C368" s="52" t="s">
        <v>145</v>
      </c>
      <c r="D368" s="55">
        <v>1</v>
      </c>
      <c r="E368" s="54">
        <v>0</v>
      </c>
    </row>
    <row r="369" spans="2:5" ht="15" customHeight="1">
      <c r="B369" s="87"/>
      <c r="C369" s="52" t="s">
        <v>146</v>
      </c>
      <c r="D369" s="55">
        <v>121</v>
      </c>
      <c r="E369" s="54">
        <v>8.9999999999999993E-3</v>
      </c>
    </row>
    <row r="370" spans="2:5" ht="15" customHeight="1">
      <c r="B370" s="87"/>
      <c r="C370" s="52" t="s">
        <v>166</v>
      </c>
      <c r="D370" s="55">
        <v>1</v>
      </c>
      <c r="E370" s="54">
        <v>0</v>
      </c>
    </row>
    <row r="371" spans="2:5" ht="15" customHeight="1">
      <c r="B371" s="87"/>
      <c r="C371" s="52" t="s">
        <v>147</v>
      </c>
      <c r="D371" s="55">
        <v>26</v>
      </c>
      <c r="E371" s="54">
        <v>2E-3</v>
      </c>
    </row>
    <row r="372" spans="2:5" ht="15" customHeight="1">
      <c r="B372" s="87"/>
      <c r="C372" s="52" t="s">
        <v>148</v>
      </c>
      <c r="D372" s="55">
        <v>8</v>
      </c>
      <c r="E372" s="54">
        <v>1E-3</v>
      </c>
    </row>
    <row r="373" spans="2:5" ht="15" customHeight="1">
      <c r="B373" s="87"/>
      <c r="C373" s="52" t="s">
        <v>181</v>
      </c>
      <c r="D373" s="55">
        <v>6</v>
      </c>
      <c r="E373" s="54">
        <v>0</v>
      </c>
    </row>
    <row r="374" spans="2:5" ht="15" customHeight="1">
      <c r="B374" s="87"/>
      <c r="C374" s="52" t="s">
        <v>174</v>
      </c>
      <c r="D374" s="55">
        <v>7</v>
      </c>
      <c r="E374" s="54">
        <v>0</v>
      </c>
    </row>
    <row r="375" spans="2:5" ht="15" customHeight="1">
      <c r="B375" s="86"/>
      <c r="C375" s="68" t="s">
        <v>307</v>
      </c>
      <c r="D375" s="70">
        <v>437</v>
      </c>
      <c r="E375" s="69">
        <v>3.1E-2</v>
      </c>
    </row>
    <row r="376" spans="2:5" ht="15" customHeight="1">
      <c r="B376" s="85" t="s">
        <v>71</v>
      </c>
      <c r="C376" s="52" t="s">
        <v>284</v>
      </c>
      <c r="D376" s="55">
        <v>1</v>
      </c>
      <c r="E376" s="54">
        <v>0</v>
      </c>
    </row>
    <row r="377" spans="2:5" ht="15" customHeight="1">
      <c r="B377" s="87"/>
      <c r="C377" s="52" t="s">
        <v>150</v>
      </c>
      <c r="D377" s="55">
        <v>1</v>
      </c>
      <c r="E377" s="54">
        <v>0</v>
      </c>
    </row>
    <row r="378" spans="2:5" ht="15" customHeight="1">
      <c r="B378" s="87"/>
      <c r="C378" s="52" t="s">
        <v>142</v>
      </c>
      <c r="D378" s="55">
        <v>3</v>
      </c>
      <c r="E378" s="54">
        <v>0</v>
      </c>
    </row>
    <row r="379" spans="2:5" ht="15" customHeight="1">
      <c r="B379" s="87"/>
      <c r="C379" s="52" t="s">
        <v>151</v>
      </c>
      <c r="D379" s="55">
        <v>1</v>
      </c>
      <c r="E379" s="54">
        <v>0</v>
      </c>
    </row>
    <row r="380" spans="2:5" ht="15" customHeight="1">
      <c r="B380" s="87"/>
      <c r="C380" s="52" t="s">
        <v>144</v>
      </c>
      <c r="D380" s="55">
        <v>23</v>
      </c>
      <c r="E380" s="54">
        <v>2E-3</v>
      </c>
    </row>
    <row r="381" spans="2:5" ht="15" customHeight="1">
      <c r="B381" s="87"/>
      <c r="C381" s="52" t="s">
        <v>147</v>
      </c>
      <c r="D381" s="55">
        <v>6</v>
      </c>
      <c r="E381" s="54">
        <v>0</v>
      </c>
    </row>
    <row r="382" spans="2:5" ht="15" customHeight="1">
      <c r="B382" s="86"/>
      <c r="C382" s="68" t="s">
        <v>307</v>
      </c>
      <c r="D382" s="70">
        <v>35</v>
      </c>
      <c r="E382" s="69">
        <v>2E-3</v>
      </c>
    </row>
    <row r="383" spans="2:5" ht="15" customHeight="1">
      <c r="B383" s="85" t="s">
        <v>56</v>
      </c>
      <c r="C383" s="52" t="s">
        <v>149</v>
      </c>
      <c r="D383" s="55">
        <v>3</v>
      </c>
      <c r="E383" s="54">
        <v>0</v>
      </c>
    </row>
    <row r="384" spans="2:5" ht="15" customHeight="1">
      <c r="B384" s="87"/>
      <c r="C384" s="52" t="s">
        <v>154</v>
      </c>
      <c r="D384" s="55">
        <v>5</v>
      </c>
      <c r="E384" s="54">
        <v>0</v>
      </c>
    </row>
    <row r="385" spans="2:5" ht="15" customHeight="1">
      <c r="B385" s="87"/>
      <c r="C385" s="52" t="s">
        <v>285</v>
      </c>
      <c r="D385" s="55">
        <v>1</v>
      </c>
      <c r="E385" s="54">
        <v>0</v>
      </c>
    </row>
    <row r="386" spans="2:5" ht="15" customHeight="1">
      <c r="B386" s="87"/>
      <c r="C386" s="52" t="s">
        <v>141</v>
      </c>
      <c r="D386" s="55">
        <v>6</v>
      </c>
      <c r="E386" s="54">
        <v>0</v>
      </c>
    </row>
    <row r="387" spans="2:5" ht="15" customHeight="1">
      <c r="B387" s="87"/>
      <c r="C387" s="52" t="s">
        <v>150</v>
      </c>
      <c r="D387" s="55">
        <v>4</v>
      </c>
      <c r="E387" s="54">
        <v>0</v>
      </c>
    </row>
    <row r="388" spans="2:5" ht="15" customHeight="1">
      <c r="B388" s="87"/>
      <c r="C388" s="52" t="s">
        <v>155</v>
      </c>
      <c r="D388" s="55">
        <v>6</v>
      </c>
      <c r="E388" s="54">
        <v>0</v>
      </c>
    </row>
    <row r="389" spans="2:5" ht="15" customHeight="1">
      <c r="B389" s="87"/>
      <c r="C389" s="52" t="s">
        <v>179</v>
      </c>
      <c r="D389" s="55">
        <v>2</v>
      </c>
      <c r="E389" s="54">
        <v>0</v>
      </c>
    </row>
    <row r="390" spans="2:5" ht="15" customHeight="1">
      <c r="B390" s="87"/>
      <c r="C390" s="52" t="s">
        <v>142</v>
      </c>
      <c r="D390" s="55">
        <v>8</v>
      </c>
      <c r="E390" s="54">
        <v>1E-3</v>
      </c>
    </row>
    <row r="391" spans="2:5" ht="15" customHeight="1">
      <c r="B391" s="87"/>
      <c r="C391" s="52" t="s">
        <v>180</v>
      </c>
      <c r="D391" s="55">
        <v>1</v>
      </c>
      <c r="E391" s="54">
        <v>0</v>
      </c>
    </row>
    <row r="392" spans="2:5" ht="15" customHeight="1">
      <c r="B392" s="87"/>
      <c r="C392" s="52" t="s">
        <v>168</v>
      </c>
      <c r="D392" s="55">
        <v>1</v>
      </c>
      <c r="E392" s="54">
        <v>0</v>
      </c>
    </row>
    <row r="393" spans="2:5" ht="15" customHeight="1">
      <c r="B393" s="87"/>
      <c r="C393" s="52" t="s">
        <v>143</v>
      </c>
      <c r="D393" s="55">
        <v>11</v>
      </c>
      <c r="E393" s="54">
        <v>1E-3</v>
      </c>
    </row>
    <row r="394" spans="2:5" ht="15" customHeight="1">
      <c r="B394" s="87"/>
      <c r="C394" s="52" t="s">
        <v>163</v>
      </c>
      <c r="D394" s="55">
        <v>1</v>
      </c>
      <c r="E394" s="54">
        <v>0</v>
      </c>
    </row>
    <row r="395" spans="2:5" ht="15" customHeight="1">
      <c r="B395" s="87"/>
      <c r="C395" s="52" t="s">
        <v>164</v>
      </c>
      <c r="D395" s="55">
        <v>1</v>
      </c>
      <c r="E395" s="54">
        <v>0</v>
      </c>
    </row>
    <row r="396" spans="2:5" ht="15" customHeight="1">
      <c r="B396" s="87"/>
      <c r="C396" s="52" t="s">
        <v>157</v>
      </c>
      <c r="D396" s="55">
        <v>1</v>
      </c>
      <c r="E396" s="54">
        <v>0</v>
      </c>
    </row>
    <row r="397" spans="2:5" ht="15" customHeight="1">
      <c r="B397" s="87"/>
      <c r="C397" s="52" t="s">
        <v>158</v>
      </c>
      <c r="D397" s="55">
        <v>2</v>
      </c>
      <c r="E397" s="54">
        <v>0</v>
      </c>
    </row>
    <row r="398" spans="2:5" ht="15" customHeight="1">
      <c r="B398" s="87"/>
      <c r="C398" s="52" t="s">
        <v>151</v>
      </c>
      <c r="D398" s="55">
        <v>29</v>
      </c>
      <c r="E398" s="54">
        <v>2E-3</v>
      </c>
    </row>
    <row r="399" spans="2:5" ht="15" customHeight="1">
      <c r="B399" s="87"/>
      <c r="C399" s="52" t="s">
        <v>144</v>
      </c>
      <c r="D399" s="55">
        <v>75</v>
      </c>
      <c r="E399" s="54">
        <v>5.0000000000000001E-3</v>
      </c>
    </row>
    <row r="400" spans="2:5" ht="15" customHeight="1">
      <c r="B400" s="87"/>
      <c r="C400" s="52" t="s">
        <v>159</v>
      </c>
      <c r="D400" s="55">
        <v>1</v>
      </c>
      <c r="E400" s="54">
        <v>0</v>
      </c>
    </row>
    <row r="401" spans="2:5" ht="15" customHeight="1">
      <c r="B401" s="87"/>
      <c r="C401" s="52" t="s">
        <v>146</v>
      </c>
      <c r="D401" s="55">
        <v>1</v>
      </c>
      <c r="E401" s="54">
        <v>0</v>
      </c>
    </row>
    <row r="402" spans="2:5" ht="15" customHeight="1">
      <c r="B402" s="87"/>
      <c r="C402" s="52" t="s">
        <v>147</v>
      </c>
      <c r="D402" s="55">
        <v>22</v>
      </c>
      <c r="E402" s="54">
        <v>2E-3</v>
      </c>
    </row>
    <row r="403" spans="2:5" ht="15" customHeight="1">
      <c r="B403" s="87"/>
      <c r="C403" s="52" t="s">
        <v>148</v>
      </c>
      <c r="D403" s="55">
        <v>1</v>
      </c>
      <c r="E403" s="54">
        <v>0</v>
      </c>
    </row>
    <row r="404" spans="2:5" ht="15" customHeight="1">
      <c r="B404" s="87"/>
      <c r="C404" s="52" t="s">
        <v>152</v>
      </c>
      <c r="D404" s="55">
        <v>1</v>
      </c>
      <c r="E404" s="54">
        <v>0</v>
      </c>
    </row>
    <row r="405" spans="2:5" ht="15" customHeight="1">
      <c r="B405" s="86"/>
      <c r="C405" s="68" t="s">
        <v>307</v>
      </c>
      <c r="D405" s="70">
        <v>183</v>
      </c>
      <c r="E405" s="69">
        <v>1.2999999999999999E-2</v>
      </c>
    </row>
    <row r="406" spans="2:5" ht="15" customHeight="1">
      <c r="B406" s="85" t="s">
        <v>60</v>
      </c>
      <c r="C406" s="52" t="s">
        <v>153</v>
      </c>
      <c r="D406" s="55">
        <v>2</v>
      </c>
      <c r="E406" s="54">
        <v>0</v>
      </c>
    </row>
    <row r="407" spans="2:5" ht="15" customHeight="1">
      <c r="B407" s="87"/>
      <c r="C407" s="52" t="s">
        <v>154</v>
      </c>
      <c r="D407" s="55">
        <v>1</v>
      </c>
      <c r="E407" s="54">
        <v>0</v>
      </c>
    </row>
    <row r="408" spans="2:5" ht="15" customHeight="1">
      <c r="B408" s="87"/>
      <c r="C408" s="52" t="s">
        <v>141</v>
      </c>
      <c r="D408" s="55">
        <v>1</v>
      </c>
      <c r="E408" s="54">
        <v>0</v>
      </c>
    </row>
    <row r="409" spans="2:5" ht="15" customHeight="1">
      <c r="B409" s="87"/>
      <c r="C409" s="52" t="s">
        <v>172</v>
      </c>
      <c r="D409" s="55">
        <v>1</v>
      </c>
      <c r="E409" s="54">
        <v>0</v>
      </c>
    </row>
    <row r="410" spans="2:5" ht="15" customHeight="1">
      <c r="B410" s="87"/>
      <c r="C410" s="52" t="s">
        <v>177</v>
      </c>
      <c r="D410" s="55">
        <v>1</v>
      </c>
      <c r="E410" s="54">
        <v>0</v>
      </c>
    </row>
    <row r="411" spans="2:5" ht="15" customHeight="1">
      <c r="B411" s="87"/>
      <c r="C411" s="52" t="s">
        <v>142</v>
      </c>
      <c r="D411" s="55">
        <v>6</v>
      </c>
      <c r="E411" s="54">
        <v>0</v>
      </c>
    </row>
    <row r="412" spans="2:5" ht="15" customHeight="1">
      <c r="B412" s="87"/>
      <c r="C412" s="52" t="s">
        <v>173</v>
      </c>
      <c r="D412" s="55">
        <v>1</v>
      </c>
      <c r="E412" s="54">
        <v>0</v>
      </c>
    </row>
    <row r="413" spans="2:5" ht="15" customHeight="1">
      <c r="B413" s="87"/>
      <c r="C413" s="52" t="s">
        <v>143</v>
      </c>
      <c r="D413" s="55">
        <v>2</v>
      </c>
      <c r="E413" s="54">
        <v>0</v>
      </c>
    </row>
    <row r="414" spans="2:5" ht="15" customHeight="1">
      <c r="B414" s="87"/>
      <c r="C414" s="52" t="s">
        <v>157</v>
      </c>
      <c r="D414" s="55">
        <v>1</v>
      </c>
      <c r="E414" s="54">
        <v>0</v>
      </c>
    </row>
    <row r="415" spans="2:5" ht="15" customHeight="1">
      <c r="B415" s="87"/>
      <c r="C415" s="52" t="s">
        <v>151</v>
      </c>
      <c r="D415" s="55">
        <v>3</v>
      </c>
      <c r="E415" s="54">
        <v>0</v>
      </c>
    </row>
    <row r="416" spans="2:5" ht="15" customHeight="1">
      <c r="B416" s="87"/>
      <c r="C416" s="52" t="s">
        <v>144</v>
      </c>
      <c r="D416" s="55">
        <v>76</v>
      </c>
      <c r="E416" s="54">
        <v>5.0000000000000001E-3</v>
      </c>
    </row>
    <row r="417" spans="2:5" ht="15" customHeight="1">
      <c r="B417" s="87"/>
      <c r="C417" s="52" t="s">
        <v>146</v>
      </c>
      <c r="D417" s="55">
        <v>1</v>
      </c>
      <c r="E417" s="54">
        <v>0</v>
      </c>
    </row>
    <row r="418" spans="2:5" ht="15" customHeight="1">
      <c r="B418" s="87"/>
      <c r="C418" s="52" t="s">
        <v>147</v>
      </c>
      <c r="D418" s="55">
        <v>5</v>
      </c>
      <c r="E418" s="54">
        <v>0</v>
      </c>
    </row>
    <row r="419" spans="2:5" ht="15" customHeight="1">
      <c r="B419" s="87"/>
      <c r="C419" s="52" t="s">
        <v>148</v>
      </c>
      <c r="D419" s="55">
        <v>2</v>
      </c>
      <c r="E419" s="54">
        <v>0</v>
      </c>
    </row>
    <row r="420" spans="2:5" ht="15" customHeight="1">
      <c r="B420" s="86"/>
      <c r="C420" s="68" t="s">
        <v>307</v>
      </c>
      <c r="D420" s="70">
        <v>103</v>
      </c>
      <c r="E420" s="69">
        <v>7.0000000000000001E-3</v>
      </c>
    </row>
    <row r="421" spans="2:5" ht="15" customHeight="1">
      <c r="B421" s="85" t="s">
        <v>48</v>
      </c>
      <c r="C421" s="52" t="s">
        <v>170</v>
      </c>
      <c r="D421" s="55">
        <v>7</v>
      </c>
      <c r="E421" s="54">
        <v>0</v>
      </c>
    </row>
    <row r="422" spans="2:5" ht="15" customHeight="1">
      <c r="B422" s="87"/>
      <c r="C422" s="52" t="s">
        <v>149</v>
      </c>
      <c r="D422" s="55">
        <v>13</v>
      </c>
      <c r="E422" s="54">
        <v>1E-3</v>
      </c>
    </row>
    <row r="423" spans="2:5" ht="15" customHeight="1">
      <c r="B423" s="87"/>
      <c r="C423" s="52" t="s">
        <v>153</v>
      </c>
      <c r="D423" s="55">
        <v>6</v>
      </c>
      <c r="E423" s="54">
        <v>0</v>
      </c>
    </row>
    <row r="424" spans="2:5" ht="15" customHeight="1">
      <c r="B424" s="87"/>
      <c r="C424" s="52" t="s">
        <v>171</v>
      </c>
      <c r="D424" s="55">
        <v>3</v>
      </c>
      <c r="E424" s="54">
        <v>0</v>
      </c>
    </row>
    <row r="425" spans="2:5" ht="15" customHeight="1">
      <c r="B425" s="87"/>
      <c r="C425" s="52" t="s">
        <v>175</v>
      </c>
      <c r="D425" s="55">
        <v>8</v>
      </c>
      <c r="E425" s="54">
        <v>1E-3</v>
      </c>
    </row>
    <row r="426" spans="2:5" ht="15" customHeight="1">
      <c r="B426" s="87"/>
      <c r="C426" s="52" t="s">
        <v>154</v>
      </c>
      <c r="D426" s="55">
        <v>112</v>
      </c>
      <c r="E426" s="54">
        <v>8.0000000000000002E-3</v>
      </c>
    </row>
    <row r="427" spans="2:5" ht="15" customHeight="1">
      <c r="B427" s="87"/>
      <c r="C427" s="52" t="s">
        <v>161</v>
      </c>
      <c r="D427" s="55">
        <v>60</v>
      </c>
      <c r="E427" s="54">
        <v>4.0000000000000001E-3</v>
      </c>
    </row>
    <row r="428" spans="2:5" ht="15" customHeight="1">
      <c r="B428" s="87"/>
      <c r="C428" s="52" t="s">
        <v>162</v>
      </c>
      <c r="D428" s="55">
        <v>192</v>
      </c>
      <c r="E428" s="54">
        <v>1.4E-2</v>
      </c>
    </row>
    <row r="429" spans="2:5" ht="15" customHeight="1">
      <c r="B429" s="87"/>
      <c r="C429" s="52" t="s">
        <v>141</v>
      </c>
      <c r="D429" s="55">
        <v>97</v>
      </c>
      <c r="E429" s="54">
        <v>7.0000000000000001E-3</v>
      </c>
    </row>
    <row r="430" spans="2:5" ht="15" customHeight="1">
      <c r="B430" s="87"/>
      <c r="C430" s="52" t="s">
        <v>172</v>
      </c>
      <c r="D430" s="55">
        <v>58</v>
      </c>
      <c r="E430" s="54">
        <v>4.0000000000000001E-3</v>
      </c>
    </row>
    <row r="431" spans="2:5" ht="15" customHeight="1">
      <c r="B431" s="87"/>
      <c r="C431" s="52" t="s">
        <v>187</v>
      </c>
      <c r="D431" s="55">
        <v>3</v>
      </c>
      <c r="E431" s="54">
        <v>0</v>
      </c>
    </row>
    <row r="432" spans="2:5" ht="15" customHeight="1">
      <c r="B432" s="87"/>
      <c r="C432" s="52" t="s">
        <v>188</v>
      </c>
      <c r="D432" s="55">
        <v>2</v>
      </c>
      <c r="E432" s="54">
        <v>0</v>
      </c>
    </row>
    <row r="433" spans="2:5" ht="15" customHeight="1">
      <c r="B433" s="87"/>
      <c r="C433" s="52" t="s">
        <v>150</v>
      </c>
      <c r="D433" s="55">
        <v>22</v>
      </c>
      <c r="E433" s="54">
        <v>2E-3</v>
      </c>
    </row>
    <row r="434" spans="2:5" ht="15" customHeight="1">
      <c r="B434" s="87"/>
      <c r="C434" s="52" t="s">
        <v>176</v>
      </c>
      <c r="D434" s="55">
        <v>80</v>
      </c>
      <c r="E434" s="54">
        <v>6.0000000000000001E-3</v>
      </c>
    </row>
    <row r="435" spans="2:5" ht="15" customHeight="1">
      <c r="B435" s="87"/>
      <c r="C435" s="52" t="s">
        <v>177</v>
      </c>
      <c r="D435" s="55">
        <v>1</v>
      </c>
      <c r="E435" s="54">
        <v>0</v>
      </c>
    </row>
    <row r="436" spans="2:5" ht="15" customHeight="1">
      <c r="B436" s="87"/>
      <c r="C436" s="52" t="s">
        <v>155</v>
      </c>
      <c r="D436" s="55">
        <v>133</v>
      </c>
      <c r="E436" s="54">
        <v>8.9999999999999993E-3</v>
      </c>
    </row>
    <row r="437" spans="2:5" ht="15" customHeight="1">
      <c r="B437" s="87"/>
      <c r="C437" s="52" t="s">
        <v>178</v>
      </c>
      <c r="D437" s="55">
        <v>7</v>
      </c>
      <c r="E437" s="54">
        <v>0</v>
      </c>
    </row>
    <row r="438" spans="2:5" ht="15" customHeight="1">
      <c r="B438" s="87"/>
      <c r="C438" s="52" t="s">
        <v>179</v>
      </c>
      <c r="D438" s="55">
        <v>1</v>
      </c>
      <c r="E438" s="54">
        <v>0</v>
      </c>
    </row>
    <row r="439" spans="2:5" ht="15" customHeight="1">
      <c r="B439" s="87"/>
      <c r="C439" s="52" t="s">
        <v>142</v>
      </c>
      <c r="D439" s="55">
        <v>106</v>
      </c>
      <c r="E439" s="54">
        <v>7.0000000000000001E-3</v>
      </c>
    </row>
    <row r="440" spans="2:5" ht="15" customHeight="1">
      <c r="B440" s="87"/>
      <c r="C440" s="52" t="s">
        <v>189</v>
      </c>
      <c r="D440" s="55">
        <v>1</v>
      </c>
      <c r="E440" s="54">
        <v>0</v>
      </c>
    </row>
    <row r="441" spans="2:5" ht="15" customHeight="1">
      <c r="B441" s="87"/>
      <c r="C441" s="52" t="s">
        <v>173</v>
      </c>
      <c r="D441" s="55">
        <v>7</v>
      </c>
      <c r="E441" s="54">
        <v>0</v>
      </c>
    </row>
    <row r="442" spans="2:5" ht="15" customHeight="1">
      <c r="B442" s="87"/>
      <c r="C442" s="52" t="s">
        <v>168</v>
      </c>
      <c r="D442" s="55">
        <v>4</v>
      </c>
      <c r="E442" s="54">
        <v>0</v>
      </c>
    </row>
    <row r="443" spans="2:5" ht="15" customHeight="1">
      <c r="B443" s="87"/>
      <c r="C443" s="52" t="s">
        <v>190</v>
      </c>
      <c r="D443" s="55">
        <v>2</v>
      </c>
      <c r="E443" s="54">
        <v>0</v>
      </c>
    </row>
    <row r="444" spans="2:5" ht="15" customHeight="1">
      <c r="B444" s="87"/>
      <c r="C444" s="52" t="s">
        <v>156</v>
      </c>
      <c r="D444" s="55">
        <v>5</v>
      </c>
      <c r="E444" s="54">
        <v>0</v>
      </c>
    </row>
    <row r="445" spans="2:5" ht="15" customHeight="1">
      <c r="B445" s="87"/>
      <c r="C445" s="52" t="s">
        <v>143</v>
      </c>
      <c r="D445" s="55">
        <v>182</v>
      </c>
      <c r="E445" s="54">
        <v>1.2999999999999999E-2</v>
      </c>
    </row>
    <row r="446" spans="2:5" ht="15" customHeight="1">
      <c r="B446" s="87"/>
      <c r="C446" s="52" t="s">
        <v>163</v>
      </c>
      <c r="D446" s="55">
        <v>28</v>
      </c>
      <c r="E446" s="54">
        <v>2E-3</v>
      </c>
    </row>
    <row r="447" spans="2:5" ht="15" customHeight="1">
      <c r="B447" s="87"/>
      <c r="C447" s="52" t="s">
        <v>164</v>
      </c>
      <c r="D447" s="55">
        <v>34</v>
      </c>
      <c r="E447" s="54">
        <v>2E-3</v>
      </c>
    </row>
    <row r="448" spans="2:5" ht="15" customHeight="1">
      <c r="B448" s="87"/>
      <c r="C448" s="52" t="s">
        <v>157</v>
      </c>
      <c r="D448" s="55">
        <v>45</v>
      </c>
      <c r="E448" s="54">
        <v>3.0000000000000001E-3</v>
      </c>
    </row>
    <row r="449" spans="2:5" ht="15" customHeight="1">
      <c r="B449" s="87"/>
      <c r="C449" s="52" t="s">
        <v>186</v>
      </c>
      <c r="D449" s="55">
        <v>3</v>
      </c>
      <c r="E449" s="54">
        <v>0</v>
      </c>
    </row>
    <row r="450" spans="2:5" ht="15" customHeight="1">
      <c r="B450" s="87"/>
      <c r="C450" s="52" t="s">
        <v>191</v>
      </c>
      <c r="D450" s="55">
        <v>2</v>
      </c>
      <c r="E450" s="54">
        <v>0</v>
      </c>
    </row>
    <row r="451" spans="2:5" ht="15" customHeight="1">
      <c r="B451" s="87"/>
      <c r="C451" s="52" t="s">
        <v>158</v>
      </c>
      <c r="D451" s="55">
        <v>22</v>
      </c>
      <c r="E451" s="54">
        <v>2E-3</v>
      </c>
    </row>
    <row r="452" spans="2:5" ht="15" customHeight="1">
      <c r="B452" s="87"/>
      <c r="C452" s="52" t="s">
        <v>151</v>
      </c>
      <c r="D452" s="55">
        <v>176</v>
      </c>
      <c r="E452" s="54">
        <v>1.2E-2</v>
      </c>
    </row>
    <row r="453" spans="2:5" ht="15" customHeight="1">
      <c r="B453" s="87"/>
      <c r="C453" s="52" t="s">
        <v>144</v>
      </c>
      <c r="D453" s="55">
        <v>683</v>
      </c>
      <c r="E453" s="54">
        <v>4.8000000000000001E-2</v>
      </c>
    </row>
    <row r="454" spans="2:5" ht="15" customHeight="1">
      <c r="B454" s="87"/>
      <c r="C454" s="52" t="s">
        <v>145</v>
      </c>
      <c r="D454" s="55">
        <v>6</v>
      </c>
      <c r="E454" s="54">
        <v>0</v>
      </c>
    </row>
    <row r="455" spans="2:5" ht="15" customHeight="1">
      <c r="B455" s="87"/>
      <c r="C455" s="52" t="s">
        <v>146</v>
      </c>
      <c r="D455" s="55">
        <v>14</v>
      </c>
      <c r="E455" s="54">
        <v>1E-3</v>
      </c>
    </row>
    <row r="456" spans="2:5" ht="15" customHeight="1">
      <c r="B456" s="87"/>
      <c r="C456" s="52" t="s">
        <v>166</v>
      </c>
      <c r="D456" s="55">
        <v>1</v>
      </c>
      <c r="E456" s="54">
        <v>0</v>
      </c>
    </row>
    <row r="457" spans="2:5" ht="15" customHeight="1">
      <c r="B457" s="87"/>
      <c r="C457" s="52" t="s">
        <v>147</v>
      </c>
      <c r="D457" s="55">
        <v>106</v>
      </c>
      <c r="E457" s="54">
        <v>7.0000000000000001E-3</v>
      </c>
    </row>
    <row r="458" spans="2:5" ht="15" customHeight="1">
      <c r="B458" s="87"/>
      <c r="C458" s="52" t="s">
        <v>148</v>
      </c>
      <c r="D458" s="55">
        <v>28</v>
      </c>
      <c r="E458" s="54">
        <v>2E-3</v>
      </c>
    </row>
    <row r="459" spans="2:5" ht="15" customHeight="1">
      <c r="B459" s="87"/>
      <c r="C459" s="52" t="s">
        <v>169</v>
      </c>
      <c r="D459" s="55">
        <v>1</v>
      </c>
      <c r="E459" s="54">
        <v>0</v>
      </c>
    </row>
    <row r="460" spans="2:5" ht="15" customHeight="1">
      <c r="B460" s="87"/>
      <c r="C460" s="52" t="s">
        <v>152</v>
      </c>
      <c r="D460" s="55">
        <v>7</v>
      </c>
      <c r="E460" s="54">
        <v>0</v>
      </c>
    </row>
    <row r="461" spans="2:5" ht="15" customHeight="1">
      <c r="B461" s="87"/>
      <c r="C461" s="52" t="s">
        <v>174</v>
      </c>
      <c r="D461" s="55">
        <v>1</v>
      </c>
      <c r="E461" s="54">
        <v>0</v>
      </c>
    </row>
    <row r="462" spans="2:5" ht="15" customHeight="1">
      <c r="B462" s="86"/>
      <c r="C462" s="68" t="s">
        <v>307</v>
      </c>
      <c r="D462" s="70">
        <v>2269</v>
      </c>
      <c r="E462" s="69">
        <v>0.16</v>
      </c>
    </row>
    <row r="463" spans="2:5" ht="15" customHeight="1">
      <c r="B463" s="85" t="s">
        <v>69</v>
      </c>
      <c r="C463" s="52" t="s">
        <v>170</v>
      </c>
      <c r="D463" s="55">
        <v>2</v>
      </c>
      <c r="E463" s="54">
        <v>0</v>
      </c>
    </row>
    <row r="464" spans="2:5" ht="15" customHeight="1">
      <c r="B464" s="87"/>
      <c r="C464" s="52" t="s">
        <v>175</v>
      </c>
      <c r="D464" s="55">
        <v>1</v>
      </c>
      <c r="E464" s="54">
        <v>0</v>
      </c>
    </row>
    <row r="465" spans="2:5" ht="15" customHeight="1">
      <c r="B465" s="87"/>
      <c r="C465" s="52" t="s">
        <v>160</v>
      </c>
      <c r="D465" s="55">
        <v>1</v>
      </c>
      <c r="E465" s="54">
        <v>0</v>
      </c>
    </row>
    <row r="466" spans="2:5" ht="15" customHeight="1">
      <c r="B466" s="87"/>
      <c r="C466" s="52" t="s">
        <v>284</v>
      </c>
      <c r="D466" s="55">
        <v>1</v>
      </c>
      <c r="E466" s="54">
        <v>0</v>
      </c>
    </row>
    <row r="467" spans="2:5" ht="15" customHeight="1">
      <c r="B467" s="87"/>
      <c r="C467" s="52" t="s">
        <v>141</v>
      </c>
      <c r="D467" s="55">
        <v>6</v>
      </c>
      <c r="E467" s="54">
        <v>0</v>
      </c>
    </row>
    <row r="468" spans="2:5" ht="15" customHeight="1">
      <c r="B468" s="87"/>
      <c r="C468" s="52" t="s">
        <v>142</v>
      </c>
      <c r="D468" s="55">
        <v>2</v>
      </c>
      <c r="E468" s="54">
        <v>0</v>
      </c>
    </row>
    <row r="469" spans="2:5" ht="15" customHeight="1">
      <c r="B469" s="87"/>
      <c r="C469" s="52" t="s">
        <v>180</v>
      </c>
      <c r="D469" s="55">
        <v>1</v>
      </c>
      <c r="E469" s="54">
        <v>0</v>
      </c>
    </row>
    <row r="470" spans="2:5" ht="15" customHeight="1">
      <c r="B470" s="87"/>
      <c r="C470" s="52" t="s">
        <v>143</v>
      </c>
      <c r="D470" s="55">
        <v>2</v>
      </c>
      <c r="E470" s="54">
        <v>0</v>
      </c>
    </row>
    <row r="471" spans="2:5" ht="15" customHeight="1">
      <c r="B471" s="87"/>
      <c r="C471" s="52" t="s">
        <v>158</v>
      </c>
      <c r="D471" s="55">
        <v>1</v>
      </c>
      <c r="E471" s="54">
        <v>0</v>
      </c>
    </row>
    <row r="472" spans="2:5" ht="15" customHeight="1">
      <c r="B472" s="87"/>
      <c r="C472" s="52" t="s">
        <v>151</v>
      </c>
      <c r="D472" s="55">
        <v>3</v>
      </c>
      <c r="E472" s="54">
        <v>0</v>
      </c>
    </row>
    <row r="473" spans="2:5" ht="15" customHeight="1">
      <c r="B473" s="87"/>
      <c r="C473" s="52" t="s">
        <v>144</v>
      </c>
      <c r="D473" s="55">
        <v>37</v>
      </c>
      <c r="E473" s="54">
        <v>3.0000000000000001E-3</v>
      </c>
    </row>
    <row r="474" spans="2:5" ht="15" customHeight="1">
      <c r="B474" s="87"/>
      <c r="C474" s="52" t="s">
        <v>146</v>
      </c>
      <c r="D474" s="55">
        <v>1</v>
      </c>
      <c r="E474" s="54">
        <v>0</v>
      </c>
    </row>
    <row r="475" spans="2:5" ht="15" customHeight="1">
      <c r="B475" s="87"/>
      <c r="C475" s="52" t="s">
        <v>147</v>
      </c>
      <c r="D475" s="55">
        <v>6</v>
      </c>
      <c r="E475" s="54">
        <v>0</v>
      </c>
    </row>
    <row r="476" spans="2:5" ht="15" customHeight="1">
      <c r="B476" s="87"/>
      <c r="C476" s="52" t="s">
        <v>148</v>
      </c>
      <c r="D476" s="55">
        <v>3</v>
      </c>
      <c r="E476" s="54">
        <v>0</v>
      </c>
    </row>
    <row r="477" spans="2:5" ht="15" customHeight="1">
      <c r="B477" s="86"/>
      <c r="C477" s="68" t="s">
        <v>307</v>
      </c>
      <c r="D477" s="70">
        <v>67</v>
      </c>
      <c r="E477" s="69">
        <v>5.0000000000000001E-3</v>
      </c>
    </row>
    <row r="478" spans="2:5" ht="15" customHeight="1">
      <c r="B478" s="85" t="s">
        <v>72</v>
      </c>
      <c r="C478" s="52" t="s">
        <v>175</v>
      </c>
      <c r="D478" s="55">
        <v>1</v>
      </c>
      <c r="E478" s="54">
        <v>0</v>
      </c>
    </row>
    <row r="479" spans="2:5" ht="15" customHeight="1">
      <c r="B479" s="87"/>
      <c r="C479" s="52" t="s">
        <v>150</v>
      </c>
      <c r="D479" s="55">
        <v>2</v>
      </c>
      <c r="E479" s="54">
        <v>0</v>
      </c>
    </row>
    <row r="480" spans="2:5" ht="15" customHeight="1">
      <c r="B480" s="87"/>
      <c r="C480" s="52" t="s">
        <v>142</v>
      </c>
      <c r="D480" s="55">
        <v>1</v>
      </c>
      <c r="E480" s="54">
        <v>0</v>
      </c>
    </row>
    <row r="481" spans="2:5" ht="15" customHeight="1">
      <c r="B481" s="87"/>
      <c r="C481" s="52" t="s">
        <v>143</v>
      </c>
      <c r="D481" s="55">
        <v>5</v>
      </c>
      <c r="E481" s="54">
        <v>0</v>
      </c>
    </row>
    <row r="482" spans="2:5" ht="15" customHeight="1">
      <c r="B482" s="87"/>
      <c r="C482" s="52" t="s">
        <v>144</v>
      </c>
      <c r="D482" s="55">
        <v>15</v>
      </c>
      <c r="E482" s="54">
        <v>1E-3</v>
      </c>
    </row>
    <row r="483" spans="2:5" ht="15" customHeight="1">
      <c r="B483" s="86"/>
      <c r="C483" s="68" t="s">
        <v>307</v>
      </c>
      <c r="D483" s="70">
        <v>24</v>
      </c>
      <c r="E483" s="69">
        <v>2E-3</v>
      </c>
    </row>
    <row r="484" spans="2:5" ht="15" customHeight="1">
      <c r="B484" s="85" t="s">
        <v>94</v>
      </c>
      <c r="C484" s="52" t="s">
        <v>167</v>
      </c>
      <c r="D484" s="55">
        <v>1</v>
      </c>
      <c r="E484" s="54">
        <v>0</v>
      </c>
    </row>
    <row r="485" spans="2:5" ht="15" customHeight="1">
      <c r="B485" s="87"/>
      <c r="C485" s="52" t="s">
        <v>154</v>
      </c>
      <c r="D485" s="55">
        <v>1</v>
      </c>
      <c r="E485" s="54">
        <v>0</v>
      </c>
    </row>
    <row r="486" spans="2:5" ht="15" customHeight="1">
      <c r="B486" s="87"/>
      <c r="C486" s="52" t="s">
        <v>141</v>
      </c>
      <c r="D486" s="55">
        <v>1</v>
      </c>
      <c r="E486" s="54">
        <v>0</v>
      </c>
    </row>
    <row r="487" spans="2:5" ht="15" customHeight="1">
      <c r="B487" s="87"/>
      <c r="C487" s="52" t="s">
        <v>142</v>
      </c>
      <c r="D487" s="55">
        <v>1</v>
      </c>
      <c r="E487" s="54">
        <v>0</v>
      </c>
    </row>
    <row r="488" spans="2:5" ht="15" customHeight="1">
      <c r="B488" s="87"/>
      <c r="C488" s="52" t="s">
        <v>157</v>
      </c>
      <c r="D488" s="55">
        <v>1</v>
      </c>
      <c r="E488" s="54">
        <v>0</v>
      </c>
    </row>
    <row r="489" spans="2:5" ht="15" customHeight="1">
      <c r="B489" s="87"/>
      <c r="C489" s="52" t="s">
        <v>144</v>
      </c>
      <c r="D489" s="55">
        <v>6</v>
      </c>
      <c r="E489" s="54">
        <v>0</v>
      </c>
    </row>
    <row r="490" spans="2:5" ht="15" customHeight="1">
      <c r="B490" s="86"/>
      <c r="C490" s="68" t="s">
        <v>307</v>
      </c>
      <c r="D490" s="70">
        <v>11</v>
      </c>
      <c r="E490" s="69">
        <v>1E-3</v>
      </c>
    </row>
    <row r="491" spans="2:5" ht="15" customHeight="1">
      <c r="B491" s="85" t="s">
        <v>95</v>
      </c>
      <c r="C491" s="52" t="s">
        <v>144</v>
      </c>
      <c r="D491" s="55">
        <v>1</v>
      </c>
      <c r="E491" s="54">
        <v>0</v>
      </c>
    </row>
    <row r="492" spans="2:5" ht="15" customHeight="1">
      <c r="B492" s="86"/>
      <c r="C492" s="68" t="s">
        <v>307</v>
      </c>
      <c r="D492" s="70">
        <v>1</v>
      </c>
      <c r="E492" s="69">
        <v>0</v>
      </c>
    </row>
    <row r="493" spans="2:5" ht="15" customHeight="1">
      <c r="B493" s="85" t="s">
        <v>62</v>
      </c>
      <c r="C493" s="52" t="s">
        <v>149</v>
      </c>
      <c r="D493" s="55">
        <v>1</v>
      </c>
      <c r="E493" s="54">
        <v>0</v>
      </c>
    </row>
    <row r="494" spans="2:5" ht="15" customHeight="1">
      <c r="B494" s="87"/>
      <c r="C494" s="52" t="s">
        <v>154</v>
      </c>
      <c r="D494" s="55">
        <v>3</v>
      </c>
      <c r="E494" s="54">
        <v>0</v>
      </c>
    </row>
    <row r="495" spans="2:5" ht="15" customHeight="1">
      <c r="B495" s="87"/>
      <c r="C495" s="52" t="s">
        <v>161</v>
      </c>
      <c r="D495" s="55">
        <v>3</v>
      </c>
      <c r="E495" s="54">
        <v>0</v>
      </c>
    </row>
    <row r="496" spans="2:5" ht="15" customHeight="1">
      <c r="B496" s="87"/>
      <c r="C496" s="52" t="s">
        <v>162</v>
      </c>
      <c r="D496" s="55">
        <v>1</v>
      </c>
      <c r="E496" s="54">
        <v>0</v>
      </c>
    </row>
    <row r="497" spans="2:5" ht="15" customHeight="1">
      <c r="B497" s="87"/>
      <c r="C497" s="52" t="s">
        <v>141</v>
      </c>
      <c r="D497" s="55">
        <v>3</v>
      </c>
      <c r="E497" s="54">
        <v>0</v>
      </c>
    </row>
    <row r="498" spans="2:5" ht="15" customHeight="1">
      <c r="B498" s="87"/>
      <c r="C498" s="52" t="s">
        <v>176</v>
      </c>
      <c r="D498" s="55">
        <v>1</v>
      </c>
      <c r="E498" s="54">
        <v>0</v>
      </c>
    </row>
    <row r="499" spans="2:5" ht="15" customHeight="1">
      <c r="B499" s="87"/>
      <c r="C499" s="52" t="s">
        <v>142</v>
      </c>
      <c r="D499" s="55">
        <v>8</v>
      </c>
      <c r="E499" s="54">
        <v>1E-3</v>
      </c>
    </row>
    <row r="500" spans="2:5" ht="15" customHeight="1">
      <c r="B500" s="87"/>
      <c r="C500" s="52" t="s">
        <v>143</v>
      </c>
      <c r="D500" s="55">
        <v>7</v>
      </c>
      <c r="E500" s="54">
        <v>0</v>
      </c>
    </row>
    <row r="501" spans="2:5" ht="15" customHeight="1">
      <c r="B501" s="87"/>
      <c r="C501" s="52" t="s">
        <v>158</v>
      </c>
      <c r="D501" s="55">
        <v>2</v>
      </c>
      <c r="E501" s="54">
        <v>0</v>
      </c>
    </row>
    <row r="502" spans="2:5" ht="15" customHeight="1">
      <c r="B502" s="87"/>
      <c r="C502" s="52" t="s">
        <v>165</v>
      </c>
      <c r="D502" s="55">
        <v>1</v>
      </c>
      <c r="E502" s="54">
        <v>0</v>
      </c>
    </row>
    <row r="503" spans="2:5" ht="15" customHeight="1">
      <c r="B503" s="87"/>
      <c r="C503" s="52" t="s">
        <v>151</v>
      </c>
      <c r="D503" s="55">
        <v>5</v>
      </c>
      <c r="E503" s="54">
        <v>0</v>
      </c>
    </row>
    <row r="504" spans="2:5" ht="15" customHeight="1">
      <c r="B504" s="87"/>
      <c r="C504" s="52" t="s">
        <v>144</v>
      </c>
      <c r="D504" s="55">
        <v>38</v>
      </c>
      <c r="E504" s="54">
        <v>3.0000000000000001E-3</v>
      </c>
    </row>
    <row r="505" spans="2:5" ht="15" customHeight="1">
      <c r="B505" s="87"/>
      <c r="C505" s="52" t="s">
        <v>147</v>
      </c>
      <c r="D505" s="55">
        <v>10</v>
      </c>
      <c r="E505" s="54">
        <v>1E-3</v>
      </c>
    </row>
    <row r="506" spans="2:5" ht="15" customHeight="1">
      <c r="B506" s="86"/>
      <c r="C506" s="68" t="s">
        <v>307</v>
      </c>
      <c r="D506" s="70">
        <v>83</v>
      </c>
      <c r="E506" s="69">
        <v>6.0000000000000001E-3</v>
      </c>
    </row>
    <row r="507" spans="2:5" ht="15" customHeight="1">
      <c r="B507" s="85" t="s">
        <v>84</v>
      </c>
      <c r="C507" s="52" t="s">
        <v>154</v>
      </c>
      <c r="D507" s="55">
        <v>1</v>
      </c>
      <c r="E507" s="54">
        <v>0</v>
      </c>
    </row>
    <row r="508" spans="2:5" ht="15" customHeight="1">
      <c r="B508" s="87"/>
      <c r="C508" s="52" t="s">
        <v>143</v>
      </c>
      <c r="D508" s="55">
        <v>1</v>
      </c>
      <c r="E508" s="54">
        <v>0</v>
      </c>
    </row>
    <row r="509" spans="2:5" ht="15" customHeight="1">
      <c r="B509" s="87"/>
      <c r="C509" s="52" t="s">
        <v>151</v>
      </c>
      <c r="D509" s="55">
        <v>1</v>
      </c>
      <c r="E509" s="54">
        <v>0</v>
      </c>
    </row>
    <row r="510" spans="2:5" ht="15" customHeight="1">
      <c r="B510" s="87"/>
      <c r="C510" s="52" t="s">
        <v>144</v>
      </c>
      <c r="D510" s="55">
        <v>16</v>
      </c>
      <c r="E510" s="54">
        <v>1E-3</v>
      </c>
    </row>
    <row r="511" spans="2:5" ht="15" customHeight="1">
      <c r="B511" s="87"/>
      <c r="C511" s="52" t="s">
        <v>147</v>
      </c>
      <c r="D511" s="55">
        <v>1</v>
      </c>
      <c r="E511" s="54">
        <v>0</v>
      </c>
    </row>
    <row r="512" spans="2:5" ht="15" customHeight="1">
      <c r="B512" s="86"/>
      <c r="C512" s="68" t="s">
        <v>307</v>
      </c>
      <c r="D512" s="70">
        <v>20</v>
      </c>
      <c r="E512" s="69">
        <v>1E-3</v>
      </c>
    </row>
    <row r="513" spans="2:5" ht="15" customHeight="1">
      <c r="B513" s="85" t="s">
        <v>58</v>
      </c>
      <c r="C513" s="52" t="s">
        <v>149</v>
      </c>
      <c r="D513" s="55">
        <v>1</v>
      </c>
      <c r="E513" s="54">
        <v>0</v>
      </c>
    </row>
    <row r="514" spans="2:5" ht="15" customHeight="1">
      <c r="B514" s="87"/>
      <c r="C514" s="52" t="s">
        <v>175</v>
      </c>
      <c r="D514" s="55">
        <v>1</v>
      </c>
      <c r="E514" s="54">
        <v>0</v>
      </c>
    </row>
    <row r="515" spans="2:5" ht="15" customHeight="1">
      <c r="B515" s="87"/>
      <c r="C515" s="52" t="s">
        <v>154</v>
      </c>
      <c r="D515" s="55">
        <v>1</v>
      </c>
      <c r="E515" s="54">
        <v>0</v>
      </c>
    </row>
    <row r="516" spans="2:5" ht="15" customHeight="1">
      <c r="B516" s="87"/>
      <c r="C516" s="52" t="s">
        <v>161</v>
      </c>
      <c r="D516" s="55">
        <v>2</v>
      </c>
      <c r="E516" s="54">
        <v>0</v>
      </c>
    </row>
    <row r="517" spans="2:5" ht="15" customHeight="1">
      <c r="B517" s="87"/>
      <c r="C517" s="52" t="s">
        <v>140</v>
      </c>
      <c r="D517" s="55">
        <v>1</v>
      </c>
      <c r="E517" s="54">
        <v>0</v>
      </c>
    </row>
    <row r="518" spans="2:5" ht="15" customHeight="1">
      <c r="B518" s="87"/>
      <c r="C518" s="52" t="s">
        <v>141</v>
      </c>
      <c r="D518" s="55">
        <v>11</v>
      </c>
      <c r="E518" s="54">
        <v>1E-3</v>
      </c>
    </row>
    <row r="519" spans="2:5" ht="15" customHeight="1">
      <c r="B519" s="87"/>
      <c r="C519" s="52" t="s">
        <v>150</v>
      </c>
      <c r="D519" s="55">
        <v>3</v>
      </c>
      <c r="E519" s="54">
        <v>0</v>
      </c>
    </row>
    <row r="520" spans="2:5" ht="15" customHeight="1">
      <c r="B520" s="87"/>
      <c r="C520" s="52" t="s">
        <v>177</v>
      </c>
      <c r="D520" s="55">
        <v>1</v>
      </c>
      <c r="E520" s="54">
        <v>0</v>
      </c>
    </row>
    <row r="521" spans="2:5" ht="15" customHeight="1">
      <c r="B521" s="87"/>
      <c r="C521" s="52" t="s">
        <v>142</v>
      </c>
      <c r="D521" s="55">
        <v>23</v>
      </c>
      <c r="E521" s="54">
        <v>2E-3</v>
      </c>
    </row>
    <row r="522" spans="2:5" ht="15" customHeight="1">
      <c r="B522" s="87"/>
      <c r="C522" s="52" t="s">
        <v>182</v>
      </c>
      <c r="D522" s="55">
        <v>1</v>
      </c>
      <c r="E522" s="54">
        <v>0</v>
      </c>
    </row>
    <row r="523" spans="2:5" ht="15" customHeight="1">
      <c r="B523" s="87"/>
      <c r="C523" s="52" t="s">
        <v>143</v>
      </c>
      <c r="D523" s="55">
        <v>4</v>
      </c>
      <c r="E523" s="54">
        <v>0</v>
      </c>
    </row>
    <row r="524" spans="2:5" ht="15" customHeight="1">
      <c r="B524" s="87"/>
      <c r="C524" s="52" t="s">
        <v>158</v>
      </c>
      <c r="D524" s="55">
        <v>9</v>
      </c>
      <c r="E524" s="54">
        <v>1E-3</v>
      </c>
    </row>
    <row r="525" spans="2:5" ht="15" customHeight="1">
      <c r="B525" s="87"/>
      <c r="C525" s="52" t="s">
        <v>144</v>
      </c>
      <c r="D525" s="55">
        <v>103</v>
      </c>
      <c r="E525" s="54">
        <v>7.0000000000000001E-3</v>
      </c>
    </row>
    <row r="526" spans="2:5" ht="15" customHeight="1">
      <c r="B526" s="87"/>
      <c r="C526" s="52" t="s">
        <v>146</v>
      </c>
      <c r="D526" s="55">
        <v>1</v>
      </c>
      <c r="E526" s="54">
        <v>0</v>
      </c>
    </row>
    <row r="527" spans="2:5" ht="15" customHeight="1">
      <c r="B527" s="87"/>
      <c r="C527" s="52" t="s">
        <v>147</v>
      </c>
      <c r="D527" s="55">
        <v>25</v>
      </c>
      <c r="E527" s="54">
        <v>2E-3</v>
      </c>
    </row>
    <row r="528" spans="2:5" ht="15" customHeight="1">
      <c r="B528" s="87"/>
      <c r="C528" s="52" t="s">
        <v>148</v>
      </c>
      <c r="D528" s="55">
        <v>4</v>
      </c>
      <c r="E528" s="54">
        <v>0</v>
      </c>
    </row>
    <row r="529" spans="2:5" ht="15" customHeight="1">
      <c r="B529" s="87"/>
      <c r="C529" s="52" t="s">
        <v>169</v>
      </c>
      <c r="D529" s="55">
        <v>1</v>
      </c>
      <c r="E529" s="54">
        <v>0</v>
      </c>
    </row>
    <row r="530" spans="2:5" ht="15" customHeight="1">
      <c r="B530" s="87"/>
      <c r="C530" s="52" t="s">
        <v>152</v>
      </c>
      <c r="D530" s="55">
        <v>1</v>
      </c>
      <c r="E530" s="54">
        <v>0</v>
      </c>
    </row>
    <row r="531" spans="2:5" ht="15" customHeight="1">
      <c r="B531" s="87"/>
      <c r="C531" s="52" t="s">
        <v>174</v>
      </c>
      <c r="D531" s="55">
        <v>1</v>
      </c>
      <c r="E531" s="54">
        <v>0</v>
      </c>
    </row>
    <row r="532" spans="2:5" ht="15" customHeight="1">
      <c r="B532" s="87"/>
      <c r="C532" s="68" t="s">
        <v>307</v>
      </c>
      <c r="D532" s="70">
        <v>194</v>
      </c>
      <c r="E532" s="69">
        <v>1.4E-2</v>
      </c>
    </row>
    <row r="533" spans="2:5" ht="15" customHeight="1">
      <c r="B533" s="87"/>
      <c r="C533" s="52" t="s">
        <v>149</v>
      </c>
      <c r="D533" s="55">
        <v>1</v>
      </c>
      <c r="E533" s="54">
        <v>0</v>
      </c>
    </row>
    <row r="534" spans="2:5" ht="15" customHeight="1">
      <c r="B534" s="87"/>
      <c r="C534" s="52" t="s">
        <v>175</v>
      </c>
      <c r="D534" s="55">
        <v>1</v>
      </c>
      <c r="E534" s="54">
        <v>0</v>
      </c>
    </row>
    <row r="535" spans="2:5" ht="15" customHeight="1">
      <c r="B535" s="87"/>
      <c r="C535" s="52" t="s">
        <v>154</v>
      </c>
      <c r="D535" s="55">
        <v>1</v>
      </c>
      <c r="E535" s="54">
        <v>0</v>
      </c>
    </row>
    <row r="536" spans="2:5" ht="15" customHeight="1">
      <c r="B536" s="87"/>
      <c r="C536" s="52" t="s">
        <v>162</v>
      </c>
      <c r="D536" s="55">
        <v>1</v>
      </c>
      <c r="E536" s="54">
        <v>0</v>
      </c>
    </row>
    <row r="537" spans="2:5" ht="15" customHeight="1">
      <c r="B537" s="87"/>
      <c r="C537" s="52" t="s">
        <v>141</v>
      </c>
      <c r="D537" s="55">
        <v>1</v>
      </c>
      <c r="E537" s="54">
        <v>0</v>
      </c>
    </row>
    <row r="538" spans="2:5" ht="15" customHeight="1">
      <c r="B538" s="87"/>
      <c r="C538" s="52" t="s">
        <v>155</v>
      </c>
      <c r="D538" s="55">
        <v>1</v>
      </c>
      <c r="E538" s="54">
        <v>0</v>
      </c>
    </row>
    <row r="539" spans="2:5" ht="15" customHeight="1">
      <c r="B539" s="87"/>
      <c r="C539" s="52" t="s">
        <v>142</v>
      </c>
      <c r="D539" s="55">
        <v>3</v>
      </c>
      <c r="E539" s="54">
        <v>0</v>
      </c>
    </row>
    <row r="540" spans="2:5" ht="15" customHeight="1">
      <c r="B540" s="87"/>
      <c r="C540" s="52" t="s">
        <v>157</v>
      </c>
      <c r="D540" s="55">
        <v>1</v>
      </c>
      <c r="E540" s="54">
        <v>0</v>
      </c>
    </row>
    <row r="541" spans="2:5" ht="15" customHeight="1">
      <c r="B541" s="87"/>
      <c r="C541" s="52" t="s">
        <v>151</v>
      </c>
      <c r="D541" s="55">
        <v>4</v>
      </c>
      <c r="E541" s="54">
        <v>0</v>
      </c>
    </row>
    <row r="542" spans="2:5" ht="15" customHeight="1">
      <c r="B542" s="87"/>
      <c r="C542" s="52" t="s">
        <v>144</v>
      </c>
      <c r="D542" s="55">
        <v>17</v>
      </c>
      <c r="E542" s="54">
        <v>1E-3</v>
      </c>
    </row>
    <row r="543" spans="2:5" ht="15" customHeight="1">
      <c r="B543" s="87"/>
      <c r="C543" s="52" t="s">
        <v>147</v>
      </c>
      <c r="D543" s="55">
        <v>3</v>
      </c>
      <c r="E543" s="54">
        <v>0</v>
      </c>
    </row>
    <row r="544" spans="2:5" ht="15" customHeight="1">
      <c r="B544" s="87"/>
      <c r="C544" s="52" t="s">
        <v>148</v>
      </c>
      <c r="D544" s="55">
        <v>1</v>
      </c>
      <c r="E544" s="54">
        <v>0</v>
      </c>
    </row>
    <row r="545" spans="2:5" ht="15" customHeight="1">
      <c r="B545" s="86"/>
      <c r="C545" s="68" t="s">
        <v>307</v>
      </c>
      <c r="D545" s="70">
        <v>35</v>
      </c>
      <c r="E545" s="69">
        <v>2E-3</v>
      </c>
    </row>
    <row r="546" spans="2:5" ht="15" customHeight="1">
      <c r="B546" s="85" t="s">
        <v>59</v>
      </c>
      <c r="C546" s="52" t="s">
        <v>154</v>
      </c>
      <c r="D546" s="55">
        <v>1</v>
      </c>
      <c r="E546" s="54">
        <v>0</v>
      </c>
    </row>
    <row r="547" spans="2:5" ht="15" customHeight="1">
      <c r="B547" s="87"/>
      <c r="C547" s="52" t="s">
        <v>162</v>
      </c>
      <c r="D547" s="55">
        <v>3</v>
      </c>
      <c r="E547" s="54">
        <v>0</v>
      </c>
    </row>
    <row r="548" spans="2:5" ht="15" customHeight="1">
      <c r="B548" s="87"/>
      <c r="C548" s="52" t="s">
        <v>141</v>
      </c>
      <c r="D548" s="55">
        <v>15</v>
      </c>
      <c r="E548" s="54">
        <v>1E-3</v>
      </c>
    </row>
    <row r="549" spans="2:5" ht="15" customHeight="1">
      <c r="B549" s="87"/>
      <c r="C549" s="52" t="s">
        <v>172</v>
      </c>
      <c r="D549" s="55">
        <v>1</v>
      </c>
      <c r="E549" s="54">
        <v>0</v>
      </c>
    </row>
    <row r="550" spans="2:5" ht="15" customHeight="1">
      <c r="B550" s="87"/>
      <c r="C550" s="52" t="s">
        <v>150</v>
      </c>
      <c r="D550" s="55">
        <v>3</v>
      </c>
      <c r="E550" s="54">
        <v>0</v>
      </c>
    </row>
    <row r="551" spans="2:5" ht="15" customHeight="1">
      <c r="B551" s="87"/>
      <c r="C551" s="52" t="s">
        <v>155</v>
      </c>
      <c r="D551" s="55">
        <v>1</v>
      </c>
      <c r="E551" s="54">
        <v>0</v>
      </c>
    </row>
    <row r="552" spans="2:5" ht="15" customHeight="1">
      <c r="B552" s="87"/>
      <c r="C552" s="52" t="s">
        <v>142</v>
      </c>
      <c r="D552" s="55">
        <v>5</v>
      </c>
      <c r="E552" s="54">
        <v>0</v>
      </c>
    </row>
    <row r="553" spans="2:5" ht="15" customHeight="1">
      <c r="B553" s="87"/>
      <c r="C553" s="52" t="s">
        <v>173</v>
      </c>
      <c r="D553" s="55">
        <v>3</v>
      </c>
      <c r="E553" s="54">
        <v>0</v>
      </c>
    </row>
    <row r="554" spans="2:5" ht="15" customHeight="1">
      <c r="B554" s="87"/>
      <c r="C554" s="52" t="s">
        <v>143</v>
      </c>
      <c r="D554" s="55">
        <v>10</v>
      </c>
      <c r="E554" s="54">
        <v>1E-3</v>
      </c>
    </row>
    <row r="555" spans="2:5" ht="15" customHeight="1">
      <c r="B555" s="87"/>
      <c r="C555" s="52" t="s">
        <v>158</v>
      </c>
      <c r="D555" s="55">
        <v>8</v>
      </c>
      <c r="E555" s="54">
        <v>1E-3</v>
      </c>
    </row>
    <row r="556" spans="2:5" ht="15" customHeight="1">
      <c r="B556" s="87"/>
      <c r="C556" s="52" t="s">
        <v>151</v>
      </c>
      <c r="D556" s="55">
        <v>4</v>
      </c>
      <c r="E556" s="54">
        <v>0</v>
      </c>
    </row>
    <row r="557" spans="2:5" ht="15" customHeight="1">
      <c r="B557" s="87"/>
      <c r="C557" s="52" t="s">
        <v>144</v>
      </c>
      <c r="D557" s="55">
        <v>41</v>
      </c>
      <c r="E557" s="54">
        <v>3.0000000000000001E-3</v>
      </c>
    </row>
    <row r="558" spans="2:5" ht="15" customHeight="1">
      <c r="B558" s="87"/>
      <c r="C558" s="52" t="s">
        <v>146</v>
      </c>
      <c r="D558" s="55">
        <v>1</v>
      </c>
      <c r="E558" s="54">
        <v>0</v>
      </c>
    </row>
    <row r="559" spans="2:5" ht="15" customHeight="1">
      <c r="B559" s="87"/>
      <c r="C559" s="52" t="s">
        <v>147</v>
      </c>
      <c r="D559" s="55">
        <v>8</v>
      </c>
      <c r="E559" s="54">
        <v>1E-3</v>
      </c>
    </row>
    <row r="560" spans="2:5" ht="15" customHeight="1">
      <c r="B560" s="87"/>
      <c r="C560" s="52" t="s">
        <v>148</v>
      </c>
      <c r="D560" s="55">
        <v>2</v>
      </c>
      <c r="E560" s="54">
        <v>0</v>
      </c>
    </row>
    <row r="561" spans="2:5" ht="15" customHeight="1">
      <c r="B561" s="87"/>
      <c r="C561" s="52" t="s">
        <v>169</v>
      </c>
      <c r="D561" s="55">
        <v>1</v>
      </c>
      <c r="E561" s="54">
        <v>0</v>
      </c>
    </row>
    <row r="562" spans="2:5" ht="15" customHeight="1">
      <c r="B562" s="86"/>
      <c r="C562" s="68" t="s">
        <v>307</v>
      </c>
      <c r="D562" s="70">
        <v>107</v>
      </c>
      <c r="E562" s="69">
        <v>8.0000000000000002E-3</v>
      </c>
    </row>
    <row r="563" spans="2:5" ht="15" customHeight="1">
      <c r="B563" s="85" t="s">
        <v>91</v>
      </c>
      <c r="C563" s="52" t="s">
        <v>144</v>
      </c>
      <c r="D563" s="55">
        <v>4</v>
      </c>
      <c r="E563" s="54">
        <v>0</v>
      </c>
    </row>
    <row r="564" spans="2:5" ht="15" customHeight="1">
      <c r="B564" s="87"/>
      <c r="C564" s="52" t="s">
        <v>145</v>
      </c>
      <c r="D564" s="55">
        <v>1</v>
      </c>
      <c r="E564" s="54">
        <v>0</v>
      </c>
    </row>
    <row r="565" spans="2:5" ht="15" customHeight="1">
      <c r="B565" s="86"/>
      <c r="C565" s="68" t="s">
        <v>307</v>
      </c>
      <c r="D565" s="70">
        <v>5</v>
      </c>
      <c r="E565" s="69">
        <v>0</v>
      </c>
    </row>
    <row r="566" spans="2:5" ht="15" customHeight="1">
      <c r="B566" s="85" t="s">
        <v>66</v>
      </c>
      <c r="C566" s="52" t="s">
        <v>153</v>
      </c>
      <c r="D566" s="55">
        <v>1</v>
      </c>
      <c r="E566" s="54">
        <v>0</v>
      </c>
    </row>
    <row r="567" spans="2:5" ht="15" customHeight="1">
      <c r="B567" s="87"/>
      <c r="C567" s="52" t="s">
        <v>161</v>
      </c>
      <c r="D567" s="55">
        <v>1</v>
      </c>
      <c r="E567" s="54">
        <v>0</v>
      </c>
    </row>
    <row r="568" spans="2:5" ht="15" customHeight="1">
      <c r="B568" s="87"/>
      <c r="C568" s="52" t="s">
        <v>141</v>
      </c>
      <c r="D568" s="55">
        <v>1</v>
      </c>
      <c r="E568" s="54">
        <v>0</v>
      </c>
    </row>
    <row r="569" spans="2:5" ht="15" customHeight="1">
      <c r="B569" s="87"/>
      <c r="C569" s="52" t="s">
        <v>150</v>
      </c>
      <c r="D569" s="55">
        <v>4</v>
      </c>
      <c r="E569" s="54">
        <v>0</v>
      </c>
    </row>
    <row r="570" spans="2:5" ht="15" customHeight="1">
      <c r="B570" s="87"/>
      <c r="C570" s="52" t="s">
        <v>142</v>
      </c>
      <c r="D570" s="55">
        <v>2</v>
      </c>
      <c r="E570" s="54">
        <v>0</v>
      </c>
    </row>
    <row r="571" spans="2:5" ht="15" customHeight="1">
      <c r="B571" s="87"/>
      <c r="C571" s="52" t="s">
        <v>143</v>
      </c>
      <c r="D571" s="55">
        <v>1</v>
      </c>
      <c r="E571" s="54">
        <v>0</v>
      </c>
    </row>
    <row r="572" spans="2:5" ht="15" customHeight="1">
      <c r="B572" s="87"/>
      <c r="C572" s="52" t="s">
        <v>151</v>
      </c>
      <c r="D572" s="55">
        <v>1</v>
      </c>
      <c r="E572" s="54">
        <v>0</v>
      </c>
    </row>
    <row r="573" spans="2:5" ht="15" customHeight="1">
      <c r="B573" s="87"/>
      <c r="C573" s="52" t="s">
        <v>144</v>
      </c>
      <c r="D573" s="55">
        <v>23</v>
      </c>
      <c r="E573" s="54">
        <v>2E-3</v>
      </c>
    </row>
    <row r="574" spans="2:5" ht="15" customHeight="1">
      <c r="B574" s="87"/>
      <c r="C574" s="52" t="s">
        <v>147</v>
      </c>
      <c r="D574" s="55">
        <v>3</v>
      </c>
      <c r="E574" s="54">
        <v>0</v>
      </c>
    </row>
    <row r="575" spans="2:5" ht="15" customHeight="1">
      <c r="B575" s="87"/>
      <c r="C575" s="52" t="s">
        <v>148</v>
      </c>
      <c r="D575" s="55">
        <v>3</v>
      </c>
      <c r="E575" s="54">
        <v>0</v>
      </c>
    </row>
    <row r="576" spans="2:5" ht="15" customHeight="1">
      <c r="B576" s="86"/>
      <c r="C576" s="68" t="s">
        <v>307</v>
      </c>
      <c r="D576" s="70">
        <v>40</v>
      </c>
      <c r="E576" s="69">
        <v>3.0000000000000001E-3</v>
      </c>
    </row>
    <row r="577" spans="2:5" ht="15" customHeight="1">
      <c r="B577" s="85" t="s">
        <v>93</v>
      </c>
      <c r="C577" s="52" t="s">
        <v>141</v>
      </c>
      <c r="D577" s="55">
        <v>1</v>
      </c>
      <c r="E577" s="54">
        <v>0</v>
      </c>
    </row>
    <row r="578" spans="2:5" ht="15" customHeight="1">
      <c r="B578" s="87"/>
      <c r="C578" s="52" t="s">
        <v>155</v>
      </c>
      <c r="D578" s="55">
        <v>1</v>
      </c>
      <c r="E578" s="54">
        <v>0</v>
      </c>
    </row>
    <row r="579" spans="2:5" ht="15" customHeight="1">
      <c r="B579" s="87"/>
      <c r="C579" s="52" t="s">
        <v>142</v>
      </c>
      <c r="D579" s="55">
        <v>1</v>
      </c>
      <c r="E579" s="54">
        <v>0</v>
      </c>
    </row>
    <row r="580" spans="2:5" ht="15" customHeight="1">
      <c r="B580" s="87"/>
      <c r="C580" s="52" t="s">
        <v>144</v>
      </c>
      <c r="D580" s="55">
        <v>1</v>
      </c>
      <c r="E580" s="54">
        <v>0</v>
      </c>
    </row>
    <row r="581" spans="2:5" ht="15" customHeight="1">
      <c r="B581" s="87"/>
      <c r="C581" s="52" t="s">
        <v>147</v>
      </c>
      <c r="D581" s="55">
        <v>1</v>
      </c>
      <c r="E581" s="54">
        <v>0</v>
      </c>
    </row>
    <row r="582" spans="2:5" ht="15" customHeight="1">
      <c r="B582" s="86"/>
      <c r="C582" s="68" t="s">
        <v>307</v>
      </c>
      <c r="D582" s="70">
        <v>5</v>
      </c>
      <c r="E582" s="69">
        <v>0</v>
      </c>
    </row>
    <row r="583" spans="2:5" ht="15" customHeight="1">
      <c r="B583" s="85" t="s">
        <v>76</v>
      </c>
      <c r="C583" s="52" t="s">
        <v>154</v>
      </c>
      <c r="D583" s="55">
        <v>1</v>
      </c>
      <c r="E583" s="54">
        <v>0</v>
      </c>
    </row>
    <row r="584" spans="2:5" ht="15" customHeight="1">
      <c r="B584" s="87"/>
      <c r="C584" s="52" t="s">
        <v>141</v>
      </c>
      <c r="D584" s="55">
        <v>2</v>
      </c>
      <c r="E584" s="54">
        <v>0</v>
      </c>
    </row>
    <row r="585" spans="2:5" ht="15" customHeight="1">
      <c r="B585" s="87"/>
      <c r="C585" s="52" t="s">
        <v>155</v>
      </c>
      <c r="D585" s="55">
        <v>1</v>
      </c>
      <c r="E585" s="54">
        <v>0</v>
      </c>
    </row>
    <row r="586" spans="2:5" ht="15" customHeight="1">
      <c r="B586" s="87"/>
      <c r="C586" s="52" t="s">
        <v>143</v>
      </c>
      <c r="D586" s="55">
        <v>2</v>
      </c>
      <c r="E586" s="54">
        <v>0</v>
      </c>
    </row>
    <row r="587" spans="2:5" ht="15" customHeight="1">
      <c r="B587" s="87"/>
      <c r="C587" s="52" t="s">
        <v>157</v>
      </c>
      <c r="D587" s="55">
        <v>1</v>
      </c>
      <c r="E587" s="54">
        <v>0</v>
      </c>
    </row>
    <row r="588" spans="2:5" ht="15" customHeight="1">
      <c r="B588" s="87"/>
      <c r="C588" s="52" t="s">
        <v>158</v>
      </c>
      <c r="D588" s="55">
        <v>1</v>
      </c>
      <c r="E588" s="54">
        <v>0</v>
      </c>
    </row>
    <row r="589" spans="2:5" ht="15" customHeight="1">
      <c r="B589" s="87"/>
      <c r="C589" s="52" t="s">
        <v>144</v>
      </c>
      <c r="D589" s="55">
        <v>11</v>
      </c>
      <c r="E589" s="54">
        <v>1E-3</v>
      </c>
    </row>
    <row r="590" spans="2:5" ht="15" customHeight="1">
      <c r="B590" s="86"/>
      <c r="C590" s="68" t="s">
        <v>307</v>
      </c>
      <c r="D590" s="70">
        <v>19</v>
      </c>
      <c r="E590" s="69">
        <v>1E-3</v>
      </c>
    </row>
    <row r="591" spans="2:5" ht="15" customHeight="1">
      <c r="B591" s="85" t="s">
        <v>55</v>
      </c>
      <c r="C591" s="52" t="s">
        <v>153</v>
      </c>
      <c r="D591" s="55">
        <v>1</v>
      </c>
      <c r="E591" s="54">
        <v>0</v>
      </c>
    </row>
    <row r="592" spans="2:5" ht="15" customHeight="1">
      <c r="B592" s="87"/>
      <c r="C592" s="52" t="s">
        <v>171</v>
      </c>
      <c r="D592" s="55">
        <v>1</v>
      </c>
      <c r="E592" s="54">
        <v>0</v>
      </c>
    </row>
    <row r="593" spans="2:5" ht="15" customHeight="1">
      <c r="B593" s="87"/>
      <c r="C593" s="52" t="s">
        <v>175</v>
      </c>
      <c r="D593" s="55">
        <v>3</v>
      </c>
      <c r="E593" s="54">
        <v>0</v>
      </c>
    </row>
    <row r="594" spans="2:5" ht="15" customHeight="1">
      <c r="B594" s="87"/>
      <c r="C594" s="52" t="s">
        <v>154</v>
      </c>
      <c r="D594" s="55">
        <v>6</v>
      </c>
      <c r="E594" s="54">
        <v>0</v>
      </c>
    </row>
    <row r="595" spans="2:5" ht="15" customHeight="1">
      <c r="B595" s="87"/>
      <c r="C595" s="52" t="s">
        <v>161</v>
      </c>
      <c r="D595" s="55">
        <v>1</v>
      </c>
      <c r="E595" s="54">
        <v>0</v>
      </c>
    </row>
    <row r="596" spans="2:5" ht="15" customHeight="1">
      <c r="B596" s="87"/>
      <c r="C596" s="52" t="s">
        <v>141</v>
      </c>
      <c r="D596" s="55">
        <v>29</v>
      </c>
      <c r="E596" s="54">
        <v>2E-3</v>
      </c>
    </row>
    <row r="597" spans="2:5" ht="15" customHeight="1">
      <c r="B597" s="87"/>
      <c r="C597" s="52" t="s">
        <v>150</v>
      </c>
      <c r="D597" s="55">
        <v>12</v>
      </c>
      <c r="E597" s="54">
        <v>1E-3</v>
      </c>
    </row>
    <row r="598" spans="2:5" ht="15" customHeight="1">
      <c r="B598" s="87"/>
      <c r="C598" s="52" t="s">
        <v>183</v>
      </c>
      <c r="D598" s="55">
        <v>1</v>
      </c>
      <c r="E598" s="54">
        <v>0</v>
      </c>
    </row>
    <row r="599" spans="2:5" ht="15" customHeight="1">
      <c r="B599" s="87"/>
      <c r="C599" s="52" t="s">
        <v>177</v>
      </c>
      <c r="D599" s="55">
        <v>1</v>
      </c>
      <c r="E599" s="54">
        <v>0</v>
      </c>
    </row>
    <row r="600" spans="2:5" ht="15" customHeight="1">
      <c r="B600" s="87"/>
      <c r="C600" s="52" t="s">
        <v>142</v>
      </c>
      <c r="D600" s="55">
        <v>11</v>
      </c>
      <c r="E600" s="54">
        <v>1E-3</v>
      </c>
    </row>
    <row r="601" spans="2:5" ht="15" customHeight="1">
      <c r="B601" s="87"/>
      <c r="C601" s="52" t="s">
        <v>156</v>
      </c>
      <c r="D601" s="55">
        <v>1</v>
      </c>
      <c r="E601" s="54">
        <v>0</v>
      </c>
    </row>
    <row r="602" spans="2:5" ht="15" customHeight="1">
      <c r="B602" s="87"/>
      <c r="C602" s="52" t="s">
        <v>143</v>
      </c>
      <c r="D602" s="55">
        <v>15</v>
      </c>
      <c r="E602" s="54">
        <v>1E-3</v>
      </c>
    </row>
    <row r="603" spans="2:5" ht="15" customHeight="1">
      <c r="B603" s="87"/>
      <c r="C603" s="52" t="s">
        <v>158</v>
      </c>
      <c r="D603" s="55">
        <v>6</v>
      </c>
      <c r="E603" s="54">
        <v>0</v>
      </c>
    </row>
    <row r="604" spans="2:5" ht="15" customHeight="1">
      <c r="B604" s="87"/>
      <c r="C604" s="52" t="s">
        <v>151</v>
      </c>
      <c r="D604" s="55">
        <v>8</v>
      </c>
      <c r="E604" s="54">
        <v>1E-3</v>
      </c>
    </row>
    <row r="605" spans="2:5" ht="15" customHeight="1">
      <c r="B605" s="87"/>
      <c r="C605" s="52" t="s">
        <v>144</v>
      </c>
      <c r="D605" s="55">
        <v>87</v>
      </c>
      <c r="E605" s="54">
        <v>6.0000000000000001E-3</v>
      </c>
    </row>
    <row r="606" spans="2:5" ht="15" customHeight="1">
      <c r="B606" s="87"/>
      <c r="C606" s="52" t="s">
        <v>147</v>
      </c>
      <c r="D606" s="55">
        <v>14</v>
      </c>
      <c r="E606" s="54">
        <v>1E-3</v>
      </c>
    </row>
    <row r="607" spans="2:5" ht="15" customHeight="1">
      <c r="B607" s="87"/>
      <c r="C607" s="52" t="s">
        <v>148</v>
      </c>
      <c r="D607" s="55">
        <v>6</v>
      </c>
      <c r="E607" s="54">
        <v>0</v>
      </c>
    </row>
    <row r="608" spans="2:5" ht="15" customHeight="1">
      <c r="B608" s="87"/>
      <c r="C608" s="52" t="s">
        <v>169</v>
      </c>
      <c r="D608" s="55">
        <v>1</v>
      </c>
      <c r="E608" s="54">
        <v>0</v>
      </c>
    </row>
    <row r="609" spans="2:5" ht="15" customHeight="1">
      <c r="B609" s="87"/>
      <c r="C609" s="52" t="s">
        <v>152</v>
      </c>
      <c r="D609" s="55">
        <v>1</v>
      </c>
      <c r="E609" s="54">
        <v>0</v>
      </c>
    </row>
    <row r="610" spans="2:5" ht="15" customHeight="1">
      <c r="B610" s="86"/>
      <c r="C610" s="68" t="s">
        <v>307</v>
      </c>
      <c r="D610" s="70">
        <v>205</v>
      </c>
      <c r="E610" s="69">
        <v>1.4E-2</v>
      </c>
    </row>
    <row r="611" spans="2:5" ht="15" customHeight="1">
      <c r="B611" s="85" t="s">
        <v>77</v>
      </c>
      <c r="C611" s="52" t="s">
        <v>171</v>
      </c>
      <c r="D611" s="55">
        <v>1</v>
      </c>
      <c r="E611" s="54">
        <v>0</v>
      </c>
    </row>
    <row r="612" spans="2:5" ht="15" customHeight="1">
      <c r="B612" s="87"/>
      <c r="C612" s="52" t="s">
        <v>150</v>
      </c>
      <c r="D612" s="55">
        <v>1</v>
      </c>
      <c r="E612" s="54">
        <v>0</v>
      </c>
    </row>
    <row r="613" spans="2:5" ht="15" customHeight="1">
      <c r="B613" s="87"/>
      <c r="C613" s="52" t="s">
        <v>143</v>
      </c>
      <c r="D613" s="55">
        <v>1</v>
      </c>
      <c r="E613" s="54">
        <v>0</v>
      </c>
    </row>
    <row r="614" spans="2:5" ht="15" customHeight="1">
      <c r="B614" s="87"/>
      <c r="C614" s="52" t="s">
        <v>151</v>
      </c>
      <c r="D614" s="55">
        <v>1</v>
      </c>
      <c r="E614" s="54">
        <v>0</v>
      </c>
    </row>
    <row r="615" spans="2:5" ht="15" customHeight="1">
      <c r="B615" s="87"/>
      <c r="C615" s="52" t="s">
        <v>144</v>
      </c>
      <c r="D615" s="55">
        <v>10</v>
      </c>
      <c r="E615" s="54">
        <v>1E-3</v>
      </c>
    </row>
    <row r="616" spans="2:5" ht="15" customHeight="1">
      <c r="B616" s="87"/>
      <c r="C616" s="52" t="s">
        <v>166</v>
      </c>
      <c r="D616" s="55">
        <v>1</v>
      </c>
      <c r="E616" s="54">
        <v>0</v>
      </c>
    </row>
    <row r="617" spans="2:5" ht="15" customHeight="1">
      <c r="B617" s="86"/>
      <c r="C617" s="68" t="s">
        <v>307</v>
      </c>
      <c r="D617" s="70">
        <v>15</v>
      </c>
      <c r="E617" s="69">
        <v>1E-3</v>
      </c>
    </row>
    <row r="618" spans="2:5" ht="15" customHeight="1">
      <c r="B618" s="85" t="s">
        <v>65</v>
      </c>
      <c r="C618" s="52" t="s">
        <v>149</v>
      </c>
      <c r="D618" s="55">
        <v>1</v>
      </c>
      <c r="E618" s="54">
        <v>0</v>
      </c>
    </row>
    <row r="619" spans="2:5" ht="15" customHeight="1">
      <c r="B619" s="87"/>
      <c r="C619" s="52" t="s">
        <v>175</v>
      </c>
      <c r="D619" s="55">
        <v>1</v>
      </c>
      <c r="E619" s="54">
        <v>0</v>
      </c>
    </row>
    <row r="620" spans="2:5" ht="15" customHeight="1">
      <c r="B620" s="87"/>
      <c r="C620" s="52" t="s">
        <v>154</v>
      </c>
      <c r="D620" s="55">
        <v>1</v>
      </c>
      <c r="E620" s="54">
        <v>0</v>
      </c>
    </row>
    <row r="621" spans="2:5" ht="15" customHeight="1">
      <c r="B621" s="87"/>
      <c r="C621" s="52" t="s">
        <v>161</v>
      </c>
      <c r="D621" s="55">
        <v>2</v>
      </c>
      <c r="E621" s="54">
        <v>0</v>
      </c>
    </row>
    <row r="622" spans="2:5" ht="15" customHeight="1">
      <c r="B622" s="87"/>
      <c r="C622" s="52" t="s">
        <v>141</v>
      </c>
      <c r="D622" s="55">
        <v>2</v>
      </c>
      <c r="E622" s="54">
        <v>0</v>
      </c>
    </row>
    <row r="623" spans="2:5" ht="15" customHeight="1">
      <c r="B623" s="87"/>
      <c r="C623" s="52" t="s">
        <v>150</v>
      </c>
      <c r="D623" s="55">
        <v>2</v>
      </c>
      <c r="E623" s="54">
        <v>0</v>
      </c>
    </row>
    <row r="624" spans="2:5" ht="15" customHeight="1">
      <c r="B624" s="87"/>
      <c r="C624" s="52" t="s">
        <v>155</v>
      </c>
      <c r="D624" s="55">
        <v>1</v>
      </c>
      <c r="E624" s="54">
        <v>0</v>
      </c>
    </row>
    <row r="625" spans="2:5" ht="15" customHeight="1">
      <c r="B625" s="87"/>
      <c r="C625" s="52" t="s">
        <v>142</v>
      </c>
      <c r="D625" s="55">
        <v>4</v>
      </c>
      <c r="E625" s="54">
        <v>0</v>
      </c>
    </row>
    <row r="626" spans="2:5" ht="15" customHeight="1">
      <c r="B626" s="87"/>
      <c r="C626" s="52" t="s">
        <v>173</v>
      </c>
      <c r="D626" s="55">
        <v>1</v>
      </c>
      <c r="E626" s="54">
        <v>0</v>
      </c>
    </row>
    <row r="627" spans="2:5" ht="15" customHeight="1">
      <c r="B627" s="87"/>
      <c r="C627" s="52" t="s">
        <v>143</v>
      </c>
      <c r="D627" s="55">
        <v>3</v>
      </c>
      <c r="E627" s="54">
        <v>0</v>
      </c>
    </row>
    <row r="628" spans="2:5" ht="15" customHeight="1">
      <c r="B628" s="87"/>
      <c r="C628" s="52" t="s">
        <v>164</v>
      </c>
      <c r="D628" s="55">
        <v>2</v>
      </c>
      <c r="E628" s="54">
        <v>0</v>
      </c>
    </row>
    <row r="629" spans="2:5" ht="15" customHeight="1">
      <c r="B629" s="87"/>
      <c r="C629" s="52" t="s">
        <v>157</v>
      </c>
      <c r="D629" s="55">
        <v>3</v>
      </c>
      <c r="E629" s="54">
        <v>0</v>
      </c>
    </row>
    <row r="630" spans="2:5" ht="15" customHeight="1">
      <c r="B630" s="87"/>
      <c r="C630" s="52" t="s">
        <v>151</v>
      </c>
      <c r="D630" s="55">
        <v>1</v>
      </c>
      <c r="E630" s="54">
        <v>0</v>
      </c>
    </row>
    <row r="631" spans="2:5" ht="15" customHeight="1">
      <c r="B631" s="87"/>
      <c r="C631" s="52" t="s">
        <v>144</v>
      </c>
      <c r="D631" s="55">
        <v>43</v>
      </c>
      <c r="E631" s="54">
        <v>3.0000000000000001E-3</v>
      </c>
    </row>
    <row r="632" spans="2:5" ht="15" customHeight="1">
      <c r="B632" s="87"/>
      <c r="C632" s="52" t="s">
        <v>146</v>
      </c>
      <c r="D632" s="55">
        <v>2</v>
      </c>
      <c r="E632" s="54">
        <v>0</v>
      </c>
    </row>
    <row r="633" spans="2:5" ht="15" customHeight="1">
      <c r="B633" s="87"/>
      <c r="C633" s="52" t="s">
        <v>147</v>
      </c>
      <c r="D633" s="55">
        <v>6</v>
      </c>
      <c r="E633" s="54">
        <v>0</v>
      </c>
    </row>
    <row r="634" spans="2:5" ht="15" customHeight="1">
      <c r="B634" s="87"/>
      <c r="C634" s="52" t="s">
        <v>148</v>
      </c>
      <c r="D634" s="55">
        <v>1</v>
      </c>
      <c r="E634" s="54">
        <v>0</v>
      </c>
    </row>
    <row r="635" spans="2:5" ht="15" customHeight="1">
      <c r="B635" s="86"/>
      <c r="C635" s="68" t="s">
        <v>307</v>
      </c>
      <c r="D635" s="70">
        <v>76</v>
      </c>
      <c r="E635" s="69">
        <v>5.0000000000000001E-3</v>
      </c>
    </row>
    <row r="636" spans="2:5" ht="15" customHeight="1">
      <c r="B636" s="85" t="s">
        <v>74</v>
      </c>
      <c r="C636" s="52" t="s">
        <v>149</v>
      </c>
      <c r="D636" s="55">
        <v>1</v>
      </c>
      <c r="E636" s="54">
        <v>0</v>
      </c>
    </row>
    <row r="637" spans="2:5" ht="15" customHeight="1">
      <c r="B637" s="87"/>
      <c r="C637" s="52" t="s">
        <v>150</v>
      </c>
      <c r="D637" s="55">
        <v>1</v>
      </c>
      <c r="E637" s="54">
        <v>0</v>
      </c>
    </row>
    <row r="638" spans="2:5" ht="15" customHeight="1">
      <c r="B638" s="87"/>
      <c r="C638" s="52" t="s">
        <v>142</v>
      </c>
      <c r="D638" s="55">
        <v>1</v>
      </c>
      <c r="E638" s="54">
        <v>0</v>
      </c>
    </row>
    <row r="639" spans="2:5" ht="15" customHeight="1">
      <c r="B639" s="87"/>
      <c r="C639" s="52" t="s">
        <v>144</v>
      </c>
      <c r="D639" s="55">
        <v>23</v>
      </c>
      <c r="E639" s="54">
        <v>2E-3</v>
      </c>
    </row>
    <row r="640" spans="2:5" ht="15" customHeight="1">
      <c r="B640" s="87"/>
      <c r="C640" s="52" t="s">
        <v>147</v>
      </c>
      <c r="D640" s="55">
        <v>6</v>
      </c>
      <c r="E640" s="54">
        <v>0</v>
      </c>
    </row>
    <row r="641" spans="2:5" ht="15" customHeight="1">
      <c r="B641" s="87"/>
      <c r="C641" s="52" t="s">
        <v>148</v>
      </c>
      <c r="D641" s="55">
        <v>1</v>
      </c>
      <c r="E641" s="54">
        <v>0</v>
      </c>
    </row>
    <row r="642" spans="2:5" ht="15" customHeight="1">
      <c r="B642" s="86"/>
      <c r="C642" s="68" t="s">
        <v>307</v>
      </c>
      <c r="D642" s="70">
        <v>33</v>
      </c>
      <c r="E642" s="69">
        <v>2E-3</v>
      </c>
    </row>
    <row r="643" spans="2:5" ht="15" customHeight="1">
      <c r="B643" s="85" t="s">
        <v>50</v>
      </c>
      <c r="C643" s="52" t="s">
        <v>170</v>
      </c>
      <c r="D643" s="55">
        <v>2</v>
      </c>
      <c r="E643" s="54">
        <v>0</v>
      </c>
    </row>
    <row r="644" spans="2:5" ht="15" customHeight="1">
      <c r="B644" s="87"/>
      <c r="C644" s="52" t="s">
        <v>149</v>
      </c>
      <c r="D644" s="55">
        <v>2</v>
      </c>
      <c r="E644" s="54">
        <v>0</v>
      </c>
    </row>
    <row r="645" spans="2:5" ht="15" customHeight="1">
      <c r="B645" s="87"/>
      <c r="C645" s="52" t="s">
        <v>153</v>
      </c>
      <c r="D645" s="55">
        <v>73</v>
      </c>
      <c r="E645" s="54">
        <v>5.0000000000000001E-3</v>
      </c>
    </row>
    <row r="646" spans="2:5" ht="15" customHeight="1">
      <c r="B646" s="87"/>
      <c r="C646" s="52" t="s">
        <v>171</v>
      </c>
      <c r="D646" s="55">
        <v>1</v>
      </c>
      <c r="E646" s="54">
        <v>0</v>
      </c>
    </row>
    <row r="647" spans="2:5" ht="15" customHeight="1">
      <c r="B647" s="87"/>
      <c r="C647" s="52" t="s">
        <v>175</v>
      </c>
      <c r="D647" s="55">
        <v>2</v>
      </c>
      <c r="E647" s="54">
        <v>0</v>
      </c>
    </row>
    <row r="648" spans="2:5" ht="15" customHeight="1">
      <c r="B648" s="87"/>
      <c r="C648" s="52" t="s">
        <v>160</v>
      </c>
      <c r="D648" s="55">
        <v>4</v>
      </c>
      <c r="E648" s="54">
        <v>0</v>
      </c>
    </row>
    <row r="649" spans="2:5" ht="15" customHeight="1">
      <c r="B649" s="87"/>
      <c r="C649" s="52" t="s">
        <v>154</v>
      </c>
      <c r="D649" s="55">
        <v>11</v>
      </c>
      <c r="E649" s="54">
        <v>1E-3</v>
      </c>
    </row>
    <row r="650" spans="2:5" ht="15" customHeight="1">
      <c r="B650" s="87"/>
      <c r="C650" s="52" t="s">
        <v>161</v>
      </c>
      <c r="D650" s="55">
        <v>3</v>
      </c>
      <c r="E650" s="54">
        <v>0</v>
      </c>
    </row>
    <row r="651" spans="2:5" ht="15" customHeight="1">
      <c r="B651" s="87"/>
      <c r="C651" s="52" t="s">
        <v>162</v>
      </c>
      <c r="D651" s="55">
        <v>5</v>
      </c>
      <c r="E651" s="54">
        <v>0</v>
      </c>
    </row>
    <row r="652" spans="2:5" ht="15" customHeight="1">
      <c r="B652" s="87"/>
      <c r="C652" s="52" t="s">
        <v>284</v>
      </c>
      <c r="D652" s="55">
        <v>1</v>
      </c>
      <c r="E652" s="54">
        <v>0</v>
      </c>
    </row>
    <row r="653" spans="2:5" ht="15" customHeight="1">
      <c r="B653" s="87"/>
      <c r="C653" s="52" t="s">
        <v>141</v>
      </c>
      <c r="D653" s="55">
        <v>17</v>
      </c>
      <c r="E653" s="54">
        <v>1E-3</v>
      </c>
    </row>
    <row r="654" spans="2:5" ht="15" customHeight="1">
      <c r="B654" s="87"/>
      <c r="C654" s="52" t="s">
        <v>187</v>
      </c>
      <c r="D654" s="55">
        <v>3</v>
      </c>
      <c r="E654" s="54">
        <v>0</v>
      </c>
    </row>
    <row r="655" spans="2:5" ht="15" customHeight="1">
      <c r="B655" s="87"/>
      <c r="C655" s="52" t="s">
        <v>188</v>
      </c>
      <c r="D655" s="55">
        <v>1</v>
      </c>
      <c r="E655" s="54">
        <v>0</v>
      </c>
    </row>
    <row r="656" spans="2:5" ht="15" customHeight="1">
      <c r="B656" s="87"/>
      <c r="C656" s="52" t="s">
        <v>150</v>
      </c>
      <c r="D656" s="55">
        <v>7</v>
      </c>
      <c r="E656" s="54">
        <v>0</v>
      </c>
    </row>
    <row r="657" spans="2:5" ht="15" customHeight="1">
      <c r="B657" s="87"/>
      <c r="C657" s="52" t="s">
        <v>183</v>
      </c>
      <c r="D657" s="55">
        <v>1</v>
      </c>
      <c r="E657" s="54">
        <v>0</v>
      </c>
    </row>
    <row r="658" spans="2:5" ht="15" customHeight="1">
      <c r="B658" s="87"/>
      <c r="C658" s="52" t="s">
        <v>176</v>
      </c>
      <c r="D658" s="55">
        <v>4</v>
      </c>
      <c r="E658" s="54">
        <v>0</v>
      </c>
    </row>
    <row r="659" spans="2:5" ht="15" customHeight="1">
      <c r="B659" s="87"/>
      <c r="C659" s="52" t="s">
        <v>177</v>
      </c>
      <c r="D659" s="55">
        <v>1</v>
      </c>
      <c r="E659" s="54">
        <v>0</v>
      </c>
    </row>
    <row r="660" spans="2:5" ht="15" customHeight="1">
      <c r="B660" s="87"/>
      <c r="C660" s="52" t="s">
        <v>155</v>
      </c>
      <c r="D660" s="55">
        <v>4</v>
      </c>
      <c r="E660" s="54">
        <v>0</v>
      </c>
    </row>
    <row r="661" spans="2:5" ht="15" customHeight="1">
      <c r="B661" s="87"/>
      <c r="C661" s="52" t="s">
        <v>179</v>
      </c>
      <c r="D661" s="55">
        <v>1</v>
      </c>
      <c r="E661" s="54">
        <v>0</v>
      </c>
    </row>
    <row r="662" spans="2:5" ht="15" customHeight="1">
      <c r="B662" s="87"/>
      <c r="C662" s="52" t="s">
        <v>185</v>
      </c>
      <c r="D662" s="55">
        <v>1</v>
      </c>
      <c r="E662" s="54">
        <v>0</v>
      </c>
    </row>
    <row r="663" spans="2:5" ht="15" customHeight="1">
      <c r="B663" s="87"/>
      <c r="C663" s="52" t="s">
        <v>142</v>
      </c>
      <c r="D663" s="55">
        <v>69</v>
      </c>
      <c r="E663" s="54">
        <v>5.0000000000000001E-3</v>
      </c>
    </row>
    <row r="664" spans="2:5" ht="15" customHeight="1">
      <c r="B664" s="87"/>
      <c r="C664" s="52" t="s">
        <v>180</v>
      </c>
      <c r="D664" s="55">
        <v>5</v>
      </c>
      <c r="E664" s="54">
        <v>0</v>
      </c>
    </row>
    <row r="665" spans="2:5" ht="15" customHeight="1">
      <c r="B665" s="87"/>
      <c r="C665" s="52" t="s">
        <v>173</v>
      </c>
      <c r="D665" s="55">
        <v>1</v>
      </c>
      <c r="E665" s="54">
        <v>0</v>
      </c>
    </row>
    <row r="666" spans="2:5" ht="15" customHeight="1">
      <c r="B666" s="87"/>
      <c r="C666" s="52" t="s">
        <v>168</v>
      </c>
      <c r="D666" s="55">
        <v>1</v>
      </c>
      <c r="E666" s="54">
        <v>0</v>
      </c>
    </row>
    <row r="667" spans="2:5" ht="15" customHeight="1">
      <c r="B667" s="87"/>
      <c r="C667" s="52" t="s">
        <v>156</v>
      </c>
      <c r="D667" s="55">
        <v>2</v>
      </c>
      <c r="E667" s="54">
        <v>0</v>
      </c>
    </row>
    <row r="668" spans="2:5" ht="15" customHeight="1">
      <c r="B668" s="87"/>
      <c r="C668" s="52" t="s">
        <v>182</v>
      </c>
      <c r="D668" s="55">
        <v>4</v>
      </c>
      <c r="E668" s="54">
        <v>0</v>
      </c>
    </row>
    <row r="669" spans="2:5" ht="15" customHeight="1">
      <c r="B669" s="87"/>
      <c r="C669" s="52" t="s">
        <v>143</v>
      </c>
      <c r="D669" s="55">
        <v>34</v>
      </c>
      <c r="E669" s="54">
        <v>2E-3</v>
      </c>
    </row>
    <row r="670" spans="2:5" ht="15" customHeight="1">
      <c r="B670" s="87"/>
      <c r="C670" s="52" t="s">
        <v>164</v>
      </c>
      <c r="D670" s="55">
        <v>1</v>
      </c>
      <c r="E670" s="54">
        <v>0</v>
      </c>
    </row>
    <row r="671" spans="2:5" ht="15" customHeight="1">
      <c r="B671" s="87"/>
      <c r="C671" s="52" t="s">
        <v>157</v>
      </c>
      <c r="D671" s="55">
        <v>1</v>
      </c>
      <c r="E671" s="54">
        <v>0</v>
      </c>
    </row>
    <row r="672" spans="2:5" ht="15" customHeight="1">
      <c r="B672" s="87"/>
      <c r="C672" s="52" t="s">
        <v>158</v>
      </c>
      <c r="D672" s="55">
        <v>6</v>
      </c>
      <c r="E672" s="54">
        <v>0</v>
      </c>
    </row>
    <row r="673" spans="2:5" ht="15" customHeight="1">
      <c r="B673" s="87"/>
      <c r="C673" s="52" t="s">
        <v>165</v>
      </c>
      <c r="D673" s="55">
        <v>4</v>
      </c>
      <c r="E673" s="54">
        <v>0</v>
      </c>
    </row>
    <row r="674" spans="2:5" ht="15" customHeight="1">
      <c r="B674" s="87"/>
      <c r="C674" s="52" t="s">
        <v>151</v>
      </c>
      <c r="D674" s="55">
        <v>22</v>
      </c>
      <c r="E674" s="54">
        <v>2E-3</v>
      </c>
    </row>
    <row r="675" spans="2:5" ht="15" customHeight="1">
      <c r="B675" s="87"/>
      <c r="C675" s="52" t="s">
        <v>144</v>
      </c>
      <c r="D675" s="55">
        <v>636</v>
      </c>
      <c r="E675" s="54">
        <v>4.4999999999999998E-2</v>
      </c>
    </row>
    <row r="676" spans="2:5" ht="15" customHeight="1">
      <c r="B676" s="87"/>
      <c r="C676" s="52" t="s">
        <v>184</v>
      </c>
      <c r="D676" s="55">
        <v>1</v>
      </c>
      <c r="E676" s="54">
        <v>0</v>
      </c>
    </row>
    <row r="677" spans="2:5" ht="15" customHeight="1">
      <c r="B677" s="87"/>
      <c r="C677" s="52" t="s">
        <v>145</v>
      </c>
      <c r="D677" s="55">
        <v>2</v>
      </c>
      <c r="E677" s="54">
        <v>0</v>
      </c>
    </row>
    <row r="678" spans="2:5" ht="15" customHeight="1">
      <c r="B678" s="87"/>
      <c r="C678" s="52" t="s">
        <v>146</v>
      </c>
      <c r="D678" s="55">
        <v>52</v>
      </c>
      <c r="E678" s="54">
        <v>4.0000000000000001E-3</v>
      </c>
    </row>
    <row r="679" spans="2:5" ht="15" customHeight="1">
      <c r="B679" s="87"/>
      <c r="C679" s="52" t="s">
        <v>166</v>
      </c>
      <c r="D679" s="55">
        <v>1</v>
      </c>
      <c r="E679" s="54">
        <v>0</v>
      </c>
    </row>
    <row r="680" spans="2:5" ht="15" customHeight="1">
      <c r="B680" s="87"/>
      <c r="C680" s="52" t="s">
        <v>147</v>
      </c>
      <c r="D680" s="55">
        <v>78</v>
      </c>
      <c r="E680" s="54">
        <v>6.0000000000000001E-3</v>
      </c>
    </row>
    <row r="681" spans="2:5" ht="15" customHeight="1">
      <c r="B681" s="87"/>
      <c r="C681" s="52" t="s">
        <v>148</v>
      </c>
      <c r="D681" s="55">
        <v>29</v>
      </c>
      <c r="E681" s="54">
        <v>2E-3</v>
      </c>
    </row>
    <row r="682" spans="2:5" ht="15" customHeight="1">
      <c r="B682" s="87"/>
      <c r="C682" s="52" t="s">
        <v>169</v>
      </c>
      <c r="D682" s="55">
        <v>5</v>
      </c>
      <c r="E682" s="54">
        <v>0</v>
      </c>
    </row>
    <row r="683" spans="2:5" ht="15" customHeight="1">
      <c r="B683" s="87"/>
      <c r="C683" s="52" t="s">
        <v>152</v>
      </c>
      <c r="D683" s="55">
        <v>4</v>
      </c>
      <c r="E683" s="54">
        <v>0</v>
      </c>
    </row>
    <row r="684" spans="2:5" ht="15" customHeight="1">
      <c r="B684" s="87"/>
      <c r="C684" s="52" t="s">
        <v>181</v>
      </c>
      <c r="D684" s="55">
        <v>1</v>
      </c>
      <c r="E684" s="54">
        <v>0</v>
      </c>
    </row>
    <row r="685" spans="2:5" ht="15" customHeight="1">
      <c r="B685" s="87"/>
      <c r="C685" s="52" t="s">
        <v>174</v>
      </c>
      <c r="D685" s="55">
        <v>2</v>
      </c>
      <c r="E685" s="54">
        <v>0</v>
      </c>
    </row>
    <row r="686" spans="2:5" ht="15" customHeight="1">
      <c r="B686" s="86"/>
      <c r="C686" s="68" t="s">
        <v>307</v>
      </c>
      <c r="D686" s="70">
        <v>1105</v>
      </c>
      <c r="E686" s="69">
        <v>7.8E-2</v>
      </c>
    </row>
    <row r="687" spans="2:5" ht="15" customHeight="1">
      <c r="B687" s="85" t="s">
        <v>81</v>
      </c>
      <c r="C687" s="52" t="s">
        <v>154</v>
      </c>
      <c r="D687" s="55">
        <v>1</v>
      </c>
      <c r="E687" s="54">
        <v>0</v>
      </c>
    </row>
    <row r="688" spans="2:5" ht="15" customHeight="1">
      <c r="B688" s="87"/>
      <c r="C688" s="52" t="s">
        <v>141</v>
      </c>
      <c r="D688" s="55">
        <v>1</v>
      </c>
      <c r="E688" s="54">
        <v>0</v>
      </c>
    </row>
    <row r="689" spans="2:5" ht="15" customHeight="1">
      <c r="B689" s="87"/>
      <c r="C689" s="52" t="s">
        <v>142</v>
      </c>
      <c r="D689" s="55">
        <v>1</v>
      </c>
      <c r="E689" s="54">
        <v>0</v>
      </c>
    </row>
    <row r="690" spans="2:5" ht="15" customHeight="1">
      <c r="B690" s="87"/>
      <c r="C690" s="52" t="s">
        <v>144</v>
      </c>
      <c r="D690" s="55">
        <v>19</v>
      </c>
      <c r="E690" s="54">
        <v>1E-3</v>
      </c>
    </row>
    <row r="691" spans="2:5" ht="15" customHeight="1">
      <c r="B691" s="87"/>
      <c r="C691" s="52" t="s">
        <v>147</v>
      </c>
      <c r="D691" s="55">
        <v>3</v>
      </c>
      <c r="E691" s="54">
        <v>0</v>
      </c>
    </row>
    <row r="692" spans="2:5" ht="15" customHeight="1">
      <c r="B692" s="87"/>
      <c r="C692" s="52" t="s">
        <v>148</v>
      </c>
      <c r="D692" s="55">
        <v>1</v>
      </c>
      <c r="E692" s="54">
        <v>0</v>
      </c>
    </row>
    <row r="693" spans="2:5" ht="15" customHeight="1">
      <c r="B693" s="87"/>
      <c r="C693" s="52" t="s">
        <v>169</v>
      </c>
      <c r="D693" s="55">
        <v>1</v>
      </c>
      <c r="E693" s="54">
        <v>0</v>
      </c>
    </row>
    <row r="694" spans="2:5" ht="15" customHeight="1">
      <c r="B694" s="86"/>
      <c r="C694" s="68" t="s">
        <v>307</v>
      </c>
      <c r="D694" s="70">
        <v>27</v>
      </c>
      <c r="E694" s="69">
        <v>2E-3</v>
      </c>
    </row>
    <row r="695" spans="2:5" ht="15" customHeight="1">
      <c r="B695" s="85" t="s">
        <v>82</v>
      </c>
      <c r="C695" s="52" t="s">
        <v>141</v>
      </c>
      <c r="D695" s="55">
        <v>1</v>
      </c>
      <c r="E695" s="54">
        <v>0</v>
      </c>
    </row>
    <row r="696" spans="2:5" ht="15" customHeight="1">
      <c r="B696" s="87"/>
      <c r="C696" s="52" t="s">
        <v>142</v>
      </c>
      <c r="D696" s="55">
        <v>1</v>
      </c>
      <c r="E696" s="54">
        <v>0</v>
      </c>
    </row>
    <row r="697" spans="2:5" ht="15" customHeight="1">
      <c r="B697" s="87"/>
      <c r="C697" s="52" t="s">
        <v>156</v>
      </c>
      <c r="D697" s="55">
        <v>1</v>
      </c>
      <c r="E697" s="54">
        <v>0</v>
      </c>
    </row>
    <row r="698" spans="2:5" ht="15" customHeight="1">
      <c r="B698" s="87"/>
      <c r="C698" s="52" t="s">
        <v>151</v>
      </c>
      <c r="D698" s="55">
        <v>1</v>
      </c>
      <c r="E698" s="54">
        <v>0</v>
      </c>
    </row>
    <row r="699" spans="2:5" ht="15" customHeight="1">
      <c r="B699" s="87"/>
      <c r="C699" s="52" t="s">
        <v>144</v>
      </c>
      <c r="D699" s="55">
        <v>19</v>
      </c>
      <c r="E699" s="54">
        <v>1E-3</v>
      </c>
    </row>
    <row r="700" spans="2:5" ht="15" customHeight="1">
      <c r="B700" s="87"/>
      <c r="C700" s="52" t="s">
        <v>147</v>
      </c>
      <c r="D700" s="55">
        <v>1</v>
      </c>
      <c r="E700" s="54">
        <v>0</v>
      </c>
    </row>
    <row r="701" spans="2:5" ht="15" customHeight="1">
      <c r="B701" s="86"/>
      <c r="C701" s="68" t="s">
        <v>307</v>
      </c>
      <c r="D701" s="70">
        <v>24</v>
      </c>
      <c r="E701" s="69">
        <v>2E-3</v>
      </c>
    </row>
    <row r="702" spans="2:5" ht="15" customHeight="1">
      <c r="B702" s="85" t="s">
        <v>89</v>
      </c>
      <c r="C702" s="52" t="s">
        <v>142</v>
      </c>
      <c r="D702" s="55">
        <v>1</v>
      </c>
      <c r="E702" s="54">
        <v>0</v>
      </c>
    </row>
    <row r="703" spans="2:5" ht="15" customHeight="1">
      <c r="B703" s="87"/>
      <c r="C703" s="52" t="s">
        <v>143</v>
      </c>
      <c r="D703" s="55">
        <v>1</v>
      </c>
      <c r="E703" s="54">
        <v>0</v>
      </c>
    </row>
    <row r="704" spans="2:5" ht="15" customHeight="1">
      <c r="B704" s="87"/>
      <c r="C704" s="52" t="s">
        <v>151</v>
      </c>
      <c r="D704" s="55">
        <v>1</v>
      </c>
      <c r="E704" s="54">
        <v>0</v>
      </c>
    </row>
    <row r="705" spans="2:5" ht="15" customHeight="1">
      <c r="B705" s="87"/>
      <c r="C705" s="52" t="s">
        <v>144</v>
      </c>
      <c r="D705" s="55">
        <v>3</v>
      </c>
      <c r="E705" s="54">
        <v>0</v>
      </c>
    </row>
    <row r="706" spans="2:5" ht="15" customHeight="1">
      <c r="B706" s="87"/>
      <c r="C706" s="52" t="s">
        <v>147</v>
      </c>
      <c r="D706" s="55">
        <v>1</v>
      </c>
      <c r="E706" s="54">
        <v>0</v>
      </c>
    </row>
    <row r="707" spans="2:5" ht="15" customHeight="1">
      <c r="B707" s="86"/>
      <c r="C707" s="68" t="s">
        <v>307</v>
      </c>
      <c r="D707" s="70">
        <v>7</v>
      </c>
      <c r="E707" s="69">
        <v>0</v>
      </c>
    </row>
    <row r="708" spans="2:5" ht="15" customHeight="1">
      <c r="B708" s="85" t="s">
        <v>75</v>
      </c>
      <c r="C708" s="52" t="s">
        <v>284</v>
      </c>
      <c r="D708" s="55">
        <v>1</v>
      </c>
      <c r="E708" s="54">
        <v>0</v>
      </c>
    </row>
    <row r="709" spans="2:5" ht="15" customHeight="1">
      <c r="B709" s="87"/>
      <c r="C709" s="52" t="s">
        <v>142</v>
      </c>
      <c r="D709" s="55">
        <v>1</v>
      </c>
      <c r="E709" s="54">
        <v>0</v>
      </c>
    </row>
    <row r="710" spans="2:5" ht="15" customHeight="1">
      <c r="B710" s="87"/>
      <c r="C710" s="52" t="s">
        <v>144</v>
      </c>
      <c r="D710" s="55">
        <v>15</v>
      </c>
      <c r="E710" s="54">
        <v>1E-3</v>
      </c>
    </row>
    <row r="711" spans="2:5" ht="15" customHeight="1">
      <c r="B711" s="87"/>
      <c r="C711" s="52" t="s">
        <v>147</v>
      </c>
      <c r="D711" s="55">
        <v>1</v>
      </c>
      <c r="E711" s="54">
        <v>0</v>
      </c>
    </row>
    <row r="712" spans="2:5" ht="15" customHeight="1">
      <c r="B712" s="86"/>
      <c r="C712" s="68" t="s">
        <v>307</v>
      </c>
      <c r="D712" s="70">
        <v>18</v>
      </c>
      <c r="E712" s="69">
        <v>1E-3</v>
      </c>
    </row>
    <row r="713" spans="2:5" ht="15" customHeight="1">
      <c r="B713" s="85" t="s">
        <v>86</v>
      </c>
      <c r="C713" s="52" t="s">
        <v>150</v>
      </c>
      <c r="D713" s="55">
        <v>1</v>
      </c>
      <c r="E713" s="54">
        <v>0</v>
      </c>
    </row>
    <row r="714" spans="2:5" ht="15" customHeight="1">
      <c r="B714" s="87"/>
      <c r="C714" s="52" t="s">
        <v>142</v>
      </c>
      <c r="D714" s="55">
        <v>2</v>
      </c>
      <c r="E714" s="54">
        <v>0</v>
      </c>
    </row>
    <row r="715" spans="2:5" ht="15" customHeight="1">
      <c r="B715" s="87"/>
      <c r="C715" s="52" t="s">
        <v>158</v>
      </c>
      <c r="D715" s="55">
        <v>1</v>
      </c>
      <c r="E715" s="54">
        <v>0</v>
      </c>
    </row>
    <row r="716" spans="2:5" ht="15" customHeight="1">
      <c r="B716" s="87"/>
      <c r="C716" s="52" t="s">
        <v>144</v>
      </c>
      <c r="D716" s="55">
        <v>19</v>
      </c>
      <c r="E716" s="54">
        <v>1E-3</v>
      </c>
    </row>
    <row r="717" spans="2:5" ht="15" customHeight="1">
      <c r="B717" s="87"/>
      <c r="C717" s="52" t="s">
        <v>146</v>
      </c>
      <c r="D717" s="55">
        <v>1</v>
      </c>
      <c r="E717" s="54">
        <v>0</v>
      </c>
    </row>
    <row r="718" spans="2:5" ht="15" customHeight="1">
      <c r="B718" s="87"/>
      <c r="C718" s="52" t="s">
        <v>147</v>
      </c>
      <c r="D718" s="55">
        <v>1</v>
      </c>
      <c r="E718" s="54">
        <v>0</v>
      </c>
    </row>
    <row r="719" spans="2:5" ht="15" customHeight="1">
      <c r="B719" s="86"/>
      <c r="C719" s="68" t="s">
        <v>307</v>
      </c>
      <c r="D719" s="70">
        <v>25</v>
      </c>
      <c r="E719" s="69">
        <v>2E-3</v>
      </c>
    </row>
    <row r="720" spans="2:5" ht="15" customHeight="1">
      <c r="B720" s="85" t="s">
        <v>88</v>
      </c>
      <c r="C720" s="52" t="s">
        <v>151</v>
      </c>
      <c r="D720" s="55">
        <v>1</v>
      </c>
      <c r="E720" s="54">
        <v>0</v>
      </c>
    </row>
    <row r="721" spans="2:5" ht="15" customHeight="1">
      <c r="B721" s="87"/>
      <c r="C721" s="52" t="s">
        <v>144</v>
      </c>
      <c r="D721" s="55">
        <v>2</v>
      </c>
      <c r="E721" s="54">
        <v>0</v>
      </c>
    </row>
    <row r="722" spans="2:5" ht="15" customHeight="1">
      <c r="B722" s="87"/>
      <c r="C722" s="52" t="s">
        <v>159</v>
      </c>
      <c r="D722" s="55">
        <v>1</v>
      </c>
      <c r="E722" s="54">
        <v>0</v>
      </c>
    </row>
    <row r="723" spans="2:5" ht="15" customHeight="1">
      <c r="B723" s="86"/>
      <c r="C723" s="68" t="s">
        <v>307</v>
      </c>
      <c r="D723" s="70">
        <v>4</v>
      </c>
      <c r="E723" s="69">
        <v>0</v>
      </c>
    </row>
    <row r="724" spans="2:5" ht="15" customHeight="1">
      <c r="B724" s="85" t="s">
        <v>92</v>
      </c>
      <c r="C724" s="52" t="s">
        <v>151</v>
      </c>
      <c r="D724" s="55">
        <v>1</v>
      </c>
      <c r="E724" s="54">
        <v>0</v>
      </c>
    </row>
    <row r="725" spans="2:5" ht="15" customHeight="1">
      <c r="B725" s="87"/>
      <c r="C725" s="52" t="s">
        <v>144</v>
      </c>
      <c r="D725" s="55">
        <v>10</v>
      </c>
      <c r="E725" s="54">
        <v>1E-3</v>
      </c>
    </row>
    <row r="726" spans="2:5" ht="15" customHeight="1">
      <c r="B726" s="86"/>
      <c r="C726" s="68" t="s">
        <v>307</v>
      </c>
      <c r="D726" s="70">
        <v>11</v>
      </c>
      <c r="E726" s="69">
        <v>1E-3</v>
      </c>
    </row>
    <row r="727" spans="2:5" ht="15" customHeight="1">
      <c r="B727" s="85" t="s">
        <v>73</v>
      </c>
      <c r="C727" s="52" t="s">
        <v>153</v>
      </c>
      <c r="D727" s="55">
        <v>1</v>
      </c>
      <c r="E727" s="54">
        <v>0</v>
      </c>
    </row>
    <row r="728" spans="2:5" ht="15" customHeight="1">
      <c r="B728" s="87"/>
      <c r="C728" s="52" t="s">
        <v>175</v>
      </c>
      <c r="D728" s="55">
        <v>1</v>
      </c>
      <c r="E728" s="54">
        <v>0</v>
      </c>
    </row>
    <row r="729" spans="2:5" ht="15" customHeight="1">
      <c r="B729" s="87"/>
      <c r="C729" s="52" t="s">
        <v>284</v>
      </c>
      <c r="D729" s="55">
        <v>2</v>
      </c>
      <c r="E729" s="54">
        <v>0</v>
      </c>
    </row>
    <row r="730" spans="2:5" ht="15" customHeight="1">
      <c r="B730" s="87"/>
      <c r="C730" s="52" t="s">
        <v>141</v>
      </c>
      <c r="D730" s="55">
        <v>3</v>
      </c>
      <c r="E730" s="54">
        <v>0</v>
      </c>
    </row>
    <row r="731" spans="2:5" ht="15" customHeight="1">
      <c r="B731" s="87"/>
      <c r="C731" s="52" t="s">
        <v>150</v>
      </c>
      <c r="D731" s="55">
        <v>1</v>
      </c>
      <c r="E731" s="54">
        <v>0</v>
      </c>
    </row>
    <row r="732" spans="2:5" ht="15" customHeight="1">
      <c r="B732" s="87"/>
      <c r="C732" s="52" t="s">
        <v>177</v>
      </c>
      <c r="D732" s="55">
        <v>2</v>
      </c>
      <c r="E732" s="54">
        <v>0</v>
      </c>
    </row>
    <row r="733" spans="2:5" ht="15" customHeight="1">
      <c r="B733" s="87"/>
      <c r="C733" s="52" t="s">
        <v>142</v>
      </c>
      <c r="D733" s="55">
        <v>1</v>
      </c>
      <c r="E733" s="54">
        <v>0</v>
      </c>
    </row>
    <row r="734" spans="2:5" ht="15" customHeight="1">
      <c r="B734" s="87"/>
      <c r="C734" s="52" t="s">
        <v>173</v>
      </c>
      <c r="D734" s="55">
        <v>1</v>
      </c>
      <c r="E734" s="54">
        <v>0</v>
      </c>
    </row>
    <row r="735" spans="2:5" ht="15" customHeight="1">
      <c r="B735" s="87"/>
      <c r="C735" s="52" t="s">
        <v>158</v>
      </c>
      <c r="D735" s="55">
        <v>2</v>
      </c>
      <c r="E735" s="54">
        <v>0</v>
      </c>
    </row>
    <row r="736" spans="2:5" ht="15" customHeight="1">
      <c r="B736" s="87"/>
      <c r="C736" s="52" t="s">
        <v>144</v>
      </c>
      <c r="D736" s="55">
        <v>16</v>
      </c>
      <c r="E736" s="54">
        <v>1E-3</v>
      </c>
    </row>
    <row r="737" spans="2:5" ht="15" customHeight="1">
      <c r="B737" s="87"/>
      <c r="C737" s="52" t="s">
        <v>147</v>
      </c>
      <c r="D737" s="55">
        <v>1</v>
      </c>
      <c r="E737" s="54">
        <v>0</v>
      </c>
    </row>
    <row r="738" spans="2:5" ht="15" customHeight="1">
      <c r="B738" s="87"/>
      <c r="C738" s="52" t="s">
        <v>148</v>
      </c>
      <c r="D738" s="55">
        <v>1</v>
      </c>
      <c r="E738" s="54">
        <v>0</v>
      </c>
    </row>
    <row r="739" spans="2:5" ht="15" customHeight="1">
      <c r="B739" s="86"/>
      <c r="C739" s="68" t="s">
        <v>307</v>
      </c>
      <c r="D739" s="70">
        <v>32</v>
      </c>
      <c r="E739" s="69">
        <v>2E-3</v>
      </c>
    </row>
    <row r="740" spans="2:5" ht="15" customHeight="1">
      <c r="B740" s="85" t="s">
        <v>278</v>
      </c>
      <c r="C740" s="52" t="s">
        <v>142</v>
      </c>
      <c r="D740" s="55">
        <v>2</v>
      </c>
      <c r="E740" s="54">
        <v>0</v>
      </c>
    </row>
    <row r="741" spans="2:5" ht="15" customHeight="1">
      <c r="B741" s="86"/>
      <c r="C741" s="68" t="s">
        <v>307</v>
      </c>
      <c r="D741" s="70">
        <v>2</v>
      </c>
      <c r="E741" s="69">
        <v>0</v>
      </c>
    </row>
    <row r="742" spans="2:5" ht="15" customHeight="1">
      <c r="B742" s="89" t="s">
        <v>310</v>
      </c>
      <c r="C742" s="89"/>
      <c r="D742" s="40">
        <v>14141</v>
      </c>
      <c r="E742" s="57">
        <v>1</v>
      </c>
    </row>
    <row r="743" spans="2:5" ht="15" customHeight="1">
      <c r="B743" s="46"/>
      <c r="C743" s="46"/>
      <c r="D743" s="46"/>
      <c r="E743" s="46"/>
    </row>
    <row r="744" spans="2:5" ht="15" customHeight="1">
      <c r="B744" s="34" t="s">
        <v>277</v>
      </c>
      <c r="C744" s="46"/>
      <c r="D744" s="46"/>
      <c r="E744" s="46"/>
    </row>
    <row r="745" spans="2:5" ht="15" customHeight="1">
      <c r="B745" s="35" t="s">
        <v>18</v>
      </c>
      <c r="C745" s="46"/>
      <c r="D745" s="46"/>
      <c r="E745" s="46"/>
    </row>
    <row r="746" spans="2:5" ht="15" customHeight="1">
      <c r="B746" s="32" t="s">
        <v>46</v>
      </c>
      <c r="C746" s="46"/>
      <c r="D746" s="46"/>
      <c r="E746" s="46"/>
    </row>
    <row r="747" spans="2:5" ht="15" customHeight="1">
      <c r="B747" s="34" t="s">
        <v>17</v>
      </c>
      <c r="C747" s="46"/>
      <c r="D747" s="46"/>
      <c r="E747" s="46"/>
    </row>
    <row r="748" spans="2:5" ht="15" customHeight="1">
      <c r="B748" s="34" t="s">
        <v>308</v>
      </c>
      <c r="C748" s="46"/>
      <c r="D748" s="46"/>
      <c r="E748" s="46"/>
    </row>
  </sheetData>
  <mergeCells count="51">
    <mergeCell ref="B7:E8"/>
    <mergeCell ref="B478:B483"/>
    <mergeCell ref="B484:B490"/>
    <mergeCell ref="B189:B192"/>
    <mergeCell ref="B193:B206"/>
    <mergeCell ref="B88:B116"/>
    <mergeCell ref="B117:B141"/>
    <mergeCell ref="B142:B188"/>
    <mergeCell ref="B383:B405"/>
    <mergeCell ref="B406:B420"/>
    <mergeCell ref="B421:B462"/>
    <mergeCell ref="B463:B477"/>
    <mergeCell ref="B207:B225"/>
    <mergeCell ref="B226:B233"/>
    <mergeCell ref="B234:B238"/>
    <mergeCell ref="B742:C742"/>
    <mergeCell ref="B695:B701"/>
    <mergeCell ref="B702:B707"/>
    <mergeCell ref="B687:B694"/>
    <mergeCell ref="B708:B712"/>
    <mergeCell ref="B713:B719"/>
    <mergeCell ref="B720:B723"/>
    <mergeCell ref="B724:B726"/>
    <mergeCell ref="B727:B739"/>
    <mergeCell ref="B740:B741"/>
    <mergeCell ref="B491:B492"/>
    <mergeCell ref="B493:B506"/>
    <mergeCell ref="B507:B512"/>
    <mergeCell ref="B513:B545"/>
    <mergeCell ref="B10:B22"/>
    <mergeCell ref="B23:B49"/>
    <mergeCell ref="B50:B75"/>
    <mergeCell ref="B76:B82"/>
    <mergeCell ref="B83:B87"/>
    <mergeCell ref="B239:B243"/>
    <mergeCell ref="B244:B263"/>
    <mergeCell ref="B264:B313"/>
    <mergeCell ref="B314:B325"/>
    <mergeCell ref="B326:B347"/>
    <mergeCell ref="B348:B375"/>
    <mergeCell ref="B376:B382"/>
    <mergeCell ref="B546:B562"/>
    <mergeCell ref="B563:B565"/>
    <mergeCell ref="B566:B576"/>
    <mergeCell ref="B577:B582"/>
    <mergeCell ref="B583:B590"/>
    <mergeCell ref="B591:B610"/>
    <mergeCell ref="B611:B617"/>
    <mergeCell ref="B618:B635"/>
    <mergeCell ref="B636:B642"/>
    <mergeCell ref="B643:B6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92D050"/>
  </sheetPr>
  <dimension ref="A1:F72"/>
  <sheetViews>
    <sheetView showGridLines="0" view="pageBreakPreview" topLeftCell="A4" zoomScale="115" zoomScaleNormal="100" zoomScaleSheetLayoutView="115" workbookViewId="0">
      <selection activeCell="C16" sqref="C16"/>
    </sheetView>
  </sheetViews>
  <sheetFormatPr baseColWidth="10" defaultColWidth="11.42578125" defaultRowHeight="15"/>
  <cols>
    <col min="1" max="1" width="9.28515625" style="13" customWidth="1"/>
    <col min="2" max="2" width="34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37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33" customHeight="1">
      <c r="A11" s="29"/>
      <c r="B11" s="36" t="s">
        <v>27</v>
      </c>
      <c r="C11" s="37" t="s">
        <v>26</v>
      </c>
      <c r="D11" s="38" t="s">
        <v>19</v>
      </c>
      <c r="E11" s="29"/>
      <c r="F11" s="29"/>
    </row>
    <row r="12" spans="1:6" ht="16.5">
      <c r="A12" s="31"/>
      <c r="B12" s="58" t="s">
        <v>192</v>
      </c>
      <c r="C12" s="59">
        <v>49</v>
      </c>
      <c r="D12" s="60">
        <v>3.465101477972E-3</v>
      </c>
      <c r="E12" s="31"/>
      <c r="F12" s="31"/>
    </row>
    <row r="13" spans="1:6" ht="16.5">
      <c r="A13" s="31"/>
      <c r="B13" s="58" t="s">
        <v>286</v>
      </c>
      <c r="C13" s="59">
        <v>3</v>
      </c>
      <c r="D13" s="60">
        <v>2.1214907008000001E-4</v>
      </c>
      <c r="E13" s="31"/>
      <c r="F13" s="31"/>
    </row>
    <row r="14" spans="1:6" ht="16.5">
      <c r="A14" s="31"/>
      <c r="B14" s="58" t="s">
        <v>193</v>
      </c>
      <c r="C14" s="59">
        <v>29</v>
      </c>
      <c r="D14" s="60">
        <v>2.0507743441060002E-3</v>
      </c>
      <c r="E14" s="31"/>
      <c r="F14" s="31"/>
    </row>
    <row r="15" spans="1:6" ht="16.5">
      <c r="A15" s="31"/>
      <c r="B15" s="58" t="s">
        <v>194</v>
      </c>
      <c r="C15" s="59">
        <v>56</v>
      </c>
      <c r="D15" s="60">
        <v>3.9601159748250004E-3</v>
      </c>
      <c r="E15" s="31"/>
      <c r="F15" s="31"/>
    </row>
    <row r="16" spans="1:6" ht="16.5">
      <c r="A16" s="31"/>
      <c r="B16" s="58" t="s">
        <v>195</v>
      </c>
      <c r="C16" s="59">
        <v>128</v>
      </c>
      <c r="D16" s="60">
        <v>9.0516936567429998E-3</v>
      </c>
      <c r="E16" s="31"/>
      <c r="F16" s="31"/>
    </row>
    <row r="17" spans="1:6" ht="16.5">
      <c r="A17" s="31"/>
      <c r="B17" s="58" t="s">
        <v>196</v>
      </c>
      <c r="C17" s="59">
        <v>106</v>
      </c>
      <c r="D17" s="60">
        <v>7.49593380949E-3</v>
      </c>
      <c r="E17" s="31"/>
      <c r="F17" s="31"/>
    </row>
    <row r="18" spans="1:6" ht="16.5">
      <c r="A18" s="31"/>
      <c r="B18" s="58" t="s">
        <v>197</v>
      </c>
      <c r="C18" s="59">
        <v>141</v>
      </c>
      <c r="D18" s="60">
        <v>9.9710062937559997E-3</v>
      </c>
      <c r="E18" s="31"/>
      <c r="F18" s="31"/>
    </row>
    <row r="19" spans="1:6" ht="16.5">
      <c r="A19" s="31"/>
      <c r="B19" s="58" t="s">
        <v>198</v>
      </c>
      <c r="C19" s="59">
        <v>734</v>
      </c>
      <c r="D19" s="60">
        <v>5.1905805812885002E-2</v>
      </c>
      <c r="E19" s="31"/>
      <c r="F19" s="31"/>
    </row>
    <row r="20" spans="1:6" ht="16.5">
      <c r="A20" s="31"/>
      <c r="B20" s="58" t="s">
        <v>199</v>
      </c>
      <c r="C20" s="59">
        <v>976</v>
      </c>
      <c r="D20" s="60">
        <v>6.9019164132663999E-2</v>
      </c>
      <c r="E20" s="31"/>
      <c r="F20" s="31"/>
    </row>
    <row r="21" spans="1:6" ht="16.5">
      <c r="A21" s="31"/>
      <c r="B21" s="58" t="s">
        <v>200</v>
      </c>
      <c r="C21" s="59">
        <v>125</v>
      </c>
      <c r="D21" s="60">
        <v>8.8395445866630007E-3</v>
      </c>
      <c r="E21" s="31"/>
      <c r="F21" s="31"/>
    </row>
    <row r="22" spans="1:6" ht="16.5">
      <c r="A22" s="31"/>
      <c r="B22" s="58" t="s">
        <v>201</v>
      </c>
      <c r="C22" s="59">
        <v>270</v>
      </c>
      <c r="D22" s="60">
        <v>1.9093416307191999E-2</v>
      </c>
      <c r="E22" s="31"/>
      <c r="F22" s="31"/>
    </row>
    <row r="23" spans="1:6" ht="16.5">
      <c r="A23" s="31"/>
      <c r="B23" s="58" t="s">
        <v>202</v>
      </c>
      <c r="C23" s="59">
        <v>551</v>
      </c>
      <c r="D23" s="60">
        <v>3.8964712538010003E-2</v>
      </c>
      <c r="E23" s="31"/>
      <c r="F23" s="31"/>
    </row>
    <row r="24" spans="1:6" ht="16.5">
      <c r="A24" s="31"/>
      <c r="B24" s="58" t="s">
        <v>203</v>
      </c>
      <c r="C24" s="59">
        <v>3703</v>
      </c>
      <c r="D24" s="60">
        <v>0.26186266883530201</v>
      </c>
      <c r="E24" s="31"/>
      <c r="F24" s="31"/>
    </row>
    <row r="25" spans="1:6" ht="16.5">
      <c r="A25" s="31"/>
      <c r="B25" s="58" t="s">
        <v>204</v>
      </c>
      <c r="C25" s="59">
        <v>667</v>
      </c>
      <c r="D25" s="60">
        <v>4.7167809914433E-2</v>
      </c>
      <c r="E25" s="31"/>
      <c r="F25" s="31"/>
    </row>
    <row r="26" spans="1:6" ht="16.5">
      <c r="A26" s="31"/>
      <c r="B26" s="58" t="s">
        <v>205</v>
      </c>
      <c r="C26" s="59">
        <v>898</v>
      </c>
      <c r="D26" s="60">
        <v>6.3503288310586006E-2</v>
      </c>
      <c r="E26" s="31"/>
      <c r="F26" s="31"/>
    </row>
    <row r="27" spans="1:6" ht="16.5">
      <c r="A27" s="31"/>
      <c r="B27" s="58" t="s">
        <v>206</v>
      </c>
      <c r="C27" s="59">
        <v>3713</v>
      </c>
      <c r="D27" s="60">
        <v>0.26256983240223503</v>
      </c>
      <c r="E27" s="31"/>
      <c r="F27" s="31"/>
    </row>
    <row r="28" spans="1:6" ht="16.5">
      <c r="A28" s="31"/>
      <c r="B28" s="58" t="s">
        <v>207</v>
      </c>
      <c r="C28" s="59">
        <v>78</v>
      </c>
      <c r="D28" s="60">
        <v>5.5158758220780002E-3</v>
      </c>
      <c r="E28" s="31"/>
      <c r="F28" s="31"/>
    </row>
    <row r="29" spans="1:6" ht="16.5">
      <c r="A29" s="31"/>
      <c r="B29" s="58" t="s">
        <v>208</v>
      </c>
      <c r="C29" s="59">
        <v>109</v>
      </c>
      <c r="D29" s="60">
        <v>7.7080828795699999E-3</v>
      </c>
      <c r="E29" s="31"/>
      <c r="F29" s="31"/>
    </row>
    <row r="30" spans="1:6" ht="16.5">
      <c r="A30" s="31"/>
      <c r="B30" s="58" t="s">
        <v>209</v>
      </c>
      <c r="C30" s="59">
        <v>44</v>
      </c>
      <c r="D30" s="60">
        <v>3.111519694505E-3</v>
      </c>
      <c r="E30" s="31"/>
      <c r="F30" s="31"/>
    </row>
    <row r="31" spans="1:6" ht="16.5">
      <c r="A31" s="31"/>
      <c r="B31" s="58" t="s">
        <v>210</v>
      </c>
      <c r="C31" s="59">
        <v>40</v>
      </c>
      <c r="D31" s="60">
        <v>2.8286542677320001E-3</v>
      </c>
      <c r="E31" s="31"/>
      <c r="F31" s="31"/>
    </row>
    <row r="32" spans="1:6" ht="16.5">
      <c r="A32" s="31"/>
      <c r="B32" s="58" t="s">
        <v>211</v>
      </c>
      <c r="C32" s="59">
        <v>351</v>
      </c>
      <c r="D32" s="60">
        <v>2.4821441199348999E-2</v>
      </c>
      <c r="E32" s="31"/>
      <c r="F32" s="31"/>
    </row>
    <row r="33" spans="1:6" ht="16.5">
      <c r="A33" s="31"/>
      <c r="B33" s="58" t="s">
        <v>212</v>
      </c>
      <c r="C33" s="59">
        <v>1262</v>
      </c>
      <c r="D33" s="60">
        <v>8.9244042146949004E-2</v>
      </c>
      <c r="E33" s="31"/>
      <c r="F33" s="31"/>
    </row>
    <row r="34" spans="1:6" ht="16.5">
      <c r="A34" s="31"/>
      <c r="B34" s="58" t="s">
        <v>213</v>
      </c>
      <c r="C34" s="59">
        <v>35</v>
      </c>
      <c r="D34" s="60">
        <v>2.4750724842660002E-3</v>
      </c>
      <c r="E34" s="31"/>
      <c r="F34" s="31"/>
    </row>
    <row r="35" spans="1:6" ht="16.5">
      <c r="A35" s="31"/>
      <c r="B35" s="58" t="s">
        <v>214</v>
      </c>
      <c r="C35" s="59">
        <v>59</v>
      </c>
      <c r="D35" s="60">
        <v>4.1722650449050004E-3</v>
      </c>
      <c r="E35" s="31"/>
      <c r="F35" s="31"/>
    </row>
    <row r="36" spans="1:6" ht="16.5">
      <c r="A36" s="31"/>
      <c r="B36" s="58" t="s">
        <v>215</v>
      </c>
      <c r="C36" s="59">
        <v>14</v>
      </c>
      <c r="D36" s="60">
        <v>9.9002899370600008E-4</v>
      </c>
      <c r="E36" s="31"/>
      <c r="F36" s="31"/>
    </row>
    <row r="37" spans="1:6" ht="16.5">
      <c r="A37" s="31"/>
      <c r="B37" s="71" t="s">
        <v>309</v>
      </c>
      <c r="C37" s="62">
        <v>14141</v>
      </c>
      <c r="D37" s="63">
        <v>1</v>
      </c>
      <c r="E37" s="31"/>
      <c r="F37" s="31"/>
    </row>
    <row r="38" spans="1:6" ht="16.5">
      <c r="A38" s="31"/>
      <c r="B38" s="34"/>
      <c r="C38" s="33"/>
      <c r="D38" s="31"/>
      <c r="E38" s="31"/>
      <c r="F38" s="31"/>
    </row>
    <row r="39" spans="1:6" ht="16.5">
      <c r="A39" s="31"/>
      <c r="B39" s="34" t="s">
        <v>277</v>
      </c>
      <c r="C39" s="33"/>
      <c r="D39" s="31"/>
      <c r="E39" s="31"/>
      <c r="F39" s="31"/>
    </row>
    <row r="40" spans="1:6" ht="16.5">
      <c r="A40" s="31"/>
      <c r="B40" s="35" t="s">
        <v>18</v>
      </c>
      <c r="C40" s="33"/>
      <c r="D40" s="31"/>
      <c r="E40" s="31"/>
      <c r="F40" s="31"/>
    </row>
    <row r="41" spans="1:6" ht="16.5">
      <c r="A41" s="31"/>
      <c r="B41" s="32" t="s">
        <v>46</v>
      </c>
      <c r="C41" s="33"/>
      <c r="D41" s="31"/>
      <c r="E41" s="31"/>
      <c r="F41" s="31"/>
    </row>
    <row r="42" spans="1:6" ht="16.5">
      <c r="A42" s="31"/>
      <c r="B42" s="34" t="s">
        <v>17</v>
      </c>
      <c r="C42" s="33"/>
      <c r="D42" s="31"/>
      <c r="E42" s="31"/>
      <c r="F42" s="31"/>
    </row>
    <row r="43" spans="1:6" ht="16.5">
      <c r="A43" s="31"/>
      <c r="B43" s="34" t="s">
        <v>308</v>
      </c>
      <c r="C43" s="33"/>
      <c r="D43" s="31"/>
      <c r="E43" s="31"/>
      <c r="F43" s="31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92D050"/>
  </sheetPr>
  <dimension ref="A1:E460"/>
  <sheetViews>
    <sheetView showGridLines="0" view="pageBreakPreview" topLeftCell="A436" zoomScale="115" zoomScaleNormal="100" zoomScaleSheetLayoutView="115" workbookViewId="0">
      <selection activeCell="B457" sqref="B457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1"/>
      <c r="C6" s="42"/>
      <c r="D6" s="42"/>
      <c r="E6" s="42"/>
    </row>
    <row r="7" spans="1:5" s="22" customFormat="1" ht="26.25" customHeight="1">
      <c r="A7" s="23"/>
      <c r="B7" s="88"/>
      <c r="C7" s="88"/>
      <c r="D7" s="88"/>
      <c r="E7" s="88"/>
    </row>
    <row r="8" spans="1:5" s="22" customFormat="1" ht="33" customHeight="1">
      <c r="A8" s="23"/>
      <c r="B8" s="88"/>
      <c r="C8" s="88"/>
      <c r="D8" s="88"/>
      <c r="E8" s="88"/>
    </row>
    <row r="9" spans="1:5" s="16" customFormat="1" ht="40.5" customHeight="1">
      <c r="B9" s="43" t="s">
        <v>28</v>
      </c>
      <c r="C9" s="44" t="s">
        <v>25</v>
      </c>
      <c r="D9" s="45" t="s">
        <v>20</v>
      </c>
      <c r="E9" s="43" t="s">
        <v>19</v>
      </c>
    </row>
    <row r="10" spans="1:5" ht="15" customHeight="1">
      <c r="B10" s="85" t="s">
        <v>192</v>
      </c>
      <c r="C10" s="52" t="s">
        <v>98</v>
      </c>
      <c r="D10" s="53">
        <v>1</v>
      </c>
      <c r="E10" s="54">
        <v>0</v>
      </c>
    </row>
    <row r="11" spans="1:5" ht="15" customHeight="1">
      <c r="B11" s="87"/>
      <c r="C11" s="52" t="s">
        <v>99</v>
      </c>
      <c r="D11" s="53">
        <v>1</v>
      </c>
      <c r="E11" s="54">
        <v>0</v>
      </c>
    </row>
    <row r="12" spans="1:5" ht="15" customHeight="1">
      <c r="B12" s="87"/>
      <c r="C12" s="52" t="s">
        <v>103</v>
      </c>
      <c r="D12" s="53">
        <v>3</v>
      </c>
      <c r="E12" s="54">
        <v>0</v>
      </c>
    </row>
    <row r="13" spans="1:5" ht="15" customHeight="1">
      <c r="B13" s="87"/>
      <c r="C13" s="52" t="s">
        <v>104</v>
      </c>
      <c r="D13" s="53">
        <v>1</v>
      </c>
      <c r="E13" s="54">
        <v>0</v>
      </c>
    </row>
    <row r="14" spans="1:5" ht="15" customHeight="1">
      <c r="B14" s="87"/>
      <c r="C14" s="52" t="s">
        <v>106</v>
      </c>
      <c r="D14" s="53">
        <v>1</v>
      </c>
      <c r="E14" s="54">
        <v>0</v>
      </c>
    </row>
    <row r="15" spans="1:5" ht="15" customHeight="1">
      <c r="B15" s="87"/>
      <c r="C15" s="52" t="s">
        <v>133</v>
      </c>
      <c r="D15" s="53">
        <v>42</v>
      </c>
      <c r="E15" s="54">
        <v>3.0000000000000001E-3</v>
      </c>
    </row>
    <row r="16" spans="1:5" ht="15" customHeight="1">
      <c r="B16" s="86"/>
      <c r="C16" s="68" t="s">
        <v>307</v>
      </c>
      <c r="D16" s="66">
        <v>49</v>
      </c>
      <c r="E16" s="69">
        <v>3.0000000000000001E-3</v>
      </c>
    </row>
    <row r="17" spans="2:5" ht="15" customHeight="1">
      <c r="B17" s="85" t="s">
        <v>286</v>
      </c>
      <c r="C17" s="52" t="s">
        <v>118</v>
      </c>
      <c r="D17" s="53">
        <v>1</v>
      </c>
      <c r="E17" s="54">
        <v>0</v>
      </c>
    </row>
    <row r="18" spans="2:5" ht="15" customHeight="1">
      <c r="B18" s="87"/>
      <c r="C18" s="52" t="s">
        <v>133</v>
      </c>
      <c r="D18" s="53">
        <v>2</v>
      </c>
      <c r="E18" s="54">
        <v>0</v>
      </c>
    </row>
    <row r="19" spans="2:5" ht="15" customHeight="1">
      <c r="B19" s="86"/>
      <c r="C19" s="68" t="s">
        <v>307</v>
      </c>
      <c r="D19" s="66">
        <v>3</v>
      </c>
      <c r="E19" s="69">
        <v>0</v>
      </c>
    </row>
    <row r="20" spans="2:5" ht="15" customHeight="1">
      <c r="B20" s="85" t="s">
        <v>287</v>
      </c>
      <c r="C20" s="52" t="s">
        <v>99</v>
      </c>
      <c r="D20" s="53">
        <v>2</v>
      </c>
      <c r="E20" s="54">
        <v>0</v>
      </c>
    </row>
    <row r="21" spans="2:5" ht="15" customHeight="1">
      <c r="B21" s="87"/>
      <c r="C21" s="52" t="s">
        <v>104</v>
      </c>
      <c r="D21" s="53">
        <v>2</v>
      </c>
      <c r="E21" s="54">
        <v>0</v>
      </c>
    </row>
    <row r="22" spans="2:5" ht="15" customHeight="1">
      <c r="B22" s="87"/>
      <c r="C22" s="52" t="s">
        <v>106</v>
      </c>
      <c r="D22" s="53">
        <v>3</v>
      </c>
      <c r="E22" s="54">
        <v>0</v>
      </c>
    </row>
    <row r="23" spans="2:5" ht="15" customHeight="1">
      <c r="B23" s="87"/>
      <c r="C23" s="52" t="s">
        <v>127</v>
      </c>
      <c r="D23" s="53">
        <v>1</v>
      </c>
      <c r="E23" s="54">
        <v>0</v>
      </c>
    </row>
    <row r="24" spans="2:5" ht="15" customHeight="1">
      <c r="B24" s="87"/>
      <c r="C24" s="52" t="s">
        <v>133</v>
      </c>
      <c r="D24" s="53">
        <v>21</v>
      </c>
      <c r="E24" s="54">
        <v>1E-3</v>
      </c>
    </row>
    <row r="25" spans="2:5" ht="15" customHeight="1">
      <c r="B25" s="86"/>
      <c r="C25" s="68" t="s">
        <v>307</v>
      </c>
      <c r="D25" s="66">
        <v>29</v>
      </c>
      <c r="E25" s="69">
        <v>2E-3</v>
      </c>
    </row>
    <row r="26" spans="2:5" ht="15" customHeight="1">
      <c r="B26" s="85" t="s">
        <v>288</v>
      </c>
      <c r="C26" s="52" t="s">
        <v>99</v>
      </c>
      <c r="D26" s="53">
        <v>2</v>
      </c>
      <c r="E26" s="54">
        <v>0</v>
      </c>
    </row>
    <row r="27" spans="2:5" ht="15" customHeight="1">
      <c r="B27" s="87"/>
      <c r="C27" s="52" t="s">
        <v>103</v>
      </c>
      <c r="D27" s="53">
        <v>1</v>
      </c>
      <c r="E27" s="54">
        <v>0</v>
      </c>
    </row>
    <row r="28" spans="2:5" ht="15" customHeight="1">
      <c r="B28" s="87"/>
      <c r="C28" s="52" t="s">
        <v>108</v>
      </c>
      <c r="D28" s="53">
        <v>1</v>
      </c>
      <c r="E28" s="54">
        <v>0</v>
      </c>
    </row>
    <row r="29" spans="2:5" ht="15" customHeight="1">
      <c r="B29" s="87"/>
      <c r="C29" s="52" t="s">
        <v>116</v>
      </c>
      <c r="D29" s="53">
        <v>1</v>
      </c>
      <c r="E29" s="54">
        <v>0</v>
      </c>
    </row>
    <row r="30" spans="2:5" ht="15" customHeight="1">
      <c r="B30" s="87"/>
      <c r="C30" s="52" t="s">
        <v>127</v>
      </c>
      <c r="D30" s="53">
        <v>1</v>
      </c>
      <c r="E30" s="54">
        <v>0</v>
      </c>
    </row>
    <row r="31" spans="2:5" ht="15" customHeight="1">
      <c r="B31" s="87"/>
      <c r="C31" s="52" t="s">
        <v>129</v>
      </c>
      <c r="D31" s="53">
        <v>1</v>
      </c>
      <c r="E31" s="54">
        <v>0</v>
      </c>
    </row>
    <row r="32" spans="2:5" ht="15" customHeight="1">
      <c r="B32" s="87"/>
      <c r="C32" s="52" t="s">
        <v>133</v>
      </c>
      <c r="D32" s="53">
        <v>49</v>
      </c>
      <c r="E32" s="54">
        <v>3.0000000000000001E-3</v>
      </c>
    </row>
    <row r="33" spans="2:5" ht="15" customHeight="1">
      <c r="B33" s="86"/>
      <c r="C33" s="68" t="s">
        <v>307</v>
      </c>
      <c r="D33" s="66">
        <v>56</v>
      </c>
      <c r="E33" s="69">
        <v>4.0000000000000001E-3</v>
      </c>
    </row>
    <row r="34" spans="2:5" ht="15" customHeight="1">
      <c r="B34" s="85" t="s">
        <v>289</v>
      </c>
      <c r="C34" s="52" t="s">
        <v>99</v>
      </c>
      <c r="D34" s="53">
        <v>4</v>
      </c>
      <c r="E34" s="54">
        <v>0</v>
      </c>
    </row>
    <row r="35" spans="2:5" ht="15" customHeight="1">
      <c r="B35" s="87"/>
      <c r="C35" s="52" t="s">
        <v>103</v>
      </c>
      <c r="D35" s="53">
        <v>1</v>
      </c>
      <c r="E35" s="54">
        <v>0</v>
      </c>
    </row>
    <row r="36" spans="2:5" ht="15" customHeight="1">
      <c r="B36" s="87"/>
      <c r="C36" s="52" t="s">
        <v>104</v>
      </c>
      <c r="D36" s="53">
        <v>1</v>
      </c>
      <c r="E36" s="54">
        <v>0</v>
      </c>
    </row>
    <row r="37" spans="2:5" ht="15" customHeight="1">
      <c r="B37" s="87"/>
      <c r="C37" s="52" t="s">
        <v>106</v>
      </c>
      <c r="D37" s="53">
        <v>1</v>
      </c>
      <c r="E37" s="54">
        <v>0</v>
      </c>
    </row>
    <row r="38" spans="2:5" ht="15" customHeight="1">
      <c r="B38" s="87"/>
      <c r="C38" s="52" t="s">
        <v>121</v>
      </c>
      <c r="D38" s="53">
        <v>1</v>
      </c>
      <c r="E38" s="54">
        <v>0</v>
      </c>
    </row>
    <row r="39" spans="2:5" ht="15" customHeight="1">
      <c r="B39" s="87"/>
      <c r="C39" s="52" t="s">
        <v>127</v>
      </c>
      <c r="D39" s="53">
        <v>1</v>
      </c>
      <c r="E39" s="54">
        <v>0</v>
      </c>
    </row>
    <row r="40" spans="2:5" ht="15" customHeight="1">
      <c r="B40" s="87"/>
      <c r="C40" s="52" t="s">
        <v>133</v>
      </c>
      <c r="D40" s="53">
        <v>119</v>
      </c>
      <c r="E40" s="54">
        <v>8.0000000000000002E-3</v>
      </c>
    </row>
    <row r="41" spans="2:5" ht="15" customHeight="1">
      <c r="B41" s="86"/>
      <c r="C41" s="68" t="s">
        <v>307</v>
      </c>
      <c r="D41" s="66">
        <v>128</v>
      </c>
      <c r="E41" s="69">
        <v>8.9999999999999993E-3</v>
      </c>
    </row>
    <row r="42" spans="2:5" ht="15" customHeight="1">
      <c r="B42" s="85" t="s">
        <v>290</v>
      </c>
      <c r="C42" s="52" t="s">
        <v>99</v>
      </c>
      <c r="D42" s="53">
        <v>1</v>
      </c>
      <c r="E42" s="54">
        <v>0</v>
      </c>
    </row>
    <row r="43" spans="2:5" ht="15" customHeight="1">
      <c r="B43" s="87"/>
      <c r="C43" s="52" t="s">
        <v>100</v>
      </c>
      <c r="D43" s="53">
        <v>3</v>
      </c>
      <c r="E43" s="54">
        <v>0</v>
      </c>
    </row>
    <row r="44" spans="2:5" ht="15" customHeight="1">
      <c r="B44" s="87"/>
      <c r="C44" s="52" t="s">
        <v>103</v>
      </c>
      <c r="D44" s="53">
        <v>1</v>
      </c>
      <c r="E44" s="54">
        <v>0</v>
      </c>
    </row>
    <row r="45" spans="2:5" ht="15" customHeight="1">
      <c r="B45" s="87"/>
      <c r="C45" s="52" t="s">
        <v>109</v>
      </c>
      <c r="D45" s="53">
        <v>3</v>
      </c>
      <c r="E45" s="54">
        <v>0</v>
      </c>
    </row>
    <row r="46" spans="2:5" ht="15" customHeight="1">
      <c r="B46" s="87"/>
      <c r="C46" s="52" t="s">
        <v>118</v>
      </c>
      <c r="D46" s="53">
        <v>1</v>
      </c>
      <c r="E46" s="54">
        <v>0</v>
      </c>
    </row>
    <row r="47" spans="2:5" ht="15" customHeight="1">
      <c r="B47" s="87"/>
      <c r="C47" s="52" t="s">
        <v>124</v>
      </c>
      <c r="D47" s="53">
        <v>4</v>
      </c>
      <c r="E47" s="54">
        <v>0</v>
      </c>
    </row>
    <row r="48" spans="2:5" ht="15" customHeight="1">
      <c r="B48" s="87"/>
      <c r="C48" s="52" t="s">
        <v>125</v>
      </c>
      <c r="D48" s="53">
        <v>1</v>
      </c>
      <c r="E48" s="54">
        <v>0</v>
      </c>
    </row>
    <row r="49" spans="2:5" ht="15" customHeight="1">
      <c r="B49" s="87"/>
      <c r="C49" s="52" t="s">
        <v>127</v>
      </c>
      <c r="D49" s="53">
        <v>1</v>
      </c>
      <c r="E49" s="54">
        <v>0</v>
      </c>
    </row>
    <row r="50" spans="2:5" ht="15" customHeight="1">
      <c r="B50" s="87"/>
      <c r="C50" s="52" t="s">
        <v>128</v>
      </c>
      <c r="D50" s="53">
        <v>1</v>
      </c>
      <c r="E50" s="54">
        <v>0</v>
      </c>
    </row>
    <row r="51" spans="2:5" ht="15" customHeight="1">
      <c r="B51" s="87"/>
      <c r="C51" s="52" t="s">
        <v>133</v>
      </c>
      <c r="D51" s="53">
        <v>90</v>
      </c>
      <c r="E51" s="54">
        <v>6.0000000000000001E-3</v>
      </c>
    </row>
    <row r="52" spans="2:5" ht="15" customHeight="1">
      <c r="B52" s="86"/>
      <c r="C52" s="68" t="s">
        <v>307</v>
      </c>
      <c r="D52" s="66">
        <v>106</v>
      </c>
      <c r="E52" s="69">
        <v>7.0000000000000001E-3</v>
      </c>
    </row>
    <row r="53" spans="2:5" ht="15" customHeight="1">
      <c r="B53" s="90" t="s">
        <v>291</v>
      </c>
      <c r="C53" s="52" t="s">
        <v>96</v>
      </c>
      <c r="D53" s="53">
        <v>1</v>
      </c>
      <c r="E53" s="54">
        <v>0</v>
      </c>
    </row>
    <row r="54" spans="2:5" ht="15" customHeight="1">
      <c r="B54" s="91"/>
      <c r="C54" s="52" t="s">
        <v>104</v>
      </c>
      <c r="D54" s="53">
        <v>2</v>
      </c>
      <c r="E54" s="54">
        <v>0</v>
      </c>
    </row>
    <row r="55" spans="2:5" ht="15" customHeight="1">
      <c r="B55" s="91"/>
      <c r="C55" s="52" t="s">
        <v>106</v>
      </c>
      <c r="D55" s="53">
        <v>2</v>
      </c>
      <c r="E55" s="54">
        <v>0</v>
      </c>
    </row>
    <row r="56" spans="2:5" ht="15" customHeight="1">
      <c r="B56" s="91"/>
      <c r="C56" s="52" t="s">
        <v>109</v>
      </c>
      <c r="D56" s="53">
        <v>1</v>
      </c>
      <c r="E56" s="54">
        <v>0</v>
      </c>
    </row>
    <row r="57" spans="2:5" ht="15" customHeight="1">
      <c r="B57" s="91"/>
      <c r="C57" s="52" t="s">
        <v>110</v>
      </c>
      <c r="D57" s="53">
        <v>1</v>
      </c>
      <c r="E57" s="54">
        <v>0</v>
      </c>
    </row>
    <row r="58" spans="2:5" ht="15" customHeight="1">
      <c r="B58" s="91"/>
      <c r="C58" s="52" t="s">
        <v>111</v>
      </c>
      <c r="D58" s="53">
        <v>1</v>
      </c>
      <c r="E58" s="54">
        <v>0</v>
      </c>
    </row>
    <row r="59" spans="2:5" ht="15" customHeight="1">
      <c r="B59" s="91"/>
      <c r="C59" s="52" t="s">
        <v>115</v>
      </c>
      <c r="D59" s="53">
        <v>2</v>
      </c>
      <c r="E59" s="54">
        <v>0</v>
      </c>
    </row>
    <row r="60" spans="2:5" ht="15" customHeight="1">
      <c r="B60" s="91"/>
      <c r="C60" s="52" t="s">
        <v>116</v>
      </c>
      <c r="D60" s="53">
        <v>1</v>
      </c>
      <c r="E60" s="54">
        <v>0</v>
      </c>
    </row>
    <row r="61" spans="2:5" ht="15" customHeight="1">
      <c r="B61" s="91"/>
      <c r="C61" s="52" t="s">
        <v>117</v>
      </c>
      <c r="D61" s="53">
        <v>1</v>
      </c>
      <c r="E61" s="54">
        <v>0</v>
      </c>
    </row>
    <row r="62" spans="2:5" ht="15" customHeight="1">
      <c r="B62" s="91"/>
      <c r="C62" s="52" t="s">
        <v>118</v>
      </c>
      <c r="D62" s="53">
        <v>1</v>
      </c>
      <c r="E62" s="54">
        <v>0</v>
      </c>
    </row>
    <row r="63" spans="2:5" ht="15" customHeight="1">
      <c r="B63" s="91"/>
      <c r="C63" s="52" t="s">
        <v>121</v>
      </c>
      <c r="D63" s="53">
        <v>1</v>
      </c>
      <c r="E63" s="54">
        <v>0</v>
      </c>
    </row>
    <row r="64" spans="2:5" ht="15" customHeight="1">
      <c r="B64" s="91"/>
      <c r="C64" s="52" t="s">
        <v>127</v>
      </c>
      <c r="D64" s="53">
        <v>1</v>
      </c>
      <c r="E64" s="54">
        <v>0</v>
      </c>
    </row>
    <row r="65" spans="2:5" ht="15" customHeight="1">
      <c r="B65" s="91"/>
      <c r="C65" s="52" t="s">
        <v>132</v>
      </c>
      <c r="D65" s="53">
        <v>1</v>
      </c>
      <c r="E65" s="54">
        <v>0</v>
      </c>
    </row>
    <row r="66" spans="2:5" ht="15" customHeight="1">
      <c r="B66" s="91"/>
      <c r="C66" s="52" t="s">
        <v>133</v>
      </c>
      <c r="D66" s="53">
        <v>124</v>
      </c>
      <c r="E66" s="54">
        <v>8.9999999999999993E-3</v>
      </c>
    </row>
    <row r="67" spans="2:5" ht="15" customHeight="1">
      <c r="B67" s="91"/>
      <c r="C67" s="52" t="s">
        <v>135</v>
      </c>
      <c r="D67" s="53">
        <v>1</v>
      </c>
      <c r="E67" s="54">
        <v>0</v>
      </c>
    </row>
    <row r="68" spans="2:5" ht="15" customHeight="1">
      <c r="B68" s="92"/>
      <c r="C68" s="68" t="s">
        <v>307</v>
      </c>
      <c r="D68" s="66">
        <v>141</v>
      </c>
      <c r="E68" s="69">
        <v>0.01</v>
      </c>
    </row>
    <row r="69" spans="2:5" ht="15" customHeight="1">
      <c r="B69" s="90" t="s">
        <v>292</v>
      </c>
      <c r="C69" s="52" t="s">
        <v>96</v>
      </c>
      <c r="D69" s="53">
        <v>2</v>
      </c>
      <c r="E69" s="54">
        <v>0</v>
      </c>
    </row>
    <row r="70" spans="2:5" ht="15" customHeight="1">
      <c r="B70" s="91"/>
      <c r="C70" s="52" t="s">
        <v>98</v>
      </c>
      <c r="D70" s="53">
        <v>1</v>
      </c>
      <c r="E70" s="54">
        <v>0</v>
      </c>
    </row>
    <row r="71" spans="2:5" ht="15" customHeight="1">
      <c r="B71" s="91"/>
      <c r="C71" s="52" t="s">
        <v>99</v>
      </c>
      <c r="D71" s="53">
        <v>18</v>
      </c>
      <c r="E71" s="54">
        <v>1E-3</v>
      </c>
    </row>
    <row r="72" spans="2:5" ht="15" customHeight="1">
      <c r="B72" s="91"/>
      <c r="C72" s="52" t="s">
        <v>100</v>
      </c>
      <c r="D72" s="53">
        <v>2</v>
      </c>
      <c r="E72" s="54">
        <v>0</v>
      </c>
    </row>
    <row r="73" spans="2:5" ht="15" customHeight="1">
      <c r="B73" s="91"/>
      <c r="C73" s="52" t="s">
        <v>101</v>
      </c>
      <c r="D73" s="53">
        <v>1</v>
      </c>
      <c r="E73" s="54">
        <v>0</v>
      </c>
    </row>
    <row r="74" spans="2:5" ht="15" customHeight="1">
      <c r="B74" s="91"/>
      <c r="C74" s="52" t="s">
        <v>103</v>
      </c>
      <c r="D74" s="53">
        <v>3</v>
      </c>
      <c r="E74" s="54">
        <v>0</v>
      </c>
    </row>
    <row r="75" spans="2:5" ht="15" customHeight="1">
      <c r="B75" s="91"/>
      <c r="C75" s="52" t="s">
        <v>104</v>
      </c>
      <c r="D75" s="53">
        <v>7</v>
      </c>
      <c r="E75" s="54">
        <v>0</v>
      </c>
    </row>
    <row r="76" spans="2:5" ht="15" customHeight="1">
      <c r="B76" s="91"/>
      <c r="C76" s="52" t="s">
        <v>105</v>
      </c>
      <c r="D76" s="53">
        <v>1</v>
      </c>
      <c r="E76" s="54">
        <v>0</v>
      </c>
    </row>
    <row r="77" spans="2:5" ht="15" customHeight="1">
      <c r="B77" s="91"/>
      <c r="C77" s="52" t="s">
        <v>106</v>
      </c>
      <c r="D77" s="53">
        <v>3</v>
      </c>
      <c r="E77" s="54">
        <v>0</v>
      </c>
    </row>
    <row r="78" spans="2:5" ht="15" customHeight="1">
      <c r="B78" s="91"/>
      <c r="C78" s="52" t="s">
        <v>107</v>
      </c>
      <c r="D78" s="53">
        <v>2</v>
      </c>
      <c r="E78" s="54">
        <v>0</v>
      </c>
    </row>
    <row r="79" spans="2:5" ht="15" customHeight="1">
      <c r="B79" s="91"/>
      <c r="C79" s="52" t="s">
        <v>109</v>
      </c>
      <c r="D79" s="53">
        <v>2</v>
      </c>
      <c r="E79" s="54">
        <v>0</v>
      </c>
    </row>
    <row r="80" spans="2:5" ht="15" customHeight="1">
      <c r="B80" s="91"/>
      <c r="C80" s="52" t="s">
        <v>111</v>
      </c>
      <c r="D80" s="53">
        <v>3</v>
      </c>
      <c r="E80" s="54">
        <v>0</v>
      </c>
    </row>
    <row r="81" spans="2:5" ht="15" customHeight="1">
      <c r="B81" s="91"/>
      <c r="C81" s="52" t="s">
        <v>115</v>
      </c>
      <c r="D81" s="53">
        <v>7</v>
      </c>
      <c r="E81" s="54">
        <v>0</v>
      </c>
    </row>
    <row r="82" spans="2:5" ht="15" customHeight="1">
      <c r="B82" s="91"/>
      <c r="C82" s="52" t="s">
        <v>117</v>
      </c>
      <c r="D82" s="53">
        <v>1</v>
      </c>
      <c r="E82" s="54">
        <v>0</v>
      </c>
    </row>
    <row r="83" spans="2:5" ht="15" customHeight="1">
      <c r="B83" s="91"/>
      <c r="C83" s="52" t="s">
        <v>118</v>
      </c>
      <c r="D83" s="53">
        <v>6</v>
      </c>
      <c r="E83" s="54">
        <v>0</v>
      </c>
    </row>
    <row r="84" spans="2:5" ht="15" customHeight="1">
      <c r="B84" s="91"/>
      <c r="C84" s="52" t="s">
        <v>119</v>
      </c>
      <c r="D84" s="53">
        <v>2</v>
      </c>
      <c r="E84" s="54">
        <v>0</v>
      </c>
    </row>
    <row r="85" spans="2:5" ht="15" customHeight="1">
      <c r="B85" s="91"/>
      <c r="C85" s="52" t="s">
        <v>120</v>
      </c>
      <c r="D85" s="53">
        <v>1</v>
      </c>
      <c r="E85" s="54">
        <v>0</v>
      </c>
    </row>
    <row r="86" spans="2:5" ht="15" customHeight="1">
      <c r="B86" s="91"/>
      <c r="C86" s="52" t="s">
        <v>122</v>
      </c>
      <c r="D86" s="53">
        <v>1</v>
      </c>
      <c r="E86" s="54">
        <v>0</v>
      </c>
    </row>
    <row r="87" spans="2:5" ht="15" customHeight="1">
      <c r="B87" s="91"/>
      <c r="C87" s="52" t="s">
        <v>124</v>
      </c>
      <c r="D87" s="53">
        <v>5</v>
      </c>
      <c r="E87" s="54">
        <v>0</v>
      </c>
    </row>
    <row r="88" spans="2:5" ht="15" customHeight="1">
      <c r="B88" s="91"/>
      <c r="C88" s="52" t="s">
        <v>126</v>
      </c>
      <c r="D88" s="53">
        <v>2</v>
      </c>
      <c r="E88" s="54">
        <v>0</v>
      </c>
    </row>
    <row r="89" spans="2:5" ht="15" customHeight="1">
      <c r="B89" s="91"/>
      <c r="C89" s="52" t="s">
        <v>127</v>
      </c>
      <c r="D89" s="53">
        <v>8</v>
      </c>
      <c r="E89" s="54">
        <v>1E-3</v>
      </c>
    </row>
    <row r="90" spans="2:5" ht="15" customHeight="1">
      <c r="B90" s="91"/>
      <c r="C90" s="52" t="s">
        <v>130</v>
      </c>
      <c r="D90" s="53">
        <v>2</v>
      </c>
      <c r="E90" s="54">
        <v>0</v>
      </c>
    </row>
    <row r="91" spans="2:5" ht="15" customHeight="1">
      <c r="B91" s="91"/>
      <c r="C91" s="52" t="s">
        <v>132</v>
      </c>
      <c r="D91" s="53">
        <v>2</v>
      </c>
      <c r="E91" s="54">
        <v>0</v>
      </c>
    </row>
    <row r="92" spans="2:5" ht="15" customHeight="1">
      <c r="B92" s="91"/>
      <c r="C92" s="52" t="s">
        <v>133</v>
      </c>
      <c r="D92" s="53">
        <v>649</v>
      </c>
      <c r="E92" s="54">
        <v>4.5999999999999999E-2</v>
      </c>
    </row>
    <row r="93" spans="2:5" ht="15" customHeight="1">
      <c r="B93" s="91"/>
      <c r="C93" s="52" t="s">
        <v>135</v>
      </c>
      <c r="D93" s="53">
        <v>1</v>
      </c>
      <c r="E93" s="54">
        <v>0</v>
      </c>
    </row>
    <row r="94" spans="2:5" ht="15" customHeight="1">
      <c r="B94" s="91"/>
      <c r="C94" s="52" t="s">
        <v>136</v>
      </c>
      <c r="D94" s="53">
        <v>2</v>
      </c>
      <c r="E94" s="54">
        <v>0</v>
      </c>
    </row>
    <row r="95" spans="2:5" ht="15" customHeight="1">
      <c r="B95" s="92"/>
      <c r="C95" s="68" t="s">
        <v>307</v>
      </c>
      <c r="D95" s="66">
        <v>734</v>
      </c>
      <c r="E95" s="69">
        <v>5.1999999999999998E-2</v>
      </c>
    </row>
    <row r="96" spans="2:5" ht="15" customHeight="1">
      <c r="B96" s="90" t="s">
        <v>199</v>
      </c>
      <c r="C96" s="52" t="s">
        <v>96</v>
      </c>
      <c r="D96" s="53">
        <v>8</v>
      </c>
      <c r="E96" s="54">
        <v>1E-3</v>
      </c>
    </row>
    <row r="97" spans="2:5" ht="15" customHeight="1">
      <c r="B97" s="91"/>
      <c r="C97" s="52" t="s">
        <v>97</v>
      </c>
      <c r="D97" s="53">
        <v>5</v>
      </c>
      <c r="E97" s="54">
        <v>0</v>
      </c>
    </row>
    <row r="98" spans="2:5" ht="15" customHeight="1">
      <c r="B98" s="91"/>
      <c r="C98" s="52" t="s">
        <v>98</v>
      </c>
      <c r="D98" s="53">
        <v>8</v>
      </c>
      <c r="E98" s="54">
        <v>1E-3</v>
      </c>
    </row>
    <row r="99" spans="2:5" ht="15" customHeight="1">
      <c r="B99" s="91"/>
      <c r="C99" s="52" t="s">
        <v>99</v>
      </c>
      <c r="D99" s="53">
        <v>25</v>
      </c>
      <c r="E99" s="54">
        <v>2E-3</v>
      </c>
    </row>
    <row r="100" spans="2:5" ht="15" customHeight="1">
      <c r="B100" s="91"/>
      <c r="C100" s="52" t="s">
        <v>100</v>
      </c>
      <c r="D100" s="53">
        <v>4</v>
      </c>
      <c r="E100" s="54">
        <v>0</v>
      </c>
    </row>
    <row r="101" spans="2:5" ht="15" customHeight="1">
      <c r="B101" s="91"/>
      <c r="C101" s="52" t="s">
        <v>103</v>
      </c>
      <c r="D101" s="53">
        <v>21</v>
      </c>
      <c r="E101" s="54">
        <v>1E-3</v>
      </c>
    </row>
    <row r="102" spans="2:5" ht="15" customHeight="1">
      <c r="B102" s="91"/>
      <c r="C102" s="52" t="s">
        <v>104</v>
      </c>
      <c r="D102" s="53">
        <v>17</v>
      </c>
      <c r="E102" s="54">
        <v>1E-3</v>
      </c>
    </row>
    <row r="103" spans="2:5" ht="15" customHeight="1">
      <c r="B103" s="91"/>
      <c r="C103" s="52" t="s">
        <v>105</v>
      </c>
      <c r="D103" s="53">
        <v>4</v>
      </c>
      <c r="E103" s="54">
        <v>0</v>
      </c>
    </row>
    <row r="104" spans="2:5" ht="15" customHeight="1">
      <c r="B104" s="91"/>
      <c r="C104" s="52" t="s">
        <v>106</v>
      </c>
      <c r="D104" s="53">
        <v>35</v>
      </c>
      <c r="E104" s="54">
        <v>2E-3</v>
      </c>
    </row>
    <row r="105" spans="2:5" ht="15" customHeight="1">
      <c r="B105" s="91"/>
      <c r="C105" s="52" t="s">
        <v>107</v>
      </c>
      <c r="D105" s="53">
        <v>8</v>
      </c>
      <c r="E105" s="54">
        <v>1E-3</v>
      </c>
    </row>
    <row r="106" spans="2:5" ht="15" customHeight="1">
      <c r="B106" s="91"/>
      <c r="C106" s="52" t="s">
        <v>109</v>
      </c>
      <c r="D106" s="53">
        <v>5</v>
      </c>
      <c r="E106" s="54">
        <v>0</v>
      </c>
    </row>
    <row r="107" spans="2:5" ht="15" customHeight="1">
      <c r="B107" s="91"/>
      <c r="C107" s="52" t="s">
        <v>110</v>
      </c>
      <c r="D107" s="53">
        <v>4</v>
      </c>
      <c r="E107" s="54">
        <v>0</v>
      </c>
    </row>
    <row r="108" spans="2:5" ht="15" customHeight="1">
      <c r="B108" s="91"/>
      <c r="C108" s="52" t="s">
        <v>111</v>
      </c>
      <c r="D108" s="53">
        <v>2</v>
      </c>
      <c r="E108" s="54">
        <v>0</v>
      </c>
    </row>
    <row r="109" spans="2:5" ht="15" customHeight="1">
      <c r="B109" s="91"/>
      <c r="C109" s="52" t="s">
        <v>113</v>
      </c>
      <c r="D109" s="53">
        <v>1</v>
      </c>
      <c r="E109" s="54">
        <v>0</v>
      </c>
    </row>
    <row r="110" spans="2:5" ht="15" customHeight="1">
      <c r="B110" s="91"/>
      <c r="C110" s="52" t="s">
        <v>114</v>
      </c>
      <c r="D110" s="53">
        <v>1</v>
      </c>
      <c r="E110" s="54">
        <v>0</v>
      </c>
    </row>
    <row r="111" spans="2:5" ht="15" customHeight="1">
      <c r="B111" s="91"/>
      <c r="C111" s="52" t="s">
        <v>115</v>
      </c>
      <c r="D111" s="53">
        <v>6</v>
      </c>
      <c r="E111" s="54">
        <v>0</v>
      </c>
    </row>
    <row r="112" spans="2:5" ht="15" customHeight="1">
      <c r="B112" s="91"/>
      <c r="C112" s="52" t="s">
        <v>116</v>
      </c>
      <c r="D112" s="53">
        <v>7</v>
      </c>
      <c r="E112" s="54">
        <v>0</v>
      </c>
    </row>
    <row r="113" spans="2:5" ht="15" customHeight="1">
      <c r="B113" s="91"/>
      <c r="C113" s="52" t="s">
        <v>117</v>
      </c>
      <c r="D113" s="53">
        <v>1</v>
      </c>
      <c r="E113" s="54">
        <v>0</v>
      </c>
    </row>
    <row r="114" spans="2:5" ht="15" customHeight="1">
      <c r="B114" s="91"/>
      <c r="C114" s="52" t="s">
        <v>118</v>
      </c>
      <c r="D114" s="53">
        <v>9</v>
      </c>
      <c r="E114" s="54">
        <v>1E-3</v>
      </c>
    </row>
    <row r="115" spans="2:5" ht="15" customHeight="1">
      <c r="B115" s="91"/>
      <c r="C115" s="52" t="s">
        <v>120</v>
      </c>
      <c r="D115" s="53">
        <v>2</v>
      </c>
      <c r="E115" s="54">
        <v>0</v>
      </c>
    </row>
    <row r="116" spans="2:5" ht="15" customHeight="1">
      <c r="B116" s="91"/>
      <c r="C116" s="52" t="s">
        <v>122</v>
      </c>
      <c r="D116" s="53">
        <v>2</v>
      </c>
      <c r="E116" s="54">
        <v>0</v>
      </c>
    </row>
    <row r="117" spans="2:5" ht="15" customHeight="1">
      <c r="B117" s="91"/>
      <c r="C117" s="52" t="s">
        <v>124</v>
      </c>
      <c r="D117" s="53">
        <v>24</v>
      </c>
      <c r="E117" s="54">
        <v>2E-3</v>
      </c>
    </row>
    <row r="118" spans="2:5" ht="15" customHeight="1">
      <c r="B118" s="91"/>
      <c r="C118" s="52" t="s">
        <v>126</v>
      </c>
      <c r="D118" s="53">
        <v>1</v>
      </c>
      <c r="E118" s="54">
        <v>0</v>
      </c>
    </row>
    <row r="119" spans="2:5" ht="15" customHeight="1">
      <c r="B119" s="91"/>
      <c r="C119" s="52" t="s">
        <v>127</v>
      </c>
      <c r="D119" s="53">
        <v>15</v>
      </c>
      <c r="E119" s="54">
        <v>1E-3</v>
      </c>
    </row>
    <row r="120" spans="2:5" ht="15" customHeight="1">
      <c r="B120" s="91"/>
      <c r="C120" s="52" t="s">
        <v>128</v>
      </c>
      <c r="D120" s="53">
        <v>1</v>
      </c>
      <c r="E120" s="54">
        <v>0</v>
      </c>
    </row>
    <row r="121" spans="2:5" ht="15" customHeight="1">
      <c r="B121" s="91"/>
      <c r="C121" s="52" t="s">
        <v>130</v>
      </c>
      <c r="D121" s="53">
        <v>1</v>
      </c>
      <c r="E121" s="54">
        <v>0</v>
      </c>
    </row>
    <row r="122" spans="2:5" ht="15" customHeight="1">
      <c r="B122" s="91"/>
      <c r="C122" s="52" t="s">
        <v>132</v>
      </c>
      <c r="D122" s="53">
        <v>7</v>
      </c>
      <c r="E122" s="54">
        <v>0</v>
      </c>
    </row>
    <row r="123" spans="2:5" ht="15" customHeight="1">
      <c r="B123" s="91"/>
      <c r="C123" s="52" t="s">
        <v>133</v>
      </c>
      <c r="D123" s="53">
        <v>743</v>
      </c>
      <c r="E123" s="54">
        <v>5.2999999999999999E-2</v>
      </c>
    </row>
    <row r="124" spans="2:5" ht="15" customHeight="1">
      <c r="B124" s="91"/>
      <c r="C124" s="52" t="s">
        <v>134</v>
      </c>
      <c r="D124" s="53">
        <v>2</v>
      </c>
      <c r="E124" s="54">
        <v>0</v>
      </c>
    </row>
    <row r="125" spans="2:5" ht="15" customHeight="1">
      <c r="B125" s="91"/>
      <c r="C125" s="52" t="s">
        <v>135</v>
      </c>
      <c r="D125" s="53">
        <v>2</v>
      </c>
      <c r="E125" s="54">
        <v>0</v>
      </c>
    </row>
    <row r="126" spans="2:5" ht="15" customHeight="1">
      <c r="B126" s="91"/>
      <c r="C126" s="52" t="s">
        <v>283</v>
      </c>
      <c r="D126" s="53">
        <v>1</v>
      </c>
      <c r="E126" s="54">
        <v>0</v>
      </c>
    </row>
    <row r="127" spans="2:5" ht="15" customHeight="1">
      <c r="B127" s="91"/>
      <c r="C127" s="52" t="s">
        <v>136</v>
      </c>
      <c r="D127" s="53">
        <v>4</v>
      </c>
      <c r="E127" s="54">
        <v>0</v>
      </c>
    </row>
    <row r="128" spans="2:5" ht="15" customHeight="1">
      <c r="B128" s="92"/>
      <c r="C128" s="68" t="s">
        <v>307</v>
      </c>
      <c r="D128" s="66">
        <v>976</v>
      </c>
      <c r="E128" s="69">
        <v>6.9000000000000006E-2</v>
      </c>
    </row>
    <row r="129" spans="2:5" ht="15" customHeight="1">
      <c r="B129" s="90" t="s">
        <v>293</v>
      </c>
      <c r="C129" s="52" t="s">
        <v>100</v>
      </c>
      <c r="D129" s="53">
        <v>1</v>
      </c>
      <c r="E129" s="54">
        <v>0</v>
      </c>
    </row>
    <row r="130" spans="2:5" ht="15" customHeight="1">
      <c r="B130" s="91"/>
      <c r="C130" s="52" t="s">
        <v>103</v>
      </c>
      <c r="D130" s="53">
        <v>1</v>
      </c>
      <c r="E130" s="54">
        <v>0</v>
      </c>
    </row>
    <row r="131" spans="2:5" ht="15" customHeight="1">
      <c r="B131" s="91"/>
      <c r="C131" s="52" t="s">
        <v>104</v>
      </c>
      <c r="D131" s="53">
        <v>2</v>
      </c>
      <c r="E131" s="54">
        <v>0</v>
      </c>
    </row>
    <row r="132" spans="2:5" ht="15" customHeight="1">
      <c r="B132" s="91"/>
      <c r="C132" s="52" t="s">
        <v>106</v>
      </c>
      <c r="D132" s="53">
        <v>2</v>
      </c>
      <c r="E132" s="54">
        <v>0</v>
      </c>
    </row>
    <row r="133" spans="2:5" ht="15" customHeight="1">
      <c r="B133" s="91"/>
      <c r="C133" s="52" t="s">
        <v>107</v>
      </c>
      <c r="D133" s="53">
        <v>1</v>
      </c>
      <c r="E133" s="54">
        <v>0</v>
      </c>
    </row>
    <row r="134" spans="2:5" ht="15" customHeight="1">
      <c r="B134" s="91"/>
      <c r="C134" s="52" t="s">
        <v>111</v>
      </c>
      <c r="D134" s="53">
        <v>2</v>
      </c>
      <c r="E134" s="54">
        <v>0</v>
      </c>
    </row>
    <row r="135" spans="2:5" ht="15" customHeight="1">
      <c r="B135" s="91"/>
      <c r="C135" s="52" t="s">
        <v>116</v>
      </c>
      <c r="D135" s="53">
        <v>1</v>
      </c>
      <c r="E135" s="54">
        <v>0</v>
      </c>
    </row>
    <row r="136" spans="2:5" ht="15" customHeight="1">
      <c r="B136" s="91"/>
      <c r="C136" s="52" t="s">
        <v>117</v>
      </c>
      <c r="D136" s="53">
        <v>1</v>
      </c>
      <c r="E136" s="54">
        <v>0</v>
      </c>
    </row>
    <row r="137" spans="2:5" ht="15" customHeight="1">
      <c r="B137" s="91"/>
      <c r="C137" s="52" t="s">
        <v>124</v>
      </c>
      <c r="D137" s="53">
        <v>2</v>
      </c>
      <c r="E137" s="54">
        <v>0</v>
      </c>
    </row>
    <row r="138" spans="2:5" ht="15" customHeight="1">
      <c r="B138" s="91"/>
      <c r="C138" s="52" t="s">
        <v>127</v>
      </c>
      <c r="D138" s="53">
        <v>4</v>
      </c>
      <c r="E138" s="54">
        <v>0</v>
      </c>
    </row>
    <row r="139" spans="2:5" ht="15" customHeight="1">
      <c r="B139" s="91"/>
      <c r="C139" s="52" t="s">
        <v>130</v>
      </c>
      <c r="D139" s="53">
        <v>1</v>
      </c>
      <c r="E139" s="54">
        <v>0</v>
      </c>
    </row>
    <row r="140" spans="2:5" ht="15" customHeight="1">
      <c r="B140" s="91"/>
      <c r="C140" s="52" t="s">
        <v>132</v>
      </c>
      <c r="D140" s="53">
        <v>4</v>
      </c>
      <c r="E140" s="54">
        <v>0</v>
      </c>
    </row>
    <row r="141" spans="2:5" ht="15" customHeight="1">
      <c r="B141" s="91"/>
      <c r="C141" s="52" t="s">
        <v>133</v>
      </c>
      <c r="D141" s="53">
        <v>103</v>
      </c>
      <c r="E141" s="54">
        <v>7.0000000000000001E-3</v>
      </c>
    </row>
    <row r="142" spans="2:5" ht="15" customHeight="1">
      <c r="B142" s="92"/>
      <c r="C142" s="68" t="s">
        <v>307</v>
      </c>
      <c r="D142" s="66">
        <v>125</v>
      </c>
      <c r="E142" s="69">
        <v>8.9999999999999993E-3</v>
      </c>
    </row>
    <row r="143" spans="2:5" ht="15" customHeight="1">
      <c r="B143" s="90" t="s">
        <v>294</v>
      </c>
      <c r="C143" s="52" t="s">
        <v>96</v>
      </c>
      <c r="D143" s="53">
        <v>2</v>
      </c>
      <c r="E143" s="54">
        <v>0</v>
      </c>
    </row>
    <row r="144" spans="2:5" ht="15" customHeight="1">
      <c r="B144" s="91"/>
      <c r="C144" s="52" t="s">
        <v>97</v>
      </c>
      <c r="D144" s="53">
        <v>1</v>
      </c>
      <c r="E144" s="54">
        <v>0</v>
      </c>
    </row>
    <row r="145" spans="2:5" ht="15" customHeight="1">
      <c r="B145" s="91"/>
      <c r="C145" s="52" t="s">
        <v>99</v>
      </c>
      <c r="D145" s="53">
        <v>10</v>
      </c>
      <c r="E145" s="54">
        <v>1E-3</v>
      </c>
    </row>
    <row r="146" spans="2:5" ht="15" customHeight="1">
      <c r="B146" s="91"/>
      <c r="C146" s="52" t="s">
        <v>100</v>
      </c>
      <c r="D146" s="53">
        <v>1</v>
      </c>
      <c r="E146" s="54">
        <v>0</v>
      </c>
    </row>
    <row r="147" spans="2:5" ht="15" customHeight="1">
      <c r="B147" s="91"/>
      <c r="C147" s="52" t="s">
        <v>103</v>
      </c>
      <c r="D147" s="53">
        <v>4</v>
      </c>
      <c r="E147" s="54">
        <v>0</v>
      </c>
    </row>
    <row r="148" spans="2:5" ht="15" customHeight="1">
      <c r="B148" s="91"/>
      <c r="C148" s="52" t="s">
        <v>104</v>
      </c>
      <c r="D148" s="53">
        <v>3</v>
      </c>
      <c r="E148" s="54">
        <v>0</v>
      </c>
    </row>
    <row r="149" spans="2:5" ht="15" customHeight="1">
      <c r="B149" s="91"/>
      <c r="C149" s="52" t="s">
        <v>106</v>
      </c>
      <c r="D149" s="53">
        <v>6</v>
      </c>
      <c r="E149" s="54">
        <v>0</v>
      </c>
    </row>
    <row r="150" spans="2:5" ht="15" customHeight="1">
      <c r="B150" s="91"/>
      <c r="C150" s="52" t="s">
        <v>107</v>
      </c>
      <c r="D150" s="53">
        <v>1</v>
      </c>
      <c r="E150" s="54">
        <v>0</v>
      </c>
    </row>
    <row r="151" spans="2:5" ht="15" customHeight="1">
      <c r="B151" s="91"/>
      <c r="C151" s="52" t="s">
        <v>109</v>
      </c>
      <c r="D151" s="53">
        <v>3</v>
      </c>
      <c r="E151" s="54">
        <v>0</v>
      </c>
    </row>
    <row r="152" spans="2:5" ht="15" customHeight="1">
      <c r="B152" s="91"/>
      <c r="C152" s="52" t="s">
        <v>115</v>
      </c>
      <c r="D152" s="53">
        <v>3</v>
      </c>
      <c r="E152" s="54">
        <v>0</v>
      </c>
    </row>
    <row r="153" spans="2:5" ht="15" customHeight="1">
      <c r="B153" s="91"/>
      <c r="C153" s="52" t="s">
        <v>116</v>
      </c>
      <c r="D153" s="53">
        <v>1</v>
      </c>
      <c r="E153" s="54">
        <v>0</v>
      </c>
    </row>
    <row r="154" spans="2:5" ht="15" customHeight="1">
      <c r="B154" s="91"/>
      <c r="C154" s="52" t="s">
        <v>118</v>
      </c>
      <c r="D154" s="53">
        <v>2</v>
      </c>
      <c r="E154" s="54">
        <v>0</v>
      </c>
    </row>
    <row r="155" spans="2:5" ht="15" customHeight="1">
      <c r="B155" s="91"/>
      <c r="C155" s="52" t="s">
        <v>119</v>
      </c>
      <c r="D155" s="53">
        <v>1</v>
      </c>
      <c r="E155" s="54">
        <v>0</v>
      </c>
    </row>
    <row r="156" spans="2:5" ht="15" customHeight="1">
      <c r="B156" s="91"/>
      <c r="C156" s="52" t="s">
        <v>121</v>
      </c>
      <c r="D156" s="53">
        <v>1</v>
      </c>
      <c r="E156" s="54">
        <v>0</v>
      </c>
    </row>
    <row r="157" spans="2:5" ht="15" customHeight="1">
      <c r="B157" s="91"/>
      <c r="C157" s="52" t="s">
        <v>122</v>
      </c>
      <c r="D157" s="53">
        <v>1</v>
      </c>
      <c r="E157" s="54">
        <v>0</v>
      </c>
    </row>
    <row r="158" spans="2:5" ht="15" customHeight="1">
      <c r="B158" s="91"/>
      <c r="C158" s="52" t="s">
        <v>124</v>
      </c>
      <c r="D158" s="53">
        <v>2</v>
      </c>
      <c r="E158" s="54">
        <v>0</v>
      </c>
    </row>
    <row r="159" spans="2:5" ht="15" customHeight="1">
      <c r="B159" s="91"/>
      <c r="C159" s="52" t="s">
        <v>126</v>
      </c>
      <c r="D159" s="53">
        <v>1</v>
      </c>
      <c r="E159" s="54">
        <v>0</v>
      </c>
    </row>
    <row r="160" spans="2:5" ht="15" customHeight="1">
      <c r="B160" s="91"/>
      <c r="C160" s="52" t="s">
        <v>127</v>
      </c>
      <c r="D160" s="53">
        <v>5</v>
      </c>
      <c r="E160" s="54">
        <v>0</v>
      </c>
    </row>
    <row r="161" spans="2:5" ht="15" customHeight="1">
      <c r="B161" s="91"/>
      <c r="C161" s="52" t="s">
        <v>130</v>
      </c>
      <c r="D161" s="53">
        <v>3</v>
      </c>
      <c r="E161" s="54">
        <v>0</v>
      </c>
    </row>
    <row r="162" spans="2:5" ht="15" customHeight="1">
      <c r="B162" s="91"/>
      <c r="C162" s="52" t="s">
        <v>131</v>
      </c>
      <c r="D162" s="53">
        <v>1</v>
      </c>
      <c r="E162" s="54">
        <v>0</v>
      </c>
    </row>
    <row r="163" spans="2:5" ht="15" customHeight="1">
      <c r="B163" s="91"/>
      <c r="C163" s="52" t="s">
        <v>132</v>
      </c>
      <c r="D163" s="53">
        <v>3</v>
      </c>
      <c r="E163" s="54">
        <v>0</v>
      </c>
    </row>
    <row r="164" spans="2:5" ht="15" customHeight="1">
      <c r="B164" s="91"/>
      <c r="C164" s="52" t="s">
        <v>133</v>
      </c>
      <c r="D164" s="53">
        <v>212</v>
      </c>
      <c r="E164" s="54">
        <v>1.4999999999999999E-2</v>
      </c>
    </row>
    <row r="165" spans="2:5" ht="15" customHeight="1">
      <c r="B165" s="91"/>
      <c r="C165" s="52" t="s">
        <v>134</v>
      </c>
      <c r="D165" s="53">
        <v>1</v>
      </c>
      <c r="E165" s="54">
        <v>0</v>
      </c>
    </row>
    <row r="166" spans="2:5" ht="15" customHeight="1">
      <c r="B166" s="91"/>
      <c r="C166" s="52" t="s">
        <v>135</v>
      </c>
      <c r="D166" s="53">
        <v>1</v>
      </c>
      <c r="E166" s="54">
        <v>0</v>
      </c>
    </row>
    <row r="167" spans="2:5" ht="15" customHeight="1">
      <c r="B167" s="91"/>
      <c r="C167" s="52" t="s">
        <v>136</v>
      </c>
      <c r="D167" s="53">
        <v>1</v>
      </c>
      <c r="E167" s="54">
        <v>0</v>
      </c>
    </row>
    <row r="168" spans="2:5" ht="15" customHeight="1">
      <c r="B168" s="92"/>
      <c r="C168" s="68" t="s">
        <v>307</v>
      </c>
      <c r="D168" s="66">
        <v>270</v>
      </c>
      <c r="E168" s="69">
        <v>1.9E-2</v>
      </c>
    </row>
    <row r="169" spans="2:5" ht="15" customHeight="1">
      <c r="B169" s="90" t="s">
        <v>295</v>
      </c>
      <c r="C169" s="52" t="s">
        <v>96</v>
      </c>
      <c r="D169" s="53">
        <v>3</v>
      </c>
      <c r="E169" s="54">
        <v>0</v>
      </c>
    </row>
    <row r="170" spans="2:5" ht="15" customHeight="1">
      <c r="B170" s="91"/>
      <c r="C170" s="52" t="s">
        <v>97</v>
      </c>
      <c r="D170" s="53">
        <v>1</v>
      </c>
      <c r="E170" s="54">
        <v>0</v>
      </c>
    </row>
    <row r="171" spans="2:5" ht="15" customHeight="1">
      <c r="B171" s="91"/>
      <c r="C171" s="52" t="s">
        <v>98</v>
      </c>
      <c r="D171" s="53">
        <v>3</v>
      </c>
      <c r="E171" s="54">
        <v>0</v>
      </c>
    </row>
    <row r="172" spans="2:5" ht="15" customHeight="1">
      <c r="B172" s="91"/>
      <c r="C172" s="52" t="s">
        <v>99</v>
      </c>
      <c r="D172" s="53">
        <v>8</v>
      </c>
      <c r="E172" s="54">
        <v>1E-3</v>
      </c>
    </row>
    <row r="173" spans="2:5" ht="15" customHeight="1">
      <c r="B173" s="91"/>
      <c r="C173" s="52" t="s">
        <v>100</v>
      </c>
      <c r="D173" s="53">
        <v>3</v>
      </c>
      <c r="E173" s="54">
        <v>0</v>
      </c>
    </row>
    <row r="174" spans="2:5" ht="15" customHeight="1">
      <c r="B174" s="91"/>
      <c r="C174" s="52" t="s">
        <v>103</v>
      </c>
      <c r="D174" s="53">
        <v>6</v>
      </c>
      <c r="E174" s="54">
        <v>0</v>
      </c>
    </row>
    <row r="175" spans="2:5" ht="15" customHeight="1">
      <c r="B175" s="91"/>
      <c r="C175" s="52" t="s">
        <v>104</v>
      </c>
      <c r="D175" s="53">
        <v>6</v>
      </c>
      <c r="E175" s="54">
        <v>0</v>
      </c>
    </row>
    <row r="176" spans="2:5" ht="15" customHeight="1">
      <c r="B176" s="91"/>
      <c r="C176" s="52" t="s">
        <v>106</v>
      </c>
      <c r="D176" s="53">
        <v>12</v>
      </c>
      <c r="E176" s="54">
        <v>1E-3</v>
      </c>
    </row>
    <row r="177" spans="2:5" ht="15" customHeight="1">
      <c r="B177" s="91"/>
      <c r="C177" s="52" t="s">
        <v>107</v>
      </c>
      <c r="D177" s="53">
        <v>6</v>
      </c>
      <c r="E177" s="54">
        <v>0</v>
      </c>
    </row>
    <row r="178" spans="2:5" ht="15" customHeight="1">
      <c r="B178" s="91"/>
      <c r="C178" s="52" t="s">
        <v>109</v>
      </c>
      <c r="D178" s="53">
        <v>1</v>
      </c>
      <c r="E178" s="54">
        <v>0</v>
      </c>
    </row>
    <row r="179" spans="2:5" ht="15" customHeight="1">
      <c r="B179" s="91"/>
      <c r="C179" s="52" t="s">
        <v>111</v>
      </c>
      <c r="D179" s="53">
        <v>1</v>
      </c>
      <c r="E179" s="54">
        <v>0</v>
      </c>
    </row>
    <row r="180" spans="2:5" ht="15" customHeight="1">
      <c r="B180" s="91"/>
      <c r="C180" s="52" t="s">
        <v>115</v>
      </c>
      <c r="D180" s="53">
        <v>4</v>
      </c>
      <c r="E180" s="54">
        <v>0</v>
      </c>
    </row>
    <row r="181" spans="2:5" ht="15" customHeight="1">
      <c r="B181" s="91"/>
      <c r="C181" s="52" t="s">
        <v>116</v>
      </c>
      <c r="D181" s="53">
        <v>2</v>
      </c>
      <c r="E181" s="54">
        <v>0</v>
      </c>
    </row>
    <row r="182" spans="2:5" ht="15" customHeight="1">
      <c r="B182" s="91"/>
      <c r="C182" s="52" t="s">
        <v>117</v>
      </c>
      <c r="D182" s="53">
        <v>2</v>
      </c>
      <c r="E182" s="54">
        <v>0</v>
      </c>
    </row>
    <row r="183" spans="2:5" ht="15" customHeight="1">
      <c r="B183" s="91"/>
      <c r="C183" s="52" t="s">
        <v>118</v>
      </c>
      <c r="D183" s="53">
        <v>5</v>
      </c>
      <c r="E183" s="54">
        <v>0</v>
      </c>
    </row>
    <row r="184" spans="2:5" ht="15" customHeight="1">
      <c r="B184" s="91"/>
      <c r="C184" s="52" t="s">
        <v>119</v>
      </c>
      <c r="D184" s="53">
        <v>1</v>
      </c>
      <c r="E184" s="54">
        <v>0</v>
      </c>
    </row>
    <row r="185" spans="2:5" ht="15" customHeight="1">
      <c r="B185" s="91"/>
      <c r="C185" s="52" t="s">
        <v>120</v>
      </c>
      <c r="D185" s="53">
        <v>1</v>
      </c>
      <c r="E185" s="54">
        <v>0</v>
      </c>
    </row>
    <row r="186" spans="2:5" ht="15" customHeight="1">
      <c r="B186" s="91"/>
      <c r="C186" s="52" t="s">
        <v>124</v>
      </c>
      <c r="D186" s="53">
        <v>7</v>
      </c>
      <c r="E186" s="54">
        <v>0</v>
      </c>
    </row>
    <row r="187" spans="2:5" ht="15" customHeight="1">
      <c r="B187" s="91"/>
      <c r="C187" s="52" t="s">
        <v>126</v>
      </c>
      <c r="D187" s="53">
        <v>3</v>
      </c>
      <c r="E187" s="54">
        <v>0</v>
      </c>
    </row>
    <row r="188" spans="2:5" ht="15" customHeight="1">
      <c r="B188" s="91"/>
      <c r="C188" s="52" t="s">
        <v>127</v>
      </c>
      <c r="D188" s="53">
        <v>7</v>
      </c>
      <c r="E188" s="54">
        <v>0</v>
      </c>
    </row>
    <row r="189" spans="2:5" ht="15" customHeight="1">
      <c r="B189" s="91"/>
      <c r="C189" s="52" t="s">
        <v>130</v>
      </c>
      <c r="D189" s="53">
        <v>3</v>
      </c>
      <c r="E189" s="54">
        <v>0</v>
      </c>
    </row>
    <row r="190" spans="2:5" ht="15" customHeight="1">
      <c r="B190" s="91"/>
      <c r="C190" s="52" t="s">
        <v>132</v>
      </c>
      <c r="D190" s="53">
        <v>6</v>
      </c>
      <c r="E190" s="54">
        <v>0</v>
      </c>
    </row>
    <row r="191" spans="2:5" ht="15" customHeight="1">
      <c r="B191" s="91"/>
      <c r="C191" s="52" t="s">
        <v>133</v>
      </c>
      <c r="D191" s="53">
        <v>457</v>
      </c>
      <c r="E191" s="54">
        <v>3.2000000000000001E-2</v>
      </c>
    </row>
    <row r="192" spans="2:5" ht="15" customHeight="1">
      <c r="B192" s="91"/>
      <c r="C192" s="52" t="s">
        <v>134</v>
      </c>
      <c r="D192" s="53">
        <v>1</v>
      </c>
      <c r="E192" s="54">
        <v>0</v>
      </c>
    </row>
    <row r="193" spans="2:5" ht="15" customHeight="1">
      <c r="B193" s="91"/>
      <c r="C193" s="52" t="s">
        <v>135</v>
      </c>
      <c r="D193" s="53">
        <v>1</v>
      </c>
      <c r="E193" s="54">
        <v>0</v>
      </c>
    </row>
    <row r="194" spans="2:5" ht="15" customHeight="1">
      <c r="B194" s="91"/>
      <c r="C194" s="52" t="s">
        <v>136</v>
      </c>
      <c r="D194" s="53">
        <v>1</v>
      </c>
      <c r="E194" s="54">
        <v>0</v>
      </c>
    </row>
    <row r="195" spans="2:5" ht="15" customHeight="1">
      <c r="B195" s="92"/>
      <c r="C195" s="68" t="s">
        <v>307</v>
      </c>
      <c r="D195" s="66">
        <v>551</v>
      </c>
      <c r="E195" s="69">
        <v>3.9E-2</v>
      </c>
    </row>
    <row r="196" spans="2:5" ht="15" customHeight="1">
      <c r="B196" s="90" t="s">
        <v>203</v>
      </c>
      <c r="C196" s="52" t="s">
        <v>96</v>
      </c>
      <c r="D196" s="53">
        <v>18</v>
      </c>
      <c r="E196" s="54">
        <v>1E-3</v>
      </c>
    </row>
    <row r="197" spans="2:5" ht="15" customHeight="1">
      <c r="B197" s="91"/>
      <c r="C197" s="52" t="s">
        <v>97</v>
      </c>
      <c r="D197" s="53">
        <v>14</v>
      </c>
      <c r="E197" s="54">
        <v>1E-3</v>
      </c>
    </row>
    <row r="198" spans="2:5" ht="15" customHeight="1">
      <c r="B198" s="91"/>
      <c r="C198" s="52" t="s">
        <v>98</v>
      </c>
      <c r="D198" s="53">
        <v>29</v>
      </c>
      <c r="E198" s="54">
        <v>2E-3</v>
      </c>
    </row>
    <row r="199" spans="2:5" ht="15" customHeight="1">
      <c r="B199" s="91"/>
      <c r="C199" s="52" t="s">
        <v>99</v>
      </c>
      <c r="D199" s="53">
        <v>44</v>
      </c>
      <c r="E199" s="54">
        <v>3.0000000000000001E-3</v>
      </c>
    </row>
    <row r="200" spans="2:5" ht="15" customHeight="1">
      <c r="B200" s="91"/>
      <c r="C200" s="52" t="s">
        <v>100</v>
      </c>
      <c r="D200" s="53">
        <v>17</v>
      </c>
      <c r="E200" s="54">
        <v>1E-3</v>
      </c>
    </row>
    <row r="201" spans="2:5" ht="15" customHeight="1">
      <c r="B201" s="91"/>
      <c r="C201" s="52" t="s">
        <v>101</v>
      </c>
      <c r="D201" s="53">
        <v>4</v>
      </c>
      <c r="E201" s="54">
        <v>0</v>
      </c>
    </row>
    <row r="202" spans="2:5" ht="15" customHeight="1">
      <c r="B202" s="91"/>
      <c r="C202" s="52" t="s">
        <v>103</v>
      </c>
      <c r="D202" s="53">
        <v>47</v>
      </c>
      <c r="E202" s="54">
        <v>3.0000000000000001E-3</v>
      </c>
    </row>
    <row r="203" spans="2:5" ht="15" customHeight="1">
      <c r="B203" s="91"/>
      <c r="C203" s="52" t="s">
        <v>104</v>
      </c>
      <c r="D203" s="53">
        <v>64</v>
      </c>
      <c r="E203" s="54">
        <v>5.0000000000000001E-3</v>
      </c>
    </row>
    <row r="204" spans="2:5" ht="15" customHeight="1">
      <c r="B204" s="91"/>
      <c r="C204" s="52" t="s">
        <v>105</v>
      </c>
      <c r="D204" s="53">
        <v>6</v>
      </c>
      <c r="E204" s="54">
        <v>0</v>
      </c>
    </row>
    <row r="205" spans="2:5" ht="15" customHeight="1">
      <c r="B205" s="91"/>
      <c r="C205" s="52" t="s">
        <v>106</v>
      </c>
      <c r="D205" s="53">
        <v>110</v>
      </c>
      <c r="E205" s="54">
        <v>8.0000000000000002E-3</v>
      </c>
    </row>
    <row r="206" spans="2:5" ht="15" customHeight="1">
      <c r="B206" s="91"/>
      <c r="C206" s="52" t="s">
        <v>107</v>
      </c>
      <c r="D206" s="53">
        <v>23</v>
      </c>
      <c r="E206" s="54">
        <v>2E-3</v>
      </c>
    </row>
    <row r="207" spans="2:5" ht="15" customHeight="1">
      <c r="B207" s="91"/>
      <c r="C207" s="52" t="s">
        <v>108</v>
      </c>
      <c r="D207" s="53">
        <v>9</v>
      </c>
      <c r="E207" s="54">
        <v>1E-3</v>
      </c>
    </row>
    <row r="208" spans="2:5" ht="15" customHeight="1">
      <c r="B208" s="91"/>
      <c r="C208" s="52" t="s">
        <v>109</v>
      </c>
      <c r="D208" s="53">
        <v>16</v>
      </c>
      <c r="E208" s="54">
        <v>1E-3</v>
      </c>
    </row>
    <row r="209" spans="2:5" ht="15" customHeight="1">
      <c r="B209" s="91"/>
      <c r="C209" s="52" t="s">
        <v>110</v>
      </c>
      <c r="D209" s="53">
        <v>12</v>
      </c>
      <c r="E209" s="54">
        <v>1E-3</v>
      </c>
    </row>
    <row r="210" spans="2:5" ht="15" customHeight="1">
      <c r="B210" s="91"/>
      <c r="C210" s="52" t="s">
        <v>111</v>
      </c>
      <c r="D210" s="53">
        <v>13</v>
      </c>
      <c r="E210" s="54">
        <v>1E-3</v>
      </c>
    </row>
    <row r="211" spans="2:5" ht="15" customHeight="1">
      <c r="B211" s="91"/>
      <c r="C211" s="52" t="s">
        <v>113</v>
      </c>
      <c r="D211" s="53">
        <v>4</v>
      </c>
      <c r="E211" s="54">
        <v>0</v>
      </c>
    </row>
    <row r="212" spans="2:5" ht="15" customHeight="1">
      <c r="B212" s="91"/>
      <c r="C212" s="52" t="s">
        <v>114</v>
      </c>
      <c r="D212" s="53">
        <v>1</v>
      </c>
      <c r="E212" s="54">
        <v>0</v>
      </c>
    </row>
    <row r="213" spans="2:5" ht="15" customHeight="1">
      <c r="B213" s="91"/>
      <c r="C213" s="52" t="s">
        <v>115</v>
      </c>
      <c r="D213" s="53">
        <v>14</v>
      </c>
      <c r="E213" s="54">
        <v>1E-3</v>
      </c>
    </row>
    <row r="214" spans="2:5" ht="15" customHeight="1">
      <c r="B214" s="91"/>
      <c r="C214" s="52" t="s">
        <v>116</v>
      </c>
      <c r="D214" s="53">
        <v>24</v>
      </c>
      <c r="E214" s="54">
        <v>2E-3</v>
      </c>
    </row>
    <row r="215" spans="2:5" ht="15" customHeight="1">
      <c r="B215" s="91"/>
      <c r="C215" s="52" t="s">
        <v>117</v>
      </c>
      <c r="D215" s="53">
        <v>7</v>
      </c>
      <c r="E215" s="54">
        <v>0</v>
      </c>
    </row>
    <row r="216" spans="2:5" ht="15" customHeight="1">
      <c r="B216" s="91"/>
      <c r="C216" s="52" t="s">
        <v>118</v>
      </c>
      <c r="D216" s="53">
        <v>18</v>
      </c>
      <c r="E216" s="54">
        <v>1E-3</v>
      </c>
    </row>
    <row r="217" spans="2:5" ht="15" customHeight="1">
      <c r="B217" s="91"/>
      <c r="C217" s="52" t="s">
        <v>119</v>
      </c>
      <c r="D217" s="53">
        <v>4</v>
      </c>
      <c r="E217" s="54">
        <v>0</v>
      </c>
    </row>
    <row r="218" spans="2:5" ht="15" customHeight="1">
      <c r="B218" s="91"/>
      <c r="C218" s="52" t="s">
        <v>120</v>
      </c>
      <c r="D218" s="53">
        <v>8</v>
      </c>
      <c r="E218" s="54">
        <v>1E-3</v>
      </c>
    </row>
    <row r="219" spans="2:5" ht="15" customHeight="1">
      <c r="B219" s="91"/>
      <c r="C219" s="52" t="s">
        <v>121</v>
      </c>
      <c r="D219" s="53">
        <v>3</v>
      </c>
      <c r="E219" s="54">
        <v>0</v>
      </c>
    </row>
    <row r="220" spans="2:5" ht="15" customHeight="1">
      <c r="B220" s="91"/>
      <c r="C220" s="52" t="s">
        <v>122</v>
      </c>
      <c r="D220" s="53">
        <v>5</v>
      </c>
      <c r="E220" s="54">
        <v>0</v>
      </c>
    </row>
    <row r="221" spans="2:5" ht="15" customHeight="1">
      <c r="B221" s="91"/>
      <c r="C221" s="52" t="s">
        <v>123</v>
      </c>
      <c r="D221" s="53">
        <v>6</v>
      </c>
      <c r="E221" s="54">
        <v>0</v>
      </c>
    </row>
    <row r="222" spans="2:5" ht="15" customHeight="1">
      <c r="B222" s="91"/>
      <c r="C222" s="52" t="s">
        <v>124</v>
      </c>
      <c r="D222" s="53">
        <v>56</v>
      </c>
      <c r="E222" s="54">
        <v>4.0000000000000001E-3</v>
      </c>
    </row>
    <row r="223" spans="2:5" ht="15" customHeight="1">
      <c r="B223" s="91"/>
      <c r="C223" s="52" t="s">
        <v>126</v>
      </c>
      <c r="D223" s="53">
        <v>7</v>
      </c>
      <c r="E223" s="54">
        <v>0</v>
      </c>
    </row>
    <row r="224" spans="2:5" ht="15" customHeight="1">
      <c r="B224" s="91"/>
      <c r="C224" s="52" t="s">
        <v>127</v>
      </c>
      <c r="D224" s="53">
        <v>51</v>
      </c>
      <c r="E224" s="54">
        <v>4.0000000000000001E-3</v>
      </c>
    </row>
    <row r="225" spans="2:5" ht="15" customHeight="1">
      <c r="B225" s="91"/>
      <c r="C225" s="52" t="s">
        <v>129</v>
      </c>
      <c r="D225" s="53">
        <v>2</v>
      </c>
      <c r="E225" s="54">
        <v>0</v>
      </c>
    </row>
    <row r="226" spans="2:5" ht="15" customHeight="1">
      <c r="B226" s="91"/>
      <c r="C226" s="52" t="s">
        <v>130</v>
      </c>
      <c r="D226" s="53">
        <v>14</v>
      </c>
      <c r="E226" s="54">
        <v>1E-3</v>
      </c>
    </row>
    <row r="227" spans="2:5" ht="15" customHeight="1">
      <c r="B227" s="91"/>
      <c r="C227" s="52" t="s">
        <v>131</v>
      </c>
      <c r="D227" s="53">
        <v>1</v>
      </c>
      <c r="E227" s="54">
        <v>0</v>
      </c>
    </row>
    <row r="228" spans="2:5" ht="15" customHeight="1">
      <c r="B228" s="91"/>
      <c r="C228" s="52" t="s">
        <v>132</v>
      </c>
      <c r="D228" s="53">
        <v>50</v>
      </c>
      <c r="E228" s="54">
        <v>4.0000000000000001E-3</v>
      </c>
    </row>
    <row r="229" spans="2:5" ht="15" customHeight="1">
      <c r="B229" s="91"/>
      <c r="C229" s="52" t="s">
        <v>133</v>
      </c>
      <c r="D229" s="53">
        <v>2975</v>
      </c>
      <c r="E229" s="54">
        <v>0.21</v>
      </c>
    </row>
    <row r="230" spans="2:5" ht="15" customHeight="1">
      <c r="B230" s="91"/>
      <c r="C230" s="52" t="s">
        <v>134</v>
      </c>
      <c r="D230" s="53">
        <v>3</v>
      </c>
      <c r="E230" s="54">
        <v>0</v>
      </c>
    </row>
    <row r="231" spans="2:5" ht="15" customHeight="1">
      <c r="B231" s="91"/>
      <c r="C231" s="52" t="s">
        <v>135</v>
      </c>
      <c r="D231" s="53">
        <v>8</v>
      </c>
      <c r="E231" s="54">
        <v>1E-3</v>
      </c>
    </row>
    <row r="232" spans="2:5" ht="15" customHeight="1">
      <c r="B232" s="91"/>
      <c r="C232" s="52" t="s">
        <v>73</v>
      </c>
      <c r="D232" s="53">
        <v>3</v>
      </c>
      <c r="E232" s="54">
        <v>0</v>
      </c>
    </row>
    <row r="233" spans="2:5" ht="15" customHeight="1">
      <c r="B233" s="91"/>
      <c r="C233" s="52" t="s">
        <v>136</v>
      </c>
      <c r="D233" s="53">
        <v>13</v>
      </c>
      <c r="E233" s="54">
        <v>1E-3</v>
      </c>
    </row>
    <row r="234" spans="2:5" ht="15" customHeight="1">
      <c r="B234" s="92"/>
      <c r="C234" s="68" t="s">
        <v>307</v>
      </c>
      <c r="D234" s="66">
        <v>3703</v>
      </c>
      <c r="E234" s="69">
        <v>0.26200000000000001</v>
      </c>
    </row>
    <row r="235" spans="2:5" ht="15" customHeight="1">
      <c r="B235" s="90" t="s">
        <v>204</v>
      </c>
      <c r="C235" s="52" t="s">
        <v>97</v>
      </c>
      <c r="D235" s="53">
        <v>3</v>
      </c>
      <c r="E235" s="54">
        <v>0</v>
      </c>
    </row>
    <row r="236" spans="2:5" ht="15" customHeight="1">
      <c r="B236" s="91"/>
      <c r="C236" s="52" t="s">
        <v>98</v>
      </c>
      <c r="D236" s="53">
        <v>3</v>
      </c>
      <c r="E236" s="54">
        <v>0</v>
      </c>
    </row>
    <row r="237" spans="2:5" ht="15" customHeight="1">
      <c r="B237" s="91"/>
      <c r="C237" s="52" t="s">
        <v>99</v>
      </c>
      <c r="D237" s="53">
        <v>8</v>
      </c>
      <c r="E237" s="54">
        <v>1E-3</v>
      </c>
    </row>
    <row r="238" spans="2:5" ht="15" customHeight="1">
      <c r="B238" s="91"/>
      <c r="C238" s="52" t="s">
        <v>100</v>
      </c>
      <c r="D238" s="53">
        <v>3</v>
      </c>
      <c r="E238" s="54">
        <v>0</v>
      </c>
    </row>
    <row r="239" spans="2:5" ht="15" customHeight="1">
      <c r="B239" s="91"/>
      <c r="C239" s="52" t="s">
        <v>103</v>
      </c>
      <c r="D239" s="53">
        <v>7</v>
      </c>
      <c r="E239" s="54">
        <v>0</v>
      </c>
    </row>
    <row r="240" spans="2:5" ht="15" customHeight="1">
      <c r="B240" s="91"/>
      <c r="C240" s="52" t="s">
        <v>104</v>
      </c>
      <c r="D240" s="53">
        <v>11</v>
      </c>
      <c r="E240" s="54">
        <v>1E-3</v>
      </c>
    </row>
    <row r="241" spans="2:5" ht="15" customHeight="1">
      <c r="B241" s="91"/>
      <c r="C241" s="52" t="s">
        <v>106</v>
      </c>
      <c r="D241" s="53">
        <v>11</v>
      </c>
      <c r="E241" s="54">
        <v>1E-3</v>
      </c>
    </row>
    <row r="242" spans="2:5" ht="15" customHeight="1">
      <c r="B242" s="91"/>
      <c r="C242" s="52" t="s">
        <v>107</v>
      </c>
      <c r="D242" s="53">
        <v>5</v>
      </c>
      <c r="E242" s="54">
        <v>0</v>
      </c>
    </row>
    <row r="243" spans="2:5" ht="15" customHeight="1">
      <c r="B243" s="91"/>
      <c r="C243" s="52" t="s">
        <v>108</v>
      </c>
      <c r="D243" s="53">
        <v>4</v>
      </c>
      <c r="E243" s="54">
        <v>0</v>
      </c>
    </row>
    <row r="244" spans="2:5" ht="15" customHeight="1">
      <c r="B244" s="91"/>
      <c r="C244" s="52" t="s">
        <v>109</v>
      </c>
      <c r="D244" s="53">
        <v>5</v>
      </c>
      <c r="E244" s="54">
        <v>0</v>
      </c>
    </row>
    <row r="245" spans="2:5" ht="15" customHeight="1">
      <c r="B245" s="91"/>
      <c r="C245" s="52" t="s">
        <v>110</v>
      </c>
      <c r="D245" s="53">
        <v>1</v>
      </c>
      <c r="E245" s="54">
        <v>0</v>
      </c>
    </row>
    <row r="246" spans="2:5" ht="15" customHeight="1">
      <c r="B246" s="91"/>
      <c r="C246" s="52" t="s">
        <v>111</v>
      </c>
      <c r="D246" s="53">
        <v>4</v>
      </c>
      <c r="E246" s="54">
        <v>0</v>
      </c>
    </row>
    <row r="247" spans="2:5" ht="15" customHeight="1">
      <c r="B247" s="91"/>
      <c r="C247" s="52" t="s">
        <v>112</v>
      </c>
      <c r="D247" s="53">
        <v>1</v>
      </c>
      <c r="E247" s="54">
        <v>0</v>
      </c>
    </row>
    <row r="248" spans="2:5" ht="15" customHeight="1">
      <c r="B248" s="91"/>
      <c r="C248" s="52" t="s">
        <v>115</v>
      </c>
      <c r="D248" s="53">
        <v>4</v>
      </c>
      <c r="E248" s="54">
        <v>0</v>
      </c>
    </row>
    <row r="249" spans="2:5" ht="15" customHeight="1">
      <c r="B249" s="91"/>
      <c r="C249" s="52" t="s">
        <v>116</v>
      </c>
      <c r="D249" s="53">
        <v>2</v>
      </c>
      <c r="E249" s="54">
        <v>0</v>
      </c>
    </row>
    <row r="250" spans="2:5" ht="15" customHeight="1">
      <c r="B250" s="91"/>
      <c r="C250" s="52" t="s">
        <v>117</v>
      </c>
      <c r="D250" s="53">
        <v>1</v>
      </c>
      <c r="E250" s="54">
        <v>0</v>
      </c>
    </row>
    <row r="251" spans="2:5" ht="15" customHeight="1">
      <c r="B251" s="91"/>
      <c r="C251" s="52" t="s">
        <v>118</v>
      </c>
      <c r="D251" s="53">
        <v>6</v>
      </c>
      <c r="E251" s="54">
        <v>0</v>
      </c>
    </row>
    <row r="252" spans="2:5" ht="15" customHeight="1">
      <c r="B252" s="91"/>
      <c r="C252" s="52" t="s">
        <v>123</v>
      </c>
      <c r="D252" s="53">
        <v>2</v>
      </c>
      <c r="E252" s="54">
        <v>0</v>
      </c>
    </row>
    <row r="253" spans="2:5" ht="15" customHeight="1">
      <c r="B253" s="91"/>
      <c r="C253" s="52" t="s">
        <v>124</v>
      </c>
      <c r="D253" s="53">
        <v>2</v>
      </c>
      <c r="E253" s="54">
        <v>0</v>
      </c>
    </row>
    <row r="254" spans="2:5" ht="15" customHeight="1">
      <c r="B254" s="91"/>
      <c r="C254" s="52" t="s">
        <v>127</v>
      </c>
      <c r="D254" s="53">
        <v>10</v>
      </c>
      <c r="E254" s="54">
        <v>1E-3</v>
      </c>
    </row>
    <row r="255" spans="2:5" ht="15" customHeight="1">
      <c r="B255" s="91"/>
      <c r="C255" s="52" t="s">
        <v>129</v>
      </c>
      <c r="D255" s="53">
        <v>1</v>
      </c>
      <c r="E255" s="54">
        <v>0</v>
      </c>
    </row>
    <row r="256" spans="2:5" ht="15" customHeight="1">
      <c r="B256" s="91"/>
      <c r="C256" s="52" t="s">
        <v>130</v>
      </c>
      <c r="D256" s="53">
        <v>1</v>
      </c>
      <c r="E256" s="54">
        <v>0</v>
      </c>
    </row>
    <row r="257" spans="2:5" ht="15" customHeight="1">
      <c r="B257" s="91"/>
      <c r="C257" s="52" t="s">
        <v>132</v>
      </c>
      <c r="D257" s="53">
        <v>3</v>
      </c>
      <c r="E257" s="54">
        <v>0</v>
      </c>
    </row>
    <row r="258" spans="2:5" ht="15" customHeight="1">
      <c r="B258" s="91"/>
      <c r="C258" s="52" t="s">
        <v>133</v>
      </c>
      <c r="D258" s="53">
        <v>568</v>
      </c>
      <c r="E258" s="54">
        <v>0.04</v>
      </c>
    </row>
    <row r="259" spans="2:5" ht="15" customHeight="1">
      <c r="B259" s="91"/>
      <c r="C259" s="52" t="s">
        <v>136</v>
      </c>
      <c r="D259" s="53">
        <v>1</v>
      </c>
      <c r="E259" s="54">
        <v>0</v>
      </c>
    </row>
    <row r="260" spans="2:5" ht="15" customHeight="1">
      <c r="B260" s="92"/>
      <c r="C260" s="68" t="s">
        <v>307</v>
      </c>
      <c r="D260" s="66">
        <v>667</v>
      </c>
      <c r="E260" s="69">
        <v>4.7E-2</v>
      </c>
    </row>
    <row r="261" spans="2:5" ht="15" customHeight="1">
      <c r="B261" s="90" t="s">
        <v>205</v>
      </c>
      <c r="C261" s="52" t="s">
        <v>96</v>
      </c>
      <c r="D261" s="53">
        <v>3</v>
      </c>
      <c r="E261" s="54">
        <v>0</v>
      </c>
    </row>
    <row r="262" spans="2:5" ht="15" customHeight="1">
      <c r="B262" s="91"/>
      <c r="C262" s="52" t="s">
        <v>97</v>
      </c>
      <c r="D262" s="53">
        <v>1</v>
      </c>
      <c r="E262" s="54">
        <v>0</v>
      </c>
    </row>
    <row r="263" spans="2:5" ht="15" customHeight="1">
      <c r="B263" s="91"/>
      <c r="C263" s="52" t="s">
        <v>98</v>
      </c>
      <c r="D263" s="53">
        <v>6</v>
      </c>
      <c r="E263" s="54">
        <v>0</v>
      </c>
    </row>
    <row r="264" spans="2:5" ht="15" customHeight="1">
      <c r="B264" s="91"/>
      <c r="C264" s="52" t="s">
        <v>99</v>
      </c>
      <c r="D264" s="53">
        <v>7</v>
      </c>
      <c r="E264" s="54">
        <v>0</v>
      </c>
    </row>
    <row r="265" spans="2:5" ht="15" customHeight="1">
      <c r="B265" s="91"/>
      <c r="C265" s="52" t="s">
        <v>100</v>
      </c>
      <c r="D265" s="53">
        <v>9</v>
      </c>
      <c r="E265" s="54">
        <v>1E-3</v>
      </c>
    </row>
    <row r="266" spans="2:5" ht="15" customHeight="1">
      <c r="B266" s="91"/>
      <c r="C266" s="52" t="s">
        <v>103</v>
      </c>
      <c r="D266" s="53">
        <v>12</v>
      </c>
      <c r="E266" s="54">
        <v>1E-3</v>
      </c>
    </row>
    <row r="267" spans="2:5" ht="15" customHeight="1">
      <c r="B267" s="91"/>
      <c r="C267" s="52" t="s">
        <v>104</v>
      </c>
      <c r="D267" s="53">
        <v>21</v>
      </c>
      <c r="E267" s="54">
        <v>1E-3</v>
      </c>
    </row>
    <row r="268" spans="2:5" ht="15" customHeight="1">
      <c r="B268" s="91"/>
      <c r="C268" s="52" t="s">
        <v>105</v>
      </c>
      <c r="D268" s="53">
        <v>1</v>
      </c>
      <c r="E268" s="54">
        <v>0</v>
      </c>
    </row>
    <row r="269" spans="2:5" ht="15" customHeight="1">
      <c r="B269" s="91"/>
      <c r="C269" s="52" t="s">
        <v>106</v>
      </c>
      <c r="D269" s="53">
        <v>15</v>
      </c>
      <c r="E269" s="54">
        <v>1E-3</v>
      </c>
    </row>
    <row r="270" spans="2:5" ht="15" customHeight="1">
      <c r="B270" s="91"/>
      <c r="C270" s="52" t="s">
        <v>107</v>
      </c>
      <c r="D270" s="53">
        <v>5</v>
      </c>
      <c r="E270" s="54">
        <v>0</v>
      </c>
    </row>
    <row r="271" spans="2:5" ht="15" customHeight="1">
      <c r="B271" s="91"/>
      <c r="C271" s="52" t="s">
        <v>109</v>
      </c>
      <c r="D271" s="53">
        <v>4</v>
      </c>
      <c r="E271" s="54">
        <v>0</v>
      </c>
    </row>
    <row r="272" spans="2:5" ht="15" customHeight="1">
      <c r="B272" s="91"/>
      <c r="C272" s="52" t="s">
        <v>111</v>
      </c>
      <c r="D272" s="53">
        <v>6</v>
      </c>
      <c r="E272" s="54">
        <v>0</v>
      </c>
    </row>
    <row r="273" spans="2:5" ht="15" customHeight="1">
      <c r="B273" s="91"/>
      <c r="C273" s="52" t="s">
        <v>115</v>
      </c>
      <c r="D273" s="53">
        <v>11</v>
      </c>
      <c r="E273" s="54">
        <v>1E-3</v>
      </c>
    </row>
    <row r="274" spans="2:5" ht="15" customHeight="1">
      <c r="B274" s="91"/>
      <c r="C274" s="52" t="s">
        <v>116</v>
      </c>
      <c r="D274" s="53">
        <v>1</v>
      </c>
      <c r="E274" s="54">
        <v>0</v>
      </c>
    </row>
    <row r="275" spans="2:5" ht="15" customHeight="1">
      <c r="B275" s="91"/>
      <c r="C275" s="52" t="s">
        <v>118</v>
      </c>
      <c r="D275" s="53">
        <v>5</v>
      </c>
      <c r="E275" s="54">
        <v>0</v>
      </c>
    </row>
    <row r="276" spans="2:5" ht="15" customHeight="1">
      <c r="B276" s="91"/>
      <c r="C276" s="52" t="s">
        <v>120</v>
      </c>
      <c r="D276" s="53">
        <v>4</v>
      </c>
      <c r="E276" s="54">
        <v>0</v>
      </c>
    </row>
    <row r="277" spans="2:5" ht="15" customHeight="1">
      <c r="B277" s="91"/>
      <c r="C277" s="52" t="s">
        <v>121</v>
      </c>
      <c r="D277" s="53">
        <v>3</v>
      </c>
      <c r="E277" s="54">
        <v>0</v>
      </c>
    </row>
    <row r="278" spans="2:5" ht="15" customHeight="1">
      <c r="B278" s="91"/>
      <c r="C278" s="52" t="s">
        <v>122</v>
      </c>
      <c r="D278" s="53">
        <v>1</v>
      </c>
      <c r="E278" s="54">
        <v>0</v>
      </c>
    </row>
    <row r="279" spans="2:5" ht="15" customHeight="1">
      <c r="B279" s="91"/>
      <c r="C279" s="52" t="s">
        <v>124</v>
      </c>
      <c r="D279" s="53">
        <v>8</v>
      </c>
      <c r="E279" s="54">
        <v>1E-3</v>
      </c>
    </row>
    <row r="280" spans="2:5" ht="15" customHeight="1">
      <c r="B280" s="91"/>
      <c r="C280" s="52" t="s">
        <v>126</v>
      </c>
      <c r="D280" s="53">
        <v>1</v>
      </c>
      <c r="E280" s="54">
        <v>0</v>
      </c>
    </row>
    <row r="281" spans="2:5" ht="15" customHeight="1">
      <c r="B281" s="91"/>
      <c r="C281" s="52" t="s">
        <v>127</v>
      </c>
      <c r="D281" s="53">
        <v>10</v>
      </c>
      <c r="E281" s="54">
        <v>1E-3</v>
      </c>
    </row>
    <row r="282" spans="2:5" ht="15" customHeight="1">
      <c r="B282" s="91"/>
      <c r="C282" s="52" t="s">
        <v>128</v>
      </c>
      <c r="D282" s="53">
        <v>1</v>
      </c>
      <c r="E282" s="54">
        <v>0</v>
      </c>
    </row>
    <row r="283" spans="2:5" ht="15" customHeight="1">
      <c r="B283" s="91"/>
      <c r="C283" s="52" t="s">
        <v>130</v>
      </c>
      <c r="D283" s="53">
        <v>3</v>
      </c>
      <c r="E283" s="54">
        <v>0</v>
      </c>
    </row>
    <row r="284" spans="2:5" ht="15" customHeight="1">
      <c r="B284" s="91"/>
      <c r="C284" s="52" t="s">
        <v>132</v>
      </c>
      <c r="D284" s="53">
        <v>7</v>
      </c>
      <c r="E284" s="54">
        <v>0</v>
      </c>
    </row>
    <row r="285" spans="2:5" ht="15" customHeight="1">
      <c r="B285" s="91"/>
      <c r="C285" s="52" t="s">
        <v>133</v>
      </c>
      <c r="D285" s="53">
        <v>745</v>
      </c>
      <c r="E285" s="54">
        <v>5.2999999999999999E-2</v>
      </c>
    </row>
    <row r="286" spans="2:5" ht="15" customHeight="1">
      <c r="B286" s="91"/>
      <c r="C286" s="52" t="s">
        <v>134</v>
      </c>
      <c r="D286" s="53">
        <v>2</v>
      </c>
      <c r="E286" s="54">
        <v>0</v>
      </c>
    </row>
    <row r="287" spans="2:5" ht="15" customHeight="1">
      <c r="B287" s="91"/>
      <c r="C287" s="52" t="s">
        <v>135</v>
      </c>
      <c r="D287" s="53">
        <v>3</v>
      </c>
      <c r="E287" s="54">
        <v>0</v>
      </c>
    </row>
    <row r="288" spans="2:5" ht="15" customHeight="1">
      <c r="B288" s="91"/>
      <c r="C288" s="52" t="s">
        <v>136</v>
      </c>
      <c r="D288" s="53">
        <v>3</v>
      </c>
      <c r="E288" s="54">
        <v>0</v>
      </c>
    </row>
    <row r="289" spans="2:5" ht="15" customHeight="1">
      <c r="B289" s="92"/>
      <c r="C289" s="68" t="s">
        <v>307</v>
      </c>
      <c r="D289" s="66">
        <v>898</v>
      </c>
      <c r="E289" s="69">
        <v>6.4000000000000001E-2</v>
      </c>
    </row>
    <row r="290" spans="2:5" ht="15" customHeight="1">
      <c r="B290" s="90" t="s">
        <v>206</v>
      </c>
      <c r="C290" s="52" t="s">
        <v>96</v>
      </c>
      <c r="D290" s="53">
        <v>7</v>
      </c>
      <c r="E290" s="54">
        <v>0</v>
      </c>
    </row>
    <row r="291" spans="2:5" ht="15" customHeight="1">
      <c r="B291" s="91"/>
      <c r="C291" s="52" t="s">
        <v>97</v>
      </c>
      <c r="D291" s="53">
        <v>10</v>
      </c>
      <c r="E291" s="54">
        <v>1E-3</v>
      </c>
    </row>
    <row r="292" spans="2:5" ht="15" customHeight="1">
      <c r="B292" s="91"/>
      <c r="C292" s="52" t="s">
        <v>98</v>
      </c>
      <c r="D292" s="53">
        <v>25</v>
      </c>
      <c r="E292" s="54">
        <v>2E-3</v>
      </c>
    </row>
    <row r="293" spans="2:5" ht="15" customHeight="1">
      <c r="B293" s="91"/>
      <c r="C293" s="52" t="s">
        <v>99</v>
      </c>
      <c r="D293" s="53">
        <v>82</v>
      </c>
      <c r="E293" s="54">
        <v>6.0000000000000001E-3</v>
      </c>
    </row>
    <row r="294" spans="2:5" ht="15" customHeight="1">
      <c r="B294" s="91"/>
      <c r="C294" s="52" t="s">
        <v>100</v>
      </c>
      <c r="D294" s="53">
        <v>14</v>
      </c>
      <c r="E294" s="54">
        <v>1E-3</v>
      </c>
    </row>
    <row r="295" spans="2:5" ht="15" customHeight="1">
      <c r="B295" s="91"/>
      <c r="C295" s="52" t="s">
        <v>101</v>
      </c>
      <c r="D295" s="53">
        <v>2</v>
      </c>
      <c r="E295" s="54">
        <v>0</v>
      </c>
    </row>
    <row r="296" spans="2:5" ht="15" customHeight="1">
      <c r="B296" s="91"/>
      <c r="C296" s="52" t="s">
        <v>102</v>
      </c>
      <c r="D296" s="53">
        <v>2</v>
      </c>
      <c r="E296" s="54">
        <v>0</v>
      </c>
    </row>
    <row r="297" spans="2:5" ht="15" customHeight="1">
      <c r="B297" s="91"/>
      <c r="C297" s="52" t="s">
        <v>103</v>
      </c>
      <c r="D297" s="53">
        <v>35</v>
      </c>
      <c r="E297" s="54">
        <v>2E-3</v>
      </c>
    </row>
    <row r="298" spans="2:5" ht="15" customHeight="1">
      <c r="B298" s="91"/>
      <c r="C298" s="52" t="s">
        <v>104</v>
      </c>
      <c r="D298" s="53">
        <v>39</v>
      </c>
      <c r="E298" s="54">
        <v>3.0000000000000001E-3</v>
      </c>
    </row>
    <row r="299" spans="2:5" ht="15" customHeight="1">
      <c r="B299" s="91"/>
      <c r="C299" s="52" t="s">
        <v>105</v>
      </c>
      <c r="D299" s="53">
        <v>5</v>
      </c>
      <c r="E299" s="54">
        <v>0</v>
      </c>
    </row>
    <row r="300" spans="2:5" ht="15" customHeight="1">
      <c r="B300" s="91"/>
      <c r="C300" s="52" t="s">
        <v>106</v>
      </c>
      <c r="D300" s="53">
        <v>83</v>
      </c>
      <c r="E300" s="54">
        <v>6.0000000000000001E-3</v>
      </c>
    </row>
    <row r="301" spans="2:5" ht="15" customHeight="1">
      <c r="B301" s="91"/>
      <c r="C301" s="52" t="s">
        <v>107</v>
      </c>
      <c r="D301" s="53">
        <v>19</v>
      </c>
      <c r="E301" s="54">
        <v>1E-3</v>
      </c>
    </row>
    <row r="302" spans="2:5" ht="15" customHeight="1">
      <c r="B302" s="91"/>
      <c r="C302" s="52" t="s">
        <v>108</v>
      </c>
      <c r="D302" s="53">
        <v>8</v>
      </c>
      <c r="E302" s="54">
        <v>1E-3</v>
      </c>
    </row>
    <row r="303" spans="2:5" ht="15" customHeight="1">
      <c r="B303" s="91"/>
      <c r="C303" s="52" t="s">
        <v>109</v>
      </c>
      <c r="D303" s="53">
        <v>12</v>
      </c>
      <c r="E303" s="54">
        <v>1E-3</v>
      </c>
    </row>
    <row r="304" spans="2:5" ht="15" customHeight="1">
      <c r="B304" s="91"/>
      <c r="C304" s="52" t="s">
        <v>110</v>
      </c>
      <c r="D304" s="53">
        <v>8</v>
      </c>
      <c r="E304" s="54">
        <v>1E-3</v>
      </c>
    </row>
    <row r="305" spans="2:5" ht="15" customHeight="1">
      <c r="B305" s="91"/>
      <c r="C305" s="52" t="s">
        <v>111</v>
      </c>
      <c r="D305" s="53">
        <v>9</v>
      </c>
      <c r="E305" s="54">
        <v>1E-3</v>
      </c>
    </row>
    <row r="306" spans="2:5" ht="15" customHeight="1">
      <c r="B306" s="91"/>
      <c r="C306" s="52" t="s">
        <v>112</v>
      </c>
      <c r="D306" s="53">
        <v>1</v>
      </c>
      <c r="E306" s="54">
        <v>0</v>
      </c>
    </row>
    <row r="307" spans="2:5" ht="15" customHeight="1">
      <c r="B307" s="91"/>
      <c r="C307" s="52" t="s">
        <v>113</v>
      </c>
      <c r="D307" s="53">
        <v>1</v>
      </c>
      <c r="E307" s="54">
        <v>0</v>
      </c>
    </row>
    <row r="308" spans="2:5" ht="15" customHeight="1">
      <c r="B308" s="91"/>
      <c r="C308" s="52" t="s">
        <v>115</v>
      </c>
      <c r="D308" s="53">
        <v>20</v>
      </c>
      <c r="E308" s="54">
        <v>1E-3</v>
      </c>
    </row>
    <row r="309" spans="2:5" ht="15" customHeight="1">
      <c r="B309" s="91"/>
      <c r="C309" s="52" t="s">
        <v>116</v>
      </c>
      <c r="D309" s="53">
        <v>13</v>
      </c>
      <c r="E309" s="54">
        <v>1E-3</v>
      </c>
    </row>
    <row r="310" spans="2:5" ht="15" customHeight="1">
      <c r="B310" s="91"/>
      <c r="C310" s="52" t="s">
        <v>117</v>
      </c>
      <c r="D310" s="53">
        <v>7</v>
      </c>
      <c r="E310" s="54">
        <v>0</v>
      </c>
    </row>
    <row r="311" spans="2:5" ht="15" customHeight="1">
      <c r="B311" s="91"/>
      <c r="C311" s="52" t="s">
        <v>118</v>
      </c>
      <c r="D311" s="53">
        <v>17</v>
      </c>
      <c r="E311" s="54">
        <v>1E-3</v>
      </c>
    </row>
    <row r="312" spans="2:5" ht="15" customHeight="1">
      <c r="B312" s="91"/>
      <c r="C312" s="52" t="s">
        <v>119</v>
      </c>
      <c r="D312" s="53">
        <v>7</v>
      </c>
      <c r="E312" s="54">
        <v>0</v>
      </c>
    </row>
    <row r="313" spans="2:5" ht="15" customHeight="1">
      <c r="B313" s="91"/>
      <c r="C313" s="52" t="s">
        <v>120</v>
      </c>
      <c r="D313" s="53">
        <v>11</v>
      </c>
      <c r="E313" s="54">
        <v>1E-3</v>
      </c>
    </row>
    <row r="314" spans="2:5" ht="15" customHeight="1">
      <c r="B314" s="91"/>
      <c r="C314" s="52" t="s">
        <v>281</v>
      </c>
      <c r="D314" s="53">
        <v>1</v>
      </c>
      <c r="E314" s="54">
        <v>0</v>
      </c>
    </row>
    <row r="315" spans="2:5" ht="15" customHeight="1">
      <c r="B315" s="91"/>
      <c r="C315" s="52" t="s">
        <v>121</v>
      </c>
      <c r="D315" s="53">
        <v>3</v>
      </c>
      <c r="E315" s="54">
        <v>0</v>
      </c>
    </row>
    <row r="316" spans="2:5" ht="15" customHeight="1">
      <c r="B316" s="91"/>
      <c r="C316" s="52" t="s">
        <v>122</v>
      </c>
      <c r="D316" s="53">
        <v>9</v>
      </c>
      <c r="E316" s="54">
        <v>1E-3</v>
      </c>
    </row>
    <row r="317" spans="2:5" ht="15" customHeight="1">
      <c r="B317" s="91"/>
      <c r="C317" s="52" t="s">
        <v>123</v>
      </c>
      <c r="D317" s="53">
        <v>3</v>
      </c>
      <c r="E317" s="54">
        <v>0</v>
      </c>
    </row>
    <row r="318" spans="2:5" ht="15" customHeight="1">
      <c r="B318" s="91"/>
      <c r="C318" s="52" t="s">
        <v>124</v>
      </c>
      <c r="D318" s="53">
        <v>22</v>
      </c>
      <c r="E318" s="54">
        <v>2E-3</v>
      </c>
    </row>
    <row r="319" spans="2:5" ht="15" customHeight="1">
      <c r="B319" s="91"/>
      <c r="C319" s="52" t="s">
        <v>125</v>
      </c>
      <c r="D319" s="53">
        <v>1</v>
      </c>
      <c r="E319" s="54">
        <v>0</v>
      </c>
    </row>
    <row r="320" spans="2:5" ht="15" customHeight="1">
      <c r="B320" s="91"/>
      <c r="C320" s="52" t="s">
        <v>126</v>
      </c>
      <c r="D320" s="53">
        <v>7</v>
      </c>
      <c r="E320" s="54">
        <v>0</v>
      </c>
    </row>
    <row r="321" spans="2:5" ht="15" customHeight="1">
      <c r="B321" s="91"/>
      <c r="C321" s="52" t="s">
        <v>127</v>
      </c>
      <c r="D321" s="53">
        <v>49</v>
      </c>
      <c r="E321" s="54">
        <v>3.0000000000000001E-3</v>
      </c>
    </row>
    <row r="322" spans="2:5" ht="15" customHeight="1">
      <c r="B322" s="91"/>
      <c r="C322" s="52" t="s">
        <v>128</v>
      </c>
      <c r="D322" s="53">
        <v>2</v>
      </c>
      <c r="E322" s="54">
        <v>0</v>
      </c>
    </row>
    <row r="323" spans="2:5" ht="15" customHeight="1">
      <c r="B323" s="91"/>
      <c r="C323" s="52" t="s">
        <v>129</v>
      </c>
      <c r="D323" s="53">
        <v>1</v>
      </c>
      <c r="E323" s="54">
        <v>0</v>
      </c>
    </row>
    <row r="324" spans="2:5" ht="15" customHeight="1">
      <c r="B324" s="91"/>
      <c r="C324" s="52" t="s">
        <v>130</v>
      </c>
      <c r="D324" s="53">
        <v>8</v>
      </c>
      <c r="E324" s="54">
        <v>1E-3</v>
      </c>
    </row>
    <row r="325" spans="2:5" ht="15" customHeight="1">
      <c r="B325" s="91"/>
      <c r="C325" s="52" t="s">
        <v>132</v>
      </c>
      <c r="D325" s="53">
        <v>27</v>
      </c>
      <c r="E325" s="54">
        <v>2E-3</v>
      </c>
    </row>
    <row r="326" spans="2:5" ht="15" customHeight="1">
      <c r="B326" s="91"/>
      <c r="C326" s="52" t="s">
        <v>133</v>
      </c>
      <c r="D326" s="53">
        <v>3110</v>
      </c>
      <c r="E326" s="54">
        <v>0.22</v>
      </c>
    </row>
    <row r="327" spans="2:5" ht="15" customHeight="1">
      <c r="B327" s="91"/>
      <c r="C327" s="52" t="s">
        <v>134</v>
      </c>
      <c r="D327" s="53">
        <v>10</v>
      </c>
      <c r="E327" s="54">
        <v>1E-3</v>
      </c>
    </row>
    <row r="328" spans="2:5" ht="15" customHeight="1">
      <c r="B328" s="91"/>
      <c r="C328" s="52" t="s">
        <v>135</v>
      </c>
      <c r="D328" s="53">
        <v>8</v>
      </c>
      <c r="E328" s="54">
        <v>1E-3</v>
      </c>
    </row>
    <row r="329" spans="2:5" ht="15" customHeight="1">
      <c r="B329" s="91"/>
      <c r="C329" s="52" t="s">
        <v>73</v>
      </c>
      <c r="D329" s="53">
        <v>3</v>
      </c>
      <c r="E329" s="54">
        <v>0</v>
      </c>
    </row>
    <row r="330" spans="2:5" ht="15" customHeight="1">
      <c r="B330" s="91"/>
      <c r="C330" s="52" t="s">
        <v>136</v>
      </c>
      <c r="D330" s="53">
        <v>10</v>
      </c>
      <c r="E330" s="54">
        <v>1E-3</v>
      </c>
    </row>
    <row r="331" spans="2:5" ht="15" customHeight="1">
      <c r="B331" s="91"/>
      <c r="C331" s="52" t="s">
        <v>137</v>
      </c>
      <c r="D331" s="53">
        <v>2</v>
      </c>
      <c r="E331" s="54">
        <v>0</v>
      </c>
    </row>
    <row r="332" spans="2:5" ht="15" customHeight="1">
      <c r="B332" s="92"/>
      <c r="C332" s="68" t="s">
        <v>307</v>
      </c>
      <c r="D332" s="66">
        <v>3713</v>
      </c>
      <c r="E332" s="69">
        <v>0.26300000000000001</v>
      </c>
    </row>
    <row r="333" spans="2:5" ht="15" customHeight="1">
      <c r="B333" s="90" t="s">
        <v>296</v>
      </c>
      <c r="C333" s="52" t="s">
        <v>97</v>
      </c>
      <c r="D333" s="53">
        <v>1</v>
      </c>
      <c r="E333" s="54">
        <v>0</v>
      </c>
    </row>
    <row r="334" spans="2:5" ht="15" customHeight="1">
      <c r="B334" s="91"/>
      <c r="C334" s="52" t="s">
        <v>99</v>
      </c>
      <c r="D334" s="53">
        <v>3</v>
      </c>
      <c r="E334" s="54">
        <v>0</v>
      </c>
    </row>
    <row r="335" spans="2:5" ht="15" customHeight="1">
      <c r="B335" s="91"/>
      <c r="C335" s="52" t="s">
        <v>106</v>
      </c>
      <c r="D335" s="53">
        <v>2</v>
      </c>
      <c r="E335" s="54">
        <v>0</v>
      </c>
    </row>
    <row r="336" spans="2:5" ht="15" customHeight="1">
      <c r="B336" s="91"/>
      <c r="C336" s="52" t="s">
        <v>107</v>
      </c>
      <c r="D336" s="53">
        <v>1</v>
      </c>
      <c r="E336" s="54">
        <v>0</v>
      </c>
    </row>
    <row r="337" spans="2:5" ht="15" customHeight="1">
      <c r="B337" s="91"/>
      <c r="C337" s="52" t="s">
        <v>109</v>
      </c>
      <c r="D337" s="53">
        <v>2</v>
      </c>
      <c r="E337" s="54">
        <v>0</v>
      </c>
    </row>
    <row r="338" spans="2:5" ht="15" customHeight="1">
      <c r="B338" s="91"/>
      <c r="C338" s="52" t="s">
        <v>116</v>
      </c>
      <c r="D338" s="53">
        <v>1</v>
      </c>
      <c r="E338" s="54">
        <v>0</v>
      </c>
    </row>
    <row r="339" spans="2:5" ht="15" customHeight="1">
      <c r="B339" s="91"/>
      <c r="C339" s="52" t="s">
        <v>118</v>
      </c>
      <c r="D339" s="53">
        <v>1</v>
      </c>
      <c r="E339" s="54">
        <v>0</v>
      </c>
    </row>
    <row r="340" spans="2:5" ht="15" customHeight="1">
      <c r="B340" s="91"/>
      <c r="C340" s="52" t="s">
        <v>127</v>
      </c>
      <c r="D340" s="53">
        <v>5</v>
      </c>
      <c r="E340" s="54">
        <v>0</v>
      </c>
    </row>
    <row r="341" spans="2:5" ht="15" customHeight="1">
      <c r="B341" s="91"/>
      <c r="C341" s="52" t="s">
        <v>133</v>
      </c>
      <c r="D341" s="53">
        <v>61</v>
      </c>
      <c r="E341" s="54">
        <v>4.0000000000000001E-3</v>
      </c>
    </row>
    <row r="342" spans="2:5" ht="15" customHeight="1">
      <c r="B342" s="91"/>
      <c r="C342" s="52" t="s">
        <v>134</v>
      </c>
      <c r="D342" s="53">
        <v>1</v>
      </c>
      <c r="E342" s="54">
        <v>0</v>
      </c>
    </row>
    <row r="343" spans="2:5" ht="15" customHeight="1">
      <c r="B343" s="92"/>
      <c r="C343" s="68" t="s">
        <v>307</v>
      </c>
      <c r="D343" s="66">
        <v>78</v>
      </c>
      <c r="E343" s="69">
        <v>6.0000000000000001E-3</v>
      </c>
    </row>
    <row r="344" spans="2:5" ht="15" customHeight="1">
      <c r="B344" s="90" t="s">
        <v>297</v>
      </c>
      <c r="C344" s="52" t="s">
        <v>99</v>
      </c>
      <c r="D344" s="53">
        <v>2</v>
      </c>
      <c r="E344" s="54">
        <v>0</v>
      </c>
    </row>
    <row r="345" spans="2:5" ht="15" customHeight="1">
      <c r="B345" s="91"/>
      <c r="C345" s="52" t="s">
        <v>104</v>
      </c>
      <c r="D345" s="53">
        <v>3</v>
      </c>
      <c r="E345" s="54">
        <v>0</v>
      </c>
    </row>
    <row r="346" spans="2:5" ht="15" customHeight="1">
      <c r="B346" s="91"/>
      <c r="C346" s="52" t="s">
        <v>106</v>
      </c>
      <c r="D346" s="53">
        <v>1</v>
      </c>
      <c r="E346" s="54">
        <v>0</v>
      </c>
    </row>
    <row r="347" spans="2:5" ht="15" customHeight="1">
      <c r="B347" s="91"/>
      <c r="C347" s="52" t="s">
        <v>107</v>
      </c>
      <c r="D347" s="53">
        <v>2</v>
      </c>
      <c r="E347" s="54">
        <v>0</v>
      </c>
    </row>
    <row r="348" spans="2:5" ht="15" customHeight="1">
      <c r="B348" s="91"/>
      <c r="C348" s="52" t="s">
        <v>108</v>
      </c>
      <c r="D348" s="53">
        <v>1</v>
      </c>
      <c r="E348" s="54">
        <v>0</v>
      </c>
    </row>
    <row r="349" spans="2:5" ht="15" customHeight="1">
      <c r="B349" s="91"/>
      <c r="C349" s="52" t="s">
        <v>109</v>
      </c>
      <c r="D349" s="53">
        <v>1</v>
      </c>
      <c r="E349" s="54">
        <v>0</v>
      </c>
    </row>
    <row r="350" spans="2:5" ht="15" customHeight="1">
      <c r="B350" s="91"/>
      <c r="C350" s="52" t="s">
        <v>112</v>
      </c>
      <c r="D350" s="53">
        <v>1</v>
      </c>
      <c r="E350" s="54">
        <v>0</v>
      </c>
    </row>
    <row r="351" spans="2:5" ht="15" customHeight="1">
      <c r="B351" s="91"/>
      <c r="C351" s="52" t="s">
        <v>115</v>
      </c>
      <c r="D351" s="53">
        <v>1</v>
      </c>
      <c r="E351" s="54">
        <v>0</v>
      </c>
    </row>
    <row r="352" spans="2:5" ht="15" customHeight="1">
      <c r="B352" s="91"/>
      <c r="C352" s="52" t="s">
        <v>116</v>
      </c>
      <c r="D352" s="53">
        <v>1</v>
      </c>
      <c r="E352" s="54">
        <v>0</v>
      </c>
    </row>
    <row r="353" spans="2:5" ht="15" customHeight="1">
      <c r="B353" s="91"/>
      <c r="C353" s="52" t="s">
        <v>120</v>
      </c>
      <c r="D353" s="53">
        <v>1</v>
      </c>
      <c r="E353" s="54">
        <v>0</v>
      </c>
    </row>
    <row r="354" spans="2:5" ht="15" customHeight="1">
      <c r="B354" s="91"/>
      <c r="C354" s="52" t="s">
        <v>127</v>
      </c>
      <c r="D354" s="53">
        <v>3</v>
      </c>
      <c r="E354" s="54">
        <v>0</v>
      </c>
    </row>
    <row r="355" spans="2:5" ht="15" customHeight="1">
      <c r="B355" s="91"/>
      <c r="C355" s="52" t="s">
        <v>132</v>
      </c>
      <c r="D355" s="53">
        <v>1</v>
      </c>
      <c r="E355" s="54">
        <v>0</v>
      </c>
    </row>
    <row r="356" spans="2:5" ht="15" customHeight="1">
      <c r="B356" s="91"/>
      <c r="C356" s="52" t="s">
        <v>133</v>
      </c>
      <c r="D356" s="53">
        <v>88</v>
      </c>
      <c r="E356" s="54">
        <v>6.0000000000000001E-3</v>
      </c>
    </row>
    <row r="357" spans="2:5" ht="15" customHeight="1">
      <c r="B357" s="91"/>
      <c r="C357" s="52" t="s">
        <v>134</v>
      </c>
      <c r="D357" s="53">
        <v>1</v>
      </c>
      <c r="E357" s="54">
        <v>0</v>
      </c>
    </row>
    <row r="358" spans="2:5" ht="15" customHeight="1">
      <c r="B358" s="91"/>
      <c r="C358" s="52" t="s">
        <v>135</v>
      </c>
      <c r="D358" s="53">
        <v>1</v>
      </c>
      <c r="E358" s="54">
        <v>0</v>
      </c>
    </row>
    <row r="359" spans="2:5" ht="15" customHeight="1">
      <c r="B359" s="91"/>
      <c r="C359" s="52" t="s">
        <v>136</v>
      </c>
      <c r="D359" s="53">
        <v>1</v>
      </c>
      <c r="E359" s="54">
        <v>0</v>
      </c>
    </row>
    <row r="360" spans="2:5" ht="15" customHeight="1">
      <c r="B360" s="92"/>
      <c r="C360" s="68" t="s">
        <v>307</v>
      </c>
      <c r="D360" s="66">
        <v>109</v>
      </c>
      <c r="E360" s="69">
        <v>8.0000000000000002E-3</v>
      </c>
    </row>
    <row r="361" spans="2:5" ht="15" customHeight="1">
      <c r="B361" s="90" t="s">
        <v>298</v>
      </c>
      <c r="C361" s="52" t="s">
        <v>97</v>
      </c>
      <c r="D361" s="53">
        <v>1</v>
      </c>
      <c r="E361" s="54">
        <v>0</v>
      </c>
    </row>
    <row r="362" spans="2:5" ht="15" customHeight="1">
      <c r="B362" s="91"/>
      <c r="C362" s="52" t="s">
        <v>104</v>
      </c>
      <c r="D362" s="53">
        <v>1</v>
      </c>
      <c r="E362" s="54">
        <v>0</v>
      </c>
    </row>
    <row r="363" spans="2:5" ht="15" customHeight="1">
      <c r="B363" s="91"/>
      <c r="C363" s="52" t="s">
        <v>106</v>
      </c>
      <c r="D363" s="53">
        <v>2</v>
      </c>
      <c r="E363" s="54">
        <v>0</v>
      </c>
    </row>
    <row r="364" spans="2:5" ht="15" customHeight="1">
      <c r="B364" s="91"/>
      <c r="C364" s="52" t="s">
        <v>115</v>
      </c>
      <c r="D364" s="53">
        <v>1</v>
      </c>
      <c r="E364" s="54">
        <v>0</v>
      </c>
    </row>
    <row r="365" spans="2:5" ht="15" customHeight="1">
      <c r="B365" s="91"/>
      <c r="C365" s="52" t="s">
        <v>133</v>
      </c>
      <c r="D365" s="53">
        <v>39</v>
      </c>
      <c r="E365" s="54">
        <v>3.0000000000000001E-3</v>
      </c>
    </row>
    <row r="366" spans="2:5" ht="15" customHeight="1">
      <c r="B366" s="92"/>
      <c r="C366" s="68" t="s">
        <v>307</v>
      </c>
      <c r="D366" s="66">
        <v>44</v>
      </c>
      <c r="E366" s="69">
        <v>3.0000000000000001E-3</v>
      </c>
    </row>
    <row r="367" spans="2:5" ht="15" customHeight="1">
      <c r="B367" s="90" t="s">
        <v>299</v>
      </c>
      <c r="C367" s="52" t="s">
        <v>99</v>
      </c>
      <c r="D367" s="53">
        <v>1</v>
      </c>
      <c r="E367" s="54">
        <v>0</v>
      </c>
    </row>
    <row r="368" spans="2:5" ht="15" customHeight="1">
      <c r="B368" s="91"/>
      <c r="C368" s="52" t="s">
        <v>104</v>
      </c>
      <c r="D368" s="53">
        <v>1</v>
      </c>
      <c r="E368" s="54">
        <v>0</v>
      </c>
    </row>
    <row r="369" spans="2:5" ht="15" customHeight="1">
      <c r="B369" s="91"/>
      <c r="C369" s="52" t="s">
        <v>106</v>
      </c>
      <c r="D369" s="53">
        <v>2</v>
      </c>
      <c r="E369" s="54">
        <v>0</v>
      </c>
    </row>
    <row r="370" spans="2:5" ht="15" customHeight="1">
      <c r="B370" s="91"/>
      <c r="C370" s="52" t="s">
        <v>109</v>
      </c>
      <c r="D370" s="53">
        <v>1</v>
      </c>
      <c r="E370" s="54">
        <v>0</v>
      </c>
    </row>
    <row r="371" spans="2:5" ht="15" customHeight="1">
      <c r="B371" s="91"/>
      <c r="C371" s="52" t="s">
        <v>124</v>
      </c>
      <c r="D371" s="53">
        <v>1</v>
      </c>
      <c r="E371" s="54">
        <v>0</v>
      </c>
    </row>
    <row r="372" spans="2:5" ht="15" customHeight="1">
      <c r="B372" s="91"/>
      <c r="C372" s="52" t="s">
        <v>125</v>
      </c>
      <c r="D372" s="53">
        <v>1</v>
      </c>
      <c r="E372" s="54">
        <v>0</v>
      </c>
    </row>
    <row r="373" spans="2:5" ht="15" customHeight="1">
      <c r="B373" s="91"/>
      <c r="C373" s="52" t="s">
        <v>133</v>
      </c>
      <c r="D373" s="53">
        <v>33</v>
      </c>
      <c r="E373" s="54">
        <v>2E-3</v>
      </c>
    </row>
    <row r="374" spans="2:5" ht="15" customHeight="1">
      <c r="B374" s="92"/>
      <c r="C374" s="68" t="s">
        <v>307</v>
      </c>
      <c r="D374" s="66">
        <v>40</v>
      </c>
      <c r="E374" s="69">
        <v>3.0000000000000001E-3</v>
      </c>
    </row>
    <row r="375" spans="2:5" ht="15" customHeight="1">
      <c r="B375" s="90" t="s">
        <v>211</v>
      </c>
      <c r="C375" s="52" t="s">
        <v>96</v>
      </c>
      <c r="D375" s="53">
        <v>1</v>
      </c>
      <c r="E375" s="54">
        <v>0</v>
      </c>
    </row>
    <row r="376" spans="2:5" ht="15" customHeight="1">
      <c r="B376" s="91"/>
      <c r="C376" s="52" t="s">
        <v>97</v>
      </c>
      <c r="D376" s="53">
        <v>1</v>
      </c>
      <c r="E376" s="54">
        <v>0</v>
      </c>
    </row>
    <row r="377" spans="2:5" ht="15" customHeight="1">
      <c r="B377" s="91"/>
      <c r="C377" s="52" t="s">
        <v>99</v>
      </c>
      <c r="D377" s="53">
        <v>12</v>
      </c>
      <c r="E377" s="54">
        <v>1E-3</v>
      </c>
    </row>
    <row r="378" spans="2:5" ht="15" customHeight="1">
      <c r="B378" s="91"/>
      <c r="C378" s="52" t="s">
        <v>103</v>
      </c>
      <c r="D378" s="53">
        <v>6</v>
      </c>
      <c r="E378" s="54">
        <v>0</v>
      </c>
    </row>
    <row r="379" spans="2:5" ht="15" customHeight="1">
      <c r="B379" s="91"/>
      <c r="C379" s="52" t="s">
        <v>104</v>
      </c>
      <c r="D379" s="53">
        <v>3</v>
      </c>
      <c r="E379" s="54">
        <v>0</v>
      </c>
    </row>
    <row r="380" spans="2:5" ht="15" customHeight="1">
      <c r="B380" s="91"/>
      <c r="C380" s="52" t="s">
        <v>105</v>
      </c>
      <c r="D380" s="53">
        <v>1</v>
      </c>
      <c r="E380" s="54">
        <v>0</v>
      </c>
    </row>
    <row r="381" spans="2:5" ht="15" customHeight="1">
      <c r="B381" s="91"/>
      <c r="C381" s="52" t="s">
        <v>106</v>
      </c>
      <c r="D381" s="53">
        <v>11</v>
      </c>
      <c r="E381" s="54">
        <v>1E-3</v>
      </c>
    </row>
    <row r="382" spans="2:5" ht="15" customHeight="1">
      <c r="B382" s="91"/>
      <c r="C382" s="52" t="s">
        <v>107</v>
      </c>
      <c r="D382" s="53">
        <v>2</v>
      </c>
      <c r="E382" s="54">
        <v>0</v>
      </c>
    </row>
    <row r="383" spans="2:5" ht="15" customHeight="1">
      <c r="B383" s="91"/>
      <c r="C383" s="52" t="s">
        <v>111</v>
      </c>
      <c r="D383" s="53">
        <v>2</v>
      </c>
      <c r="E383" s="54">
        <v>0</v>
      </c>
    </row>
    <row r="384" spans="2:5" ht="15" customHeight="1">
      <c r="B384" s="91"/>
      <c r="C384" s="52" t="s">
        <v>115</v>
      </c>
      <c r="D384" s="53">
        <v>5</v>
      </c>
      <c r="E384" s="54">
        <v>0</v>
      </c>
    </row>
    <row r="385" spans="2:5" ht="15" customHeight="1">
      <c r="B385" s="91"/>
      <c r="C385" s="52" t="s">
        <v>116</v>
      </c>
      <c r="D385" s="53">
        <v>1</v>
      </c>
      <c r="E385" s="54">
        <v>0</v>
      </c>
    </row>
    <row r="386" spans="2:5" ht="15" customHeight="1">
      <c r="B386" s="91"/>
      <c r="C386" s="52" t="s">
        <v>117</v>
      </c>
      <c r="D386" s="53">
        <v>1</v>
      </c>
      <c r="E386" s="54">
        <v>0</v>
      </c>
    </row>
    <row r="387" spans="2:5" ht="15" customHeight="1">
      <c r="B387" s="91"/>
      <c r="C387" s="52" t="s">
        <v>118</v>
      </c>
      <c r="D387" s="53">
        <v>2</v>
      </c>
      <c r="E387" s="54">
        <v>0</v>
      </c>
    </row>
    <row r="388" spans="2:5" ht="15" customHeight="1">
      <c r="B388" s="91"/>
      <c r="C388" s="52" t="s">
        <v>119</v>
      </c>
      <c r="D388" s="53">
        <v>1</v>
      </c>
      <c r="E388" s="54">
        <v>0</v>
      </c>
    </row>
    <row r="389" spans="2:5" ht="15" customHeight="1">
      <c r="B389" s="91"/>
      <c r="C389" s="52" t="s">
        <v>120</v>
      </c>
      <c r="D389" s="53">
        <v>2</v>
      </c>
      <c r="E389" s="54">
        <v>0</v>
      </c>
    </row>
    <row r="390" spans="2:5" ht="15" customHeight="1">
      <c r="B390" s="91"/>
      <c r="C390" s="52" t="s">
        <v>124</v>
      </c>
      <c r="D390" s="53">
        <v>4</v>
      </c>
      <c r="E390" s="54">
        <v>0</v>
      </c>
    </row>
    <row r="391" spans="2:5" ht="15" customHeight="1">
      <c r="B391" s="91"/>
      <c r="C391" s="52" t="s">
        <v>127</v>
      </c>
      <c r="D391" s="53">
        <v>4</v>
      </c>
      <c r="E391" s="54">
        <v>0</v>
      </c>
    </row>
    <row r="392" spans="2:5" ht="15" customHeight="1">
      <c r="B392" s="91"/>
      <c r="C392" s="52" t="s">
        <v>130</v>
      </c>
      <c r="D392" s="53">
        <v>1</v>
      </c>
      <c r="E392" s="54">
        <v>0</v>
      </c>
    </row>
    <row r="393" spans="2:5" ht="15" customHeight="1">
      <c r="B393" s="91"/>
      <c r="C393" s="52" t="s">
        <v>132</v>
      </c>
      <c r="D393" s="53">
        <v>6</v>
      </c>
      <c r="E393" s="54">
        <v>0</v>
      </c>
    </row>
    <row r="394" spans="2:5" ht="15" customHeight="1">
      <c r="B394" s="91"/>
      <c r="C394" s="52" t="s">
        <v>133</v>
      </c>
      <c r="D394" s="53">
        <v>280</v>
      </c>
      <c r="E394" s="54">
        <v>0.02</v>
      </c>
    </row>
    <row r="395" spans="2:5" ht="15" customHeight="1">
      <c r="B395" s="91"/>
      <c r="C395" s="52" t="s">
        <v>134</v>
      </c>
      <c r="D395" s="53">
        <v>3</v>
      </c>
      <c r="E395" s="54">
        <v>0</v>
      </c>
    </row>
    <row r="396" spans="2:5" ht="15" customHeight="1">
      <c r="B396" s="91"/>
      <c r="C396" s="52" t="s">
        <v>73</v>
      </c>
      <c r="D396" s="53">
        <v>1</v>
      </c>
      <c r="E396" s="54">
        <v>0</v>
      </c>
    </row>
    <row r="397" spans="2:5" ht="15" customHeight="1">
      <c r="B397" s="91"/>
      <c r="C397" s="52" t="s">
        <v>136</v>
      </c>
      <c r="D397" s="53">
        <v>1</v>
      </c>
      <c r="E397" s="54">
        <v>0</v>
      </c>
    </row>
    <row r="398" spans="2:5" ht="15" customHeight="1">
      <c r="B398" s="92"/>
      <c r="C398" s="68" t="s">
        <v>307</v>
      </c>
      <c r="D398" s="66">
        <v>351</v>
      </c>
      <c r="E398" s="69">
        <v>2.5000000000000001E-2</v>
      </c>
    </row>
    <row r="399" spans="2:5" ht="15" customHeight="1">
      <c r="B399" s="90" t="s">
        <v>212</v>
      </c>
      <c r="C399" s="52" t="s">
        <v>97</v>
      </c>
      <c r="D399" s="53">
        <v>11</v>
      </c>
      <c r="E399" s="54">
        <v>1E-3</v>
      </c>
    </row>
    <row r="400" spans="2:5" ht="15" customHeight="1">
      <c r="B400" s="91"/>
      <c r="C400" s="52" t="s">
        <v>98</v>
      </c>
      <c r="D400" s="53">
        <v>5</v>
      </c>
      <c r="E400" s="54">
        <v>0</v>
      </c>
    </row>
    <row r="401" spans="2:5" ht="15" customHeight="1">
      <c r="B401" s="91"/>
      <c r="C401" s="52" t="s">
        <v>99</v>
      </c>
      <c r="D401" s="53">
        <v>41</v>
      </c>
      <c r="E401" s="54">
        <v>3.0000000000000001E-3</v>
      </c>
    </row>
    <row r="402" spans="2:5" ht="15" customHeight="1">
      <c r="B402" s="91"/>
      <c r="C402" s="52" t="s">
        <v>100</v>
      </c>
      <c r="D402" s="53">
        <v>4</v>
      </c>
      <c r="E402" s="54">
        <v>0</v>
      </c>
    </row>
    <row r="403" spans="2:5" ht="15" customHeight="1">
      <c r="B403" s="91"/>
      <c r="C403" s="52" t="s">
        <v>102</v>
      </c>
      <c r="D403" s="53">
        <v>1</v>
      </c>
      <c r="E403" s="54">
        <v>0</v>
      </c>
    </row>
    <row r="404" spans="2:5" ht="15" customHeight="1">
      <c r="B404" s="91"/>
      <c r="C404" s="52" t="s">
        <v>103</v>
      </c>
      <c r="D404" s="53">
        <v>15</v>
      </c>
      <c r="E404" s="54">
        <v>1E-3</v>
      </c>
    </row>
    <row r="405" spans="2:5" ht="15" customHeight="1">
      <c r="B405" s="91"/>
      <c r="C405" s="52" t="s">
        <v>104</v>
      </c>
      <c r="D405" s="53">
        <v>9</v>
      </c>
      <c r="E405" s="54">
        <v>1E-3</v>
      </c>
    </row>
    <row r="406" spans="2:5" ht="15" customHeight="1">
      <c r="B406" s="91"/>
      <c r="C406" s="52" t="s">
        <v>105</v>
      </c>
      <c r="D406" s="53">
        <v>1</v>
      </c>
      <c r="E406" s="54">
        <v>0</v>
      </c>
    </row>
    <row r="407" spans="2:5" ht="15" customHeight="1">
      <c r="B407" s="91"/>
      <c r="C407" s="52" t="s">
        <v>106</v>
      </c>
      <c r="D407" s="53">
        <v>43</v>
      </c>
      <c r="E407" s="54">
        <v>3.0000000000000001E-3</v>
      </c>
    </row>
    <row r="408" spans="2:5" ht="15" customHeight="1">
      <c r="B408" s="91"/>
      <c r="C408" s="52" t="s">
        <v>107</v>
      </c>
      <c r="D408" s="53">
        <v>5</v>
      </c>
      <c r="E408" s="54">
        <v>0</v>
      </c>
    </row>
    <row r="409" spans="2:5" ht="15" customHeight="1">
      <c r="B409" s="91"/>
      <c r="C409" s="52" t="s">
        <v>108</v>
      </c>
      <c r="D409" s="53">
        <v>2</v>
      </c>
      <c r="E409" s="54">
        <v>0</v>
      </c>
    </row>
    <row r="410" spans="2:5" ht="15" customHeight="1">
      <c r="B410" s="91"/>
      <c r="C410" s="52" t="s">
        <v>109</v>
      </c>
      <c r="D410" s="53">
        <v>4</v>
      </c>
      <c r="E410" s="54">
        <v>0</v>
      </c>
    </row>
    <row r="411" spans="2:5" ht="15" customHeight="1">
      <c r="B411" s="91"/>
      <c r="C411" s="52" t="s">
        <v>110</v>
      </c>
      <c r="D411" s="53">
        <v>1</v>
      </c>
      <c r="E411" s="54">
        <v>0</v>
      </c>
    </row>
    <row r="412" spans="2:5" ht="15" customHeight="1">
      <c r="B412" s="91"/>
      <c r="C412" s="52" t="s">
        <v>111</v>
      </c>
      <c r="D412" s="53">
        <v>6</v>
      </c>
      <c r="E412" s="54">
        <v>0</v>
      </c>
    </row>
    <row r="413" spans="2:5" ht="15" customHeight="1">
      <c r="B413" s="91"/>
      <c r="C413" s="52" t="s">
        <v>113</v>
      </c>
      <c r="D413" s="53">
        <v>2</v>
      </c>
      <c r="E413" s="54">
        <v>0</v>
      </c>
    </row>
    <row r="414" spans="2:5" ht="15" customHeight="1">
      <c r="B414" s="91"/>
      <c r="C414" s="52" t="s">
        <v>115</v>
      </c>
      <c r="D414" s="53">
        <v>6</v>
      </c>
      <c r="E414" s="54">
        <v>0</v>
      </c>
    </row>
    <row r="415" spans="2:5" ht="15" customHeight="1">
      <c r="B415" s="91"/>
      <c r="C415" s="52" t="s">
        <v>116</v>
      </c>
      <c r="D415" s="53">
        <v>6</v>
      </c>
      <c r="E415" s="54">
        <v>0</v>
      </c>
    </row>
    <row r="416" spans="2:5" ht="15" customHeight="1">
      <c r="B416" s="91"/>
      <c r="C416" s="52" t="s">
        <v>117</v>
      </c>
      <c r="D416" s="53">
        <v>1</v>
      </c>
      <c r="E416" s="54">
        <v>0</v>
      </c>
    </row>
    <row r="417" spans="2:5" ht="15" customHeight="1">
      <c r="B417" s="91"/>
      <c r="C417" s="52" t="s">
        <v>118</v>
      </c>
      <c r="D417" s="53">
        <v>5</v>
      </c>
      <c r="E417" s="54">
        <v>0</v>
      </c>
    </row>
    <row r="418" spans="2:5" ht="15" customHeight="1">
      <c r="B418" s="91"/>
      <c r="C418" s="52" t="s">
        <v>119</v>
      </c>
      <c r="D418" s="53">
        <v>2</v>
      </c>
      <c r="E418" s="54">
        <v>0</v>
      </c>
    </row>
    <row r="419" spans="2:5" ht="15" customHeight="1">
      <c r="B419" s="91"/>
      <c r="C419" s="52" t="s">
        <v>120</v>
      </c>
      <c r="D419" s="53">
        <v>6</v>
      </c>
      <c r="E419" s="54">
        <v>0</v>
      </c>
    </row>
    <row r="420" spans="2:5" ht="15" customHeight="1">
      <c r="B420" s="91"/>
      <c r="C420" s="52" t="s">
        <v>121</v>
      </c>
      <c r="D420" s="53">
        <v>2</v>
      </c>
      <c r="E420" s="54">
        <v>0</v>
      </c>
    </row>
    <row r="421" spans="2:5" ht="15" customHeight="1">
      <c r="B421" s="91"/>
      <c r="C421" s="52" t="s">
        <v>123</v>
      </c>
      <c r="D421" s="53">
        <v>4</v>
      </c>
      <c r="E421" s="54">
        <v>0</v>
      </c>
    </row>
    <row r="422" spans="2:5" ht="15" customHeight="1">
      <c r="B422" s="91"/>
      <c r="C422" s="52" t="s">
        <v>124</v>
      </c>
      <c r="D422" s="53">
        <v>6</v>
      </c>
      <c r="E422" s="54">
        <v>0</v>
      </c>
    </row>
    <row r="423" spans="2:5" ht="15" customHeight="1">
      <c r="B423" s="91"/>
      <c r="C423" s="52" t="s">
        <v>125</v>
      </c>
      <c r="D423" s="53">
        <v>2</v>
      </c>
      <c r="E423" s="54">
        <v>0</v>
      </c>
    </row>
    <row r="424" spans="2:5" ht="15" customHeight="1">
      <c r="B424" s="91"/>
      <c r="C424" s="52" t="s">
        <v>126</v>
      </c>
      <c r="D424" s="53">
        <v>4</v>
      </c>
      <c r="E424" s="54">
        <v>0</v>
      </c>
    </row>
    <row r="425" spans="2:5" ht="15" customHeight="1">
      <c r="B425" s="91"/>
      <c r="C425" s="52" t="s">
        <v>127</v>
      </c>
      <c r="D425" s="53">
        <v>7</v>
      </c>
      <c r="E425" s="54">
        <v>0</v>
      </c>
    </row>
    <row r="426" spans="2:5" ht="15" customHeight="1">
      <c r="B426" s="91"/>
      <c r="C426" s="52" t="s">
        <v>129</v>
      </c>
      <c r="D426" s="53">
        <v>2</v>
      </c>
      <c r="E426" s="54">
        <v>0</v>
      </c>
    </row>
    <row r="427" spans="2:5" ht="15" customHeight="1">
      <c r="B427" s="91"/>
      <c r="C427" s="52" t="s">
        <v>130</v>
      </c>
      <c r="D427" s="53">
        <v>3</v>
      </c>
      <c r="E427" s="54">
        <v>0</v>
      </c>
    </row>
    <row r="428" spans="2:5" ht="15" customHeight="1">
      <c r="B428" s="91"/>
      <c r="C428" s="52" t="s">
        <v>132</v>
      </c>
      <c r="D428" s="53">
        <v>7</v>
      </c>
      <c r="E428" s="54">
        <v>0</v>
      </c>
    </row>
    <row r="429" spans="2:5" ht="15" customHeight="1">
      <c r="B429" s="91"/>
      <c r="C429" s="52" t="s">
        <v>133</v>
      </c>
      <c r="D429" s="53">
        <v>1038</v>
      </c>
      <c r="E429" s="54">
        <v>7.2999999999999995E-2</v>
      </c>
    </row>
    <row r="430" spans="2:5" ht="15" customHeight="1">
      <c r="B430" s="91"/>
      <c r="C430" s="52" t="s">
        <v>134</v>
      </c>
      <c r="D430" s="53">
        <v>6</v>
      </c>
      <c r="E430" s="54">
        <v>0</v>
      </c>
    </row>
    <row r="431" spans="2:5" ht="15" customHeight="1">
      <c r="B431" s="91"/>
      <c r="C431" s="52" t="s">
        <v>135</v>
      </c>
      <c r="D431" s="53">
        <v>1</v>
      </c>
      <c r="E431" s="54">
        <v>0</v>
      </c>
    </row>
    <row r="432" spans="2:5" ht="15" customHeight="1">
      <c r="B432" s="91"/>
      <c r="C432" s="52" t="s">
        <v>136</v>
      </c>
      <c r="D432" s="53">
        <v>3</v>
      </c>
      <c r="E432" s="54">
        <v>0</v>
      </c>
    </row>
    <row r="433" spans="2:5" ht="15" customHeight="1">
      <c r="B433" s="91"/>
      <c r="C433" s="52" t="s">
        <v>137</v>
      </c>
      <c r="D433" s="53">
        <v>1</v>
      </c>
      <c r="E433" s="54">
        <v>0</v>
      </c>
    </row>
    <row r="434" spans="2:5" ht="15" customHeight="1">
      <c r="B434" s="92"/>
      <c r="C434" s="68" t="s">
        <v>307</v>
      </c>
      <c r="D434" s="66">
        <v>1262</v>
      </c>
      <c r="E434" s="69">
        <v>8.8999999999999996E-2</v>
      </c>
    </row>
    <row r="435" spans="2:5" ht="15" customHeight="1">
      <c r="B435" s="90" t="s">
        <v>213</v>
      </c>
      <c r="C435" s="52" t="s">
        <v>106</v>
      </c>
      <c r="D435" s="53">
        <v>1</v>
      </c>
      <c r="E435" s="54">
        <v>0</v>
      </c>
    </row>
    <row r="436" spans="2:5" ht="15" customHeight="1">
      <c r="B436" s="91"/>
      <c r="C436" s="52" t="s">
        <v>118</v>
      </c>
      <c r="D436" s="53">
        <v>1</v>
      </c>
      <c r="E436" s="54">
        <v>0</v>
      </c>
    </row>
    <row r="437" spans="2:5" ht="15" customHeight="1">
      <c r="B437" s="91"/>
      <c r="C437" s="52" t="s">
        <v>127</v>
      </c>
      <c r="D437" s="53">
        <v>1</v>
      </c>
      <c r="E437" s="54">
        <v>0</v>
      </c>
    </row>
    <row r="438" spans="2:5" ht="15" customHeight="1">
      <c r="B438" s="91"/>
      <c r="C438" s="52" t="s">
        <v>133</v>
      </c>
      <c r="D438" s="53">
        <v>32</v>
      </c>
      <c r="E438" s="54">
        <v>2E-3</v>
      </c>
    </row>
    <row r="439" spans="2:5" ht="15" customHeight="1">
      <c r="B439" s="92"/>
      <c r="C439" s="68" t="s">
        <v>307</v>
      </c>
      <c r="D439" s="66">
        <v>35</v>
      </c>
      <c r="E439" s="69">
        <v>2E-3</v>
      </c>
    </row>
    <row r="440" spans="2:5" ht="15" customHeight="1">
      <c r="B440" s="90" t="s">
        <v>214</v>
      </c>
      <c r="C440" s="52" t="s">
        <v>99</v>
      </c>
      <c r="D440" s="53">
        <v>2</v>
      </c>
      <c r="E440" s="54">
        <v>0</v>
      </c>
    </row>
    <row r="441" spans="2:5" ht="15" customHeight="1">
      <c r="B441" s="91"/>
      <c r="C441" s="52" t="s">
        <v>279</v>
      </c>
      <c r="D441" s="53">
        <v>1</v>
      </c>
      <c r="E441" s="54">
        <v>0</v>
      </c>
    </row>
    <row r="442" spans="2:5" ht="15" customHeight="1">
      <c r="B442" s="91"/>
      <c r="C442" s="52" t="s">
        <v>280</v>
      </c>
      <c r="D442" s="53">
        <v>1</v>
      </c>
      <c r="E442" s="54">
        <v>0</v>
      </c>
    </row>
    <row r="443" spans="2:5" ht="15" customHeight="1">
      <c r="B443" s="91"/>
      <c r="C443" s="52" t="s">
        <v>111</v>
      </c>
      <c r="D443" s="53">
        <v>1</v>
      </c>
      <c r="E443" s="54">
        <v>0</v>
      </c>
    </row>
    <row r="444" spans="2:5" ht="15" customHeight="1">
      <c r="B444" s="91"/>
      <c r="C444" s="52" t="s">
        <v>118</v>
      </c>
      <c r="D444" s="53">
        <v>1</v>
      </c>
      <c r="E444" s="54">
        <v>0</v>
      </c>
    </row>
    <row r="445" spans="2:5" ht="15" customHeight="1">
      <c r="B445" s="91"/>
      <c r="C445" s="52" t="s">
        <v>133</v>
      </c>
      <c r="D445" s="53">
        <v>53</v>
      </c>
      <c r="E445" s="54">
        <v>4.0000000000000001E-3</v>
      </c>
    </row>
    <row r="446" spans="2:5" ht="15" customHeight="1">
      <c r="B446" s="92"/>
      <c r="C446" s="68" t="s">
        <v>307</v>
      </c>
      <c r="D446" s="66">
        <v>59</v>
      </c>
      <c r="E446" s="69">
        <v>4.0000000000000001E-3</v>
      </c>
    </row>
    <row r="447" spans="2:5" ht="15" customHeight="1">
      <c r="B447" s="90" t="s">
        <v>215</v>
      </c>
      <c r="C447" s="52" t="s">
        <v>97</v>
      </c>
      <c r="D447" s="53">
        <v>1</v>
      </c>
      <c r="E447" s="54">
        <v>0</v>
      </c>
    </row>
    <row r="448" spans="2:5" ht="15" customHeight="1">
      <c r="B448" s="91"/>
      <c r="C448" s="52" t="s">
        <v>103</v>
      </c>
      <c r="D448" s="53">
        <v>1</v>
      </c>
      <c r="E448" s="54">
        <v>0</v>
      </c>
    </row>
    <row r="449" spans="2:5" ht="15" customHeight="1">
      <c r="B449" s="91"/>
      <c r="C449" s="52" t="s">
        <v>121</v>
      </c>
      <c r="D449" s="53">
        <v>1</v>
      </c>
      <c r="E449" s="54">
        <v>0</v>
      </c>
    </row>
    <row r="450" spans="2:5" ht="15" customHeight="1">
      <c r="B450" s="91"/>
      <c r="C450" s="52" t="s">
        <v>123</v>
      </c>
      <c r="D450" s="53">
        <v>1</v>
      </c>
      <c r="E450" s="54">
        <v>0</v>
      </c>
    </row>
    <row r="451" spans="2:5" ht="15" customHeight="1">
      <c r="B451" s="91"/>
      <c r="C451" s="52" t="s">
        <v>132</v>
      </c>
      <c r="D451" s="53">
        <v>1</v>
      </c>
      <c r="E451" s="54">
        <v>0</v>
      </c>
    </row>
    <row r="452" spans="2:5" ht="15" customHeight="1">
      <c r="B452" s="91"/>
      <c r="C452" s="52" t="s">
        <v>133</v>
      </c>
      <c r="D452" s="53">
        <v>9</v>
      </c>
      <c r="E452" s="54">
        <v>1E-3</v>
      </c>
    </row>
    <row r="453" spans="2:5" ht="15" customHeight="1">
      <c r="B453" s="92"/>
      <c r="C453" s="68" t="s">
        <v>307</v>
      </c>
      <c r="D453" s="66">
        <v>14</v>
      </c>
      <c r="E453" s="69">
        <v>1E-3</v>
      </c>
    </row>
    <row r="454" spans="2:5" ht="15" customHeight="1">
      <c r="B454" s="93" t="s">
        <v>307</v>
      </c>
      <c r="C454" s="94"/>
      <c r="D454" s="40">
        <v>14141</v>
      </c>
      <c r="E454" s="57">
        <v>1</v>
      </c>
    </row>
    <row r="455" spans="2:5" ht="15" customHeight="1">
      <c r="B455" s="46"/>
      <c r="C455" s="46"/>
      <c r="D455" s="46"/>
      <c r="E455" s="46"/>
    </row>
    <row r="456" spans="2:5" ht="15" customHeight="1">
      <c r="B456" s="34" t="s">
        <v>277</v>
      </c>
      <c r="C456" s="46"/>
      <c r="D456" s="46"/>
      <c r="E456" s="46"/>
    </row>
    <row r="457" spans="2:5" ht="15" customHeight="1">
      <c r="B457" s="35" t="s">
        <v>18</v>
      </c>
      <c r="C457" s="46"/>
      <c r="D457" s="46"/>
      <c r="E457" s="46"/>
    </row>
    <row r="458" spans="2:5" ht="15" customHeight="1">
      <c r="B458" s="32" t="s">
        <v>46</v>
      </c>
      <c r="C458" s="46"/>
      <c r="D458" s="46"/>
      <c r="E458" s="46"/>
    </row>
    <row r="459" spans="2:5" ht="15" customHeight="1">
      <c r="B459" s="34" t="s">
        <v>17</v>
      </c>
      <c r="C459" s="46"/>
      <c r="D459" s="46"/>
      <c r="E459" s="46"/>
    </row>
    <row r="460" spans="2:5" ht="15" customHeight="1">
      <c r="B460" s="34" t="s">
        <v>308</v>
      </c>
      <c r="C460" s="46"/>
      <c r="D460" s="46"/>
      <c r="E460" s="46"/>
    </row>
  </sheetData>
  <mergeCells count="27">
    <mergeCell ref="B7:E8"/>
    <mergeCell ref="B454:C454"/>
    <mergeCell ref="B290:B332"/>
    <mergeCell ref="B333:B343"/>
    <mergeCell ref="B344:B360"/>
    <mergeCell ref="B96:B128"/>
    <mergeCell ref="B129:B142"/>
    <mergeCell ref="B143:B168"/>
    <mergeCell ref="B169:B195"/>
    <mergeCell ref="B196:B234"/>
    <mergeCell ref="B235:B260"/>
    <mergeCell ref="B261:B289"/>
    <mergeCell ref="B10:B16"/>
    <mergeCell ref="B17:B19"/>
    <mergeCell ref="B20:B25"/>
    <mergeCell ref="B26:B33"/>
    <mergeCell ref="B34:B41"/>
    <mergeCell ref="B440:B446"/>
    <mergeCell ref="B42:B52"/>
    <mergeCell ref="B53:B68"/>
    <mergeCell ref="B69:B95"/>
    <mergeCell ref="B447:B453"/>
    <mergeCell ref="B361:B366"/>
    <mergeCell ref="B367:B374"/>
    <mergeCell ref="B375:B398"/>
    <mergeCell ref="B399:B434"/>
    <mergeCell ref="B435:B4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8" orientation="portrait" r:id="rId1"/>
  <rowBreaks count="1" manualBreakCount="1">
    <brk id="40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92D050"/>
  </sheetPr>
  <dimension ref="A1:E642"/>
  <sheetViews>
    <sheetView showGridLines="0" view="pageBreakPreview" topLeftCell="A613" zoomScaleNormal="100" zoomScaleSheetLayoutView="100" workbookViewId="0">
      <selection activeCell="B636" sqref="B636:C636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1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1"/>
      <c r="C6" s="42"/>
      <c r="D6" s="42"/>
      <c r="E6" s="42"/>
    </row>
    <row r="7" spans="1:5" s="22" customFormat="1" ht="26.25" customHeight="1">
      <c r="A7" s="23"/>
      <c r="B7" s="88"/>
      <c r="C7" s="88"/>
      <c r="D7" s="88"/>
      <c r="E7" s="88"/>
    </row>
    <row r="8" spans="1:5" s="22" customFormat="1" ht="33" customHeight="1">
      <c r="A8" s="23"/>
      <c r="B8" s="88"/>
      <c r="C8" s="88"/>
      <c r="D8" s="88"/>
      <c r="E8" s="88"/>
    </row>
    <row r="9" spans="1:5" s="16" customFormat="1" ht="40.5" customHeight="1">
      <c r="B9" s="43" t="s">
        <v>22</v>
      </c>
      <c r="C9" s="44" t="s">
        <v>27</v>
      </c>
      <c r="D9" s="45" t="s">
        <v>20</v>
      </c>
      <c r="E9" s="43" t="s">
        <v>19</v>
      </c>
    </row>
    <row r="10" spans="1:5" ht="15" customHeight="1">
      <c r="B10" s="85" t="s">
        <v>68</v>
      </c>
      <c r="C10" s="52" t="s">
        <v>192</v>
      </c>
      <c r="D10" s="53">
        <v>1</v>
      </c>
      <c r="E10" s="54">
        <v>0</v>
      </c>
    </row>
    <row r="11" spans="1:5" ht="15" customHeight="1">
      <c r="B11" s="87"/>
      <c r="C11" s="52" t="s">
        <v>290</v>
      </c>
      <c r="D11" s="53">
        <v>1</v>
      </c>
      <c r="E11" s="54">
        <v>0</v>
      </c>
    </row>
    <row r="12" spans="1:5" ht="15" customHeight="1">
      <c r="B12" s="87"/>
      <c r="C12" s="52" t="s">
        <v>292</v>
      </c>
      <c r="D12" s="53">
        <v>1</v>
      </c>
      <c r="E12" s="54">
        <v>0</v>
      </c>
    </row>
    <row r="13" spans="1:5" ht="15" customHeight="1">
      <c r="B13" s="87"/>
      <c r="C13" s="52" t="s">
        <v>199</v>
      </c>
      <c r="D13" s="53">
        <v>5</v>
      </c>
      <c r="E13" s="54">
        <v>0</v>
      </c>
    </row>
    <row r="14" spans="1:5" ht="15" customHeight="1">
      <c r="B14" s="87"/>
      <c r="C14" s="52" t="s">
        <v>294</v>
      </c>
      <c r="D14" s="53">
        <v>2</v>
      </c>
      <c r="E14" s="54">
        <v>0</v>
      </c>
    </row>
    <row r="15" spans="1:5" ht="15" customHeight="1">
      <c r="B15" s="87"/>
      <c r="C15" s="52" t="s">
        <v>295</v>
      </c>
      <c r="D15" s="53">
        <v>1</v>
      </c>
      <c r="E15" s="54">
        <v>0</v>
      </c>
    </row>
    <row r="16" spans="1:5" ht="15" customHeight="1">
      <c r="B16" s="87"/>
      <c r="C16" s="52" t="s">
        <v>203</v>
      </c>
      <c r="D16" s="53">
        <v>8</v>
      </c>
      <c r="E16" s="54">
        <v>1E-3</v>
      </c>
    </row>
    <row r="17" spans="2:5" ht="15" customHeight="1">
      <c r="B17" s="87"/>
      <c r="C17" s="52" t="s">
        <v>204</v>
      </c>
      <c r="D17" s="53">
        <v>1</v>
      </c>
      <c r="E17" s="54">
        <v>0</v>
      </c>
    </row>
    <row r="18" spans="2:5" ht="15" customHeight="1">
      <c r="B18" s="87"/>
      <c r="C18" s="52" t="s">
        <v>205</v>
      </c>
      <c r="D18" s="53">
        <v>2</v>
      </c>
      <c r="E18" s="54">
        <v>0</v>
      </c>
    </row>
    <row r="19" spans="2:5" ht="15" customHeight="1">
      <c r="B19" s="87"/>
      <c r="C19" s="52" t="s">
        <v>206</v>
      </c>
      <c r="D19" s="53">
        <v>13</v>
      </c>
      <c r="E19" s="54">
        <v>1E-3</v>
      </c>
    </row>
    <row r="20" spans="2:5" ht="15" customHeight="1">
      <c r="B20" s="87"/>
      <c r="C20" s="52" t="s">
        <v>211</v>
      </c>
      <c r="D20" s="53">
        <v>1</v>
      </c>
      <c r="E20" s="54">
        <v>0</v>
      </c>
    </row>
    <row r="21" spans="2:5" ht="15" customHeight="1">
      <c r="B21" s="87"/>
      <c r="C21" s="52" t="s">
        <v>212</v>
      </c>
      <c r="D21" s="53">
        <v>3</v>
      </c>
      <c r="E21" s="54">
        <v>0</v>
      </c>
    </row>
    <row r="22" spans="2:5" ht="15" customHeight="1">
      <c r="B22" s="86"/>
      <c r="C22" s="68" t="s">
        <v>307</v>
      </c>
      <c r="D22" s="66">
        <v>39</v>
      </c>
      <c r="E22" s="69">
        <v>3.0000000000000001E-3</v>
      </c>
    </row>
    <row r="23" spans="2:5" ht="15" customHeight="1">
      <c r="B23" s="85" t="s">
        <v>57</v>
      </c>
      <c r="C23" s="52" t="s">
        <v>192</v>
      </c>
      <c r="D23" s="53">
        <v>1</v>
      </c>
      <c r="E23" s="54">
        <v>0</v>
      </c>
    </row>
    <row r="24" spans="2:5" ht="15" customHeight="1">
      <c r="B24" s="87"/>
      <c r="C24" s="52" t="s">
        <v>287</v>
      </c>
      <c r="D24" s="53">
        <v>1</v>
      </c>
      <c r="E24" s="54">
        <v>0</v>
      </c>
    </row>
    <row r="25" spans="2:5" ht="15" customHeight="1">
      <c r="B25" s="87"/>
      <c r="C25" s="52" t="s">
        <v>289</v>
      </c>
      <c r="D25" s="53">
        <v>1</v>
      </c>
      <c r="E25" s="54">
        <v>0</v>
      </c>
    </row>
    <row r="26" spans="2:5" ht="15" customHeight="1">
      <c r="B26" s="87"/>
      <c r="C26" s="52" t="s">
        <v>291</v>
      </c>
      <c r="D26" s="53">
        <v>2</v>
      </c>
      <c r="E26" s="54">
        <v>0</v>
      </c>
    </row>
    <row r="27" spans="2:5" ht="15" customHeight="1">
      <c r="B27" s="87"/>
      <c r="C27" s="52" t="s">
        <v>292</v>
      </c>
      <c r="D27" s="53">
        <v>8</v>
      </c>
      <c r="E27" s="54">
        <v>1E-3</v>
      </c>
    </row>
    <row r="28" spans="2:5" ht="15" customHeight="1">
      <c r="B28" s="87"/>
      <c r="C28" s="52" t="s">
        <v>199</v>
      </c>
      <c r="D28" s="53">
        <v>23</v>
      </c>
      <c r="E28" s="54">
        <v>2E-3</v>
      </c>
    </row>
    <row r="29" spans="2:5" ht="15" customHeight="1">
      <c r="B29" s="87"/>
      <c r="C29" s="52" t="s">
        <v>293</v>
      </c>
      <c r="D29" s="53">
        <v>5</v>
      </c>
      <c r="E29" s="54">
        <v>0</v>
      </c>
    </row>
    <row r="30" spans="2:5" ht="15" customHeight="1">
      <c r="B30" s="87"/>
      <c r="C30" s="52" t="s">
        <v>294</v>
      </c>
      <c r="D30" s="53">
        <v>4</v>
      </c>
      <c r="E30" s="54">
        <v>0</v>
      </c>
    </row>
    <row r="31" spans="2:5" ht="15" customHeight="1">
      <c r="B31" s="87"/>
      <c r="C31" s="52" t="s">
        <v>295</v>
      </c>
      <c r="D31" s="53">
        <v>7</v>
      </c>
      <c r="E31" s="54">
        <v>0</v>
      </c>
    </row>
    <row r="32" spans="2:5" ht="15" customHeight="1">
      <c r="B32" s="87"/>
      <c r="C32" s="52" t="s">
        <v>203</v>
      </c>
      <c r="D32" s="53">
        <v>83</v>
      </c>
      <c r="E32" s="54">
        <v>6.0000000000000001E-3</v>
      </c>
    </row>
    <row r="33" spans="2:5" ht="15" customHeight="1">
      <c r="B33" s="87"/>
      <c r="C33" s="52" t="s">
        <v>204</v>
      </c>
      <c r="D33" s="53">
        <v>11</v>
      </c>
      <c r="E33" s="54">
        <v>1E-3</v>
      </c>
    </row>
    <row r="34" spans="2:5" ht="15" customHeight="1">
      <c r="B34" s="87"/>
      <c r="C34" s="52" t="s">
        <v>205</v>
      </c>
      <c r="D34" s="53">
        <v>24</v>
      </c>
      <c r="E34" s="54">
        <v>2E-3</v>
      </c>
    </row>
    <row r="35" spans="2:5" ht="15" customHeight="1">
      <c r="B35" s="87"/>
      <c r="C35" s="52" t="s">
        <v>206</v>
      </c>
      <c r="D35" s="53">
        <v>47</v>
      </c>
      <c r="E35" s="54">
        <v>3.0000000000000001E-3</v>
      </c>
    </row>
    <row r="36" spans="2:5" ht="15" customHeight="1">
      <c r="B36" s="87"/>
      <c r="C36" s="52" t="s">
        <v>297</v>
      </c>
      <c r="D36" s="53">
        <v>3</v>
      </c>
      <c r="E36" s="54">
        <v>0</v>
      </c>
    </row>
    <row r="37" spans="2:5" ht="15" customHeight="1">
      <c r="B37" s="87"/>
      <c r="C37" s="52" t="s">
        <v>298</v>
      </c>
      <c r="D37" s="53">
        <v>1</v>
      </c>
      <c r="E37" s="54">
        <v>0</v>
      </c>
    </row>
    <row r="38" spans="2:5" ht="15" customHeight="1">
      <c r="B38" s="87"/>
      <c r="C38" s="52" t="s">
        <v>299</v>
      </c>
      <c r="D38" s="53">
        <v>1</v>
      </c>
      <c r="E38" s="54">
        <v>0</v>
      </c>
    </row>
    <row r="39" spans="2:5" ht="15" customHeight="1">
      <c r="B39" s="87"/>
      <c r="C39" s="52" t="s">
        <v>211</v>
      </c>
      <c r="D39" s="53">
        <v>6</v>
      </c>
      <c r="E39" s="54">
        <v>0</v>
      </c>
    </row>
    <row r="40" spans="2:5" ht="15" customHeight="1">
      <c r="B40" s="87"/>
      <c r="C40" s="52" t="s">
        <v>212</v>
      </c>
      <c r="D40" s="53">
        <v>11</v>
      </c>
      <c r="E40" s="54">
        <v>1E-3</v>
      </c>
    </row>
    <row r="41" spans="2:5" ht="15" customHeight="1">
      <c r="B41" s="86"/>
      <c r="C41" s="68" t="s">
        <v>307</v>
      </c>
      <c r="D41" s="66">
        <v>239</v>
      </c>
      <c r="E41" s="69">
        <v>1.7000000000000001E-2</v>
      </c>
    </row>
    <row r="42" spans="2:5" ht="15" customHeight="1">
      <c r="B42" s="85" t="s">
        <v>53</v>
      </c>
      <c r="C42" s="52" t="s">
        <v>287</v>
      </c>
      <c r="D42" s="53">
        <v>1</v>
      </c>
      <c r="E42" s="54">
        <v>0</v>
      </c>
    </row>
    <row r="43" spans="2:5" ht="15" customHeight="1">
      <c r="B43" s="87"/>
      <c r="C43" s="52" t="s">
        <v>288</v>
      </c>
      <c r="D43" s="53">
        <v>1</v>
      </c>
      <c r="E43" s="54">
        <v>0</v>
      </c>
    </row>
    <row r="44" spans="2:5" ht="15" customHeight="1">
      <c r="B44" s="87"/>
      <c r="C44" s="52" t="s">
        <v>289</v>
      </c>
      <c r="D44" s="53">
        <v>4</v>
      </c>
      <c r="E44" s="54">
        <v>0</v>
      </c>
    </row>
    <row r="45" spans="2:5" ht="15" customHeight="1">
      <c r="B45" s="87"/>
      <c r="C45" s="52" t="s">
        <v>290</v>
      </c>
      <c r="D45" s="53">
        <v>1</v>
      </c>
      <c r="E45" s="54">
        <v>0</v>
      </c>
    </row>
    <row r="46" spans="2:5" ht="15" customHeight="1">
      <c r="B46" s="87"/>
      <c r="C46" s="52" t="s">
        <v>291</v>
      </c>
      <c r="D46" s="53">
        <v>6</v>
      </c>
      <c r="E46" s="54">
        <v>0</v>
      </c>
    </row>
    <row r="47" spans="2:5" ht="15" customHeight="1">
      <c r="B47" s="87"/>
      <c r="C47" s="52" t="s">
        <v>292</v>
      </c>
      <c r="D47" s="53">
        <v>13</v>
      </c>
      <c r="E47" s="54">
        <v>1E-3</v>
      </c>
    </row>
    <row r="48" spans="2:5" ht="15" customHeight="1">
      <c r="B48" s="87"/>
      <c r="C48" s="52" t="s">
        <v>199</v>
      </c>
      <c r="D48" s="53">
        <v>27</v>
      </c>
      <c r="E48" s="54">
        <v>2E-3</v>
      </c>
    </row>
    <row r="49" spans="2:5" ht="15" customHeight="1">
      <c r="B49" s="87"/>
      <c r="C49" s="52" t="s">
        <v>293</v>
      </c>
      <c r="D49" s="53">
        <v>2</v>
      </c>
      <c r="E49" s="54">
        <v>0</v>
      </c>
    </row>
    <row r="50" spans="2:5" ht="15" customHeight="1">
      <c r="B50" s="87"/>
      <c r="C50" s="52" t="s">
        <v>294</v>
      </c>
      <c r="D50" s="53">
        <v>11</v>
      </c>
      <c r="E50" s="54">
        <v>1E-3</v>
      </c>
    </row>
    <row r="51" spans="2:5" ht="15" customHeight="1">
      <c r="B51" s="87"/>
      <c r="C51" s="52" t="s">
        <v>295</v>
      </c>
      <c r="D51" s="53">
        <v>22</v>
      </c>
      <c r="E51" s="54">
        <v>2E-3</v>
      </c>
    </row>
    <row r="52" spans="2:5" ht="15" customHeight="1">
      <c r="B52" s="87"/>
      <c r="C52" s="52" t="s">
        <v>203</v>
      </c>
      <c r="D52" s="53">
        <v>117</v>
      </c>
      <c r="E52" s="54">
        <v>8.0000000000000002E-3</v>
      </c>
    </row>
    <row r="53" spans="2:5" ht="15" customHeight="1">
      <c r="B53" s="87"/>
      <c r="C53" s="52" t="s">
        <v>204</v>
      </c>
      <c r="D53" s="53">
        <v>14</v>
      </c>
      <c r="E53" s="54">
        <v>1E-3</v>
      </c>
    </row>
    <row r="54" spans="2:5" ht="15" customHeight="1">
      <c r="B54" s="87"/>
      <c r="C54" s="52" t="s">
        <v>205</v>
      </c>
      <c r="D54" s="53">
        <v>26</v>
      </c>
      <c r="E54" s="54">
        <v>2E-3</v>
      </c>
    </row>
    <row r="55" spans="2:5" ht="15" customHeight="1">
      <c r="B55" s="87"/>
      <c r="C55" s="52" t="s">
        <v>206</v>
      </c>
      <c r="D55" s="53">
        <v>119</v>
      </c>
      <c r="E55" s="54">
        <v>8.0000000000000002E-3</v>
      </c>
    </row>
    <row r="56" spans="2:5" ht="15" customHeight="1">
      <c r="B56" s="87"/>
      <c r="C56" s="52" t="s">
        <v>296</v>
      </c>
      <c r="D56" s="53">
        <v>2</v>
      </c>
      <c r="E56" s="54">
        <v>0</v>
      </c>
    </row>
    <row r="57" spans="2:5" ht="15" customHeight="1">
      <c r="B57" s="87"/>
      <c r="C57" s="52" t="s">
        <v>297</v>
      </c>
      <c r="D57" s="53">
        <v>8</v>
      </c>
      <c r="E57" s="54">
        <v>1E-3</v>
      </c>
    </row>
    <row r="58" spans="2:5" ht="15" customHeight="1">
      <c r="B58" s="87"/>
      <c r="C58" s="52" t="s">
        <v>298</v>
      </c>
      <c r="D58" s="53">
        <v>3</v>
      </c>
      <c r="E58" s="54">
        <v>0</v>
      </c>
    </row>
    <row r="59" spans="2:5" ht="15" customHeight="1">
      <c r="B59" s="87"/>
      <c r="C59" s="52" t="s">
        <v>211</v>
      </c>
      <c r="D59" s="53">
        <v>5</v>
      </c>
      <c r="E59" s="54">
        <v>0</v>
      </c>
    </row>
    <row r="60" spans="2:5" ht="15" customHeight="1">
      <c r="B60" s="87"/>
      <c r="C60" s="52" t="s">
        <v>212</v>
      </c>
      <c r="D60" s="53">
        <v>46</v>
      </c>
      <c r="E60" s="54">
        <v>3.0000000000000001E-3</v>
      </c>
    </row>
    <row r="61" spans="2:5" ht="15" customHeight="1">
      <c r="B61" s="87"/>
      <c r="C61" s="52" t="s">
        <v>213</v>
      </c>
      <c r="D61" s="53">
        <v>2</v>
      </c>
      <c r="E61" s="54">
        <v>0</v>
      </c>
    </row>
    <row r="62" spans="2:5" ht="15" customHeight="1">
      <c r="B62" s="87"/>
      <c r="C62" s="52" t="s">
        <v>214</v>
      </c>
      <c r="D62" s="53">
        <v>3</v>
      </c>
      <c r="E62" s="54">
        <v>0</v>
      </c>
    </row>
    <row r="63" spans="2:5" ht="15" customHeight="1">
      <c r="B63" s="86"/>
      <c r="C63" s="68" t="s">
        <v>307</v>
      </c>
      <c r="D63" s="66">
        <v>433</v>
      </c>
      <c r="E63" s="69">
        <v>3.1E-2</v>
      </c>
    </row>
    <row r="64" spans="2:5" ht="15" customHeight="1">
      <c r="B64" s="85" t="s">
        <v>79</v>
      </c>
      <c r="C64" s="52" t="s">
        <v>292</v>
      </c>
      <c r="D64" s="53">
        <v>2</v>
      </c>
      <c r="E64" s="54">
        <v>0</v>
      </c>
    </row>
    <row r="65" spans="2:5" ht="15" customHeight="1">
      <c r="B65" s="87"/>
      <c r="C65" s="52" t="s">
        <v>199</v>
      </c>
      <c r="D65" s="53">
        <v>4</v>
      </c>
      <c r="E65" s="54">
        <v>0</v>
      </c>
    </row>
    <row r="66" spans="2:5" ht="15" customHeight="1">
      <c r="B66" s="87"/>
      <c r="C66" s="52" t="s">
        <v>203</v>
      </c>
      <c r="D66" s="53">
        <v>6</v>
      </c>
      <c r="E66" s="54">
        <v>0</v>
      </c>
    </row>
    <row r="67" spans="2:5" ht="15" customHeight="1">
      <c r="B67" s="87"/>
      <c r="C67" s="52" t="s">
        <v>205</v>
      </c>
      <c r="D67" s="53">
        <v>1</v>
      </c>
      <c r="E67" s="54">
        <v>0</v>
      </c>
    </row>
    <row r="68" spans="2:5" ht="15" customHeight="1">
      <c r="B68" s="87"/>
      <c r="C68" s="52" t="s">
        <v>206</v>
      </c>
      <c r="D68" s="53">
        <v>5</v>
      </c>
      <c r="E68" s="54">
        <v>0</v>
      </c>
    </row>
    <row r="69" spans="2:5" ht="15" customHeight="1">
      <c r="B69" s="87"/>
      <c r="C69" s="52" t="s">
        <v>211</v>
      </c>
      <c r="D69" s="53">
        <v>1</v>
      </c>
      <c r="E69" s="54">
        <v>0</v>
      </c>
    </row>
    <row r="70" spans="2:5" ht="15" customHeight="1">
      <c r="B70" s="87"/>
      <c r="C70" s="52" t="s">
        <v>212</v>
      </c>
      <c r="D70" s="53">
        <v>3</v>
      </c>
      <c r="E70" s="54">
        <v>0</v>
      </c>
    </row>
    <row r="71" spans="2:5" ht="15" customHeight="1">
      <c r="B71" s="86"/>
      <c r="C71" s="68" t="s">
        <v>307</v>
      </c>
      <c r="D71" s="66">
        <v>22</v>
      </c>
      <c r="E71" s="69">
        <v>2E-3</v>
      </c>
    </row>
    <row r="72" spans="2:5" ht="15" customHeight="1">
      <c r="B72" s="85" t="s">
        <v>87</v>
      </c>
      <c r="C72" s="52" t="s">
        <v>199</v>
      </c>
      <c r="D72" s="53">
        <v>1</v>
      </c>
      <c r="E72" s="54">
        <v>0</v>
      </c>
    </row>
    <row r="73" spans="2:5" ht="15" customHeight="1">
      <c r="B73" s="87"/>
      <c r="C73" s="52" t="s">
        <v>203</v>
      </c>
      <c r="D73" s="53">
        <v>5</v>
      </c>
      <c r="E73" s="54">
        <v>0</v>
      </c>
    </row>
    <row r="74" spans="2:5" ht="15" customHeight="1">
      <c r="B74" s="87"/>
      <c r="C74" s="52" t="s">
        <v>204</v>
      </c>
      <c r="D74" s="53">
        <v>1</v>
      </c>
      <c r="E74" s="54">
        <v>0</v>
      </c>
    </row>
    <row r="75" spans="2:5" ht="15" customHeight="1">
      <c r="B75" s="87"/>
      <c r="C75" s="52" t="s">
        <v>206</v>
      </c>
      <c r="D75" s="53">
        <v>3</v>
      </c>
      <c r="E75" s="54">
        <v>0</v>
      </c>
    </row>
    <row r="76" spans="2:5" ht="15" customHeight="1">
      <c r="B76" s="87"/>
      <c r="C76" s="52" t="s">
        <v>297</v>
      </c>
      <c r="D76" s="53">
        <v>1</v>
      </c>
      <c r="E76" s="54">
        <v>0</v>
      </c>
    </row>
    <row r="77" spans="2:5" ht="15" customHeight="1">
      <c r="B77" s="86"/>
      <c r="C77" s="68" t="s">
        <v>307</v>
      </c>
      <c r="D77" s="66">
        <v>11</v>
      </c>
      <c r="E77" s="69">
        <v>1E-3</v>
      </c>
    </row>
    <row r="78" spans="2:5" ht="15" customHeight="1">
      <c r="B78" s="85" t="s">
        <v>54</v>
      </c>
      <c r="C78" s="52" t="s">
        <v>192</v>
      </c>
      <c r="D78" s="53">
        <v>3</v>
      </c>
      <c r="E78" s="54">
        <v>0</v>
      </c>
    </row>
    <row r="79" spans="2:5" ht="15" customHeight="1">
      <c r="B79" s="87"/>
      <c r="C79" s="52" t="s">
        <v>287</v>
      </c>
      <c r="D79" s="53">
        <v>3</v>
      </c>
      <c r="E79" s="54">
        <v>0</v>
      </c>
    </row>
    <row r="80" spans="2:5" ht="15" customHeight="1">
      <c r="B80" s="87"/>
      <c r="C80" s="52" t="s">
        <v>288</v>
      </c>
      <c r="D80" s="53">
        <v>1</v>
      </c>
      <c r="E80" s="54">
        <v>0</v>
      </c>
    </row>
    <row r="81" spans="2:5" ht="15" customHeight="1">
      <c r="B81" s="87"/>
      <c r="C81" s="52" t="s">
        <v>289</v>
      </c>
      <c r="D81" s="53">
        <v>3</v>
      </c>
      <c r="E81" s="54">
        <v>0</v>
      </c>
    </row>
    <row r="82" spans="2:5" ht="15" customHeight="1">
      <c r="B82" s="87"/>
      <c r="C82" s="52" t="s">
        <v>290</v>
      </c>
      <c r="D82" s="53">
        <v>2</v>
      </c>
      <c r="E82" s="54">
        <v>0</v>
      </c>
    </row>
    <row r="83" spans="2:5" ht="15" customHeight="1">
      <c r="B83" s="87"/>
      <c r="C83" s="52" t="s">
        <v>291</v>
      </c>
      <c r="D83" s="53">
        <v>9</v>
      </c>
      <c r="E83" s="54">
        <v>1E-3</v>
      </c>
    </row>
    <row r="84" spans="2:5" ht="15" customHeight="1">
      <c r="B84" s="87"/>
      <c r="C84" s="52" t="s">
        <v>292</v>
      </c>
      <c r="D84" s="53">
        <v>20</v>
      </c>
      <c r="E84" s="54">
        <v>1E-3</v>
      </c>
    </row>
    <row r="85" spans="2:5" ht="15" customHeight="1">
      <c r="B85" s="87"/>
      <c r="C85" s="52" t="s">
        <v>199</v>
      </c>
      <c r="D85" s="53">
        <v>17</v>
      </c>
      <c r="E85" s="54">
        <v>1E-3</v>
      </c>
    </row>
    <row r="86" spans="2:5" ht="15" customHeight="1">
      <c r="B86" s="87"/>
      <c r="C86" s="52" t="s">
        <v>293</v>
      </c>
      <c r="D86" s="53">
        <v>2</v>
      </c>
      <c r="E86" s="54">
        <v>0</v>
      </c>
    </row>
    <row r="87" spans="2:5" ht="15" customHeight="1">
      <c r="B87" s="87"/>
      <c r="C87" s="52" t="s">
        <v>294</v>
      </c>
      <c r="D87" s="53">
        <v>11</v>
      </c>
      <c r="E87" s="54">
        <v>1E-3</v>
      </c>
    </row>
    <row r="88" spans="2:5" ht="15" customHeight="1">
      <c r="B88" s="87"/>
      <c r="C88" s="52" t="s">
        <v>295</v>
      </c>
      <c r="D88" s="53">
        <v>15</v>
      </c>
      <c r="E88" s="54">
        <v>1E-3</v>
      </c>
    </row>
    <row r="89" spans="2:5" ht="15" customHeight="1">
      <c r="B89" s="87"/>
      <c r="C89" s="52" t="s">
        <v>203</v>
      </c>
      <c r="D89" s="53">
        <v>68</v>
      </c>
      <c r="E89" s="54">
        <v>5.0000000000000001E-3</v>
      </c>
    </row>
    <row r="90" spans="2:5" ht="15" customHeight="1">
      <c r="B90" s="87"/>
      <c r="C90" s="52" t="s">
        <v>204</v>
      </c>
      <c r="D90" s="53">
        <v>20</v>
      </c>
      <c r="E90" s="54">
        <v>1E-3</v>
      </c>
    </row>
    <row r="91" spans="2:5" ht="15" customHeight="1">
      <c r="B91" s="87"/>
      <c r="C91" s="52" t="s">
        <v>205</v>
      </c>
      <c r="D91" s="53">
        <v>28</v>
      </c>
      <c r="E91" s="54">
        <v>2E-3</v>
      </c>
    </row>
    <row r="92" spans="2:5" ht="15" customHeight="1">
      <c r="B92" s="87"/>
      <c r="C92" s="52" t="s">
        <v>206</v>
      </c>
      <c r="D92" s="53">
        <v>100</v>
      </c>
      <c r="E92" s="54">
        <v>7.0000000000000001E-3</v>
      </c>
    </row>
    <row r="93" spans="2:5" ht="15" customHeight="1">
      <c r="B93" s="87"/>
      <c r="C93" s="52" t="s">
        <v>296</v>
      </c>
      <c r="D93" s="53">
        <v>3</v>
      </c>
      <c r="E93" s="54">
        <v>0</v>
      </c>
    </row>
    <row r="94" spans="2:5" ht="15" customHeight="1">
      <c r="B94" s="87"/>
      <c r="C94" s="52" t="s">
        <v>297</v>
      </c>
      <c r="D94" s="53">
        <v>7</v>
      </c>
      <c r="E94" s="54">
        <v>0</v>
      </c>
    </row>
    <row r="95" spans="2:5" ht="15" customHeight="1">
      <c r="B95" s="87"/>
      <c r="C95" s="52" t="s">
        <v>299</v>
      </c>
      <c r="D95" s="53">
        <v>2</v>
      </c>
      <c r="E95" s="54">
        <v>0</v>
      </c>
    </row>
    <row r="96" spans="2:5" ht="15" customHeight="1">
      <c r="B96" s="87"/>
      <c r="C96" s="52" t="s">
        <v>211</v>
      </c>
      <c r="D96" s="53">
        <v>9</v>
      </c>
      <c r="E96" s="54">
        <v>1E-3</v>
      </c>
    </row>
    <row r="97" spans="2:5" ht="15" customHeight="1">
      <c r="B97" s="87"/>
      <c r="C97" s="52" t="s">
        <v>212</v>
      </c>
      <c r="D97" s="53">
        <v>50</v>
      </c>
      <c r="E97" s="54">
        <v>4.0000000000000001E-3</v>
      </c>
    </row>
    <row r="98" spans="2:5" ht="15" customHeight="1">
      <c r="B98" s="87"/>
      <c r="C98" s="52" t="s">
        <v>214</v>
      </c>
      <c r="D98" s="53">
        <v>7</v>
      </c>
      <c r="E98" s="54">
        <v>0</v>
      </c>
    </row>
    <row r="99" spans="2:5" ht="15" customHeight="1">
      <c r="B99" s="86"/>
      <c r="C99" s="68" t="s">
        <v>307</v>
      </c>
      <c r="D99" s="66">
        <v>380</v>
      </c>
      <c r="E99" s="69">
        <v>2.7E-2</v>
      </c>
    </row>
    <row r="100" spans="2:5" ht="15" customHeight="1">
      <c r="B100" s="85" t="s">
        <v>51</v>
      </c>
      <c r="C100" s="52" t="s">
        <v>192</v>
      </c>
      <c r="D100" s="53">
        <v>1</v>
      </c>
      <c r="E100" s="54">
        <v>0</v>
      </c>
    </row>
    <row r="101" spans="2:5" ht="15" customHeight="1">
      <c r="B101" s="87"/>
      <c r="C101" s="52" t="s">
        <v>287</v>
      </c>
      <c r="D101" s="53">
        <v>3</v>
      </c>
      <c r="E101" s="54">
        <v>0</v>
      </c>
    </row>
    <row r="102" spans="2:5" ht="15" customHeight="1">
      <c r="B102" s="87"/>
      <c r="C102" s="52" t="s">
        <v>289</v>
      </c>
      <c r="D102" s="53">
        <v>1</v>
      </c>
      <c r="E102" s="54">
        <v>0</v>
      </c>
    </row>
    <row r="103" spans="2:5" ht="15" customHeight="1">
      <c r="B103" s="87"/>
      <c r="C103" s="52" t="s">
        <v>291</v>
      </c>
      <c r="D103" s="53">
        <v>3</v>
      </c>
      <c r="E103" s="54">
        <v>0</v>
      </c>
    </row>
    <row r="104" spans="2:5" ht="15" customHeight="1">
      <c r="B104" s="87"/>
      <c r="C104" s="52" t="s">
        <v>292</v>
      </c>
      <c r="D104" s="53">
        <v>6</v>
      </c>
      <c r="E104" s="54">
        <v>0</v>
      </c>
    </row>
    <row r="105" spans="2:5" ht="15" customHeight="1">
      <c r="B105" s="87"/>
      <c r="C105" s="52" t="s">
        <v>199</v>
      </c>
      <c r="D105" s="53">
        <v>44</v>
      </c>
      <c r="E105" s="54">
        <v>3.0000000000000001E-3</v>
      </c>
    </row>
    <row r="106" spans="2:5" ht="15" customHeight="1">
      <c r="B106" s="87"/>
      <c r="C106" s="52" t="s">
        <v>293</v>
      </c>
      <c r="D106" s="53">
        <v>2</v>
      </c>
      <c r="E106" s="54">
        <v>0</v>
      </c>
    </row>
    <row r="107" spans="2:5" ht="15" customHeight="1">
      <c r="B107" s="87"/>
      <c r="C107" s="52" t="s">
        <v>294</v>
      </c>
      <c r="D107" s="53">
        <v>6</v>
      </c>
      <c r="E107" s="54">
        <v>0</v>
      </c>
    </row>
    <row r="108" spans="2:5" ht="15" customHeight="1">
      <c r="B108" s="87"/>
      <c r="C108" s="52" t="s">
        <v>295</v>
      </c>
      <c r="D108" s="53">
        <v>15</v>
      </c>
      <c r="E108" s="54">
        <v>1E-3</v>
      </c>
    </row>
    <row r="109" spans="2:5" ht="15" customHeight="1">
      <c r="B109" s="87"/>
      <c r="C109" s="52" t="s">
        <v>203</v>
      </c>
      <c r="D109" s="53">
        <v>138</v>
      </c>
      <c r="E109" s="54">
        <v>0.01</v>
      </c>
    </row>
    <row r="110" spans="2:5" ht="15" customHeight="1">
      <c r="B110" s="87"/>
      <c r="C110" s="52" t="s">
        <v>204</v>
      </c>
      <c r="D110" s="53">
        <v>16</v>
      </c>
      <c r="E110" s="54">
        <v>1E-3</v>
      </c>
    </row>
    <row r="111" spans="2:5" ht="15" customHeight="1">
      <c r="B111" s="87"/>
      <c r="C111" s="52" t="s">
        <v>205</v>
      </c>
      <c r="D111" s="53">
        <v>19</v>
      </c>
      <c r="E111" s="54">
        <v>1E-3</v>
      </c>
    </row>
    <row r="112" spans="2:5" ht="15" customHeight="1">
      <c r="B112" s="87"/>
      <c r="C112" s="52" t="s">
        <v>206</v>
      </c>
      <c r="D112" s="53">
        <v>100</v>
      </c>
      <c r="E112" s="54">
        <v>7.0000000000000001E-3</v>
      </c>
    </row>
    <row r="113" spans="2:5" ht="15" customHeight="1">
      <c r="B113" s="87"/>
      <c r="C113" s="52" t="s">
        <v>296</v>
      </c>
      <c r="D113" s="53">
        <v>2</v>
      </c>
      <c r="E113" s="54">
        <v>0</v>
      </c>
    </row>
    <row r="114" spans="2:5" ht="15" customHeight="1">
      <c r="B114" s="87"/>
      <c r="C114" s="52" t="s">
        <v>297</v>
      </c>
      <c r="D114" s="53">
        <v>2</v>
      </c>
      <c r="E114" s="54">
        <v>0</v>
      </c>
    </row>
    <row r="115" spans="2:5" ht="15" customHeight="1">
      <c r="B115" s="87"/>
      <c r="C115" s="52" t="s">
        <v>298</v>
      </c>
      <c r="D115" s="53">
        <v>2</v>
      </c>
      <c r="E115" s="54">
        <v>0</v>
      </c>
    </row>
    <row r="116" spans="2:5" ht="15" customHeight="1">
      <c r="B116" s="87"/>
      <c r="C116" s="52" t="s">
        <v>299</v>
      </c>
      <c r="D116" s="53">
        <v>2</v>
      </c>
      <c r="E116" s="54">
        <v>0</v>
      </c>
    </row>
    <row r="117" spans="2:5" ht="15" customHeight="1">
      <c r="B117" s="87"/>
      <c r="C117" s="52" t="s">
        <v>211</v>
      </c>
      <c r="D117" s="53">
        <v>13</v>
      </c>
      <c r="E117" s="54">
        <v>1E-3</v>
      </c>
    </row>
    <row r="118" spans="2:5" ht="15" customHeight="1">
      <c r="B118" s="87"/>
      <c r="C118" s="52" t="s">
        <v>212</v>
      </c>
      <c r="D118" s="53">
        <v>48</v>
      </c>
      <c r="E118" s="54">
        <v>3.0000000000000001E-3</v>
      </c>
    </row>
    <row r="119" spans="2:5" ht="15" customHeight="1">
      <c r="B119" s="87"/>
      <c r="C119" s="52" t="s">
        <v>213</v>
      </c>
      <c r="D119" s="53">
        <v>1</v>
      </c>
      <c r="E119" s="54">
        <v>0</v>
      </c>
    </row>
    <row r="120" spans="2:5" ht="15" customHeight="1">
      <c r="B120" s="86"/>
      <c r="C120" s="68" t="s">
        <v>307</v>
      </c>
      <c r="D120" s="66">
        <v>424</v>
      </c>
      <c r="E120" s="69">
        <v>0.03</v>
      </c>
    </row>
    <row r="121" spans="2:5" ht="15" customHeight="1">
      <c r="B121" s="85" t="s">
        <v>49</v>
      </c>
      <c r="C121" s="52" t="s">
        <v>192</v>
      </c>
      <c r="D121" s="53">
        <v>5</v>
      </c>
      <c r="E121" s="54">
        <v>0</v>
      </c>
    </row>
    <row r="122" spans="2:5" ht="15" customHeight="1">
      <c r="B122" s="87"/>
      <c r="C122" s="52" t="s">
        <v>287</v>
      </c>
      <c r="D122" s="53">
        <v>1</v>
      </c>
      <c r="E122" s="54">
        <v>0</v>
      </c>
    </row>
    <row r="123" spans="2:5" ht="15" customHeight="1">
      <c r="B123" s="87"/>
      <c r="C123" s="52" t="s">
        <v>288</v>
      </c>
      <c r="D123" s="53">
        <v>6</v>
      </c>
      <c r="E123" s="54">
        <v>0</v>
      </c>
    </row>
    <row r="124" spans="2:5" ht="15" customHeight="1">
      <c r="B124" s="87"/>
      <c r="C124" s="52" t="s">
        <v>289</v>
      </c>
      <c r="D124" s="53">
        <v>20</v>
      </c>
      <c r="E124" s="54">
        <v>1E-3</v>
      </c>
    </row>
    <row r="125" spans="2:5" ht="15" customHeight="1">
      <c r="B125" s="87"/>
      <c r="C125" s="52" t="s">
        <v>290</v>
      </c>
      <c r="D125" s="53">
        <v>13</v>
      </c>
      <c r="E125" s="54">
        <v>1E-3</v>
      </c>
    </row>
    <row r="126" spans="2:5" ht="15" customHeight="1">
      <c r="B126" s="87"/>
      <c r="C126" s="52" t="s">
        <v>291</v>
      </c>
      <c r="D126" s="53">
        <v>12</v>
      </c>
      <c r="E126" s="54">
        <v>1E-3</v>
      </c>
    </row>
    <row r="127" spans="2:5" ht="15" customHeight="1">
      <c r="B127" s="87"/>
      <c r="C127" s="52" t="s">
        <v>292</v>
      </c>
      <c r="D127" s="53">
        <v>80</v>
      </c>
      <c r="E127" s="54">
        <v>6.0000000000000001E-3</v>
      </c>
    </row>
    <row r="128" spans="2:5" ht="15" customHeight="1">
      <c r="B128" s="87"/>
      <c r="C128" s="52" t="s">
        <v>199</v>
      </c>
      <c r="D128" s="53">
        <v>147</v>
      </c>
      <c r="E128" s="54">
        <v>0.01</v>
      </c>
    </row>
    <row r="129" spans="2:5" ht="15" customHeight="1">
      <c r="B129" s="87"/>
      <c r="C129" s="52" t="s">
        <v>293</v>
      </c>
      <c r="D129" s="53">
        <v>13</v>
      </c>
      <c r="E129" s="54">
        <v>1E-3</v>
      </c>
    </row>
    <row r="130" spans="2:5" ht="15" customHeight="1">
      <c r="B130" s="87"/>
      <c r="C130" s="52" t="s">
        <v>294</v>
      </c>
      <c r="D130" s="53">
        <v>24</v>
      </c>
      <c r="E130" s="54">
        <v>2E-3</v>
      </c>
    </row>
    <row r="131" spans="2:5" ht="15" customHeight="1">
      <c r="B131" s="87"/>
      <c r="C131" s="52" t="s">
        <v>295</v>
      </c>
      <c r="D131" s="53">
        <v>52</v>
      </c>
      <c r="E131" s="54">
        <v>4.0000000000000001E-3</v>
      </c>
    </row>
    <row r="132" spans="2:5" ht="15" customHeight="1">
      <c r="B132" s="87"/>
      <c r="C132" s="52" t="s">
        <v>203</v>
      </c>
      <c r="D132" s="53">
        <v>749</v>
      </c>
      <c r="E132" s="54">
        <v>5.2999999999999999E-2</v>
      </c>
    </row>
    <row r="133" spans="2:5" ht="15" customHeight="1">
      <c r="B133" s="87"/>
      <c r="C133" s="52" t="s">
        <v>204</v>
      </c>
      <c r="D133" s="53">
        <v>88</v>
      </c>
      <c r="E133" s="54">
        <v>6.0000000000000001E-3</v>
      </c>
    </row>
    <row r="134" spans="2:5" ht="15" customHeight="1">
      <c r="B134" s="87"/>
      <c r="C134" s="52" t="s">
        <v>205</v>
      </c>
      <c r="D134" s="53">
        <v>156</v>
      </c>
      <c r="E134" s="54">
        <v>1.0999999999999999E-2</v>
      </c>
    </row>
    <row r="135" spans="2:5" ht="15" customHeight="1">
      <c r="B135" s="87"/>
      <c r="C135" s="52" t="s">
        <v>206</v>
      </c>
      <c r="D135" s="53">
        <v>661</v>
      </c>
      <c r="E135" s="54">
        <v>4.7E-2</v>
      </c>
    </row>
    <row r="136" spans="2:5" ht="15" customHeight="1">
      <c r="B136" s="87"/>
      <c r="C136" s="52" t="s">
        <v>296</v>
      </c>
      <c r="D136" s="53">
        <v>13</v>
      </c>
      <c r="E136" s="54">
        <v>1E-3</v>
      </c>
    </row>
    <row r="137" spans="2:5" ht="15" customHeight="1">
      <c r="B137" s="87"/>
      <c r="C137" s="52" t="s">
        <v>297</v>
      </c>
      <c r="D137" s="53">
        <v>13</v>
      </c>
      <c r="E137" s="54">
        <v>1E-3</v>
      </c>
    </row>
    <row r="138" spans="2:5" ht="15" customHeight="1">
      <c r="B138" s="87"/>
      <c r="C138" s="52" t="s">
        <v>298</v>
      </c>
      <c r="D138" s="53">
        <v>14</v>
      </c>
      <c r="E138" s="54">
        <v>1E-3</v>
      </c>
    </row>
    <row r="139" spans="2:5" ht="15" customHeight="1">
      <c r="B139" s="87"/>
      <c r="C139" s="52" t="s">
        <v>299</v>
      </c>
      <c r="D139" s="53">
        <v>10</v>
      </c>
      <c r="E139" s="54">
        <v>1E-3</v>
      </c>
    </row>
    <row r="140" spans="2:5" ht="15" customHeight="1">
      <c r="B140" s="87"/>
      <c r="C140" s="52" t="s">
        <v>211</v>
      </c>
      <c r="D140" s="53">
        <v>49</v>
      </c>
      <c r="E140" s="54">
        <v>3.0000000000000001E-3</v>
      </c>
    </row>
    <row r="141" spans="2:5" ht="15" customHeight="1">
      <c r="B141" s="87"/>
      <c r="C141" s="52" t="s">
        <v>212</v>
      </c>
      <c r="D141" s="53">
        <v>152</v>
      </c>
      <c r="E141" s="54">
        <v>1.0999999999999999E-2</v>
      </c>
    </row>
    <row r="142" spans="2:5" ht="15" customHeight="1">
      <c r="B142" s="87"/>
      <c r="C142" s="52" t="s">
        <v>213</v>
      </c>
      <c r="D142" s="53">
        <v>6</v>
      </c>
      <c r="E142" s="54">
        <v>0</v>
      </c>
    </row>
    <row r="143" spans="2:5" ht="15" customHeight="1">
      <c r="B143" s="87"/>
      <c r="C143" s="52" t="s">
        <v>214</v>
      </c>
      <c r="D143" s="53">
        <v>7</v>
      </c>
      <c r="E143" s="54">
        <v>0</v>
      </c>
    </row>
    <row r="144" spans="2:5" ht="15" customHeight="1">
      <c r="B144" s="87"/>
      <c r="C144" s="52" t="s">
        <v>215</v>
      </c>
      <c r="D144" s="53">
        <v>1</v>
      </c>
      <c r="E144" s="54">
        <v>0</v>
      </c>
    </row>
    <row r="145" spans="2:5" ht="15" customHeight="1">
      <c r="B145" s="86"/>
      <c r="C145" s="68" t="s">
        <v>307</v>
      </c>
      <c r="D145" s="66">
        <v>2292</v>
      </c>
      <c r="E145" s="69">
        <v>0.16200000000000001</v>
      </c>
    </row>
    <row r="146" spans="2:5" ht="15" customHeight="1">
      <c r="B146" s="85" t="s">
        <v>85</v>
      </c>
      <c r="C146" s="52" t="s">
        <v>204</v>
      </c>
      <c r="D146" s="53">
        <v>1</v>
      </c>
      <c r="E146" s="54">
        <v>0</v>
      </c>
    </row>
    <row r="147" spans="2:5" ht="15" customHeight="1">
      <c r="B147" s="87"/>
      <c r="C147" s="52" t="s">
        <v>206</v>
      </c>
      <c r="D147" s="53">
        <v>3</v>
      </c>
      <c r="E147" s="54">
        <v>0</v>
      </c>
    </row>
    <row r="148" spans="2:5" ht="15" customHeight="1">
      <c r="B148" s="87"/>
      <c r="C148" s="52" t="s">
        <v>297</v>
      </c>
      <c r="D148" s="53">
        <v>1</v>
      </c>
      <c r="E148" s="54">
        <v>0</v>
      </c>
    </row>
    <row r="149" spans="2:5" ht="15" customHeight="1">
      <c r="B149" s="87"/>
      <c r="C149" s="52" t="s">
        <v>211</v>
      </c>
      <c r="D149" s="53">
        <v>1</v>
      </c>
      <c r="E149" s="54">
        <v>0</v>
      </c>
    </row>
    <row r="150" spans="2:5" ht="15" customHeight="1">
      <c r="B150" s="87"/>
      <c r="C150" s="52" t="s">
        <v>212</v>
      </c>
      <c r="D150" s="53">
        <v>6</v>
      </c>
      <c r="E150" s="54">
        <v>0</v>
      </c>
    </row>
    <row r="151" spans="2:5" ht="15" customHeight="1">
      <c r="B151" s="86"/>
      <c r="C151" s="68" t="s">
        <v>307</v>
      </c>
      <c r="D151" s="66">
        <v>12</v>
      </c>
      <c r="E151" s="69">
        <v>1E-3</v>
      </c>
    </row>
    <row r="152" spans="2:5" ht="15" customHeight="1">
      <c r="B152" s="85" t="s">
        <v>67</v>
      </c>
      <c r="C152" s="52" t="s">
        <v>290</v>
      </c>
      <c r="D152" s="53">
        <v>2</v>
      </c>
      <c r="E152" s="54">
        <v>0</v>
      </c>
    </row>
    <row r="153" spans="2:5" ht="15" customHeight="1">
      <c r="B153" s="87"/>
      <c r="C153" s="52" t="s">
        <v>291</v>
      </c>
      <c r="D153" s="53">
        <v>1</v>
      </c>
      <c r="E153" s="54">
        <v>0</v>
      </c>
    </row>
    <row r="154" spans="2:5" ht="15" customHeight="1">
      <c r="B154" s="87"/>
      <c r="C154" s="52" t="s">
        <v>292</v>
      </c>
      <c r="D154" s="53">
        <v>2</v>
      </c>
      <c r="E154" s="54">
        <v>0</v>
      </c>
    </row>
    <row r="155" spans="2:5" ht="15" customHeight="1">
      <c r="B155" s="87"/>
      <c r="C155" s="52" t="s">
        <v>199</v>
      </c>
      <c r="D155" s="53">
        <v>4</v>
      </c>
      <c r="E155" s="54">
        <v>0</v>
      </c>
    </row>
    <row r="156" spans="2:5" ht="15" customHeight="1">
      <c r="B156" s="87"/>
      <c r="C156" s="52" t="s">
        <v>293</v>
      </c>
      <c r="D156" s="53">
        <v>1</v>
      </c>
      <c r="E156" s="54">
        <v>0</v>
      </c>
    </row>
    <row r="157" spans="2:5" ht="15" customHeight="1">
      <c r="B157" s="87"/>
      <c r="C157" s="52" t="s">
        <v>294</v>
      </c>
      <c r="D157" s="53">
        <v>2</v>
      </c>
      <c r="E157" s="54">
        <v>0</v>
      </c>
    </row>
    <row r="158" spans="2:5" ht="15" customHeight="1">
      <c r="B158" s="87"/>
      <c r="C158" s="52" t="s">
        <v>295</v>
      </c>
      <c r="D158" s="53">
        <v>3</v>
      </c>
      <c r="E158" s="54">
        <v>0</v>
      </c>
    </row>
    <row r="159" spans="2:5" ht="15" customHeight="1">
      <c r="B159" s="87"/>
      <c r="C159" s="52" t="s">
        <v>203</v>
      </c>
      <c r="D159" s="53">
        <v>17</v>
      </c>
      <c r="E159" s="54">
        <v>1E-3</v>
      </c>
    </row>
    <row r="160" spans="2:5" ht="15" customHeight="1">
      <c r="B160" s="87"/>
      <c r="C160" s="52" t="s">
        <v>204</v>
      </c>
      <c r="D160" s="53">
        <v>3</v>
      </c>
      <c r="E160" s="54">
        <v>0</v>
      </c>
    </row>
    <row r="161" spans="2:5" ht="15" customHeight="1">
      <c r="B161" s="87"/>
      <c r="C161" s="52" t="s">
        <v>205</v>
      </c>
      <c r="D161" s="53">
        <v>9</v>
      </c>
      <c r="E161" s="54">
        <v>1E-3</v>
      </c>
    </row>
    <row r="162" spans="2:5" ht="15" customHeight="1">
      <c r="B162" s="87"/>
      <c r="C162" s="52" t="s">
        <v>206</v>
      </c>
      <c r="D162" s="53">
        <v>14</v>
      </c>
      <c r="E162" s="54">
        <v>1E-3</v>
      </c>
    </row>
    <row r="163" spans="2:5" ht="15" customHeight="1">
      <c r="B163" s="87"/>
      <c r="C163" s="52" t="s">
        <v>212</v>
      </c>
      <c r="D163" s="53">
        <v>3</v>
      </c>
      <c r="E163" s="54">
        <v>0</v>
      </c>
    </row>
    <row r="164" spans="2:5" ht="15" customHeight="1">
      <c r="B164" s="86"/>
      <c r="C164" s="68" t="s">
        <v>307</v>
      </c>
      <c r="D164" s="66">
        <v>61</v>
      </c>
      <c r="E164" s="69">
        <v>4.0000000000000001E-3</v>
      </c>
    </row>
    <row r="165" spans="2:5" ht="15" customHeight="1">
      <c r="B165" s="85" t="s">
        <v>63</v>
      </c>
      <c r="C165" s="52" t="s">
        <v>291</v>
      </c>
      <c r="D165" s="53">
        <v>2</v>
      </c>
      <c r="E165" s="54">
        <v>0</v>
      </c>
    </row>
    <row r="166" spans="2:5" ht="15" customHeight="1">
      <c r="B166" s="87"/>
      <c r="C166" s="52" t="s">
        <v>292</v>
      </c>
      <c r="D166" s="53">
        <v>8</v>
      </c>
      <c r="E166" s="54">
        <v>1E-3</v>
      </c>
    </row>
    <row r="167" spans="2:5" ht="15" customHeight="1">
      <c r="B167" s="87"/>
      <c r="C167" s="52" t="s">
        <v>199</v>
      </c>
      <c r="D167" s="53">
        <v>9</v>
      </c>
      <c r="E167" s="54">
        <v>1E-3</v>
      </c>
    </row>
    <row r="168" spans="2:5" ht="15" customHeight="1">
      <c r="B168" s="87"/>
      <c r="C168" s="52" t="s">
        <v>294</v>
      </c>
      <c r="D168" s="53">
        <v>4</v>
      </c>
      <c r="E168" s="54">
        <v>0</v>
      </c>
    </row>
    <row r="169" spans="2:5" ht="15" customHeight="1">
      <c r="B169" s="87"/>
      <c r="C169" s="52" t="s">
        <v>295</v>
      </c>
      <c r="D169" s="53">
        <v>7</v>
      </c>
      <c r="E169" s="54">
        <v>0</v>
      </c>
    </row>
    <row r="170" spans="2:5" ht="15" customHeight="1">
      <c r="B170" s="87"/>
      <c r="C170" s="52" t="s">
        <v>203</v>
      </c>
      <c r="D170" s="53">
        <v>22</v>
      </c>
      <c r="E170" s="54">
        <v>2E-3</v>
      </c>
    </row>
    <row r="171" spans="2:5" ht="15" customHeight="1">
      <c r="B171" s="87"/>
      <c r="C171" s="52" t="s">
        <v>204</v>
      </c>
      <c r="D171" s="53">
        <v>4</v>
      </c>
      <c r="E171" s="54">
        <v>0</v>
      </c>
    </row>
    <row r="172" spans="2:5" ht="15" customHeight="1">
      <c r="B172" s="87"/>
      <c r="C172" s="52" t="s">
        <v>205</v>
      </c>
      <c r="D172" s="53">
        <v>13</v>
      </c>
      <c r="E172" s="54">
        <v>1E-3</v>
      </c>
    </row>
    <row r="173" spans="2:5" ht="15" customHeight="1">
      <c r="B173" s="87"/>
      <c r="C173" s="52" t="s">
        <v>206</v>
      </c>
      <c r="D173" s="53">
        <v>30</v>
      </c>
      <c r="E173" s="54">
        <v>2E-3</v>
      </c>
    </row>
    <row r="174" spans="2:5" ht="15" customHeight="1">
      <c r="B174" s="87"/>
      <c r="C174" s="52" t="s">
        <v>297</v>
      </c>
      <c r="D174" s="53">
        <v>1</v>
      </c>
      <c r="E174" s="54">
        <v>0</v>
      </c>
    </row>
    <row r="175" spans="2:5" ht="15" customHeight="1">
      <c r="B175" s="87"/>
      <c r="C175" s="52" t="s">
        <v>298</v>
      </c>
      <c r="D175" s="53">
        <v>1</v>
      </c>
      <c r="E175" s="54">
        <v>0</v>
      </c>
    </row>
    <row r="176" spans="2:5" ht="15" customHeight="1">
      <c r="B176" s="87"/>
      <c r="C176" s="52" t="s">
        <v>211</v>
      </c>
      <c r="D176" s="53">
        <v>5</v>
      </c>
      <c r="E176" s="54">
        <v>0</v>
      </c>
    </row>
    <row r="177" spans="2:5" ht="15" customHeight="1">
      <c r="B177" s="87"/>
      <c r="C177" s="52" t="s">
        <v>212</v>
      </c>
      <c r="D177" s="53">
        <v>10</v>
      </c>
      <c r="E177" s="54">
        <v>1E-3</v>
      </c>
    </row>
    <row r="178" spans="2:5" ht="15" customHeight="1">
      <c r="B178" s="86"/>
      <c r="C178" s="68" t="s">
        <v>307</v>
      </c>
      <c r="D178" s="66">
        <v>116</v>
      </c>
      <c r="E178" s="69">
        <v>8.0000000000000002E-3</v>
      </c>
    </row>
    <row r="179" spans="2:5" ht="15" customHeight="1">
      <c r="B179" s="85" t="s">
        <v>90</v>
      </c>
      <c r="C179" s="52" t="s">
        <v>292</v>
      </c>
      <c r="D179" s="53">
        <v>2</v>
      </c>
      <c r="E179" s="54">
        <v>0</v>
      </c>
    </row>
    <row r="180" spans="2:5" ht="15" customHeight="1">
      <c r="B180" s="87"/>
      <c r="C180" s="52" t="s">
        <v>293</v>
      </c>
      <c r="D180" s="53">
        <v>1</v>
      </c>
      <c r="E180" s="54">
        <v>0</v>
      </c>
    </row>
    <row r="181" spans="2:5" ht="15" customHeight="1">
      <c r="B181" s="87"/>
      <c r="C181" s="52" t="s">
        <v>295</v>
      </c>
      <c r="D181" s="53">
        <v>1</v>
      </c>
      <c r="E181" s="54">
        <v>0</v>
      </c>
    </row>
    <row r="182" spans="2:5" ht="15" customHeight="1">
      <c r="B182" s="87"/>
      <c r="C182" s="52" t="s">
        <v>203</v>
      </c>
      <c r="D182" s="53">
        <v>2</v>
      </c>
      <c r="E182" s="54">
        <v>0</v>
      </c>
    </row>
    <row r="183" spans="2:5" ht="15" customHeight="1">
      <c r="B183" s="87"/>
      <c r="C183" s="52" t="s">
        <v>205</v>
      </c>
      <c r="D183" s="53">
        <v>1</v>
      </c>
      <c r="E183" s="54">
        <v>0</v>
      </c>
    </row>
    <row r="184" spans="2:5" ht="15" customHeight="1">
      <c r="B184" s="87"/>
      <c r="C184" s="52" t="s">
        <v>206</v>
      </c>
      <c r="D184" s="53">
        <v>2</v>
      </c>
      <c r="E184" s="54">
        <v>0</v>
      </c>
    </row>
    <row r="185" spans="2:5" ht="15" customHeight="1">
      <c r="B185" s="87"/>
      <c r="C185" s="52" t="s">
        <v>297</v>
      </c>
      <c r="D185" s="53">
        <v>1</v>
      </c>
      <c r="E185" s="54">
        <v>0</v>
      </c>
    </row>
    <row r="186" spans="2:5" ht="15" customHeight="1">
      <c r="B186" s="87"/>
      <c r="C186" s="52" t="s">
        <v>212</v>
      </c>
      <c r="D186" s="53">
        <v>2</v>
      </c>
      <c r="E186" s="54">
        <v>0</v>
      </c>
    </row>
    <row r="187" spans="2:5" ht="15" customHeight="1">
      <c r="B187" s="87"/>
      <c r="C187" s="52" t="s">
        <v>214</v>
      </c>
      <c r="D187" s="53">
        <v>1</v>
      </c>
      <c r="E187" s="54">
        <v>0</v>
      </c>
    </row>
    <row r="188" spans="2:5" ht="15" customHeight="1">
      <c r="B188" s="86"/>
      <c r="C188" s="68" t="s">
        <v>307</v>
      </c>
      <c r="D188" s="66">
        <v>13</v>
      </c>
      <c r="E188" s="69">
        <v>1E-3</v>
      </c>
    </row>
    <row r="189" spans="2:5" ht="15" customHeight="1">
      <c r="B189" s="85" t="s">
        <v>83</v>
      </c>
      <c r="C189" s="52" t="s">
        <v>289</v>
      </c>
      <c r="D189" s="53">
        <v>1</v>
      </c>
      <c r="E189" s="54">
        <v>0</v>
      </c>
    </row>
    <row r="190" spans="2:5" ht="15" customHeight="1">
      <c r="B190" s="87"/>
      <c r="C190" s="52" t="s">
        <v>292</v>
      </c>
      <c r="D190" s="53">
        <v>2</v>
      </c>
      <c r="E190" s="54">
        <v>0</v>
      </c>
    </row>
    <row r="191" spans="2:5" ht="15" customHeight="1">
      <c r="B191" s="87"/>
      <c r="C191" s="52" t="s">
        <v>199</v>
      </c>
      <c r="D191" s="53">
        <v>1</v>
      </c>
      <c r="E191" s="54">
        <v>0</v>
      </c>
    </row>
    <row r="192" spans="2:5" ht="15" customHeight="1">
      <c r="B192" s="87"/>
      <c r="C192" s="52" t="s">
        <v>203</v>
      </c>
      <c r="D192" s="53">
        <v>5</v>
      </c>
      <c r="E192" s="54">
        <v>0</v>
      </c>
    </row>
    <row r="193" spans="2:5" ht="15" customHeight="1">
      <c r="B193" s="87"/>
      <c r="C193" s="52" t="s">
        <v>205</v>
      </c>
      <c r="D193" s="53">
        <v>2</v>
      </c>
      <c r="E193" s="54">
        <v>0</v>
      </c>
    </row>
    <row r="194" spans="2:5" ht="15" customHeight="1">
      <c r="B194" s="87"/>
      <c r="C194" s="52" t="s">
        <v>206</v>
      </c>
      <c r="D194" s="53">
        <v>10</v>
      </c>
      <c r="E194" s="54">
        <v>1E-3</v>
      </c>
    </row>
    <row r="195" spans="2:5" ht="15" customHeight="1">
      <c r="B195" s="87"/>
      <c r="C195" s="52" t="s">
        <v>212</v>
      </c>
      <c r="D195" s="53">
        <v>4</v>
      </c>
      <c r="E195" s="54">
        <v>0</v>
      </c>
    </row>
    <row r="196" spans="2:5" ht="15" customHeight="1">
      <c r="B196" s="86"/>
      <c r="C196" s="68" t="s">
        <v>307</v>
      </c>
      <c r="D196" s="66">
        <v>25</v>
      </c>
      <c r="E196" s="69">
        <v>2E-3</v>
      </c>
    </row>
    <row r="197" spans="2:5" ht="15" customHeight="1">
      <c r="B197" s="85" t="s">
        <v>80</v>
      </c>
      <c r="C197" s="52" t="s">
        <v>288</v>
      </c>
      <c r="D197" s="53">
        <v>1</v>
      </c>
      <c r="E197" s="54">
        <v>0</v>
      </c>
    </row>
    <row r="198" spans="2:5" ht="15" customHeight="1">
      <c r="B198" s="87"/>
      <c r="C198" s="52" t="s">
        <v>203</v>
      </c>
      <c r="D198" s="53">
        <v>3</v>
      </c>
      <c r="E198" s="54">
        <v>0</v>
      </c>
    </row>
    <row r="199" spans="2:5" ht="15" customHeight="1">
      <c r="B199" s="87"/>
      <c r="C199" s="52" t="s">
        <v>204</v>
      </c>
      <c r="D199" s="53">
        <v>1</v>
      </c>
      <c r="E199" s="54">
        <v>0</v>
      </c>
    </row>
    <row r="200" spans="2:5" ht="15" customHeight="1">
      <c r="B200" s="87"/>
      <c r="C200" s="52" t="s">
        <v>206</v>
      </c>
      <c r="D200" s="53">
        <v>2</v>
      </c>
      <c r="E200" s="54">
        <v>0</v>
      </c>
    </row>
    <row r="201" spans="2:5" ht="15" customHeight="1">
      <c r="B201" s="87"/>
      <c r="C201" s="52" t="s">
        <v>212</v>
      </c>
      <c r="D201" s="53">
        <v>5</v>
      </c>
      <c r="E201" s="54">
        <v>0</v>
      </c>
    </row>
    <row r="202" spans="2:5" ht="15" customHeight="1">
      <c r="B202" s="86"/>
      <c r="C202" s="68" t="s">
        <v>307</v>
      </c>
      <c r="D202" s="66">
        <v>12</v>
      </c>
      <c r="E202" s="69">
        <v>1E-3</v>
      </c>
    </row>
    <row r="203" spans="2:5" ht="15" customHeight="1">
      <c r="B203" s="85" t="s">
        <v>70</v>
      </c>
      <c r="C203" s="52" t="s">
        <v>288</v>
      </c>
      <c r="D203" s="53">
        <v>2</v>
      </c>
      <c r="E203" s="54">
        <v>0</v>
      </c>
    </row>
    <row r="204" spans="2:5" ht="15" customHeight="1">
      <c r="B204" s="87"/>
      <c r="C204" s="52" t="s">
        <v>289</v>
      </c>
      <c r="D204" s="53">
        <v>1</v>
      </c>
      <c r="E204" s="54">
        <v>0</v>
      </c>
    </row>
    <row r="205" spans="2:5" ht="15" customHeight="1">
      <c r="B205" s="87"/>
      <c r="C205" s="52" t="s">
        <v>292</v>
      </c>
      <c r="D205" s="53">
        <v>3</v>
      </c>
      <c r="E205" s="54">
        <v>0</v>
      </c>
    </row>
    <row r="206" spans="2:5" ht="15" customHeight="1">
      <c r="B206" s="87"/>
      <c r="C206" s="52" t="s">
        <v>199</v>
      </c>
      <c r="D206" s="53">
        <v>3</v>
      </c>
      <c r="E206" s="54">
        <v>0</v>
      </c>
    </row>
    <row r="207" spans="2:5" ht="15" customHeight="1">
      <c r="B207" s="87"/>
      <c r="C207" s="52" t="s">
        <v>294</v>
      </c>
      <c r="D207" s="53">
        <v>3</v>
      </c>
      <c r="E207" s="54">
        <v>0</v>
      </c>
    </row>
    <row r="208" spans="2:5" ht="15" customHeight="1">
      <c r="B208" s="87"/>
      <c r="C208" s="52" t="s">
        <v>295</v>
      </c>
      <c r="D208" s="53">
        <v>1</v>
      </c>
      <c r="E208" s="54">
        <v>0</v>
      </c>
    </row>
    <row r="209" spans="2:5" ht="15" customHeight="1">
      <c r="B209" s="87"/>
      <c r="C209" s="52" t="s">
        <v>203</v>
      </c>
      <c r="D209" s="53">
        <v>9</v>
      </c>
      <c r="E209" s="54">
        <v>1E-3</v>
      </c>
    </row>
    <row r="210" spans="2:5" ht="15" customHeight="1">
      <c r="B210" s="87"/>
      <c r="C210" s="52" t="s">
        <v>204</v>
      </c>
      <c r="D210" s="53">
        <v>2</v>
      </c>
      <c r="E210" s="54">
        <v>0</v>
      </c>
    </row>
    <row r="211" spans="2:5" ht="15" customHeight="1">
      <c r="B211" s="87"/>
      <c r="C211" s="52" t="s">
        <v>205</v>
      </c>
      <c r="D211" s="53">
        <v>1</v>
      </c>
      <c r="E211" s="54">
        <v>0</v>
      </c>
    </row>
    <row r="212" spans="2:5" ht="15" customHeight="1">
      <c r="B212" s="87"/>
      <c r="C212" s="52" t="s">
        <v>206</v>
      </c>
      <c r="D212" s="53">
        <v>12</v>
      </c>
      <c r="E212" s="54">
        <v>1E-3</v>
      </c>
    </row>
    <row r="213" spans="2:5" ht="15" customHeight="1">
      <c r="B213" s="87"/>
      <c r="C213" s="52" t="s">
        <v>297</v>
      </c>
      <c r="D213" s="53">
        <v>2</v>
      </c>
      <c r="E213" s="54">
        <v>0</v>
      </c>
    </row>
    <row r="214" spans="2:5" ht="15" customHeight="1">
      <c r="B214" s="87"/>
      <c r="C214" s="52" t="s">
        <v>211</v>
      </c>
      <c r="D214" s="53">
        <v>3</v>
      </c>
      <c r="E214" s="54">
        <v>0</v>
      </c>
    </row>
    <row r="215" spans="2:5" ht="15" customHeight="1">
      <c r="B215" s="87"/>
      <c r="C215" s="52" t="s">
        <v>212</v>
      </c>
      <c r="D215" s="53">
        <v>6</v>
      </c>
      <c r="E215" s="54">
        <v>0</v>
      </c>
    </row>
    <row r="216" spans="2:5" ht="15" customHeight="1">
      <c r="B216" s="86"/>
      <c r="C216" s="68" t="s">
        <v>307</v>
      </c>
      <c r="D216" s="66">
        <v>48</v>
      </c>
      <c r="E216" s="69">
        <v>3.0000000000000001E-3</v>
      </c>
    </row>
    <row r="217" spans="2:5" ht="15" customHeight="1">
      <c r="B217" s="85" t="s">
        <v>47</v>
      </c>
      <c r="C217" s="52" t="s">
        <v>192</v>
      </c>
      <c r="D217" s="53">
        <v>15</v>
      </c>
      <c r="E217" s="54">
        <v>1E-3</v>
      </c>
    </row>
    <row r="218" spans="2:5" ht="15" customHeight="1">
      <c r="B218" s="87"/>
      <c r="C218" s="52" t="s">
        <v>286</v>
      </c>
      <c r="D218" s="53">
        <v>1</v>
      </c>
      <c r="E218" s="54">
        <v>0</v>
      </c>
    </row>
    <row r="219" spans="2:5" ht="15" customHeight="1">
      <c r="B219" s="87"/>
      <c r="C219" s="52" t="s">
        <v>287</v>
      </c>
      <c r="D219" s="53">
        <v>6</v>
      </c>
      <c r="E219" s="54">
        <v>0</v>
      </c>
    </row>
    <row r="220" spans="2:5" ht="15" customHeight="1">
      <c r="B220" s="87"/>
      <c r="C220" s="52" t="s">
        <v>288</v>
      </c>
      <c r="D220" s="53">
        <v>16</v>
      </c>
      <c r="E220" s="54">
        <v>1E-3</v>
      </c>
    </row>
    <row r="221" spans="2:5" ht="15" customHeight="1">
      <c r="B221" s="87"/>
      <c r="C221" s="52" t="s">
        <v>289</v>
      </c>
      <c r="D221" s="53">
        <v>34</v>
      </c>
      <c r="E221" s="54">
        <v>2E-3</v>
      </c>
    </row>
    <row r="222" spans="2:5" ht="15" customHeight="1">
      <c r="B222" s="87"/>
      <c r="C222" s="52" t="s">
        <v>290</v>
      </c>
      <c r="D222" s="53">
        <v>31</v>
      </c>
      <c r="E222" s="54">
        <v>2E-3</v>
      </c>
    </row>
    <row r="223" spans="2:5" ht="15" customHeight="1">
      <c r="B223" s="87"/>
      <c r="C223" s="52" t="s">
        <v>291</v>
      </c>
      <c r="D223" s="53">
        <v>45</v>
      </c>
      <c r="E223" s="54">
        <v>3.0000000000000001E-3</v>
      </c>
    </row>
    <row r="224" spans="2:5" ht="15" customHeight="1">
      <c r="B224" s="87"/>
      <c r="C224" s="52" t="s">
        <v>292</v>
      </c>
      <c r="D224" s="53">
        <v>202</v>
      </c>
      <c r="E224" s="54">
        <v>1.4E-2</v>
      </c>
    </row>
    <row r="225" spans="2:5" ht="15" customHeight="1">
      <c r="B225" s="87"/>
      <c r="C225" s="52" t="s">
        <v>199</v>
      </c>
      <c r="D225" s="53">
        <v>309</v>
      </c>
      <c r="E225" s="54">
        <v>2.1999999999999999E-2</v>
      </c>
    </row>
    <row r="226" spans="2:5" ht="15" customHeight="1">
      <c r="B226" s="87"/>
      <c r="C226" s="52" t="s">
        <v>293</v>
      </c>
      <c r="D226" s="53">
        <v>40</v>
      </c>
      <c r="E226" s="54">
        <v>3.0000000000000001E-3</v>
      </c>
    </row>
    <row r="227" spans="2:5" ht="15" customHeight="1">
      <c r="B227" s="87"/>
      <c r="C227" s="52" t="s">
        <v>294</v>
      </c>
      <c r="D227" s="53">
        <v>88</v>
      </c>
      <c r="E227" s="54">
        <v>6.0000000000000001E-3</v>
      </c>
    </row>
    <row r="228" spans="2:5" ht="15" customHeight="1">
      <c r="B228" s="87"/>
      <c r="C228" s="52" t="s">
        <v>295</v>
      </c>
      <c r="D228" s="53">
        <v>176</v>
      </c>
      <c r="E228" s="54">
        <v>1.2E-2</v>
      </c>
    </row>
    <row r="229" spans="2:5" ht="15" customHeight="1">
      <c r="B229" s="87"/>
      <c r="C229" s="52" t="s">
        <v>203</v>
      </c>
      <c r="D229" s="53">
        <v>1166</v>
      </c>
      <c r="E229" s="54">
        <v>8.2000000000000003E-2</v>
      </c>
    </row>
    <row r="230" spans="2:5" ht="15" customHeight="1">
      <c r="B230" s="87"/>
      <c r="C230" s="52" t="s">
        <v>204</v>
      </c>
      <c r="D230" s="53">
        <v>229</v>
      </c>
      <c r="E230" s="54">
        <v>1.6E-2</v>
      </c>
    </row>
    <row r="231" spans="2:5" ht="15" customHeight="1">
      <c r="B231" s="87"/>
      <c r="C231" s="52" t="s">
        <v>205</v>
      </c>
      <c r="D231" s="53">
        <v>342</v>
      </c>
      <c r="E231" s="54">
        <v>2.4E-2</v>
      </c>
    </row>
    <row r="232" spans="2:5" ht="15" customHeight="1">
      <c r="B232" s="87"/>
      <c r="C232" s="52" t="s">
        <v>206</v>
      </c>
      <c r="D232" s="53">
        <v>1297</v>
      </c>
      <c r="E232" s="54">
        <v>9.1999999999999998E-2</v>
      </c>
    </row>
    <row r="233" spans="2:5" ht="15" customHeight="1">
      <c r="B233" s="87"/>
      <c r="C233" s="52" t="s">
        <v>296</v>
      </c>
      <c r="D233" s="53">
        <v>30</v>
      </c>
      <c r="E233" s="54">
        <v>2E-3</v>
      </c>
    </row>
    <row r="234" spans="2:5" ht="15" customHeight="1">
      <c r="B234" s="87"/>
      <c r="C234" s="52" t="s">
        <v>297</v>
      </c>
      <c r="D234" s="53">
        <v>24</v>
      </c>
      <c r="E234" s="54">
        <v>2E-3</v>
      </c>
    </row>
    <row r="235" spans="2:5" ht="15" customHeight="1">
      <c r="B235" s="87"/>
      <c r="C235" s="52" t="s">
        <v>298</v>
      </c>
      <c r="D235" s="53">
        <v>13</v>
      </c>
      <c r="E235" s="54">
        <v>1E-3</v>
      </c>
    </row>
    <row r="236" spans="2:5" ht="15" customHeight="1">
      <c r="B236" s="87"/>
      <c r="C236" s="52" t="s">
        <v>299</v>
      </c>
      <c r="D236" s="53">
        <v>11</v>
      </c>
      <c r="E236" s="54">
        <v>1E-3</v>
      </c>
    </row>
    <row r="237" spans="2:5" ht="15" customHeight="1">
      <c r="B237" s="87"/>
      <c r="C237" s="52" t="s">
        <v>211</v>
      </c>
      <c r="D237" s="53">
        <v>139</v>
      </c>
      <c r="E237" s="54">
        <v>0.01</v>
      </c>
    </row>
    <row r="238" spans="2:5" ht="15" customHeight="1">
      <c r="B238" s="87"/>
      <c r="C238" s="52" t="s">
        <v>212</v>
      </c>
      <c r="D238" s="53">
        <v>394</v>
      </c>
      <c r="E238" s="54">
        <v>2.8000000000000001E-2</v>
      </c>
    </row>
    <row r="239" spans="2:5" ht="15" customHeight="1">
      <c r="B239" s="87"/>
      <c r="C239" s="52" t="s">
        <v>213</v>
      </c>
      <c r="D239" s="53">
        <v>24</v>
      </c>
      <c r="E239" s="54">
        <v>2E-3</v>
      </c>
    </row>
    <row r="240" spans="2:5" ht="15" customHeight="1">
      <c r="B240" s="87"/>
      <c r="C240" s="52" t="s">
        <v>214</v>
      </c>
      <c r="D240" s="53">
        <v>13</v>
      </c>
      <c r="E240" s="54">
        <v>1E-3</v>
      </c>
    </row>
    <row r="241" spans="2:5" ht="15" customHeight="1">
      <c r="B241" s="87"/>
      <c r="C241" s="52" t="s">
        <v>215</v>
      </c>
      <c r="D241" s="53">
        <v>6</v>
      </c>
      <c r="E241" s="54">
        <v>0</v>
      </c>
    </row>
    <row r="242" spans="2:5" ht="15" customHeight="1">
      <c r="B242" s="86"/>
      <c r="C242" s="68" t="s">
        <v>307</v>
      </c>
      <c r="D242" s="66">
        <v>4651</v>
      </c>
      <c r="E242" s="69">
        <v>0.32900000000000001</v>
      </c>
    </row>
    <row r="243" spans="2:5" ht="15" customHeight="1">
      <c r="B243" s="85" t="s">
        <v>64</v>
      </c>
      <c r="C243" s="52" t="s">
        <v>292</v>
      </c>
      <c r="D243" s="53">
        <v>1</v>
      </c>
      <c r="E243" s="54">
        <v>0</v>
      </c>
    </row>
    <row r="244" spans="2:5" ht="15" customHeight="1">
      <c r="B244" s="87"/>
      <c r="C244" s="52" t="s">
        <v>199</v>
      </c>
      <c r="D244" s="53">
        <v>3</v>
      </c>
      <c r="E244" s="54">
        <v>0</v>
      </c>
    </row>
    <row r="245" spans="2:5" ht="15" customHeight="1">
      <c r="B245" s="87"/>
      <c r="C245" s="52" t="s">
        <v>293</v>
      </c>
      <c r="D245" s="53">
        <v>1</v>
      </c>
      <c r="E245" s="54">
        <v>0</v>
      </c>
    </row>
    <row r="246" spans="2:5" ht="15" customHeight="1">
      <c r="B246" s="87"/>
      <c r="C246" s="52" t="s">
        <v>294</v>
      </c>
      <c r="D246" s="53">
        <v>1</v>
      </c>
      <c r="E246" s="54">
        <v>0</v>
      </c>
    </row>
    <row r="247" spans="2:5" ht="15" customHeight="1">
      <c r="B247" s="87"/>
      <c r="C247" s="52" t="s">
        <v>295</v>
      </c>
      <c r="D247" s="53">
        <v>4</v>
      </c>
      <c r="E247" s="54">
        <v>0</v>
      </c>
    </row>
    <row r="248" spans="2:5" ht="15" customHeight="1">
      <c r="B248" s="87"/>
      <c r="C248" s="52" t="s">
        <v>203</v>
      </c>
      <c r="D248" s="53">
        <v>9</v>
      </c>
      <c r="E248" s="54">
        <v>1E-3</v>
      </c>
    </row>
    <row r="249" spans="2:5" ht="15" customHeight="1">
      <c r="B249" s="87"/>
      <c r="C249" s="52" t="s">
        <v>204</v>
      </c>
      <c r="D249" s="53">
        <v>2</v>
      </c>
      <c r="E249" s="54">
        <v>0</v>
      </c>
    </row>
    <row r="250" spans="2:5" ht="15" customHeight="1">
      <c r="B250" s="87"/>
      <c r="C250" s="52" t="s">
        <v>205</v>
      </c>
      <c r="D250" s="53">
        <v>2</v>
      </c>
      <c r="E250" s="54">
        <v>0</v>
      </c>
    </row>
    <row r="251" spans="2:5" ht="15" customHeight="1">
      <c r="B251" s="87"/>
      <c r="C251" s="52" t="s">
        <v>206</v>
      </c>
      <c r="D251" s="53">
        <v>9</v>
      </c>
      <c r="E251" s="54">
        <v>1E-3</v>
      </c>
    </row>
    <row r="252" spans="2:5" ht="15" customHeight="1">
      <c r="B252" s="87"/>
      <c r="C252" s="52" t="s">
        <v>296</v>
      </c>
      <c r="D252" s="53">
        <v>1</v>
      </c>
      <c r="E252" s="54">
        <v>0</v>
      </c>
    </row>
    <row r="253" spans="2:5" ht="15" customHeight="1">
      <c r="B253" s="87"/>
      <c r="C253" s="52" t="s">
        <v>297</v>
      </c>
      <c r="D253" s="53">
        <v>1</v>
      </c>
      <c r="E253" s="54">
        <v>0</v>
      </c>
    </row>
    <row r="254" spans="2:5" ht="15" customHeight="1">
      <c r="B254" s="87"/>
      <c r="C254" s="52" t="s">
        <v>212</v>
      </c>
      <c r="D254" s="53">
        <v>2</v>
      </c>
      <c r="E254" s="54">
        <v>0</v>
      </c>
    </row>
    <row r="255" spans="2:5" ht="15" customHeight="1">
      <c r="B255" s="86"/>
      <c r="C255" s="68" t="s">
        <v>307</v>
      </c>
      <c r="D255" s="66">
        <v>36</v>
      </c>
      <c r="E255" s="69">
        <v>3.0000000000000001E-3</v>
      </c>
    </row>
    <row r="256" spans="2:5" ht="15" customHeight="1">
      <c r="B256" s="85" t="s">
        <v>61</v>
      </c>
      <c r="C256" s="52" t="s">
        <v>286</v>
      </c>
      <c r="D256" s="53">
        <v>1</v>
      </c>
      <c r="E256" s="54">
        <v>0</v>
      </c>
    </row>
    <row r="257" spans="2:5" ht="15" customHeight="1">
      <c r="B257" s="87"/>
      <c r="C257" s="52" t="s">
        <v>290</v>
      </c>
      <c r="D257" s="53">
        <v>2</v>
      </c>
      <c r="E257" s="54">
        <v>0</v>
      </c>
    </row>
    <row r="258" spans="2:5" ht="15" customHeight="1">
      <c r="B258" s="87"/>
      <c r="C258" s="52" t="s">
        <v>291</v>
      </c>
      <c r="D258" s="53">
        <v>1</v>
      </c>
      <c r="E258" s="54">
        <v>0</v>
      </c>
    </row>
    <row r="259" spans="2:5" ht="15" customHeight="1">
      <c r="B259" s="87"/>
      <c r="C259" s="52" t="s">
        <v>292</v>
      </c>
      <c r="D259" s="53">
        <v>4</v>
      </c>
      <c r="E259" s="54">
        <v>0</v>
      </c>
    </row>
    <row r="260" spans="2:5" ht="15" customHeight="1">
      <c r="B260" s="87"/>
      <c r="C260" s="52" t="s">
        <v>199</v>
      </c>
      <c r="D260" s="53">
        <v>9</v>
      </c>
      <c r="E260" s="54">
        <v>1E-3</v>
      </c>
    </row>
    <row r="261" spans="2:5" ht="15" customHeight="1">
      <c r="B261" s="87"/>
      <c r="C261" s="52" t="s">
        <v>294</v>
      </c>
      <c r="D261" s="53">
        <v>5</v>
      </c>
      <c r="E261" s="54">
        <v>0</v>
      </c>
    </row>
    <row r="262" spans="2:5" ht="15" customHeight="1">
      <c r="B262" s="87"/>
      <c r="C262" s="52" t="s">
        <v>295</v>
      </c>
      <c r="D262" s="53">
        <v>2</v>
      </c>
      <c r="E262" s="54">
        <v>0</v>
      </c>
    </row>
    <row r="263" spans="2:5" ht="15" customHeight="1">
      <c r="B263" s="87"/>
      <c r="C263" s="52" t="s">
        <v>203</v>
      </c>
      <c r="D263" s="53">
        <v>24</v>
      </c>
      <c r="E263" s="54">
        <v>2E-3</v>
      </c>
    </row>
    <row r="264" spans="2:5" ht="15" customHeight="1">
      <c r="B264" s="87"/>
      <c r="C264" s="52" t="s">
        <v>204</v>
      </c>
      <c r="D264" s="53">
        <v>10</v>
      </c>
      <c r="E264" s="54">
        <v>1E-3</v>
      </c>
    </row>
    <row r="265" spans="2:5" ht="15" customHeight="1">
      <c r="B265" s="87"/>
      <c r="C265" s="52" t="s">
        <v>205</v>
      </c>
      <c r="D265" s="53">
        <v>7</v>
      </c>
      <c r="E265" s="54">
        <v>0</v>
      </c>
    </row>
    <row r="266" spans="2:5" ht="15" customHeight="1">
      <c r="B266" s="87"/>
      <c r="C266" s="52" t="s">
        <v>206</v>
      </c>
      <c r="D266" s="53">
        <v>25</v>
      </c>
      <c r="E266" s="54">
        <v>2E-3</v>
      </c>
    </row>
    <row r="267" spans="2:5" ht="15" customHeight="1">
      <c r="B267" s="87"/>
      <c r="C267" s="52" t="s">
        <v>296</v>
      </c>
      <c r="D267" s="53">
        <v>3</v>
      </c>
      <c r="E267" s="54">
        <v>0</v>
      </c>
    </row>
    <row r="268" spans="2:5" ht="15" customHeight="1">
      <c r="B268" s="87"/>
      <c r="C268" s="52" t="s">
        <v>297</v>
      </c>
      <c r="D268" s="53">
        <v>1</v>
      </c>
      <c r="E268" s="54">
        <v>0</v>
      </c>
    </row>
    <row r="269" spans="2:5" ht="15" customHeight="1">
      <c r="B269" s="87"/>
      <c r="C269" s="52" t="s">
        <v>299</v>
      </c>
      <c r="D269" s="53">
        <v>1</v>
      </c>
      <c r="E269" s="54">
        <v>0</v>
      </c>
    </row>
    <row r="270" spans="2:5" ht="15" customHeight="1">
      <c r="B270" s="87"/>
      <c r="C270" s="52" t="s">
        <v>211</v>
      </c>
      <c r="D270" s="53">
        <v>2</v>
      </c>
      <c r="E270" s="54">
        <v>0</v>
      </c>
    </row>
    <row r="271" spans="2:5" ht="15" customHeight="1">
      <c r="B271" s="87"/>
      <c r="C271" s="52" t="s">
        <v>212</v>
      </c>
      <c r="D271" s="53">
        <v>7</v>
      </c>
      <c r="E271" s="54">
        <v>0</v>
      </c>
    </row>
    <row r="272" spans="2:5" ht="15" customHeight="1">
      <c r="B272" s="87"/>
      <c r="C272" s="52" t="s">
        <v>214</v>
      </c>
      <c r="D272" s="53">
        <v>1</v>
      </c>
      <c r="E272" s="54">
        <v>0</v>
      </c>
    </row>
    <row r="273" spans="2:5" ht="15" customHeight="1">
      <c r="B273" s="86"/>
      <c r="C273" s="68" t="s">
        <v>307</v>
      </c>
      <c r="D273" s="66">
        <v>105</v>
      </c>
      <c r="E273" s="69">
        <v>7.0000000000000001E-3</v>
      </c>
    </row>
    <row r="274" spans="2:5" ht="15" customHeight="1">
      <c r="B274" s="85" t="s">
        <v>52</v>
      </c>
      <c r="C274" s="52" t="s">
        <v>192</v>
      </c>
      <c r="D274" s="53">
        <v>1</v>
      </c>
      <c r="E274" s="54">
        <v>0</v>
      </c>
    </row>
    <row r="275" spans="2:5" ht="15" customHeight="1">
      <c r="B275" s="87"/>
      <c r="C275" s="52" t="s">
        <v>287</v>
      </c>
      <c r="D275" s="53">
        <v>1</v>
      </c>
      <c r="E275" s="54">
        <v>0</v>
      </c>
    </row>
    <row r="276" spans="2:5" ht="15" customHeight="1">
      <c r="B276" s="87"/>
      <c r="C276" s="52" t="s">
        <v>288</v>
      </c>
      <c r="D276" s="53">
        <v>3</v>
      </c>
      <c r="E276" s="54">
        <v>0</v>
      </c>
    </row>
    <row r="277" spans="2:5" ht="15" customHeight="1">
      <c r="B277" s="87"/>
      <c r="C277" s="52" t="s">
        <v>289</v>
      </c>
      <c r="D277" s="53">
        <v>10</v>
      </c>
      <c r="E277" s="54">
        <v>1E-3</v>
      </c>
    </row>
    <row r="278" spans="2:5" ht="15" customHeight="1">
      <c r="B278" s="87"/>
      <c r="C278" s="52" t="s">
        <v>290</v>
      </c>
      <c r="D278" s="53">
        <v>3</v>
      </c>
      <c r="E278" s="54">
        <v>0</v>
      </c>
    </row>
    <row r="279" spans="2:5" ht="15" customHeight="1">
      <c r="B279" s="87"/>
      <c r="C279" s="52" t="s">
        <v>291</v>
      </c>
      <c r="D279" s="53">
        <v>8</v>
      </c>
      <c r="E279" s="54">
        <v>1E-3</v>
      </c>
    </row>
    <row r="280" spans="2:5" ht="15" customHeight="1">
      <c r="B280" s="87"/>
      <c r="C280" s="52" t="s">
        <v>292</v>
      </c>
      <c r="D280" s="53">
        <v>30</v>
      </c>
      <c r="E280" s="54">
        <v>2E-3</v>
      </c>
    </row>
    <row r="281" spans="2:5" ht="15" customHeight="1">
      <c r="B281" s="87"/>
      <c r="C281" s="52" t="s">
        <v>199</v>
      </c>
      <c r="D281" s="53">
        <v>17</v>
      </c>
      <c r="E281" s="54">
        <v>1E-3</v>
      </c>
    </row>
    <row r="282" spans="2:5" ht="15" customHeight="1">
      <c r="B282" s="87"/>
      <c r="C282" s="52" t="s">
        <v>293</v>
      </c>
      <c r="D282" s="53">
        <v>11</v>
      </c>
      <c r="E282" s="54">
        <v>1E-3</v>
      </c>
    </row>
    <row r="283" spans="2:5" ht="15" customHeight="1">
      <c r="B283" s="87"/>
      <c r="C283" s="52" t="s">
        <v>294</v>
      </c>
      <c r="D283" s="53">
        <v>6</v>
      </c>
      <c r="E283" s="54">
        <v>0</v>
      </c>
    </row>
    <row r="284" spans="2:5" ht="15" customHeight="1">
      <c r="B284" s="87"/>
      <c r="C284" s="52" t="s">
        <v>295</v>
      </c>
      <c r="D284" s="53">
        <v>26</v>
      </c>
      <c r="E284" s="54">
        <v>2E-3</v>
      </c>
    </row>
    <row r="285" spans="2:5" ht="15" customHeight="1">
      <c r="B285" s="87"/>
      <c r="C285" s="52" t="s">
        <v>203</v>
      </c>
      <c r="D285" s="53">
        <v>70</v>
      </c>
      <c r="E285" s="54">
        <v>5.0000000000000001E-3</v>
      </c>
    </row>
    <row r="286" spans="2:5" ht="15" customHeight="1">
      <c r="B286" s="87"/>
      <c r="C286" s="52" t="s">
        <v>204</v>
      </c>
      <c r="D286" s="53">
        <v>29</v>
      </c>
      <c r="E286" s="54">
        <v>2E-3</v>
      </c>
    </row>
    <row r="287" spans="2:5" ht="15" customHeight="1">
      <c r="B287" s="87"/>
      <c r="C287" s="52" t="s">
        <v>205</v>
      </c>
      <c r="D287" s="53">
        <v>21</v>
      </c>
      <c r="E287" s="54">
        <v>1E-3</v>
      </c>
    </row>
    <row r="288" spans="2:5" ht="15" customHeight="1">
      <c r="B288" s="87"/>
      <c r="C288" s="52" t="s">
        <v>206</v>
      </c>
      <c r="D288" s="53">
        <v>103</v>
      </c>
      <c r="E288" s="54">
        <v>7.0000000000000001E-3</v>
      </c>
    </row>
    <row r="289" spans="2:5" ht="15" customHeight="1">
      <c r="B289" s="87"/>
      <c r="C289" s="52" t="s">
        <v>297</v>
      </c>
      <c r="D289" s="53">
        <v>6</v>
      </c>
      <c r="E289" s="54">
        <v>0</v>
      </c>
    </row>
    <row r="290" spans="2:5" ht="15" customHeight="1">
      <c r="B290" s="87"/>
      <c r="C290" s="52" t="s">
        <v>298</v>
      </c>
      <c r="D290" s="53">
        <v>1</v>
      </c>
      <c r="E290" s="54">
        <v>0</v>
      </c>
    </row>
    <row r="291" spans="2:5" ht="15" customHeight="1">
      <c r="B291" s="87"/>
      <c r="C291" s="52" t="s">
        <v>299</v>
      </c>
      <c r="D291" s="53">
        <v>1</v>
      </c>
      <c r="E291" s="54">
        <v>0</v>
      </c>
    </row>
    <row r="292" spans="2:5" ht="15" customHeight="1">
      <c r="B292" s="87"/>
      <c r="C292" s="52" t="s">
        <v>211</v>
      </c>
      <c r="D292" s="53">
        <v>20</v>
      </c>
      <c r="E292" s="54">
        <v>1E-3</v>
      </c>
    </row>
    <row r="293" spans="2:5" ht="15" customHeight="1">
      <c r="B293" s="87"/>
      <c r="C293" s="52" t="s">
        <v>212</v>
      </c>
      <c r="D293" s="53">
        <v>65</v>
      </c>
      <c r="E293" s="54">
        <v>5.0000000000000001E-3</v>
      </c>
    </row>
    <row r="294" spans="2:5" ht="15" customHeight="1">
      <c r="B294" s="87"/>
      <c r="C294" s="52" t="s">
        <v>214</v>
      </c>
      <c r="D294" s="53">
        <v>5</v>
      </c>
      <c r="E294" s="54">
        <v>0</v>
      </c>
    </row>
    <row r="295" spans="2:5" ht="15" customHeight="1">
      <c r="B295" s="86"/>
      <c r="C295" s="68" t="s">
        <v>307</v>
      </c>
      <c r="D295" s="66">
        <v>437</v>
      </c>
      <c r="E295" s="69">
        <v>3.1E-2</v>
      </c>
    </row>
    <row r="296" spans="2:5" ht="15" customHeight="1">
      <c r="B296" s="85" t="s">
        <v>71</v>
      </c>
      <c r="C296" s="52" t="s">
        <v>292</v>
      </c>
      <c r="D296" s="53">
        <v>1</v>
      </c>
      <c r="E296" s="54">
        <v>0</v>
      </c>
    </row>
    <row r="297" spans="2:5" ht="15" customHeight="1">
      <c r="B297" s="87"/>
      <c r="C297" s="52" t="s">
        <v>199</v>
      </c>
      <c r="D297" s="53">
        <v>2</v>
      </c>
      <c r="E297" s="54">
        <v>0</v>
      </c>
    </row>
    <row r="298" spans="2:5" ht="15" customHeight="1">
      <c r="B298" s="87"/>
      <c r="C298" s="52" t="s">
        <v>295</v>
      </c>
      <c r="D298" s="53">
        <v>1</v>
      </c>
      <c r="E298" s="54">
        <v>0</v>
      </c>
    </row>
    <row r="299" spans="2:5" ht="15" customHeight="1">
      <c r="B299" s="87"/>
      <c r="C299" s="52" t="s">
        <v>203</v>
      </c>
      <c r="D299" s="53">
        <v>8</v>
      </c>
      <c r="E299" s="54">
        <v>1E-3</v>
      </c>
    </row>
    <row r="300" spans="2:5" ht="15" customHeight="1">
      <c r="B300" s="87"/>
      <c r="C300" s="52" t="s">
        <v>205</v>
      </c>
      <c r="D300" s="53">
        <v>4</v>
      </c>
      <c r="E300" s="54">
        <v>0</v>
      </c>
    </row>
    <row r="301" spans="2:5" ht="15" customHeight="1">
      <c r="B301" s="87"/>
      <c r="C301" s="52" t="s">
        <v>206</v>
      </c>
      <c r="D301" s="53">
        <v>10</v>
      </c>
      <c r="E301" s="54">
        <v>1E-3</v>
      </c>
    </row>
    <row r="302" spans="2:5" ht="15" customHeight="1">
      <c r="B302" s="87"/>
      <c r="C302" s="52" t="s">
        <v>297</v>
      </c>
      <c r="D302" s="53">
        <v>1</v>
      </c>
      <c r="E302" s="54">
        <v>0</v>
      </c>
    </row>
    <row r="303" spans="2:5" ht="15" customHeight="1">
      <c r="B303" s="87"/>
      <c r="C303" s="52" t="s">
        <v>211</v>
      </c>
      <c r="D303" s="53">
        <v>2</v>
      </c>
      <c r="E303" s="54">
        <v>0</v>
      </c>
    </row>
    <row r="304" spans="2:5" ht="15" customHeight="1">
      <c r="B304" s="87"/>
      <c r="C304" s="52" t="s">
        <v>212</v>
      </c>
      <c r="D304" s="53">
        <v>6</v>
      </c>
      <c r="E304" s="54">
        <v>0</v>
      </c>
    </row>
    <row r="305" spans="2:5" ht="15" customHeight="1">
      <c r="B305" s="86"/>
      <c r="C305" s="68" t="s">
        <v>307</v>
      </c>
      <c r="D305" s="66">
        <v>35</v>
      </c>
      <c r="E305" s="69">
        <v>2E-3</v>
      </c>
    </row>
    <row r="306" spans="2:5" ht="15" customHeight="1">
      <c r="B306" s="85" t="s">
        <v>56</v>
      </c>
      <c r="C306" s="52" t="s">
        <v>192</v>
      </c>
      <c r="D306" s="53">
        <v>1</v>
      </c>
      <c r="E306" s="54">
        <v>0</v>
      </c>
    </row>
    <row r="307" spans="2:5" ht="15" customHeight="1">
      <c r="B307" s="87"/>
      <c r="C307" s="52" t="s">
        <v>290</v>
      </c>
      <c r="D307" s="53">
        <v>1</v>
      </c>
      <c r="E307" s="54">
        <v>0</v>
      </c>
    </row>
    <row r="308" spans="2:5" ht="15" customHeight="1">
      <c r="B308" s="87"/>
      <c r="C308" s="52" t="s">
        <v>291</v>
      </c>
      <c r="D308" s="53">
        <v>1</v>
      </c>
      <c r="E308" s="54">
        <v>0</v>
      </c>
    </row>
    <row r="309" spans="2:5" ht="15" customHeight="1">
      <c r="B309" s="87"/>
      <c r="C309" s="52" t="s">
        <v>292</v>
      </c>
      <c r="D309" s="53">
        <v>7</v>
      </c>
      <c r="E309" s="54">
        <v>0</v>
      </c>
    </row>
    <row r="310" spans="2:5" ht="15" customHeight="1">
      <c r="B310" s="87"/>
      <c r="C310" s="52" t="s">
        <v>199</v>
      </c>
      <c r="D310" s="53">
        <v>17</v>
      </c>
      <c r="E310" s="54">
        <v>1E-3</v>
      </c>
    </row>
    <row r="311" spans="2:5" ht="15" customHeight="1">
      <c r="B311" s="87"/>
      <c r="C311" s="52" t="s">
        <v>294</v>
      </c>
      <c r="D311" s="53">
        <v>2</v>
      </c>
      <c r="E311" s="54">
        <v>0</v>
      </c>
    </row>
    <row r="312" spans="2:5" ht="15" customHeight="1">
      <c r="B312" s="87"/>
      <c r="C312" s="52" t="s">
        <v>295</v>
      </c>
      <c r="D312" s="53">
        <v>11</v>
      </c>
      <c r="E312" s="54">
        <v>1E-3</v>
      </c>
    </row>
    <row r="313" spans="2:5" ht="15" customHeight="1">
      <c r="B313" s="87"/>
      <c r="C313" s="52" t="s">
        <v>203</v>
      </c>
      <c r="D313" s="53">
        <v>68</v>
      </c>
      <c r="E313" s="54">
        <v>5.0000000000000001E-3</v>
      </c>
    </row>
    <row r="314" spans="2:5" ht="15" customHeight="1">
      <c r="B314" s="87"/>
      <c r="C314" s="52" t="s">
        <v>204</v>
      </c>
      <c r="D314" s="53">
        <v>8</v>
      </c>
      <c r="E314" s="54">
        <v>1E-3</v>
      </c>
    </row>
    <row r="315" spans="2:5" ht="15" customHeight="1">
      <c r="B315" s="87"/>
      <c r="C315" s="52" t="s">
        <v>205</v>
      </c>
      <c r="D315" s="53">
        <v>10</v>
      </c>
      <c r="E315" s="54">
        <v>1E-3</v>
      </c>
    </row>
    <row r="316" spans="2:5" ht="15" customHeight="1">
      <c r="B316" s="87"/>
      <c r="C316" s="52" t="s">
        <v>206</v>
      </c>
      <c r="D316" s="53">
        <v>46</v>
      </c>
      <c r="E316" s="54">
        <v>3.0000000000000001E-3</v>
      </c>
    </row>
    <row r="317" spans="2:5" ht="15" customHeight="1">
      <c r="B317" s="87"/>
      <c r="C317" s="52" t="s">
        <v>297</v>
      </c>
      <c r="D317" s="53">
        <v>1</v>
      </c>
      <c r="E317" s="54">
        <v>0</v>
      </c>
    </row>
    <row r="318" spans="2:5" ht="15" customHeight="1">
      <c r="B318" s="87"/>
      <c r="C318" s="52" t="s">
        <v>211</v>
      </c>
      <c r="D318" s="53">
        <v>1</v>
      </c>
      <c r="E318" s="54">
        <v>0</v>
      </c>
    </row>
    <row r="319" spans="2:5" ht="15" customHeight="1">
      <c r="B319" s="87"/>
      <c r="C319" s="52" t="s">
        <v>212</v>
      </c>
      <c r="D319" s="53">
        <v>8</v>
      </c>
      <c r="E319" s="54">
        <v>1E-3</v>
      </c>
    </row>
    <row r="320" spans="2:5" ht="15" customHeight="1">
      <c r="B320" s="87"/>
      <c r="C320" s="52" t="s">
        <v>213</v>
      </c>
      <c r="D320" s="53">
        <v>1</v>
      </c>
      <c r="E320" s="54">
        <v>0</v>
      </c>
    </row>
    <row r="321" spans="2:5" ht="15" customHeight="1">
      <c r="B321" s="86"/>
      <c r="C321" s="68" t="s">
        <v>307</v>
      </c>
      <c r="D321" s="66">
        <v>183</v>
      </c>
      <c r="E321" s="69">
        <v>1.2999999999999999E-2</v>
      </c>
    </row>
    <row r="322" spans="2:5" ht="15" customHeight="1">
      <c r="B322" s="85" t="s">
        <v>60</v>
      </c>
      <c r="C322" s="52" t="s">
        <v>192</v>
      </c>
      <c r="D322" s="53">
        <v>1</v>
      </c>
      <c r="E322" s="54">
        <v>0</v>
      </c>
    </row>
    <row r="323" spans="2:5" ht="15" customHeight="1">
      <c r="B323" s="87"/>
      <c r="C323" s="52" t="s">
        <v>287</v>
      </c>
      <c r="D323" s="53">
        <v>2</v>
      </c>
      <c r="E323" s="54">
        <v>0</v>
      </c>
    </row>
    <row r="324" spans="2:5" ht="15" customHeight="1">
      <c r="B324" s="87"/>
      <c r="C324" s="52" t="s">
        <v>289</v>
      </c>
      <c r="D324" s="53">
        <v>1</v>
      </c>
      <c r="E324" s="54">
        <v>0</v>
      </c>
    </row>
    <row r="325" spans="2:5" ht="15" customHeight="1">
      <c r="B325" s="87"/>
      <c r="C325" s="52" t="s">
        <v>292</v>
      </c>
      <c r="D325" s="53">
        <v>7</v>
      </c>
      <c r="E325" s="54">
        <v>0</v>
      </c>
    </row>
    <row r="326" spans="2:5" ht="15" customHeight="1">
      <c r="B326" s="87"/>
      <c r="C326" s="52" t="s">
        <v>199</v>
      </c>
      <c r="D326" s="53">
        <v>11</v>
      </c>
      <c r="E326" s="54">
        <v>1E-3</v>
      </c>
    </row>
    <row r="327" spans="2:5" ht="15" customHeight="1">
      <c r="B327" s="87"/>
      <c r="C327" s="52" t="s">
        <v>294</v>
      </c>
      <c r="D327" s="53">
        <v>3</v>
      </c>
      <c r="E327" s="54">
        <v>0</v>
      </c>
    </row>
    <row r="328" spans="2:5" ht="15" customHeight="1">
      <c r="B328" s="87"/>
      <c r="C328" s="52" t="s">
        <v>295</v>
      </c>
      <c r="D328" s="53">
        <v>1</v>
      </c>
      <c r="E328" s="54">
        <v>0</v>
      </c>
    </row>
    <row r="329" spans="2:5" ht="15" customHeight="1">
      <c r="B329" s="87"/>
      <c r="C329" s="52" t="s">
        <v>203</v>
      </c>
      <c r="D329" s="53">
        <v>13</v>
      </c>
      <c r="E329" s="54">
        <v>1E-3</v>
      </c>
    </row>
    <row r="330" spans="2:5" ht="15" customHeight="1">
      <c r="B330" s="87"/>
      <c r="C330" s="52" t="s">
        <v>204</v>
      </c>
      <c r="D330" s="53">
        <v>3</v>
      </c>
      <c r="E330" s="54">
        <v>0</v>
      </c>
    </row>
    <row r="331" spans="2:5" ht="15" customHeight="1">
      <c r="B331" s="87"/>
      <c r="C331" s="52" t="s">
        <v>205</v>
      </c>
      <c r="D331" s="53">
        <v>3</v>
      </c>
      <c r="E331" s="54">
        <v>0</v>
      </c>
    </row>
    <row r="332" spans="2:5" ht="15" customHeight="1">
      <c r="B332" s="87"/>
      <c r="C332" s="52" t="s">
        <v>206</v>
      </c>
      <c r="D332" s="53">
        <v>37</v>
      </c>
      <c r="E332" s="54">
        <v>3.0000000000000001E-3</v>
      </c>
    </row>
    <row r="333" spans="2:5" ht="15" customHeight="1">
      <c r="B333" s="87"/>
      <c r="C333" s="52" t="s">
        <v>296</v>
      </c>
      <c r="D333" s="53">
        <v>1</v>
      </c>
      <c r="E333" s="54">
        <v>0</v>
      </c>
    </row>
    <row r="334" spans="2:5" ht="15" customHeight="1">
      <c r="B334" s="87"/>
      <c r="C334" s="52" t="s">
        <v>211</v>
      </c>
      <c r="D334" s="53">
        <v>4</v>
      </c>
      <c r="E334" s="54">
        <v>0</v>
      </c>
    </row>
    <row r="335" spans="2:5" ht="15" customHeight="1">
      <c r="B335" s="87"/>
      <c r="C335" s="52" t="s">
        <v>212</v>
      </c>
      <c r="D335" s="53">
        <v>14</v>
      </c>
      <c r="E335" s="54">
        <v>1E-3</v>
      </c>
    </row>
    <row r="336" spans="2:5" ht="15" customHeight="1">
      <c r="B336" s="87"/>
      <c r="C336" s="52" t="s">
        <v>214</v>
      </c>
      <c r="D336" s="53">
        <v>2</v>
      </c>
      <c r="E336" s="54">
        <v>0</v>
      </c>
    </row>
    <row r="337" spans="2:5" ht="15" customHeight="1">
      <c r="B337" s="86"/>
      <c r="C337" s="68" t="s">
        <v>307</v>
      </c>
      <c r="D337" s="66">
        <v>103</v>
      </c>
      <c r="E337" s="69">
        <v>7.0000000000000001E-3</v>
      </c>
    </row>
    <row r="338" spans="2:5" ht="15" customHeight="1">
      <c r="B338" s="85" t="s">
        <v>48</v>
      </c>
      <c r="C338" s="52" t="s">
        <v>192</v>
      </c>
      <c r="D338" s="53">
        <v>12</v>
      </c>
      <c r="E338" s="54">
        <v>1E-3</v>
      </c>
    </row>
    <row r="339" spans="2:5" ht="15" customHeight="1">
      <c r="B339" s="87"/>
      <c r="C339" s="52" t="s">
        <v>286</v>
      </c>
      <c r="D339" s="53">
        <v>1</v>
      </c>
      <c r="E339" s="54">
        <v>0</v>
      </c>
    </row>
    <row r="340" spans="2:5" ht="15" customHeight="1">
      <c r="B340" s="87"/>
      <c r="C340" s="52" t="s">
        <v>287</v>
      </c>
      <c r="D340" s="53">
        <v>9</v>
      </c>
      <c r="E340" s="54">
        <v>1E-3</v>
      </c>
    </row>
    <row r="341" spans="2:5" ht="15" customHeight="1">
      <c r="B341" s="87"/>
      <c r="C341" s="52" t="s">
        <v>288</v>
      </c>
      <c r="D341" s="53">
        <v>22</v>
      </c>
      <c r="E341" s="54">
        <v>2E-3</v>
      </c>
    </row>
    <row r="342" spans="2:5" ht="15" customHeight="1">
      <c r="B342" s="87"/>
      <c r="C342" s="52" t="s">
        <v>289</v>
      </c>
      <c r="D342" s="53">
        <v>40</v>
      </c>
      <c r="E342" s="54">
        <v>3.0000000000000001E-3</v>
      </c>
    </row>
    <row r="343" spans="2:5" ht="15" customHeight="1">
      <c r="B343" s="87"/>
      <c r="C343" s="52" t="s">
        <v>290</v>
      </c>
      <c r="D343" s="53">
        <v>36</v>
      </c>
      <c r="E343" s="54">
        <v>3.0000000000000001E-3</v>
      </c>
    </row>
    <row r="344" spans="2:5" ht="15" customHeight="1">
      <c r="B344" s="87"/>
      <c r="C344" s="52" t="s">
        <v>291</v>
      </c>
      <c r="D344" s="53">
        <v>40</v>
      </c>
      <c r="E344" s="54">
        <v>3.0000000000000001E-3</v>
      </c>
    </row>
    <row r="345" spans="2:5" ht="15" customHeight="1">
      <c r="B345" s="87"/>
      <c r="C345" s="52" t="s">
        <v>292</v>
      </c>
      <c r="D345" s="53">
        <v>246</v>
      </c>
      <c r="E345" s="54">
        <v>1.7000000000000001E-2</v>
      </c>
    </row>
    <row r="346" spans="2:5" ht="15" customHeight="1">
      <c r="B346" s="87"/>
      <c r="C346" s="52" t="s">
        <v>199</v>
      </c>
      <c r="D346" s="53">
        <v>184</v>
      </c>
      <c r="E346" s="54">
        <v>1.2999999999999999E-2</v>
      </c>
    </row>
    <row r="347" spans="2:5" ht="15" customHeight="1">
      <c r="B347" s="87"/>
      <c r="C347" s="52" t="s">
        <v>293</v>
      </c>
      <c r="D347" s="53">
        <v>30</v>
      </c>
      <c r="E347" s="54">
        <v>2E-3</v>
      </c>
    </row>
    <row r="348" spans="2:5" ht="15" customHeight="1">
      <c r="B348" s="87"/>
      <c r="C348" s="52" t="s">
        <v>294</v>
      </c>
      <c r="D348" s="53">
        <v>54</v>
      </c>
      <c r="E348" s="54">
        <v>4.0000000000000001E-3</v>
      </c>
    </row>
    <row r="349" spans="2:5" ht="15" customHeight="1">
      <c r="B349" s="87"/>
      <c r="C349" s="52" t="s">
        <v>295</v>
      </c>
      <c r="D349" s="53">
        <v>129</v>
      </c>
      <c r="E349" s="54">
        <v>8.9999999999999993E-3</v>
      </c>
    </row>
    <row r="350" spans="2:5" ht="15" customHeight="1">
      <c r="B350" s="87"/>
      <c r="C350" s="52" t="s">
        <v>203</v>
      </c>
      <c r="D350" s="53">
        <v>503</v>
      </c>
      <c r="E350" s="54">
        <v>3.5999999999999997E-2</v>
      </c>
    </row>
    <row r="351" spans="2:5" ht="15" customHeight="1">
      <c r="B351" s="87"/>
      <c r="C351" s="52" t="s">
        <v>204</v>
      </c>
      <c r="D351" s="53">
        <v>97</v>
      </c>
      <c r="E351" s="54">
        <v>7.0000000000000001E-3</v>
      </c>
    </row>
    <row r="352" spans="2:5" ht="15" customHeight="1">
      <c r="B352" s="87"/>
      <c r="C352" s="52" t="s">
        <v>205</v>
      </c>
      <c r="D352" s="53">
        <v>115</v>
      </c>
      <c r="E352" s="54">
        <v>8.0000000000000002E-3</v>
      </c>
    </row>
    <row r="353" spans="2:5" ht="15" customHeight="1">
      <c r="B353" s="87"/>
      <c r="C353" s="52" t="s">
        <v>206</v>
      </c>
      <c r="D353" s="53">
        <v>478</v>
      </c>
      <c r="E353" s="54">
        <v>3.4000000000000002E-2</v>
      </c>
    </row>
    <row r="354" spans="2:5" ht="15" customHeight="1">
      <c r="B354" s="87"/>
      <c r="C354" s="52" t="s">
        <v>296</v>
      </c>
      <c r="D354" s="53">
        <v>13</v>
      </c>
      <c r="E354" s="54">
        <v>1E-3</v>
      </c>
    </row>
    <row r="355" spans="2:5" ht="15" customHeight="1">
      <c r="B355" s="87"/>
      <c r="C355" s="52" t="s">
        <v>297</v>
      </c>
      <c r="D355" s="53">
        <v>22</v>
      </c>
      <c r="E355" s="54">
        <v>2E-3</v>
      </c>
    </row>
    <row r="356" spans="2:5" ht="15" customHeight="1">
      <c r="B356" s="87"/>
      <c r="C356" s="52" t="s">
        <v>298</v>
      </c>
      <c r="D356" s="53">
        <v>6</v>
      </c>
      <c r="E356" s="54">
        <v>0</v>
      </c>
    </row>
    <row r="357" spans="2:5" ht="15" customHeight="1">
      <c r="B357" s="87"/>
      <c r="C357" s="52" t="s">
        <v>299</v>
      </c>
      <c r="D357" s="53">
        <v>8</v>
      </c>
      <c r="E357" s="54">
        <v>1E-3</v>
      </c>
    </row>
    <row r="358" spans="2:5" ht="15" customHeight="1">
      <c r="B358" s="87"/>
      <c r="C358" s="52" t="s">
        <v>211</v>
      </c>
      <c r="D358" s="53">
        <v>22</v>
      </c>
      <c r="E358" s="54">
        <v>2E-3</v>
      </c>
    </row>
    <row r="359" spans="2:5" ht="15" customHeight="1">
      <c r="B359" s="87"/>
      <c r="C359" s="52" t="s">
        <v>212</v>
      </c>
      <c r="D359" s="53">
        <v>184</v>
      </c>
      <c r="E359" s="54">
        <v>1.2999999999999999E-2</v>
      </c>
    </row>
    <row r="360" spans="2:5" ht="15" customHeight="1">
      <c r="B360" s="87"/>
      <c r="C360" s="52" t="s">
        <v>214</v>
      </c>
      <c r="D360" s="53">
        <v>15</v>
      </c>
      <c r="E360" s="54">
        <v>1E-3</v>
      </c>
    </row>
    <row r="361" spans="2:5" ht="15" customHeight="1">
      <c r="B361" s="87"/>
      <c r="C361" s="52" t="s">
        <v>215</v>
      </c>
      <c r="D361" s="53">
        <v>3</v>
      </c>
      <c r="E361" s="54">
        <v>0</v>
      </c>
    </row>
    <row r="362" spans="2:5" ht="15" customHeight="1">
      <c r="B362" s="86"/>
      <c r="C362" s="68" t="s">
        <v>307</v>
      </c>
      <c r="D362" s="66">
        <v>2269</v>
      </c>
      <c r="E362" s="69">
        <v>0.16</v>
      </c>
    </row>
    <row r="363" spans="2:5" ht="15" customHeight="1">
      <c r="B363" s="85" t="s">
        <v>69</v>
      </c>
      <c r="C363" s="52" t="s">
        <v>192</v>
      </c>
      <c r="D363" s="53">
        <v>1</v>
      </c>
      <c r="E363" s="54">
        <v>0</v>
      </c>
    </row>
    <row r="364" spans="2:5" ht="15" customHeight="1">
      <c r="B364" s="87"/>
      <c r="C364" s="52" t="s">
        <v>199</v>
      </c>
      <c r="D364" s="53">
        <v>10</v>
      </c>
      <c r="E364" s="54">
        <v>1E-3</v>
      </c>
    </row>
    <row r="365" spans="2:5" ht="15" customHeight="1">
      <c r="B365" s="87"/>
      <c r="C365" s="52" t="s">
        <v>293</v>
      </c>
      <c r="D365" s="53">
        <v>1</v>
      </c>
      <c r="E365" s="54">
        <v>0</v>
      </c>
    </row>
    <row r="366" spans="2:5" ht="15" customHeight="1">
      <c r="B366" s="87"/>
      <c r="C366" s="52" t="s">
        <v>294</v>
      </c>
      <c r="D366" s="53">
        <v>3</v>
      </c>
      <c r="E366" s="54">
        <v>0</v>
      </c>
    </row>
    <row r="367" spans="2:5" ht="15" customHeight="1">
      <c r="B367" s="87"/>
      <c r="C367" s="52" t="s">
        <v>295</v>
      </c>
      <c r="D367" s="53">
        <v>5</v>
      </c>
      <c r="E367" s="54">
        <v>0</v>
      </c>
    </row>
    <row r="368" spans="2:5" ht="15" customHeight="1">
      <c r="B368" s="87"/>
      <c r="C368" s="52" t="s">
        <v>203</v>
      </c>
      <c r="D368" s="53">
        <v>17</v>
      </c>
      <c r="E368" s="54">
        <v>1E-3</v>
      </c>
    </row>
    <row r="369" spans="2:5" ht="15" customHeight="1">
      <c r="B369" s="87"/>
      <c r="C369" s="52" t="s">
        <v>204</v>
      </c>
      <c r="D369" s="53">
        <v>1</v>
      </c>
      <c r="E369" s="54">
        <v>0</v>
      </c>
    </row>
    <row r="370" spans="2:5" ht="15" customHeight="1">
      <c r="B370" s="87"/>
      <c r="C370" s="52" t="s">
        <v>205</v>
      </c>
      <c r="D370" s="53">
        <v>3</v>
      </c>
      <c r="E370" s="54">
        <v>0</v>
      </c>
    </row>
    <row r="371" spans="2:5" ht="15" customHeight="1">
      <c r="B371" s="87"/>
      <c r="C371" s="52" t="s">
        <v>206</v>
      </c>
      <c r="D371" s="53">
        <v>13</v>
      </c>
      <c r="E371" s="54">
        <v>1E-3</v>
      </c>
    </row>
    <row r="372" spans="2:5" ht="15" customHeight="1">
      <c r="B372" s="87"/>
      <c r="C372" s="52" t="s">
        <v>211</v>
      </c>
      <c r="D372" s="53">
        <v>4</v>
      </c>
      <c r="E372" s="54">
        <v>0</v>
      </c>
    </row>
    <row r="373" spans="2:5" ht="15" customHeight="1">
      <c r="B373" s="87"/>
      <c r="C373" s="52" t="s">
        <v>212</v>
      </c>
      <c r="D373" s="53">
        <v>9</v>
      </c>
      <c r="E373" s="54">
        <v>1E-3</v>
      </c>
    </row>
    <row r="374" spans="2:5" ht="15" customHeight="1">
      <c r="B374" s="86"/>
      <c r="C374" s="68" t="s">
        <v>307</v>
      </c>
      <c r="D374" s="66">
        <v>67</v>
      </c>
      <c r="E374" s="69">
        <v>5.0000000000000001E-3</v>
      </c>
    </row>
    <row r="375" spans="2:5" ht="15" customHeight="1">
      <c r="B375" s="85" t="s">
        <v>72</v>
      </c>
      <c r="C375" s="52" t="s">
        <v>199</v>
      </c>
      <c r="D375" s="53">
        <v>1</v>
      </c>
      <c r="E375" s="54">
        <v>0</v>
      </c>
    </row>
    <row r="376" spans="2:5" ht="15" customHeight="1">
      <c r="B376" s="87"/>
      <c r="C376" s="52" t="s">
        <v>294</v>
      </c>
      <c r="D376" s="53">
        <v>1</v>
      </c>
      <c r="E376" s="54">
        <v>0</v>
      </c>
    </row>
    <row r="377" spans="2:5" ht="15" customHeight="1">
      <c r="B377" s="87"/>
      <c r="C377" s="52" t="s">
        <v>295</v>
      </c>
      <c r="D377" s="53">
        <v>1</v>
      </c>
      <c r="E377" s="54">
        <v>0</v>
      </c>
    </row>
    <row r="378" spans="2:5" ht="15" customHeight="1">
      <c r="B378" s="87"/>
      <c r="C378" s="52" t="s">
        <v>203</v>
      </c>
      <c r="D378" s="53">
        <v>9</v>
      </c>
      <c r="E378" s="54">
        <v>1E-3</v>
      </c>
    </row>
    <row r="379" spans="2:5" ht="15" customHeight="1">
      <c r="B379" s="87"/>
      <c r="C379" s="52" t="s">
        <v>204</v>
      </c>
      <c r="D379" s="53">
        <v>1</v>
      </c>
      <c r="E379" s="54">
        <v>0</v>
      </c>
    </row>
    <row r="380" spans="2:5" ht="15" customHeight="1">
      <c r="B380" s="87"/>
      <c r="C380" s="52" t="s">
        <v>205</v>
      </c>
      <c r="D380" s="53">
        <v>2</v>
      </c>
      <c r="E380" s="54">
        <v>0</v>
      </c>
    </row>
    <row r="381" spans="2:5" ht="15" customHeight="1">
      <c r="B381" s="87"/>
      <c r="C381" s="52" t="s">
        <v>206</v>
      </c>
      <c r="D381" s="53">
        <v>4</v>
      </c>
      <c r="E381" s="54">
        <v>0</v>
      </c>
    </row>
    <row r="382" spans="2:5" ht="15" customHeight="1">
      <c r="B382" s="87"/>
      <c r="C382" s="52" t="s">
        <v>297</v>
      </c>
      <c r="D382" s="53">
        <v>2</v>
      </c>
      <c r="E382" s="54">
        <v>0</v>
      </c>
    </row>
    <row r="383" spans="2:5" ht="15" customHeight="1">
      <c r="B383" s="87"/>
      <c r="C383" s="52" t="s">
        <v>211</v>
      </c>
      <c r="D383" s="53">
        <v>1</v>
      </c>
      <c r="E383" s="54">
        <v>0</v>
      </c>
    </row>
    <row r="384" spans="2:5" ht="15" customHeight="1">
      <c r="B384" s="87"/>
      <c r="C384" s="52" t="s">
        <v>212</v>
      </c>
      <c r="D384" s="53">
        <v>2</v>
      </c>
      <c r="E384" s="54">
        <v>0</v>
      </c>
    </row>
    <row r="385" spans="2:5" ht="15" customHeight="1">
      <c r="B385" s="86"/>
      <c r="C385" s="68" t="s">
        <v>307</v>
      </c>
      <c r="D385" s="66">
        <v>24</v>
      </c>
      <c r="E385" s="69">
        <v>2E-3</v>
      </c>
    </row>
    <row r="386" spans="2:5" ht="15" customHeight="1">
      <c r="B386" s="85" t="s">
        <v>94</v>
      </c>
      <c r="C386" s="52" t="s">
        <v>289</v>
      </c>
      <c r="D386" s="53">
        <v>1</v>
      </c>
      <c r="E386" s="54">
        <v>0</v>
      </c>
    </row>
    <row r="387" spans="2:5" ht="15" customHeight="1">
      <c r="B387" s="87"/>
      <c r="C387" s="52" t="s">
        <v>291</v>
      </c>
      <c r="D387" s="53">
        <v>1</v>
      </c>
      <c r="E387" s="54">
        <v>0</v>
      </c>
    </row>
    <row r="388" spans="2:5" ht="15" customHeight="1">
      <c r="B388" s="87"/>
      <c r="C388" s="52" t="s">
        <v>203</v>
      </c>
      <c r="D388" s="53">
        <v>2</v>
      </c>
      <c r="E388" s="54">
        <v>0</v>
      </c>
    </row>
    <row r="389" spans="2:5" ht="15" customHeight="1">
      <c r="B389" s="87"/>
      <c r="C389" s="52" t="s">
        <v>205</v>
      </c>
      <c r="D389" s="53">
        <v>3</v>
      </c>
      <c r="E389" s="54">
        <v>0</v>
      </c>
    </row>
    <row r="390" spans="2:5" ht="15" customHeight="1">
      <c r="B390" s="87"/>
      <c r="C390" s="52" t="s">
        <v>206</v>
      </c>
      <c r="D390" s="53">
        <v>3</v>
      </c>
      <c r="E390" s="54">
        <v>0</v>
      </c>
    </row>
    <row r="391" spans="2:5" ht="15" customHeight="1">
      <c r="B391" s="87"/>
      <c r="C391" s="52" t="s">
        <v>215</v>
      </c>
      <c r="D391" s="53">
        <v>1</v>
      </c>
      <c r="E391" s="54">
        <v>0</v>
      </c>
    </row>
    <row r="392" spans="2:5" ht="15" customHeight="1">
      <c r="B392" s="86"/>
      <c r="C392" s="68" t="s">
        <v>307</v>
      </c>
      <c r="D392" s="66">
        <v>11</v>
      </c>
      <c r="E392" s="69">
        <v>1E-3</v>
      </c>
    </row>
    <row r="393" spans="2:5" ht="15" customHeight="1">
      <c r="B393" s="85" t="s">
        <v>95</v>
      </c>
      <c r="C393" s="52" t="s">
        <v>212</v>
      </c>
      <c r="D393" s="53">
        <v>1</v>
      </c>
      <c r="E393" s="54">
        <v>0</v>
      </c>
    </row>
    <row r="394" spans="2:5" ht="15" customHeight="1">
      <c r="B394" s="86"/>
      <c r="C394" s="68" t="s">
        <v>307</v>
      </c>
      <c r="D394" s="66">
        <v>1</v>
      </c>
      <c r="E394" s="69">
        <v>0</v>
      </c>
    </row>
    <row r="395" spans="2:5" ht="15" customHeight="1">
      <c r="B395" s="85" t="s">
        <v>62</v>
      </c>
      <c r="C395" s="52" t="s">
        <v>289</v>
      </c>
      <c r="D395" s="53">
        <v>1</v>
      </c>
      <c r="E395" s="54">
        <v>0</v>
      </c>
    </row>
    <row r="396" spans="2:5" ht="15" customHeight="1">
      <c r="B396" s="87"/>
      <c r="C396" s="52" t="s">
        <v>291</v>
      </c>
      <c r="D396" s="53">
        <v>2</v>
      </c>
      <c r="E396" s="54">
        <v>0</v>
      </c>
    </row>
    <row r="397" spans="2:5" ht="15" customHeight="1">
      <c r="B397" s="87"/>
      <c r="C397" s="52" t="s">
        <v>292</v>
      </c>
      <c r="D397" s="53">
        <v>6</v>
      </c>
      <c r="E397" s="54">
        <v>0</v>
      </c>
    </row>
    <row r="398" spans="2:5" ht="15" customHeight="1">
      <c r="B398" s="87"/>
      <c r="C398" s="52" t="s">
        <v>199</v>
      </c>
      <c r="D398" s="53">
        <v>4</v>
      </c>
      <c r="E398" s="54">
        <v>0</v>
      </c>
    </row>
    <row r="399" spans="2:5" ht="15" customHeight="1">
      <c r="B399" s="87"/>
      <c r="C399" s="52" t="s">
        <v>293</v>
      </c>
      <c r="D399" s="53">
        <v>3</v>
      </c>
      <c r="E399" s="54">
        <v>0</v>
      </c>
    </row>
    <row r="400" spans="2:5" ht="15" customHeight="1">
      <c r="B400" s="87"/>
      <c r="C400" s="52" t="s">
        <v>295</v>
      </c>
      <c r="D400" s="53">
        <v>4</v>
      </c>
      <c r="E400" s="54">
        <v>0</v>
      </c>
    </row>
    <row r="401" spans="2:5" ht="15" customHeight="1">
      <c r="B401" s="87"/>
      <c r="C401" s="52" t="s">
        <v>203</v>
      </c>
      <c r="D401" s="53">
        <v>26</v>
      </c>
      <c r="E401" s="54">
        <v>2E-3</v>
      </c>
    </row>
    <row r="402" spans="2:5" ht="15" customHeight="1">
      <c r="B402" s="87"/>
      <c r="C402" s="52" t="s">
        <v>204</v>
      </c>
      <c r="D402" s="53">
        <v>4</v>
      </c>
      <c r="E402" s="54">
        <v>0</v>
      </c>
    </row>
    <row r="403" spans="2:5" ht="15" customHeight="1">
      <c r="B403" s="87"/>
      <c r="C403" s="52" t="s">
        <v>205</v>
      </c>
      <c r="D403" s="53">
        <v>8</v>
      </c>
      <c r="E403" s="54">
        <v>1E-3</v>
      </c>
    </row>
    <row r="404" spans="2:5" ht="15" customHeight="1">
      <c r="B404" s="87"/>
      <c r="C404" s="52" t="s">
        <v>206</v>
      </c>
      <c r="D404" s="53">
        <v>16</v>
      </c>
      <c r="E404" s="54">
        <v>1E-3</v>
      </c>
    </row>
    <row r="405" spans="2:5" ht="15" customHeight="1">
      <c r="B405" s="87"/>
      <c r="C405" s="52" t="s">
        <v>211</v>
      </c>
      <c r="D405" s="53">
        <v>3</v>
      </c>
      <c r="E405" s="54">
        <v>0</v>
      </c>
    </row>
    <row r="406" spans="2:5" ht="15" customHeight="1">
      <c r="B406" s="87"/>
      <c r="C406" s="52" t="s">
        <v>212</v>
      </c>
      <c r="D406" s="53">
        <v>5</v>
      </c>
      <c r="E406" s="54">
        <v>0</v>
      </c>
    </row>
    <row r="407" spans="2:5" ht="15" customHeight="1">
      <c r="B407" s="87"/>
      <c r="C407" s="52" t="s">
        <v>214</v>
      </c>
      <c r="D407" s="53">
        <v>1</v>
      </c>
      <c r="E407" s="54">
        <v>0</v>
      </c>
    </row>
    <row r="408" spans="2:5" ht="15" customHeight="1">
      <c r="B408" s="86"/>
      <c r="C408" s="68" t="s">
        <v>307</v>
      </c>
      <c r="D408" s="66">
        <v>83</v>
      </c>
      <c r="E408" s="69">
        <v>6.0000000000000001E-3</v>
      </c>
    </row>
    <row r="409" spans="2:5" ht="15" customHeight="1">
      <c r="B409" s="85" t="s">
        <v>84</v>
      </c>
      <c r="C409" s="52" t="s">
        <v>292</v>
      </c>
      <c r="D409" s="53">
        <v>1</v>
      </c>
      <c r="E409" s="54">
        <v>0</v>
      </c>
    </row>
    <row r="410" spans="2:5" ht="15" customHeight="1">
      <c r="B410" s="87"/>
      <c r="C410" s="52" t="s">
        <v>294</v>
      </c>
      <c r="D410" s="53">
        <v>1</v>
      </c>
      <c r="E410" s="54">
        <v>0</v>
      </c>
    </row>
    <row r="411" spans="2:5" ht="15" customHeight="1">
      <c r="B411" s="87"/>
      <c r="C411" s="52" t="s">
        <v>203</v>
      </c>
      <c r="D411" s="53">
        <v>6</v>
      </c>
      <c r="E411" s="54">
        <v>0</v>
      </c>
    </row>
    <row r="412" spans="2:5" ht="15" customHeight="1">
      <c r="B412" s="87"/>
      <c r="C412" s="52" t="s">
        <v>204</v>
      </c>
      <c r="D412" s="53">
        <v>2</v>
      </c>
      <c r="E412" s="54">
        <v>0</v>
      </c>
    </row>
    <row r="413" spans="2:5" ht="15" customHeight="1">
      <c r="B413" s="87"/>
      <c r="C413" s="52" t="s">
        <v>206</v>
      </c>
      <c r="D413" s="53">
        <v>4</v>
      </c>
      <c r="E413" s="54">
        <v>0</v>
      </c>
    </row>
    <row r="414" spans="2:5" ht="15" customHeight="1">
      <c r="B414" s="87"/>
      <c r="C414" s="52" t="s">
        <v>212</v>
      </c>
      <c r="D414" s="53">
        <v>5</v>
      </c>
      <c r="E414" s="54">
        <v>0</v>
      </c>
    </row>
    <row r="415" spans="2:5" ht="15" customHeight="1">
      <c r="B415" s="87"/>
      <c r="C415" s="52" t="s">
        <v>215</v>
      </c>
      <c r="D415" s="53">
        <v>1</v>
      </c>
      <c r="E415" s="54">
        <v>0</v>
      </c>
    </row>
    <row r="416" spans="2:5" ht="15" customHeight="1">
      <c r="B416" s="86"/>
      <c r="C416" s="68" t="s">
        <v>307</v>
      </c>
      <c r="D416" s="66">
        <v>20</v>
      </c>
      <c r="E416" s="69">
        <v>1E-3</v>
      </c>
    </row>
    <row r="417" spans="2:5" ht="15" customHeight="1">
      <c r="B417" s="85" t="s">
        <v>58</v>
      </c>
      <c r="C417" s="52" t="s">
        <v>287</v>
      </c>
      <c r="D417" s="53">
        <v>1</v>
      </c>
      <c r="E417" s="54">
        <v>0</v>
      </c>
    </row>
    <row r="418" spans="2:5" ht="15" customHeight="1">
      <c r="B418" s="87"/>
      <c r="C418" s="52" t="s">
        <v>288</v>
      </c>
      <c r="D418" s="53">
        <v>1</v>
      </c>
      <c r="E418" s="54">
        <v>0</v>
      </c>
    </row>
    <row r="419" spans="2:5" ht="15" customHeight="1">
      <c r="B419" s="87"/>
      <c r="C419" s="52" t="s">
        <v>289</v>
      </c>
      <c r="D419" s="53">
        <v>1</v>
      </c>
      <c r="E419" s="54">
        <v>0</v>
      </c>
    </row>
    <row r="420" spans="2:5" ht="15" customHeight="1">
      <c r="B420" s="87"/>
      <c r="C420" s="52" t="s">
        <v>290</v>
      </c>
      <c r="D420" s="53">
        <v>2</v>
      </c>
      <c r="E420" s="54">
        <v>0</v>
      </c>
    </row>
    <row r="421" spans="2:5" ht="15" customHeight="1">
      <c r="B421" s="87"/>
      <c r="C421" s="52" t="s">
        <v>291</v>
      </c>
      <c r="D421" s="53">
        <v>2</v>
      </c>
      <c r="E421" s="54">
        <v>0</v>
      </c>
    </row>
    <row r="422" spans="2:5" ht="15" customHeight="1">
      <c r="B422" s="87"/>
      <c r="C422" s="52" t="s">
        <v>292</v>
      </c>
      <c r="D422" s="53">
        <v>7</v>
      </c>
      <c r="E422" s="54">
        <v>0</v>
      </c>
    </row>
    <row r="423" spans="2:5" ht="15" customHeight="1">
      <c r="B423" s="87"/>
      <c r="C423" s="52" t="s">
        <v>199</v>
      </c>
      <c r="D423" s="53">
        <v>16</v>
      </c>
      <c r="E423" s="54">
        <v>1E-3</v>
      </c>
    </row>
    <row r="424" spans="2:5" ht="15" customHeight="1">
      <c r="B424" s="87"/>
      <c r="C424" s="52" t="s">
        <v>293</v>
      </c>
      <c r="D424" s="53">
        <v>5</v>
      </c>
      <c r="E424" s="54">
        <v>0</v>
      </c>
    </row>
    <row r="425" spans="2:5" ht="15" customHeight="1">
      <c r="B425" s="87"/>
      <c r="C425" s="52" t="s">
        <v>294</v>
      </c>
      <c r="D425" s="53">
        <v>5</v>
      </c>
      <c r="E425" s="54">
        <v>0</v>
      </c>
    </row>
    <row r="426" spans="2:5" ht="15" customHeight="1">
      <c r="B426" s="87"/>
      <c r="C426" s="52" t="s">
        <v>295</v>
      </c>
      <c r="D426" s="53">
        <v>7</v>
      </c>
      <c r="E426" s="54">
        <v>0</v>
      </c>
    </row>
    <row r="427" spans="2:5" ht="15" customHeight="1">
      <c r="B427" s="87"/>
      <c r="C427" s="52" t="s">
        <v>203</v>
      </c>
      <c r="D427" s="53">
        <v>55</v>
      </c>
      <c r="E427" s="54">
        <v>4.0000000000000001E-3</v>
      </c>
    </row>
    <row r="428" spans="2:5" ht="15" customHeight="1">
      <c r="B428" s="87"/>
      <c r="C428" s="52" t="s">
        <v>204</v>
      </c>
      <c r="D428" s="53">
        <v>10</v>
      </c>
      <c r="E428" s="54">
        <v>1E-3</v>
      </c>
    </row>
    <row r="429" spans="2:5" ht="15" customHeight="1">
      <c r="B429" s="87"/>
      <c r="C429" s="52" t="s">
        <v>205</v>
      </c>
      <c r="D429" s="53">
        <v>10</v>
      </c>
      <c r="E429" s="54">
        <v>1E-3</v>
      </c>
    </row>
    <row r="430" spans="2:5" ht="15" customHeight="1">
      <c r="B430" s="87"/>
      <c r="C430" s="52" t="s">
        <v>206</v>
      </c>
      <c r="D430" s="53">
        <v>51</v>
      </c>
      <c r="E430" s="54">
        <v>4.0000000000000001E-3</v>
      </c>
    </row>
    <row r="431" spans="2:5" ht="15" customHeight="1">
      <c r="B431" s="87"/>
      <c r="C431" s="52" t="s">
        <v>296</v>
      </c>
      <c r="D431" s="53">
        <v>5</v>
      </c>
      <c r="E431" s="54">
        <v>0</v>
      </c>
    </row>
    <row r="432" spans="2:5" ht="15" customHeight="1">
      <c r="B432" s="87"/>
      <c r="C432" s="52" t="s">
        <v>297</v>
      </c>
      <c r="D432" s="53">
        <v>3</v>
      </c>
      <c r="E432" s="54">
        <v>0</v>
      </c>
    </row>
    <row r="433" spans="2:5" ht="15" customHeight="1">
      <c r="B433" s="87"/>
      <c r="C433" s="52" t="s">
        <v>211</v>
      </c>
      <c r="D433" s="53">
        <v>5</v>
      </c>
      <c r="E433" s="54">
        <v>0</v>
      </c>
    </row>
    <row r="434" spans="2:5" ht="15" customHeight="1">
      <c r="B434" s="87"/>
      <c r="C434" s="52" t="s">
        <v>212</v>
      </c>
      <c r="D434" s="53">
        <v>7</v>
      </c>
      <c r="E434" s="54">
        <v>0</v>
      </c>
    </row>
    <row r="435" spans="2:5" ht="15" customHeight="1">
      <c r="B435" s="87"/>
      <c r="C435" s="52" t="s">
        <v>213</v>
      </c>
      <c r="D435" s="53">
        <v>1</v>
      </c>
      <c r="E435" s="54">
        <v>0</v>
      </c>
    </row>
    <row r="436" spans="2:5" ht="15" customHeight="1">
      <c r="B436" s="86"/>
      <c r="C436" s="68" t="s">
        <v>307</v>
      </c>
      <c r="D436" s="66">
        <v>194</v>
      </c>
      <c r="E436" s="69">
        <v>1.4E-2</v>
      </c>
    </row>
    <row r="437" spans="2:5" ht="15" customHeight="1">
      <c r="B437" s="85" t="s">
        <v>78</v>
      </c>
      <c r="C437" s="52" t="s">
        <v>288</v>
      </c>
      <c r="D437" s="53">
        <v>1</v>
      </c>
      <c r="E437" s="54">
        <v>0</v>
      </c>
    </row>
    <row r="438" spans="2:5" ht="15" customHeight="1">
      <c r="B438" s="87"/>
      <c r="C438" s="52" t="s">
        <v>292</v>
      </c>
      <c r="D438" s="53">
        <v>2</v>
      </c>
      <c r="E438" s="54">
        <v>0</v>
      </c>
    </row>
    <row r="439" spans="2:5" ht="15" customHeight="1">
      <c r="B439" s="87"/>
      <c r="C439" s="52" t="s">
        <v>294</v>
      </c>
      <c r="D439" s="53">
        <v>2</v>
      </c>
      <c r="E439" s="54">
        <v>0</v>
      </c>
    </row>
    <row r="440" spans="2:5" ht="15" customHeight="1">
      <c r="B440" s="87"/>
      <c r="C440" s="52" t="s">
        <v>295</v>
      </c>
      <c r="D440" s="53">
        <v>1</v>
      </c>
      <c r="E440" s="54">
        <v>0</v>
      </c>
    </row>
    <row r="441" spans="2:5" ht="15" customHeight="1">
      <c r="B441" s="87"/>
      <c r="C441" s="52" t="s">
        <v>203</v>
      </c>
      <c r="D441" s="53">
        <v>10</v>
      </c>
      <c r="E441" s="54">
        <v>1E-3</v>
      </c>
    </row>
    <row r="442" spans="2:5" ht="15" customHeight="1">
      <c r="B442" s="87"/>
      <c r="C442" s="52" t="s">
        <v>204</v>
      </c>
      <c r="D442" s="53">
        <v>3</v>
      </c>
      <c r="E442" s="54">
        <v>0</v>
      </c>
    </row>
    <row r="443" spans="2:5" ht="15" customHeight="1">
      <c r="B443" s="87"/>
      <c r="C443" s="52" t="s">
        <v>206</v>
      </c>
      <c r="D443" s="53">
        <v>11</v>
      </c>
      <c r="E443" s="54">
        <v>1E-3</v>
      </c>
    </row>
    <row r="444" spans="2:5" ht="15" customHeight="1">
      <c r="B444" s="87"/>
      <c r="C444" s="52" t="s">
        <v>211</v>
      </c>
      <c r="D444" s="53">
        <v>1</v>
      </c>
      <c r="E444" s="54">
        <v>0</v>
      </c>
    </row>
    <row r="445" spans="2:5" ht="15" customHeight="1">
      <c r="B445" s="87"/>
      <c r="C445" s="52" t="s">
        <v>212</v>
      </c>
      <c r="D445" s="53">
        <v>4</v>
      </c>
      <c r="E445" s="54">
        <v>0</v>
      </c>
    </row>
    <row r="446" spans="2:5" ht="15" customHeight="1">
      <c r="B446" s="86"/>
      <c r="C446" s="68" t="s">
        <v>307</v>
      </c>
      <c r="D446" s="66">
        <v>35</v>
      </c>
      <c r="E446" s="69">
        <v>2E-3</v>
      </c>
    </row>
    <row r="447" spans="2:5" ht="15" customHeight="1">
      <c r="B447" s="85" t="s">
        <v>59</v>
      </c>
      <c r="C447" s="52" t="s">
        <v>192</v>
      </c>
      <c r="D447" s="53">
        <v>2</v>
      </c>
      <c r="E447" s="54">
        <v>0</v>
      </c>
    </row>
    <row r="448" spans="2:5" ht="15" customHeight="1">
      <c r="B448" s="87"/>
      <c r="C448" s="52" t="s">
        <v>288</v>
      </c>
      <c r="D448" s="53">
        <v>1</v>
      </c>
      <c r="E448" s="54">
        <v>0</v>
      </c>
    </row>
    <row r="449" spans="2:5" ht="15" customHeight="1">
      <c r="B449" s="87"/>
      <c r="C449" s="52" t="s">
        <v>289</v>
      </c>
      <c r="D449" s="53">
        <v>1</v>
      </c>
      <c r="E449" s="54">
        <v>0</v>
      </c>
    </row>
    <row r="450" spans="2:5" ht="15" customHeight="1">
      <c r="B450" s="87"/>
      <c r="C450" s="52" t="s">
        <v>290</v>
      </c>
      <c r="D450" s="53">
        <v>1</v>
      </c>
      <c r="E450" s="54">
        <v>0</v>
      </c>
    </row>
    <row r="451" spans="2:5" ht="15" customHeight="1">
      <c r="B451" s="87"/>
      <c r="C451" s="52" t="s">
        <v>292</v>
      </c>
      <c r="D451" s="53">
        <v>3</v>
      </c>
      <c r="E451" s="54">
        <v>0</v>
      </c>
    </row>
    <row r="452" spans="2:5" ht="15" customHeight="1">
      <c r="B452" s="87"/>
      <c r="C452" s="52" t="s">
        <v>199</v>
      </c>
      <c r="D452" s="53">
        <v>12</v>
      </c>
      <c r="E452" s="54">
        <v>1E-3</v>
      </c>
    </row>
    <row r="453" spans="2:5" ht="15" customHeight="1">
      <c r="B453" s="87"/>
      <c r="C453" s="52" t="s">
        <v>294</v>
      </c>
      <c r="D453" s="53">
        <v>1</v>
      </c>
      <c r="E453" s="54">
        <v>0</v>
      </c>
    </row>
    <row r="454" spans="2:5" ht="15" customHeight="1">
      <c r="B454" s="87"/>
      <c r="C454" s="52" t="s">
        <v>295</v>
      </c>
      <c r="D454" s="53">
        <v>2</v>
      </c>
      <c r="E454" s="54">
        <v>0</v>
      </c>
    </row>
    <row r="455" spans="2:5" ht="15" customHeight="1">
      <c r="B455" s="87"/>
      <c r="C455" s="52" t="s">
        <v>203</v>
      </c>
      <c r="D455" s="53">
        <v>36</v>
      </c>
      <c r="E455" s="54">
        <v>3.0000000000000001E-3</v>
      </c>
    </row>
    <row r="456" spans="2:5" ht="15" customHeight="1">
      <c r="B456" s="87"/>
      <c r="C456" s="52" t="s">
        <v>204</v>
      </c>
      <c r="D456" s="53">
        <v>6</v>
      </c>
      <c r="E456" s="54">
        <v>0</v>
      </c>
    </row>
    <row r="457" spans="2:5" ht="15" customHeight="1">
      <c r="B457" s="87"/>
      <c r="C457" s="52" t="s">
        <v>205</v>
      </c>
      <c r="D457" s="53">
        <v>9</v>
      </c>
      <c r="E457" s="54">
        <v>1E-3</v>
      </c>
    </row>
    <row r="458" spans="2:5" ht="15" customHeight="1">
      <c r="B458" s="87"/>
      <c r="C458" s="52" t="s">
        <v>206</v>
      </c>
      <c r="D458" s="53">
        <v>23</v>
      </c>
      <c r="E458" s="54">
        <v>2E-3</v>
      </c>
    </row>
    <row r="459" spans="2:5" ht="15" customHeight="1">
      <c r="B459" s="87"/>
      <c r="C459" s="52" t="s">
        <v>211</v>
      </c>
      <c r="D459" s="53">
        <v>3</v>
      </c>
      <c r="E459" s="54">
        <v>0</v>
      </c>
    </row>
    <row r="460" spans="2:5" ht="15" customHeight="1">
      <c r="B460" s="87"/>
      <c r="C460" s="52" t="s">
        <v>212</v>
      </c>
      <c r="D460" s="53">
        <v>6</v>
      </c>
      <c r="E460" s="54">
        <v>0</v>
      </c>
    </row>
    <row r="461" spans="2:5" ht="15" customHeight="1">
      <c r="B461" s="87"/>
      <c r="C461" s="52" t="s">
        <v>215</v>
      </c>
      <c r="D461" s="53">
        <v>1</v>
      </c>
      <c r="E461" s="54">
        <v>0</v>
      </c>
    </row>
    <row r="462" spans="2:5" ht="15" customHeight="1">
      <c r="B462" s="86"/>
      <c r="C462" s="68" t="s">
        <v>307</v>
      </c>
      <c r="D462" s="66">
        <v>107</v>
      </c>
      <c r="E462" s="69">
        <v>8.0000000000000002E-3</v>
      </c>
    </row>
    <row r="463" spans="2:5" ht="15" customHeight="1">
      <c r="B463" s="85" t="s">
        <v>91</v>
      </c>
      <c r="C463" s="52" t="s">
        <v>199</v>
      </c>
      <c r="D463" s="53">
        <v>1</v>
      </c>
      <c r="E463" s="54">
        <v>0</v>
      </c>
    </row>
    <row r="464" spans="2:5" ht="15" customHeight="1">
      <c r="B464" s="87"/>
      <c r="C464" s="52" t="s">
        <v>203</v>
      </c>
      <c r="D464" s="53">
        <v>1</v>
      </c>
      <c r="E464" s="54">
        <v>0</v>
      </c>
    </row>
    <row r="465" spans="2:5" ht="15" customHeight="1">
      <c r="B465" s="87"/>
      <c r="C465" s="52" t="s">
        <v>206</v>
      </c>
      <c r="D465" s="53">
        <v>1</v>
      </c>
      <c r="E465" s="54">
        <v>0</v>
      </c>
    </row>
    <row r="466" spans="2:5" ht="15" customHeight="1">
      <c r="B466" s="87"/>
      <c r="C466" s="52" t="s">
        <v>212</v>
      </c>
      <c r="D466" s="53">
        <v>2</v>
      </c>
      <c r="E466" s="54">
        <v>0</v>
      </c>
    </row>
    <row r="467" spans="2:5" ht="15" customHeight="1">
      <c r="B467" s="86"/>
      <c r="C467" s="68" t="s">
        <v>307</v>
      </c>
      <c r="D467" s="66">
        <v>5</v>
      </c>
      <c r="E467" s="69">
        <v>0</v>
      </c>
    </row>
    <row r="468" spans="2:5" ht="15" customHeight="1">
      <c r="B468" s="85" t="s">
        <v>66</v>
      </c>
      <c r="C468" s="52" t="s">
        <v>199</v>
      </c>
      <c r="D468" s="53">
        <v>4</v>
      </c>
      <c r="E468" s="54">
        <v>0</v>
      </c>
    </row>
    <row r="469" spans="2:5" ht="15" customHeight="1">
      <c r="B469" s="87"/>
      <c r="C469" s="52" t="s">
        <v>294</v>
      </c>
      <c r="D469" s="53">
        <v>1</v>
      </c>
      <c r="E469" s="54">
        <v>0</v>
      </c>
    </row>
    <row r="470" spans="2:5" ht="15" customHeight="1">
      <c r="B470" s="87"/>
      <c r="C470" s="52" t="s">
        <v>295</v>
      </c>
      <c r="D470" s="53">
        <v>1</v>
      </c>
      <c r="E470" s="54">
        <v>0</v>
      </c>
    </row>
    <row r="471" spans="2:5" ht="15" customHeight="1">
      <c r="B471" s="87"/>
      <c r="C471" s="52" t="s">
        <v>203</v>
      </c>
      <c r="D471" s="53">
        <v>13</v>
      </c>
      <c r="E471" s="54">
        <v>1E-3</v>
      </c>
    </row>
    <row r="472" spans="2:5" ht="15" customHeight="1">
      <c r="B472" s="87"/>
      <c r="C472" s="52" t="s">
        <v>204</v>
      </c>
      <c r="D472" s="53">
        <v>1</v>
      </c>
      <c r="E472" s="54">
        <v>0</v>
      </c>
    </row>
    <row r="473" spans="2:5" ht="15" customHeight="1">
      <c r="B473" s="87"/>
      <c r="C473" s="52" t="s">
        <v>205</v>
      </c>
      <c r="D473" s="53">
        <v>1</v>
      </c>
      <c r="E473" s="54">
        <v>0</v>
      </c>
    </row>
    <row r="474" spans="2:5" ht="15" customHeight="1">
      <c r="B474" s="87"/>
      <c r="C474" s="52" t="s">
        <v>206</v>
      </c>
      <c r="D474" s="53">
        <v>10</v>
      </c>
      <c r="E474" s="54">
        <v>1E-3</v>
      </c>
    </row>
    <row r="475" spans="2:5" ht="15" customHeight="1">
      <c r="B475" s="87"/>
      <c r="C475" s="52" t="s">
        <v>296</v>
      </c>
      <c r="D475" s="53">
        <v>1</v>
      </c>
      <c r="E475" s="54">
        <v>0</v>
      </c>
    </row>
    <row r="476" spans="2:5" ht="15" customHeight="1">
      <c r="B476" s="87"/>
      <c r="C476" s="52" t="s">
        <v>298</v>
      </c>
      <c r="D476" s="53">
        <v>1</v>
      </c>
      <c r="E476" s="54">
        <v>0</v>
      </c>
    </row>
    <row r="477" spans="2:5" ht="15" customHeight="1">
      <c r="B477" s="87"/>
      <c r="C477" s="52" t="s">
        <v>212</v>
      </c>
      <c r="D477" s="53">
        <v>7</v>
      </c>
      <c r="E477" s="54">
        <v>0</v>
      </c>
    </row>
    <row r="478" spans="2:5" ht="15" customHeight="1">
      <c r="B478" s="86"/>
      <c r="C478" s="68" t="s">
        <v>307</v>
      </c>
      <c r="D478" s="66">
        <v>40</v>
      </c>
      <c r="E478" s="69">
        <v>3.0000000000000001E-3</v>
      </c>
    </row>
    <row r="479" spans="2:5" ht="15" customHeight="1">
      <c r="B479" s="85" t="s">
        <v>93</v>
      </c>
      <c r="C479" s="52" t="s">
        <v>290</v>
      </c>
      <c r="D479" s="53">
        <v>1</v>
      </c>
      <c r="E479" s="54">
        <v>0</v>
      </c>
    </row>
    <row r="480" spans="2:5" ht="15" customHeight="1">
      <c r="B480" s="87"/>
      <c r="C480" s="52" t="s">
        <v>199</v>
      </c>
      <c r="D480" s="53">
        <v>1</v>
      </c>
      <c r="E480" s="54">
        <v>0</v>
      </c>
    </row>
    <row r="481" spans="2:5" ht="15" customHeight="1">
      <c r="B481" s="87"/>
      <c r="C481" s="52" t="s">
        <v>205</v>
      </c>
      <c r="D481" s="53">
        <v>1</v>
      </c>
      <c r="E481" s="54">
        <v>0</v>
      </c>
    </row>
    <row r="482" spans="2:5" ht="15" customHeight="1">
      <c r="B482" s="87"/>
      <c r="C482" s="52" t="s">
        <v>206</v>
      </c>
      <c r="D482" s="53">
        <v>2</v>
      </c>
      <c r="E482" s="54">
        <v>0</v>
      </c>
    </row>
    <row r="483" spans="2:5" ht="15" customHeight="1">
      <c r="B483" s="86"/>
      <c r="C483" s="68" t="s">
        <v>307</v>
      </c>
      <c r="D483" s="66">
        <v>5</v>
      </c>
      <c r="E483" s="69">
        <v>0</v>
      </c>
    </row>
    <row r="484" spans="2:5" ht="15" customHeight="1">
      <c r="B484" s="85" t="s">
        <v>76</v>
      </c>
      <c r="C484" s="52" t="s">
        <v>292</v>
      </c>
      <c r="D484" s="53">
        <v>1</v>
      </c>
      <c r="E484" s="54">
        <v>0</v>
      </c>
    </row>
    <row r="485" spans="2:5" ht="15" customHeight="1">
      <c r="B485" s="87"/>
      <c r="C485" s="52" t="s">
        <v>199</v>
      </c>
      <c r="D485" s="53">
        <v>1</v>
      </c>
      <c r="E485" s="54">
        <v>0</v>
      </c>
    </row>
    <row r="486" spans="2:5" ht="15" customHeight="1">
      <c r="B486" s="87"/>
      <c r="C486" s="52" t="s">
        <v>294</v>
      </c>
      <c r="D486" s="53">
        <v>1</v>
      </c>
      <c r="E486" s="54">
        <v>0</v>
      </c>
    </row>
    <row r="487" spans="2:5" ht="15" customHeight="1">
      <c r="B487" s="87"/>
      <c r="C487" s="52" t="s">
        <v>295</v>
      </c>
      <c r="D487" s="53">
        <v>2</v>
      </c>
      <c r="E487" s="54">
        <v>0</v>
      </c>
    </row>
    <row r="488" spans="2:5" ht="15" customHeight="1">
      <c r="B488" s="87"/>
      <c r="C488" s="52" t="s">
        <v>203</v>
      </c>
      <c r="D488" s="53">
        <v>7</v>
      </c>
      <c r="E488" s="54">
        <v>0</v>
      </c>
    </row>
    <row r="489" spans="2:5" ht="15" customHeight="1">
      <c r="B489" s="87"/>
      <c r="C489" s="52" t="s">
        <v>205</v>
      </c>
      <c r="D489" s="53">
        <v>2</v>
      </c>
      <c r="E489" s="54">
        <v>0</v>
      </c>
    </row>
    <row r="490" spans="2:5" ht="15" customHeight="1">
      <c r="B490" s="87"/>
      <c r="C490" s="52" t="s">
        <v>206</v>
      </c>
      <c r="D490" s="53">
        <v>5</v>
      </c>
      <c r="E490" s="54">
        <v>0</v>
      </c>
    </row>
    <row r="491" spans="2:5" ht="15" customHeight="1">
      <c r="B491" s="86"/>
      <c r="C491" s="68" t="s">
        <v>307</v>
      </c>
      <c r="D491" s="66">
        <v>19</v>
      </c>
      <c r="E491" s="69">
        <v>1E-3</v>
      </c>
    </row>
    <row r="492" spans="2:5" ht="15" customHeight="1">
      <c r="B492" s="85" t="s">
        <v>55</v>
      </c>
      <c r="C492" s="52" t="s">
        <v>287</v>
      </c>
      <c r="D492" s="53">
        <v>1</v>
      </c>
      <c r="E492" s="54">
        <v>0</v>
      </c>
    </row>
    <row r="493" spans="2:5" ht="15" customHeight="1">
      <c r="B493" s="87"/>
      <c r="C493" s="52" t="s">
        <v>290</v>
      </c>
      <c r="D493" s="53">
        <v>4</v>
      </c>
      <c r="E493" s="54">
        <v>0</v>
      </c>
    </row>
    <row r="494" spans="2:5" ht="15" customHeight="1">
      <c r="B494" s="87"/>
      <c r="C494" s="52" t="s">
        <v>292</v>
      </c>
      <c r="D494" s="53">
        <v>7</v>
      </c>
      <c r="E494" s="54">
        <v>0</v>
      </c>
    </row>
    <row r="495" spans="2:5" ht="15" customHeight="1">
      <c r="B495" s="87"/>
      <c r="C495" s="52" t="s">
        <v>199</v>
      </c>
      <c r="D495" s="53">
        <v>27</v>
      </c>
      <c r="E495" s="54">
        <v>2E-3</v>
      </c>
    </row>
    <row r="496" spans="2:5" ht="15" customHeight="1">
      <c r="B496" s="87"/>
      <c r="C496" s="52" t="s">
        <v>293</v>
      </c>
      <c r="D496" s="53">
        <v>4</v>
      </c>
      <c r="E496" s="54">
        <v>0</v>
      </c>
    </row>
    <row r="497" spans="2:5" ht="15" customHeight="1">
      <c r="B497" s="87"/>
      <c r="C497" s="52" t="s">
        <v>294</v>
      </c>
      <c r="D497" s="53">
        <v>6</v>
      </c>
      <c r="E497" s="54">
        <v>0</v>
      </c>
    </row>
    <row r="498" spans="2:5" ht="15" customHeight="1">
      <c r="B498" s="87"/>
      <c r="C498" s="52" t="s">
        <v>295</v>
      </c>
      <c r="D498" s="53">
        <v>11</v>
      </c>
      <c r="E498" s="54">
        <v>1E-3</v>
      </c>
    </row>
    <row r="499" spans="2:5" ht="15" customHeight="1">
      <c r="B499" s="87"/>
      <c r="C499" s="52" t="s">
        <v>203</v>
      </c>
      <c r="D499" s="53">
        <v>77</v>
      </c>
      <c r="E499" s="54">
        <v>5.0000000000000001E-3</v>
      </c>
    </row>
    <row r="500" spans="2:5" ht="15" customHeight="1">
      <c r="B500" s="87"/>
      <c r="C500" s="52" t="s">
        <v>204</v>
      </c>
      <c r="D500" s="53">
        <v>3</v>
      </c>
      <c r="E500" s="54">
        <v>0</v>
      </c>
    </row>
    <row r="501" spans="2:5" ht="15" customHeight="1">
      <c r="B501" s="87"/>
      <c r="C501" s="52" t="s">
        <v>205</v>
      </c>
      <c r="D501" s="53">
        <v>13</v>
      </c>
      <c r="E501" s="54">
        <v>1E-3</v>
      </c>
    </row>
    <row r="502" spans="2:5" ht="15" customHeight="1">
      <c r="B502" s="87"/>
      <c r="C502" s="52" t="s">
        <v>206</v>
      </c>
      <c r="D502" s="53">
        <v>36</v>
      </c>
      <c r="E502" s="54">
        <v>3.0000000000000001E-3</v>
      </c>
    </row>
    <row r="503" spans="2:5" ht="15" customHeight="1">
      <c r="B503" s="87"/>
      <c r="C503" s="52" t="s">
        <v>299</v>
      </c>
      <c r="D503" s="53">
        <v>1</v>
      </c>
      <c r="E503" s="54">
        <v>0</v>
      </c>
    </row>
    <row r="504" spans="2:5" ht="15" customHeight="1">
      <c r="B504" s="87"/>
      <c r="C504" s="52" t="s">
        <v>211</v>
      </c>
      <c r="D504" s="53">
        <v>6</v>
      </c>
      <c r="E504" s="54">
        <v>0</v>
      </c>
    </row>
    <row r="505" spans="2:5" ht="15" customHeight="1">
      <c r="B505" s="87"/>
      <c r="C505" s="52" t="s">
        <v>212</v>
      </c>
      <c r="D505" s="53">
        <v>9</v>
      </c>
      <c r="E505" s="54">
        <v>1E-3</v>
      </c>
    </row>
    <row r="506" spans="2:5" ht="15" customHeight="1">
      <c r="B506" s="86"/>
      <c r="C506" s="68" t="s">
        <v>307</v>
      </c>
      <c r="D506" s="66">
        <v>205</v>
      </c>
      <c r="E506" s="69">
        <v>1.4E-2</v>
      </c>
    </row>
    <row r="507" spans="2:5" ht="15" customHeight="1">
      <c r="B507" s="85" t="s">
        <v>77</v>
      </c>
      <c r="C507" s="52" t="s">
        <v>290</v>
      </c>
      <c r="D507" s="53">
        <v>1</v>
      </c>
      <c r="E507" s="54">
        <v>0</v>
      </c>
    </row>
    <row r="508" spans="2:5" ht="15" customHeight="1">
      <c r="B508" s="87"/>
      <c r="C508" s="52" t="s">
        <v>292</v>
      </c>
      <c r="D508" s="53">
        <v>1</v>
      </c>
      <c r="E508" s="54">
        <v>0</v>
      </c>
    </row>
    <row r="509" spans="2:5" ht="15" customHeight="1">
      <c r="B509" s="87"/>
      <c r="C509" s="52" t="s">
        <v>199</v>
      </c>
      <c r="D509" s="53">
        <v>1</v>
      </c>
      <c r="E509" s="54">
        <v>0</v>
      </c>
    </row>
    <row r="510" spans="2:5" ht="15" customHeight="1">
      <c r="B510" s="87"/>
      <c r="C510" s="52" t="s">
        <v>295</v>
      </c>
      <c r="D510" s="53">
        <v>1</v>
      </c>
      <c r="E510" s="54">
        <v>0</v>
      </c>
    </row>
    <row r="511" spans="2:5" ht="15" customHeight="1">
      <c r="B511" s="87"/>
      <c r="C511" s="52" t="s">
        <v>203</v>
      </c>
      <c r="D511" s="53">
        <v>1</v>
      </c>
      <c r="E511" s="54">
        <v>0</v>
      </c>
    </row>
    <row r="512" spans="2:5" ht="15" customHeight="1">
      <c r="B512" s="87"/>
      <c r="C512" s="52" t="s">
        <v>206</v>
      </c>
      <c r="D512" s="53">
        <v>7</v>
      </c>
      <c r="E512" s="54">
        <v>0</v>
      </c>
    </row>
    <row r="513" spans="2:5" ht="15" customHeight="1">
      <c r="B513" s="87"/>
      <c r="C513" s="52" t="s">
        <v>212</v>
      </c>
      <c r="D513" s="53">
        <v>3</v>
      </c>
      <c r="E513" s="54">
        <v>0</v>
      </c>
    </row>
    <row r="514" spans="2:5" ht="15" customHeight="1">
      <c r="B514" s="86"/>
      <c r="C514" s="68" t="s">
        <v>307</v>
      </c>
      <c r="D514" s="66">
        <v>15</v>
      </c>
      <c r="E514" s="69">
        <v>1E-3</v>
      </c>
    </row>
    <row r="515" spans="2:5" ht="15" customHeight="1">
      <c r="B515" s="85" t="s">
        <v>65</v>
      </c>
      <c r="C515" s="52" t="s">
        <v>288</v>
      </c>
      <c r="D515" s="53">
        <v>1</v>
      </c>
      <c r="E515" s="54">
        <v>0</v>
      </c>
    </row>
    <row r="516" spans="2:5" ht="15" customHeight="1">
      <c r="B516" s="87"/>
      <c r="C516" s="52" t="s">
        <v>290</v>
      </c>
      <c r="D516" s="53">
        <v>1</v>
      </c>
      <c r="E516" s="54">
        <v>0</v>
      </c>
    </row>
    <row r="517" spans="2:5" ht="15" customHeight="1">
      <c r="B517" s="87"/>
      <c r="C517" s="52" t="s">
        <v>291</v>
      </c>
      <c r="D517" s="53">
        <v>1</v>
      </c>
      <c r="E517" s="54">
        <v>0</v>
      </c>
    </row>
    <row r="518" spans="2:5" ht="15" customHeight="1">
      <c r="B518" s="87"/>
      <c r="C518" s="52" t="s">
        <v>199</v>
      </c>
      <c r="D518" s="53">
        <v>7</v>
      </c>
      <c r="E518" s="54">
        <v>0</v>
      </c>
    </row>
    <row r="519" spans="2:5" ht="15" customHeight="1">
      <c r="B519" s="87"/>
      <c r="C519" s="52" t="s">
        <v>293</v>
      </c>
      <c r="D519" s="53">
        <v>1</v>
      </c>
      <c r="E519" s="54">
        <v>0</v>
      </c>
    </row>
    <row r="520" spans="2:5" ht="15" customHeight="1">
      <c r="B520" s="87"/>
      <c r="C520" s="52" t="s">
        <v>294</v>
      </c>
      <c r="D520" s="53">
        <v>1</v>
      </c>
      <c r="E520" s="54">
        <v>0</v>
      </c>
    </row>
    <row r="521" spans="2:5" ht="15" customHeight="1">
      <c r="B521" s="87"/>
      <c r="C521" s="52" t="s">
        <v>295</v>
      </c>
      <c r="D521" s="53">
        <v>1</v>
      </c>
      <c r="E521" s="54">
        <v>0</v>
      </c>
    </row>
    <row r="522" spans="2:5" ht="15" customHeight="1">
      <c r="B522" s="87"/>
      <c r="C522" s="52" t="s">
        <v>203</v>
      </c>
      <c r="D522" s="53">
        <v>28</v>
      </c>
      <c r="E522" s="54">
        <v>2E-3</v>
      </c>
    </row>
    <row r="523" spans="2:5" ht="15" customHeight="1">
      <c r="B523" s="87"/>
      <c r="C523" s="52" t="s">
        <v>204</v>
      </c>
      <c r="D523" s="53">
        <v>2</v>
      </c>
      <c r="E523" s="54">
        <v>0</v>
      </c>
    </row>
    <row r="524" spans="2:5" ht="15" customHeight="1">
      <c r="B524" s="87"/>
      <c r="C524" s="52" t="s">
        <v>205</v>
      </c>
      <c r="D524" s="53">
        <v>3</v>
      </c>
      <c r="E524" s="54">
        <v>0</v>
      </c>
    </row>
    <row r="525" spans="2:5" ht="15" customHeight="1">
      <c r="B525" s="87"/>
      <c r="C525" s="52" t="s">
        <v>206</v>
      </c>
      <c r="D525" s="53">
        <v>18</v>
      </c>
      <c r="E525" s="54">
        <v>1E-3</v>
      </c>
    </row>
    <row r="526" spans="2:5" ht="15" customHeight="1">
      <c r="B526" s="87"/>
      <c r="C526" s="52" t="s">
        <v>296</v>
      </c>
      <c r="D526" s="53">
        <v>1</v>
      </c>
      <c r="E526" s="54">
        <v>0</v>
      </c>
    </row>
    <row r="527" spans="2:5" ht="15" customHeight="1">
      <c r="B527" s="87"/>
      <c r="C527" s="52" t="s">
        <v>297</v>
      </c>
      <c r="D527" s="53">
        <v>1</v>
      </c>
      <c r="E527" s="54">
        <v>0</v>
      </c>
    </row>
    <row r="528" spans="2:5" ht="15" customHeight="1">
      <c r="B528" s="87"/>
      <c r="C528" s="52" t="s">
        <v>299</v>
      </c>
      <c r="D528" s="53">
        <v>1</v>
      </c>
      <c r="E528" s="54">
        <v>0</v>
      </c>
    </row>
    <row r="529" spans="2:5" ht="15" customHeight="1">
      <c r="B529" s="87"/>
      <c r="C529" s="52" t="s">
        <v>211</v>
      </c>
      <c r="D529" s="53">
        <v>1</v>
      </c>
      <c r="E529" s="54">
        <v>0</v>
      </c>
    </row>
    <row r="530" spans="2:5" ht="15" customHeight="1">
      <c r="B530" s="87"/>
      <c r="C530" s="52" t="s">
        <v>212</v>
      </c>
      <c r="D530" s="53">
        <v>8</v>
      </c>
      <c r="E530" s="54">
        <v>1E-3</v>
      </c>
    </row>
    <row r="531" spans="2:5" ht="15" customHeight="1">
      <c r="B531" s="86"/>
      <c r="C531" s="68" t="s">
        <v>307</v>
      </c>
      <c r="D531" s="66">
        <v>76</v>
      </c>
      <c r="E531" s="69">
        <v>5.0000000000000001E-3</v>
      </c>
    </row>
    <row r="532" spans="2:5" ht="15" customHeight="1">
      <c r="B532" s="85" t="s">
        <v>74</v>
      </c>
      <c r="C532" s="52" t="s">
        <v>199</v>
      </c>
      <c r="D532" s="53">
        <v>2</v>
      </c>
      <c r="E532" s="54">
        <v>0</v>
      </c>
    </row>
    <row r="533" spans="2:5" ht="15" customHeight="1">
      <c r="B533" s="87"/>
      <c r="C533" s="52" t="s">
        <v>294</v>
      </c>
      <c r="D533" s="53">
        <v>1</v>
      </c>
      <c r="E533" s="54">
        <v>0</v>
      </c>
    </row>
    <row r="534" spans="2:5" ht="15" customHeight="1">
      <c r="B534" s="87"/>
      <c r="C534" s="52" t="s">
        <v>295</v>
      </c>
      <c r="D534" s="53">
        <v>1</v>
      </c>
      <c r="E534" s="54">
        <v>0</v>
      </c>
    </row>
    <row r="535" spans="2:5" ht="15" customHeight="1">
      <c r="B535" s="87"/>
      <c r="C535" s="52" t="s">
        <v>203</v>
      </c>
      <c r="D535" s="53">
        <v>3</v>
      </c>
      <c r="E535" s="54">
        <v>0</v>
      </c>
    </row>
    <row r="536" spans="2:5" ht="15" customHeight="1">
      <c r="B536" s="87"/>
      <c r="C536" s="52" t="s">
        <v>205</v>
      </c>
      <c r="D536" s="53">
        <v>2</v>
      </c>
      <c r="E536" s="54">
        <v>0</v>
      </c>
    </row>
    <row r="537" spans="2:5" ht="15" customHeight="1">
      <c r="B537" s="87"/>
      <c r="C537" s="52" t="s">
        <v>206</v>
      </c>
      <c r="D537" s="53">
        <v>13</v>
      </c>
      <c r="E537" s="54">
        <v>1E-3</v>
      </c>
    </row>
    <row r="538" spans="2:5" ht="15" customHeight="1">
      <c r="B538" s="87"/>
      <c r="C538" s="52" t="s">
        <v>296</v>
      </c>
      <c r="D538" s="53">
        <v>1</v>
      </c>
      <c r="E538" s="54">
        <v>0</v>
      </c>
    </row>
    <row r="539" spans="2:5" ht="15" customHeight="1">
      <c r="B539" s="87"/>
      <c r="C539" s="52" t="s">
        <v>297</v>
      </c>
      <c r="D539" s="53">
        <v>1</v>
      </c>
      <c r="E539" s="54">
        <v>0</v>
      </c>
    </row>
    <row r="540" spans="2:5" ht="15" customHeight="1">
      <c r="B540" s="87"/>
      <c r="C540" s="52" t="s">
        <v>211</v>
      </c>
      <c r="D540" s="53">
        <v>3</v>
      </c>
      <c r="E540" s="54">
        <v>0</v>
      </c>
    </row>
    <row r="541" spans="2:5" ht="15" customHeight="1">
      <c r="B541" s="87"/>
      <c r="C541" s="52" t="s">
        <v>212</v>
      </c>
      <c r="D541" s="53">
        <v>6</v>
      </c>
      <c r="E541" s="54">
        <v>0</v>
      </c>
    </row>
    <row r="542" spans="2:5" ht="15" customHeight="1">
      <c r="B542" s="86"/>
      <c r="C542" s="68" t="s">
        <v>307</v>
      </c>
      <c r="D542" s="66">
        <v>33</v>
      </c>
      <c r="E542" s="69">
        <v>2E-3</v>
      </c>
    </row>
    <row r="543" spans="2:5" ht="15" customHeight="1">
      <c r="B543" s="85" t="s">
        <v>50</v>
      </c>
      <c r="C543" s="52" t="s">
        <v>192</v>
      </c>
      <c r="D543" s="53">
        <v>5</v>
      </c>
      <c r="E543" s="54">
        <v>0</v>
      </c>
    </row>
    <row r="544" spans="2:5" ht="15" customHeight="1">
      <c r="B544" s="87"/>
      <c r="C544" s="52" t="s">
        <v>289</v>
      </c>
      <c r="D544" s="53">
        <v>6</v>
      </c>
      <c r="E544" s="54">
        <v>0</v>
      </c>
    </row>
    <row r="545" spans="2:5" ht="15" customHeight="1">
      <c r="B545" s="87"/>
      <c r="C545" s="52" t="s">
        <v>290</v>
      </c>
      <c r="D545" s="53">
        <v>4</v>
      </c>
      <c r="E545" s="54">
        <v>0</v>
      </c>
    </row>
    <row r="546" spans="2:5" ht="15" customHeight="1">
      <c r="B546" s="87"/>
      <c r="C546" s="52" t="s">
        <v>291</v>
      </c>
      <c r="D546" s="53">
        <v>5</v>
      </c>
      <c r="E546" s="54">
        <v>0</v>
      </c>
    </row>
    <row r="547" spans="2:5" ht="15" customHeight="1">
      <c r="B547" s="87"/>
      <c r="C547" s="52" t="s">
        <v>292</v>
      </c>
      <c r="D547" s="53">
        <v>53</v>
      </c>
      <c r="E547" s="54">
        <v>4.0000000000000001E-3</v>
      </c>
    </row>
    <row r="548" spans="2:5" ht="15" customHeight="1">
      <c r="B548" s="87"/>
      <c r="C548" s="52" t="s">
        <v>199</v>
      </c>
      <c r="D548" s="53">
        <v>39</v>
      </c>
      <c r="E548" s="54">
        <v>3.0000000000000001E-3</v>
      </c>
    </row>
    <row r="549" spans="2:5" ht="15" customHeight="1">
      <c r="B549" s="87"/>
      <c r="C549" s="52" t="s">
        <v>293</v>
      </c>
      <c r="D549" s="53">
        <v>3</v>
      </c>
      <c r="E549" s="54">
        <v>0</v>
      </c>
    </row>
    <row r="550" spans="2:5" ht="15" customHeight="1">
      <c r="B550" s="87"/>
      <c r="C550" s="52" t="s">
        <v>294</v>
      </c>
      <c r="D550" s="53">
        <v>17</v>
      </c>
      <c r="E550" s="54">
        <v>1E-3</v>
      </c>
    </row>
    <row r="551" spans="2:5" ht="15" customHeight="1">
      <c r="B551" s="87"/>
      <c r="C551" s="52" t="s">
        <v>295</v>
      </c>
      <c r="D551" s="53">
        <v>34</v>
      </c>
      <c r="E551" s="54">
        <v>2E-3</v>
      </c>
    </row>
    <row r="552" spans="2:5" ht="15" customHeight="1">
      <c r="B552" s="87"/>
      <c r="C552" s="52" t="s">
        <v>203</v>
      </c>
      <c r="D552" s="53">
        <v>287</v>
      </c>
      <c r="E552" s="54">
        <v>0.02</v>
      </c>
    </row>
    <row r="553" spans="2:5" ht="15" customHeight="1">
      <c r="B553" s="87"/>
      <c r="C553" s="52" t="s">
        <v>204</v>
      </c>
      <c r="D553" s="53">
        <v>89</v>
      </c>
      <c r="E553" s="54">
        <v>6.0000000000000001E-3</v>
      </c>
    </row>
    <row r="554" spans="2:5" ht="15" customHeight="1">
      <c r="B554" s="87"/>
      <c r="C554" s="52" t="s">
        <v>205</v>
      </c>
      <c r="D554" s="53">
        <v>48</v>
      </c>
      <c r="E554" s="54">
        <v>3.0000000000000001E-3</v>
      </c>
    </row>
    <row r="555" spans="2:5" ht="15" customHeight="1">
      <c r="B555" s="87"/>
      <c r="C555" s="52" t="s">
        <v>206</v>
      </c>
      <c r="D555" s="53">
        <v>334</v>
      </c>
      <c r="E555" s="54">
        <v>2.4E-2</v>
      </c>
    </row>
    <row r="556" spans="2:5" ht="15" customHeight="1">
      <c r="B556" s="87"/>
      <c r="C556" s="52" t="s">
        <v>297</v>
      </c>
      <c r="D556" s="53">
        <v>6</v>
      </c>
      <c r="E556" s="54">
        <v>0</v>
      </c>
    </row>
    <row r="557" spans="2:5" ht="15" customHeight="1">
      <c r="B557" s="87"/>
      <c r="C557" s="52" t="s">
        <v>298</v>
      </c>
      <c r="D557" s="53">
        <v>2</v>
      </c>
      <c r="E557" s="54">
        <v>0</v>
      </c>
    </row>
    <row r="558" spans="2:5" ht="15" customHeight="1">
      <c r="B558" s="87"/>
      <c r="C558" s="52" t="s">
        <v>299</v>
      </c>
      <c r="D558" s="53">
        <v>1</v>
      </c>
      <c r="E558" s="54">
        <v>0</v>
      </c>
    </row>
    <row r="559" spans="2:5" ht="15" customHeight="1">
      <c r="B559" s="87"/>
      <c r="C559" s="52" t="s">
        <v>211</v>
      </c>
      <c r="D559" s="53">
        <v>34</v>
      </c>
      <c r="E559" s="54">
        <v>2E-3</v>
      </c>
    </row>
    <row r="560" spans="2:5" ht="15" customHeight="1">
      <c r="B560" s="87"/>
      <c r="C560" s="52" t="s">
        <v>212</v>
      </c>
      <c r="D560" s="53">
        <v>136</v>
      </c>
      <c r="E560" s="54">
        <v>0.01</v>
      </c>
    </row>
    <row r="561" spans="2:5" ht="15" customHeight="1">
      <c r="B561" s="87"/>
      <c r="C561" s="52" t="s">
        <v>214</v>
      </c>
      <c r="D561" s="53">
        <v>2</v>
      </c>
      <c r="E561" s="54">
        <v>0</v>
      </c>
    </row>
    <row r="562" spans="2:5" ht="15" customHeight="1">
      <c r="B562" s="86"/>
      <c r="C562" s="68" t="s">
        <v>307</v>
      </c>
      <c r="D562" s="66">
        <v>1105</v>
      </c>
      <c r="E562" s="69">
        <v>7.8E-2</v>
      </c>
    </row>
    <row r="563" spans="2:5" ht="15" customHeight="1">
      <c r="B563" s="85" t="s">
        <v>81</v>
      </c>
      <c r="C563" s="52" t="s">
        <v>292</v>
      </c>
      <c r="D563" s="53">
        <v>1</v>
      </c>
      <c r="E563" s="54">
        <v>0</v>
      </c>
    </row>
    <row r="564" spans="2:5" ht="15" customHeight="1">
      <c r="B564" s="87"/>
      <c r="C564" s="52" t="s">
        <v>199</v>
      </c>
      <c r="D564" s="53">
        <v>2</v>
      </c>
      <c r="E564" s="54">
        <v>0</v>
      </c>
    </row>
    <row r="565" spans="2:5" ht="15" customHeight="1">
      <c r="B565" s="87"/>
      <c r="C565" s="52" t="s">
        <v>294</v>
      </c>
      <c r="D565" s="53">
        <v>1</v>
      </c>
      <c r="E565" s="54">
        <v>0</v>
      </c>
    </row>
    <row r="566" spans="2:5" ht="15" customHeight="1">
      <c r="B566" s="87"/>
      <c r="C566" s="52" t="s">
        <v>295</v>
      </c>
      <c r="D566" s="53">
        <v>3</v>
      </c>
      <c r="E566" s="54">
        <v>0</v>
      </c>
    </row>
    <row r="567" spans="2:5" ht="15" customHeight="1">
      <c r="B567" s="87"/>
      <c r="C567" s="52" t="s">
        <v>203</v>
      </c>
      <c r="D567" s="53">
        <v>8</v>
      </c>
      <c r="E567" s="54">
        <v>1E-3</v>
      </c>
    </row>
    <row r="568" spans="2:5" ht="15" customHeight="1">
      <c r="B568" s="87"/>
      <c r="C568" s="52" t="s">
        <v>206</v>
      </c>
      <c r="D568" s="53">
        <v>8</v>
      </c>
      <c r="E568" s="54">
        <v>1E-3</v>
      </c>
    </row>
    <row r="569" spans="2:5" ht="15" customHeight="1">
      <c r="B569" s="87"/>
      <c r="C569" s="52" t="s">
        <v>299</v>
      </c>
      <c r="D569" s="53">
        <v>1</v>
      </c>
      <c r="E569" s="54">
        <v>0</v>
      </c>
    </row>
    <row r="570" spans="2:5" ht="15" customHeight="1">
      <c r="B570" s="87"/>
      <c r="C570" s="52" t="s">
        <v>211</v>
      </c>
      <c r="D570" s="53">
        <v>1</v>
      </c>
      <c r="E570" s="54">
        <v>0</v>
      </c>
    </row>
    <row r="571" spans="2:5" ht="15" customHeight="1">
      <c r="B571" s="87"/>
      <c r="C571" s="52" t="s">
        <v>212</v>
      </c>
      <c r="D571" s="53">
        <v>2</v>
      </c>
      <c r="E571" s="54">
        <v>0</v>
      </c>
    </row>
    <row r="572" spans="2:5" ht="15" customHeight="1">
      <c r="B572" s="86"/>
      <c r="C572" s="68" t="s">
        <v>307</v>
      </c>
      <c r="D572" s="66">
        <v>27</v>
      </c>
      <c r="E572" s="69">
        <v>2E-3</v>
      </c>
    </row>
    <row r="573" spans="2:5" ht="15" customHeight="1">
      <c r="B573" s="85" t="s">
        <v>82</v>
      </c>
      <c r="C573" s="52" t="s">
        <v>289</v>
      </c>
      <c r="D573" s="53">
        <v>2</v>
      </c>
      <c r="E573" s="54">
        <v>0</v>
      </c>
    </row>
    <row r="574" spans="2:5" ht="15" customHeight="1">
      <c r="B574" s="87"/>
      <c r="C574" s="52" t="s">
        <v>292</v>
      </c>
      <c r="D574" s="53">
        <v>1</v>
      </c>
      <c r="E574" s="54">
        <v>0</v>
      </c>
    </row>
    <row r="575" spans="2:5" ht="15" customHeight="1">
      <c r="B575" s="87"/>
      <c r="C575" s="52" t="s">
        <v>199</v>
      </c>
      <c r="D575" s="53">
        <v>3</v>
      </c>
      <c r="E575" s="54">
        <v>0</v>
      </c>
    </row>
    <row r="576" spans="2:5" ht="15" customHeight="1">
      <c r="B576" s="87"/>
      <c r="C576" s="52" t="s">
        <v>203</v>
      </c>
      <c r="D576" s="53">
        <v>2</v>
      </c>
      <c r="E576" s="54">
        <v>0</v>
      </c>
    </row>
    <row r="577" spans="2:5" ht="15" customHeight="1">
      <c r="B577" s="87"/>
      <c r="C577" s="52" t="s">
        <v>204</v>
      </c>
      <c r="D577" s="53">
        <v>1</v>
      </c>
      <c r="E577" s="54">
        <v>0</v>
      </c>
    </row>
    <row r="578" spans="2:5" ht="15" customHeight="1">
      <c r="B578" s="87"/>
      <c r="C578" s="52" t="s">
        <v>205</v>
      </c>
      <c r="D578" s="53">
        <v>1</v>
      </c>
      <c r="E578" s="54">
        <v>0</v>
      </c>
    </row>
    <row r="579" spans="2:5" ht="15" customHeight="1">
      <c r="B579" s="87"/>
      <c r="C579" s="52" t="s">
        <v>206</v>
      </c>
      <c r="D579" s="53">
        <v>8</v>
      </c>
      <c r="E579" s="54">
        <v>1E-3</v>
      </c>
    </row>
    <row r="580" spans="2:5" ht="15" customHeight="1">
      <c r="B580" s="87"/>
      <c r="C580" s="52" t="s">
        <v>296</v>
      </c>
      <c r="D580" s="53">
        <v>1</v>
      </c>
      <c r="E580" s="54">
        <v>0</v>
      </c>
    </row>
    <row r="581" spans="2:5" ht="15" customHeight="1">
      <c r="B581" s="87"/>
      <c r="C581" s="52" t="s">
        <v>211</v>
      </c>
      <c r="D581" s="53">
        <v>1</v>
      </c>
      <c r="E581" s="54">
        <v>0</v>
      </c>
    </row>
    <row r="582" spans="2:5" ht="15" customHeight="1">
      <c r="B582" s="87"/>
      <c r="C582" s="52" t="s">
        <v>212</v>
      </c>
      <c r="D582" s="53">
        <v>4</v>
      </c>
      <c r="E582" s="54">
        <v>0</v>
      </c>
    </row>
    <row r="583" spans="2:5" ht="15" customHeight="1">
      <c r="B583" s="86"/>
      <c r="C583" s="68" t="s">
        <v>307</v>
      </c>
      <c r="D583" s="66">
        <v>24</v>
      </c>
      <c r="E583" s="69">
        <v>2E-3</v>
      </c>
    </row>
    <row r="584" spans="2:5" ht="15" customHeight="1">
      <c r="B584" s="85" t="s">
        <v>89</v>
      </c>
      <c r="C584" s="52" t="s">
        <v>292</v>
      </c>
      <c r="D584" s="53">
        <v>1</v>
      </c>
      <c r="E584" s="54">
        <v>0</v>
      </c>
    </row>
    <row r="585" spans="2:5" ht="15" customHeight="1">
      <c r="B585" s="87"/>
      <c r="C585" s="52" t="s">
        <v>295</v>
      </c>
      <c r="D585" s="53">
        <v>1</v>
      </c>
      <c r="E585" s="54">
        <v>0</v>
      </c>
    </row>
    <row r="586" spans="2:5" ht="15" customHeight="1">
      <c r="B586" s="87"/>
      <c r="C586" s="52" t="s">
        <v>203</v>
      </c>
      <c r="D586" s="53">
        <v>1</v>
      </c>
      <c r="E586" s="54">
        <v>0</v>
      </c>
    </row>
    <row r="587" spans="2:5" ht="15" customHeight="1">
      <c r="B587" s="87"/>
      <c r="C587" s="52" t="s">
        <v>204</v>
      </c>
      <c r="D587" s="53">
        <v>1</v>
      </c>
      <c r="E587" s="54">
        <v>0</v>
      </c>
    </row>
    <row r="588" spans="2:5" ht="15" customHeight="1">
      <c r="B588" s="87"/>
      <c r="C588" s="52" t="s">
        <v>212</v>
      </c>
      <c r="D588" s="53">
        <v>2</v>
      </c>
      <c r="E588" s="54">
        <v>0</v>
      </c>
    </row>
    <row r="589" spans="2:5" ht="15" customHeight="1">
      <c r="B589" s="87"/>
      <c r="C589" s="52" t="s">
        <v>214</v>
      </c>
      <c r="D589" s="53">
        <v>1</v>
      </c>
      <c r="E589" s="54">
        <v>0</v>
      </c>
    </row>
    <row r="590" spans="2:5" ht="15" customHeight="1">
      <c r="B590" s="86"/>
      <c r="C590" s="68" t="s">
        <v>307</v>
      </c>
      <c r="D590" s="66">
        <v>7</v>
      </c>
      <c r="E590" s="69">
        <v>0</v>
      </c>
    </row>
    <row r="591" spans="2:5" ht="15" customHeight="1">
      <c r="B591" s="85" t="s">
        <v>75</v>
      </c>
      <c r="C591" s="52" t="s">
        <v>292</v>
      </c>
      <c r="D591" s="53">
        <v>2</v>
      </c>
      <c r="E591" s="54">
        <v>0</v>
      </c>
    </row>
    <row r="592" spans="2:5" ht="15" customHeight="1">
      <c r="B592" s="87"/>
      <c r="C592" s="52" t="s">
        <v>199</v>
      </c>
      <c r="D592" s="53">
        <v>1</v>
      </c>
      <c r="E592" s="54">
        <v>0</v>
      </c>
    </row>
    <row r="593" spans="2:5" ht="15" customHeight="1">
      <c r="B593" s="87"/>
      <c r="C593" s="52" t="s">
        <v>294</v>
      </c>
      <c r="D593" s="53">
        <v>1</v>
      </c>
      <c r="E593" s="54">
        <v>0</v>
      </c>
    </row>
    <row r="594" spans="2:5" ht="15" customHeight="1">
      <c r="B594" s="87"/>
      <c r="C594" s="52" t="s">
        <v>203</v>
      </c>
      <c r="D594" s="53">
        <v>3</v>
      </c>
      <c r="E594" s="54">
        <v>0</v>
      </c>
    </row>
    <row r="595" spans="2:5" ht="15" customHeight="1">
      <c r="B595" s="87"/>
      <c r="C595" s="52" t="s">
        <v>204</v>
      </c>
      <c r="D595" s="53">
        <v>1</v>
      </c>
      <c r="E595" s="54">
        <v>0</v>
      </c>
    </row>
    <row r="596" spans="2:5" ht="15" customHeight="1">
      <c r="B596" s="87"/>
      <c r="C596" s="52" t="s">
        <v>205</v>
      </c>
      <c r="D596" s="53">
        <v>2</v>
      </c>
      <c r="E596" s="54">
        <v>0</v>
      </c>
    </row>
    <row r="597" spans="2:5" ht="15" customHeight="1">
      <c r="B597" s="87"/>
      <c r="C597" s="52" t="s">
        <v>206</v>
      </c>
      <c r="D597" s="53">
        <v>5</v>
      </c>
      <c r="E597" s="54">
        <v>0</v>
      </c>
    </row>
    <row r="598" spans="2:5" ht="15" customHeight="1">
      <c r="B598" s="87"/>
      <c r="C598" s="52" t="s">
        <v>211</v>
      </c>
      <c r="D598" s="53">
        <v>2</v>
      </c>
      <c r="E598" s="54">
        <v>0</v>
      </c>
    </row>
    <row r="599" spans="2:5" ht="15" customHeight="1">
      <c r="B599" s="87"/>
      <c r="C599" s="52" t="s">
        <v>212</v>
      </c>
      <c r="D599" s="53">
        <v>1</v>
      </c>
      <c r="E599" s="54">
        <v>0</v>
      </c>
    </row>
    <row r="600" spans="2:5" ht="15" customHeight="1">
      <c r="B600" s="86"/>
      <c r="C600" s="68" t="s">
        <v>307</v>
      </c>
      <c r="D600" s="66">
        <v>18</v>
      </c>
      <c r="E600" s="69">
        <v>1E-3</v>
      </c>
    </row>
    <row r="601" spans="2:5" ht="15" customHeight="1">
      <c r="B601" s="85" t="s">
        <v>86</v>
      </c>
      <c r="C601" s="52" t="s">
        <v>292</v>
      </c>
      <c r="D601" s="53">
        <v>2</v>
      </c>
      <c r="E601" s="54">
        <v>0</v>
      </c>
    </row>
    <row r="602" spans="2:5" ht="15" customHeight="1">
      <c r="B602" s="87"/>
      <c r="C602" s="52" t="s">
        <v>199</v>
      </c>
      <c r="D602" s="53">
        <v>2</v>
      </c>
      <c r="E602" s="54">
        <v>0</v>
      </c>
    </row>
    <row r="603" spans="2:5" ht="15" customHeight="1">
      <c r="B603" s="87"/>
      <c r="C603" s="52" t="s">
        <v>294</v>
      </c>
      <c r="D603" s="53">
        <v>2</v>
      </c>
      <c r="E603" s="54">
        <v>0</v>
      </c>
    </row>
    <row r="604" spans="2:5" ht="15" customHeight="1">
      <c r="B604" s="87"/>
      <c r="C604" s="52" t="s">
        <v>295</v>
      </c>
      <c r="D604" s="53">
        <v>1</v>
      </c>
      <c r="E604" s="54">
        <v>0</v>
      </c>
    </row>
    <row r="605" spans="2:5" ht="15" customHeight="1">
      <c r="B605" s="87"/>
      <c r="C605" s="52" t="s">
        <v>203</v>
      </c>
      <c r="D605" s="53">
        <v>5</v>
      </c>
      <c r="E605" s="54">
        <v>0</v>
      </c>
    </row>
    <row r="606" spans="2:5" ht="15" customHeight="1">
      <c r="B606" s="87"/>
      <c r="C606" s="52" t="s">
        <v>206</v>
      </c>
      <c r="D606" s="53">
        <v>4</v>
      </c>
      <c r="E606" s="54">
        <v>0</v>
      </c>
    </row>
    <row r="607" spans="2:5" ht="15" customHeight="1">
      <c r="B607" s="87"/>
      <c r="C607" s="52" t="s">
        <v>296</v>
      </c>
      <c r="D607" s="53">
        <v>1</v>
      </c>
      <c r="E607" s="54">
        <v>0</v>
      </c>
    </row>
    <row r="608" spans="2:5" ht="15" customHeight="1">
      <c r="B608" s="87"/>
      <c r="C608" s="52" t="s">
        <v>211</v>
      </c>
      <c r="D608" s="53">
        <v>1</v>
      </c>
      <c r="E608" s="54">
        <v>0</v>
      </c>
    </row>
    <row r="609" spans="2:5" ht="15" customHeight="1">
      <c r="B609" s="87"/>
      <c r="C609" s="52" t="s">
        <v>212</v>
      </c>
      <c r="D609" s="53">
        <v>7</v>
      </c>
      <c r="E609" s="54">
        <v>0</v>
      </c>
    </row>
    <row r="610" spans="2:5" ht="15" customHeight="1">
      <c r="B610" s="86"/>
      <c r="C610" s="68" t="s">
        <v>307</v>
      </c>
      <c r="D610" s="66">
        <v>25</v>
      </c>
      <c r="E610" s="69">
        <v>2E-3</v>
      </c>
    </row>
    <row r="611" spans="2:5" ht="15" customHeight="1">
      <c r="B611" s="85" t="s">
        <v>88</v>
      </c>
      <c r="C611" s="52" t="s">
        <v>203</v>
      </c>
      <c r="D611" s="53">
        <v>2</v>
      </c>
      <c r="E611" s="54">
        <v>0</v>
      </c>
    </row>
    <row r="612" spans="2:5" ht="15" customHeight="1">
      <c r="B612" s="87"/>
      <c r="C612" s="52" t="s">
        <v>206</v>
      </c>
      <c r="D612" s="53">
        <v>1</v>
      </c>
      <c r="E612" s="54">
        <v>0</v>
      </c>
    </row>
    <row r="613" spans="2:5" ht="15" customHeight="1">
      <c r="B613" s="87"/>
      <c r="C613" s="52" t="s">
        <v>211</v>
      </c>
      <c r="D613" s="53">
        <v>1</v>
      </c>
      <c r="E613" s="54">
        <v>0</v>
      </c>
    </row>
    <row r="614" spans="2:5" ht="15" customHeight="1">
      <c r="B614" s="86"/>
      <c r="C614" s="68" t="s">
        <v>307</v>
      </c>
      <c r="D614" s="66">
        <v>4</v>
      </c>
      <c r="E614" s="69">
        <v>0</v>
      </c>
    </row>
    <row r="615" spans="2:5" ht="15" customHeight="1">
      <c r="B615" s="85" t="s">
        <v>92</v>
      </c>
      <c r="C615" s="52" t="s">
        <v>203</v>
      </c>
      <c r="D615" s="53">
        <v>2</v>
      </c>
      <c r="E615" s="54">
        <v>0</v>
      </c>
    </row>
    <row r="616" spans="2:5" ht="15" customHeight="1">
      <c r="B616" s="87"/>
      <c r="C616" s="52" t="s">
        <v>204</v>
      </c>
      <c r="D616" s="53">
        <v>2</v>
      </c>
      <c r="E616" s="54">
        <v>0</v>
      </c>
    </row>
    <row r="617" spans="2:5" ht="15" customHeight="1">
      <c r="B617" s="87"/>
      <c r="C617" s="52" t="s">
        <v>205</v>
      </c>
      <c r="D617" s="53">
        <v>1</v>
      </c>
      <c r="E617" s="54">
        <v>0</v>
      </c>
    </row>
    <row r="618" spans="2:5" ht="15" customHeight="1">
      <c r="B618" s="87"/>
      <c r="C618" s="52" t="s">
        <v>206</v>
      </c>
      <c r="D618" s="53">
        <v>1</v>
      </c>
      <c r="E618" s="54">
        <v>0</v>
      </c>
    </row>
    <row r="619" spans="2:5" ht="15" customHeight="1">
      <c r="B619" s="87"/>
      <c r="C619" s="52" t="s">
        <v>211</v>
      </c>
      <c r="D619" s="53">
        <v>1</v>
      </c>
      <c r="E619" s="54">
        <v>0</v>
      </c>
    </row>
    <row r="620" spans="2:5" ht="15" customHeight="1">
      <c r="B620" s="87"/>
      <c r="C620" s="52" t="s">
        <v>212</v>
      </c>
      <c r="D620" s="53">
        <v>3</v>
      </c>
      <c r="E620" s="54">
        <v>0</v>
      </c>
    </row>
    <row r="621" spans="2:5" ht="15" customHeight="1">
      <c r="B621" s="87"/>
      <c r="C621" s="52" t="s">
        <v>215</v>
      </c>
      <c r="D621" s="53">
        <v>1</v>
      </c>
      <c r="E621" s="54">
        <v>0</v>
      </c>
    </row>
    <row r="622" spans="2:5" ht="15" customHeight="1">
      <c r="B622" s="86"/>
      <c r="C622" s="68" t="s">
        <v>307</v>
      </c>
      <c r="D622" s="66">
        <v>11</v>
      </c>
      <c r="E622" s="69">
        <v>1E-3</v>
      </c>
    </row>
    <row r="623" spans="2:5" ht="15" customHeight="1">
      <c r="B623" s="85" t="s">
        <v>73</v>
      </c>
      <c r="C623" s="52" t="s">
        <v>292</v>
      </c>
      <c r="D623" s="53">
        <v>1</v>
      </c>
      <c r="E623" s="54">
        <v>0</v>
      </c>
    </row>
    <row r="624" spans="2:5" ht="15" customHeight="1">
      <c r="B624" s="87"/>
      <c r="C624" s="52" t="s">
        <v>199</v>
      </c>
      <c r="D624" s="53">
        <v>4</v>
      </c>
      <c r="E624" s="54">
        <v>0</v>
      </c>
    </row>
    <row r="625" spans="2:5" ht="15" customHeight="1">
      <c r="B625" s="87"/>
      <c r="C625" s="52" t="s">
        <v>295</v>
      </c>
      <c r="D625" s="53">
        <v>1</v>
      </c>
      <c r="E625" s="54">
        <v>0</v>
      </c>
    </row>
    <row r="626" spans="2:5" ht="15" customHeight="1">
      <c r="B626" s="87"/>
      <c r="C626" s="52" t="s">
        <v>203</v>
      </c>
      <c r="D626" s="53">
        <v>9</v>
      </c>
      <c r="E626" s="54">
        <v>1E-3</v>
      </c>
    </row>
    <row r="627" spans="2:5" ht="15" customHeight="1">
      <c r="B627" s="87"/>
      <c r="C627" s="52" t="s">
        <v>205</v>
      </c>
      <c r="D627" s="53">
        <v>3</v>
      </c>
      <c r="E627" s="54">
        <v>0</v>
      </c>
    </row>
    <row r="628" spans="2:5" ht="15" customHeight="1">
      <c r="B628" s="87"/>
      <c r="C628" s="52" t="s">
        <v>206</v>
      </c>
      <c r="D628" s="53">
        <v>9</v>
      </c>
      <c r="E628" s="54">
        <v>1E-3</v>
      </c>
    </row>
    <row r="629" spans="2:5" ht="15" customHeight="1">
      <c r="B629" s="87"/>
      <c r="C629" s="52" t="s">
        <v>297</v>
      </c>
      <c r="D629" s="53">
        <v>1</v>
      </c>
      <c r="E629" s="54">
        <v>0</v>
      </c>
    </row>
    <row r="630" spans="2:5" ht="15" customHeight="1">
      <c r="B630" s="87"/>
      <c r="C630" s="52" t="s">
        <v>212</v>
      </c>
      <c r="D630" s="53">
        <v>3</v>
      </c>
      <c r="E630" s="54">
        <v>0</v>
      </c>
    </row>
    <row r="631" spans="2:5" ht="15" customHeight="1">
      <c r="B631" s="87"/>
      <c r="C631" s="52" t="s">
        <v>214</v>
      </c>
      <c r="D631" s="53">
        <v>1</v>
      </c>
      <c r="E631" s="54">
        <v>0</v>
      </c>
    </row>
    <row r="632" spans="2:5" ht="15" customHeight="1">
      <c r="B632" s="86"/>
      <c r="C632" s="68" t="s">
        <v>307</v>
      </c>
      <c r="D632" s="66">
        <v>32</v>
      </c>
      <c r="E632" s="69">
        <v>2E-3</v>
      </c>
    </row>
    <row r="633" spans="2:5" ht="15" customHeight="1">
      <c r="B633" s="95" t="s">
        <v>278</v>
      </c>
      <c r="C633" s="52" t="s">
        <v>199</v>
      </c>
      <c r="D633" s="53">
        <v>1</v>
      </c>
      <c r="E633" s="54">
        <v>0</v>
      </c>
    </row>
    <row r="634" spans="2:5" ht="15" customHeight="1">
      <c r="B634" s="96"/>
      <c r="C634" s="52" t="s">
        <v>212</v>
      </c>
      <c r="D634" s="53">
        <v>1</v>
      </c>
      <c r="E634" s="54">
        <v>0</v>
      </c>
    </row>
    <row r="635" spans="2:5" ht="15" customHeight="1">
      <c r="B635" s="97"/>
      <c r="C635" s="68" t="s">
        <v>307</v>
      </c>
      <c r="D635" s="66">
        <v>2</v>
      </c>
      <c r="E635" s="69">
        <v>0</v>
      </c>
    </row>
    <row r="636" spans="2:5" ht="15" customHeight="1">
      <c r="B636" s="93" t="s">
        <v>310</v>
      </c>
      <c r="C636" s="94"/>
      <c r="D636" s="40">
        <v>14141</v>
      </c>
      <c r="E636" s="57">
        <v>1</v>
      </c>
    </row>
    <row r="637" spans="2:5" ht="15" customHeight="1">
      <c r="B637" s="46"/>
      <c r="C637" s="46"/>
      <c r="D637" s="46"/>
      <c r="E637" s="46"/>
    </row>
    <row r="638" spans="2:5" ht="15" customHeight="1">
      <c r="B638" s="34" t="s">
        <v>277</v>
      </c>
      <c r="C638" s="34"/>
      <c r="D638" s="46"/>
      <c r="E638" s="46"/>
    </row>
    <row r="639" spans="2:5" ht="15" customHeight="1">
      <c r="B639" s="35" t="s">
        <v>18</v>
      </c>
      <c r="C639" s="35"/>
      <c r="D639" s="46"/>
      <c r="E639" s="46"/>
    </row>
    <row r="640" spans="2:5" ht="15" customHeight="1">
      <c r="B640" s="32" t="s">
        <v>46</v>
      </c>
      <c r="C640" s="32"/>
      <c r="D640" s="46"/>
      <c r="E640" s="46"/>
    </row>
    <row r="641" spans="2:5" ht="15" customHeight="1">
      <c r="B641" s="34" t="s">
        <v>17</v>
      </c>
      <c r="C641" s="34"/>
      <c r="D641" s="46"/>
      <c r="E641" s="46"/>
    </row>
    <row r="642" spans="2:5" ht="15" customHeight="1">
      <c r="B642" s="34" t="s">
        <v>308</v>
      </c>
      <c r="C642" s="34"/>
      <c r="D642" s="46"/>
      <c r="E642" s="46"/>
    </row>
  </sheetData>
  <mergeCells count="52">
    <mergeCell ref="B152:B164"/>
    <mergeCell ref="B165:B178"/>
    <mergeCell ref="B179:B188"/>
    <mergeCell ref="B189:B196"/>
    <mergeCell ref="B7:E8"/>
    <mergeCell ref="B78:B99"/>
    <mergeCell ref="B100:B120"/>
    <mergeCell ref="B121:B145"/>
    <mergeCell ref="B146:B151"/>
    <mergeCell ref="B10:B22"/>
    <mergeCell ref="B23:B41"/>
    <mergeCell ref="B42:B63"/>
    <mergeCell ref="B64:B71"/>
    <mergeCell ref="B72:B77"/>
    <mergeCell ref="B306:B321"/>
    <mergeCell ref="B322:B337"/>
    <mergeCell ref="B338:B362"/>
    <mergeCell ref="B197:B202"/>
    <mergeCell ref="B203:B216"/>
    <mergeCell ref="B217:B242"/>
    <mergeCell ref="B243:B255"/>
    <mergeCell ref="B256:B273"/>
    <mergeCell ref="B274:B295"/>
    <mergeCell ref="B296:B305"/>
    <mergeCell ref="B636:C636"/>
    <mergeCell ref="B543:B562"/>
    <mergeCell ref="B515:B531"/>
    <mergeCell ref="B532:B542"/>
    <mergeCell ref="B363:B374"/>
    <mergeCell ref="B375:B385"/>
    <mergeCell ref="B386:B392"/>
    <mergeCell ref="B393:B394"/>
    <mergeCell ref="B395:B408"/>
    <mergeCell ref="B409:B416"/>
    <mergeCell ref="B611:B614"/>
    <mergeCell ref="B615:B622"/>
    <mergeCell ref="B623:B632"/>
    <mergeCell ref="B633:B635"/>
    <mergeCell ref="B417:B436"/>
    <mergeCell ref="B437:B446"/>
    <mergeCell ref="B447:B462"/>
    <mergeCell ref="B463:B467"/>
    <mergeCell ref="B468:B478"/>
    <mergeCell ref="B479:B483"/>
    <mergeCell ref="B484:B491"/>
    <mergeCell ref="B591:B600"/>
    <mergeCell ref="B601:B610"/>
    <mergeCell ref="B492:B506"/>
    <mergeCell ref="B507:B514"/>
    <mergeCell ref="B563:B572"/>
    <mergeCell ref="B573:B583"/>
    <mergeCell ref="B584:B5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" manualBreakCount="1">
    <brk id="10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15" zoomScaleNormal="100" zoomScaleSheetLayoutView="115" workbookViewId="0">
      <selection activeCell="B18" sqref="B1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29"/>
      <c r="B7" s="84" t="s">
        <v>36</v>
      </c>
      <c r="C7" s="84"/>
      <c r="D7" s="84"/>
      <c r="E7" s="29"/>
      <c r="F7" s="29"/>
    </row>
    <row r="8" spans="1:6" s="16" customFormat="1" ht="15" customHeight="1">
      <c r="A8" s="29"/>
      <c r="B8" s="84"/>
      <c r="C8" s="84"/>
      <c r="D8" s="84"/>
      <c r="E8" s="29"/>
      <c r="F8" s="29"/>
    </row>
    <row r="9" spans="1:6" s="16" customFormat="1" ht="33" customHeight="1">
      <c r="A9" s="29"/>
      <c r="B9" s="84"/>
      <c r="C9" s="84"/>
      <c r="D9" s="84"/>
      <c r="E9" s="29"/>
      <c r="F9" s="29"/>
    </row>
    <row r="10" spans="1:6" s="16" customFormat="1" ht="4.5" customHeight="1">
      <c r="A10" s="29"/>
      <c r="B10" s="30"/>
      <c r="C10" s="30"/>
      <c r="D10" s="30"/>
      <c r="E10" s="29"/>
      <c r="F10" s="29"/>
    </row>
    <row r="11" spans="1:6" s="16" customFormat="1" ht="33" customHeight="1">
      <c r="A11" s="29"/>
      <c r="B11" s="36" t="s">
        <v>29</v>
      </c>
      <c r="C11" s="37" t="s">
        <v>20</v>
      </c>
      <c r="D11" s="38" t="s">
        <v>19</v>
      </c>
      <c r="E11" s="29"/>
      <c r="F11" s="29"/>
    </row>
    <row r="12" spans="1:6" ht="16.5">
      <c r="A12" s="31"/>
      <c r="B12" s="58" t="s">
        <v>138</v>
      </c>
      <c r="C12" s="59">
        <v>6772</v>
      </c>
      <c r="D12" s="60">
        <v>0.47889116752704902</v>
      </c>
      <c r="E12" s="31"/>
      <c r="F12" s="31"/>
    </row>
    <row r="13" spans="1:6" ht="16.5">
      <c r="A13" s="31"/>
      <c r="B13" s="58" t="s">
        <v>139</v>
      </c>
      <c r="C13" s="59">
        <v>7368</v>
      </c>
      <c r="D13" s="60">
        <v>0.52103811611625805</v>
      </c>
      <c r="E13" s="31"/>
      <c r="F13" s="31"/>
    </row>
    <row r="14" spans="1:6" ht="16.5">
      <c r="A14" s="31"/>
      <c r="B14" s="58" t="s">
        <v>282</v>
      </c>
      <c r="C14" s="59">
        <v>1</v>
      </c>
      <c r="D14" s="60">
        <v>7.0716356692999998E-5</v>
      </c>
      <c r="E14" s="31"/>
      <c r="F14" s="31"/>
    </row>
    <row r="15" spans="1:6" ht="14.45" customHeight="1">
      <c r="A15" s="31"/>
      <c r="B15" s="71" t="s">
        <v>312</v>
      </c>
      <c r="C15" s="62">
        <v>14141</v>
      </c>
      <c r="D15" s="63">
        <v>1</v>
      </c>
      <c r="E15" s="31"/>
      <c r="F15" s="31"/>
    </row>
    <row r="16" spans="1:6" ht="14.45" customHeight="1">
      <c r="B16" s="34"/>
      <c r="C16" s="33"/>
      <c r="D16" s="33"/>
      <c r="E16" s="31"/>
      <c r="F16" s="31"/>
    </row>
    <row r="17" spans="2:6" ht="14.45" customHeight="1">
      <c r="B17" s="34" t="s">
        <v>277</v>
      </c>
      <c r="C17" s="47"/>
      <c r="D17" s="47"/>
      <c r="E17" s="31"/>
      <c r="F17" s="31"/>
    </row>
    <row r="18" spans="2:6" ht="14.45" customHeight="1">
      <c r="B18" s="35" t="s">
        <v>18</v>
      </c>
      <c r="C18" s="48"/>
      <c r="D18" s="48"/>
      <c r="E18" s="31"/>
      <c r="F18" s="31"/>
    </row>
    <row r="19" spans="2:6" ht="14.45" customHeight="1">
      <c r="B19" s="32" t="s">
        <v>46</v>
      </c>
      <c r="C19" s="33"/>
      <c r="D19" s="31"/>
      <c r="E19" s="31"/>
      <c r="F19" s="31"/>
    </row>
    <row r="20" spans="2:6" ht="14.45" customHeight="1">
      <c r="B20" s="34" t="s">
        <v>17</v>
      </c>
      <c r="C20" s="33"/>
      <c r="D20" s="31"/>
      <c r="E20" s="31"/>
      <c r="F20" s="31"/>
    </row>
    <row r="21" spans="2:6">
      <c r="B21" s="34" t="s">
        <v>308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69"/>
  <sheetViews>
    <sheetView showGridLines="0" view="pageBreakPreview" zoomScaleNormal="98" zoomScaleSheetLayoutView="100" workbookViewId="0"/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4.5703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 ht="12.75">
      <c r="A7" s="42"/>
      <c r="B7" s="41"/>
      <c r="C7" s="42"/>
      <c r="D7" s="42"/>
      <c r="E7" s="42"/>
      <c r="F7" s="42"/>
      <c r="G7" s="42"/>
    </row>
    <row r="8" spans="1:7" s="13" customFormat="1" ht="15" customHeight="1">
      <c r="A8" s="31"/>
      <c r="B8" s="84" t="s">
        <v>38</v>
      </c>
      <c r="C8" s="84"/>
      <c r="D8" s="84"/>
      <c r="E8" s="84"/>
      <c r="F8" s="31"/>
      <c r="G8" s="31"/>
    </row>
    <row r="9" spans="1:7" s="13" customFormat="1" ht="15" customHeight="1">
      <c r="A9" s="31"/>
      <c r="B9" s="84"/>
      <c r="C9" s="84"/>
      <c r="D9" s="84"/>
      <c r="E9" s="84"/>
      <c r="F9" s="49"/>
      <c r="G9" s="31"/>
    </row>
    <row r="10" spans="1:7" s="13" customFormat="1" ht="15" customHeight="1">
      <c r="A10" s="31"/>
      <c r="B10" s="84"/>
      <c r="C10" s="84"/>
      <c r="D10" s="84"/>
      <c r="E10" s="84"/>
      <c r="F10" s="31"/>
      <c r="G10" s="31"/>
    </row>
    <row r="11" spans="1:7" s="13" customFormat="1" ht="15" customHeight="1">
      <c r="A11" s="31"/>
      <c r="B11" s="50"/>
      <c r="C11" s="50"/>
      <c r="D11" s="50"/>
      <c r="E11" s="50"/>
      <c r="F11" s="31"/>
      <c r="G11" s="31"/>
    </row>
    <row r="12" spans="1:7" s="13" customFormat="1" ht="36.950000000000003" customHeight="1">
      <c r="A12" s="31"/>
      <c r="B12" s="72" t="s">
        <v>22</v>
      </c>
      <c r="C12" s="72" t="s">
        <v>29</v>
      </c>
      <c r="D12" s="72" t="s">
        <v>20</v>
      </c>
      <c r="E12" s="72" t="s">
        <v>19</v>
      </c>
      <c r="F12" s="31"/>
      <c r="G12" s="31"/>
    </row>
    <row r="13" spans="1:7" ht="14.45" customHeight="1">
      <c r="A13" s="29"/>
      <c r="B13" s="85" t="s">
        <v>68</v>
      </c>
      <c r="C13" s="52" t="s">
        <v>138</v>
      </c>
      <c r="D13" s="53">
        <v>21</v>
      </c>
      <c r="E13" s="54">
        <v>1E-3</v>
      </c>
      <c r="F13" s="29"/>
      <c r="G13" s="29"/>
    </row>
    <row r="14" spans="1:7" ht="14.45" customHeight="1">
      <c r="A14" s="29"/>
      <c r="B14" s="87"/>
      <c r="C14" s="52" t="s">
        <v>139</v>
      </c>
      <c r="D14" s="53">
        <v>18</v>
      </c>
      <c r="E14" s="54">
        <v>1E-3</v>
      </c>
      <c r="F14" s="29"/>
      <c r="G14" s="29"/>
    </row>
    <row r="15" spans="1:7" ht="14.45" customHeight="1">
      <c r="A15" s="29"/>
      <c r="B15" s="86"/>
      <c r="C15" s="68" t="s">
        <v>307</v>
      </c>
      <c r="D15" s="66">
        <v>39</v>
      </c>
      <c r="E15" s="69">
        <v>3.0000000000000001E-3</v>
      </c>
      <c r="F15" s="29"/>
      <c r="G15" s="29"/>
    </row>
    <row r="16" spans="1:7" ht="14.45" customHeight="1">
      <c r="A16" s="29"/>
      <c r="B16" s="85" t="s">
        <v>57</v>
      </c>
      <c r="C16" s="52" t="s">
        <v>138</v>
      </c>
      <c r="D16" s="53">
        <v>98</v>
      </c>
      <c r="E16" s="54">
        <v>7.0000000000000001E-3</v>
      </c>
      <c r="F16" s="29"/>
      <c r="G16" s="29"/>
    </row>
    <row r="17" spans="1:7" ht="14.45" customHeight="1">
      <c r="A17" s="29"/>
      <c r="B17" s="87"/>
      <c r="C17" s="52" t="s">
        <v>139</v>
      </c>
      <c r="D17" s="53">
        <v>141</v>
      </c>
      <c r="E17" s="54">
        <v>0.01</v>
      </c>
      <c r="F17" s="29"/>
      <c r="G17" s="29"/>
    </row>
    <row r="18" spans="1:7" ht="14.45" customHeight="1">
      <c r="A18" s="29"/>
      <c r="B18" s="86"/>
      <c r="C18" s="68" t="s">
        <v>307</v>
      </c>
      <c r="D18" s="66">
        <v>239</v>
      </c>
      <c r="E18" s="69">
        <v>1.7000000000000001E-2</v>
      </c>
      <c r="F18" s="29"/>
      <c r="G18" s="29"/>
    </row>
    <row r="19" spans="1:7" ht="14.45" customHeight="1">
      <c r="A19" s="29"/>
      <c r="B19" s="85" t="s">
        <v>53</v>
      </c>
      <c r="C19" s="52" t="s">
        <v>138</v>
      </c>
      <c r="D19" s="53">
        <v>205</v>
      </c>
      <c r="E19" s="54">
        <v>1.4E-2</v>
      </c>
      <c r="F19" s="29"/>
      <c r="G19" s="29"/>
    </row>
    <row r="20" spans="1:7" ht="14.45" customHeight="1">
      <c r="A20" s="29"/>
      <c r="B20" s="87"/>
      <c r="C20" s="52" t="s">
        <v>139</v>
      </c>
      <c r="D20" s="53">
        <v>228</v>
      </c>
      <c r="E20" s="54">
        <v>1.6E-2</v>
      </c>
      <c r="F20" s="29"/>
      <c r="G20" s="29"/>
    </row>
    <row r="21" spans="1:7" ht="14.45" customHeight="1">
      <c r="A21" s="29"/>
      <c r="B21" s="86"/>
      <c r="C21" s="68" t="s">
        <v>307</v>
      </c>
      <c r="D21" s="66">
        <v>433</v>
      </c>
      <c r="E21" s="69">
        <v>3.1E-2</v>
      </c>
      <c r="F21" s="29"/>
      <c r="G21" s="29"/>
    </row>
    <row r="22" spans="1:7" ht="14.45" customHeight="1">
      <c r="A22" s="29"/>
      <c r="B22" s="85" t="s">
        <v>79</v>
      </c>
      <c r="C22" s="52" t="s">
        <v>138</v>
      </c>
      <c r="D22" s="53">
        <v>8</v>
      </c>
      <c r="E22" s="54">
        <v>1E-3</v>
      </c>
      <c r="F22" s="29"/>
      <c r="G22" s="29"/>
    </row>
    <row r="23" spans="1:7" ht="14.45" customHeight="1">
      <c r="A23" s="29"/>
      <c r="B23" s="87"/>
      <c r="C23" s="52" t="s">
        <v>139</v>
      </c>
      <c r="D23" s="53">
        <v>14</v>
      </c>
      <c r="E23" s="54">
        <v>1E-3</v>
      </c>
      <c r="F23" s="29"/>
      <c r="G23" s="29"/>
    </row>
    <row r="24" spans="1:7" ht="14.45" customHeight="1">
      <c r="A24" s="29"/>
      <c r="B24" s="86"/>
      <c r="C24" s="68" t="s">
        <v>307</v>
      </c>
      <c r="D24" s="66">
        <v>22</v>
      </c>
      <c r="E24" s="69">
        <v>2E-3</v>
      </c>
      <c r="F24" s="29"/>
      <c r="G24" s="29"/>
    </row>
    <row r="25" spans="1:7" ht="14.45" customHeight="1">
      <c r="A25" s="29"/>
      <c r="B25" s="85" t="s">
        <v>87</v>
      </c>
      <c r="C25" s="52" t="s">
        <v>138</v>
      </c>
      <c r="D25" s="53">
        <v>2</v>
      </c>
      <c r="E25" s="54">
        <v>0</v>
      </c>
      <c r="F25" s="29"/>
      <c r="G25" s="29"/>
    </row>
    <row r="26" spans="1:7" ht="14.45" customHeight="1">
      <c r="A26" s="29"/>
      <c r="B26" s="87"/>
      <c r="C26" s="52" t="s">
        <v>139</v>
      </c>
      <c r="D26" s="53">
        <v>9</v>
      </c>
      <c r="E26" s="54">
        <v>1E-3</v>
      </c>
      <c r="F26" s="29"/>
      <c r="G26" s="29"/>
    </row>
    <row r="27" spans="1:7" ht="14.45" customHeight="1">
      <c r="A27" s="29"/>
      <c r="B27" s="86"/>
      <c r="C27" s="68" t="s">
        <v>307</v>
      </c>
      <c r="D27" s="66">
        <v>11</v>
      </c>
      <c r="E27" s="69">
        <v>1E-3</v>
      </c>
      <c r="F27" s="29"/>
      <c r="G27" s="29"/>
    </row>
    <row r="28" spans="1:7" ht="14.45" customHeight="1">
      <c r="A28" s="29"/>
      <c r="B28" s="85" t="s">
        <v>54</v>
      </c>
      <c r="C28" s="52" t="s">
        <v>138</v>
      </c>
      <c r="D28" s="53">
        <v>186</v>
      </c>
      <c r="E28" s="54">
        <v>1.2999999999999999E-2</v>
      </c>
      <c r="F28" s="29"/>
      <c r="G28" s="29"/>
    </row>
    <row r="29" spans="1:7" ht="14.45" customHeight="1">
      <c r="A29" s="29"/>
      <c r="B29" s="87"/>
      <c r="C29" s="52" t="s">
        <v>139</v>
      </c>
      <c r="D29" s="53">
        <v>194</v>
      </c>
      <c r="E29" s="54">
        <v>1.4E-2</v>
      </c>
      <c r="F29" s="29"/>
      <c r="G29" s="29"/>
    </row>
    <row r="30" spans="1:7" ht="14.45" customHeight="1">
      <c r="A30" s="29"/>
      <c r="B30" s="86"/>
      <c r="C30" s="68" t="s">
        <v>307</v>
      </c>
      <c r="D30" s="66">
        <v>380</v>
      </c>
      <c r="E30" s="69">
        <v>2.7E-2</v>
      </c>
      <c r="F30" s="29"/>
      <c r="G30" s="29"/>
    </row>
    <row r="31" spans="1:7" ht="14.45" customHeight="1">
      <c r="A31" s="29"/>
      <c r="B31" s="85" t="s">
        <v>51</v>
      </c>
      <c r="C31" s="52" t="s">
        <v>138</v>
      </c>
      <c r="D31" s="53">
        <v>202</v>
      </c>
      <c r="E31" s="54">
        <v>1.4E-2</v>
      </c>
      <c r="F31" s="29"/>
      <c r="G31" s="29"/>
    </row>
    <row r="32" spans="1:7" ht="14.45" customHeight="1">
      <c r="A32" s="29"/>
      <c r="B32" s="87"/>
      <c r="C32" s="52" t="s">
        <v>139</v>
      </c>
      <c r="D32" s="53">
        <v>222</v>
      </c>
      <c r="E32" s="54">
        <v>1.6E-2</v>
      </c>
      <c r="F32" s="29"/>
      <c r="G32" s="29"/>
    </row>
    <row r="33" spans="1:7" ht="14.45" customHeight="1">
      <c r="A33" s="29"/>
      <c r="B33" s="86"/>
      <c r="C33" s="68" t="s">
        <v>307</v>
      </c>
      <c r="D33" s="66">
        <v>424</v>
      </c>
      <c r="E33" s="69">
        <v>0.03</v>
      </c>
      <c r="F33" s="29"/>
      <c r="G33" s="29"/>
    </row>
    <row r="34" spans="1:7" ht="14.45" customHeight="1">
      <c r="A34" s="29"/>
      <c r="B34" s="85" t="s">
        <v>49</v>
      </c>
      <c r="C34" s="52" t="s">
        <v>138</v>
      </c>
      <c r="D34" s="53">
        <v>1111</v>
      </c>
      <c r="E34" s="54">
        <v>7.9000000000000001E-2</v>
      </c>
      <c r="F34" s="29"/>
      <c r="G34" s="29"/>
    </row>
    <row r="35" spans="1:7" ht="14.45" customHeight="1">
      <c r="A35" s="29"/>
      <c r="B35" s="87"/>
      <c r="C35" s="52" t="s">
        <v>139</v>
      </c>
      <c r="D35" s="53">
        <v>1180</v>
      </c>
      <c r="E35" s="54">
        <v>8.3000000000000004E-2</v>
      </c>
      <c r="F35" s="29"/>
      <c r="G35" s="29"/>
    </row>
    <row r="36" spans="1:7" ht="14.45" customHeight="1">
      <c r="A36" s="29"/>
      <c r="B36" s="87"/>
      <c r="C36" s="52" t="s">
        <v>282</v>
      </c>
      <c r="D36" s="53">
        <v>1</v>
      </c>
      <c r="E36" s="54">
        <v>0</v>
      </c>
      <c r="F36" s="29"/>
      <c r="G36" s="29"/>
    </row>
    <row r="37" spans="1:7" ht="14.45" customHeight="1">
      <c r="A37" s="29"/>
      <c r="B37" s="86"/>
      <c r="C37" s="68" t="s">
        <v>307</v>
      </c>
      <c r="D37" s="66">
        <v>2292</v>
      </c>
      <c r="E37" s="69">
        <v>0.16200000000000001</v>
      </c>
      <c r="F37" s="29"/>
      <c r="G37" s="29"/>
    </row>
    <row r="38" spans="1:7" ht="14.45" customHeight="1">
      <c r="A38" s="29"/>
      <c r="B38" s="85" t="s">
        <v>85</v>
      </c>
      <c r="C38" s="52" t="s">
        <v>138</v>
      </c>
      <c r="D38" s="53">
        <v>4</v>
      </c>
      <c r="E38" s="54">
        <v>0</v>
      </c>
      <c r="F38" s="29"/>
      <c r="G38" s="29"/>
    </row>
    <row r="39" spans="1:7" ht="14.45" customHeight="1">
      <c r="A39" s="29"/>
      <c r="B39" s="87"/>
      <c r="C39" s="52" t="s">
        <v>139</v>
      </c>
      <c r="D39" s="53">
        <v>8</v>
      </c>
      <c r="E39" s="54">
        <v>1E-3</v>
      </c>
      <c r="F39" s="29"/>
      <c r="G39" s="29"/>
    </row>
    <row r="40" spans="1:7" ht="14.45" customHeight="1">
      <c r="A40" s="29"/>
      <c r="B40" s="86"/>
      <c r="C40" s="68" t="s">
        <v>307</v>
      </c>
      <c r="D40" s="66">
        <v>12</v>
      </c>
      <c r="E40" s="69">
        <v>1E-3</v>
      </c>
      <c r="F40" s="29"/>
      <c r="G40" s="29"/>
    </row>
    <row r="41" spans="1:7" ht="14.45" customHeight="1">
      <c r="A41" s="29"/>
      <c r="B41" s="85" t="s">
        <v>67</v>
      </c>
      <c r="C41" s="52" t="s">
        <v>138</v>
      </c>
      <c r="D41" s="53">
        <v>24</v>
      </c>
      <c r="E41" s="54">
        <v>2E-3</v>
      </c>
      <c r="F41" s="29"/>
      <c r="G41" s="29"/>
    </row>
    <row r="42" spans="1:7" ht="14.45" customHeight="1">
      <c r="A42" s="29"/>
      <c r="B42" s="87"/>
      <c r="C42" s="52" t="s">
        <v>139</v>
      </c>
      <c r="D42" s="53">
        <v>37</v>
      </c>
      <c r="E42" s="54">
        <v>3.0000000000000001E-3</v>
      </c>
      <c r="F42" s="29"/>
      <c r="G42" s="29"/>
    </row>
    <row r="43" spans="1:7" ht="14.45" customHeight="1">
      <c r="A43" s="29"/>
      <c r="B43" s="86"/>
      <c r="C43" s="68" t="s">
        <v>307</v>
      </c>
      <c r="D43" s="66">
        <v>61</v>
      </c>
      <c r="E43" s="69">
        <v>4.0000000000000001E-3</v>
      </c>
      <c r="F43" s="29"/>
      <c r="G43" s="29"/>
    </row>
    <row r="44" spans="1:7" ht="14.45" customHeight="1">
      <c r="A44" s="29"/>
      <c r="B44" s="85" t="s">
        <v>63</v>
      </c>
      <c r="C44" s="52" t="s">
        <v>138</v>
      </c>
      <c r="D44" s="53">
        <v>49</v>
      </c>
      <c r="E44" s="54">
        <v>3.0000000000000001E-3</v>
      </c>
      <c r="F44" s="29"/>
      <c r="G44" s="29"/>
    </row>
    <row r="45" spans="1:7" ht="14.45" customHeight="1">
      <c r="A45" s="29"/>
      <c r="B45" s="87"/>
      <c r="C45" s="52" t="s">
        <v>139</v>
      </c>
      <c r="D45" s="53">
        <v>67</v>
      </c>
      <c r="E45" s="54">
        <v>5.0000000000000001E-3</v>
      </c>
      <c r="F45" s="29"/>
      <c r="G45" s="29"/>
    </row>
    <row r="46" spans="1:7" ht="14.45" customHeight="1">
      <c r="A46" s="29"/>
      <c r="B46" s="86"/>
      <c r="C46" s="68" t="s">
        <v>307</v>
      </c>
      <c r="D46" s="66">
        <v>116</v>
      </c>
      <c r="E46" s="69">
        <v>8.0000000000000002E-3</v>
      </c>
      <c r="F46" s="29"/>
      <c r="G46" s="29"/>
    </row>
    <row r="47" spans="1:7" ht="14.45" customHeight="1">
      <c r="A47" s="29"/>
      <c r="B47" s="85" t="s">
        <v>90</v>
      </c>
      <c r="C47" s="52" t="s">
        <v>138</v>
      </c>
      <c r="D47" s="53">
        <v>6</v>
      </c>
      <c r="E47" s="54">
        <v>0</v>
      </c>
      <c r="F47" s="29"/>
      <c r="G47" s="29"/>
    </row>
    <row r="48" spans="1:7" ht="14.45" customHeight="1">
      <c r="A48" s="29"/>
      <c r="B48" s="87"/>
      <c r="C48" s="52" t="s">
        <v>139</v>
      </c>
      <c r="D48" s="53">
        <v>7</v>
      </c>
      <c r="E48" s="54">
        <v>0</v>
      </c>
      <c r="F48" s="29"/>
      <c r="G48" s="29"/>
    </row>
    <row r="49" spans="1:7" ht="14.45" customHeight="1">
      <c r="A49" s="29"/>
      <c r="B49" s="86"/>
      <c r="C49" s="68" t="s">
        <v>307</v>
      </c>
      <c r="D49" s="66">
        <v>13</v>
      </c>
      <c r="E49" s="69">
        <v>1E-3</v>
      </c>
      <c r="F49" s="29"/>
      <c r="G49" s="29"/>
    </row>
    <row r="50" spans="1:7" ht="14.45" customHeight="1">
      <c r="A50" s="29"/>
      <c r="B50" s="85" t="s">
        <v>83</v>
      </c>
      <c r="C50" s="52" t="s">
        <v>138</v>
      </c>
      <c r="D50" s="53">
        <v>14</v>
      </c>
      <c r="E50" s="54">
        <v>1E-3</v>
      </c>
      <c r="F50" s="29"/>
      <c r="G50" s="29"/>
    </row>
    <row r="51" spans="1:7" ht="14.45" customHeight="1">
      <c r="A51" s="29"/>
      <c r="B51" s="87"/>
      <c r="C51" s="52" t="s">
        <v>139</v>
      </c>
      <c r="D51" s="53">
        <v>11</v>
      </c>
      <c r="E51" s="54">
        <v>1E-3</v>
      </c>
      <c r="F51" s="29"/>
      <c r="G51" s="29"/>
    </row>
    <row r="52" spans="1:7" ht="14.45" customHeight="1">
      <c r="A52" s="29"/>
      <c r="B52" s="86"/>
      <c r="C52" s="68" t="s">
        <v>307</v>
      </c>
      <c r="D52" s="66">
        <v>25</v>
      </c>
      <c r="E52" s="69">
        <v>2E-3</v>
      </c>
      <c r="F52" s="29"/>
      <c r="G52" s="29"/>
    </row>
    <row r="53" spans="1:7" ht="14.45" customHeight="1">
      <c r="A53" s="29"/>
      <c r="B53" s="85" t="s">
        <v>80</v>
      </c>
      <c r="C53" s="52" t="s">
        <v>138</v>
      </c>
      <c r="D53" s="53">
        <v>4</v>
      </c>
      <c r="E53" s="54">
        <v>0</v>
      </c>
      <c r="F53" s="29"/>
      <c r="G53" s="29"/>
    </row>
    <row r="54" spans="1:7" ht="14.45" customHeight="1">
      <c r="A54" s="29"/>
      <c r="B54" s="87"/>
      <c r="C54" s="52" t="s">
        <v>139</v>
      </c>
      <c r="D54" s="53">
        <v>8</v>
      </c>
      <c r="E54" s="54">
        <v>1E-3</v>
      </c>
      <c r="F54" s="29"/>
      <c r="G54" s="29"/>
    </row>
    <row r="55" spans="1:7" ht="14.45" customHeight="1">
      <c r="A55" s="29"/>
      <c r="B55" s="86"/>
      <c r="C55" s="68" t="s">
        <v>307</v>
      </c>
      <c r="D55" s="66">
        <v>12</v>
      </c>
      <c r="E55" s="69">
        <v>1E-3</v>
      </c>
      <c r="F55" s="29"/>
      <c r="G55" s="29"/>
    </row>
    <row r="56" spans="1:7" ht="14.45" customHeight="1">
      <c r="A56" s="29"/>
      <c r="B56" s="85" t="s">
        <v>70</v>
      </c>
      <c r="C56" s="52" t="s">
        <v>138</v>
      </c>
      <c r="D56" s="53">
        <v>22</v>
      </c>
      <c r="E56" s="54">
        <v>2E-3</v>
      </c>
      <c r="F56" s="29"/>
      <c r="G56" s="29"/>
    </row>
    <row r="57" spans="1:7" ht="14.45" customHeight="1">
      <c r="A57" s="29"/>
      <c r="B57" s="87"/>
      <c r="C57" s="52" t="s">
        <v>139</v>
      </c>
      <c r="D57" s="53">
        <v>26</v>
      </c>
      <c r="E57" s="54">
        <v>2E-3</v>
      </c>
      <c r="F57" s="29"/>
      <c r="G57" s="29"/>
    </row>
    <row r="58" spans="1:7" ht="14.45" customHeight="1">
      <c r="A58" s="29"/>
      <c r="B58" s="86"/>
      <c r="C58" s="68" t="s">
        <v>307</v>
      </c>
      <c r="D58" s="66">
        <v>48</v>
      </c>
      <c r="E58" s="69">
        <v>3.0000000000000001E-3</v>
      </c>
      <c r="F58" s="29"/>
      <c r="G58" s="29"/>
    </row>
    <row r="59" spans="1:7" ht="14.45" customHeight="1">
      <c r="A59" s="29"/>
      <c r="B59" s="85" t="s">
        <v>47</v>
      </c>
      <c r="C59" s="52" t="s">
        <v>138</v>
      </c>
      <c r="D59" s="53">
        <v>2166</v>
      </c>
      <c r="E59" s="54">
        <v>0.153</v>
      </c>
      <c r="F59" s="29"/>
      <c r="G59" s="29"/>
    </row>
    <row r="60" spans="1:7" ht="14.45" customHeight="1">
      <c r="A60" s="29"/>
      <c r="B60" s="87"/>
      <c r="C60" s="52" t="s">
        <v>139</v>
      </c>
      <c r="D60" s="53">
        <v>2485</v>
      </c>
      <c r="E60" s="54">
        <v>0.17599999999999999</v>
      </c>
      <c r="F60" s="29"/>
      <c r="G60" s="29"/>
    </row>
    <row r="61" spans="1:7" ht="14.45" customHeight="1">
      <c r="A61" s="29"/>
      <c r="B61" s="86"/>
      <c r="C61" s="68" t="s">
        <v>307</v>
      </c>
      <c r="D61" s="66">
        <v>4651</v>
      </c>
      <c r="E61" s="69">
        <v>0.32900000000000001</v>
      </c>
      <c r="F61" s="29"/>
      <c r="G61" s="29"/>
    </row>
    <row r="62" spans="1:7" ht="14.45" customHeight="1">
      <c r="A62" s="29"/>
      <c r="B62" s="85" t="s">
        <v>64</v>
      </c>
      <c r="C62" s="52" t="s">
        <v>138</v>
      </c>
      <c r="D62" s="53">
        <v>11</v>
      </c>
      <c r="E62" s="54">
        <v>1E-3</v>
      </c>
      <c r="F62" s="29"/>
      <c r="G62" s="29"/>
    </row>
    <row r="63" spans="1:7" ht="14.45" customHeight="1">
      <c r="A63" s="29"/>
      <c r="B63" s="87"/>
      <c r="C63" s="52" t="s">
        <v>139</v>
      </c>
      <c r="D63" s="53">
        <v>25</v>
      </c>
      <c r="E63" s="54">
        <v>2E-3</v>
      </c>
      <c r="F63" s="29"/>
      <c r="G63" s="29"/>
    </row>
    <row r="64" spans="1:7" ht="14.45" customHeight="1">
      <c r="A64" s="29"/>
      <c r="B64" s="86"/>
      <c r="C64" s="68" t="s">
        <v>307</v>
      </c>
      <c r="D64" s="66">
        <v>36</v>
      </c>
      <c r="E64" s="69">
        <v>3.0000000000000001E-3</v>
      </c>
      <c r="F64" s="29"/>
      <c r="G64" s="29"/>
    </row>
    <row r="65" spans="1:7" ht="14.45" customHeight="1">
      <c r="A65" s="29"/>
      <c r="B65" s="85" t="s">
        <v>61</v>
      </c>
      <c r="C65" s="52" t="s">
        <v>138</v>
      </c>
      <c r="D65" s="53">
        <v>39</v>
      </c>
      <c r="E65" s="54">
        <v>3.0000000000000001E-3</v>
      </c>
      <c r="F65" s="29"/>
      <c r="G65" s="29"/>
    </row>
    <row r="66" spans="1:7" ht="14.45" customHeight="1">
      <c r="A66" s="29"/>
      <c r="B66" s="87"/>
      <c r="C66" s="52" t="s">
        <v>139</v>
      </c>
      <c r="D66" s="53">
        <v>66</v>
      </c>
      <c r="E66" s="54">
        <v>5.0000000000000001E-3</v>
      </c>
      <c r="F66" s="29"/>
      <c r="G66" s="29"/>
    </row>
    <row r="67" spans="1:7" ht="14.45" customHeight="1">
      <c r="A67" s="29"/>
      <c r="B67" s="86"/>
      <c r="C67" s="68" t="s">
        <v>307</v>
      </c>
      <c r="D67" s="66">
        <v>105</v>
      </c>
      <c r="E67" s="69">
        <v>7.0000000000000001E-3</v>
      </c>
      <c r="F67" s="29"/>
      <c r="G67" s="29"/>
    </row>
    <row r="68" spans="1:7" ht="14.45" customHeight="1">
      <c r="A68" s="29"/>
      <c r="B68" s="85" t="s">
        <v>52</v>
      </c>
      <c r="C68" s="52" t="s">
        <v>138</v>
      </c>
      <c r="D68" s="53">
        <v>214</v>
      </c>
      <c r="E68" s="54">
        <v>1.4999999999999999E-2</v>
      </c>
      <c r="F68" s="29"/>
      <c r="G68" s="29"/>
    </row>
    <row r="69" spans="1:7" ht="14.45" customHeight="1">
      <c r="A69" s="29"/>
      <c r="B69" s="87"/>
      <c r="C69" s="52" t="s">
        <v>139</v>
      </c>
      <c r="D69" s="53">
        <v>223</v>
      </c>
      <c r="E69" s="54">
        <v>1.6E-2</v>
      </c>
      <c r="F69" s="29"/>
      <c r="G69" s="29"/>
    </row>
    <row r="70" spans="1:7" ht="14.45" customHeight="1">
      <c r="A70" s="29"/>
      <c r="B70" s="86"/>
      <c r="C70" s="68" t="s">
        <v>307</v>
      </c>
      <c r="D70" s="66">
        <v>437</v>
      </c>
      <c r="E70" s="69">
        <v>3.1E-2</v>
      </c>
      <c r="F70" s="29"/>
      <c r="G70" s="29"/>
    </row>
    <row r="71" spans="1:7" ht="14.45" customHeight="1">
      <c r="A71" s="29"/>
      <c r="B71" s="85" t="s">
        <v>71</v>
      </c>
      <c r="C71" s="52" t="s">
        <v>138</v>
      </c>
      <c r="D71" s="53">
        <v>15</v>
      </c>
      <c r="E71" s="54">
        <v>1E-3</v>
      </c>
      <c r="F71" s="29"/>
      <c r="G71" s="29"/>
    </row>
    <row r="72" spans="1:7" ht="14.45" customHeight="1">
      <c r="A72" s="29"/>
      <c r="B72" s="87"/>
      <c r="C72" s="52" t="s">
        <v>139</v>
      </c>
      <c r="D72" s="53">
        <v>20</v>
      </c>
      <c r="E72" s="54">
        <v>1E-3</v>
      </c>
      <c r="F72" s="29"/>
      <c r="G72" s="29"/>
    </row>
    <row r="73" spans="1:7" ht="14.45" customHeight="1">
      <c r="A73" s="29"/>
      <c r="B73" s="86"/>
      <c r="C73" s="68" t="s">
        <v>307</v>
      </c>
      <c r="D73" s="66">
        <v>35</v>
      </c>
      <c r="E73" s="69">
        <v>2E-3</v>
      </c>
      <c r="F73" s="29"/>
      <c r="G73" s="29"/>
    </row>
    <row r="74" spans="1:7" ht="14.45" customHeight="1">
      <c r="A74" s="29"/>
      <c r="B74" s="85" t="s">
        <v>56</v>
      </c>
      <c r="C74" s="52" t="s">
        <v>138</v>
      </c>
      <c r="D74" s="53">
        <v>67</v>
      </c>
      <c r="E74" s="54">
        <v>5.0000000000000001E-3</v>
      </c>
      <c r="F74" s="29"/>
      <c r="G74" s="29"/>
    </row>
    <row r="75" spans="1:7" ht="14.45" customHeight="1">
      <c r="A75" s="29"/>
      <c r="B75" s="87"/>
      <c r="C75" s="52" t="s">
        <v>139</v>
      </c>
      <c r="D75" s="53">
        <v>116</v>
      </c>
      <c r="E75" s="54">
        <v>8.0000000000000002E-3</v>
      </c>
      <c r="F75" s="29"/>
      <c r="G75" s="29"/>
    </row>
    <row r="76" spans="1:7" ht="14.45" customHeight="1">
      <c r="A76" s="29"/>
      <c r="B76" s="86"/>
      <c r="C76" s="68" t="s">
        <v>307</v>
      </c>
      <c r="D76" s="66">
        <v>183</v>
      </c>
      <c r="E76" s="69">
        <v>1.2999999999999999E-2</v>
      </c>
      <c r="F76" s="29"/>
      <c r="G76" s="29"/>
    </row>
    <row r="77" spans="1:7" ht="14.45" customHeight="1">
      <c r="A77" s="29"/>
      <c r="B77" s="85" t="s">
        <v>60</v>
      </c>
      <c r="C77" s="52" t="s">
        <v>138</v>
      </c>
      <c r="D77" s="53">
        <v>62</v>
      </c>
      <c r="E77" s="54">
        <v>4.0000000000000001E-3</v>
      </c>
      <c r="F77" s="29"/>
      <c r="G77" s="29"/>
    </row>
    <row r="78" spans="1:7" ht="14.45" customHeight="1">
      <c r="A78" s="29"/>
      <c r="B78" s="87"/>
      <c r="C78" s="52" t="s">
        <v>139</v>
      </c>
      <c r="D78" s="53">
        <v>41</v>
      </c>
      <c r="E78" s="54">
        <v>3.0000000000000001E-3</v>
      </c>
      <c r="F78" s="29"/>
      <c r="G78" s="29"/>
    </row>
    <row r="79" spans="1:7" ht="14.45" customHeight="1">
      <c r="A79" s="29"/>
      <c r="B79" s="86"/>
      <c r="C79" s="68" t="s">
        <v>307</v>
      </c>
      <c r="D79" s="66">
        <v>103</v>
      </c>
      <c r="E79" s="69">
        <v>7.0000000000000001E-3</v>
      </c>
      <c r="F79" s="29"/>
      <c r="G79" s="29"/>
    </row>
    <row r="80" spans="1:7" ht="14.45" customHeight="1">
      <c r="A80" s="29"/>
      <c r="B80" s="85" t="s">
        <v>48</v>
      </c>
      <c r="C80" s="52" t="s">
        <v>138</v>
      </c>
      <c r="D80" s="53">
        <v>1211</v>
      </c>
      <c r="E80" s="54">
        <v>8.5999999999999993E-2</v>
      </c>
      <c r="F80" s="29"/>
      <c r="G80" s="29"/>
    </row>
    <row r="81" spans="1:7" ht="14.45" customHeight="1">
      <c r="A81" s="29"/>
      <c r="B81" s="87"/>
      <c r="C81" s="52" t="s">
        <v>139</v>
      </c>
      <c r="D81" s="53">
        <v>1058</v>
      </c>
      <c r="E81" s="54">
        <v>7.4999999999999997E-2</v>
      </c>
      <c r="F81" s="29"/>
      <c r="G81" s="29"/>
    </row>
    <row r="82" spans="1:7" ht="14.45" customHeight="1">
      <c r="A82" s="29"/>
      <c r="B82" s="86"/>
      <c r="C82" s="68" t="s">
        <v>307</v>
      </c>
      <c r="D82" s="66">
        <v>2269</v>
      </c>
      <c r="E82" s="69">
        <v>0.16</v>
      </c>
      <c r="F82" s="29"/>
      <c r="G82" s="29"/>
    </row>
    <row r="83" spans="1:7" ht="14.45" customHeight="1">
      <c r="A83" s="29"/>
      <c r="B83" s="85" t="s">
        <v>69</v>
      </c>
      <c r="C83" s="52" t="s">
        <v>138</v>
      </c>
      <c r="D83" s="53">
        <v>27</v>
      </c>
      <c r="E83" s="54">
        <v>2E-3</v>
      </c>
      <c r="F83" s="29"/>
      <c r="G83" s="29"/>
    </row>
    <row r="84" spans="1:7" ht="14.45" customHeight="1">
      <c r="A84" s="29"/>
      <c r="B84" s="87"/>
      <c r="C84" s="52" t="s">
        <v>139</v>
      </c>
      <c r="D84" s="53">
        <v>40</v>
      </c>
      <c r="E84" s="54">
        <v>3.0000000000000001E-3</v>
      </c>
      <c r="F84" s="29"/>
      <c r="G84" s="29"/>
    </row>
    <row r="85" spans="1:7" ht="14.45" customHeight="1">
      <c r="A85" s="29"/>
      <c r="B85" s="86"/>
      <c r="C85" s="68" t="s">
        <v>307</v>
      </c>
      <c r="D85" s="66">
        <v>67</v>
      </c>
      <c r="E85" s="69">
        <v>5.0000000000000001E-3</v>
      </c>
      <c r="F85" s="29"/>
      <c r="G85" s="29"/>
    </row>
    <row r="86" spans="1:7" ht="14.45" customHeight="1">
      <c r="A86" s="29"/>
      <c r="B86" s="85" t="s">
        <v>72</v>
      </c>
      <c r="C86" s="52" t="s">
        <v>138</v>
      </c>
      <c r="D86" s="53">
        <v>9</v>
      </c>
      <c r="E86" s="54">
        <v>1E-3</v>
      </c>
      <c r="F86" s="29"/>
      <c r="G86" s="29"/>
    </row>
    <row r="87" spans="1:7" ht="14.45" customHeight="1">
      <c r="A87" s="29"/>
      <c r="B87" s="87"/>
      <c r="C87" s="52" t="s">
        <v>139</v>
      </c>
      <c r="D87" s="53">
        <v>15</v>
      </c>
      <c r="E87" s="54">
        <v>1E-3</v>
      </c>
      <c r="F87" s="29"/>
      <c r="G87" s="29"/>
    </row>
    <row r="88" spans="1:7" ht="14.45" customHeight="1">
      <c r="A88" s="29"/>
      <c r="B88" s="86"/>
      <c r="C88" s="68" t="s">
        <v>307</v>
      </c>
      <c r="D88" s="66">
        <v>24</v>
      </c>
      <c r="E88" s="69">
        <v>2E-3</v>
      </c>
      <c r="F88" s="29"/>
      <c r="G88" s="29"/>
    </row>
    <row r="89" spans="1:7" ht="14.45" customHeight="1">
      <c r="A89" s="29"/>
      <c r="B89" s="85" t="s">
        <v>94</v>
      </c>
      <c r="C89" s="52" t="s">
        <v>138</v>
      </c>
      <c r="D89" s="53">
        <v>4</v>
      </c>
      <c r="E89" s="54">
        <v>0</v>
      </c>
      <c r="F89" s="29"/>
      <c r="G89" s="29"/>
    </row>
    <row r="90" spans="1:7" ht="14.45" customHeight="1">
      <c r="A90" s="29"/>
      <c r="B90" s="87"/>
      <c r="C90" s="52" t="s">
        <v>139</v>
      </c>
      <c r="D90" s="53">
        <v>7</v>
      </c>
      <c r="E90" s="54">
        <v>0</v>
      </c>
      <c r="F90" s="29"/>
      <c r="G90" s="29"/>
    </row>
    <row r="91" spans="1:7" ht="14.45" customHeight="1">
      <c r="A91" s="29"/>
      <c r="B91" s="86"/>
      <c r="C91" s="68" t="s">
        <v>307</v>
      </c>
      <c r="D91" s="66">
        <v>11</v>
      </c>
      <c r="E91" s="69">
        <v>1E-3</v>
      </c>
      <c r="F91" s="29"/>
      <c r="G91" s="29"/>
    </row>
    <row r="92" spans="1:7" ht="14.45" customHeight="1">
      <c r="A92" s="29"/>
      <c r="B92" s="85" t="s">
        <v>95</v>
      </c>
      <c r="C92" s="52" t="s">
        <v>139</v>
      </c>
      <c r="D92" s="53">
        <v>1</v>
      </c>
      <c r="E92" s="54">
        <v>0</v>
      </c>
      <c r="F92" s="29"/>
      <c r="G92" s="29"/>
    </row>
    <row r="93" spans="1:7" ht="14.45" customHeight="1">
      <c r="A93" s="29"/>
      <c r="B93" s="86"/>
      <c r="C93" s="68" t="s">
        <v>307</v>
      </c>
      <c r="D93" s="66">
        <v>1</v>
      </c>
      <c r="E93" s="69">
        <v>0</v>
      </c>
      <c r="F93" s="29"/>
      <c r="G93" s="29"/>
    </row>
    <row r="94" spans="1:7" ht="14.45" customHeight="1">
      <c r="A94" s="29"/>
      <c r="B94" s="85" t="s">
        <v>62</v>
      </c>
      <c r="C94" s="52" t="s">
        <v>138</v>
      </c>
      <c r="D94" s="53">
        <v>39</v>
      </c>
      <c r="E94" s="54">
        <v>3.0000000000000001E-3</v>
      </c>
      <c r="F94" s="29"/>
      <c r="G94" s="29"/>
    </row>
    <row r="95" spans="1:7" ht="14.45" customHeight="1">
      <c r="A95" s="29"/>
      <c r="B95" s="87"/>
      <c r="C95" s="52" t="s">
        <v>139</v>
      </c>
      <c r="D95" s="53">
        <v>44</v>
      </c>
      <c r="E95" s="54">
        <v>3.0000000000000001E-3</v>
      </c>
      <c r="F95" s="29"/>
      <c r="G95" s="29"/>
    </row>
    <row r="96" spans="1:7" ht="14.45" customHeight="1">
      <c r="A96" s="29"/>
      <c r="B96" s="86"/>
      <c r="C96" s="68" t="s">
        <v>307</v>
      </c>
      <c r="D96" s="66">
        <v>83</v>
      </c>
      <c r="E96" s="69">
        <v>6.0000000000000001E-3</v>
      </c>
      <c r="F96" s="29"/>
      <c r="G96" s="29"/>
    </row>
    <row r="97" spans="1:7" ht="14.45" customHeight="1">
      <c r="A97" s="29"/>
      <c r="B97" s="85" t="s">
        <v>84</v>
      </c>
      <c r="C97" s="52" t="s">
        <v>138</v>
      </c>
      <c r="D97" s="53">
        <v>10</v>
      </c>
      <c r="E97" s="54">
        <v>1E-3</v>
      </c>
      <c r="F97" s="29"/>
      <c r="G97" s="29"/>
    </row>
    <row r="98" spans="1:7" ht="14.45" customHeight="1">
      <c r="A98" s="29"/>
      <c r="B98" s="87"/>
      <c r="C98" s="52" t="s">
        <v>139</v>
      </c>
      <c r="D98" s="53">
        <v>10</v>
      </c>
      <c r="E98" s="54">
        <v>1E-3</v>
      </c>
      <c r="F98" s="29"/>
      <c r="G98" s="29"/>
    </row>
    <row r="99" spans="1:7" ht="14.45" customHeight="1">
      <c r="A99" s="29"/>
      <c r="B99" s="86"/>
      <c r="C99" s="68" t="s">
        <v>307</v>
      </c>
      <c r="D99" s="66">
        <v>20</v>
      </c>
      <c r="E99" s="69">
        <v>1E-3</v>
      </c>
      <c r="F99" s="29"/>
      <c r="G99" s="29"/>
    </row>
    <row r="100" spans="1:7" ht="14.45" customHeight="1">
      <c r="A100" s="29"/>
      <c r="B100" s="85" t="s">
        <v>58</v>
      </c>
      <c r="C100" s="52" t="s">
        <v>138</v>
      </c>
      <c r="D100" s="53">
        <v>84</v>
      </c>
      <c r="E100" s="54">
        <v>6.0000000000000001E-3</v>
      </c>
      <c r="F100" s="29"/>
      <c r="G100" s="29"/>
    </row>
    <row r="101" spans="1:7" ht="14.45" customHeight="1">
      <c r="A101" s="29"/>
      <c r="B101" s="87"/>
      <c r="C101" s="52" t="s">
        <v>139</v>
      </c>
      <c r="D101" s="53">
        <v>110</v>
      </c>
      <c r="E101" s="54">
        <v>8.0000000000000002E-3</v>
      </c>
      <c r="F101" s="29"/>
      <c r="G101" s="29"/>
    </row>
    <row r="102" spans="1:7" ht="14.45" customHeight="1">
      <c r="A102" s="29"/>
      <c r="B102" s="86"/>
      <c r="C102" s="68" t="s">
        <v>307</v>
      </c>
      <c r="D102" s="66">
        <v>194</v>
      </c>
      <c r="E102" s="69">
        <v>1.4E-2</v>
      </c>
      <c r="F102" s="29"/>
      <c r="G102" s="29"/>
    </row>
    <row r="103" spans="1:7" ht="14.45" customHeight="1">
      <c r="A103" s="29"/>
      <c r="B103" s="85" t="s">
        <v>78</v>
      </c>
      <c r="C103" s="52" t="s">
        <v>138</v>
      </c>
      <c r="D103" s="53">
        <v>14</v>
      </c>
      <c r="E103" s="54">
        <v>1E-3</v>
      </c>
      <c r="F103" s="29"/>
      <c r="G103" s="29"/>
    </row>
    <row r="104" spans="1:7" ht="14.45" customHeight="1">
      <c r="A104" s="29"/>
      <c r="B104" s="87"/>
      <c r="C104" s="52" t="s">
        <v>139</v>
      </c>
      <c r="D104" s="53">
        <v>21</v>
      </c>
      <c r="E104" s="54">
        <v>1E-3</v>
      </c>
      <c r="F104" s="29"/>
      <c r="G104" s="29"/>
    </row>
    <row r="105" spans="1:7" ht="14.45" customHeight="1">
      <c r="A105" s="29"/>
      <c r="B105" s="86"/>
      <c r="C105" s="68" t="s">
        <v>307</v>
      </c>
      <c r="D105" s="66">
        <v>35</v>
      </c>
      <c r="E105" s="69">
        <v>2E-3</v>
      </c>
      <c r="F105" s="29"/>
      <c r="G105" s="29"/>
    </row>
    <row r="106" spans="1:7" ht="14.45" customHeight="1">
      <c r="A106" s="29"/>
      <c r="B106" s="85" t="s">
        <v>59</v>
      </c>
      <c r="C106" s="52" t="s">
        <v>138</v>
      </c>
      <c r="D106" s="53">
        <v>35</v>
      </c>
      <c r="E106" s="54">
        <v>2E-3</v>
      </c>
      <c r="F106" s="29"/>
      <c r="G106" s="29"/>
    </row>
    <row r="107" spans="1:7" ht="14.45" customHeight="1">
      <c r="A107" s="29"/>
      <c r="B107" s="87"/>
      <c r="C107" s="52" t="s">
        <v>139</v>
      </c>
      <c r="D107" s="53">
        <v>72</v>
      </c>
      <c r="E107" s="54">
        <v>5.0000000000000001E-3</v>
      </c>
      <c r="F107" s="29"/>
      <c r="G107" s="29"/>
    </row>
    <row r="108" spans="1:7" ht="14.45" customHeight="1">
      <c r="A108" s="29"/>
      <c r="B108" s="86"/>
      <c r="C108" s="68" t="s">
        <v>307</v>
      </c>
      <c r="D108" s="66">
        <v>107</v>
      </c>
      <c r="E108" s="69">
        <v>8.0000000000000002E-3</v>
      </c>
      <c r="F108" s="29"/>
      <c r="G108" s="29"/>
    </row>
    <row r="109" spans="1:7" ht="14.45" customHeight="1">
      <c r="A109" s="29"/>
      <c r="B109" s="85" t="s">
        <v>91</v>
      </c>
      <c r="C109" s="52" t="s">
        <v>138</v>
      </c>
      <c r="D109" s="53">
        <v>4</v>
      </c>
      <c r="E109" s="54">
        <v>0</v>
      </c>
      <c r="F109" s="29"/>
      <c r="G109" s="29"/>
    </row>
    <row r="110" spans="1:7" ht="14.45" customHeight="1">
      <c r="A110" s="29"/>
      <c r="B110" s="87"/>
      <c r="C110" s="52" t="s">
        <v>139</v>
      </c>
      <c r="D110" s="53">
        <v>1</v>
      </c>
      <c r="E110" s="54">
        <v>0</v>
      </c>
      <c r="F110" s="29"/>
      <c r="G110" s="29"/>
    </row>
    <row r="111" spans="1:7" ht="14.45" customHeight="1">
      <c r="A111" s="29"/>
      <c r="B111" s="86"/>
      <c r="C111" s="68" t="s">
        <v>307</v>
      </c>
      <c r="D111" s="66">
        <v>5</v>
      </c>
      <c r="E111" s="69">
        <v>0</v>
      </c>
      <c r="F111" s="29"/>
      <c r="G111" s="29"/>
    </row>
    <row r="112" spans="1:7" ht="14.45" customHeight="1">
      <c r="A112" s="29"/>
      <c r="B112" s="85" t="s">
        <v>66</v>
      </c>
      <c r="C112" s="52" t="s">
        <v>138</v>
      </c>
      <c r="D112" s="53">
        <v>16</v>
      </c>
      <c r="E112" s="54">
        <v>1E-3</v>
      </c>
      <c r="F112" s="29"/>
      <c r="G112" s="29"/>
    </row>
    <row r="113" spans="1:7" ht="14.45" customHeight="1">
      <c r="A113" s="29"/>
      <c r="B113" s="87"/>
      <c r="C113" s="52" t="s">
        <v>139</v>
      </c>
      <c r="D113" s="53">
        <v>24</v>
      </c>
      <c r="E113" s="54">
        <v>2E-3</v>
      </c>
      <c r="F113" s="29"/>
      <c r="G113" s="29"/>
    </row>
    <row r="114" spans="1:7" ht="14.45" customHeight="1">
      <c r="A114" s="29"/>
      <c r="B114" s="86"/>
      <c r="C114" s="68" t="s">
        <v>307</v>
      </c>
      <c r="D114" s="66">
        <v>40</v>
      </c>
      <c r="E114" s="69">
        <v>3.0000000000000001E-3</v>
      </c>
      <c r="F114" s="29"/>
      <c r="G114" s="29"/>
    </row>
    <row r="115" spans="1:7" ht="14.45" customHeight="1">
      <c r="A115" s="29"/>
      <c r="B115" s="85" t="s">
        <v>93</v>
      </c>
      <c r="C115" s="52" t="s">
        <v>138</v>
      </c>
      <c r="D115" s="53">
        <v>1</v>
      </c>
      <c r="E115" s="54">
        <v>0</v>
      </c>
      <c r="F115" s="29"/>
      <c r="G115" s="29"/>
    </row>
    <row r="116" spans="1:7" ht="14.45" customHeight="1">
      <c r="A116" s="29"/>
      <c r="B116" s="87"/>
      <c r="C116" s="52" t="s">
        <v>139</v>
      </c>
      <c r="D116" s="53">
        <v>4</v>
      </c>
      <c r="E116" s="54">
        <v>0</v>
      </c>
      <c r="F116" s="29"/>
      <c r="G116" s="29"/>
    </row>
    <row r="117" spans="1:7" ht="14.45" customHeight="1">
      <c r="A117" s="29"/>
      <c r="B117" s="86"/>
      <c r="C117" s="68" t="s">
        <v>307</v>
      </c>
      <c r="D117" s="66">
        <v>5</v>
      </c>
      <c r="E117" s="69">
        <v>0</v>
      </c>
      <c r="F117" s="29"/>
      <c r="G117" s="29"/>
    </row>
    <row r="118" spans="1:7" ht="14.45" customHeight="1">
      <c r="A118" s="29"/>
      <c r="B118" s="85" t="s">
        <v>76</v>
      </c>
      <c r="C118" s="52" t="s">
        <v>138</v>
      </c>
      <c r="D118" s="53">
        <v>8</v>
      </c>
      <c r="E118" s="54">
        <v>1E-3</v>
      </c>
      <c r="F118" s="29"/>
      <c r="G118" s="29"/>
    </row>
    <row r="119" spans="1:7" ht="14.45" customHeight="1">
      <c r="A119" s="29"/>
      <c r="B119" s="87"/>
      <c r="C119" s="52" t="s">
        <v>139</v>
      </c>
      <c r="D119" s="53">
        <v>11</v>
      </c>
      <c r="E119" s="54">
        <v>1E-3</v>
      </c>
      <c r="F119" s="29"/>
      <c r="G119" s="29"/>
    </row>
    <row r="120" spans="1:7" ht="14.45" customHeight="1">
      <c r="A120" s="29"/>
      <c r="B120" s="86"/>
      <c r="C120" s="68" t="s">
        <v>307</v>
      </c>
      <c r="D120" s="66">
        <v>19</v>
      </c>
      <c r="E120" s="69">
        <v>1E-3</v>
      </c>
      <c r="F120" s="29"/>
      <c r="G120" s="29"/>
    </row>
    <row r="121" spans="1:7" ht="14.45" customHeight="1">
      <c r="A121" s="29"/>
      <c r="B121" s="85" t="s">
        <v>55</v>
      </c>
      <c r="C121" s="52" t="s">
        <v>138</v>
      </c>
      <c r="D121" s="53">
        <v>81</v>
      </c>
      <c r="E121" s="54">
        <v>6.0000000000000001E-3</v>
      </c>
      <c r="F121" s="29"/>
      <c r="G121" s="29"/>
    </row>
    <row r="122" spans="1:7" ht="14.45" customHeight="1">
      <c r="A122" s="29"/>
      <c r="B122" s="87"/>
      <c r="C122" s="52" t="s">
        <v>139</v>
      </c>
      <c r="D122" s="53">
        <v>124</v>
      </c>
      <c r="E122" s="54">
        <v>8.9999999999999993E-3</v>
      </c>
      <c r="F122" s="29"/>
      <c r="G122" s="29"/>
    </row>
    <row r="123" spans="1:7" ht="14.45" customHeight="1">
      <c r="A123" s="29"/>
      <c r="B123" s="86"/>
      <c r="C123" s="68" t="s">
        <v>307</v>
      </c>
      <c r="D123" s="66">
        <v>205</v>
      </c>
      <c r="E123" s="69">
        <v>1.4E-2</v>
      </c>
      <c r="F123" s="29"/>
      <c r="G123" s="29"/>
    </row>
    <row r="124" spans="1:7" ht="14.45" customHeight="1">
      <c r="A124" s="29"/>
      <c r="B124" s="85" t="s">
        <v>77</v>
      </c>
      <c r="C124" s="52" t="s">
        <v>138</v>
      </c>
      <c r="D124" s="53">
        <v>5</v>
      </c>
      <c r="E124" s="54">
        <v>0</v>
      </c>
      <c r="F124" s="29"/>
      <c r="G124" s="29"/>
    </row>
    <row r="125" spans="1:7" ht="14.45" customHeight="1">
      <c r="A125" s="29"/>
      <c r="B125" s="87"/>
      <c r="C125" s="52" t="s">
        <v>139</v>
      </c>
      <c r="D125" s="53">
        <v>10</v>
      </c>
      <c r="E125" s="54">
        <v>1E-3</v>
      </c>
      <c r="F125" s="29"/>
      <c r="G125" s="29"/>
    </row>
    <row r="126" spans="1:7" ht="14.45" customHeight="1">
      <c r="A126" s="29"/>
      <c r="B126" s="86"/>
      <c r="C126" s="68" t="s">
        <v>307</v>
      </c>
      <c r="D126" s="66">
        <v>15</v>
      </c>
      <c r="E126" s="69">
        <v>1E-3</v>
      </c>
      <c r="F126" s="29"/>
      <c r="G126" s="29"/>
    </row>
    <row r="127" spans="1:7" ht="14.45" customHeight="1">
      <c r="A127" s="29"/>
      <c r="B127" s="85" t="s">
        <v>65</v>
      </c>
      <c r="C127" s="52" t="s">
        <v>138</v>
      </c>
      <c r="D127" s="53">
        <v>38</v>
      </c>
      <c r="E127" s="54">
        <v>3.0000000000000001E-3</v>
      </c>
      <c r="F127" s="29"/>
      <c r="G127" s="29"/>
    </row>
    <row r="128" spans="1:7" ht="14.45" customHeight="1">
      <c r="A128" s="29"/>
      <c r="B128" s="87"/>
      <c r="C128" s="52" t="s">
        <v>139</v>
      </c>
      <c r="D128" s="53">
        <v>38</v>
      </c>
      <c r="E128" s="54">
        <v>3.0000000000000001E-3</v>
      </c>
      <c r="F128" s="29"/>
      <c r="G128" s="29"/>
    </row>
    <row r="129" spans="1:7" ht="14.45" customHeight="1">
      <c r="A129" s="29"/>
      <c r="B129" s="86"/>
      <c r="C129" s="68" t="s">
        <v>307</v>
      </c>
      <c r="D129" s="66">
        <v>76</v>
      </c>
      <c r="E129" s="69">
        <v>5.0000000000000001E-3</v>
      </c>
      <c r="F129" s="29"/>
      <c r="G129" s="29"/>
    </row>
    <row r="130" spans="1:7" ht="14.45" customHeight="1">
      <c r="A130" s="29"/>
      <c r="B130" s="85" t="s">
        <v>74</v>
      </c>
      <c r="C130" s="52" t="s">
        <v>138</v>
      </c>
      <c r="D130" s="53">
        <v>11</v>
      </c>
      <c r="E130" s="54">
        <v>1E-3</v>
      </c>
      <c r="F130" s="29"/>
      <c r="G130" s="29"/>
    </row>
    <row r="131" spans="1:7" ht="14.45" customHeight="1">
      <c r="A131" s="29"/>
      <c r="B131" s="87"/>
      <c r="C131" s="52" t="s">
        <v>139</v>
      </c>
      <c r="D131" s="53">
        <v>22</v>
      </c>
      <c r="E131" s="54">
        <v>2E-3</v>
      </c>
      <c r="F131" s="29"/>
      <c r="G131" s="29"/>
    </row>
    <row r="132" spans="1:7" ht="14.45" customHeight="1">
      <c r="A132" s="29"/>
      <c r="B132" s="86"/>
      <c r="C132" s="68" t="s">
        <v>307</v>
      </c>
      <c r="D132" s="66">
        <v>33</v>
      </c>
      <c r="E132" s="69">
        <v>2E-3</v>
      </c>
      <c r="F132" s="29"/>
      <c r="G132" s="29"/>
    </row>
    <row r="133" spans="1:7" ht="14.45" customHeight="1">
      <c r="A133" s="29"/>
      <c r="B133" s="85" t="s">
        <v>50</v>
      </c>
      <c r="C133" s="52" t="s">
        <v>138</v>
      </c>
      <c r="D133" s="53">
        <v>571</v>
      </c>
      <c r="E133" s="54">
        <v>0.04</v>
      </c>
      <c r="F133" s="29"/>
      <c r="G133" s="29"/>
    </row>
    <row r="134" spans="1:7" ht="14.45" customHeight="1">
      <c r="A134" s="29"/>
      <c r="B134" s="87"/>
      <c r="C134" s="52" t="s">
        <v>139</v>
      </c>
      <c r="D134" s="53">
        <v>534</v>
      </c>
      <c r="E134" s="54">
        <v>3.7999999999999999E-2</v>
      </c>
      <c r="F134" s="29"/>
      <c r="G134" s="29"/>
    </row>
    <row r="135" spans="1:7" ht="14.45" customHeight="1">
      <c r="A135" s="29"/>
      <c r="B135" s="86"/>
      <c r="C135" s="68" t="s">
        <v>307</v>
      </c>
      <c r="D135" s="66">
        <v>1105</v>
      </c>
      <c r="E135" s="69">
        <v>7.8E-2</v>
      </c>
      <c r="F135" s="29"/>
      <c r="G135" s="29"/>
    </row>
    <row r="136" spans="1:7" ht="14.45" customHeight="1">
      <c r="A136" s="29"/>
      <c r="B136" s="85" t="s">
        <v>81</v>
      </c>
      <c r="C136" s="52" t="s">
        <v>138</v>
      </c>
      <c r="D136" s="53">
        <v>13</v>
      </c>
      <c r="E136" s="54">
        <v>1E-3</v>
      </c>
      <c r="F136" s="29"/>
      <c r="G136" s="29"/>
    </row>
    <row r="137" spans="1:7" ht="14.45" customHeight="1">
      <c r="A137" s="29"/>
      <c r="B137" s="87"/>
      <c r="C137" s="52" t="s">
        <v>139</v>
      </c>
      <c r="D137" s="53">
        <v>14</v>
      </c>
      <c r="E137" s="54">
        <v>1E-3</v>
      </c>
      <c r="F137" s="29"/>
      <c r="G137" s="29"/>
    </row>
    <row r="138" spans="1:7" ht="14.45" customHeight="1">
      <c r="A138" s="29"/>
      <c r="B138" s="86"/>
      <c r="C138" s="68" t="s">
        <v>307</v>
      </c>
      <c r="D138" s="66">
        <v>27</v>
      </c>
      <c r="E138" s="69">
        <v>2E-3</v>
      </c>
      <c r="F138" s="29"/>
      <c r="G138" s="29"/>
    </row>
    <row r="139" spans="1:7" ht="14.45" customHeight="1">
      <c r="A139" s="29"/>
      <c r="B139" s="85" t="s">
        <v>82</v>
      </c>
      <c r="C139" s="52" t="s">
        <v>138</v>
      </c>
      <c r="D139" s="53">
        <v>14</v>
      </c>
      <c r="E139" s="54">
        <v>1E-3</v>
      </c>
      <c r="F139" s="29"/>
      <c r="G139" s="29"/>
    </row>
    <row r="140" spans="1:7" ht="14.45" customHeight="1">
      <c r="A140" s="29"/>
      <c r="B140" s="87"/>
      <c r="C140" s="52" t="s">
        <v>139</v>
      </c>
      <c r="D140" s="53">
        <v>10</v>
      </c>
      <c r="E140" s="54">
        <v>1E-3</v>
      </c>
      <c r="F140" s="29"/>
      <c r="G140" s="29"/>
    </row>
    <row r="141" spans="1:7" ht="14.45" customHeight="1">
      <c r="A141" s="29"/>
      <c r="B141" s="86"/>
      <c r="C141" s="68" t="s">
        <v>307</v>
      </c>
      <c r="D141" s="66">
        <v>24</v>
      </c>
      <c r="E141" s="69">
        <v>2E-3</v>
      </c>
      <c r="F141" s="29"/>
      <c r="G141" s="29"/>
    </row>
    <row r="142" spans="1:7" ht="14.45" customHeight="1">
      <c r="A142" s="29"/>
      <c r="B142" s="85" t="s">
        <v>89</v>
      </c>
      <c r="C142" s="52" t="s">
        <v>138</v>
      </c>
      <c r="D142" s="53">
        <v>5</v>
      </c>
      <c r="E142" s="54">
        <v>0</v>
      </c>
      <c r="F142" s="29"/>
      <c r="G142" s="29"/>
    </row>
    <row r="143" spans="1:7" ht="14.45" customHeight="1">
      <c r="A143" s="29"/>
      <c r="B143" s="87"/>
      <c r="C143" s="52" t="s">
        <v>139</v>
      </c>
      <c r="D143" s="53">
        <v>2</v>
      </c>
      <c r="E143" s="54">
        <v>0</v>
      </c>
      <c r="F143" s="29"/>
      <c r="G143" s="29"/>
    </row>
    <row r="144" spans="1:7" ht="14.45" customHeight="1">
      <c r="A144" s="29"/>
      <c r="B144" s="86"/>
      <c r="C144" s="68" t="s">
        <v>307</v>
      </c>
      <c r="D144" s="66">
        <v>7</v>
      </c>
      <c r="E144" s="69">
        <v>0</v>
      </c>
      <c r="F144" s="29"/>
      <c r="G144" s="29"/>
    </row>
    <row r="145" spans="1:7" ht="14.45" customHeight="1">
      <c r="A145" s="29"/>
      <c r="B145" s="85" t="s">
        <v>75</v>
      </c>
      <c r="C145" s="52" t="s">
        <v>138</v>
      </c>
      <c r="D145" s="53">
        <v>8</v>
      </c>
      <c r="E145" s="54">
        <v>1E-3</v>
      </c>
      <c r="F145" s="29"/>
      <c r="G145" s="29"/>
    </row>
    <row r="146" spans="1:7" ht="14.45" customHeight="1">
      <c r="A146" s="29"/>
      <c r="B146" s="87"/>
      <c r="C146" s="52" t="s">
        <v>139</v>
      </c>
      <c r="D146" s="53">
        <v>10</v>
      </c>
      <c r="E146" s="54">
        <v>1E-3</v>
      </c>
      <c r="F146" s="29"/>
      <c r="G146" s="29"/>
    </row>
    <row r="147" spans="1:7" ht="14.45" customHeight="1">
      <c r="A147" s="29"/>
      <c r="B147" s="86"/>
      <c r="C147" s="68" t="s">
        <v>307</v>
      </c>
      <c r="D147" s="66">
        <v>18</v>
      </c>
      <c r="E147" s="69">
        <v>1E-3</v>
      </c>
      <c r="F147" s="29"/>
      <c r="G147" s="29"/>
    </row>
    <row r="148" spans="1:7" ht="14.45" customHeight="1">
      <c r="A148" s="29"/>
      <c r="B148" s="85" t="s">
        <v>86</v>
      </c>
      <c r="C148" s="52" t="s">
        <v>138</v>
      </c>
      <c r="D148" s="53">
        <v>12</v>
      </c>
      <c r="E148" s="54">
        <v>1E-3</v>
      </c>
      <c r="F148" s="29"/>
      <c r="G148" s="29"/>
    </row>
    <row r="149" spans="1:7" ht="14.45" customHeight="1">
      <c r="A149" s="29"/>
      <c r="B149" s="87"/>
      <c r="C149" s="52" t="s">
        <v>139</v>
      </c>
      <c r="D149" s="53">
        <v>13</v>
      </c>
      <c r="E149" s="54">
        <v>1E-3</v>
      </c>
      <c r="F149" s="29"/>
      <c r="G149" s="29"/>
    </row>
    <row r="150" spans="1:7" ht="14.45" customHeight="1">
      <c r="A150" s="29"/>
      <c r="B150" s="86"/>
      <c r="C150" s="68" t="s">
        <v>307</v>
      </c>
      <c r="D150" s="66">
        <v>25</v>
      </c>
      <c r="E150" s="69">
        <v>2E-3</v>
      </c>
      <c r="F150" s="29"/>
      <c r="G150" s="29"/>
    </row>
    <row r="151" spans="1:7" ht="14.45" customHeight="1">
      <c r="A151" s="29"/>
      <c r="B151" s="85" t="s">
        <v>88</v>
      </c>
      <c r="C151" s="52" t="s">
        <v>138</v>
      </c>
      <c r="D151" s="53">
        <v>3</v>
      </c>
      <c r="E151" s="54">
        <v>0</v>
      </c>
      <c r="F151" s="29"/>
      <c r="G151" s="29"/>
    </row>
    <row r="152" spans="1:7" ht="14.45" customHeight="1">
      <c r="A152" s="29"/>
      <c r="B152" s="87"/>
      <c r="C152" s="52" t="s">
        <v>139</v>
      </c>
      <c r="D152" s="53">
        <v>1</v>
      </c>
      <c r="E152" s="54">
        <v>0</v>
      </c>
      <c r="F152" s="29"/>
      <c r="G152" s="29"/>
    </row>
    <row r="153" spans="1:7" ht="14.45" customHeight="1">
      <c r="A153" s="29"/>
      <c r="B153" s="86"/>
      <c r="C153" s="68" t="s">
        <v>307</v>
      </c>
      <c r="D153" s="66">
        <v>4</v>
      </c>
      <c r="E153" s="69">
        <v>0</v>
      </c>
      <c r="F153" s="29"/>
      <c r="G153" s="29"/>
    </row>
    <row r="154" spans="1:7" ht="14.45" customHeight="1">
      <c r="A154" s="29"/>
      <c r="B154" s="85" t="s">
        <v>92</v>
      </c>
      <c r="C154" s="52" t="s">
        <v>138</v>
      </c>
      <c r="D154" s="53">
        <v>7</v>
      </c>
      <c r="E154" s="54">
        <v>0</v>
      </c>
      <c r="F154" s="29"/>
      <c r="G154" s="29"/>
    </row>
    <row r="155" spans="1:7" ht="14.45" customHeight="1">
      <c r="A155" s="29"/>
      <c r="B155" s="87"/>
      <c r="C155" s="52" t="s">
        <v>139</v>
      </c>
      <c r="D155" s="53">
        <v>4</v>
      </c>
      <c r="E155" s="54">
        <v>0</v>
      </c>
      <c r="F155" s="29"/>
      <c r="G155" s="29"/>
    </row>
    <row r="156" spans="1:7" ht="14.45" customHeight="1">
      <c r="A156" s="29"/>
      <c r="B156" s="86"/>
      <c r="C156" s="68" t="s">
        <v>307</v>
      </c>
      <c r="D156" s="66">
        <v>11</v>
      </c>
      <c r="E156" s="69">
        <v>1E-3</v>
      </c>
      <c r="F156" s="29"/>
      <c r="G156" s="29"/>
    </row>
    <row r="157" spans="1:7" ht="14.45" customHeight="1">
      <c r="A157" s="29"/>
      <c r="B157" s="85" t="s">
        <v>73</v>
      </c>
      <c r="C157" s="52" t="s">
        <v>138</v>
      </c>
      <c r="D157" s="53">
        <v>11</v>
      </c>
      <c r="E157" s="54">
        <v>1E-3</v>
      </c>
      <c r="F157" s="29"/>
      <c r="G157" s="29"/>
    </row>
    <row r="158" spans="1:7" ht="14.45" customHeight="1">
      <c r="A158" s="29"/>
      <c r="B158" s="87"/>
      <c r="C158" s="52" t="s">
        <v>139</v>
      </c>
      <c r="D158" s="53">
        <v>21</v>
      </c>
      <c r="E158" s="54">
        <v>1E-3</v>
      </c>
      <c r="F158" s="29"/>
      <c r="G158" s="29"/>
    </row>
    <row r="159" spans="1:7" ht="14.45" customHeight="1">
      <c r="A159" s="29"/>
      <c r="B159" s="86"/>
      <c r="C159" s="68" t="s">
        <v>307</v>
      </c>
      <c r="D159" s="66">
        <v>32</v>
      </c>
      <c r="E159" s="69">
        <v>2E-3</v>
      </c>
      <c r="F159" s="29"/>
      <c r="G159" s="29"/>
    </row>
    <row r="160" spans="1:7" ht="14.45" customHeight="1">
      <c r="A160" s="29"/>
      <c r="B160" s="85" t="s">
        <v>278</v>
      </c>
      <c r="C160" s="52" t="s">
        <v>138</v>
      </c>
      <c r="D160" s="53">
        <v>1</v>
      </c>
      <c r="E160" s="54">
        <v>0</v>
      </c>
      <c r="F160" s="29"/>
      <c r="G160" s="29"/>
    </row>
    <row r="161" spans="1:7" ht="14.45" customHeight="1">
      <c r="A161" s="29"/>
      <c r="B161" s="87"/>
      <c r="C161" s="52" t="s">
        <v>139</v>
      </c>
      <c r="D161" s="53">
        <v>1</v>
      </c>
      <c r="E161" s="54">
        <v>0</v>
      </c>
      <c r="F161" s="29"/>
      <c r="G161" s="29"/>
    </row>
    <row r="162" spans="1:7" ht="14.45" customHeight="1">
      <c r="A162" s="29"/>
      <c r="B162" s="86"/>
      <c r="C162" s="68" t="s">
        <v>307</v>
      </c>
      <c r="D162" s="66">
        <v>2</v>
      </c>
      <c r="E162" s="69">
        <v>0</v>
      </c>
      <c r="F162" s="29"/>
      <c r="G162" s="29"/>
    </row>
    <row r="163" spans="1:7" ht="14.45" customHeight="1">
      <c r="A163" s="29"/>
      <c r="B163" s="101" t="s">
        <v>310</v>
      </c>
      <c r="C163" s="101"/>
      <c r="D163" s="40">
        <v>14141</v>
      </c>
      <c r="E163" s="57">
        <v>1</v>
      </c>
      <c r="F163" s="29"/>
      <c r="G163" s="29"/>
    </row>
    <row r="164" spans="1:7" ht="14.45" customHeight="1">
      <c r="A164" s="29"/>
      <c r="B164" s="34"/>
      <c r="C164" s="42"/>
      <c r="D164" s="51"/>
      <c r="E164" s="42"/>
      <c r="F164" s="29"/>
      <c r="G164" s="29"/>
    </row>
    <row r="165" spans="1:7" ht="14.45" customHeight="1">
      <c r="A165" s="29"/>
      <c r="B165" s="34" t="s">
        <v>277</v>
      </c>
      <c r="C165" s="34"/>
      <c r="D165" s="51"/>
      <c r="E165" s="42"/>
      <c r="F165" s="29"/>
      <c r="G165" s="29"/>
    </row>
    <row r="166" spans="1:7" ht="14.45" customHeight="1">
      <c r="A166" s="29"/>
      <c r="B166" s="35" t="s">
        <v>18</v>
      </c>
      <c r="C166" s="35"/>
      <c r="D166" s="51"/>
      <c r="E166" s="42"/>
      <c r="F166" s="29"/>
      <c r="G166" s="29"/>
    </row>
    <row r="167" spans="1:7" ht="14.45" customHeight="1">
      <c r="A167" s="29"/>
      <c r="B167" s="32" t="s">
        <v>46</v>
      </c>
      <c r="C167" s="32"/>
      <c r="D167" s="51"/>
      <c r="E167" s="42"/>
      <c r="F167" s="29"/>
      <c r="G167" s="29"/>
    </row>
    <row r="168" spans="1:7" ht="14.45" customHeight="1">
      <c r="A168" s="29"/>
      <c r="B168" s="34" t="s">
        <v>17</v>
      </c>
      <c r="C168" s="34"/>
      <c r="D168" s="51"/>
      <c r="E168" s="42"/>
      <c r="F168" s="29"/>
      <c r="G168" s="29"/>
    </row>
    <row r="169" spans="1:7" ht="12.75">
      <c r="A169" s="29"/>
      <c r="B169" s="34" t="s">
        <v>308</v>
      </c>
      <c r="C169" s="34"/>
      <c r="D169" s="51"/>
      <c r="E169" s="42"/>
      <c r="F169" s="29"/>
      <c r="G169" s="29"/>
    </row>
  </sheetData>
  <mergeCells count="52">
    <mergeCell ref="B8:E10"/>
    <mergeCell ref="B97:B99"/>
    <mergeCell ref="B100:B102"/>
    <mergeCell ref="B59:B61"/>
    <mergeCell ref="B62:B64"/>
    <mergeCell ref="B65:B67"/>
    <mergeCell ref="B74:B76"/>
    <mergeCell ref="B77:B79"/>
    <mergeCell ref="B80:B82"/>
    <mergeCell ref="B68:B70"/>
    <mergeCell ref="B71:B73"/>
    <mergeCell ref="B83:B85"/>
    <mergeCell ref="B86:B88"/>
    <mergeCell ref="B89:B91"/>
    <mergeCell ref="B92:B93"/>
    <mergeCell ref="B94:B96"/>
    <mergeCell ref="B112:B114"/>
    <mergeCell ref="B115:B117"/>
    <mergeCell ref="B103:B105"/>
    <mergeCell ref="B106:B108"/>
    <mergeCell ref="B109:B111"/>
    <mergeCell ref="B127:B129"/>
    <mergeCell ref="B130:B132"/>
    <mergeCell ref="B118:B120"/>
    <mergeCell ref="B121:B123"/>
    <mergeCell ref="B124:B126"/>
    <mergeCell ref="B142:B144"/>
    <mergeCell ref="B145:B147"/>
    <mergeCell ref="B133:B135"/>
    <mergeCell ref="B136:B138"/>
    <mergeCell ref="B139:B141"/>
    <mergeCell ref="B148:B150"/>
    <mergeCell ref="B151:B153"/>
    <mergeCell ref="B154:B156"/>
    <mergeCell ref="B157:B159"/>
    <mergeCell ref="B160:B162"/>
    <mergeCell ref="B163:C163"/>
    <mergeCell ref="B13:B15"/>
    <mergeCell ref="B16:B18"/>
    <mergeCell ref="B19:B21"/>
    <mergeCell ref="B22:B24"/>
    <mergeCell ref="B25:B27"/>
    <mergeCell ref="B28:B30"/>
    <mergeCell ref="B31:B33"/>
    <mergeCell ref="B34:B37"/>
    <mergeCell ref="B38:B40"/>
    <mergeCell ref="B41:B43"/>
    <mergeCell ref="B44:B46"/>
    <mergeCell ref="B47:B49"/>
    <mergeCell ref="B50:B52"/>
    <mergeCell ref="B53:B55"/>
    <mergeCell ref="B56:B5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56"/>
  <sheetViews>
    <sheetView showGridLines="0" view="pageBreakPreview" zoomScaleNormal="98" zoomScaleSheetLayoutView="100" workbookViewId="0">
      <selection activeCell="J18" sqref="J18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2.710937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1"/>
      <c r="B8" s="84" t="s">
        <v>39</v>
      </c>
      <c r="C8" s="84"/>
      <c r="D8" s="84"/>
      <c r="E8" s="84"/>
      <c r="F8" s="31"/>
      <c r="G8" s="31"/>
    </row>
    <row r="9" spans="1:7" s="13" customFormat="1" ht="15" customHeight="1">
      <c r="A9" s="31"/>
      <c r="B9" s="84"/>
      <c r="C9" s="84"/>
      <c r="D9" s="84"/>
      <c r="E9" s="84"/>
      <c r="F9" s="49"/>
      <c r="G9" s="31"/>
    </row>
    <row r="10" spans="1:7" s="13" customFormat="1" ht="15" customHeight="1">
      <c r="A10" s="31"/>
      <c r="B10" s="84"/>
      <c r="C10" s="84"/>
      <c r="D10" s="84"/>
      <c r="E10" s="84"/>
      <c r="F10" s="31"/>
      <c r="G10" s="31"/>
    </row>
    <row r="11" spans="1:7" s="13" customFormat="1" ht="15" customHeight="1">
      <c r="A11" s="31"/>
      <c r="B11" s="50"/>
      <c r="C11" s="50"/>
      <c r="D11" s="50"/>
      <c r="E11" s="50"/>
      <c r="F11" s="31"/>
      <c r="G11" s="31"/>
    </row>
    <row r="12" spans="1:7" s="13" customFormat="1" ht="36.950000000000003" customHeight="1">
      <c r="A12" s="31"/>
      <c r="B12" s="72" t="s">
        <v>25</v>
      </c>
      <c r="C12" s="72" t="s">
        <v>29</v>
      </c>
      <c r="D12" s="72" t="s">
        <v>20</v>
      </c>
      <c r="E12" s="72" t="s">
        <v>19</v>
      </c>
      <c r="F12" s="31"/>
      <c r="G12" s="31"/>
    </row>
    <row r="13" spans="1:7" ht="14.45" customHeight="1">
      <c r="A13" s="29"/>
      <c r="B13" s="85" t="s">
        <v>96</v>
      </c>
      <c r="C13" s="52" t="s">
        <v>138</v>
      </c>
      <c r="D13" s="53">
        <v>20</v>
      </c>
      <c r="E13" s="54">
        <v>1E-3</v>
      </c>
      <c r="F13" s="29"/>
      <c r="G13" s="29"/>
    </row>
    <row r="14" spans="1:7" ht="14.45" customHeight="1">
      <c r="A14" s="29"/>
      <c r="B14" s="87"/>
      <c r="C14" s="52" t="s">
        <v>139</v>
      </c>
      <c r="D14" s="53">
        <v>25</v>
      </c>
      <c r="E14" s="54">
        <v>2E-3</v>
      </c>
      <c r="F14" s="29"/>
      <c r="G14" s="29"/>
    </row>
    <row r="15" spans="1:7" ht="14.45" customHeight="1">
      <c r="A15" s="29"/>
      <c r="B15" s="86"/>
      <c r="C15" s="68" t="s">
        <v>307</v>
      </c>
      <c r="D15" s="66">
        <v>45</v>
      </c>
      <c r="E15" s="69">
        <v>3.0000000000000001E-3</v>
      </c>
      <c r="F15" s="29"/>
      <c r="G15" s="29"/>
    </row>
    <row r="16" spans="1:7" ht="14.45" customHeight="1">
      <c r="A16" s="29"/>
      <c r="B16" s="85" t="s">
        <v>97</v>
      </c>
      <c r="C16" s="52" t="s">
        <v>138</v>
      </c>
      <c r="D16" s="53">
        <v>23</v>
      </c>
      <c r="E16" s="54">
        <v>2E-3</v>
      </c>
      <c r="F16" s="29"/>
      <c r="G16" s="29"/>
    </row>
    <row r="17" spans="1:7" ht="14.45" customHeight="1">
      <c r="A17" s="29"/>
      <c r="B17" s="87"/>
      <c r="C17" s="52" t="s">
        <v>139</v>
      </c>
      <c r="D17" s="53">
        <v>27</v>
      </c>
      <c r="E17" s="54">
        <v>2E-3</v>
      </c>
      <c r="F17" s="29"/>
      <c r="G17" s="29"/>
    </row>
    <row r="18" spans="1:7" ht="14.45" customHeight="1">
      <c r="A18" s="29"/>
      <c r="B18" s="86"/>
      <c r="C18" s="68" t="s">
        <v>307</v>
      </c>
      <c r="D18" s="66">
        <v>50</v>
      </c>
      <c r="E18" s="69">
        <v>4.0000000000000001E-3</v>
      </c>
      <c r="F18" s="29"/>
      <c r="G18" s="29"/>
    </row>
    <row r="19" spans="1:7" ht="14.45" customHeight="1">
      <c r="A19" s="29"/>
      <c r="B19" s="85" t="s">
        <v>98</v>
      </c>
      <c r="C19" s="52" t="s">
        <v>138</v>
      </c>
      <c r="D19" s="53">
        <v>32</v>
      </c>
      <c r="E19" s="54">
        <v>2E-3</v>
      </c>
      <c r="F19" s="29"/>
      <c r="G19" s="29"/>
    </row>
    <row r="20" spans="1:7" ht="14.45" customHeight="1">
      <c r="A20" s="29"/>
      <c r="B20" s="87"/>
      <c r="C20" s="52" t="s">
        <v>139</v>
      </c>
      <c r="D20" s="53">
        <v>49</v>
      </c>
      <c r="E20" s="54">
        <v>3.0000000000000001E-3</v>
      </c>
      <c r="F20" s="29"/>
      <c r="G20" s="29"/>
    </row>
    <row r="21" spans="1:7" ht="14.45" customHeight="1">
      <c r="A21" s="29"/>
      <c r="B21" s="86"/>
      <c r="C21" s="68" t="s">
        <v>307</v>
      </c>
      <c r="D21" s="66">
        <v>81</v>
      </c>
      <c r="E21" s="69">
        <v>6.0000000000000001E-3</v>
      </c>
      <c r="F21" s="29"/>
      <c r="G21" s="29"/>
    </row>
    <row r="22" spans="1:7" ht="14.45" customHeight="1">
      <c r="A22" s="29"/>
      <c r="B22" s="85" t="s">
        <v>99</v>
      </c>
      <c r="C22" s="52" t="s">
        <v>138</v>
      </c>
      <c r="D22" s="53">
        <v>144</v>
      </c>
      <c r="E22" s="54">
        <v>0.01</v>
      </c>
      <c r="F22" s="29"/>
      <c r="G22" s="29"/>
    </row>
    <row r="23" spans="1:7" ht="14.45" customHeight="1">
      <c r="A23" s="29"/>
      <c r="B23" s="87"/>
      <c r="C23" s="52" t="s">
        <v>139</v>
      </c>
      <c r="D23" s="53">
        <v>129</v>
      </c>
      <c r="E23" s="54">
        <v>8.9999999999999993E-3</v>
      </c>
      <c r="F23" s="29"/>
      <c r="G23" s="29"/>
    </row>
    <row r="24" spans="1:7" ht="14.45" customHeight="1">
      <c r="A24" s="29"/>
      <c r="B24" s="86"/>
      <c r="C24" s="68" t="s">
        <v>307</v>
      </c>
      <c r="D24" s="66">
        <v>273</v>
      </c>
      <c r="E24" s="69">
        <v>1.9E-2</v>
      </c>
      <c r="F24" s="29"/>
      <c r="G24" s="29"/>
    </row>
    <row r="25" spans="1:7" ht="14.45" customHeight="1">
      <c r="A25" s="29"/>
      <c r="B25" s="85" t="s">
        <v>100</v>
      </c>
      <c r="C25" s="52" t="s">
        <v>138</v>
      </c>
      <c r="D25" s="53">
        <v>25</v>
      </c>
      <c r="E25" s="54">
        <v>2E-3</v>
      </c>
      <c r="F25" s="29"/>
      <c r="G25" s="29"/>
    </row>
    <row r="26" spans="1:7" ht="14.45" customHeight="1">
      <c r="A26" s="29"/>
      <c r="B26" s="87"/>
      <c r="C26" s="52" t="s">
        <v>139</v>
      </c>
      <c r="D26" s="53">
        <v>36</v>
      </c>
      <c r="E26" s="54">
        <v>3.0000000000000001E-3</v>
      </c>
      <c r="F26" s="29"/>
      <c r="G26" s="29"/>
    </row>
    <row r="27" spans="1:7" ht="14.45" customHeight="1">
      <c r="A27" s="29"/>
      <c r="B27" s="86"/>
      <c r="C27" s="68" t="s">
        <v>307</v>
      </c>
      <c r="D27" s="66">
        <v>61</v>
      </c>
      <c r="E27" s="69">
        <v>4.0000000000000001E-3</v>
      </c>
      <c r="F27" s="29"/>
      <c r="G27" s="29"/>
    </row>
    <row r="28" spans="1:7" ht="14.45" customHeight="1">
      <c r="A28" s="29"/>
      <c r="B28" s="85" t="s">
        <v>101</v>
      </c>
      <c r="C28" s="52" t="s">
        <v>138</v>
      </c>
      <c r="D28" s="53">
        <v>2</v>
      </c>
      <c r="E28" s="54">
        <v>0</v>
      </c>
      <c r="F28" s="29"/>
      <c r="G28" s="29"/>
    </row>
    <row r="29" spans="1:7" ht="14.45" customHeight="1">
      <c r="A29" s="29"/>
      <c r="B29" s="87"/>
      <c r="C29" s="52" t="s">
        <v>139</v>
      </c>
      <c r="D29" s="53">
        <v>5</v>
      </c>
      <c r="E29" s="54">
        <v>0</v>
      </c>
      <c r="F29" s="29"/>
      <c r="G29" s="29"/>
    </row>
    <row r="30" spans="1:7" ht="14.45" customHeight="1">
      <c r="A30" s="29"/>
      <c r="B30" s="86"/>
      <c r="C30" s="68" t="s">
        <v>307</v>
      </c>
      <c r="D30" s="66">
        <v>7</v>
      </c>
      <c r="E30" s="69">
        <v>0</v>
      </c>
      <c r="F30" s="29"/>
      <c r="G30" s="29"/>
    </row>
    <row r="31" spans="1:7" ht="14.45" customHeight="1">
      <c r="A31" s="29"/>
      <c r="B31" s="85" t="s">
        <v>102</v>
      </c>
      <c r="C31" s="52" t="s">
        <v>138</v>
      </c>
      <c r="D31" s="53">
        <v>1</v>
      </c>
      <c r="E31" s="54">
        <v>0</v>
      </c>
      <c r="F31" s="29"/>
      <c r="G31" s="29"/>
    </row>
    <row r="32" spans="1:7" ht="14.45" customHeight="1">
      <c r="A32" s="29"/>
      <c r="B32" s="87"/>
      <c r="C32" s="52" t="s">
        <v>139</v>
      </c>
      <c r="D32" s="53">
        <v>2</v>
      </c>
      <c r="E32" s="54">
        <v>0</v>
      </c>
      <c r="F32" s="29"/>
      <c r="G32" s="29"/>
    </row>
    <row r="33" spans="1:7" ht="14.45" customHeight="1">
      <c r="A33" s="29"/>
      <c r="B33" s="86"/>
      <c r="C33" s="68" t="s">
        <v>307</v>
      </c>
      <c r="D33" s="66">
        <v>3</v>
      </c>
      <c r="E33" s="69">
        <v>0</v>
      </c>
      <c r="F33" s="29"/>
      <c r="G33" s="29"/>
    </row>
    <row r="34" spans="1:7" ht="14.45" customHeight="1">
      <c r="A34" s="29"/>
      <c r="B34" s="85" t="s">
        <v>279</v>
      </c>
      <c r="C34" s="52" t="s">
        <v>138</v>
      </c>
      <c r="D34" s="53">
        <v>1</v>
      </c>
      <c r="E34" s="54">
        <v>0</v>
      </c>
      <c r="F34" s="29"/>
      <c r="G34" s="29"/>
    </row>
    <row r="35" spans="1:7" ht="14.45" customHeight="1">
      <c r="A35" s="29"/>
      <c r="B35" s="86"/>
      <c r="C35" s="68" t="s">
        <v>307</v>
      </c>
      <c r="D35" s="66">
        <v>1</v>
      </c>
      <c r="E35" s="69">
        <v>0</v>
      </c>
      <c r="F35" s="29"/>
      <c r="G35" s="29"/>
    </row>
    <row r="36" spans="1:7" ht="14.45" customHeight="1">
      <c r="A36" s="29"/>
      <c r="B36" s="85" t="s">
        <v>103</v>
      </c>
      <c r="C36" s="52" t="s">
        <v>138</v>
      </c>
      <c r="D36" s="53">
        <v>58</v>
      </c>
      <c r="E36" s="54">
        <v>4.0000000000000001E-3</v>
      </c>
      <c r="F36" s="29"/>
      <c r="G36" s="29"/>
    </row>
    <row r="37" spans="1:7" ht="14.45" customHeight="1">
      <c r="A37" s="29"/>
      <c r="B37" s="87"/>
      <c r="C37" s="52" t="s">
        <v>139</v>
      </c>
      <c r="D37" s="53">
        <v>106</v>
      </c>
      <c r="E37" s="54">
        <v>7.0000000000000001E-3</v>
      </c>
      <c r="F37" s="29"/>
      <c r="G37" s="29"/>
    </row>
    <row r="38" spans="1:7" ht="14.45" customHeight="1">
      <c r="A38" s="29"/>
      <c r="B38" s="86"/>
      <c r="C38" s="68" t="s">
        <v>307</v>
      </c>
      <c r="D38" s="66">
        <v>164</v>
      </c>
      <c r="E38" s="69">
        <v>1.2E-2</v>
      </c>
      <c r="F38" s="29"/>
      <c r="G38" s="29"/>
    </row>
    <row r="39" spans="1:7" ht="14.45" customHeight="1">
      <c r="A39" s="29"/>
      <c r="B39" s="85" t="s">
        <v>104</v>
      </c>
      <c r="C39" s="52" t="s">
        <v>138</v>
      </c>
      <c r="D39" s="53">
        <v>78</v>
      </c>
      <c r="E39" s="54">
        <v>6.0000000000000001E-3</v>
      </c>
      <c r="F39" s="29"/>
      <c r="G39" s="29"/>
    </row>
    <row r="40" spans="1:7" ht="14.45" customHeight="1">
      <c r="A40" s="29"/>
      <c r="B40" s="87"/>
      <c r="C40" s="52" t="s">
        <v>139</v>
      </c>
      <c r="D40" s="53">
        <v>115</v>
      </c>
      <c r="E40" s="54">
        <v>8.0000000000000002E-3</v>
      </c>
      <c r="F40" s="29"/>
      <c r="G40" s="29"/>
    </row>
    <row r="41" spans="1:7" ht="14.45" customHeight="1">
      <c r="A41" s="29"/>
      <c r="B41" s="86"/>
      <c r="C41" s="68" t="s">
        <v>307</v>
      </c>
      <c r="D41" s="66">
        <v>193</v>
      </c>
      <c r="E41" s="69">
        <v>1.4E-2</v>
      </c>
      <c r="F41" s="29"/>
      <c r="G41" s="29"/>
    </row>
    <row r="42" spans="1:7" ht="14.45" customHeight="1">
      <c r="A42" s="29"/>
      <c r="B42" s="85" t="s">
        <v>280</v>
      </c>
      <c r="C42" s="52" t="s">
        <v>138</v>
      </c>
      <c r="D42" s="53">
        <v>1</v>
      </c>
      <c r="E42" s="54">
        <v>0</v>
      </c>
      <c r="F42" s="29"/>
      <c r="G42" s="29"/>
    </row>
    <row r="43" spans="1:7" ht="14.45" customHeight="1">
      <c r="A43" s="29"/>
      <c r="B43" s="86"/>
      <c r="C43" s="68" t="s">
        <v>307</v>
      </c>
      <c r="D43" s="66">
        <v>1</v>
      </c>
      <c r="E43" s="69">
        <v>0</v>
      </c>
      <c r="F43" s="29"/>
      <c r="G43" s="29"/>
    </row>
    <row r="44" spans="1:7" ht="14.45" customHeight="1">
      <c r="A44" s="29"/>
      <c r="B44" s="85" t="s">
        <v>105</v>
      </c>
      <c r="C44" s="52" t="s">
        <v>138</v>
      </c>
      <c r="D44" s="53">
        <v>7</v>
      </c>
      <c r="E44" s="54">
        <v>0</v>
      </c>
      <c r="F44" s="29"/>
      <c r="G44" s="29"/>
    </row>
    <row r="45" spans="1:7" ht="14.45" customHeight="1">
      <c r="A45" s="29"/>
      <c r="B45" s="87"/>
      <c r="C45" s="52" t="s">
        <v>139</v>
      </c>
      <c r="D45" s="53">
        <v>12</v>
      </c>
      <c r="E45" s="54">
        <v>1E-3</v>
      </c>
      <c r="F45" s="29"/>
      <c r="G45" s="29"/>
    </row>
    <row r="46" spans="1:7" ht="14.45" customHeight="1">
      <c r="A46" s="29"/>
      <c r="B46" s="86"/>
      <c r="C46" s="68" t="s">
        <v>307</v>
      </c>
      <c r="D46" s="66">
        <v>19</v>
      </c>
      <c r="E46" s="69">
        <v>1E-3</v>
      </c>
      <c r="F46" s="29"/>
      <c r="G46" s="29"/>
    </row>
    <row r="47" spans="1:7" ht="14.45" customHeight="1">
      <c r="A47" s="29"/>
      <c r="B47" s="85" t="s">
        <v>106</v>
      </c>
      <c r="C47" s="52" t="s">
        <v>138</v>
      </c>
      <c r="D47" s="53">
        <v>165</v>
      </c>
      <c r="E47" s="54">
        <v>1.2E-2</v>
      </c>
      <c r="F47" s="29"/>
      <c r="G47" s="29"/>
    </row>
    <row r="48" spans="1:7" ht="14.45" customHeight="1">
      <c r="A48" s="29"/>
      <c r="B48" s="87"/>
      <c r="C48" s="52" t="s">
        <v>139</v>
      </c>
      <c r="D48" s="53">
        <v>181</v>
      </c>
      <c r="E48" s="54">
        <v>1.2999999999999999E-2</v>
      </c>
      <c r="F48" s="29"/>
      <c r="G48" s="29"/>
    </row>
    <row r="49" spans="1:7" ht="14.45" customHeight="1">
      <c r="A49" s="29"/>
      <c r="B49" s="86"/>
      <c r="C49" s="68" t="s">
        <v>307</v>
      </c>
      <c r="D49" s="66">
        <v>346</v>
      </c>
      <c r="E49" s="69">
        <v>2.4E-2</v>
      </c>
      <c r="F49" s="29"/>
      <c r="G49" s="29"/>
    </row>
    <row r="50" spans="1:7" ht="14.45" customHeight="1">
      <c r="A50" s="29"/>
      <c r="B50" s="85" t="s">
        <v>107</v>
      </c>
      <c r="C50" s="52" t="s">
        <v>138</v>
      </c>
      <c r="D50" s="53">
        <v>39</v>
      </c>
      <c r="E50" s="54">
        <v>3.0000000000000001E-3</v>
      </c>
      <c r="F50" s="29"/>
      <c r="G50" s="29"/>
    </row>
    <row r="51" spans="1:7" ht="14.45" customHeight="1">
      <c r="A51" s="29"/>
      <c r="B51" s="87"/>
      <c r="C51" s="52" t="s">
        <v>139</v>
      </c>
      <c r="D51" s="53">
        <v>41</v>
      </c>
      <c r="E51" s="54">
        <v>3.0000000000000001E-3</v>
      </c>
      <c r="F51" s="29"/>
      <c r="G51" s="29"/>
    </row>
    <row r="52" spans="1:7" ht="14.45" customHeight="1">
      <c r="A52" s="29"/>
      <c r="B52" s="86"/>
      <c r="C52" s="68" t="s">
        <v>307</v>
      </c>
      <c r="D52" s="66">
        <v>80</v>
      </c>
      <c r="E52" s="69">
        <v>6.0000000000000001E-3</v>
      </c>
      <c r="F52" s="29"/>
      <c r="G52" s="29"/>
    </row>
    <row r="53" spans="1:7" ht="14.45" customHeight="1">
      <c r="A53" s="29"/>
      <c r="B53" s="85" t="s">
        <v>108</v>
      </c>
      <c r="C53" s="52" t="s">
        <v>138</v>
      </c>
      <c r="D53" s="53">
        <v>10</v>
      </c>
      <c r="E53" s="54">
        <v>1E-3</v>
      </c>
      <c r="F53" s="29"/>
      <c r="G53" s="29"/>
    </row>
    <row r="54" spans="1:7" ht="14.45" customHeight="1">
      <c r="A54" s="29"/>
      <c r="B54" s="87"/>
      <c r="C54" s="52" t="s">
        <v>139</v>
      </c>
      <c r="D54" s="53">
        <v>15</v>
      </c>
      <c r="E54" s="54">
        <v>1E-3</v>
      </c>
      <c r="F54" s="29"/>
      <c r="G54" s="29"/>
    </row>
    <row r="55" spans="1:7" ht="14.45" customHeight="1">
      <c r="A55" s="29"/>
      <c r="B55" s="86"/>
      <c r="C55" s="68" t="s">
        <v>307</v>
      </c>
      <c r="D55" s="66">
        <v>25</v>
      </c>
      <c r="E55" s="69">
        <v>2E-3</v>
      </c>
      <c r="F55" s="29"/>
      <c r="G55" s="29"/>
    </row>
    <row r="56" spans="1:7" ht="14.45" customHeight="1">
      <c r="A56" s="29"/>
      <c r="B56" s="85" t="s">
        <v>109</v>
      </c>
      <c r="C56" s="52" t="s">
        <v>138</v>
      </c>
      <c r="D56" s="53">
        <v>20</v>
      </c>
      <c r="E56" s="54">
        <v>1E-3</v>
      </c>
      <c r="F56" s="29"/>
      <c r="G56" s="29"/>
    </row>
    <row r="57" spans="1:7" ht="14.45" customHeight="1">
      <c r="A57" s="29"/>
      <c r="B57" s="87"/>
      <c r="C57" s="52" t="s">
        <v>139</v>
      </c>
      <c r="D57" s="53">
        <v>40</v>
      </c>
      <c r="E57" s="54">
        <v>3.0000000000000001E-3</v>
      </c>
      <c r="F57" s="29"/>
      <c r="G57" s="29"/>
    </row>
    <row r="58" spans="1:7" ht="14.45" customHeight="1">
      <c r="A58" s="29"/>
      <c r="B58" s="86"/>
      <c r="C58" s="68" t="s">
        <v>307</v>
      </c>
      <c r="D58" s="66">
        <v>60</v>
      </c>
      <c r="E58" s="69">
        <v>4.0000000000000001E-3</v>
      </c>
      <c r="F58" s="29"/>
      <c r="G58" s="29"/>
    </row>
    <row r="59" spans="1:7" ht="14.45" customHeight="1">
      <c r="A59" s="29"/>
      <c r="B59" s="85" t="s">
        <v>110</v>
      </c>
      <c r="C59" s="52" t="s">
        <v>138</v>
      </c>
      <c r="D59" s="53">
        <v>4</v>
      </c>
      <c r="E59" s="54">
        <v>0</v>
      </c>
      <c r="F59" s="29"/>
      <c r="G59" s="29"/>
    </row>
    <row r="60" spans="1:7" ht="14.45" customHeight="1">
      <c r="A60" s="29"/>
      <c r="B60" s="87"/>
      <c r="C60" s="52" t="s">
        <v>139</v>
      </c>
      <c r="D60" s="53">
        <v>23</v>
      </c>
      <c r="E60" s="54">
        <v>2E-3</v>
      </c>
      <c r="F60" s="29"/>
      <c r="G60" s="29"/>
    </row>
    <row r="61" spans="1:7" ht="14.45" customHeight="1">
      <c r="A61" s="29"/>
      <c r="B61" s="86"/>
      <c r="C61" s="68" t="s">
        <v>307</v>
      </c>
      <c r="D61" s="66">
        <v>27</v>
      </c>
      <c r="E61" s="69">
        <v>2E-3</v>
      </c>
      <c r="F61" s="29"/>
      <c r="G61" s="29"/>
    </row>
    <row r="62" spans="1:7" ht="14.45" customHeight="1">
      <c r="A62" s="29"/>
      <c r="B62" s="85" t="s">
        <v>111</v>
      </c>
      <c r="C62" s="52" t="s">
        <v>138</v>
      </c>
      <c r="D62" s="53">
        <v>24</v>
      </c>
      <c r="E62" s="54">
        <v>2E-3</v>
      </c>
      <c r="F62" s="29"/>
      <c r="G62" s="29"/>
    </row>
    <row r="63" spans="1:7" ht="14.45" customHeight="1">
      <c r="A63" s="29"/>
      <c r="B63" s="87"/>
      <c r="C63" s="52" t="s">
        <v>139</v>
      </c>
      <c r="D63" s="53">
        <v>26</v>
      </c>
      <c r="E63" s="54">
        <v>2E-3</v>
      </c>
      <c r="F63" s="29"/>
      <c r="G63" s="29"/>
    </row>
    <row r="64" spans="1:7" ht="14.45" customHeight="1">
      <c r="A64" s="29"/>
      <c r="B64" s="86"/>
      <c r="C64" s="68" t="s">
        <v>307</v>
      </c>
      <c r="D64" s="66">
        <v>50</v>
      </c>
      <c r="E64" s="69">
        <v>4.0000000000000001E-3</v>
      </c>
      <c r="F64" s="29"/>
      <c r="G64" s="29"/>
    </row>
    <row r="65" spans="1:7" ht="14.45" customHeight="1">
      <c r="A65" s="29"/>
      <c r="B65" s="85" t="s">
        <v>112</v>
      </c>
      <c r="C65" s="52" t="s">
        <v>139</v>
      </c>
      <c r="D65" s="53">
        <v>3</v>
      </c>
      <c r="E65" s="54">
        <v>0</v>
      </c>
      <c r="F65" s="29"/>
      <c r="G65" s="29"/>
    </row>
    <row r="66" spans="1:7" ht="14.45" customHeight="1">
      <c r="A66" s="29"/>
      <c r="B66" s="86"/>
      <c r="C66" s="68" t="s">
        <v>307</v>
      </c>
      <c r="D66" s="66">
        <v>3</v>
      </c>
      <c r="E66" s="69">
        <v>0</v>
      </c>
      <c r="F66" s="29"/>
      <c r="G66" s="29"/>
    </row>
    <row r="67" spans="1:7" ht="14.45" customHeight="1">
      <c r="A67" s="29"/>
      <c r="B67" s="85" t="s">
        <v>113</v>
      </c>
      <c r="C67" s="52" t="s">
        <v>138</v>
      </c>
      <c r="D67" s="53">
        <v>1</v>
      </c>
      <c r="E67" s="54">
        <v>0</v>
      </c>
      <c r="F67" s="29"/>
      <c r="G67" s="29"/>
    </row>
    <row r="68" spans="1:7" ht="14.45" customHeight="1">
      <c r="A68" s="29"/>
      <c r="B68" s="87"/>
      <c r="C68" s="52" t="s">
        <v>139</v>
      </c>
      <c r="D68" s="53">
        <v>7</v>
      </c>
      <c r="E68" s="54">
        <v>0</v>
      </c>
      <c r="F68" s="29"/>
      <c r="G68" s="29"/>
    </row>
    <row r="69" spans="1:7" ht="14.45" customHeight="1">
      <c r="A69" s="29"/>
      <c r="B69" s="86"/>
      <c r="C69" s="68" t="s">
        <v>307</v>
      </c>
      <c r="D69" s="66">
        <v>8</v>
      </c>
      <c r="E69" s="69">
        <v>1E-3</v>
      </c>
      <c r="F69" s="29"/>
      <c r="G69" s="29"/>
    </row>
    <row r="70" spans="1:7" ht="14.45" customHeight="1">
      <c r="A70" s="29"/>
      <c r="B70" s="85" t="s">
        <v>114</v>
      </c>
      <c r="C70" s="52" t="s">
        <v>139</v>
      </c>
      <c r="D70" s="53">
        <v>2</v>
      </c>
      <c r="E70" s="54">
        <v>0</v>
      </c>
      <c r="F70" s="29"/>
      <c r="G70" s="29"/>
    </row>
    <row r="71" spans="1:7" ht="14.45" customHeight="1">
      <c r="A71" s="29"/>
      <c r="B71" s="86"/>
      <c r="C71" s="68" t="s">
        <v>307</v>
      </c>
      <c r="D71" s="66">
        <v>2</v>
      </c>
      <c r="E71" s="69">
        <v>0</v>
      </c>
      <c r="F71" s="29"/>
      <c r="G71" s="29"/>
    </row>
    <row r="72" spans="1:7" ht="14.45" customHeight="1">
      <c r="A72" s="29"/>
      <c r="B72" s="85" t="s">
        <v>115</v>
      </c>
      <c r="C72" s="52" t="s">
        <v>138</v>
      </c>
      <c r="D72" s="53">
        <v>41</v>
      </c>
      <c r="E72" s="54">
        <v>3.0000000000000001E-3</v>
      </c>
      <c r="F72" s="29"/>
      <c r="G72" s="29"/>
    </row>
    <row r="73" spans="1:7" ht="14.45" customHeight="1">
      <c r="A73" s="29"/>
      <c r="B73" s="87"/>
      <c r="C73" s="52" t="s">
        <v>139</v>
      </c>
      <c r="D73" s="53">
        <v>43</v>
      </c>
      <c r="E73" s="54">
        <v>3.0000000000000001E-3</v>
      </c>
      <c r="F73" s="29"/>
      <c r="G73" s="29"/>
    </row>
    <row r="74" spans="1:7" ht="14.45" customHeight="1">
      <c r="A74" s="29"/>
      <c r="B74" s="86"/>
      <c r="C74" s="68" t="s">
        <v>307</v>
      </c>
      <c r="D74" s="66">
        <v>84</v>
      </c>
      <c r="E74" s="69">
        <v>6.0000000000000001E-3</v>
      </c>
      <c r="F74" s="29"/>
      <c r="G74" s="29"/>
    </row>
    <row r="75" spans="1:7" ht="14.45" customHeight="1">
      <c r="A75" s="29"/>
      <c r="B75" s="85" t="s">
        <v>116</v>
      </c>
      <c r="C75" s="52" t="s">
        <v>138</v>
      </c>
      <c r="D75" s="53">
        <v>34</v>
      </c>
      <c r="E75" s="54">
        <v>2E-3</v>
      </c>
      <c r="F75" s="29"/>
      <c r="G75" s="29"/>
    </row>
    <row r="76" spans="1:7" ht="14.45" customHeight="1">
      <c r="A76" s="29"/>
      <c r="B76" s="87"/>
      <c r="C76" s="52" t="s">
        <v>139</v>
      </c>
      <c r="D76" s="53">
        <v>28</v>
      </c>
      <c r="E76" s="54">
        <v>2E-3</v>
      </c>
      <c r="F76" s="29"/>
      <c r="G76" s="29"/>
    </row>
    <row r="77" spans="1:7" ht="14.45" customHeight="1">
      <c r="A77" s="29"/>
      <c r="B77" s="86"/>
      <c r="C77" s="68" t="s">
        <v>307</v>
      </c>
      <c r="D77" s="66">
        <v>62</v>
      </c>
      <c r="E77" s="69">
        <v>4.0000000000000001E-3</v>
      </c>
      <c r="F77" s="29"/>
      <c r="G77" s="29"/>
    </row>
    <row r="78" spans="1:7" ht="14.45" customHeight="1">
      <c r="A78" s="29"/>
      <c r="B78" s="85" t="s">
        <v>117</v>
      </c>
      <c r="C78" s="52" t="s">
        <v>138</v>
      </c>
      <c r="D78" s="53">
        <v>13</v>
      </c>
      <c r="E78" s="54">
        <v>1E-3</v>
      </c>
      <c r="F78" s="29"/>
      <c r="G78" s="29"/>
    </row>
    <row r="79" spans="1:7" ht="14.45" customHeight="1">
      <c r="A79" s="29"/>
      <c r="B79" s="87"/>
      <c r="C79" s="52" t="s">
        <v>139</v>
      </c>
      <c r="D79" s="53">
        <v>10</v>
      </c>
      <c r="E79" s="54">
        <v>1E-3</v>
      </c>
      <c r="F79" s="29"/>
      <c r="G79" s="29"/>
    </row>
    <row r="80" spans="1:7" ht="14.45" customHeight="1">
      <c r="A80" s="29"/>
      <c r="B80" s="86"/>
      <c r="C80" s="68" t="s">
        <v>307</v>
      </c>
      <c r="D80" s="66">
        <v>23</v>
      </c>
      <c r="E80" s="69">
        <v>2E-3</v>
      </c>
      <c r="F80" s="29"/>
      <c r="G80" s="29"/>
    </row>
    <row r="81" spans="1:7" ht="14.45" customHeight="1">
      <c r="A81" s="29"/>
      <c r="B81" s="85" t="s">
        <v>118</v>
      </c>
      <c r="C81" s="52" t="s">
        <v>138</v>
      </c>
      <c r="D81" s="53">
        <v>33</v>
      </c>
      <c r="E81" s="54">
        <v>2E-3</v>
      </c>
      <c r="F81" s="29"/>
      <c r="G81" s="29"/>
    </row>
    <row r="82" spans="1:7" ht="14.45" customHeight="1">
      <c r="A82" s="29"/>
      <c r="B82" s="87"/>
      <c r="C82" s="52" t="s">
        <v>139</v>
      </c>
      <c r="D82" s="53">
        <v>48</v>
      </c>
      <c r="E82" s="54">
        <v>3.0000000000000001E-3</v>
      </c>
      <c r="F82" s="29"/>
      <c r="G82" s="29"/>
    </row>
    <row r="83" spans="1:7" ht="14.45" customHeight="1">
      <c r="A83" s="29"/>
      <c r="B83" s="86"/>
      <c r="C83" s="68" t="s">
        <v>307</v>
      </c>
      <c r="D83" s="66">
        <v>81</v>
      </c>
      <c r="E83" s="69">
        <v>6.0000000000000001E-3</v>
      </c>
      <c r="F83" s="29"/>
      <c r="G83" s="29"/>
    </row>
    <row r="84" spans="1:7" ht="14.45" customHeight="1">
      <c r="A84" s="29"/>
      <c r="B84" s="85" t="s">
        <v>119</v>
      </c>
      <c r="C84" s="52" t="s">
        <v>138</v>
      </c>
      <c r="D84" s="53">
        <v>9</v>
      </c>
      <c r="E84" s="54">
        <v>1E-3</v>
      </c>
      <c r="F84" s="29"/>
      <c r="G84" s="29"/>
    </row>
    <row r="85" spans="1:7" ht="14.45" customHeight="1">
      <c r="A85" s="29"/>
      <c r="B85" s="87"/>
      <c r="C85" s="52" t="s">
        <v>139</v>
      </c>
      <c r="D85" s="53">
        <v>9</v>
      </c>
      <c r="E85" s="54">
        <v>1E-3</v>
      </c>
      <c r="F85" s="29"/>
      <c r="G85" s="29"/>
    </row>
    <row r="86" spans="1:7" ht="14.45" customHeight="1">
      <c r="A86" s="29"/>
      <c r="B86" s="86"/>
      <c r="C86" s="68" t="s">
        <v>307</v>
      </c>
      <c r="D86" s="66">
        <v>18</v>
      </c>
      <c r="E86" s="69">
        <v>1E-3</v>
      </c>
      <c r="F86" s="29"/>
      <c r="G86" s="29"/>
    </row>
    <row r="87" spans="1:7" ht="14.45" customHeight="1">
      <c r="A87" s="29"/>
      <c r="B87" s="85" t="s">
        <v>120</v>
      </c>
      <c r="C87" s="52" t="s">
        <v>138</v>
      </c>
      <c r="D87" s="53">
        <v>16</v>
      </c>
      <c r="E87" s="54">
        <v>1E-3</v>
      </c>
      <c r="F87" s="29"/>
      <c r="G87" s="29"/>
    </row>
    <row r="88" spans="1:7" ht="14.45" customHeight="1">
      <c r="A88" s="29"/>
      <c r="B88" s="87"/>
      <c r="C88" s="52" t="s">
        <v>139</v>
      </c>
      <c r="D88" s="53">
        <v>20</v>
      </c>
      <c r="E88" s="54">
        <v>1E-3</v>
      </c>
      <c r="F88" s="29"/>
      <c r="G88" s="29"/>
    </row>
    <row r="89" spans="1:7" ht="14.45" customHeight="1">
      <c r="A89" s="29"/>
      <c r="B89" s="86"/>
      <c r="C89" s="68" t="s">
        <v>307</v>
      </c>
      <c r="D89" s="66">
        <v>36</v>
      </c>
      <c r="E89" s="69">
        <v>3.0000000000000001E-3</v>
      </c>
      <c r="F89" s="29"/>
      <c r="G89" s="29"/>
    </row>
    <row r="90" spans="1:7" ht="14.45" customHeight="1">
      <c r="A90" s="29"/>
      <c r="B90" s="85" t="s">
        <v>281</v>
      </c>
      <c r="C90" s="52" t="s">
        <v>138</v>
      </c>
      <c r="D90" s="53">
        <v>1</v>
      </c>
      <c r="E90" s="54">
        <v>0</v>
      </c>
      <c r="F90" s="29"/>
      <c r="G90" s="29"/>
    </row>
    <row r="91" spans="1:7" ht="14.45" customHeight="1">
      <c r="A91" s="29"/>
      <c r="B91" s="86"/>
      <c r="C91" s="68" t="s">
        <v>307</v>
      </c>
      <c r="D91" s="66">
        <v>1</v>
      </c>
      <c r="E91" s="69">
        <v>0</v>
      </c>
      <c r="F91" s="29"/>
      <c r="G91" s="29"/>
    </row>
    <row r="92" spans="1:7" ht="14.45" customHeight="1">
      <c r="A92" s="29"/>
      <c r="B92" s="85" t="s">
        <v>121</v>
      </c>
      <c r="C92" s="52" t="s">
        <v>138</v>
      </c>
      <c r="D92" s="53">
        <v>7</v>
      </c>
      <c r="E92" s="54">
        <v>0</v>
      </c>
      <c r="F92" s="29"/>
      <c r="G92" s="29"/>
    </row>
    <row r="93" spans="1:7" ht="14.45" customHeight="1">
      <c r="A93" s="29"/>
      <c r="B93" s="87"/>
      <c r="C93" s="52" t="s">
        <v>139</v>
      </c>
      <c r="D93" s="53">
        <v>8</v>
      </c>
      <c r="E93" s="54">
        <v>1E-3</v>
      </c>
      <c r="F93" s="29"/>
      <c r="G93" s="29"/>
    </row>
    <row r="94" spans="1:7" ht="14.45" customHeight="1">
      <c r="A94" s="29"/>
      <c r="B94" s="86"/>
      <c r="C94" s="68" t="s">
        <v>307</v>
      </c>
      <c r="D94" s="66">
        <v>15</v>
      </c>
      <c r="E94" s="69">
        <v>1E-3</v>
      </c>
      <c r="F94" s="29"/>
      <c r="G94" s="29"/>
    </row>
    <row r="95" spans="1:7" ht="14.45" customHeight="1">
      <c r="A95" s="29"/>
      <c r="B95" s="85" t="s">
        <v>122</v>
      </c>
      <c r="C95" s="52" t="s">
        <v>138</v>
      </c>
      <c r="D95" s="53">
        <v>11</v>
      </c>
      <c r="E95" s="54">
        <v>1E-3</v>
      </c>
      <c r="F95" s="29"/>
      <c r="G95" s="29"/>
    </row>
    <row r="96" spans="1:7" ht="14.45" customHeight="1">
      <c r="A96" s="29"/>
      <c r="B96" s="87"/>
      <c r="C96" s="52" t="s">
        <v>139</v>
      </c>
      <c r="D96" s="53">
        <v>8</v>
      </c>
      <c r="E96" s="54">
        <v>1E-3</v>
      </c>
      <c r="F96" s="29"/>
      <c r="G96" s="29"/>
    </row>
    <row r="97" spans="1:7" ht="14.45" customHeight="1">
      <c r="A97" s="29"/>
      <c r="B97" s="86"/>
      <c r="C97" s="68" t="s">
        <v>307</v>
      </c>
      <c r="D97" s="66">
        <v>19</v>
      </c>
      <c r="E97" s="69">
        <v>1E-3</v>
      </c>
      <c r="F97" s="29"/>
      <c r="G97" s="29"/>
    </row>
    <row r="98" spans="1:7" ht="14.45" customHeight="1">
      <c r="A98" s="29"/>
      <c r="B98" s="85" t="s">
        <v>123</v>
      </c>
      <c r="C98" s="52" t="s">
        <v>138</v>
      </c>
      <c r="D98" s="53">
        <v>7</v>
      </c>
      <c r="E98" s="54">
        <v>0</v>
      </c>
      <c r="F98" s="29"/>
      <c r="G98" s="29"/>
    </row>
    <row r="99" spans="1:7" ht="14.45" customHeight="1">
      <c r="A99" s="29"/>
      <c r="B99" s="87"/>
      <c r="C99" s="52" t="s">
        <v>139</v>
      </c>
      <c r="D99" s="53">
        <v>9</v>
      </c>
      <c r="E99" s="54">
        <v>1E-3</v>
      </c>
      <c r="F99" s="29"/>
      <c r="G99" s="29"/>
    </row>
    <row r="100" spans="1:7" ht="14.45" customHeight="1">
      <c r="A100" s="29"/>
      <c r="B100" s="86"/>
      <c r="C100" s="68" t="s">
        <v>307</v>
      </c>
      <c r="D100" s="66">
        <v>16</v>
      </c>
      <c r="E100" s="69">
        <v>1E-3</v>
      </c>
      <c r="F100" s="29"/>
      <c r="G100" s="29"/>
    </row>
    <row r="101" spans="1:7" ht="14.45" customHeight="1">
      <c r="A101" s="29"/>
      <c r="B101" s="85" t="s">
        <v>124</v>
      </c>
      <c r="C101" s="52" t="s">
        <v>138</v>
      </c>
      <c r="D101" s="53">
        <v>54</v>
      </c>
      <c r="E101" s="54">
        <v>4.0000000000000001E-3</v>
      </c>
      <c r="F101" s="29"/>
      <c r="G101" s="29"/>
    </row>
    <row r="102" spans="1:7" ht="14.45" customHeight="1">
      <c r="A102" s="29"/>
      <c r="B102" s="87"/>
      <c r="C102" s="52" t="s">
        <v>139</v>
      </c>
      <c r="D102" s="53">
        <v>89</v>
      </c>
      <c r="E102" s="54">
        <v>6.0000000000000001E-3</v>
      </c>
      <c r="F102" s="29"/>
      <c r="G102" s="29"/>
    </row>
    <row r="103" spans="1:7" ht="14.45" customHeight="1">
      <c r="A103" s="29"/>
      <c r="B103" s="86"/>
      <c r="C103" s="68" t="s">
        <v>307</v>
      </c>
      <c r="D103" s="66">
        <v>143</v>
      </c>
      <c r="E103" s="69">
        <v>0.01</v>
      </c>
      <c r="F103" s="29"/>
      <c r="G103" s="29"/>
    </row>
    <row r="104" spans="1:7" ht="14.45" customHeight="1">
      <c r="A104" s="29"/>
      <c r="B104" s="85" t="s">
        <v>125</v>
      </c>
      <c r="C104" s="52" t="s">
        <v>138</v>
      </c>
      <c r="D104" s="53">
        <v>3</v>
      </c>
      <c r="E104" s="54">
        <v>0</v>
      </c>
      <c r="F104" s="29"/>
      <c r="G104" s="29"/>
    </row>
    <row r="105" spans="1:7" ht="14.45" customHeight="1">
      <c r="A105" s="29"/>
      <c r="B105" s="87"/>
      <c r="C105" s="52" t="s">
        <v>139</v>
      </c>
      <c r="D105" s="53">
        <v>2</v>
      </c>
      <c r="E105" s="54">
        <v>0</v>
      </c>
      <c r="F105" s="29"/>
      <c r="G105" s="29"/>
    </row>
    <row r="106" spans="1:7" ht="14.45" customHeight="1">
      <c r="A106" s="29"/>
      <c r="B106" s="86"/>
      <c r="C106" s="68" t="s">
        <v>307</v>
      </c>
      <c r="D106" s="66">
        <v>5</v>
      </c>
      <c r="E106" s="69">
        <v>0</v>
      </c>
      <c r="F106" s="29"/>
      <c r="G106" s="29"/>
    </row>
    <row r="107" spans="1:7" ht="14.45" customHeight="1">
      <c r="A107" s="29"/>
      <c r="B107" s="85" t="s">
        <v>126</v>
      </c>
      <c r="C107" s="52" t="s">
        <v>138</v>
      </c>
      <c r="D107" s="53">
        <v>6</v>
      </c>
      <c r="E107" s="54">
        <v>0</v>
      </c>
      <c r="F107" s="29"/>
      <c r="G107" s="29"/>
    </row>
    <row r="108" spans="1:7" ht="14.45" customHeight="1">
      <c r="A108" s="29"/>
      <c r="B108" s="87"/>
      <c r="C108" s="52" t="s">
        <v>139</v>
      </c>
      <c r="D108" s="53">
        <v>20</v>
      </c>
      <c r="E108" s="54">
        <v>1E-3</v>
      </c>
      <c r="F108" s="29"/>
      <c r="G108" s="29"/>
    </row>
    <row r="109" spans="1:7" ht="14.45" customHeight="1">
      <c r="A109" s="29"/>
      <c r="B109" s="86"/>
      <c r="C109" s="68" t="s">
        <v>307</v>
      </c>
      <c r="D109" s="66">
        <v>26</v>
      </c>
      <c r="E109" s="69">
        <v>2E-3</v>
      </c>
      <c r="F109" s="29"/>
      <c r="G109" s="29"/>
    </row>
    <row r="110" spans="1:7" ht="14.45" customHeight="1">
      <c r="A110" s="29"/>
      <c r="B110" s="85" t="s">
        <v>127</v>
      </c>
      <c r="C110" s="52" t="s">
        <v>138</v>
      </c>
      <c r="D110" s="53">
        <v>82</v>
      </c>
      <c r="E110" s="54">
        <v>6.0000000000000001E-3</v>
      </c>
      <c r="F110" s="29"/>
      <c r="G110" s="29"/>
    </row>
    <row r="111" spans="1:7" ht="14.45" customHeight="1">
      <c r="A111" s="29"/>
      <c r="B111" s="87"/>
      <c r="C111" s="52" t="s">
        <v>139</v>
      </c>
      <c r="D111" s="53">
        <v>102</v>
      </c>
      <c r="E111" s="54">
        <v>7.0000000000000001E-3</v>
      </c>
      <c r="F111" s="29"/>
      <c r="G111" s="29"/>
    </row>
    <row r="112" spans="1:7" ht="14.45" customHeight="1">
      <c r="A112" s="29"/>
      <c r="B112" s="86"/>
      <c r="C112" s="68" t="s">
        <v>307</v>
      </c>
      <c r="D112" s="66">
        <v>184</v>
      </c>
      <c r="E112" s="69">
        <v>1.2999999999999999E-2</v>
      </c>
      <c r="F112" s="29"/>
      <c r="G112" s="29"/>
    </row>
    <row r="113" spans="1:7" ht="14.45" customHeight="1">
      <c r="A113" s="29"/>
      <c r="B113" s="85" t="s">
        <v>128</v>
      </c>
      <c r="C113" s="52" t="s">
        <v>138</v>
      </c>
      <c r="D113" s="53">
        <v>1</v>
      </c>
      <c r="E113" s="54">
        <v>0</v>
      </c>
      <c r="F113" s="29"/>
      <c r="G113" s="29"/>
    </row>
    <row r="114" spans="1:7" ht="14.45" customHeight="1">
      <c r="A114" s="29"/>
      <c r="B114" s="87"/>
      <c r="C114" s="52" t="s">
        <v>139</v>
      </c>
      <c r="D114" s="53">
        <v>4</v>
      </c>
      <c r="E114" s="54">
        <v>0</v>
      </c>
      <c r="F114" s="29"/>
      <c r="G114" s="29"/>
    </row>
    <row r="115" spans="1:7" ht="14.45" customHeight="1">
      <c r="A115" s="29"/>
      <c r="B115" s="86"/>
      <c r="C115" s="68" t="s">
        <v>307</v>
      </c>
      <c r="D115" s="66">
        <v>5</v>
      </c>
      <c r="E115" s="69">
        <v>0</v>
      </c>
      <c r="F115" s="29"/>
      <c r="G115" s="29"/>
    </row>
    <row r="116" spans="1:7" ht="14.45" customHeight="1">
      <c r="A116" s="29"/>
      <c r="B116" s="85" t="s">
        <v>129</v>
      </c>
      <c r="C116" s="52" t="s">
        <v>138</v>
      </c>
      <c r="D116" s="53">
        <v>3</v>
      </c>
      <c r="E116" s="54">
        <v>0</v>
      </c>
      <c r="F116" s="29"/>
      <c r="G116" s="29"/>
    </row>
    <row r="117" spans="1:7" ht="14.45" customHeight="1">
      <c r="A117" s="29"/>
      <c r="B117" s="87"/>
      <c r="C117" s="52" t="s">
        <v>139</v>
      </c>
      <c r="D117" s="53">
        <v>4</v>
      </c>
      <c r="E117" s="54">
        <v>0</v>
      </c>
      <c r="F117" s="29"/>
      <c r="G117" s="29"/>
    </row>
    <row r="118" spans="1:7" ht="14.45" customHeight="1">
      <c r="A118" s="29"/>
      <c r="B118" s="86"/>
      <c r="C118" s="68" t="s">
        <v>307</v>
      </c>
      <c r="D118" s="66">
        <v>7</v>
      </c>
      <c r="E118" s="69">
        <v>0</v>
      </c>
      <c r="F118" s="29"/>
      <c r="G118" s="29"/>
    </row>
    <row r="119" spans="1:7" ht="14.45" customHeight="1">
      <c r="A119" s="29"/>
      <c r="B119" s="85" t="s">
        <v>130</v>
      </c>
      <c r="C119" s="52" t="s">
        <v>138</v>
      </c>
      <c r="D119" s="53">
        <v>22</v>
      </c>
      <c r="E119" s="54">
        <v>2E-3</v>
      </c>
      <c r="F119" s="29"/>
      <c r="G119" s="29"/>
    </row>
    <row r="120" spans="1:7" ht="14.45" customHeight="1">
      <c r="A120" s="29"/>
      <c r="B120" s="87"/>
      <c r="C120" s="52" t="s">
        <v>139</v>
      </c>
      <c r="D120" s="53">
        <v>18</v>
      </c>
      <c r="E120" s="54">
        <v>1E-3</v>
      </c>
      <c r="F120" s="29"/>
      <c r="G120" s="29"/>
    </row>
    <row r="121" spans="1:7" ht="14.45" customHeight="1">
      <c r="A121" s="29"/>
      <c r="B121" s="86"/>
      <c r="C121" s="68" t="s">
        <v>307</v>
      </c>
      <c r="D121" s="66">
        <v>40</v>
      </c>
      <c r="E121" s="69">
        <v>3.0000000000000001E-3</v>
      </c>
      <c r="F121" s="29"/>
      <c r="G121" s="29"/>
    </row>
    <row r="122" spans="1:7" ht="14.45" customHeight="1">
      <c r="A122" s="29"/>
      <c r="B122" s="85" t="s">
        <v>131</v>
      </c>
      <c r="C122" s="52" t="s">
        <v>138</v>
      </c>
      <c r="D122" s="53">
        <v>1</v>
      </c>
      <c r="E122" s="54">
        <v>0</v>
      </c>
      <c r="F122" s="29"/>
      <c r="G122" s="29"/>
    </row>
    <row r="123" spans="1:7" ht="14.45" customHeight="1">
      <c r="A123" s="29"/>
      <c r="B123" s="87"/>
      <c r="C123" s="52" t="s">
        <v>139</v>
      </c>
      <c r="D123" s="53">
        <v>1</v>
      </c>
      <c r="E123" s="54">
        <v>0</v>
      </c>
      <c r="F123" s="29"/>
      <c r="G123" s="29"/>
    </row>
    <row r="124" spans="1:7" ht="14.45" customHeight="1">
      <c r="A124" s="29"/>
      <c r="B124" s="86"/>
      <c r="C124" s="68" t="s">
        <v>307</v>
      </c>
      <c r="D124" s="66">
        <v>2</v>
      </c>
      <c r="E124" s="69">
        <v>0</v>
      </c>
      <c r="F124" s="29"/>
      <c r="G124" s="29"/>
    </row>
    <row r="125" spans="1:7" ht="14.45" customHeight="1">
      <c r="A125" s="29"/>
      <c r="B125" s="85" t="s">
        <v>132</v>
      </c>
      <c r="C125" s="52" t="s">
        <v>138</v>
      </c>
      <c r="D125" s="53">
        <v>38</v>
      </c>
      <c r="E125" s="54">
        <v>3.0000000000000001E-3</v>
      </c>
      <c r="F125" s="29"/>
      <c r="G125" s="29"/>
    </row>
    <row r="126" spans="1:7" ht="14.45" customHeight="1">
      <c r="A126" s="29"/>
      <c r="B126" s="87"/>
      <c r="C126" s="52" t="s">
        <v>139</v>
      </c>
      <c r="D126" s="53">
        <v>87</v>
      </c>
      <c r="E126" s="54">
        <v>6.0000000000000001E-3</v>
      </c>
      <c r="F126" s="29"/>
      <c r="G126" s="29"/>
    </row>
    <row r="127" spans="1:7" ht="14.45" customHeight="1">
      <c r="A127" s="29"/>
      <c r="B127" s="86"/>
      <c r="C127" s="68" t="s">
        <v>307</v>
      </c>
      <c r="D127" s="66">
        <v>125</v>
      </c>
      <c r="E127" s="69">
        <v>8.9999999999999993E-3</v>
      </c>
      <c r="F127" s="29"/>
      <c r="G127" s="29"/>
    </row>
    <row r="128" spans="1:7" ht="14.45" customHeight="1">
      <c r="A128" s="29"/>
      <c r="B128" s="85" t="s">
        <v>133</v>
      </c>
      <c r="C128" s="52" t="s">
        <v>138</v>
      </c>
      <c r="D128" s="53">
        <v>5697</v>
      </c>
      <c r="E128" s="54">
        <v>0.40300000000000002</v>
      </c>
      <c r="F128" s="29"/>
      <c r="G128" s="29"/>
    </row>
    <row r="129" spans="1:7" ht="14.45" customHeight="1">
      <c r="A129" s="29"/>
      <c r="B129" s="87"/>
      <c r="C129" s="52" t="s">
        <v>139</v>
      </c>
      <c r="D129" s="53">
        <v>5944</v>
      </c>
      <c r="E129" s="54">
        <v>0.42</v>
      </c>
      <c r="F129" s="29"/>
      <c r="G129" s="29"/>
    </row>
    <row r="130" spans="1:7" ht="14.45" customHeight="1">
      <c r="A130" s="29"/>
      <c r="B130" s="87"/>
      <c r="C130" s="52" t="s">
        <v>282</v>
      </c>
      <c r="D130" s="53">
        <v>1</v>
      </c>
      <c r="E130" s="54">
        <v>0</v>
      </c>
      <c r="F130" s="29"/>
      <c r="G130" s="29"/>
    </row>
    <row r="131" spans="1:7" ht="14.45" customHeight="1">
      <c r="A131" s="29"/>
      <c r="B131" s="86"/>
      <c r="C131" s="68" t="s">
        <v>307</v>
      </c>
      <c r="D131" s="66">
        <v>11642</v>
      </c>
      <c r="E131" s="69">
        <v>0.82299999999999995</v>
      </c>
      <c r="F131" s="29"/>
      <c r="G131" s="29"/>
    </row>
    <row r="132" spans="1:7" ht="14.45" customHeight="1">
      <c r="A132" s="29"/>
      <c r="B132" s="85" t="s">
        <v>134</v>
      </c>
      <c r="C132" s="52" t="s">
        <v>138</v>
      </c>
      <c r="D132" s="53">
        <v>9</v>
      </c>
      <c r="E132" s="54">
        <v>1E-3</v>
      </c>
      <c r="F132" s="29"/>
      <c r="G132" s="29"/>
    </row>
    <row r="133" spans="1:7" ht="14.45" customHeight="1">
      <c r="A133" s="29"/>
      <c r="B133" s="87"/>
      <c r="C133" s="52" t="s">
        <v>139</v>
      </c>
      <c r="D133" s="53">
        <v>21</v>
      </c>
      <c r="E133" s="54">
        <v>1E-3</v>
      </c>
      <c r="F133" s="29"/>
      <c r="G133" s="29"/>
    </row>
    <row r="134" spans="1:7" ht="14.45" customHeight="1">
      <c r="A134" s="29"/>
      <c r="B134" s="86"/>
      <c r="C134" s="68" t="s">
        <v>307</v>
      </c>
      <c r="D134" s="66">
        <v>30</v>
      </c>
      <c r="E134" s="69">
        <v>2E-3</v>
      </c>
      <c r="F134" s="29"/>
      <c r="G134" s="29"/>
    </row>
    <row r="135" spans="1:7" ht="14.45" customHeight="1">
      <c r="A135" s="29"/>
      <c r="B135" s="85" t="s">
        <v>135</v>
      </c>
      <c r="C135" s="52" t="s">
        <v>138</v>
      </c>
      <c r="D135" s="53">
        <v>9</v>
      </c>
      <c r="E135" s="54">
        <v>1E-3</v>
      </c>
      <c r="F135" s="29"/>
      <c r="G135" s="29"/>
    </row>
    <row r="136" spans="1:7" ht="14.45" customHeight="1">
      <c r="A136" s="29"/>
      <c r="B136" s="87"/>
      <c r="C136" s="52" t="s">
        <v>139</v>
      </c>
      <c r="D136" s="53">
        <v>18</v>
      </c>
      <c r="E136" s="54">
        <v>1E-3</v>
      </c>
      <c r="F136" s="29"/>
      <c r="G136" s="29"/>
    </row>
    <row r="137" spans="1:7" ht="14.45" customHeight="1">
      <c r="A137" s="29"/>
      <c r="B137" s="86"/>
      <c r="C137" s="68" t="s">
        <v>307</v>
      </c>
      <c r="D137" s="66">
        <v>27</v>
      </c>
      <c r="E137" s="69">
        <v>2E-3</v>
      </c>
      <c r="F137" s="29"/>
      <c r="G137" s="29"/>
    </row>
    <row r="138" spans="1:7" ht="14.45" customHeight="1">
      <c r="A138" s="29"/>
      <c r="B138" s="85" t="s">
        <v>73</v>
      </c>
      <c r="C138" s="52" t="s">
        <v>138</v>
      </c>
      <c r="D138" s="53">
        <v>4</v>
      </c>
      <c r="E138" s="54">
        <v>0</v>
      </c>
      <c r="F138" s="29"/>
      <c r="G138" s="29"/>
    </row>
    <row r="139" spans="1:7" ht="14.45" customHeight="1">
      <c r="A139" s="29"/>
      <c r="B139" s="87"/>
      <c r="C139" s="52" t="s">
        <v>139</v>
      </c>
      <c r="D139" s="53">
        <v>3</v>
      </c>
      <c r="E139" s="54">
        <v>0</v>
      </c>
      <c r="F139" s="29"/>
      <c r="G139" s="29"/>
    </row>
    <row r="140" spans="1:7" ht="14.45" customHeight="1">
      <c r="A140" s="29"/>
      <c r="B140" s="86"/>
      <c r="C140" s="68" t="s">
        <v>307</v>
      </c>
      <c r="D140" s="66">
        <v>7</v>
      </c>
      <c r="E140" s="69">
        <v>0</v>
      </c>
      <c r="F140" s="29"/>
      <c r="G140" s="29"/>
    </row>
    <row r="141" spans="1:7" ht="14.45" customHeight="1">
      <c r="A141" s="29"/>
      <c r="B141" s="85" t="s">
        <v>283</v>
      </c>
      <c r="C141" s="52" t="s">
        <v>139</v>
      </c>
      <c r="D141" s="53">
        <v>1</v>
      </c>
      <c r="E141" s="54">
        <v>0</v>
      </c>
      <c r="F141" s="29"/>
      <c r="G141" s="29"/>
    </row>
    <row r="142" spans="1:7" ht="14.45" customHeight="1">
      <c r="A142" s="29"/>
      <c r="B142" s="86"/>
      <c r="C142" s="68" t="s">
        <v>307</v>
      </c>
      <c r="D142" s="66">
        <v>1</v>
      </c>
      <c r="E142" s="69">
        <v>0</v>
      </c>
      <c r="F142" s="29"/>
      <c r="G142" s="29"/>
    </row>
    <row r="143" spans="1:7" ht="14.45" customHeight="1">
      <c r="A143" s="29"/>
      <c r="B143" s="85" t="s">
        <v>136</v>
      </c>
      <c r="C143" s="52" t="s">
        <v>138</v>
      </c>
      <c r="D143" s="53">
        <v>15</v>
      </c>
      <c r="E143" s="54">
        <v>1E-3</v>
      </c>
      <c r="F143" s="29"/>
      <c r="G143" s="29"/>
    </row>
    <row r="144" spans="1:7" ht="14.45" customHeight="1">
      <c r="A144" s="29"/>
      <c r="B144" s="87"/>
      <c r="C144" s="52" t="s">
        <v>139</v>
      </c>
      <c r="D144" s="53">
        <v>25</v>
      </c>
      <c r="E144" s="54">
        <v>2E-3</v>
      </c>
      <c r="F144" s="29"/>
      <c r="G144" s="29"/>
    </row>
    <row r="145" spans="1:7" ht="14.45" customHeight="1">
      <c r="A145" s="29"/>
      <c r="B145" s="86"/>
      <c r="C145" s="68" t="s">
        <v>307</v>
      </c>
      <c r="D145" s="66">
        <v>40</v>
      </c>
      <c r="E145" s="69">
        <v>3.0000000000000001E-3</v>
      </c>
      <c r="F145" s="29"/>
      <c r="G145" s="29"/>
    </row>
    <row r="146" spans="1:7" ht="14.45" customHeight="1">
      <c r="A146" s="29"/>
      <c r="B146" s="85" t="s">
        <v>137</v>
      </c>
      <c r="C146" s="52" t="s">
        <v>138</v>
      </c>
      <c r="D146" s="53">
        <v>1</v>
      </c>
      <c r="E146" s="54">
        <v>0</v>
      </c>
      <c r="F146" s="29"/>
      <c r="G146" s="29"/>
    </row>
    <row r="147" spans="1:7" ht="14.25">
      <c r="A147" s="29"/>
      <c r="B147" s="87"/>
      <c r="C147" s="52" t="s">
        <v>139</v>
      </c>
      <c r="D147" s="53">
        <v>2</v>
      </c>
      <c r="E147" s="54">
        <v>0</v>
      </c>
      <c r="F147" s="29"/>
      <c r="G147" s="29"/>
    </row>
    <row r="148" spans="1:7" ht="11.25" customHeight="1">
      <c r="A148" s="29"/>
      <c r="B148" s="86"/>
      <c r="C148" s="68" t="s">
        <v>307</v>
      </c>
      <c r="D148" s="66">
        <v>3</v>
      </c>
      <c r="E148" s="69">
        <v>0</v>
      </c>
      <c r="F148" s="29"/>
      <c r="G148" s="29"/>
    </row>
    <row r="149" spans="1:7" ht="11.25" customHeight="1">
      <c r="A149" s="29"/>
      <c r="B149" s="89" t="s">
        <v>307</v>
      </c>
      <c r="C149" s="89"/>
      <c r="D149" s="40">
        <v>14141</v>
      </c>
      <c r="E149" s="57">
        <v>1</v>
      </c>
      <c r="F149" s="29"/>
      <c r="G149" s="29"/>
    </row>
    <row r="150" spans="1:7" ht="12.75">
      <c r="A150" s="29"/>
      <c r="B150" s="42"/>
      <c r="C150" s="42"/>
      <c r="D150" s="51"/>
      <c r="E150" s="42"/>
      <c r="F150" s="29"/>
      <c r="G150" s="29"/>
    </row>
    <row r="151" spans="1:7" ht="12.75">
      <c r="A151" s="29"/>
      <c r="B151" s="34" t="s">
        <v>277</v>
      </c>
      <c r="C151" s="34"/>
      <c r="D151" s="51"/>
      <c r="E151" s="42"/>
      <c r="F151" s="29"/>
      <c r="G151" s="29"/>
    </row>
    <row r="152" spans="1:7" ht="12.75">
      <c r="A152" s="29"/>
      <c r="B152" s="35" t="s">
        <v>18</v>
      </c>
      <c r="C152" s="35"/>
      <c r="D152" s="51"/>
      <c r="E152" s="42"/>
      <c r="F152" s="29"/>
      <c r="G152" s="29"/>
    </row>
    <row r="153" spans="1:7" ht="12.75">
      <c r="A153" s="29"/>
      <c r="B153" s="32" t="s">
        <v>46</v>
      </c>
      <c r="C153" s="32"/>
      <c r="D153" s="51"/>
      <c r="E153" s="42"/>
      <c r="F153" s="29"/>
      <c r="G153" s="29"/>
    </row>
    <row r="154" spans="1:7" ht="12.75">
      <c r="A154" s="29"/>
      <c r="B154" s="34" t="s">
        <v>17</v>
      </c>
      <c r="C154" s="34"/>
      <c r="D154" s="51"/>
      <c r="E154" s="42"/>
      <c r="F154" s="29"/>
      <c r="G154" s="29"/>
    </row>
    <row r="155" spans="1:7" ht="12.75">
      <c r="A155" s="29"/>
      <c r="B155" s="34" t="s">
        <v>308</v>
      </c>
      <c r="C155" s="34"/>
      <c r="D155" s="51"/>
      <c r="E155" s="42"/>
      <c r="F155" s="29"/>
      <c r="G155" s="29"/>
    </row>
    <row r="156" spans="1:7" ht="12.75">
      <c r="A156" s="29"/>
      <c r="B156" s="42"/>
      <c r="C156" s="42"/>
      <c r="D156" s="51"/>
      <c r="E156" s="42"/>
      <c r="F156" s="29"/>
      <c r="G156" s="29"/>
    </row>
  </sheetData>
  <mergeCells count="49">
    <mergeCell ref="B81:B83"/>
    <mergeCell ref="B84:B86"/>
    <mergeCell ref="B87:B89"/>
    <mergeCell ref="B78:B80"/>
    <mergeCell ref="B8:E10"/>
    <mergeCell ref="B50:B52"/>
    <mergeCell ref="B53:B55"/>
    <mergeCell ref="B56:B58"/>
    <mergeCell ref="B59:B61"/>
    <mergeCell ref="B62:B64"/>
    <mergeCell ref="B110:B112"/>
    <mergeCell ref="B98:B100"/>
    <mergeCell ref="B101:B103"/>
    <mergeCell ref="B104:B106"/>
    <mergeCell ref="B90:B91"/>
    <mergeCell ref="B92:B94"/>
    <mergeCell ref="B95:B97"/>
    <mergeCell ref="B149:C149"/>
    <mergeCell ref="B13:B15"/>
    <mergeCell ref="B16:B18"/>
    <mergeCell ref="B19:B21"/>
    <mergeCell ref="B22:B24"/>
    <mergeCell ref="B25:B27"/>
    <mergeCell ref="B28:B30"/>
    <mergeCell ref="B31:B33"/>
    <mergeCell ref="B34:B35"/>
    <mergeCell ref="B36:B38"/>
    <mergeCell ref="B39:B41"/>
    <mergeCell ref="B42:B43"/>
    <mergeCell ref="B44:B46"/>
    <mergeCell ref="B47:B49"/>
    <mergeCell ref="B138:B140"/>
    <mergeCell ref="B141:B142"/>
    <mergeCell ref="B146:B148"/>
    <mergeCell ref="B65:B66"/>
    <mergeCell ref="B67:B69"/>
    <mergeCell ref="B70:B71"/>
    <mergeCell ref="B72:B74"/>
    <mergeCell ref="B75:B77"/>
    <mergeCell ref="B143:B145"/>
    <mergeCell ref="B128:B131"/>
    <mergeCell ref="B132:B134"/>
    <mergeCell ref="B135:B137"/>
    <mergeCell ref="B122:B124"/>
    <mergeCell ref="B125:B127"/>
    <mergeCell ref="B113:B115"/>
    <mergeCell ref="B116:B118"/>
    <mergeCell ref="B119:B121"/>
    <mergeCell ref="B107:B10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9"/>
  <sheetViews>
    <sheetView showGridLines="0" view="pageBreakPreview" topLeftCell="A10" zoomScale="115" zoomScaleNormal="95" zoomScaleSheetLayoutView="115" workbookViewId="0">
      <selection activeCell="E31" sqref="E31"/>
    </sheetView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25.5703125" style="22" customWidth="1"/>
    <col min="4" max="5" width="15.7109375" style="25" customWidth="1"/>
    <col min="6" max="6" width="15.7109375" style="22" customWidth="1"/>
    <col min="7" max="7" width="4.5703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1"/>
      <c r="B8" s="98" t="s">
        <v>275</v>
      </c>
      <c r="C8" s="99"/>
      <c r="D8" s="99"/>
      <c r="E8" s="99"/>
      <c r="F8" s="99"/>
      <c r="G8" s="31"/>
    </row>
    <row r="9" spans="1:7" s="13" customFormat="1" ht="15" customHeight="1">
      <c r="A9" s="31"/>
      <c r="B9" s="99"/>
      <c r="C9" s="99"/>
      <c r="D9" s="99"/>
      <c r="E9" s="99"/>
      <c r="F9" s="99"/>
      <c r="G9" s="49"/>
    </row>
    <row r="10" spans="1:7" s="13" customFormat="1" ht="32.1" customHeight="1">
      <c r="A10" s="31"/>
      <c r="B10" s="100"/>
      <c r="C10" s="100"/>
      <c r="D10" s="100"/>
      <c r="E10" s="100"/>
      <c r="F10" s="100"/>
      <c r="G10" s="31"/>
    </row>
    <row r="11" spans="1:7" s="13" customFormat="1" ht="42.75">
      <c r="A11" s="31"/>
      <c r="B11" s="72" t="s">
        <v>29</v>
      </c>
      <c r="C11" s="72" t="s">
        <v>32</v>
      </c>
      <c r="D11" s="72" t="s">
        <v>20</v>
      </c>
      <c r="E11" s="72" t="s">
        <v>31</v>
      </c>
      <c r="F11" s="72" t="s">
        <v>30</v>
      </c>
      <c r="G11" s="31"/>
    </row>
    <row r="12" spans="1:7" ht="14.45" customHeight="1">
      <c r="A12" s="29"/>
      <c r="B12" s="104" t="s">
        <v>301</v>
      </c>
      <c r="C12" s="58" t="s">
        <v>300</v>
      </c>
      <c r="D12" s="59">
        <v>12</v>
      </c>
      <c r="E12" s="60">
        <f>D12/$D$20</f>
        <v>1.7720023626698169E-3</v>
      </c>
      <c r="F12" s="60">
        <f>D12/$D$32</f>
        <v>8.4859628031963791E-4</v>
      </c>
      <c r="G12" s="29"/>
    </row>
    <row r="13" spans="1:7" ht="14.45" customHeight="1">
      <c r="A13" s="29"/>
      <c r="B13" s="105"/>
      <c r="C13" s="58" t="s">
        <v>216</v>
      </c>
      <c r="D13" s="59">
        <v>49</v>
      </c>
      <c r="E13" s="60">
        <f>D13/$D$20</f>
        <v>7.2356763142350858E-3</v>
      </c>
      <c r="F13" s="60">
        <f t="shared" ref="F13:F31" si="0">D13/$D$32</f>
        <v>3.4651014779718547E-3</v>
      </c>
      <c r="G13" s="29"/>
    </row>
    <row r="14" spans="1:7" ht="14.45" customHeight="1">
      <c r="A14" s="29"/>
      <c r="B14" s="105"/>
      <c r="C14" s="58" t="s">
        <v>217</v>
      </c>
      <c r="D14" s="59">
        <v>810</v>
      </c>
      <c r="E14" s="60">
        <f t="shared" ref="E13:E19" si="1">D14/$D$20</f>
        <v>0.11961015948021264</v>
      </c>
      <c r="F14" s="60">
        <f t="shared" si="0"/>
        <v>5.7280248921575558E-2</v>
      </c>
      <c r="G14" s="29"/>
    </row>
    <row r="15" spans="1:7" ht="14.45" customHeight="1">
      <c r="A15" s="29"/>
      <c r="B15" s="105"/>
      <c r="C15" s="58" t="s">
        <v>218</v>
      </c>
      <c r="D15" s="59">
        <v>1303</v>
      </c>
      <c r="E15" s="60">
        <f t="shared" si="1"/>
        <v>0.19240992321323094</v>
      </c>
      <c r="F15" s="60">
        <f t="shared" si="0"/>
        <v>9.2143412771374014E-2</v>
      </c>
      <c r="G15" s="29"/>
    </row>
    <row r="16" spans="1:7" ht="14.45" customHeight="1">
      <c r="A16" s="29"/>
      <c r="B16" s="105"/>
      <c r="C16" s="58" t="s">
        <v>219</v>
      </c>
      <c r="D16" s="59">
        <v>1974</v>
      </c>
      <c r="E16" s="60">
        <f t="shared" si="1"/>
        <v>0.29149438865918487</v>
      </c>
      <c r="F16" s="60">
        <f t="shared" si="0"/>
        <v>0.13959408811258045</v>
      </c>
      <c r="G16" s="29"/>
    </row>
    <row r="17" spans="1:7" ht="14.45" customHeight="1">
      <c r="A17" s="29"/>
      <c r="B17" s="105"/>
      <c r="C17" s="58" t="s">
        <v>220</v>
      </c>
      <c r="D17" s="59">
        <v>2130</v>
      </c>
      <c r="E17" s="60">
        <f t="shared" si="1"/>
        <v>0.31453041937389248</v>
      </c>
      <c r="F17" s="60">
        <f t="shared" si="0"/>
        <v>0.15062583975673574</v>
      </c>
      <c r="G17" s="29"/>
    </row>
    <row r="18" spans="1:7" ht="14.45" customHeight="1">
      <c r="A18" s="29"/>
      <c r="B18" s="105"/>
      <c r="C18" s="58" t="s">
        <v>221</v>
      </c>
      <c r="D18" s="59">
        <v>369</v>
      </c>
      <c r="E18" s="60">
        <f t="shared" si="1"/>
        <v>5.4489072652096869E-2</v>
      </c>
      <c r="F18" s="60">
        <f t="shared" si="0"/>
        <v>2.6094335619828865E-2</v>
      </c>
      <c r="G18" s="29"/>
    </row>
    <row r="19" spans="1:7" ht="14.45" customHeight="1">
      <c r="A19" s="29"/>
      <c r="B19" s="105"/>
      <c r="C19" s="58" t="s">
        <v>222</v>
      </c>
      <c r="D19" s="59">
        <v>125</v>
      </c>
      <c r="E19" s="60">
        <f t="shared" si="1"/>
        <v>1.8458357944477258E-2</v>
      </c>
      <c r="F19" s="60">
        <f t="shared" si="0"/>
        <v>8.8395445866628949E-3</v>
      </c>
      <c r="G19" s="29"/>
    </row>
    <row r="20" spans="1:7" ht="14.45" customHeight="1">
      <c r="A20" s="29"/>
      <c r="B20" s="106"/>
      <c r="C20" s="107" t="s">
        <v>307</v>
      </c>
      <c r="D20" s="73">
        <v>6772</v>
      </c>
      <c r="E20" s="74"/>
      <c r="F20" s="74">
        <f t="shared" si="0"/>
        <v>0.47889116752704902</v>
      </c>
      <c r="G20" s="29"/>
    </row>
    <row r="21" spans="1:7" ht="14.45" customHeight="1">
      <c r="A21" s="29"/>
      <c r="B21" s="104" t="s">
        <v>302</v>
      </c>
      <c r="C21" s="58" t="s">
        <v>300</v>
      </c>
      <c r="D21" s="59">
        <v>19</v>
      </c>
      <c r="E21" s="60">
        <f>D21/$D$29</f>
        <v>2.5787187839305102E-3</v>
      </c>
      <c r="F21" s="60">
        <f t="shared" si="0"/>
        <v>1.34361077717276E-3</v>
      </c>
      <c r="G21" s="29"/>
    </row>
    <row r="22" spans="1:7" ht="14.45" customHeight="1">
      <c r="A22" s="29"/>
      <c r="B22" s="105"/>
      <c r="C22" s="58" t="s">
        <v>216</v>
      </c>
      <c r="D22" s="59">
        <v>61</v>
      </c>
      <c r="E22" s="60">
        <f t="shared" ref="E22:E28" si="2">D22/$D$29</f>
        <v>8.2790445168295333E-3</v>
      </c>
      <c r="F22" s="60">
        <f t="shared" si="0"/>
        <v>4.313697758291493E-3</v>
      </c>
      <c r="G22" s="29"/>
    </row>
    <row r="23" spans="1:7" ht="14.45" customHeight="1">
      <c r="A23" s="29"/>
      <c r="B23" s="105"/>
      <c r="C23" s="58" t="s">
        <v>217</v>
      </c>
      <c r="D23" s="59">
        <v>996</v>
      </c>
      <c r="E23" s="60">
        <f t="shared" si="2"/>
        <v>0.13517915309446255</v>
      </c>
      <c r="F23" s="60">
        <f t="shared" si="0"/>
        <v>7.0433491266529952E-2</v>
      </c>
      <c r="G23" s="29"/>
    </row>
    <row r="24" spans="1:7" ht="14.45" customHeight="1">
      <c r="A24" s="29"/>
      <c r="B24" s="105"/>
      <c r="C24" s="58" t="s">
        <v>218</v>
      </c>
      <c r="D24" s="59">
        <v>1360</v>
      </c>
      <c r="E24" s="60">
        <f t="shared" si="2"/>
        <v>0.18458197611292074</v>
      </c>
      <c r="F24" s="60">
        <f t="shared" si="0"/>
        <v>9.6174245102892297E-2</v>
      </c>
      <c r="G24" s="29"/>
    </row>
    <row r="25" spans="1:7" ht="14.45" customHeight="1">
      <c r="A25" s="29"/>
      <c r="B25" s="105"/>
      <c r="C25" s="58" t="s">
        <v>219</v>
      </c>
      <c r="D25" s="59">
        <v>2035</v>
      </c>
      <c r="E25" s="60">
        <f t="shared" si="2"/>
        <v>0.27619435396308362</v>
      </c>
      <c r="F25" s="60">
        <f t="shared" si="0"/>
        <v>0.14390778587087194</v>
      </c>
      <c r="G25" s="29"/>
    </row>
    <row r="26" spans="1:7" ht="14.45" customHeight="1">
      <c r="A26" s="29"/>
      <c r="B26" s="105"/>
      <c r="C26" s="58" t="s">
        <v>220</v>
      </c>
      <c r="D26" s="59">
        <v>2278</v>
      </c>
      <c r="E26" s="60">
        <f t="shared" si="2"/>
        <v>0.30917480998914226</v>
      </c>
      <c r="F26" s="60">
        <f t="shared" si="0"/>
        <v>0.16109186054734459</v>
      </c>
      <c r="G26" s="29"/>
    </row>
    <row r="27" spans="1:7" ht="14.45" customHeight="1">
      <c r="A27" s="29"/>
      <c r="B27" s="105"/>
      <c r="C27" s="58" t="s">
        <v>221</v>
      </c>
      <c r="D27" s="59">
        <v>447</v>
      </c>
      <c r="E27" s="60">
        <f t="shared" si="2"/>
        <v>6.0667752442996742E-2</v>
      </c>
      <c r="F27" s="60">
        <f t="shared" si="0"/>
        <v>3.1610211441906511E-2</v>
      </c>
      <c r="G27" s="29"/>
    </row>
    <row r="28" spans="1:7" ht="14.45" customHeight="1">
      <c r="A28" s="29"/>
      <c r="B28" s="105"/>
      <c r="C28" s="58" t="s">
        <v>222</v>
      </c>
      <c r="D28" s="59">
        <v>172</v>
      </c>
      <c r="E28" s="60">
        <f t="shared" si="2"/>
        <v>2.3344191096634093E-2</v>
      </c>
      <c r="F28" s="60">
        <f t="shared" si="0"/>
        <v>1.2163213351248144E-2</v>
      </c>
      <c r="G28" s="29"/>
    </row>
    <row r="29" spans="1:7" ht="14.45" customHeight="1">
      <c r="A29" s="29"/>
      <c r="B29" s="106"/>
      <c r="C29" s="107" t="s">
        <v>307</v>
      </c>
      <c r="D29" s="73">
        <v>7368</v>
      </c>
      <c r="E29" s="74"/>
      <c r="F29" s="74">
        <f t="shared" si="0"/>
        <v>0.52103811611625772</v>
      </c>
      <c r="G29" s="29"/>
    </row>
    <row r="30" spans="1:7" ht="14.45" customHeight="1">
      <c r="A30" s="29"/>
      <c r="B30" s="104" t="s">
        <v>303</v>
      </c>
      <c r="C30" s="58" t="s">
        <v>217</v>
      </c>
      <c r="D30" s="59">
        <v>1</v>
      </c>
      <c r="E30" s="60">
        <f>D30/$D$31</f>
        <v>1</v>
      </c>
      <c r="F30" s="60">
        <f t="shared" si="0"/>
        <v>7.0716356693303155E-5</v>
      </c>
      <c r="G30" s="29"/>
    </row>
    <row r="31" spans="1:7" ht="14.45" customHeight="1">
      <c r="A31" s="29"/>
      <c r="B31" s="106"/>
      <c r="C31" s="107" t="s">
        <v>307</v>
      </c>
      <c r="D31" s="73">
        <v>1</v>
      </c>
      <c r="E31" s="74"/>
      <c r="F31" s="74">
        <f t="shared" si="0"/>
        <v>7.0716356693303155E-5</v>
      </c>
      <c r="G31" s="29"/>
    </row>
    <row r="32" spans="1:7" ht="14.45" customHeight="1">
      <c r="A32" s="29"/>
      <c r="B32" s="108" t="s">
        <v>309</v>
      </c>
      <c r="C32" s="109"/>
      <c r="D32" s="62">
        <v>14141</v>
      </c>
      <c r="E32" s="63">
        <v>1</v>
      </c>
      <c r="F32" s="63">
        <v>1</v>
      </c>
      <c r="G32" s="29"/>
    </row>
    <row r="33" spans="1:7" ht="14.45" customHeight="1">
      <c r="A33" s="29"/>
      <c r="B33" s="34"/>
      <c r="C33" s="42"/>
      <c r="D33" s="51"/>
      <c r="E33" s="51"/>
      <c r="F33" s="42"/>
      <c r="G33" s="29"/>
    </row>
    <row r="34" spans="1:7" ht="14.45" customHeight="1">
      <c r="A34" s="29"/>
      <c r="B34" s="34" t="s">
        <v>277</v>
      </c>
      <c r="C34" s="34"/>
      <c r="D34" s="51"/>
      <c r="E34" s="51"/>
      <c r="F34" s="42"/>
      <c r="G34" s="29"/>
    </row>
    <row r="35" spans="1:7" ht="12.75">
      <c r="A35" s="29"/>
      <c r="B35" s="35" t="s">
        <v>18</v>
      </c>
      <c r="C35" s="35"/>
      <c r="D35" s="51"/>
      <c r="E35" s="51"/>
      <c r="F35" s="42"/>
      <c r="G35" s="29"/>
    </row>
    <row r="36" spans="1:7" ht="12.75">
      <c r="A36" s="29"/>
      <c r="B36" s="32" t="s">
        <v>46</v>
      </c>
      <c r="C36" s="32"/>
      <c r="D36" s="51"/>
      <c r="E36" s="51"/>
      <c r="F36" s="42"/>
      <c r="G36" s="29"/>
    </row>
    <row r="37" spans="1:7" ht="12.75">
      <c r="A37" s="29"/>
      <c r="B37" s="34" t="s">
        <v>17</v>
      </c>
      <c r="C37" s="34"/>
      <c r="D37" s="51"/>
      <c r="E37" s="51"/>
      <c r="F37" s="42"/>
      <c r="G37" s="29"/>
    </row>
    <row r="38" spans="1:7" ht="12.75">
      <c r="A38" s="29"/>
      <c r="B38" s="34" t="s">
        <v>308</v>
      </c>
      <c r="C38" s="34"/>
      <c r="D38" s="51"/>
      <c r="E38" s="51"/>
      <c r="F38" s="42"/>
      <c r="G38" s="29"/>
    </row>
    <row r="39" spans="1:7" ht="12.75">
      <c r="A39" s="29"/>
      <c r="B39" s="42"/>
      <c r="C39" s="42"/>
      <c r="D39" s="51"/>
      <c r="E39" s="51"/>
      <c r="F39" s="42"/>
      <c r="G39" s="29"/>
    </row>
  </sheetData>
  <mergeCells count="5">
    <mergeCell ref="B32:C32"/>
    <mergeCell ref="B8:F10"/>
    <mergeCell ref="B12:B20"/>
    <mergeCell ref="B21:B29"/>
    <mergeCell ref="B30:B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75"/>
  <sheetViews>
    <sheetView showGridLines="0" tabSelected="1" view="pageBreakPreview" topLeftCell="A54" zoomScale="115" zoomScaleNormal="100" zoomScaleSheetLayoutView="115" workbookViewId="0">
      <selection activeCell="H53" sqref="H53"/>
    </sheetView>
  </sheetViews>
  <sheetFormatPr baseColWidth="10" defaultColWidth="11.42578125" defaultRowHeight="15"/>
  <cols>
    <col min="1" max="1" width="9.28515625" style="13" customWidth="1"/>
    <col min="2" max="2" width="44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29"/>
      <c r="B7" s="84" t="s">
        <v>276</v>
      </c>
      <c r="C7" s="84"/>
      <c r="D7" s="84"/>
      <c r="E7" s="29"/>
    </row>
    <row r="8" spans="1:5" s="16" customFormat="1" ht="15" customHeight="1">
      <c r="A8" s="29"/>
      <c r="B8" s="84"/>
      <c r="C8" s="84"/>
      <c r="D8" s="84"/>
      <c r="E8" s="29"/>
    </row>
    <row r="9" spans="1:5" s="16" customFormat="1" ht="33" customHeight="1">
      <c r="A9" s="29"/>
      <c r="B9" s="84"/>
      <c r="C9" s="84"/>
      <c r="D9" s="84"/>
      <c r="E9" s="29"/>
    </row>
    <row r="10" spans="1:5" s="16" customFormat="1" ht="4.5" customHeight="1">
      <c r="A10" s="29"/>
      <c r="B10" s="30"/>
      <c r="C10" s="30"/>
      <c r="D10" s="30"/>
      <c r="E10" s="29"/>
    </row>
    <row r="11" spans="1:5" s="16" customFormat="1" ht="33" customHeight="1">
      <c r="A11" s="29"/>
      <c r="B11" s="36" t="s">
        <v>33</v>
      </c>
      <c r="C11" s="37" t="s">
        <v>20</v>
      </c>
      <c r="D11" s="38" t="s">
        <v>19</v>
      </c>
      <c r="E11" s="29"/>
    </row>
    <row r="12" spans="1:5" ht="16.5">
      <c r="A12" s="31"/>
      <c r="B12" s="52" t="s">
        <v>223</v>
      </c>
      <c r="C12" s="53">
        <v>6894</v>
      </c>
      <c r="D12" s="54">
        <v>0.48799999999999999</v>
      </c>
      <c r="E12" s="31"/>
    </row>
    <row r="13" spans="1:5" ht="16.5">
      <c r="A13" s="31"/>
      <c r="B13" s="52" t="s">
        <v>224</v>
      </c>
      <c r="C13" s="53">
        <v>3853</v>
      </c>
      <c r="D13" s="54">
        <v>0.27200000000000002</v>
      </c>
      <c r="E13" s="31"/>
    </row>
    <row r="14" spans="1:5" ht="16.5">
      <c r="A14" s="31"/>
      <c r="B14" s="52" t="s">
        <v>225</v>
      </c>
      <c r="C14" s="55">
        <v>672</v>
      </c>
      <c r="D14" s="54">
        <v>4.8000000000000001E-2</v>
      </c>
      <c r="E14" s="31"/>
    </row>
    <row r="15" spans="1:5" ht="16.5">
      <c r="A15" s="31"/>
      <c r="B15" s="52" t="s">
        <v>227</v>
      </c>
      <c r="C15" s="55">
        <v>462</v>
      </c>
      <c r="D15" s="54">
        <v>3.3000000000000002E-2</v>
      </c>
      <c r="E15" s="31"/>
    </row>
    <row r="16" spans="1:5" ht="16.5">
      <c r="A16" s="31"/>
      <c r="B16" s="52" t="s">
        <v>226</v>
      </c>
      <c r="C16" s="55">
        <v>435</v>
      </c>
      <c r="D16" s="54">
        <v>3.1E-2</v>
      </c>
      <c r="E16" s="31"/>
    </row>
    <row r="17" spans="1:5" ht="16.5">
      <c r="A17" s="31"/>
      <c r="B17" s="52" t="s">
        <v>228</v>
      </c>
      <c r="C17" s="55">
        <v>335</v>
      </c>
      <c r="D17" s="54">
        <v>2.4E-2</v>
      </c>
      <c r="E17" s="31"/>
    </row>
    <row r="18" spans="1:5" ht="16.5">
      <c r="A18" s="31"/>
      <c r="B18" s="52" t="s">
        <v>229</v>
      </c>
      <c r="C18" s="55">
        <v>150</v>
      </c>
      <c r="D18" s="54">
        <v>1.0999999999999999E-2</v>
      </c>
      <c r="E18" s="31"/>
    </row>
    <row r="19" spans="1:5" ht="16.5">
      <c r="A19" s="31"/>
      <c r="B19" s="52" t="s">
        <v>230</v>
      </c>
      <c r="C19" s="55">
        <v>138</v>
      </c>
      <c r="D19" s="54">
        <v>0.01</v>
      </c>
      <c r="E19" s="31"/>
    </row>
    <row r="20" spans="1:5" ht="16.5">
      <c r="A20" s="31"/>
      <c r="B20" s="52" t="s">
        <v>231</v>
      </c>
      <c r="C20" s="55">
        <v>103</v>
      </c>
      <c r="D20" s="54">
        <v>7.0000000000000001E-3</v>
      </c>
      <c r="E20" s="31"/>
    </row>
    <row r="21" spans="1:5" ht="16.5">
      <c r="A21" s="31"/>
      <c r="B21" s="52" t="s">
        <v>232</v>
      </c>
      <c r="C21" s="55">
        <v>93</v>
      </c>
      <c r="D21" s="54">
        <v>7.0000000000000001E-3</v>
      </c>
      <c r="E21" s="31"/>
    </row>
    <row r="22" spans="1:5" ht="16.5">
      <c r="A22" s="31"/>
      <c r="B22" s="52" t="s">
        <v>233</v>
      </c>
      <c r="C22" s="55">
        <v>89</v>
      </c>
      <c r="D22" s="54">
        <v>6.0000000000000001E-3</v>
      </c>
      <c r="E22" s="31"/>
    </row>
    <row r="23" spans="1:5" ht="16.5">
      <c r="A23" s="31"/>
      <c r="B23" s="52" t="s">
        <v>234</v>
      </c>
      <c r="C23" s="55">
        <v>84</v>
      </c>
      <c r="D23" s="54">
        <v>6.0000000000000001E-3</v>
      </c>
      <c r="E23" s="31"/>
    </row>
    <row r="24" spans="1:5" ht="16.5">
      <c r="A24" s="31"/>
      <c r="B24" s="52" t="s">
        <v>235</v>
      </c>
      <c r="C24" s="55">
        <v>78</v>
      </c>
      <c r="D24" s="54">
        <v>6.0000000000000001E-3</v>
      </c>
      <c r="E24" s="31"/>
    </row>
    <row r="25" spans="1:5" ht="16.5">
      <c r="A25" s="31"/>
      <c r="B25" s="52" t="s">
        <v>236</v>
      </c>
      <c r="C25" s="55">
        <v>63</v>
      </c>
      <c r="D25" s="54">
        <v>4.0000000000000001E-3</v>
      </c>
      <c r="E25" s="31"/>
    </row>
    <row r="26" spans="1:5" ht="16.5">
      <c r="A26" s="31"/>
      <c r="B26" s="52" t="s">
        <v>243</v>
      </c>
      <c r="C26" s="55">
        <v>62</v>
      </c>
      <c r="D26" s="54">
        <v>4.0000000000000001E-3</v>
      </c>
      <c r="E26" s="31"/>
    </row>
    <row r="27" spans="1:5" ht="16.5">
      <c r="A27" s="31"/>
      <c r="B27" s="52" t="s">
        <v>241</v>
      </c>
      <c r="C27" s="55">
        <v>58</v>
      </c>
      <c r="D27" s="54">
        <v>4.0000000000000001E-3</v>
      </c>
      <c r="E27" s="31"/>
    </row>
    <row r="28" spans="1:5" ht="16.5">
      <c r="A28" s="31"/>
      <c r="B28" s="52" t="s">
        <v>239</v>
      </c>
      <c r="C28" s="55">
        <v>58</v>
      </c>
      <c r="D28" s="54">
        <v>4.0000000000000001E-3</v>
      </c>
      <c r="E28" s="31"/>
    </row>
    <row r="29" spans="1:5" ht="16.5">
      <c r="A29" s="31"/>
      <c r="B29" s="52" t="s">
        <v>244</v>
      </c>
      <c r="C29" s="55">
        <v>57</v>
      </c>
      <c r="D29" s="54">
        <v>4.0000000000000001E-3</v>
      </c>
      <c r="E29" s="31"/>
    </row>
    <row r="30" spans="1:5" ht="16.5">
      <c r="A30" s="31"/>
      <c r="B30" s="52" t="s">
        <v>245</v>
      </c>
      <c r="C30" s="55">
        <v>46</v>
      </c>
      <c r="D30" s="54">
        <v>3.0000000000000001E-3</v>
      </c>
      <c r="E30" s="31"/>
    </row>
    <row r="31" spans="1:5" ht="16.5">
      <c r="A31" s="31"/>
      <c r="B31" s="52" t="s">
        <v>240</v>
      </c>
      <c r="C31" s="55">
        <v>45</v>
      </c>
      <c r="D31" s="54">
        <v>3.0000000000000001E-3</v>
      </c>
      <c r="E31" s="31"/>
    </row>
    <row r="32" spans="1:5" ht="16.5">
      <c r="A32" s="31"/>
      <c r="B32" s="52" t="s">
        <v>262</v>
      </c>
      <c r="C32" s="55">
        <v>42</v>
      </c>
      <c r="D32" s="54">
        <v>3.0000000000000001E-3</v>
      </c>
      <c r="E32" s="31"/>
    </row>
    <row r="33" spans="1:5" ht="16.5">
      <c r="A33" s="31"/>
      <c r="B33" s="52" t="s">
        <v>237</v>
      </c>
      <c r="C33" s="55">
        <v>37</v>
      </c>
      <c r="D33" s="54">
        <v>3.0000000000000001E-3</v>
      </c>
      <c r="E33" s="31"/>
    </row>
    <row r="34" spans="1:5" ht="16.5">
      <c r="A34" s="31"/>
      <c r="B34" s="52" t="s">
        <v>242</v>
      </c>
      <c r="C34" s="55">
        <v>35</v>
      </c>
      <c r="D34" s="54">
        <v>2E-3</v>
      </c>
      <c r="E34" s="31"/>
    </row>
    <row r="35" spans="1:5" ht="16.5">
      <c r="A35" s="31"/>
      <c r="B35" s="52" t="s">
        <v>238</v>
      </c>
      <c r="C35" s="55">
        <v>32</v>
      </c>
      <c r="D35" s="54">
        <v>2E-3</v>
      </c>
      <c r="E35" s="31"/>
    </row>
    <row r="36" spans="1:5" ht="16.5">
      <c r="A36" s="31"/>
      <c r="B36" s="52" t="s">
        <v>260</v>
      </c>
      <c r="C36" s="55">
        <v>29</v>
      </c>
      <c r="D36" s="54">
        <v>2E-3</v>
      </c>
      <c r="E36" s="31"/>
    </row>
    <row r="37" spans="1:5" ht="16.5">
      <c r="A37" s="31"/>
      <c r="B37" s="52" t="s">
        <v>246</v>
      </c>
      <c r="C37" s="55">
        <v>27</v>
      </c>
      <c r="D37" s="54">
        <v>2E-3</v>
      </c>
      <c r="E37" s="31"/>
    </row>
    <row r="38" spans="1:5" ht="16.5">
      <c r="A38" s="31"/>
      <c r="B38" s="52" t="s">
        <v>249</v>
      </c>
      <c r="C38" s="55">
        <v>18</v>
      </c>
      <c r="D38" s="54">
        <v>1E-3</v>
      </c>
      <c r="E38" s="31"/>
    </row>
    <row r="39" spans="1:5" ht="16.5">
      <c r="A39" s="31"/>
      <c r="B39" s="52" t="s">
        <v>247</v>
      </c>
      <c r="C39" s="55">
        <v>16</v>
      </c>
      <c r="D39" s="54">
        <v>1E-3</v>
      </c>
      <c r="E39" s="31"/>
    </row>
    <row r="40" spans="1:5" ht="16.5">
      <c r="A40" s="42"/>
      <c r="B40" s="52" t="s">
        <v>248</v>
      </c>
      <c r="C40" s="55">
        <v>16</v>
      </c>
      <c r="D40" s="54">
        <v>1E-3</v>
      </c>
      <c r="E40" s="31"/>
    </row>
    <row r="41" spans="1:5" ht="16.5">
      <c r="A41" s="42"/>
      <c r="B41" s="52" t="s">
        <v>213</v>
      </c>
      <c r="C41" s="55">
        <v>15</v>
      </c>
      <c r="D41" s="54">
        <v>1E-3</v>
      </c>
      <c r="E41" s="31"/>
    </row>
    <row r="42" spans="1:5" ht="16.5">
      <c r="A42" s="31"/>
      <c r="B42" s="52" t="s">
        <v>251</v>
      </c>
      <c r="C42" s="55">
        <v>11</v>
      </c>
      <c r="D42" s="54">
        <v>1E-3</v>
      </c>
      <c r="E42" s="31"/>
    </row>
    <row r="43" spans="1:5" ht="16.5">
      <c r="A43" s="31"/>
      <c r="B43" s="52" t="s">
        <v>259</v>
      </c>
      <c r="C43" s="55">
        <v>10</v>
      </c>
      <c r="D43" s="54">
        <v>1E-3</v>
      </c>
      <c r="E43" s="31"/>
    </row>
    <row r="44" spans="1:5" ht="16.5">
      <c r="A44" s="31"/>
      <c r="B44" s="52" t="s">
        <v>253</v>
      </c>
      <c r="C44" s="55">
        <v>10</v>
      </c>
      <c r="D44" s="54">
        <v>1E-3</v>
      </c>
      <c r="E44" s="31"/>
    </row>
    <row r="45" spans="1:5" ht="16.5">
      <c r="A45" s="31"/>
      <c r="B45" s="52" t="s">
        <v>255</v>
      </c>
      <c r="C45" s="55">
        <v>9</v>
      </c>
      <c r="D45" s="54">
        <v>1E-3</v>
      </c>
      <c r="E45" s="31"/>
    </row>
    <row r="46" spans="1:5" ht="16.5">
      <c r="A46" s="31"/>
      <c r="B46" s="52" t="s">
        <v>261</v>
      </c>
      <c r="C46" s="55">
        <v>8</v>
      </c>
      <c r="D46" s="54">
        <v>1E-3</v>
      </c>
      <c r="E46" s="31"/>
    </row>
    <row r="47" spans="1:5" ht="16.5">
      <c r="A47" s="31"/>
      <c r="B47" s="52" t="s">
        <v>252</v>
      </c>
      <c r="C47" s="55">
        <v>8</v>
      </c>
      <c r="D47" s="54">
        <v>1E-3</v>
      </c>
      <c r="E47" s="31"/>
    </row>
    <row r="48" spans="1:5" ht="16.5">
      <c r="A48" s="31"/>
      <c r="B48" s="52" t="s">
        <v>264</v>
      </c>
      <c r="C48" s="55">
        <v>6</v>
      </c>
      <c r="D48" s="54">
        <v>0</v>
      </c>
      <c r="E48" s="31"/>
    </row>
    <row r="49" spans="1:5" ht="16.5">
      <c r="A49" s="31"/>
      <c r="B49" s="52" t="s">
        <v>254</v>
      </c>
      <c r="C49" s="55">
        <v>5</v>
      </c>
      <c r="D49" s="54">
        <v>0</v>
      </c>
      <c r="E49" s="31"/>
    </row>
    <row r="50" spans="1:5" ht="16.5">
      <c r="A50" s="31"/>
      <c r="B50" s="52" t="s">
        <v>250</v>
      </c>
      <c r="C50" s="55">
        <v>4</v>
      </c>
      <c r="D50" s="54">
        <v>0</v>
      </c>
      <c r="E50" s="31"/>
    </row>
    <row r="51" spans="1:5" ht="16.5">
      <c r="A51" s="31"/>
      <c r="B51" s="52" t="s">
        <v>267</v>
      </c>
      <c r="C51" s="55">
        <v>4</v>
      </c>
      <c r="D51" s="54">
        <v>0</v>
      </c>
      <c r="E51" s="31"/>
    </row>
    <row r="52" spans="1:5" ht="16.5">
      <c r="A52" s="31"/>
      <c r="B52" s="52" t="s">
        <v>271</v>
      </c>
      <c r="C52" s="55">
        <v>3</v>
      </c>
      <c r="D52" s="54">
        <v>0</v>
      </c>
      <c r="E52" s="31"/>
    </row>
    <row r="53" spans="1:5" ht="16.5">
      <c r="A53" s="31"/>
      <c r="B53" s="52" t="s">
        <v>265</v>
      </c>
      <c r="C53" s="55">
        <v>3</v>
      </c>
      <c r="D53" s="54">
        <v>0</v>
      </c>
      <c r="E53" s="31"/>
    </row>
    <row r="54" spans="1:5" ht="16.5">
      <c r="A54" s="31"/>
      <c r="B54" s="52" t="s">
        <v>256</v>
      </c>
      <c r="C54" s="55">
        <v>3</v>
      </c>
      <c r="D54" s="54">
        <v>0</v>
      </c>
      <c r="E54" s="31"/>
    </row>
    <row r="55" spans="1:5" ht="16.5">
      <c r="A55" s="31"/>
      <c r="B55" s="52" t="s">
        <v>304</v>
      </c>
      <c r="C55" s="55">
        <v>2</v>
      </c>
      <c r="D55" s="54">
        <v>0</v>
      </c>
      <c r="E55" s="31"/>
    </row>
    <row r="56" spans="1:5" ht="16.5">
      <c r="A56" s="31"/>
      <c r="B56" s="52" t="s">
        <v>263</v>
      </c>
      <c r="C56" s="55">
        <v>2</v>
      </c>
      <c r="D56" s="54">
        <v>0</v>
      </c>
      <c r="E56" s="31"/>
    </row>
    <row r="57" spans="1:5" ht="16.5">
      <c r="A57" s="31"/>
      <c r="B57" s="52" t="s">
        <v>269</v>
      </c>
      <c r="C57" s="55">
        <v>1</v>
      </c>
      <c r="D57" s="54">
        <v>0</v>
      </c>
      <c r="E57" s="31"/>
    </row>
    <row r="58" spans="1:5" ht="16.5">
      <c r="A58" s="31"/>
      <c r="B58" s="52" t="s">
        <v>270</v>
      </c>
      <c r="C58" s="55">
        <v>1</v>
      </c>
      <c r="D58" s="54">
        <v>0</v>
      </c>
      <c r="E58" s="31"/>
    </row>
    <row r="59" spans="1:5" ht="16.5">
      <c r="A59" s="31"/>
      <c r="B59" s="52" t="s">
        <v>305</v>
      </c>
      <c r="C59" s="55">
        <v>1</v>
      </c>
      <c r="D59" s="54">
        <v>0</v>
      </c>
      <c r="E59" s="31"/>
    </row>
    <row r="60" spans="1:5" ht="16.5">
      <c r="A60" s="31"/>
      <c r="B60" s="52" t="s">
        <v>258</v>
      </c>
      <c r="C60" s="55">
        <v>1</v>
      </c>
      <c r="D60" s="54">
        <v>0</v>
      </c>
      <c r="E60" s="31"/>
    </row>
    <row r="61" spans="1:5" ht="16.5">
      <c r="A61" s="31"/>
      <c r="B61" s="52" t="s">
        <v>272</v>
      </c>
      <c r="C61" s="55">
        <v>1</v>
      </c>
      <c r="D61" s="54">
        <v>0</v>
      </c>
      <c r="E61" s="31"/>
    </row>
    <row r="62" spans="1:5" ht="16.5">
      <c r="A62" s="31"/>
      <c r="B62" s="52" t="s">
        <v>266</v>
      </c>
      <c r="C62" s="55">
        <v>1</v>
      </c>
      <c r="D62" s="54">
        <v>0</v>
      </c>
      <c r="E62" s="31"/>
    </row>
    <row r="63" spans="1:5" ht="16.5">
      <c r="A63" s="31"/>
      <c r="B63" s="52" t="s">
        <v>273</v>
      </c>
      <c r="C63" s="55">
        <v>1</v>
      </c>
      <c r="D63" s="54">
        <v>0</v>
      </c>
      <c r="E63" s="31"/>
    </row>
    <row r="64" spans="1:5" ht="16.5">
      <c r="A64" s="31"/>
      <c r="B64" s="52" t="s">
        <v>257</v>
      </c>
      <c r="C64" s="55">
        <v>1</v>
      </c>
      <c r="D64" s="54">
        <v>0</v>
      </c>
      <c r="E64" s="31"/>
    </row>
    <row r="65" spans="1:5" ht="16.5">
      <c r="A65" s="31"/>
      <c r="B65" s="52" t="s">
        <v>274</v>
      </c>
      <c r="C65" s="55">
        <v>1</v>
      </c>
      <c r="D65" s="54">
        <v>0</v>
      </c>
      <c r="E65" s="31"/>
    </row>
    <row r="66" spans="1:5" ht="16.5">
      <c r="A66" s="31"/>
      <c r="B66" s="52" t="s">
        <v>268</v>
      </c>
      <c r="C66" s="55">
        <v>1</v>
      </c>
      <c r="D66" s="54">
        <v>0</v>
      </c>
      <c r="E66" s="31"/>
    </row>
    <row r="67" spans="1:5" ht="16.5">
      <c r="A67" s="31"/>
      <c r="B67" s="52" t="s">
        <v>306</v>
      </c>
      <c r="C67" s="55">
        <v>1</v>
      </c>
      <c r="D67" s="54">
        <v>0</v>
      </c>
      <c r="E67" s="31"/>
    </row>
    <row r="68" spans="1:5" ht="16.5">
      <c r="A68" s="31"/>
      <c r="B68" s="56" t="s">
        <v>307</v>
      </c>
      <c r="C68" s="40">
        <v>14141</v>
      </c>
      <c r="D68" s="57">
        <v>1</v>
      </c>
      <c r="E68" s="31"/>
    </row>
    <row r="69" spans="1:5" ht="16.5">
      <c r="A69" s="31"/>
      <c r="B69" s="31"/>
      <c r="C69" s="33"/>
      <c r="D69" s="31"/>
      <c r="E69" s="31"/>
    </row>
    <row r="70" spans="1:5" ht="16.5">
      <c r="A70" s="31"/>
      <c r="B70" s="34" t="s">
        <v>277</v>
      </c>
      <c r="C70" s="33"/>
      <c r="D70" s="31"/>
      <c r="E70" s="31"/>
    </row>
    <row r="71" spans="1:5" ht="16.5">
      <c r="A71" s="31"/>
      <c r="B71" s="35" t="s">
        <v>18</v>
      </c>
      <c r="C71" s="33"/>
      <c r="D71" s="31"/>
      <c r="E71" s="31"/>
    </row>
    <row r="72" spans="1:5" ht="16.5">
      <c r="A72" s="31"/>
      <c r="B72" s="32" t="s">
        <v>46</v>
      </c>
      <c r="C72" s="33"/>
      <c r="D72" s="31"/>
      <c r="E72" s="31"/>
    </row>
    <row r="73" spans="1:5" ht="16.5">
      <c r="A73" s="31"/>
      <c r="B73" s="34" t="s">
        <v>17</v>
      </c>
      <c r="C73" s="33"/>
      <c r="D73" s="31"/>
      <c r="E73" s="31"/>
    </row>
    <row r="74" spans="1:5" ht="16.5">
      <c r="A74" s="31"/>
      <c r="B74" s="34" t="s">
        <v>308</v>
      </c>
      <c r="C74" s="33"/>
      <c r="D74" s="31"/>
      <c r="E74" s="31"/>
    </row>
    <row r="75" spans="1:5">
      <c r="B75" s="2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25</vt:i4>
      </vt:variant>
    </vt:vector>
  </HeadingPairs>
  <TitlesOfParts>
    <vt:vector size="40" baseType="lpstr">
      <vt:lpstr>Índice</vt:lpstr>
      <vt:lpstr>Nuevo León_EdoUsa</vt:lpstr>
      <vt:lpstr>Nuevo León_Cons</vt:lpstr>
      <vt:lpstr>Nuevo LeónXCons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León_GENERO_EUA</vt:lpstr>
      <vt:lpstr>Nuevo León_Gen_Edad</vt:lpstr>
      <vt:lpstr>Nuevo León_ocup_gral</vt:lpstr>
      <vt:lpstr>'Nuevo León_EdoMun'!Área_de_impresión</vt:lpstr>
      <vt:lpstr>'Nuevo León_EdoUsa'!Área_de_impresión</vt:lpstr>
      <vt:lpstr>'Nuevo León_educ_gral'!Área_de_impresión</vt:lpstr>
      <vt:lpstr>'Nuevo León_EducCons'!Área_de_impresión</vt:lpstr>
      <vt:lpstr>'Nuevo León_Gen_Edad'!Área_de_impresión</vt:lpstr>
      <vt:lpstr>'Nuevo León_GENERO'!Área_de_impresión</vt:lpstr>
      <vt:lpstr>'Nuevo León_GENERO_EUA'!Área_de_impresión</vt:lpstr>
      <vt:lpstr>'Nuevo León_MUNICIPIO'!Área_de_impresión</vt:lpstr>
      <vt:lpstr>'Nuevo León_NivelE_Cons'!Área_de_impresión</vt:lpstr>
      <vt:lpstr>'Nuevo León_ocup_gral'!Área_de_impresión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León_GENERO_EUA'!Títulos_a_imprimir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  <vt:lpstr>'Nuevo LeónXCons'!Títulos_a_imprimir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2025-02-18T18:01:50Z</cp:lastPrinted>
  <dcterms:created xsi:type="dcterms:W3CDTF">2020-06-03T21:31:53Z</dcterms:created>
  <dcterms:modified xsi:type="dcterms:W3CDTF">2025-08-22T18:15:08Z</dcterms:modified>
</cp:coreProperties>
</file>